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"/>
    </mc:Choice>
  </mc:AlternateContent>
  <xr:revisionPtr revIDLastSave="0" documentId="13_ncr:1_{EB8375C0-D4D9-417D-8C51-DDC3A34B3A44}" xr6:coauthVersionLast="47" xr6:coauthVersionMax="47" xr10:uidLastSave="{00000000-0000-0000-0000-000000000000}"/>
  <bookViews>
    <workbookView xWindow="-110" yWindow="-110" windowWidth="19420" windowHeight="10420" xr2:uid="{F059CBCB-BB17-4E37-BDB9-5498B1BEDD7D}"/>
  </bookViews>
  <sheets>
    <sheet name="J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2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<sst xmlns="http://schemas.openxmlformats.org/spreadsheetml/2006/main" count="10834" uniqueCount="1484">
  <si>
    <t>production_date</t>
  </si>
  <si>
    <t>shift</t>
  </si>
  <si>
    <t>id_machine</t>
  </si>
  <si>
    <t>packer</t>
  </si>
  <si>
    <t>material</t>
  </si>
  <si>
    <t>id_type</t>
  </si>
  <si>
    <t>mould</t>
  </si>
  <si>
    <t>type</t>
  </si>
  <si>
    <t>jo_no</t>
  </si>
  <si>
    <t>qty_perct</t>
  </si>
  <si>
    <t>gross_weight</t>
  </si>
  <si>
    <t>part_weight</t>
  </si>
  <si>
    <t>shot</t>
  </si>
  <si>
    <t>qty_order</t>
  </si>
  <si>
    <t>wip_opening</t>
  </si>
  <si>
    <t>wip_closing</t>
  </si>
  <si>
    <t>finish_good</t>
  </si>
  <si>
    <t>qty_accum</t>
  </si>
  <si>
    <t>reject_startup</t>
  </si>
  <si>
    <t>reject_prod</t>
  </si>
  <si>
    <t>act_ct</t>
  </si>
  <si>
    <t>production_running</t>
  </si>
  <si>
    <t>sap_ct</t>
  </si>
  <si>
    <t xml:space="preserve"> change_full_set </t>
  </si>
  <si>
    <t xml:space="preserve"> change_half_set </t>
  </si>
  <si>
    <t xml:space="preserve"> change_parts </t>
  </si>
  <si>
    <t xml:space="preserve"> maintenance_dt </t>
  </si>
  <si>
    <t xml:space="preserve"> technician_dt </t>
  </si>
  <si>
    <t>production_dt</t>
  </si>
  <si>
    <t>remark</t>
  </si>
  <si>
    <t>reject_purging</t>
  </si>
  <si>
    <t>reject_preform</t>
  </si>
  <si>
    <t>reject_total_pcs</t>
  </si>
  <si>
    <t>NA</t>
  </si>
  <si>
    <t>PET</t>
  </si>
  <si>
    <t>BC28-0375-K-R-CL</t>
  </si>
  <si>
    <t>BC28-0200-M-R-BR</t>
  </si>
  <si>
    <t>BC28-0250-Z-S-CL</t>
  </si>
  <si>
    <t>BX38-0150-R-R-AM</t>
  </si>
  <si>
    <t>Under tech.Hot runner problem.</t>
  </si>
  <si>
    <t>SHAHID</t>
  </si>
  <si>
    <t>rPET</t>
  </si>
  <si>
    <t>JJ63-0400-SH-S-CL-rPET</t>
  </si>
  <si>
    <t>KALAMUDIN</t>
  </si>
  <si>
    <t>JJ63-0400-SH-S-WH</t>
  </si>
  <si>
    <t>BX38-1500-H-R-CL-LW(GREEN) (ASEM)</t>
  </si>
  <si>
    <t>PPSB520Y</t>
  </si>
  <si>
    <t>BC28-0056-D-APH-LEB-604001</t>
  </si>
  <si>
    <t>BX38-1000-RN-R-CL-rPET 0.2</t>
  </si>
  <si>
    <t>BC28-0090-D-APH-5180-3538-PP-6 NOTCHES</t>
  </si>
  <si>
    <t xml:space="preserve">BC28-0750-K4-R-CL (55g)  </t>
  </si>
  <si>
    <t>Run well.L.test.</t>
  </si>
  <si>
    <t>BC28-0170-D-APH-5180-3539-PP-6 NOTCHES</t>
  </si>
  <si>
    <t>JALALUDIN</t>
  </si>
  <si>
    <t>MOGANA</t>
  </si>
  <si>
    <t>Gate off center</t>
  </si>
  <si>
    <t>HABIRAMI</t>
  </si>
  <si>
    <t>Lumphy.L.test.</t>
  </si>
  <si>
    <t>VICKY</t>
  </si>
  <si>
    <t>BHOLA</t>
  </si>
  <si>
    <t>HASMUDIN</t>
  </si>
  <si>
    <t>DIPAK</t>
  </si>
  <si>
    <t>PREMA</t>
  </si>
  <si>
    <t>SUMATHI/DIPAK/HAUWIYA</t>
  </si>
  <si>
    <t>SHAHID/PREMA/PUNES</t>
  </si>
  <si>
    <t>PUNES</t>
  </si>
  <si>
    <t>KAIMULAH</t>
  </si>
  <si>
    <t>SUMATHI</t>
  </si>
  <si>
    <t>HAUWIAY</t>
  </si>
  <si>
    <t>SHESHNATH</t>
  </si>
  <si>
    <t>BC28-0265-SCC-A-Q-CL</t>
  </si>
  <si>
    <t>BB38-0060-R-R-CL</t>
  </si>
  <si>
    <t>JJ63-0240-R-R-CL</t>
  </si>
  <si>
    <t>Change mould.</t>
  </si>
  <si>
    <t>Under tech startup start 4pm.</t>
  </si>
  <si>
    <t>Gate off center.</t>
  </si>
  <si>
    <t>hot runner no stanbdy</t>
  </si>
  <si>
    <t>Stop 11.10am C/oder.</t>
  </si>
  <si>
    <t xml:space="preserve">Change mould </t>
  </si>
  <si>
    <t>Discolour.</t>
  </si>
  <si>
    <t>Start 9am.Lumphy gate off center.</t>
  </si>
  <si>
    <t>Under tech stop 1pm adjust white mark &amp;  wvay start 6pm.</t>
  </si>
  <si>
    <t>Run well.L.test.Wavy 20ctn on hold qc.</t>
  </si>
  <si>
    <t>start 9am back dot &amp; base soft lupmhy.</t>
  </si>
  <si>
    <t>RAIS</t>
  </si>
  <si>
    <t>RAIS/HASMUDIN/VICKY</t>
  </si>
  <si>
    <t>HABIRAMI/MOGANA/BINOD</t>
  </si>
  <si>
    <t>KAVITHAH</t>
  </si>
  <si>
    <t>BINOD</t>
  </si>
  <si>
    <t>CHANDAN</t>
  </si>
  <si>
    <t>Run well.L.test</t>
  </si>
  <si>
    <t>Discolour</t>
  </si>
  <si>
    <t xml:space="preserve"> Start time 12.30am quality issue flashing,white mark</t>
  </si>
  <si>
    <t>Run well</t>
  </si>
  <si>
    <t>Lumphy.L.test</t>
  </si>
  <si>
    <t>Black dot,vawy.L.test</t>
  </si>
  <si>
    <t>Run well.L.test,qc on hold</t>
  </si>
  <si>
    <t>C/order.L.test</t>
  </si>
  <si>
    <t>Base soff.L.test</t>
  </si>
  <si>
    <t>Stop 12.30am,upper mold screw loose,start time 1.45am,body scratches</t>
  </si>
  <si>
    <t>Blookage.L.test</t>
  </si>
  <si>
    <t>HAUWIYA</t>
  </si>
  <si>
    <t>C/order.</t>
  </si>
  <si>
    <t>Drooling.</t>
  </si>
  <si>
    <t>HAUWIYA/PREMA/SHAHID</t>
  </si>
  <si>
    <t>JJ63-0155-TH-R-CL</t>
  </si>
  <si>
    <t>Start 12.30pm</t>
  </si>
  <si>
    <t>SUMATHI/KALAMUDIN/PUNES</t>
  </si>
  <si>
    <t>OSHI</t>
  </si>
  <si>
    <t>Lumphy gate off center.</t>
  </si>
  <si>
    <t>THURGA</t>
  </si>
  <si>
    <t>Under tech adjust white mark.</t>
  </si>
  <si>
    <t>RAM</t>
  </si>
  <si>
    <t>Run well.L.test.Wavy 60ctnctn on hold qc.</t>
  </si>
  <si>
    <t>Back dot &amp; base soft lupmhy.</t>
  </si>
  <si>
    <t>JIWAN</t>
  </si>
  <si>
    <t>NO SCHEDULE</t>
  </si>
  <si>
    <t>NIPU</t>
  </si>
  <si>
    <t>Drooling</t>
  </si>
  <si>
    <t>BINOD/CHANDAN</t>
  </si>
  <si>
    <t>NIPU/JIYALAL</t>
  </si>
  <si>
    <t>Silver  streak.L.test</t>
  </si>
  <si>
    <t>Run well.L.test.wavy 120ctn,qc on hold</t>
  </si>
  <si>
    <t>JIYALAL</t>
  </si>
  <si>
    <t>NIRAJAN</t>
  </si>
  <si>
    <t>Wvay</t>
  </si>
  <si>
    <t>Under tech adjust height problem.</t>
  </si>
  <si>
    <t>SUMATHI/SHAHID</t>
  </si>
  <si>
    <t>Under tech cycle alarm.</t>
  </si>
  <si>
    <t>NITESH</t>
  </si>
  <si>
    <t>Run well.L.test.8plt hold qc wvay</t>
  </si>
  <si>
    <t>THURGA/OSHI</t>
  </si>
  <si>
    <t>ASNULLAH</t>
  </si>
  <si>
    <t>Black dot</t>
  </si>
  <si>
    <t>HAS</t>
  </si>
  <si>
    <t>Selver streak</t>
  </si>
  <si>
    <t>HAS/KYAW SWAR</t>
  </si>
  <si>
    <t>JALALUDIN/ASNULLAH</t>
  </si>
  <si>
    <t>Base white mark.L.test</t>
  </si>
  <si>
    <t>NIKHIL</t>
  </si>
  <si>
    <t>KYAW SWAR</t>
  </si>
  <si>
    <t>WIYAH</t>
  </si>
  <si>
    <t>Screw blow core loose.</t>
  </si>
  <si>
    <t>ZAM</t>
  </si>
  <si>
    <t>KALAMODIN/FARAH/PUVENS</t>
  </si>
  <si>
    <t>Flasning.</t>
  </si>
  <si>
    <t>SUMATHI/SHAHID/WIYAH</t>
  </si>
  <si>
    <t>Discolour.C j/o</t>
  </si>
  <si>
    <t>Ciscolour.</t>
  </si>
  <si>
    <t>KAIMULLAH</t>
  </si>
  <si>
    <t>PUVENES</t>
  </si>
  <si>
    <t>Lumphy,body soft.</t>
  </si>
  <si>
    <t>FARAH</t>
  </si>
  <si>
    <t>JJ63-0850-RH-R-CL</t>
  </si>
  <si>
    <t>Under tech mould change.start 5.50am</t>
  </si>
  <si>
    <t>Stop 1.15am C/order.</t>
  </si>
  <si>
    <t>BC28-0355-SCC-A-Q-CL</t>
  </si>
  <si>
    <t>Startup start 5am</t>
  </si>
  <si>
    <t>Drooling.L.test</t>
  </si>
  <si>
    <t>Stop 2.30am C/order.</t>
  </si>
  <si>
    <t>JJ63-0550-S-Q-CL</t>
  </si>
  <si>
    <t>Under tech mould change.</t>
  </si>
  <si>
    <t>BINOD/NIKHIL</t>
  </si>
  <si>
    <t>White mark.L.test.</t>
  </si>
  <si>
    <t>Base soft.L.test.</t>
  </si>
  <si>
    <t>VICKY/NIRAJAN</t>
  </si>
  <si>
    <t>Body line mark.L.test.</t>
  </si>
  <si>
    <t>ASMULAH</t>
  </si>
  <si>
    <t>White mark.</t>
  </si>
  <si>
    <t>Blockage &amp; drooling.L.test.</t>
  </si>
  <si>
    <t>WIYAH/FARAH</t>
  </si>
  <si>
    <t>Start 4.30pm.</t>
  </si>
  <si>
    <t>Gate off center.Stop 4.30pm.C/order.</t>
  </si>
  <si>
    <t>SUMATHI/KALAMUDIN</t>
  </si>
  <si>
    <t>RAM/PUNESWARY</t>
  </si>
  <si>
    <t>Gate off center &amp; base cloudy.L.test.</t>
  </si>
  <si>
    <t>Body gap.L.test.Qc on hold 36ctn.</t>
  </si>
  <si>
    <t>FARAHANA</t>
  </si>
  <si>
    <t>Black dot.L.test.</t>
  </si>
  <si>
    <t>Body flow mark.L.test.</t>
  </si>
  <si>
    <t>Topup sorting reject.</t>
  </si>
  <si>
    <t>KALAI</t>
  </si>
  <si>
    <t>ASMULAH/MOGANA</t>
  </si>
  <si>
    <t>Tech adjust drooling.L.test</t>
  </si>
  <si>
    <t>VICKY/RAIS</t>
  </si>
  <si>
    <t>Under tech adjust stop 10.50pm enject pressure problem</t>
  </si>
  <si>
    <t>Under tech adjust gate off center white mark.</t>
  </si>
  <si>
    <t>KALAI/HABIRAMI</t>
  </si>
  <si>
    <t>Base soft &amp; lupmhy.L.test.</t>
  </si>
  <si>
    <t>JX63-1000-E-R-CL</t>
  </si>
  <si>
    <t>Under tech Start up</t>
  </si>
  <si>
    <t>gate off center.</t>
  </si>
  <si>
    <t>DIPAK/SUMATHI</t>
  </si>
  <si>
    <t>Drooling.L.test.</t>
  </si>
  <si>
    <t>Injection preasure problem.Restart 3.30pm.Flashing at lip area.</t>
  </si>
  <si>
    <t>Often under tech adjustment.Body deform &amp; thread deform.Stop 5.15pm.</t>
  </si>
  <si>
    <t>FARAH/PREMA</t>
  </si>
  <si>
    <t>Drooling &amp; oily mark.L.test.</t>
  </si>
  <si>
    <t>Body flow mark.L.test.Separate packing.</t>
  </si>
  <si>
    <t>Under tech quality issue lip flashing thickness problem.start 3.20am</t>
  </si>
  <si>
    <t>White mark</t>
  </si>
  <si>
    <t>NIRAJAN/HABIRAMI</t>
  </si>
  <si>
    <t>drooling.L.test.</t>
  </si>
  <si>
    <t>RAIS/MOGANA</t>
  </si>
  <si>
    <t>Tech adjsut stop 12.50am water mark start 2am</t>
  </si>
  <si>
    <t>Tech adjust gate off center white mark.Stop 6.am C/order.</t>
  </si>
  <si>
    <t>VICKY/BHOLA</t>
  </si>
  <si>
    <t>White mark neck line mark.L.test.</t>
  </si>
  <si>
    <t>IRSAD</t>
  </si>
  <si>
    <t>ASMULAH/NIKHIL</t>
  </si>
  <si>
    <t>Base deform &amp; gate off.Mc stop under supplier test air filter.</t>
  </si>
  <si>
    <t>Soft at neck &amp; drooling.</t>
  </si>
  <si>
    <t>Drooling &amp; water mark.L.test.</t>
  </si>
  <si>
    <t>FARAH/SUMATHI</t>
  </si>
  <si>
    <t>Run well.</t>
  </si>
  <si>
    <t>RAM/PUNES</t>
  </si>
  <si>
    <t>JJ63-0350-NH-R-CL</t>
  </si>
  <si>
    <t>Start 4pm.Base bulging.</t>
  </si>
  <si>
    <t>Start 8am.gate off center.</t>
  </si>
  <si>
    <t>WIYAH/KALAMUDIN</t>
  </si>
  <si>
    <t>Shining  under tech adjust.L.test.Qc on hold 36ctn.</t>
  </si>
  <si>
    <t>JIWAN/SHESHNATH</t>
  </si>
  <si>
    <t>Flow mark under tech adjust..L.test.</t>
  </si>
  <si>
    <t>Gate off center water mark bubble.</t>
  </si>
  <si>
    <t>VICKY/BHOLA/HABIRAMI</t>
  </si>
  <si>
    <t>MOGANA/NIPU</t>
  </si>
  <si>
    <t>Base deform drooling.</t>
  </si>
  <si>
    <t>Lumphy.</t>
  </si>
  <si>
    <t>JALALUDIN/NIRAJAN</t>
  </si>
  <si>
    <t>White mark drooling line mark.L.test.</t>
  </si>
  <si>
    <t>Base soft black dot.L.test.</t>
  </si>
  <si>
    <t>WIYAH/SHAHID</t>
  </si>
  <si>
    <t>Stop 9.15am.C/order.</t>
  </si>
  <si>
    <t>JG63-0175-R-R-AM</t>
  </si>
  <si>
    <t>Start 4.30pm.Run well.</t>
  </si>
  <si>
    <t>FARAH/SUMATHI/DIPAK</t>
  </si>
  <si>
    <t>Neck &amp; base deform.</t>
  </si>
  <si>
    <t>Gate off center.L.test.</t>
  </si>
  <si>
    <t>RAM/PUINES</t>
  </si>
  <si>
    <t>Shining mark under tech adjust..L.test.</t>
  </si>
  <si>
    <t>Gate off center &amp; soft.L.test.</t>
  </si>
  <si>
    <t>Line mark.L.test.</t>
  </si>
  <si>
    <t>HABIRAMI/MOGNA</t>
  </si>
  <si>
    <t>Base soft.</t>
  </si>
  <si>
    <t>ASMULAH/CHANDAN/IRSAD</t>
  </si>
  <si>
    <t>Stop 8.20pm C/order.</t>
  </si>
  <si>
    <t>JJ63-0350-EH-R-CL</t>
  </si>
  <si>
    <t>Start 12am stop 2.30am under tech quality issue white mark.</t>
  </si>
  <si>
    <t>C/oder.</t>
  </si>
  <si>
    <t>BINOD/NIPU</t>
  </si>
  <si>
    <t>Tech adjustment base soft lupmhy.L.test.</t>
  </si>
  <si>
    <t>Under tech adjust flow mark line mark.L.test.</t>
  </si>
  <si>
    <t>Soft at neck &amp; drooling,lumpy.</t>
  </si>
  <si>
    <t>Drooling.L.test.Stop 4.00pm c/order.</t>
  </si>
  <si>
    <t>ZAM/WIYAH</t>
  </si>
  <si>
    <t>White mark,drooling.L.test.</t>
  </si>
  <si>
    <t>Stop 9.00am hc go to labelling.</t>
  </si>
  <si>
    <t>KALAMUDIN/FARAH</t>
  </si>
  <si>
    <t>Gate off center,lumphy &amp; soft.L.test.</t>
  </si>
  <si>
    <t>DIPAK/PUNES</t>
  </si>
  <si>
    <t>Line mark.L.test.Line mark 9ctn.</t>
  </si>
  <si>
    <t>KAIMULLAH/DILIP</t>
  </si>
  <si>
    <t>Body soft droolong.</t>
  </si>
  <si>
    <t>Tech adjust bubble silver streak Drooling.L.test.</t>
  </si>
  <si>
    <t>IRSAD/NIKHIL</t>
  </si>
  <si>
    <t>NIPU/JALALUDIN</t>
  </si>
  <si>
    <t>JIYA</t>
  </si>
  <si>
    <t>KALAMODIN/JIWAN</t>
  </si>
  <si>
    <t>White mark,silver mark.L.test.</t>
  </si>
  <si>
    <t>SHIVA</t>
  </si>
  <si>
    <t>Run well..L.test.</t>
  </si>
  <si>
    <t>SHAHID/ZAM</t>
  </si>
  <si>
    <t>Line mark.L.test.Line mark 15ctn.</t>
  </si>
  <si>
    <t>KAIMULLAH/NITESH</t>
  </si>
  <si>
    <t>JALALUDIN/NIPU</t>
  </si>
  <si>
    <t>NIKHIL/CHANDAN</t>
  </si>
  <si>
    <t>Tech adjust base defrom,bubble,stop 9.pm charging problem</t>
  </si>
  <si>
    <t>Body  dented &amp; neck discolour.L,test.</t>
  </si>
  <si>
    <t>KALAMODN</t>
  </si>
  <si>
    <t>BX38-0250-SM-R-WH</t>
  </si>
  <si>
    <t>Colour not match with qc sample.</t>
  </si>
  <si>
    <t>SUMATHI/WIYAH</t>
  </si>
  <si>
    <t>Silver mark,drooling.L.test.Stop 1.00pm quality issue.</t>
  </si>
  <si>
    <t>Drooling,white mark.</t>
  </si>
  <si>
    <t>PUVES</t>
  </si>
  <si>
    <t>DROLLINGl.L.test.</t>
  </si>
  <si>
    <t>Run well..L.test.C j/o.</t>
  </si>
  <si>
    <t>RAM/KALAMODIN</t>
  </si>
  <si>
    <t>KAIMULLAH/OSHI</t>
  </si>
  <si>
    <t>KAVITHA</t>
  </si>
  <si>
    <t>Under tech hot runner problem yellow colour.</t>
  </si>
  <si>
    <t>HABIRAMI/JALALUDIN</t>
  </si>
  <si>
    <t>Under tech tech adjustment quality issue silver streak.</t>
  </si>
  <si>
    <t>MOGANA/ASMULAH</t>
  </si>
  <si>
    <t>Base soft gate off center.L.test.</t>
  </si>
  <si>
    <t>CHANDAN/NIPU</t>
  </si>
  <si>
    <t>shift_output</t>
  </si>
  <si>
    <t>inward</t>
  </si>
  <si>
    <t>qty_balance</t>
  </si>
  <si>
    <t>material_used</t>
  </si>
  <si>
    <t>runner</t>
  </si>
  <si>
    <t>reject_startup_per</t>
  </si>
  <si>
    <t>reject_prod_per</t>
  </si>
  <si>
    <t>PUVES/FARAH</t>
  </si>
  <si>
    <t>WIYAH/SHAHID/SUMATHI</t>
  </si>
  <si>
    <t>WIYAH/SUMATHI</t>
  </si>
  <si>
    <t>SHESHNATH/OSHI</t>
  </si>
  <si>
    <t>LALALUDIN/HABIRAMI</t>
  </si>
  <si>
    <t>BHOLA/RAIS</t>
  </si>
  <si>
    <t>MOGANA/HABIRAMI</t>
  </si>
  <si>
    <t>Inward only.</t>
  </si>
  <si>
    <t>Change mould.Testing colour.</t>
  </si>
  <si>
    <t>Discolour,yellowish.</t>
  </si>
  <si>
    <t>Silver mark,drooling,white mark,thread damageL.test.</t>
  </si>
  <si>
    <t>Gate off center.Stop 9.40am.C/order.</t>
  </si>
  <si>
    <t>BC28-0750-GS-R-CL</t>
  </si>
  <si>
    <t>Change mould</t>
  </si>
  <si>
    <t>Stop 9.30am pump bearing change,material liking .L.test.</t>
  </si>
  <si>
    <t>Run well.L.test.Stop 10.30am</t>
  </si>
  <si>
    <t>Run well.L.test.Cj/o.</t>
  </si>
  <si>
    <t>BC28-0200-SB-R-CL</t>
  </si>
  <si>
    <t>Under tech quality issue drooling &amp; dented.start 1am</t>
  </si>
  <si>
    <t>Yellowish.</t>
  </si>
  <si>
    <t>Tech adjust drooling Silver streak.</t>
  </si>
  <si>
    <t>Material leaking.start 8.30pmL.test.</t>
  </si>
  <si>
    <t>Under tech quality issue base lupmhy gate off center.</t>
  </si>
  <si>
    <t>Base soft lupmhy.L.test.</t>
  </si>
  <si>
    <t>Under tech stop 10.20pm flashing and burr and neck line mark.start 12.am</t>
  </si>
  <si>
    <t>PUNES/FARAH</t>
  </si>
  <si>
    <t>BINOD/MOGANA</t>
  </si>
  <si>
    <t>BHOAL</t>
  </si>
  <si>
    <t>CHANDAN/HABIRAMI</t>
  </si>
  <si>
    <t>BHOLA/HASMUDIN</t>
  </si>
  <si>
    <t>RAIS/NIRAJAN</t>
  </si>
  <si>
    <t>yellowish.</t>
  </si>
  <si>
    <t>Silver streak &amp; thread deform.L.test.</t>
  </si>
  <si>
    <t>Start 12.45pm.L.test.</t>
  </si>
  <si>
    <t>Nozzle barrel material leaking.</t>
  </si>
  <si>
    <t>Under tech adjustment.start 6.30pm.</t>
  </si>
  <si>
    <t>Gate off center...L.test.</t>
  </si>
  <si>
    <t>Stop 5am C/order.</t>
  </si>
  <si>
    <t>BC28-0375-K-R-Tinted Brown</t>
  </si>
  <si>
    <t>Tech change mould.</t>
  </si>
  <si>
    <t>Under mntc teibar mould broken.stop 3.30am</t>
  </si>
  <si>
    <t>Under tech quality issue adjustment lumphy gate off center.</t>
  </si>
  <si>
    <t>FARAH/KALAMUDIN</t>
  </si>
  <si>
    <t>SUMATHI/WIYAH/SHAHID</t>
  </si>
  <si>
    <t>OSHI/KAIMULLAH</t>
  </si>
  <si>
    <t>KALAI/IRSAD</t>
  </si>
  <si>
    <t>JALALUDIN/RAIS</t>
  </si>
  <si>
    <t>HABIRAMI/NIRAJAN</t>
  </si>
  <si>
    <t>Start 4pm.base dented qc on hold 3tray(1104pcs)</t>
  </si>
  <si>
    <t>Restart 11am.Run well.</t>
  </si>
  <si>
    <t>Discolour &amp; hole sometimes.</t>
  </si>
  <si>
    <t>JJ63-0300-R-R-CL</t>
  </si>
  <si>
    <t>Start 10.30am.Discolour.</t>
  </si>
  <si>
    <t>Silver streak.L.test.</t>
  </si>
  <si>
    <t>Hot runner material leaking.</t>
  </si>
  <si>
    <t>Base lumpy &amp; dented.</t>
  </si>
  <si>
    <t>base lumpy..L.test.</t>
  </si>
  <si>
    <t>Gate off center &amp; lumpy..L.test.</t>
  </si>
  <si>
    <t>Prefrom stuck.L.test.</t>
  </si>
  <si>
    <t>Black dot dirty.L.test.</t>
  </si>
  <si>
    <t>Creak discolour.L.test.</t>
  </si>
  <si>
    <t>Lupmhy gate off centerl.L.test.</t>
  </si>
  <si>
    <t>PUNESWARY/WIYAH</t>
  </si>
  <si>
    <t>SHAHID/KALAMUDIN</t>
  </si>
  <si>
    <t>SUMATHI/JIWAN</t>
  </si>
  <si>
    <t>JIWAN/SUMATHI</t>
  </si>
  <si>
    <t>ASMULAH/KAVITHA</t>
  </si>
  <si>
    <t>Bottle dirty.L.test.</t>
  </si>
  <si>
    <t>Water mark.</t>
  </si>
  <si>
    <t>Restart 9am.Discolour &amp; crack sometimes.L.test.</t>
  </si>
  <si>
    <t>Stop 10am.c/order.</t>
  </si>
  <si>
    <t>JJ63-0500-RH-R-CL</t>
  </si>
  <si>
    <t>Start 5pm.Thread deform &amp; silver streak.Stop 6.30pm.Quality issue.</t>
  </si>
  <si>
    <t>Stop 11.30am.C/order.</t>
  </si>
  <si>
    <t>BX38-1000-GH-R-CL(GREEN) (ASEM)</t>
  </si>
  <si>
    <t>Under tech.change mould.</t>
  </si>
  <si>
    <t>Dirty black dot.L.test.</t>
  </si>
  <si>
    <t>Stop 3am C/order.</t>
  </si>
  <si>
    <t>Tech change mould</t>
  </si>
  <si>
    <t>Creak.L.test.</t>
  </si>
  <si>
    <t>Under tech hot runner problem.</t>
  </si>
  <si>
    <t>Under tech quality issue thickness problem.start 1.30am.tech adjust shot moulding.</t>
  </si>
  <si>
    <t>THURGA/KALAMUDIN</t>
  </si>
  <si>
    <t>KAIMULLAH/LL</t>
  </si>
  <si>
    <t>Waiting master batch.</t>
  </si>
  <si>
    <t>discolour &amp; hole sometimes.</t>
  </si>
  <si>
    <t>Hot runner problem..</t>
  </si>
  <si>
    <t>Run well..L.test.Stop 1.50pm.lower mould turn table alarm.Under mntc.</t>
  </si>
  <si>
    <t>HABIRAMI/MOGANA</t>
  </si>
  <si>
    <t>HASMUDIN/KAVITHA</t>
  </si>
  <si>
    <t>SHAHID/WIYAH</t>
  </si>
  <si>
    <t>Under mntc stop 9am blow core screw broken 4.30pm under tech hot runner material leaking.</t>
  </si>
  <si>
    <t>BX38-0500-S-S-CL-LW</t>
  </si>
  <si>
    <t>Under mntc.</t>
  </si>
  <si>
    <t>Stop 12.20am C/order.</t>
  </si>
  <si>
    <t>Tec change mould.</t>
  </si>
  <si>
    <t>Under mntc stop 11.40am tiebar damgae.</t>
  </si>
  <si>
    <t>JJ63-0190-E-Q-CL-LW</t>
  </si>
  <si>
    <t>Stop 4.20pm C/order.</t>
  </si>
  <si>
    <t>Hot runner problem.start 10.40am</t>
  </si>
  <si>
    <t>Lupmhy.</t>
  </si>
  <si>
    <t>Under tech quality issue tech adjustment body gap oss.29ctn onhold qc</t>
  </si>
  <si>
    <t>Base soft lupmhy black dot.L.test.</t>
  </si>
  <si>
    <t>Run well.l.test.</t>
  </si>
  <si>
    <t>Under tech.Hot runner mtrl leaking.</t>
  </si>
  <si>
    <t>Start 2.30am.Run well.</t>
  </si>
  <si>
    <t>Start 3am.Drooling &amp; discolour.</t>
  </si>
  <si>
    <t>Start 1am.Base deform &amp;  lip burr.</t>
  </si>
  <si>
    <t>Thread deform.</t>
  </si>
  <si>
    <t>Body gap cav 2..Separatte packing.L.test.</t>
  </si>
  <si>
    <t>Gate off center &amp; oily mark.l.test.Stop 2.30am base mould screw broken.</t>
  </si>
  <si>
    <t>MOGANA/KAVITHA</t>
  </si>
  <si>
    <t>IRSAD/HABIRAMI</t>
  </si>
  <si>
    <t>HABIRAMI/AIN SYELIZA</t>
  </si>
  <si>
    <t>HABIRAMI/IRSAD</t>
  </si>
  <si>
    <t>ZAM/KALAMUDIN</t>
  </si>
  <si>
    <t>PUNES/SHAHID</t>
  </si>
  <si>
    <t>Under tech.Hot runner mtrl leaking.start 4pm</t>
  </si>
  <si>
    <t>Tech adjsut base deform burr drooling.</t>
  </si>
  <si>
    <t>Under mntc base mould screw broken.startr 12.40pm.</t>
  </si>
  <si>
    <t>Drooling &amp; black dot.</t>
  </si>
  <si>
    <t>Base deform &amp; soft.</t>
  </si>
  <si>
    <t>Body gap cav 20.Separatte packing.L.test.Under tech adjustment.</t>
  </si>
  <si>
    <t>Gate off center &amp; lumpy.L.tyest.</t>
  </si>
  <si>
    <t>KAVITHA/HABIRAMI</t>
  </si>
  <si>
    <t>IRSAD/MOGANA</t>
  </si>
  <si>
    <t>ASMULAH/HAS</t>
  </si>
  <si>
    <t>WIYAH/ZAM</t>
  </si>
  <si>
    <t>FARAH/SUMATHI/KALMUDIN</t>
  </si>
  <si>
    <t>WIYAH/PUNES</t>
  </si>
  <si>
    <t>Under mntc stop 2.40pm chiller change.start 4.30pm.</t>
  </si>
  <si>
    <t>Material finish hot material loading already inform tech 9.40am start 11am tech adjust gate off center.</t>
  </si>
  <si>
    <t>Under mntc stop 9.20am lower mould moving up bottle hight out spec.start 11am.black dot base soft L.test.</t>
  </si>
  <si>
    <t xml:space="preserve">Stop 9.20am </t>
  </si>
  <si>
    <t>Sample</t>
  </si>
  <si>
    <t>C170D New logo cavity number test.</t>
  </si>
  <si>
    <t>2time Blockage</t>
  </si>
  <si>
    <t>Blockage.Stop 9.30pm-3am.Under tech.</t>
  </si>
  <si>
    <t>Blockage.Gate off center.Change nomex paper.</t>
  </si>
  <si>
    <t>Lip screw broken.</t>
  </si>
  <si>
    <t>Under tech.Injection unconsistent cant control.</t>
  </si>
  <si>
    <t>BX38-1000-RH-R-CL(GREEN) (ASEM)</t>
  </si>
  <si>
    <t>Start 9.45pm.Run well.</t>
  </si>
  <si>
    <t>Blockage.L.test.</t>
  </si>
  <si>
    <t>MOGANA/BHOLA</t>
  </si>
  <si>
    <t>RAIS/HABIRAMI/KAVITHA</t>
  </si>
  <si>
    <t>BHOLA/MOGANA</t>
  </si>
  <si>
    <t>NIKHIL/NIRAJAN</t>
  </si>
  <si>
    <t>ZAM/SUMATHI</t>
  </si>
  <si>
    <t>SHAHID/FARAH</t>
  </si>
  <si>
    <t>ZAM/PUNES</t>
  </si>
  <si>
    <t>SUMATHI/ZAM</t>
  </si>
  <si>
    <t>OSHI/JIWAN</t>
  </si>
  <si>
    <t>Tech adjust burr.</t>
  </si>
  <si>
    <t>C/order</t>
  </si>
  <si>
    <t>JJ63-0650-HD-CL</t>
  </si>
  <si>
    <t>Under tech quality issue base line mark.</t>
  </si>
  <si>
    <t>Black dot base soft lumphy.L.test.</t>
  </si>
  <si>
    <t>Blockage.</t>
  </si>
  <si>
    <t>Start 9.40pm.Run well.</t>
  </si>
  <si>
    <t>Testing block.</t>
  </si>
  <si>
    <t>Base lumpy &amp; soft.L.test.</t>
  </si>
  <si>
    <t>JALALUDIN/KAVITHA</t>
  </si>
  <si>
    <t>RAIS/MOGNANA</t>
  </si>
  <si>
    <t>HABIRAAMI</t>
  </si>
  <si>
    <t>HASMUDIN/NIPU</t>
  </si>
  <si>
    <t>PUNES/KALAMUDIN</t>
  </si>
  <si>
    <t>Run well.L.test.Dirty.</t>
  </si>
  <si>
    <t>Under mntc stop 8.30am barrel leaking.start 6.20pm</t>
  </si>
  <si>
    <t>Under mntc stop 9am hot runner screw broken.</t>
  </si>
  <si>
    <t>Tech change base mould start 6.30pm qc byoff 6.50pm.</t>
  </si>
  <si>
    <t>Base deform &amp; drooling.</t>
  </si>
  <si>
    <t>Restart 8.30pm.White mark.</t>
  </si>
  <si>
    <t>Base deform</t>
  </si>
  <si>
    <t>Stop 9.30pm.C/order.</t>
  </si>
  <si>
    <t xml:space="preserve">BX38-0750-R-WH </t>
  </si>
  <si>
    <t>Start 4am.Gate off center.</t>
  </si>
  <si>
    <t>Base lumpy.L.test.</t>
  </si>
  <si>
    <t>Under the.Dome heighft/Thcikness.</t>
  </si>
  <si>
    <t>IRSAD/ASMULAH</t>
  </si>
  <si>
    <t>SUMATHI/SHAHID/RAM</t>
  </si>
  <si>
    <t>White mark hole.</t>
  </si>
  <si>
    <t>Under mntc stop 7am  blow mould slow down</t>
  </si>
  <si>
    <t xml:space="preserve">Stop 12.pm </t>
  </si>
  <si>
    <t>JJ63-0200-R-R-CL</t>
  </si>
  <si>
    <t>Under tech startup Start 3.30pm</t>
  </si>
  <si>
    <t>Under tech stop 12pm change normal paper.start 1.30pm stop run stop quality issuse tech adjust silver streak .</t>
  </si>
  <si>
    <t>SAMPLE</t>
  </si>
  <si>
    <t>Sample run 5ctn.</t>
  </si>
  <si>
    <t>Line mark &amp; drooling.</t>
  </si>
  <si>
    <t>JALALUDIN/HBOLA/BINOD</t>
  </si>
  <si>
    <t>KYWAR</t>
  </si>
  <si>
    <t>HASMUDIN/ASMULAH</t>
  </si>
  <si>
    <t>SUMATHI/DIN/DIPAK</t>
  </si>
  <si>
    <t>KAIMULLAH/RAM</t>
  </si>
  <si>
    <t>SHESHNATH/NITESH</t>
  </si>
  <si>
    <t>Droolling whate mark.</t>
  </si>
  <si>
    <t>Under mntc  blow mould slow down</t>
  </si>
  <si>
    <t>Under tech adjust burr.</t>
  </si>
  <si>
    <t>Under tech quality issuse tech adjust silver streak .</t>
  </si>
  <si>
    <t>Oily.L.test.</t>
  </si>
  <si>
    <t>Black dot.L.test.C j/o.</t>
  </si>
  <si>
    <t>NIPU/JALALUDIN/VICKY</t>
  </si>
  <si>
    <t>KAVITHA/RAIS</t>
  </si>
  <si>
    <t>MOGANA/RAIS</t>
  </si>
  <si>
    <t>IRSAD/NIRAJAN</t>
  </si>
  <si>
    <t>SUMATHI/LL</t>
  </si>
  <si>
    <t>SHAHID/PUNES</t>
  </si>
  <si>
    <t>KALAMUDIN/SUMATHI</t>
  </si>
  <si>
    <t>Oily mark.Dirty.L.test.</t>
  </si>
  <si>
    <t>Waiting for colour.</t>
  </si>
  <si>
    <t>Drooling white mark.</t>
  </si>
  <si>
    <t>Under tech stop 10.50am leaking.start 11.40am C/oder.2.30pm</t>
  </si>
  <si>
    <t>BW38-0280-LS-R-RED</t>
  </si>
  <si>
    <t>Under tech stop 10.50am leaking.start 11.40am</t>
  </si>
  <si>
    <t>Neck area burr.</t>
  </si>
  <si>
    <t>Start 9.50am under tech adjust drooling silver streak.C/order 2pm</t>
  </si>
  <si>
    <t>JJ63-0750-HX-H-CL-LW</t>
  </si>
  <si>
    <t>Under tech quality issue base deform.</t>
  </si>
  <si>
    <t>Sample only inward.</t>
  </si>
  <si>
    <t>Sample run.</t>
  </si>
  <si>
    <t>Start 9.40am Oliy mark body scratches.</t>
  </si>
  <si>
    <t>Start 9.30am Base soft &amp; lupmhy.L.test.</t>
  </si>
  <si>
    <t>Waiting masterbatch.</t>
  </si>
  <si>
    <t>Start 10.30pm.Flashing at lip area &amp; silver streak.</t>
  </si>
  <si>
    <t>Restart 9.30pm.Run well.</t>
  </si>
  <si>
    <t>Start 8.30pm.White mark.</t>
  </si>
  <si>
    <t>Stop 10.30pm.C/order.</t>
  </si>
  <si>
    <t>BX38-2000-RH-R-CL (WHITE) (ASEM)</t>
  </si>
  <si>
    <t>Under tech.Quality issue.Neck dented.</t>
  </si>
  <si>
    <t>Base soft &amp; lumy.L.test.</t>
  </si>
  <si>
    <t>KAVITHA/MOGANA</t>
  </si>
  <si>
    <t>HABIRAMI/RAIS</t>
  </si>
  <si>
    <t>PUNES/SUMATHI</t>
  </si>
  <si>
    <t>ZAM/SHAHID</t>
  </si>
  <si>
    <t>DIPAK/FARAH</t>
  </si>
  <si>
    <t>Dirty.L.test.</t>
  </si>
  <si>
    <t>Silver streak.</t>
  </si>
  <si>
    <t>Stop 12.20pm.C/order.</t>
  </si>
  <si>
    <t>BB38-0090-R-R-CL</t>
  </si>
  <si>
    <t>Tech quality issue shot moulding Start 3.30pm.</t>
  </si>
  <si>
    <t>Tech adjust drooling silver streak.</t>
  </si>
  <si>
    <t>Only inward.mould 2.</t>
  </si>
  <si>
    <t>Under tech quality issue neck dented.start 9.40am.tech adjust lumphy and gate off center base soft.</t>
  </si>
  <si>
    <t>White mark &amp; deform.Mc stop 11.30pm.Hr nozzle #1 temprature down.</t>
  </si>
  <si>
    <t>Inward.</t>
  </si>
  <si>
    <t>Gate off center &amp; white mark.</t>
  </si>
  <si>
    <t>White mark.Change nomex paper.Often bottle stuck.</t>
  </si>
  <si>
    <t>Gate point dirty &amp; gate off.L.test.</t>
  </si>
  <si>
    <t>JALALUDIN/VICKY</t>
  </si>
  <si>
    <t>IRRSAD</t>
  </si>
  <si>
    <t>FARAH/PUNES</t>
  </si>
  <si>
    <t>JIWAN/NITESH</t>
  </si>
  <si>
    <t>Mtaerial loading 5pm 2.8%</t>
  </si>
  <si>
    <t>Under tech Hr nozzle #1 temprature down start 11.20am</t>
  </si>
  <si>
    <t>JJ63-0250-R-R-CL</t>
  </si>
  <si>
    <t>Only inward.mould 3.</t>
  </si>
  <si>
    <t>Mc sometime bottle stuck lip.Lumphy and gate off center.</t>
  </si>
  <si>
    <t>Run well.L.test.old ctn qc onhold sorting body gap  reject 54kg.</t>
  </si>
  <si>
    <t>Body gap qc onhold 22ctn.</t>
  </si>
  <si>
    <t>Colour not match with qc sample.Already mixed 2.3%/25/1.9%/1.7%/1.5%/1%.</t>
  </si>
  <si>
    <t>White mark &amp; gate off.Change nomex paper.</t>
  </si>
  <si>
    <t>Base rounded.</t>
  </si>
  <si>
    <t>Lip screw broken.Shot moulding &amp; base bulging.</t>
  </si>
  <si>
    <t>Strech tip broken.Thread deform &amp; gate off center.</t>
  </si>
  <si>
    <t>BX38-2000-RH-R-CL(GREEN) (ASEM)</t>
  </si>
  <si>
    <t>Parting line thick.</t>
  </si>
  <si>
    <t>Gate point dirty &amp; gate off center.L.test.</t>
  </si>
  <si>
    <t>Run sample.</t>
  </si>
  <si>
    <t>Cav 4 separate packing.L.test.</t>
  </si>
  <si>
    <t>BHOLA/HAS/NIRAJAN</t>
  </si>
  <si>
    <t>KALAMUDIN/NITESH</t>
  </si>
  <si>
    <t>RAM/FARAH</t>
  </si>
  <si>
    <t>Dirty Run well.L.test.</t>
  </si>
  <si>
    <t>Under tech startup material loading time 9am.under tech quality isssue flow mark silver streak.</t>
  </si>
  <si>
    <t>Body soft.</t>
  </si>
  <si>
    <t>Under tech adjust gate off center.</t>
  </si>
  <si>
    <t xml:space="preserve">Under mntc stop 11.10am chiller change.start 12pm </t>
  </si>
  <si>
    <t>Only inward mould4</t>
  </si>
  <si>
    <t>Tech start 1pm.</t>
  </si>
  <si>
    <t>Base soft black dot lumphy.</t>
  </si>
  <si>
    <t>Under tech startup.</t>
  </si>
  <si>
    <t>Run well.L.test.body gap 8ctn.</t>
  </si>
  <si>
    <t>Under tech.Quality issue base deform.</t>
  </si>
  <si>
    <t>BC28-0150-A1-Q-CL</t>
  </si>
  <si>
    <t>Under tech start up.</t>
  </si>
  <si>
    <t>Stop 2.30am.C/order.</t>
  </si>
  <si>
    <t>JJ63-0750-R-R-CL-LW</t>
  </si>
  <si>
    <t>Start 4.30am.Weight out spec.On hold 4ctn.</t>
  </si>
  <si>
    <t>Gate off center &amp; drooling.L.test.</t>
  </si>
  <si>
    <t>Under tech run sample.</t>
  </si>
  <si>
    <t>Separate cav 4 body gap.L.test.</t>
  </si>
  <si>
    <t>NIPU/RAIS</t>
  </si>
  <si>
    <t>MOGANA/KAVITHA/HABIRAMI</t>
  </si>
  <si>
    <t>HAS/NIRAJAN</t>
  </si>
  <si>
    <t>FARAH/OSHI</t>
  </si>
  <si>
    <t>THURGA/DIPAK</t>
  </si>
  <si>
    <t>NITESH/JIWAN</t>
  </si>
  <si>
    <t>Under tech heater porblem start 4pm.</t>
  </si>
  <si>
    <t>Under tech.Quality issue base deform.Start 9.45am colour light.start 2pm</t>
  </si>
  <si>
    <t>White mark droolling.</t>
  </si>
  <si>
    <t>Lip test.</t>
  </si>
  <si>
    <t>BX38-0100-C-R-AM</t>
  </si>
  <si>
    <t>Neck dented.</t>
  </si>
  <si>
    <t>Seperate cav 4 body gap.L.test.Under mntc stop 10.30am chiller change.start 12pm.</t>
  </si>
  <si>
    <t>Discolour.L.test.</t>
  </si>
  <si>
    <t>Base dented &amp; silver streak.</t>
  </si>
  <si>
    <t>Under tech.Quality issue .Body deform.</t>
  </si>
  <si>
    <t>Start 4.15am.Drooling &amp; shot moulding.</t>
  </si>
  <si>
    <t>Gate off center &amp; thread deform.</t>
  </si>
  <si>
    <t>Gate off center &amp; body scratches.</t>
  </si>
  <si>
    <t>cav #20 seoarate packing.Thickness Out spec cav 22.Qc on hold .L.test.Stop 4am.</t>
  </si>
  <si>
    <t xml:space="preserve">Separate cav 4 body gap.L.test.  Body gap oss cavity4 saro to ask  Scrap 24ctn </t>
  </si>
  <si>
    <t>VICKY/DILIP</t>
  </si>
  <si>
    <t>NIKHIL/JAJALUDIN</t>
  </si>
  <si>
    <t>RAIS/BINOD</t>
  </si>
  <si>
    <t>MOGANA/VICKY/DILIP</t>
  </si>
  <si>
    <t>NIKHIL/BHOLA</t>
  </si>
  <si>
    <t>HAS/NIPU</t>
  </si>
  <si>
    <t>THURGA/SUMATHI</t>
  </si>
  <si>
    <t>FARAH/KAALAMUDIN</t>
  </si>
  <si>
    <t>Tech adjust line mark base dented &amp; silver streak.</t>
  </si>
  <si>
    <t>Under tech.quality issue .Body deform.start 10.40am.Drooling.</t>
  </si>
  <si>
    <t>Under mntc paipe broken stop 11.40am start 12.40pm</t>
  </si>
  <si>
    <t>Under tech quality issue Thickness Out spec.start 4.25pm.body gap 6ctn scrap.</t>
  </si>
  <si>
    <t>Base soft lumphy.L.test.</t>
  </si>
  <si>
    <t>base dented &amp; silver streak.</t>
  </si>
  <si>
    <t>white mark.</t>
  </si>
  <si>
    <t>Stop 11.45pm.C/order.</t>
  </si>
  <si>
    <t>BX38-0100-C-R-CL</t>
  </si>
  <si>
    <t>Under tech.Quality issue.Cav #3 dented &amp; cav 4 line mark.</t>
  </si>
  <si>
    <t>Restart 4.15am.Run well.</t>
  </si>
  <si>
    <t>Gate off center &amp; thread deform.Stop 4am.C/order.</t>
  </si>
  <si>
    <t>JJ63-0400-RH-R-CL</t>
  </si>
  <si>
    <t>Mould no standby.</t>
  </si>
  <si>
    <t>JALALUDIN/DILIP</t>
  </si>
  <si>
    <t>BHOLA/BINOD</t>
  </si>
  <si>
    <t>DILIP</t>
  </si>
  <si>
    <t>FARAH/SUMATHI/NITESH</t>
  </si>
  <si>
    <t>Blackd dot.L.test</t>
  </si>
  <si>
    <t>White mark drooling.</t>
  </si>
  <si>
    <t>Only inward.</t>
  </si>
  <si>
    <t>Under tech start 11.30am</t>
  </si>
  <si>
    <t>Under mntc stop 1.45pm chiller motor problem.start 3.30pm</t>
  </si>
  <si>
    <t>Body panelling.</t>
  </si>
  <si>
    <t>KALAMUDIN/ZAM</t>
  </si>
  <si>
    <t>NITEST/JIWAN</t>
  </si>
  <si>
    <t>MOGANA/BINOD</t>
  </si>
  <si>
    <t>RAIS/HABIRAMI</t>
  </si>
  <si>
    <t>NIKHIL/IRSAD</t>
  </si>
  <si>
    <t>Moisture mark.L.test.</t>
  </si>
  <si>
    <t>BCY28-0500-W-R-CL</t>
  </si>
  <si>
    <t>Under tech change mould.</t>
  </si>
  <si>
    <t>JJ63-0250-S-Q-CL-HW</t>
  </si>
  <si>
    <t>Run well.L.tyest.</t>
  </si>
  <si>
    <t>Body scratches cav 3.Often mc stop upper mould clamping.</t>
  </si>
  <si>
    <t>Body dented.L.test.</t>
  </si>
  <si>
    <t>Chiller problem.Start 3pm.</t>
  </si>
  <si>
    <t>Under tech change mould.start 11pm stop quality issue body dot.hot runner water leaking.</t>
  </si>
  <si>
    <t>Under tech.quality issue wvay.</t>
  </si>
  <si>
    <t>Under tech adjust white mark lumphy.</t>
  </si>
  <si>
    <t>Base soft.lumphy.L.test.</t>
  </si>
  <si>
    <t>Tech stop 5.30am.L.test.</t>
  </si>
  <si>
    <t xml:space="preserve">Tech stop 5.30am base change </t>
  </si>
  <si>
    <t>FARAH/KALAMODIN</t>
  </si>
  <si>
    <t>SUMATHI/DIPAK</t>
  </si>
  <si>
    <t>NIRAJAN/NIPU/NIKHIL</t>
  </si>
  <si>
    <t>KAVITHA/MOGANA/RAIS</t>
  </si>
  <si>
    <t>Stop 9am.C/order.</t>
  </si>
  <si>
    <t>BC28-0265-A-Q-CL</t>
  </si>
  <si>
    <t>Start 5pm.</t>
  </si>
  <si>
    <t>Under tech block water leaking.</t>
  </si>
  <si>
    <t>Under tech.Core problem.</t>
  </si>
  <si>
    <t>Restart 9am.wavy.Stop 4.10pm.C/order.</t>
  </si>
  <si>
    <t>JJ63-0600-RH-R-CL</t>
  </si>
  <si>
    <t>base lumpy.Mc stop 9.30am-11.30am.Blow core strech cyclinder jump.</t>
  </si>
  <si>
    <t>Base deform &amp; gate off center.L.test.</t>
  </si>
  <si>
    <t>New base mould 1.</t>
  </si>
  <si>
    <t>New base mould 2.</t>
  </si>
  <si>
    <t>Water leaking.</t>
  </si>
  <si>
    <t>Under tech core problem.</t>
  </si>
  <si>
    <t>Tech mould change.Start 11pm.</t>
  </si>
  <si>
    <t>Under tech quality issue stop 9.30pm base bulging.start 10.25pm morring shift balance 2plt qc onhold.</t>
  </si>
  <si>
    <t>Tech adjust lumphy gate off center Stop 11pm C/order.</t>
  </si>
  <si>
    <t>BX38-2000-GH-R-CL (GREEN) (ASEM)</t>
  </si>
  <si>
    <t>Start 12.40pm sometime stop cycle alarm.</t>
  </si>
  <si>
    <t>Lumphy base soft.</t>
  </si>
  <si>
    <t xml:space="preserve">Sample run </t>
  </si>
  <si>
    <t>Sample run under tech quality issue dome height problem.</t>
  </si>
  <si>
    <t>Dirty &amp; oily mark..L.test.</t>
  </si>
  <si>
    <t>Stop 11.15am.C/order.</t>
  </si>
  <si>
    <t>JJ63-1000-E-R-CL</t>
  </si>
  <si>
    <t>Start 4.30pm.Run well</t>
  </si>
  <si>
    <t>Water mark.Mc stop hot runner water leaking &amp; hr nozzle barrel problem.</t>
  </si>
  <si>
    <t>Under mntc hr barrel &amp; injection charging problem.</t>
  </si>
  <si>
    <t>YUANESWARY</t>
  </si>
  <si>
    <t>Base lumpy .L.test.</t>
  </si>
  <si>
    <t>Base lumpy &amp; cloudy.</t>
  </si>
  <si>
    <t>KALAMUDIN/SHAHID</t>
  </si>
  <si>
    <t>New base mould 4.</t>
  </si>
  <si>
    <t>NITESH/SHESHNATH</t>
  </si>
  <si>
    <t>New base mould 3.</t>
  </si>
  <si>
    <t>Base deform.</t>
  </si>
  <si>
    <t>MOGANA/RAIS/HABIRAMI</t>
  </si>
  <si>
    <t>IRSAD/KAVITHA</t>
  </si>
  <si>
    <t>Under tech adjust base deform.</t>
  </si>
  <si>
    <t>Base soft &amp; lumphy.</t>
  </si>
  <si>
    <t>Sample.</t>
  </si>
  <si>
    <t>Black dot.L.test.Stop 6.45pm.C/order.</t>
  </si>
  <si>
    <t>White mark.Stop 4pm.Hot runner material leaking.</t>
  </si>
  <si>
    <t>Blockage.wavy.</t>
  </si>
  <si>
    <t>WIYAH/NITESH</t>
  </si>
  <si>
    <t>Lip dirty.L.test.</t>
  </si>
  <si>
    <t>Start 1pm.Run well.Stop 7pm.Injection charging problem.</t>
  </si>
  <si>
    <t>FARAH/SHAHID</t>
  </si>
  <si>
    <t>PUNES/RAM</t>
  </si>
  <si>
    <t>Thickness &amp; height out spec.Stop 3.15pm.under tech.quality issue.</t>
  </si>
  <si>
    <t>Bottle stuck sometimes.Silver mark.</t>
  </si>
  <si>
    <t>Under tech.Go and no go out spec.</t>
  </si>
  <si>
    <t>Start 11am.L.test.</t>
  </si>
  <si>
    <t>BC28-0400-R-R-CL</t>
  </si>
  <si>
    <t>Under QC thickness Checking machine problem.</t>
  </si>
  <si>
    <t>Under tech hot runner material leaking.start 9.30pm.</t>
  </si>
  <si>
    <t>KAVITHA/RAIS/IRSAD</t>
  </si>
  <si>
    <t>Under mntc barrel pressure problem.</t>
  </si>
  <si>
    <t>NIPU/MOGANA</t>
  </si>
  <si>
    <t>Under tech qadjust wvay.</t>
  </si>
  <si>
    <t>Under tech.quality issue.Thickness &amp; height out spec.</t>
  </si>
  <si>
    <t>HAS/ASMULAH</t>
  </si>
  <si>
    <t>Start 10am.Run well.L.test.</t>
  </si>
  <si>
    <t>Bottle cloudy.stop 1hrs by tech</t>
  </si>
  <si>
    <t>PUNES/DIPAK</t>
  </si>
  <si>
    <t>Wavy &amp; water mark.Injection core leaking.</t>
  </si>
  <si>
    <t>Restart 11.30am.mc stop sometimes bottle stuck.</t>
  </si>
  <si>
    <t>Under tech.Quality issue.Thickness &amp; height out spec.</t>
  </si>
  <si>
    <t>Under tech.Quality issue.Go no go out spec.</t>
  </si>
  <si>
    <t>Base defrom &amp;lumphy,sometime botlle stuck</t>
  </si>
  <si>
    <t>Tech adjust wavy</t>
  </si>
  <si>
    <t>HAS/HABIRAMI</t>
  </si>
  <si>
    <t>Wavy</t>
  </si>
  <si>
    <t>JJ63-0400-SH-S-CL</t>
  </si>
  <si>
    <t>JALALUDIN/BINOD</t>
  </si>
  <si>
    <t>C/order,white mark</t>
  </si>
  <si>
    <t>Lumphy&amp; gate off center</t>
  </si>
  <si>
    <t>NIPU/NIRAJAN</t>
  </si>
  <si>
    <t>INDRA/DILIP</t>
  </si>
  <si>
    <t>Lip flashing stop 9.30am.Qc on hold 11ctn.</t>
  </si>
  <si>
    <t>ZAM/FARAH/WIYAH</t>
  </si>
  <si>
    <t>Wavy,discolour</t>
  </si>
  <si>
    <t>INDRA</t>
  </si>
  <si>
    <t>Charging problem.Stop 9.30am.</t>
  </si>
  <si>
    <t>THURGA/WIYAH</t>
  </si>
  <si>
    <t>THURGA/DILIP</t>
  </si>
  <si>
    <t>Under tech.Quality issue.Thickness &amp; height out spec.Restart 6.15pm</t>
  </si>
  <si>
    <t>OSHI/SHESHNATH</t>
  </si>
  <si>
    <t xml:space="preserve">Under tech quality issue lip flashing </t>
  </si>
  <si>
    <t>BINOD/RAIS</t>
  </si>
  <si>
    <t>Tech adjust silver streak &amp; White mark</t>
  </si>
  <si>
    <t>HAS/JALALUDIN</t>
  </si>
  <si>
    <t xml:space="preserve">Under startup start 9.30pm </t>
  </si>
  <si>
    <t>JALALUDIN/HAS</t>
  </si>
  <si>
    <t>Stop 9.30pm.L.test.</t>
  </si>
  <si>
    <t>SUZITA</t>
  </si>
  <si>
    <t>Under tech heater &amp; nozzle problem.</t>
  </si>
  <si>
    <t>NIRAJAN/ASMULAH</t>
  </si>
  <si>
    <t>Bottle scratches.L.test.</t>
  </si>
  <si>
    <t>Lip flashing.Restart 5pm.Run well.</t>
  </si>
  <si>
    <t>White mark &amp; sometimes crack.</t>
  </si>
  <si>
    <t>Black dot.</t>
  </si>
  <si>
    <t>KALAMUDIN/PUNES</t>
  </si>
  <si>
    <t>Hot runner heater problem.Restart 5.30pm.</t>
  </si>
  <si>
    <t>Under tech.Neck height.</t>
  </si>
  <si>
    <t>Topup reject sorting.</t>
  </si>
  <si>
    <t>SHESHNATH/JIWAN</t>
  </si>
  <si>
    <t>Tech adjsut whate mark drooling</t>
  </si>
  <si>
    <t>Under tec stop 11.40pm  white mark normal paper change.start 12.25am</t>
  </si>
  <si>
    <t>RAIS/NIRAJAN/HABIRAMI</t>
  </si>
  <si>
    <t>HAS/MOGANA</t>
  </si>
  <si>
    <t>Stop 12am.C/order.</t>
  </si>
  <si>
    <t>JJ63-0600OT-CL-HCSB-PET</t>
  </si>
  <si>
    <t>No standby mould.</t>
  </si>
  <si>
    <t>JALALUDIN/KAVITHA/MOGANA</t>
  </si>
  <si>
    <t>Under tech stop 4am quality issuss thickness oss 30ctn qc onhold.</t>
  </si>
  <si>
    <t>Tech adjust Base deform.</t>
  </si>
  <si>
    <t>Base soft.Lumphy.L.test.</t>
  </si>
  <si>
    <t>ASMULA/NIPU</t>
  </si>
  <si>
    <t>BX38-2000-HR-R-CL(RED)(ASEM)</t>
  </si>
  <si>
    <t>RAM/KAIMULLAH</t>
  </si>
  <si>
    <t>Start 10.30am.Base deform &amp; drooling.</t>
  </si>
  <si>
    <t>Thickness.Restart 6pm.L.test.</t>
  </si>
  <si>
    <t>Base lumpy &amp; shot moulding.</t>
  </si>
  <si>
    <t>JIWAN/KALAMUDIN</t>
  </si>
  <si>
    <t>Stop 11.30pm.C/order.</t>
  </si>
  <si>
    <t>BC28-0060-M-R-WH-HW</t>
  </si>
  <si>
    <t>Under tech quality issue line mark.</t>
  </si>
  <si>
    <t>BHOLA/NIPU/RAIS</t>
  </si>
  <si>
    <t>JALALUDIN/MOGANA</t>
  </si>
  <si>
    <t>Stop 5.20am C/order.</t>
  </si>
  <si>
    <t>Mould no standby</t>
  </si>
  <si>
    <t>Under tech adjust neck dented &amp; lumphy.</t>
  </si>
  <si>
    <t>Gate off center base soft.L.test.</t>
  </si>
  <si>
    <t>BC28-1200-K-R-CL</t>
  </si>
  <si>
    <t>BX38-2000-HR-R-CL(GREEN)(ASEM)</t>
  </si>
  <si>
    <t>Sample 50pcs.</t>
  </si>
  <si>
    <t>BX28-2000-B2M2-S-CL(GREEN)(ASEM)</t>
  </si>
  <si>
    <t>PUNES/SHESHNATH</t>
  </si>
  <si>
    <t>Start 11am.Run well.L.test.</t>
  </si>
  <si>
    <t>Stop 9.30am.C/order.</t>
  </si>
  <si>
    <t>BX38-1000-RH-R-CL-WHT-ASEM</t>
  </si>
  <si>
    <t>body sift.L.test.</t>
  </si>
  <si>
    <t xml:space="preserve"> NA</t>
  </si>
  <si>
    <t>RAIS/JALALUDIN</t>
  </si>
  <si>
    <t>Stop 10.40pm C/order.</t>
  </si>
  <si>
    <t>BC28-0280-HD-R-CL-LW</t>
  </si>
  <si>
    <t>Under tech quality issue base deform.white mark.</t>
  </si>
  <si>
    <t>Start 1.30am.</t>
  </si>
  <si>
    <t>Stop 9pm C/order.</t>
  </si>
  <si>
    <t>BCY28-0500-TR-R-CL</t>
  </si>
  <si>
    <t>Under tech blow core problem.</t>
  </si>
  <si>
    <t>BAHIRAMI/MOGANA</t>
  </si>
  <si>
    <t>BHOLA/NIRAJAN</t>
  </si>
  <si>
    <t>Droolling.L.test.</t>
  </si>
  <si>
    <t>Under tech quality issue scratches.</t>
  </si>
  <si>
    <t>Under tech quality issue parting line mark.</t>
  </si>
  <si>
    <t>ASMULAH/NIPU</t>
  </si>
  <si>
    <t>Start am.Base gate off center &amp; deform.</t>
  </si>
  <si>
    <t>BX38-0330-LJ-R-CL</t>
  </si>
  <si>
    <t>Under tech thickness &amp; height.</t>
  </si>
  <si>
    <t>SUMATHI/PUNES</t>
  </si>
  <si>
    <t>FARAH/WIYAH/SHAHID</t>
  </si>
  <si>
    <t>Body scratches.Start 11am.</t>
  </si>
  <si>
    <t>Mould sent repair.</t>
  </si>
  <si>
    <t>Under tech quality issue neck flashing</t>
  </si>
  <si>
    <t>MOGANA/IRSAD</t>
  </si>
  <si>
    <t>Under tech stop sensor problem.white mark gate off center.L.test.</t>
  </si>
  <si>
    <t>Under tech adjust drooling white mark stop 9.30pm normal paper change.Start 11pm</t>
  </si>
  <si>
    <t>Under tech startup</t>
  </si>
  <si>
    <t>Tech adjsut Line mark base deform</t>
  </si>
  <si>
    <t>Drooiling.</t>
  </si>
  <si>
    <t>HABIRAMI/KAVITHA</t>
  </si>
  <si>
    <t>Drooiling.L.test.</t>
  </si>
  <si>
    <t>Mould send repair.</t>
  </si>
  <si>
    <t>BB38-2000-HR-R-CL(RED) (ASEM)</t>
  </si>
  <si>
    <t>Neck dented.Restart 12pm.White mark 7 base deform.</t>
  </si>
  <si>
    <t>FARAH/SUMATHUI</t>
  </si>
  <si>
    <t>base deform.</t>
  </si>
  <si>
    <t>Under tech.Thickness.</t>
  </si>
  <si>
    <t>BC28-0500-CSD-R-CL</t>
  </si>
  <si>
    <t>Start 12.30pm.Body dented.</t>
  </si>
  <si>
    <t>Start 6.45pm.</t>
  </si>
  <si>
    <t>REVATHI</t>
  </si>
  <si>
    <t>base lumpy.L.test.</t>
  </si>
  <si>
    <t>Mould repair.</t>
  </si>
  <si>
    <t>Stop 4.45pm.Change base mould.</t>
  </si>
  <si>
    <t>BC28-0090-D-APH-5040-0735-PP-6 NOTCHES(NON LOGO)</t>
  </si>
  <si>
    <t>Under qc buy offf</t>
  </si>
  <si>
    <t>NIKHIL/KAVITHAH</t>
  </si>
  <si>
    <t>Under tech stop 9.20pm hot runner clean.start 12am.Drooling.</t>
  </si>
  <si>
    <t>Drooling lupmhy.morring shift 4ctn qc onhold dented.</t>
  </si>
  <si>
    <t>HABIRAMI/NIPU</t>
  </si>
  <si>
    <t>Under tech stop 2.30am water leaking.Start 2.50am.Drooling.</t>
  </si>
  <si>
    <t>White mark drooling oil mark.L.test.</t>
  </si>
  <si>
    <t>Under tech body gap.</t>
  </si>
  <si>
    <t>Under tech.Thickness.Start 11.20am.Run well.</t>
  </si>
  <si>
    <t>Run well.C j/o.</t>
  </si>
  <si>
    <t>KALAMUDIN/YUANES</t>
  </si>
  <si>
    <t>Black dot.L.test.C j/o</t>
  </si>
  <si>
    <t>KALAMODIN</t>
  </si>
  <si>
    <t>Start 10.30am.L.test.</t>
  </si>
  <si>
    <t>Under qc buy offf.Start 12.30pm.Run well.</t>
  </si>
  <si>
    <t>YUANESWARY/NITESH</t>
  </si>
  <si>
    <t>Stop 11.30am go no go problem.L.test.</t>
  </si>
  <si>
    <t>BHOLA/NIKHIL</t>
  </si>
  <si>
    <t>KALAI/KAVITHA</t>
  </si>
  <si>
    <t>JALALUDIN/SUZITA</t>
  </si>
  <si>
    <t>White mark drooling.L.test.</t>
  </si>
  <si>
    <t>Stop 11.20pm.C/order.</t>
  </si>
  <si>
    <t>Under tech quality issue thickness out &amp; shot moulding.</t>
  </si>
  <si>
    <t>Mc sometime  bottle stuck lip.L.test.tech adjust white mark</t>
  </si>
  <si>
    <t>NIRAJAN/BINOD</t>
  </si>
  <si>
    <t>SHESHNATH/DILIP</t>
  </si>
  <si>
    <t>Burr.L.test.</t>
  </si>
  <si>
    <t>BINOD/IRSAD</t>
  </si>
  <si>
    <t>NIRAJAN/KAVITHA</t>
  </si>
  <si>
    <t>BHOLA/KALAI</t>
  </si>
  <si>
    <t>IRASD</t>
  </si>
  <si>
    <t>BB38-0500-R-R-WH</t>
  </si>
  <si>
    <t>Tech mould change.</t>
  </si>
  <si>
    <t>KAVITHA/KALAI/NEW PACKER</t>
  </si>
  <si>
    <t>Gate offf center.L.test.</t>
  </si>
  <si>
    <t>KAVITHA/NEW PACKER</t>
  </si>
  <si>
    <t>Under tech mould change.startup.</t>
  </si>
  <si>
    <t>NIRAJAN/JALALUDIN</t>
  </si>
  <si>
    <t>Under mntc stop chiller problem.start 1pm</t>
  </si>
  <si>
    <t>YUNES</t>
  </si>
  <si>
    <t>Neck flashing.L.test.</t>
  </si>
  <si>
    <t>Under tech quality issue stop 9.30am thread damge.</t>
  </si>
  <si>
    <t>JALALAUDIN</t>
  </si>
  <si>
    <t>Base soft  black dot.L.test.</t>
  </si>
  <si>
    <t>NIPU/NIKHIL/ASMULAH</t>
  </si>
  <si>
    <t>Under tech.Thickness.Start 5.30am.</t>
  </si>
  <si>
    <t>Start 11.30pm.Oily mark &amp; hole.L.test.</t>
  </si>
  <si>
    <t>Start 10pm.Stop 12.05am.thickness out.Qc onhold 2plt 3tray.</t>
  </si>
  <si>
    <t>Body gap.On hold 2plt by qc.L.test.</t>
  </si>
  <si>
    <t>Shot moulding at thread area.l.test.</t>
  </si>
  <si>
    <t>OSHI/NITESH</t>
  </si>
  <si>
    <t>Start 7.10am.</t>
  </si>
  <si>
    <t>THENMALI</t>
  </si>
  <si>
    <t>Stop 1.30pm.</t>
  </si>
  <si>
    <t>NEW PACKER</t>
  </si>
  <si>
    <t>BC28-0130-R-R-AM</t>
  </si>
  <si>
    <t>BINOD/THENMALI</t>
  </si>
  <si>
    <t>YUANES</t>
  </si>
  <si>
    <t>YUANE</t>
  </si>
  <si>
    <t>Under tech blockage.L.test.</t>
  </si>
  <si>
    <t>KAVITHA/ASMULAH</t>
  </si>
  <si>
    <t>Under tech thickness out.night shift Qc onhold 2plt 3tray.start 12.30pm</t>
  </si>
  <si>
    <t>Under tech body gap qc onhold machine run.</t>
  </si>
  <si>
    <t>NIKHIL/IRSAD/NIRAJAN</t>
  </si>
  <si>
    <t>Dirty.</t>
  </si>
  <si>
    <t>Tie bar upper mould gap.Under mntc.</t>
  </si>
  <si>
    <t>Bottle dirty &amp; crack sometimes</t>
  </si>
  <si>
    <t>THURGA/RAM</t>
  </si>
  <si>
    <t>White mark.l.test.stop 3.30am.C/order.</t>
  </si>
  <si>
    <t>load mtrl 4.15am.</t>
  </si>
  <si>
    <t>Neck bulging.L.test.</t>
  </si>
  <si>
    <t>Thread shot moulding.</t>
  </si>
  <si>
    <t>Qc on hold 2plt.</t>
  </si>
  <si>
    <t>Restart 1.30am.L.test.</t>
  </si>
  <si>
    <t>Lip burr cav 3.under tech allingment blow core.</t>
  </si>
  <si>
    <t>ASMULAH/RAIS</t>
  </si>
  <si>
    <t>Tie bar upper mould gap.Under mntc.Start 1.20pm.stop body dented &amp; base deform.start 5pm</t>
  </si>
  <si>
    <t>Under tech stop 10.50am blockage problem.start3pm</t>
  </si>
  <si>
    <t>Under tech stop normax paper change.Sometime sensor problem.</t>
  </si>
  <si>
    <t>Bottle dirty.L.test</t>
  </si>
  <si>
    <t>BINOD/RAIS/JALALUDIN/BHOLA</t>
  </si>
  <si>
    <t>Under tech start 10am stop 11.45am under mntc oil leaking start 12.15pm</t>
  </si>
  <si>
    <t>HABIRAMI/MOGANA/JALAUDIN</t>
  </si>
  <si>
    <t>Black dot.L.test</t>
  </si>
  <si>
    <t>Under tech adjust solder.</t>
  </si>
  <si>
    <t>Under tech adjust shot moulding.</t>
  </si>
  <si>
    <t>YAMIRITHA</t>
  </si>
  <si>
    <t>Stop 8.00pm C/order.</t>
  </si>
  <si>
    <t>BX38-0350-Z-C-CL</t>
  </si>
  <si>
    <t>Change mould.Start 11.45pm.White mark.</t>
  </si>
  <si>
    <t>SHESHNATH/KAIMULLAH</t>
  </si>
  <si>
    <t>Black dot,oily.L.test.</t>
  </si>
  <si>
    <t>Dented.</t>
  </si>
  <si>
    <t>Run well .L.test</t>
  </si>
  <si>
    <t>NAGIN/BINOD/DILIP</t>
  </si>
  <si>
    <t>KALAI/RAIS</t>
  </si>
  <si>
    <t>Black dot.oily</t>
  </si>
  <si>
    <t>Run well.l.test</t>
  </si>
  <si>
    <t>NAGIN</t>
  </si>
  <si>
    <t>RAM/SHESHNATH</t>
  </si>
  <si>
    <t>Lip testing T1C,TC2,TC3 and TC4</t>
  </si>
  <si>
    <t>BB38-1000-HC-S-CL</t>
  </si>
  <si>
    <t>Under tech startup 5.10pm.L.test.</t>
  </si>
  <si>
    <t>MOGANA/JALALUDIN</t>
  </si>
  <si>
    <t>THUMALI</t>
  </si>
  <si>
    <t>Sometime hole.L.test.</t>
  </si>
  <si>
    <t>Under tech stop 2.20pm hot runner material leaking.</t>
  </si>
  <si>
    <t>Yellow wish Black dot.L.test.</t>
  </si>
  <si>
    <t>VAMIRITHA</t>
  </si>
  <si>
    <t>White mark &amp; drooling.tech change nomex paper.</t>
  </si>
  <si>
    <t>Gate off center &amp; base crack.Tech polish core cav #4.</t>
  </si>
  <si>
    <t>Base crack somettimes &amp; dirty.L.test.</t>
  </si>
  <si>
    <t>SHAHID/SHESHNATH</t>
  </si>
  <si>
    <t>Restart 10.30pm.Oily mark.</t>
  </si>
  <si>
    <t>Gate off center &amp; base cloudy.l.test.</t>
  </si>
  <si>
    <t>Stop 12.15am.C/order.</t>
  </si>
  <si>
    <t>BX38-1500-H-R-CL-LW(WHITE) (ASEM)</t>
  </si>
  <si>
    <t>Under tech.Base deform.</t>
  </si>
  <si>
    <t>Run well.L.test.Inward from sorting.</t>
  </si>
  <si>
    <t>Run well.L.test.Stop 3.45am.C/order.</t>
  </si>
  <si>
    <t>Bubble.L.test.</t>
  </si>
  <si>
    <t>RAIS/KAVITHA</t>
  </si>
  <si>
    <t>Hole.L.test.</t>
  </si>
  <si>
    <t>ASMULAH/HABIRAMI/JALALUDIN</t>
  </si>
  <si>
    <t>Drop bottle dirty.</t>
  </si>
  <si>
    <t>MOGNA/BIOD</t>
  </si>
  <si>
    <t>oily mark discolour.</t>
  </si>
  <si>
    <t>JALALUDIN/MOGANA/BINOD</t>
  </si>
  <si>
    <t>Under tech quality issue gate off center.start 8.3am</t>
  </si>
  <si>
    <t>Under mntc stop 9.15am air problem.start 12.25pm</t>
  </si>
  <si>
    <t>Under tech sensor problem.L.test.</t>
  </si>
  <si>
    <t>Under tech quality issue body gap.</t>
  </si>
  <si>
    <t>THANMALI</t>
  </si>
  <si>
    <t>White mark &amp; crack.Stop 12.45am.Barrel mtrl leaking.Restart 5am.</t>
  </si>
  <si>
    <t>Base crack sometimes.</t>
  </si>
  <si>
    <t>PUNES/JIWAN</t>
  </si>
  <si>
    <t>RAM/KALAMUDIN</t>
  </si>
  <si>
    <t>Stop 1.30am.c/order.</t>
  </si>
  <si>
    <t>JJ63-0240-RS-R-CL</t>
  </si>
  <si>
    <t>SHAHID/SUMATHI</t>
  </si>
  <si>
    <t>Dirty &amp; discolour.</t>
  </si>
  <si>
    <t>Base lumpy &amp; blockage.C/order.</t>
  </si>
  <si>
    <t>Base lumpy &amp; blockage.</t>
  </si>
  <si>
    <t>DiscolourL.test.</t>
  </si>
  <si>
    <t>Under tech.Body gap.</t>
  </si>
  <si>
    <t>THAMALI</t>
  </si>
  <si>
    <t>Stop 11.40am</t>
  </si>
  <si>
    <t>Start 6pm.</t>
  </si>
  <si>
    <t>KAVITHA/JALALUDIN</t>
  </si>
  <si>
    <t>Under tech adjustment base soft white mark start 10.30am.</t>
  </si>
  <si>
    <t>RAIS/YUNES</t>
  </si>
  <si>
    <t>Under tech sometime blockage.lumphy.</t>
  </si>
  <si>
    <t>ASMULAH/IRSAD</t>
  </si>
  <si>
    <t>BB38-1000-R-R-WH-HW</t>
  </si>
  <si>
    <t>Start 3am.Discolour.</t>
  </si>
  <si>
    <t>White mark &amp; drooling.</t>
  </si>
  <si>
    <t>Mc stop sometimes cycle alarm.</t>
  </si>
  <si>
    <t>Discolour &amp; dirty.</t>
  </si>
  <si>
    <t>ZAM/PUNES/FARAH</t>
  </si>
  <si>
    <t>Often mc stop bottle stuck.Base lumpy.</t>
  </si>
  <si>
    <t>Start 9.30pm.Run well.L.test.</t>
  </si>
  <si>
    <t>BAHIRAMI</t>
  </si>
  <si>
    <t>Oliy mark.</t>
  </si>
  <si>
    <t>CHANDAN/KAVITHA</t>
  </si>
  <si>
    <t>drooling.</t>
  </si>
  <si>
    <t>Under tech adjustment base soft white mark.L.test.</t>
  </si>
  <si>
    <t>BAHIRAMI/NIRAJAN</t>
  </si>
  <si>
    <t>MOGANA/RAIS/NIPU</t>
  </si>
  <si>
    <t>Stop 7.30pm.C/order.</t>
  </si>
  <si>
    <t>BAA28-0265-AA-SCC-CL</t>
  </si>
  <si>
    <t>Qc no master sample</t>
  </si>
  <si>
    <t>Gate off center.Under tech change nomex paper.</t>
  </si>
  <si>
    <t>PUNES/ZAM</t>
  </si>
  <si>
    <t>Stop 1.30am.C/order.</t>
  </si>
  <si>
    <t>JJ63-0310-R-R-WH</t>
  </si>
  <si>
    <t>Load mtrl 2.30am.</t>
  </si>
  <si>
    <t>JIWAN/WIYAH/SUMATHI</t>
  </si>
  <si>
    <t>Gate off center..</t>
  </si>
  <si>
    <t>Yellowish(mtrl over heat).L.test.</t>
  </si>
  <si>
    <t>Under tech quality issue flashing start 2.50pm.</t>
  </si>
  <si>
    <t>Droolling.</t>
  </si>
  <si>
    <t>White mark gate off center.</t>
  </si>
  <si>
    <t>Under tech quality issue base not clear.start 2pm.</t>
  </si>
  <si>
    <t>MOGANA/NIRAJAN/KAVITHA</t>
  </si>
  <si>
    <t>Leat test sometime problem bottle drop.L.test.</t>
  </si>
  <si>
    <t>Under tech stop 4.10pm Qc onhold 35ctn body gap.70.18c</t>
  </si>
  <si>
    <t>Gate off center&amp; deform.Strech rode bend.</t>
  </si>
  <si>
    <t>ZAM/SHESHNATH</t>
  </si>
  <si>
    <t>WIYAH/DIPAK</t>
  </si>
  <si>
    <t>Discolou &amp; dirty.</t>
  </si>
  <si>
    <t>Under tech .body gap.</t>
  </si>
  <si>
    <t>MOGAN/HABIRAMI</t>
  </si>
  <si>
    <t>Tech adjust Silver streak gate off center.</t>
  </si>
  <si>
    <t>RAIS/CHANDAN</t>
  </si>
  <si>
    <t>Order.</t>
  </si>
  <si>
    <t>C/order.4ctn cant scan.</t>
  </si>
  <si>
    <t>KAVITHA/NIKHIL</t>
  </si>
  <si>
    <t>BB38-0250-S-S-CL</t>
  </si>
  <si>
    <t>Under tech.start up.</t>
  </si>
  <si>
    <t>THEMOLI</t>
  </si>
  <si>
    <t>Stop 2pm.C/order.</t>
  </si>
  <si>
    <t>JJ63-0310-R-AM</t>
  </si>
  <si>
    <t>Run well.Stop 5.45pm.C/order.</t>
  </si>
  <si>
    <t xml:space="preserve">Run well.L.test.Stop </t>
  </si>
  <si>
    <t>Stop 12.30pm.C/order.</t>
  </si>
  <si>
    <t>Start 3pm.gate off center.</t>
  </si>
  <si>
    <t>Under tech quality issue wvay &amp; sratches.start 2am gate off center.</t>
  </si>
  <si>
    <t>Stop 12.50am</t>
  </si>
  <si>
    <t>Under tech quality issue thickness problem.start 9.30pm.</t>
  </si>
  <si>
    <t>Under tech mould change.qc not accept colour colour same old masterbatch.stop new material mix loading.4am.under qc down time 5hr</t>
  </si>
  <si>
    <t>Tech startup.start 1am</t>
  </si>
  <si>
    <t>Mould Repair</t>
  </si>
  <si>
    <t>MOGANA/RAIS/ASMULAH</t>
  </si>
  <si>
    <t>Tech adjust line mark.</t>
  </si>
  <si>
    <t>Bottle height below spec.</t>
  </si>
  <si>
    <t>under mntc.Charging problem.</t>
  </si>
  <si>
    <t>under tech.Thickness out spec.</t>
  </si>
  <si>
    <t>FARAH/ZAM</t>
  </si>
  <si>
    <t>Colour not match with qc sample..</t>
  </si>
  <si>
    <t>Gate off center &amp; discolour.</t>
  </si>
  <si>
    <t>VAMIRTHA</t>
  </si>
  <si>
    <t>Shining mark.L.test.</t>
  </si>
  <si>
    <t>Under teck.Thickness out spec</t>
  </si>
  <si>
    <t>C/order 7pm</t>
  </si>
  <si>
    <t>Mould change.</t>
  </si>
  <si>
    <t>White mark discolour,stop 5.30am material leaking</t>
  </si>
  <si>
    <t>Start  time 3.15am</t>
  </si>
  <si>
    <t>Body soff</t>
  </si>
  <si>
    <t>KAVITHAH/NIPU</t>
  </si>
  <si>
    <t>Lumphy</t>
  </si>
  <si>
    <t>Body gap.L.test.qc on hold 46 ctn</t>
  </si>
  <si>
    <t>Start time  11.30pmt.L.test</t>
  </si>
  <si>
    <t>SHAHID/RAM</t>
  </si>
  <si>
    <t>Start 1pm.L.test.</t>
  </si>
  <si>
    <t>Hot runner mtrl leaking.Restart 3.30pm.</t>
  </si>
  <si>
    <t>RAM/SHAHID/PUNES</t>
  </si>
  <si>
    <t>Cav 20/25 body gap.Mc stop 11.30am.hot runner service.</t>
  </si>
  <si>
    <t>Base lumpy.</t>
  </si>
  <si>
    <t>CHANDAN/VICKY</t>
  </si>
  <si>
    <t>JALALUDIN/RAIS/NIRAJAN</t>
  </si>
  <si>
    <t>C/order.10pm</t>
  </si>
  <si>
    <t>Start 2am.</t>
  </si>
  <si>
    <t>Under tech start up.start 1.30am.body soft gate off center.</t>
  </si>
  <si>
    <t>IRSAD/NIPU</t>
  </si>
  <si>
    <t>Under tech adjust lumphy water mark.</t>
  </si>
  <si>
    <t>Charging problem.Start 5.15pm.</t>
  </si>
  <si>
    <t>ZAM/YUANESWARY</t>
  </si>
  <si>
    <t>Run well.Qc on hold 19ctn.</t>
  </si>
  <si>
    <t>Neck dented.Under tech adjustment.Qc onhold 13ctn.</t>
  </si>
  <si>
    <t>Under tech service hot runner.</t>
  </si>
  <si>
    <t>Black dot.L.test.Stop 1pm.Change mould</t>
  </si>
  <si>
    <t>Unde rtech change mould</t>
  </si>
  <si>
    <t>JIWAN/KAIMULLAH</t>
  </si>
  <si>
    <t xml:space="preserve">Blockage. </t>
  </si>
  <si>
    <t>BHOLA/VICKY</t>
  </si>
  <si>
    <t>Stop 10pm material down upper all.clean upper new material loading 11pm start 3am colour sample same qc cant accept.</t>
  </si>
  <si>
    <t>Under tech stop 1.30am hot runner screw broken.start 3pm.silver streak.</t>
  </si>
  <si>
    <t>ASMULAH/NIRAJAN</t>
  </si>
  <si>
    <t>Tech adjustment Lumphy follow mark.L.test.</t>
  </si>
  <si>
    <t>Stop 10am.C/order.</t>
  </si>
  <si>
    <t>Under tech.Height out spec..</t>
  </si>
  <si>
    <t>Start 11.30m.Neck shot moulding.</t>
  </si>
  <si>
    <t>DIPAK/SHAHID</t>
  </si>
  <si>
    <t>Drooling &amp; white mark.</t>
  </si>
  <si>
    <t>Base lumpyL.test.</t>
  </si>
  <si>
    <t>Wavy &amp; gate off center.</t>
  </si>
  <si>
    <t xml:space="preserve">Under tech.Thickness &amp; body gap. </t>
  </si>
  <si>
    <t xml:space="preserve">Under tech </t>
  </si>
  <si>
    <t>Under tech quality issue base deform.start 9.15pm</t>
  </si>
  <si>
    <t>Stop 2am C/order.</t>
  </si>
  <si>
    <t>BX38-0330-Z-S-CL-HW</t>
  </si>
  <si>
    <t>Stop 8.45pm under mntc air pressure problem.start .11.30pm</t>
  </si>
  <si>
    <t>NIRAJAN/VICKY</t>
  </si>
  <si>
    <t>Stop 8.45pm under mntc air pressure problem.start 1.30am.under tech adjust white mark drooling</t>
  </si>
  <si>
    <t>Under tech startup.tech already give bottle qc only byoff.no check.</t>
  </si>
  <si>
    <t>NIKHIL/NIPU</t>
  </si>
  <si>
    <t>Tech adjustment neck line mark.L.test.</t>
  </si>
  <si>
    <t>Tech mould change.No enough hc.</t>
  </si>
  <si>
    <t>SHESHNATH/RAM</t>
  </si>
  <si>
    <t>DILIP/FARAH/THURGA</t>
  </si>
  <si>
    <t>Wavy.</t>
  </si>
  <si>
    <t>DILIP/THURGA</t>
  </si>
  <si>
    <t>Start 2.30am.</t>
  </si>
  <si>
    <t>RAIS/SUZITA/CHANDAN</t>
  </si>
  <si>
    <t>NIPU/NIKHIL</t>
  </si>
  <si>
    <t>Under tech adjust silver streak &amp; line mark.</t>
  </si>
  <si>
    <t>JALALUDIN/IRSAD</t>
  </si>
  <si>
    <t>Run well.L.test.6ctn body gap thickness problem.</t>
  </si>
  <si>
    <t>Under tech quality issue body gap neck height.</t>
  </si>
  <si>
    <t>Tech adjustment lumphy blockage.L.test.</t>
  </si>
  <si>
    <t>Start 3.30pm.Run well.</t>
  </si>
  <si>
    <t>DILIP/DIPAK</t>
  </si>
  <si>
    <t>KAIMULLAH/JIWAN</t>
  </si>
  <si>
    <t>Run well..test.</t>
  </si>
  <si>
    <t>JALALUDIN/HASMUDIN</t>
  </si>
  <si>
    <t>Silver streak &amp; lumphy.</t>
  </si>
  <si>
    <t>Burr neck dented.</t>
  </si>
  <si>
    <t>White mark &amp; b.dot.</t>
  </si>
  <si>
    <t>WIYAH/RAM</t>
  </si>
  <si>
    <t>under tech.Mould repair.</t>
  </si>
  <si>
    <t>Body gap.L.test.Mc stop under wie adjustment.</t>
  </si>
  <si>
    <t>Wavy at shoukder area &amp; base crack.L.test.</t>
  </si>
  <si>
    <t>Under tech stop 9pm hot runner problem.</t>
  </si>
  <si>
    <t>Flashing.</t>
  </si>
  <si>
    <t>NIRAJAN/RAIS</t>
  </si>
  <si>
    <t>Silver streak &amp; wvay.</t>
  </si>
  <si>
    <t>Start 11pm stop 12.30am start 2.am.Under tech quality issue  adjustment base soft body line mark.</t>
  </si>
  <si>
    <t>Under tech stop 7pm lip broken.start 8.20pm.Wavy black dot.</t>
  </si>
  <si>
    <t>PINES</t>
  </si>
  <si>
    <t>Hot runner hr problem.Restart 12pm.Gate off center.</t>
  </si>
  <si>
    <t>GVETHA/SHAHID</t>
  </si>
  <si>
    <t>SHAHID/DEVI</t>
  </si>
  <si>
    <t>DEVI</t>
  </si>
  <si>
    <t>Quality issue.Restart 11am.L.test.</t>
  </si>
  <si>
    <t>Base lumpy..test.</t>
  </si>
  <si>
    <t>Restart 5.45pm.</t>
  </si>
  <si>
    <t>1 Lip qc not accept.mc stop 9.30am.Gate point sharp.Stop 11.30am.Quality issue.</t>
  </si>
  <si>
    <t>SHAHID/GVETHA</t>
  </si>
  <si>
    <t>Stop 7pm.C/order.</t>
  </si>
  <si>
    <t>BC28-0150-A3-Q-CL</t>
  </si>
  <si>
    <t>Under tech quality issue wvay body dot..</t>
  </si>
  <si>
    <t>Wvay.</t>
  </si>
  <si>
    <t>Under tech stop 3am mould dented.sorting 1plt</t>
  </si>
  <si>
    <t>Stop 8pm.C/order.</t>
  </si>
  <si>
    <t>Tech no standby mould.</t>
  </si>
  <si>
    <t>NIPU/VICKY</t>
  </si>
  <si>
    <t>BC28-0060-M-R-CL-LW</t>
  </si>
  <si>
    <t>Tech mould change.pelet no standby.</t>
  </si>
  <si>
    <t>JALALUDIN/RAIS/NIPU</t>
  </si>
  <si>
    <t>Under tech adjustment wvay gate off center.</t>
  </si>
  <si>
    <t>1 Lip qc not accept</t>
  </si>
  <si>
    <t>NIRAJAN/NIKHIL</t>
  </si>
  <si>
    <t>Start 3.45pm.</t>
  </si>
  <si>
    <t>Under tech mould dented.</t>
  </si>
  <si>
    <t>Under tech change mould.full set.</t>
  </si>
  <si>
    <t>Under tech.Injection cav &amp; core leaking.</t>
  </si>
  <si>
    <t>PUNES/YUANESWARY</t>
  </si>
  <si>
    <t>Base deform &amp; wavy.</t>
  </si>
  <si>
    <t>Body wavy.High blow no preasure.Stop 1hr under mntc.</t>
  </si>
  <si>
    <t>Cav 4/6 neck height.Separate packing.L.test.base lumpy.</t>
  </si>
  <si>
    <t>Under tech.Hot runner hr problem.</t>
  </si>
  <si>
    <t>Run well.L.test.neck wvay.</t>
  </si>
  <si>
    <t>MOGANA/HABIRAMI/VICKY</t>
  </si>
  <si>
    <t>Stop 12.20am.Under mntc barrel charging problem</t>
  </si>
  <si>
    <t>Under tech stop 9pm hot runner leaking.start 10.30pm drooling.</t>
  </si>
  <si>
    <t>KAVITHA/</t>
  </si>
  <si>
    <t>Under tech start 8pm.</t>
  </si>
  <si>
    <t>Under tech quality issue body dot…</t>
  </si>
  <si>
    <t>Run well.L.test.wvay.</t>
  </si>
  <si>
    <t>Tech adjsut lumphy.</t>
  </si>
  <si>
    <t>Cav 4/6 neck height.Separate packing.L.test..</t>
  </si>
  <si>
    <t>Under tech.Hot runner hr problem.topup 430pc</t>
  </si>
  <si>
    <t>Bottle dirty &amp; scratches.L.test.</t>
  </si>
  <si>
    <t>charging problem.Restart 12.15pm.base deform.</t>
  </si>
  <si>
    <t>Mc stop 10.30am.Bottle height &amp; mtr leaking hot runner.restart 4.45pm.</t>
  </si>
  <si>
    <t>YUANESWARY/ZAM</t>
  </si>
  <si>
    <t>mould dented.restart 4pm.L.test.</t>
  </si>
  <si>
    <t>Under tech.Injection cav leaking.</t>
  </si>
  <si>
    <t>sumathi/wiyah</t>
  </si>
  <si>
    <t>Mc stop 9.30am.High blow no preasure.Restart 5.30pm.</t>
  </si>
  <si>
    <t>Separate cav 456(NG)123(OK).Bottle height.Stop 4.30pm.Under tech.L.test.</t>
  </si>
  <si>
    <t>Under tech.hot runner problem.</t>
  </si>
  <si>
    <t>Stop 3.10am C/order</t>
  </si>
  <si>
    <t>Material down clean.loading hot material 30mint Under tech quality issue flashing.</t>
  </si>
  <si>
    <t>Drooling. Under tech stop 8.40pm.cavity2 heater problem.</t>
  </si>
  <si>
    <t>VICKY/NIKHIL</t>
  </si>
  <si>
    <t>BX38-0100-BM-R-AM</t>
  </si>
  <si>
    <t>Under tech quality issue flashing</t>
  </si>
  <si>
    <t>NIRAJAN/MOGANA</t>
  </si>
  <si>
    <t>Lumphy drooling.</t>
  </si>
  <si>
    <t>Separate cav 456(NG)123(OK).Bottle height.L.test.</t>
  </si>
  <si>
    <t>Under tech.Hot runner hr problem.tech adjust 22kg nogo clear line mark.start 3.40am</t>
  </si>
  <si>
    <t>Start 7am.discolou &amp; base deform.L.test.</t>
  </si>
  <si>
    <t>UMMAH</t>
  </si>
  <si>
    <t>base deform.Stop 11.30am.C/order.</t>
  </si>
  <si>
    <t>Under tech change mouuld.</t>
  </si>
  <si>
    <t>Hot runner hr #2 temprature problem.</t>
  </si>
  <si>
    <t>Siver streak.L.test.</t>
  </si>
  <si>
    <t>THURGA/ZAM</t>
  </si>
  <si>
    <t>mc stop under tech rotation lock problem.</t>
  </si>
  <si>
    <t>Start 12.30pm.Base flow mark.</t>
  </si>
  <si>
    <t>Base lumpy.l.test.</t>
  </si>
  <si>
    <t>Stop 8.30amQuality isssue.Neck height &amp; base bulging.</t>
  </si>
  <si>
    <t>Base bulging.l.test.</t>
  </si>
  <si>
    <t>Under tech startup start 12am.</t>
  </si>
  <si>
    <t>HABIRAMI/BHOLA</t>
  </si>
  <si>
    <t>IRSAD/JALALUDIN</t>
  </si>
  <si>
    <t>Cycle alarm.</t>
  </si>
  <si>
    <t>Under tech stop 8.40pm.paper change.start 9.30pm.C/order.1am</t>
  </si>
  <si>
    <t>Material down 1.30am clean Material loading 2am.tech startup.</t>
  </si>
  <si>
    <t>VICKY/KAVITHA</t>
  </si>
  <si>
    <t>Tech adjust lumphy drooling white mark line mark</t>
  </si>
  <si>
    <t>Separate cav 456(NG)123(OK).Bottle height.L.test.Start 8.40pm</t>
  </si>
  <si>
    <t>Black dot.l.test.</t>
  </si>
  <si>
    <t>KALAMUDIIN</t>
  </si>
  <si>
    <t>Stop 1.15pm.C/order.</t>
  </si>
  <si>
    <t>BX38-0250-RJ-R-CL-HW</t>
  </si>
  <si>
    <t>Stop 12.45pm.C/order.</t>
  </si>
  <si>
    <t>SUMATHI/FARAH</t>
  </si>
  <si>
    <t>Inward</t>
  </si>
  <si>
    <t>Start 4pm.Run  3cav only.Block cav #1.injection core crack.</t>
  </si>
  <si>
    <t>White mark &amp; Lumpy.tech change nomex paper.</t>
  </si>
  <si>
    <t>Neck Height &amp; body gap.mc stop 9am.Quality issue.</t>
  </si>
  <si>
    <t>KAIMULLAH/SHESHNATH</t>
  </si>
  <si>
    <t>Under tech adjust wvay.</t>
  </si>
  <si>
    <t>Under tech stop 10pm quality issue white mark.</t>
  </si>
  <si>
    <t>Tech adjust wvay White mark neck line mark .</t>
  </si>
  <si>
    <t>NIKHIL/NAGIN/BINOD</t>
  </si>
  <si>
    <t>Run well.L.test.tech adjust shot moulding.</t>
  </si>
  <si>
    <t>Neck Height &amp; body gap.</t>
  </si>
  <si>
    <t>Silver streak.l.test.</t>
  </si>
  <si>
    <t>Heater problem &amp; Thickness problem.</t>
  </si>
  <si>
    <t>stop 7.30pm start 8.30pm Tech adjust White mark drooling.stop normal paper change.</t>
  </si>
  <si>
    <t>RAIS/BHOLA</t>
  </si>
  <si>
    <t>Stop</t>
  </si>
  <si>
    <t>KYWAR/BINOD/NIRAJAN</t>
  </si>
  <si>
    <t>Run well.L.test.dirty.</t>
  </si>
  <si>
    <t>Rotation kock problem.Under mntc.Restart 2pm.B.dot..L.test.</t>
  </si>
  <si>
    <t>Topup loose at warehouse.</t>
  </si>
  <si>
    <t>BB38-2000-H-R-CL(WHITE) (ASEM)</t>
  </si>
  <si>
    <t>Under tech.Lip  &amp; block cant insert.</t>
  </si>
  <si>
    <t>Base lumpy &amp; white mar.Mc stop under tech hot runner shout pin on off open.</t>
  </si>
  <si>
    <t>Run well.l..trest.</t>
  </si>
  <si>
    <t>Under tech.Neck height &amp; body gap.</t>
  </si>
  <si>
    <t>YUNESWARI/DEVI</t>
  </si>
  <si>
    <t>VICKY/SUZITA</t>
  </si>
  <si>
    <t>MOGANA/BAIRAMI/RAIS</t>
  </si>
  <si>
    <t>Mc stop under tech hot runner shout pin on off open.</t>
  </si>
  <si>
    <t>Yellow wish.L.test.</t>
  </si>
  <si>
    <t>Night shift change mould.</t>
  </si>
  <si>
    <t>White mark &amp; gate off center.</t>
  </si>
  <si>
    <t>Start 6.15pm.</t>
  </si>
  <si>
    <t>SUMATHI/DEVI</t>
  </si>
  <si>
    <t>Stop 10.15am.C/order.</t>
  </si>
  <si>
    <t>Under tech.base deform.</t>
  </si>
  <si>
    <t>Under tech.Hot runner shout pin jammed.</t>
  </si>
  <si>
    <t>Under tech hot runner shout pin on off open.</t>
  </si>
  <si>
    <t>YUANESWARY/PUNES</t>
  </si>
  <si>
    <t>Stop 10pm C/order.</t>
  </si>
  <si>
    <t>Start 12.20am.white mark wvay</t>
  </si>
  <si>
    <t>Tech mould change.Start 12.30am stop 1am.under mntc barrel sensor problem.</t>
  </si>
  <si>
    <t>IRSAD/KALAI</t>
  </si>
  <si>
    <t>Under tech.</t>
  </si>
  <si>
    <t>Run well.Stop 4.45pm c/order.</t>
  </si>
  <si>
    <t>Body soft.L.test.</t>
  </si>
  <si>
    <t>TOPUP</t>
  </si>
  <si>
    <t>Topup from loose warehouse.</t>
  </si>
  <si>
    <t>Restart 11.30am flow mark.C/order.</t>
  </si>
  <si>
    <t>YUVABES/ZAM</t>
  </si>
  <si>
    <t>White mark,gate off center.</t>
  </si>
  <si>
    <t>Run well.L.test.C j/o.</t>
  </si>
  <si>
    <t>DEVI/PUVANES</t>
  </si>
  <si>
    <t>Run well.L.test.Stop 12.00pm testing material.</t>
  </si>
  <si>
    <t>Under tech quality issue neck dented.</t>
  </si>
  <si>
    <t>Under tech startup drooluing Start 12am.L.test.</t>
  </si>
  <si>
    <t>Gate off center drooling.</t>
  </si>
  <si>
    <t xml:space="preserve">Stop </t>
  </si>
  <si>
    <t>Under mntc blow mould cylinder.</t>
  </si>
  <si>
    <t>Startup gate off center start 11pm</t>
  </si>
  <si>
    <t>Under tech quality issue thickness spes.</t>
  </si>
  <si>
    <t>Under tech quality issue body gap out.</t>
  </si>
  <si>
    <t>Start 12.00pm.</t>
  </si>
  <si>
    <t>PUVENES/SUMATHI</t>
  </si>
  <si>
    <t>Drooluing.L.test.</t>
  </si>
  <si>
    <t>Body soft &amp; thickness.L.test.</t>
  </si>
  <si>
    <t>DIPAK/JIWAN</t>
  </si>
  <si>
    <t>White mark,thread short moulding.</t>
  </si>
  <si>
    <t>RAM/THURGA</t>
  </si>
  <si>
    <t>RAM/DILIP</t>
  </si>
  <si>
    <t>Run well.L.test.Qc on hold body gap 25ctn(6750)</t>
  </si>
  <si>
    <t>Restart 5.30pm.L.test.</t>
  </si>
  <si>
    <t>run well.</t>
  </si>
  <si>
    <t>BINOD/KAVITHA</t>
  </si>
  <si>
    <t>Under tech qaulity issue dented</t>
  </si>
  <si>
    <t>Under mntc blow mould cylinder.Start 7.10pm quality issue base deform.</t>
  </si>
  <si>
    <t>Under tech adjust base deform and gate off center gate disclour.stop 4am.</t>
  </si>
  <si>
    <t>VICKY/MOGANA/HABIRAMI</t>
  </si>
  <si>
    <t>Yellowish.L.test.</t>
  </si>
  <si>
    <t>Stop 9.00am.C/order.</t>
  </si>
  <si>
    <t xml:space="preserve">Run well.L.test.Stop 5.00pm </t>
  </si>
  <si>
    <t>BINAY</t>
  </si>
  <si>
    <t>Gate off center,body deform,base deform.</t>
  </si>
  <si>
    <t>Body soft &amp; thickness.L.test.Stop 1.00pm.</t>
  </si>
  <si>
    <t>NITESH/RAM</t>
  </si>
  <si>
    <t>BINAY/DIPAK</t>
  </si>
  <si>
    <t>Body soft &amp; thickness.</t>
  </si>
  <si>
    <t>VICKY/BINOD</t>
  </si>
  <si>
    <t>BHOLA/HABIRAMI</t>
  </si>
  <si>
    <t>Stop 11.50am.</t>
  </si>
  <si>
    <t>tech mould change.start 7pm.</t>
  </si>
  <si>
    <t>Under tech stop 8.50am.normax pepar change. Start 11.50am.</t>
  </si>
  <si>
    <t xml:space="preserve">Under tech base </t>
  </si>
  <si>
    <t>Body soft &amp; thickness.start 1.40pm</t>
  </si>
  <si>
    <t>JALALUDIN/MOGANA/KAVITHA</t>
  </si>
  <si>
    <t>Neck white mark.L.test.</t>
  </si>
  <si>
    <t>Under tech quality issue thickness.</t>
  </si>
  <si>
    <t xml:space="preserve">Stop 10am </t>
  </si>
  <si>
    <t>NC0050</t>
  </si>
  <si>
    <t>Sample run</t>
  </si>
  <si>
    <t>Under tech Neck height &amp; body gap.</t>
  </si>
  <si>
    <t>Body deform.Stop 5.00am.</t>
  </si>
  <si>
    <t>Drooling,Water mark.</t>
  </si>
  <si>
    <t>Under tech lip flashing.</t>
  </si>
  <si>
    <t>SUMATHI/WIYAH/SUMATHI</t>
  </si>
  <si>
    <t>Base deform,flashing,discolourL.test.</t>
  </si>
  <si>
    <t>YUVANES</t>
  </si>
  <si>
    <t>Run well.L.test.Stop m/s sample run.</t>
  </si>
  <si>
    <t>DEVI/YUVANES/PUVENES</t>
  </si>
  <si>
    <t>Under tech quality issue body denform.start 10.30am.stop 12.30pm adjustment body denform thickness problem.</t>
  </si>
  <si>
    <t>Under tech body dented.start 5.30pm</t>
  </si>
  <si>
    <t>KAVITHA/JALALUDIN/BHOLA/MOGANA</t>
  </si>
  <si>
    <t>Under tech stop 4pm Blockage.L.test.</t>
  </si>
  <si>
    <t>VICKY/ASMULAH/HABIRAMI</t>
  </si>
  <si>
    <t>Black dot white mark.L.test.</t>
  </si>
  <si>
    <t>Tech stop 8.10am Wvay.start 9.30am tech adjust wvay.</t>
  </si>
  <si>
    <t>Lumphy.L.test.cavity1 body gap.separate packing.</t>
  </si>
  <si>
    <t>Under tech.Body deform.Restart 5.30am</t>
  </si>
  <si>
    <t>PUVANES</t>
  </si>
  <si>
    <t>KALAMODIN/PUVANES/FARAH</t>
  </si>
  <si>
    <t>Water mark,wavy.L.test.</t>
  </si>
  <si>
    <t>JJ63-0310-R-R-BR</t>
  </si>
  <si>
    <t>Gate point black mark,gate off center..L.test.</t>
  </si>
  <si>
    <t>Lumphy.L.test.Stop M1 Complete.</t>
  </si>
  <si>
    <t>Run well.L.test.Start M3</t>
  </si>
  <si>
    <t>DEVI/DIPAK/SUMATHI</t>
  </si>
  <si>
    <t>Lumphy.L.test.cavity1 body gap.separate packing Cav#1 10ctn.</t>
  </si>
  <si>
    <t>Under tech quality issue height problem.</t>
  </si>
  <si>
    <t>Gate off center wvay.L.test.</t>
  </si>
  <si>
    <t>VICKY/JALALUDIN</t>
  </si>
  <si>
    <t xml:space="preserve">Tech change mould </t>
  </si>
  <si>
    <t>Under tect change.start 6.10pm</t>
  </si>
  <si>
    <t>Under tech thickness.start 6pm stop 7pm lip broken.</t>
  </si>
  <si>
    <t>Stop 8.15am Sample M#2 C/oder.</t>
  </si>
  <si>
    <t>Sample M3</t>
  </si>
  <si>
    <t>Under tech neck height problem.</t>
  </si>
  <si>
    <t>Black dopt.L.test.</t>
  </si>
  <si>
    <t>C/oder.Run well.L.test.</t>
  </si>
  <si>
    <t>Under mntc stop 11.15am. Change chiller.</t>
  </si>
  <si>
    <t>Under tech.Thickness &amp; base deform.</t>
  </si>
  <si>
    <t>Under tech.Thickness out spec.</t>
  </si>
  <si>
    <t>Oily mark.L.test.</t>
  </si>
  <si>
    <t>Thread damage.Onhold 21ctn from ms.L.test.</t>
  </si>
  <si>
    <t>Under tech.Lip broken.</t>
  </si>
  <si>
    <t>Sample mould #3.</t>
  </si>
  <si>
    <t>Sample mould #4.</t>
  </si>
  <si>
    <t>Under tech.Neck heght.</t>
  </si>
  <si>
    <t>Under tech quality issue height problem.start 6.10pm</t>
  </si>
  <si>
    <t>KAVITHA/RAIS/</t>
  </si>
  <si>
    <t>Under tech.Thickness out spec.start 11.40am.tech adjust gate off center.</t>
  </si>
  <si>
    <t>BHOLA/VICKY/ASMULAH</t>
  </si>
  <si>
    <t>Under tech stop 4pm flashing.</t>
  </si>
  <si>
    <t>Neck dented.L.test.</t>
  </si>
  <si>
    <t>Under tech  lip broken.start 5pm</t>
  </si>
  <si>
    <t>Under tech neck height problem.Start 9.50am.L.test.</t>
  </si>
  <si>
    <t>IRSAD/MOGANA/BHOLA</t>
  </si>
  <si>
    <t>Yellowis.L.test.</t>
  </si>
  <si>
    <t>Mc stop sometimes.Cycle alarm.oily mark &amp; shot moulding.</t>
  </si>
  <si>
    <t>WIYAH/KAIMULLAH</t>
  </si>
  <si>
    <t>Stop 8.30pm.C/order.</t>
  </si>
  <si>
    <t>Under tech.Lip pflashing</t>
  </si>
  <si>
    <t>Under tech.block injection cav water leaking.</t>
  </si>
  <si>
    <t>WIYAH/SUMATHI/KAIMULLAH</t>
  </si>
  <si>
    <t>Thread damage.Tech adjust ejector.L.test.</t>
  </si>
  <si>
    <t>oil leaking mc stop 12am-1.30am.Drooling.</t>
  </si>
  <si>
    <t>Start 10.15pm.L.test.</t>
  </si>
  <si>
    <t>Base soft.l.test.</t>
  </si>
  <si>
    <t>Stop 8.30am.C/order.</t>
  </si>
  <si>
    <t>Under tech adjust body soft white mark wvay.</t>
  </si>
  <si>
    <t>Under tech.block injection cav water leaking.start 2.25pm.</t>
  </si>
  <si>
    <t>VICKY/MOGANA</t>
  </si>
  <si>
    <t>SUMATHI/RAM</t>
  </si>
  <si>
    <t>WIYAH/ZAM/SHESHNATH</t>
  </si>
  <si>
    <t>Start 4.15am.run well.</t>
  </si>
  <si>
    <t>SUMATHI/DIPAK/RAM</t>
  </si>
  <si>
    <t>Gate off center 7 discolour.</t>
  </si>
  <si>
    <t>Base deform &amp; white mark.Stop 5am.Hot runner mtrl leaking.</t>
  </si>
  <si>
    <t>Run well.L.test.Stop 4.15am.</t>
  </si>
  <si>
    <t>Base defrom</t>
  </si>
  <si>
    <t>ASMULLAH</t>
  </si>
  <si>
    <t>Gate off center &amp; lumphy</t>
  </si>
  <si>
    <t>Discolour &amp; base defrom</t>
  </si>
  <si>
    <t>ASMULLAH/DILIP</t>
  </si>
  <si>
    <t>Discolour.L.test</t>
  </si>
  <si>
    <t>Hot runner material leaking,start 5.10pm</t>
  </si>
  <si>
    <t>SHIVA/BINAY</t>
  </si>
  <si>
    <t>Gate off center &amp; lumpy.Stop 3am.C/order.</t>
  </si>
  <si>
    <t>NITES/ZAM</t>
  </si>
  <si>
    <t>DIPAK/KALAMUDIN</t>
  </si>
  <si>
    <t>NITES</t>
  </si>
  <si>
    <t>KAVITHA/MOGANA/IRSAD</t>
  </si>
  <si>
    <t>Mc somtime stop  blockage.body deform gate off center.</t>
  </si>
  <si>
    <t>Under tech startup start 5.15pm.no enough hc</t>
  </si>
  <si>
    <t>HABIRAMI/RAIS/BINOD</t>
  </si>
  <si>
    <t>Under tech stop 1.45pm barrel material leaking.</t>
  </si>
  <si>
    <t>BINOD/HABIRAMI/RAIS</t>
  </si>
  <si>
    <t>Under tech quality issue parting line mark.Qc onhold 12ctn. Scrap 20ctn 94kg parting line issue.</t>
  </si>
  <si>
    <t>Tech startup start 9.10pm</t>
  </si>
  <si>
    <t>Start 1am.Run well.</t>
  </si>
  <si>
    <t>PUNES/WIYAH</t>
  </si>
  <si>
    <t>PUUNES</t>
  </si>
  <si>
    <t>Often mc stop cycle alarm &amp; blockage.Gate off center.</t>
  </si>
  <si>
    <t>Gate off center &amp; water mark.</t>
  </si>
  <si>
    <t>Under tech start up</t>
  </si>
  <si>
    <t>Stop 12.50pm.C/order.</t>
  </si>
  <si>
    <t>HABIRAMI/HASMUDIN</t>
  </si>
  <si>
    <t>Start 3.30pm</t>
  </si>
  <si>
    <t>SUZITA/NIPU</t>
  </si>
  <si>
    <t>Under mntc stop 12.40pm rotation lock start 5.50pm.</t>
  </si>
  <si>
    <t>KAVITHA/NIPU/MOGANA</t>
  </si>
  <si>
    <t xml:space="preserve">Under mntc bursh </t>
  </si>
  <si>
    <t>VICKY/MOGANA/NIPU</t>
  </si>
  <si>
    <t>Under tech material leaking.</t>
  </si>
  <si>
    <t>Under tech.Hot runner mtrl leaking.start 1pm</t>
  </si>
  <si>
    <t>Under tech stop base problem.</t>
  </si>
  <si>
    <t>Oily mark.</t>
  </si>
  <si>
    <t>White mark &amp; deform.Under tech change nomex paper.</t>
  </si>
  <si>
    <t>Restart 9pm.Often mc stop.cycle alarm.Gate off center.</t>
  </si>
  <si>
    <t>GVETHA/PUNES</t>
  </si>
  <si>
    <t>Blockage.Base deform.</t>
  </si>
  <si>
    <t>SUMATHI/KAIMULLAH</t>
  </si>
  <si>
    <t xml:space="preserve">Start 1am.Wavy &amp; </t>
  </si>
  <si>
    <t>GVETHA</t>
  </si>
  <si>
    <t>Gate off center.l.test.Stop 6am.mtrl finish.</t>
  </si>
  <si>
    <t>Base bulging.L.test.</t>
  </si>
  <si>
    <t>Run well.L.test.Stop 7.20am.mtrl finish.</t>
  </si>
  <si>
    <t>Body panelling.L.test.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</si>
</sst>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Gill Sans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33" borderId="0" xfId="0" applyNumberFormat="1" applyFill="1"/>
    <xf numFmtId="0" fontId="0" fillId="33" borderId="0" xfId="0" applyFill="1"/>
    <xf numFmtId="3" fontId="0" fillId="33" borderId="0" xfId="0" applyNumberFormat="1" applyFill="1"/>
    <xf numFmtId="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1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60DFE278-50BF-446C-AAC6-5FBFE635947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9" formatCode="d/m/yyyy"/>
    </dxf>
  </dxfs>
  <tableStyles count="1" defaultTableStyle="TableStyleMedium2" defaultPivotStyle="PivotStyleLight16">
    <tableStyle name="Invisible" pivot="0" table="0" count="0" xr9:uid="{9F2B6540-F4A2-4013-9276-FF4DB6B801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FC976-8935-4094-B808-6AF51862A99C}" name="Table13" displayName="Table13" ref="A1:AN3054" totalsRowShown="0">
  <autoFilter ref="A1:AN3054" xr:uid="{353FC976-8935-4094-B808-6AF51862A99C}">
    <filterColumn colId="0">
      <filters>
        <dateGroupItem year="2026" month="3" dateTimeGrouping="month"/>
      </filters>
    </filterColumn>
  </autoFilter>
  <tableColumns count="40">
    <tableColumn id="1" xr3:uid="{6973801E-0EF8-4130-9E9A-E326F546E4B9}" name="production_date" dataDxfId="14"/>
    <tableColumn id="2" xr3:uid="{5B7A77A1-55F9-4B71-9F49-C6E1A3E54A47}" name="shift"/>
    <tableColumn id="3" xr3:uid="{B1598EB5-814F-4B27-A6B6-48068EA2F669}" name="id_machine"/>
    <tableColumn id="4" xr3:uid="{BC6FFE5B-9370-40CB-AC89-0892A807B043}" name="packer"/>
    <tableColumn id="5" xr3:uid="{5082C7B4-51BC-4797-B40C-A8BC45D190F2}" name="material"/>
    <tableColumn id="6" xr3:uid="{B536E8B2-9027-4DE8-87CF-2ED3E538F3BC}" name="id_type"/>
    <tableColumn id="7" xr3:uid="{65134CAA-E9D0-407A-A877-91DE0C82BE35}" name="mould" dataDxfId="13"/>
    <tableColumn id="8" xr3:uid="{38C8E440-85BF-42EC-A880-8DDF39B5D687}" name="type"/>
    <tableColumn id="9" xr3:uid="{FE040F84-4BCC-4611-83BA-9728B80505A6}" name="jo_no"/>
    <tableColumn id="10" xr3:uid="{DA8B1B7C-960A-4245-AD15-DF2F18D6E2EF}" name="qty_perct"/>
    <tableColumn id="11" xr3:uid="{26395B3C-4212-4E72-801A-E493C0E813CA}" name="gross_weight"/>
    <tableColumn id="12" xr3:uid="{607A6019-6167-4343-8E0B-AC0A091B1876}" name="part_weight"/>
    <tableColumn id="13" xr3:uid="{628C9129-65F5-4AD4-849B-474D7F053595}" name="shot"/>
    <tableColumn id="14" xr3:uid="{6869EF1F-4D77-4FE7-8059-0C6EE66C576A}" name="qty_order" dataDxfId="12"/>
    <tableColumn id="15" xr3:uid="{20EE817E-4234-4A43-880C-744F37848C2C}" name="wip_opening" dataDxfId="11"/>
    <tableColumn id="16" xr3:uid="{96AB5C12-B989-48D9-AD97-9DEAA04C66B8}" name="wip_closing" dataDxfId="10"/>
    <tableColumn id="17" xr3:uid="{9E0382AF-0ACC-4054-B6D8-3675F17350CF}" name="shift_output" dataDxfId="9"/>
    <tableColumn id="18" xr3:uid="{DFB377AB-72DB-4334-BD4F-FF4F966914FF}" name="finish_good" dataDxfId="8"/>
    <tableColumn id="19" xr3:uid="{A499CE2C-07BD-48D8-8385-9A797C76FD9D}" name="inward"/>
    <tableColumn id="20" xr3:uid="{8AB5C7EF-DD0E-4A57-A018-AA933F750A34}" name="qty_accum" dataDxfId="7"/>
    <tableColumn id="21" xr3:uid="{88A7C388-3B9D-47B7-9C5D-779DC7A9D2EB}" name="qty_balance" dataDxfId="6"/>
    <tableColumn id="22" xr3:uid="{95DC3A48-BD08-4B50-820C-EE68E38A5E41}" name="material_used"/>
    <tableColumn id="23" xr3:uid="{E62B3DE4-B1AC-42EA-ACA3-318205E7BB3C}" name="runner"/>
    <tableColumn id="24" xr3:uid="{2B3C9360-6143-431E-98D1-219CBF732FAA}" name="reject_startup"/>
    <tableColumn id="25" xr3:uid="{8DCC842F-842E-4467-8F9C-4E5FD2BAA0F2}" name="reject_startup_per"/>
    <tableColumn id="26" xr3:uid="{D5C8D4CA-816C-4868-9DD5-4D08AE2C0B3A}" name="reject_prod"/>
    <tableColumn id="27" xr3:uid="{F08DA2E3-E5DD-4058-8F8C-1FD39FF1CD87}" name="reject_prod_per"/>
    <tableColumn id="28" xr3:uid="{FB417C7D-A2BB-4291-A39E-86632024926C}" name="act_ct"/>
    <tableColumn id="29" xr3:uid="{0BABF094-505E-41F6-96A9-B80B89449EFA}" name="production_running"/>
    <tableColumn id="30" xr3:uid="{03DBD2BF-7CCA-4D40-94B0-C6D731A3F1F9}" name="sap_ct"/>
    <tableColumn id="31" xr3:uid="{6A8E20AA-4E94-4B8F-8C16-4FA41C15D4E7}" name=" change_full_set " dataDxfId="5"/>
    <tableColumn id="32" xr3:uid="{8FD2DFCE-1325-4295-ABD8-22B5C63762B6}" name=" change_half_set " dataDxfId="4"/>
    <tableColumn id="33" xr3:uid="{39307052-3160-4847-A489-5BAA9E85CDAB}" name=" change_parts " dataDxfId="3"/>
    <tableColumn id="34" xr3:uid="{F4AD64FE-731F-429C-A067-D7CCA400349F}" name=" maintenance_dt " dataDxfId="2"/>
    <tableColumn id="35" xr3:uid="{2A3F125F-5C78-4253-ABD9-F65172DFD3E2}" name=" technician_dt " dataDxfId="1">
      <calculatedColumnFormula>12 - Table13[[#This Row],[production_running]] - Table13[[#This Row],[ change_full_set ]] - Table13[[#This Row],[ change_half_set ]] - Table13[[#This Row],[ change_parts ]] - Table13[[#This Row],[ maintenance_dt ]] - Table13[[#This Row],[production_dt]]</calculatedColumnFormula>
    </tableColumn>
    <tableColumn id="36" xr3:uid="{A2DCD657-0B70-4D5F-91F8-4B76C53F27C8}" name="production_dt" dataDxfId="0"/>
    <tableColumn id="37" xr3:uid="{F606FCF7-752A-493E-9004-5D94095674FE}" name="remark"/>
    <tableColumn id="38" xr3:uid="{1E33EFFE-4892-41F3-8D04-04ABC285EBAD}" name="reject_purging"/>
    <tableColumn id="39" xr3:uid="{F5F53DFB-F9D4-4525-937E-A3BAC0254CF0}" name="reject_preform"/>
    <tableColumn id="40" xr3:uid="{E7D9BA12-70B0-46B5-82E3-77A1546B2FC7}" name="reject_total_pcs">
      <calculatedColumnFormula>IFERROR(INT(Table13[[#This Row],[reject_prod]]/Table13[[#This Row],[part_weight]] * 1000), 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433B-6826-4D3D-BFE5-3518FDA6F944}">
  <dimension ref="A1:AN3054"/>
  <sheetViews>
    <sheetView tabSelected="1" zoomScaleNormal="100" workbookViewId="0">
      <selection activeCell="G2004" sqref="G2004"/>
    </sheetView>
  </sheetViews>
  <sheetFormatPr defaultRowHeight="14.5"/>
  <cols>
    <col min="1" max="1" width="16.90625" customWidth="1"/>
    <col min="3" max="3" width="12.453125" customWidth="1"/>
    <col min="5" max="5" width="9.81640625" customWidth="1"/>
    <col min="6" max="6" width="9.08984375" customWidth="1"/>
    <col min="10" max="10" width="10.90625" customWidth="1"/>
    <col min="11" max="11" width="13.81640625" customWidth="1"/>
    <col min="12" max="12" width="13" customWidth="1"/>
    <col min="14" max="14" width="11.1796875" customWidth="1"/>
    <col min="15" max="15" width="13.54296875" customWidth="1"/>
    <col min="16" max="16" width="12.453125" customWidth="1"/>
    <col min="17" max="17" width="12.54296875" customWidth="1"/>
    <col min="18" max="18" width="11.90625" customWidth="1"/>
    <col min="19" max="19" width="14.81640625" customWidth="1"/>
    <col min="20" max="20" width="12.6328125" customWidth="1"/>
    <col min="22" max="22" width="19.54296875" customWidth="1"/>
    <col min="24" max="24" width="16.81640625" customWidth="1"/>
    <col min="25" max="25" width="17.36328125" customWidth="1"/>
    <col min="26" max="26" width="15" customWidth="1"/>
    <col min="27" max="27" width="17.453125" customWidth="1"/>
    <col min="28" max="28" width="15.08984375" customWidth="1"/>
    <col min="29" max="29" width="14.90625" customWidth="1"/>
    <col min="30" max="30" width="8.90625" customWidth="1"/>
    <col min="31" max="31" width="14.90625" customWidth="1"/>
    <col min="32" max="32" width="15.54296875" customWidth="1"/>
    <col min="33" max="33" width="16.36328125" customWidth="1"/>
    <col min="35" max="35" width="9.4531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296</v>
      </c>
      <c r="R1" t="s">
        <v>16</v>
      </c>
      <c r="S1" t="s">
        <v>297</v>
      </c>
      <c r="T1" t="s">
        <v>17</v>
      </c>
      <c r="U1" t="s">
        <v>298</v>
      </c>
      <c r="V1" t="s">
        <v>299</v>
      </c>
      <c r="W1" t="s">
        <v>300</v>
      </c>
      <c r="X1" t="s">
        <v>18</v>
      </c>
      <c r="Y1" t="s">
        <v>301</v>
      </c>
      <c r="Z1" t="s">
        <v>19</v>
      </c>
      <c r="AA1" t="s">
        <v>302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</row>
    <row r="2" spans="1:40" hidden="1">
      <c r="A2" s="1">
        <v>46024</v>
      </c>
      <c r="B2">
        <v>1</v>
      </c>
      <c r="C2">
        <v>1</v>
      </c>
      <c r="D2" t="s">
        <v>61</v>
      </c>
      <c r="E2" t="s">
        <v>34</v>
      </c>
      <c r="F2">
        <v>347623</v>
      </c>
      <c r="G2" s="6">
        <v>0</v>
      </c>
      <c r="H2" t="s">
        <v>35</v>
      </c>
      <c r="I2">
        <v>10682194</v>
      </c>
      <c r="J2">
        <v>4</v>
      </c>
      <c r="K2">
        <v>35.6</v>
      </c>
      <c r="L2">
        <v>35.6</v>
      </c>
      <c r="M2">
        <v>1650</v>
      </c>
      <c r="N2" s="2">
        <v>40480</v>
      </c>
      <c r="O2">
        <v>1140</v>
      </c>
      <c r="P2">
        <v>368</v>
      </c>
      <c r="R2" s="2">
        <v>7360</v>
      </c>
      <c r="T2" s="2">
        <v>29808</v>
      </c>
      <c r="X2">
        <v>2</v>
      </c>
      <c r="Z2">
        <v>3.2</v>
      </c>
      <c r="AB2">
        <v>26.4</v>
      </c>
      <c r="AC2">
        <v>12</v>
      </c>
      <c r="AD2">
        <v>27</v>
      </c>
      <c r="AE2" s="7"/>
      <c r="AF2" s="7"/>
      <c r="AG2" s="7"/>
      <c r="AH2" s="7"/>
      <c r="AI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" s="7"/>
      <c r="AK2" t="s">
        <v>51</v>
      </c>
      <c r="AL2">
        <v>3.6</v>
      </c>
      <c r="AM2">
        <v>3</v>
      </c>
      <c r="AN2">
        <f>IFERROR(INT(Table13[[#This Row],[reject_prod]]/Table13[[#This Row],[part_weight]] * 1000), 0)</f>
        <v>89</v>
      </c>
    </row>
    <row r="3" spans="1:40" hidden="1">
      <c r="A3" s="1">
        <v>46024</v>
      </c>
      <c r="B3">
        <v>1</v>
      </c>
      <c r="C3">
        <v>2</v>
      </c>
      <c r="D3" t="s">
        <v>33</v>
      </c>
      <c r="E3" t="s">
        <v>34</v>
      </c>
      <c r="F3">
        <v>416201</v>
      </c>
      <c r="G3" s="6">
        <v>0</v>
      </c>
      <c r="H3" t="s">
        <v>36</v>
      </c>
      <c r="I3">
        <v>10681779</v>
      </c>
      <c r="J3">
        <v>4</v>
      </c>
      <c r="K3">
        <v>20</v>
      </c>
      <c r="L3">
        <v>30</v>
      </c>
      <c r="M3">
        <v>0</v>
      </c>
      <c r="N3" s="2">
        <v>50400</v>
      </c>
      <c r="O3" s="2">
        <v>2940</v>
      </c>
      <c r="P3" s="2">
        <v>2940</v>
      </c>
      <c r="R3">
        <v>0</v>
      </c>
      <c r="T3" s="2">
        <v>13020</v>
      </c>
      <c r="X3">
        <v>0</v>
      </c>
      <c r="Z3">
        <v>0</v>
      </c>
      <c r="AB3">
        <v>0</v>
      </c>
      <c r="AC3">
        <v>0</v>
      </c>
      <c r="AD3">
        <v>38.64</v>
      </c>
      <c r="AE3" s="7"/>
      <c r="AF3" s="7"/>
      <c r="AG3" s="7"/>
      <c r="AH3" s="7"/>
      <c r="AI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" s="7"/>
      <c r="AK3" t="s">
        <v>73</v>
      </c>
      <c r="AL3">
        <v>4.7</v>
      </c>
      <c r="AM3">
        <v>2.5</v>
      </c>
      <c r="AN3">
        <f>IFERROR(INT(Table13[[#This Row],[reject_prod]]/Table13[[#This Row],[part_weight]] * 1000), 0)</f>
        <v>0</v>
      </c>
    </row>
    <row r="4" spans="1:40" hidden="1">
      <c r="A4" s="1">
        <v>46024</v>
      </c>
      <c r="B4">
        <v>1</v>
      </c>
      <c r="C4">
        <v>2</v>
      </c>
      <c r="D4" t="s">
        <v>43</v>
      </c>
      <c r="E4" t="s">
        <v>34</v>
      </c>
      <c r="F4">
        <v>423213</v>
      </c>
      <c r="G4" s="6">
        <v>0</v>
      </c>
      <c r="H4" t="s">
        <v>70</v>
      </c>
      <c r="I4">
        <v>10682754</v>
      </c>
      <c r="J4">
        <v>4</v>
      </c>
      <c r="K4">
        <v>23</v>
      </c>
      <c r="L4">
        <v>23</v>
      </c>
      <c r="M4">
        <v>286</v>
      </c>
      <c r="N4" s="2">
        <v>47244</v>
      </c>
      <c r="O4">
        <v>0</v>
      </c>
      <c r="P4" s="2">
        <v>1143</v>
      </c>
      <c r="R4">
        <v>0</v>
      </c>
      <c r="T4" s="2">
        <v>1143</v>
      </c>
      <c r="X4">
        <v>6</v>
      </c>
      <c r="Z4">
        <v>0.3</v>
      </c>
      <c r="AB4">
        <v>22.4</v>
      </c>
      <c r="AC4">
        <v>1.779555556</v>
      </c>
      <c r="AD4">
        <v>22.5</v>
      </c>
      <c r="AE4" s="7"/>
      <c r="AF4" s="7">
        <v>3.5</v>
      </c>
      <c r="AG4" s="7"/>
      <c r="AH4" s="7"/>
      <c r="AI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6.720444444</v>
      </c>
      <c r="AJ4" s="7"/>
      <c r="AK4" t="s">
        <v>74</v>
      </c>
      <c r="AN4">
        <f>IFERROR(INT(Table13[[#This Row],[reject_prod]]/Table13[[#This Row],[part_weight]] * 1000), 0)</f>
        <v>13</v>
      </c>
    </row>
    <row r="5" spans="1:40" hidden="1">
      <c r="A5" s="1">
        <v>46024</v>
      </c>
      <c r="B5">
        <v>1</v>
      </c>
      <c r="C5">
        <v>3</v>
      </c>
      <c r="D5" t="s">
        <v>62</v>
      </c>
      <c r="E5" t="s">
        <v>34</v>
      </c>
      <c r="F5">
        <v>442034</v>
      </c>
      <c r="G5" s="6">
        <v>0</v>
      </c>
      <c r="H5" t="s">
        <v>37</v>
      </c>
      <c r="I5">
        <v>10681182</v>
      </c>
      <c r="J5">
        <v>4</v>
      </c>
      <c r="K5">
        <v>23</v>
      </c>
      <c r="L5">
        <v>23</v>
      </c>
      <c r="M5">
        <v>1632</v>
      </c>
      <c r="N5" s="2">
        <v>139776</v>
      </c>
      <c r="O5">
        <v>768</v>
      </c>
      <c r="P5">
        <v>2688</v>
      </c>
      <c r="R5" s="2">
        <v>4608</v>
      </c>
      <c r="T5" s="2">
        <v>94848</v>
      </c>
      <c r="X5">
        <v>0</v>
      </c>
      <c r="Z5">
        <v>4.3</v>
      </c>
      <c r="AB5">
        <v>25.9</v>
      </c>
      <c r="AC5">
        <v>11.74133333</v>
      </c>
      <c r="AD5">
        <v>22</v>
      </c>
      <c r="AE5" s="7"/>
      <c r="AF5" s="7"/>
      <c r="AG5" s="7"/>
      <c r="AH5" s="7"/>
      <c r="AI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5" s="7"/>
      <c r="AK5" t="s">
        <v>75</v>
      </c>
      <c r="AN5">
        <f>IFERROR(INT(Table13[[#This Row],[reject_prod]]/Table13[[#This Row],[part_weight]] * 1000), 0)</f>
        <v>186</v>
      </c>
    </row>
    <row r="6" spans="1:40" hidden="1">
      <c r="A6" s="1">
        <v>46024</v>
      </c>
      <c r="B6">
        <v>1</v>
      </c>
      <c r="C6">
        <v>4</v>
      </c>
      <c r="D6" t="s">
        <v>33</v>
      </c>
      <c r="E6" t="s">
        <v>34</v>
      </c>
      <c r="F6">
        <v>322383</v>
      </c>
      <c r="G6" s="6">
        <v>0</v>
      </c>
      <c r="H6" t="s">
        <v>71</v>
      </c>
      <c r="I6">
        <v>10682756</v>
      </c>
      <c r="J6">
        <v>4</v>
      </c>
      <c r="K6">
        <v>12.5</v>
      </c>
      <c r="L6">
        <v>12.5</v>
      </c>
      <c r="M6">
        <v>0</v>
      </c>
      <c r="N6" s="2">
        <v>66000</v>
      </c>
      <c r="O6">
        <v>0</v>
      </c>
      <c r="P6">
        <v>0</v>
      </c>
      <c r="R6">
        <v>0</v>
      </c>
      <c r="T6">
        <v>0</v>
      </c>
      <c r="X6">
        <v>0</v>
      </c>
      <c r="Z6">
        <v>0</v>
      </c>
      <c r="AB6">
        <v>0</v>
      </c>
      <c r="AC6">
        <v>0</v>
      </c>
      <c r="AD6">
        <v>17.920000000000002</v>
      </c>
      <c r="AE6" s="7"/>
      <c r="AF6" s="7"/>
      <c r="AG6" s="7"/>
      <c r="AH6" s="7"/>
      <c r="AI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" s="7"/>
      <c r="AK6" t="s">
        <v>76</v>
      </c>
      <c r="AL6">
        <v>3</v>
      </c>
      <c r="AM6">
        <v>2</v>
      </c>
      <c r="AN6">
        <f>IFERROR(INT(Table13[[#This Row],[reject_prod]]/Table13[[#This Row],[part_weight]] * 1000), 0)</f>
        <v>0</v>
      </c>
    </row>
    <row r="7" spans="1:40" hidden="1">
      <c r="A7" s="1">
        <v>46024</v>
      </c>
      <c r="B7">
        <v>1</v>
      </c>
      <c r="C7">
        <v>5</v>
      </c>
      <c r="D7" t="s">
        <v>33</v>
      </c>
      <c r="E7" t="s">
        <v>34</v>
      </c>
      <c r="F7">
        <v>611949</v>
      </c>
      <c r="G7" s="6">
        <v>0</v>
      </c>
      <c r="H7" t="s">
        <v>38</v>
      </c>
      <c r="I7">
        <v>10680235</v>
      </c>
      <c r="J7">
        <v>4</v>
      </c>
      <c r="K7">
        <v>20</v>
      </c>
      <c r="L7">
        <v>20</v>
      </c>
      <c r="M7">
        <v>0</v>
      </c>
      <c r="N7" s="2">
        <v>83600</v>
      </c>
      <c r="O7">
        <v>0</v>
      </c>
      <c r="P7">
        <v>0</v>
      </c>
      <c r="R7">
        <v>0</v>
      </c>
      <c r="T7">
        <v>0</v>
      </c>
      <c r="X7">
        <v>0</v>
      </c>
      <c r="Z7">
        <v>0</v>
      </c>
      <c r="AB7">
        <v>0</v>
      </c>
      <c r="AC7">
        <v>0</v>
      </c>
      <c r="AD7">
        <v>21.64</v>
      </c>
      <c r="AE7" s="7"/>
      <c r="AF7" s="7"/>
      <c r="AG7" s="7"/>
      <c r="AH7" s="7"/>
      <c r="AI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" s="7"/>
      <c r="AK7" t="s">
        <v>39</v>
      </c>
      <c r="AN7">
        <f>IFERROR(INT(Table13[[#This Row],[reject_prod]]/Table13[[#This Row],[part_weight]] * 1000), 0)</f>
        <v>0</v>
      </c>
    </row>
    <row r="8" spans="1:40" hidden="1">
      <c r="A8" s="1">
        <v>46024</v>
      </c>
      <c r="B8">
        <v>1</v>
      </c>
      <c r="C8">
        <v>6</v>
      </c>
      <c r="D8" t="s">
        <v>63</v>
      </c>
      <c r="E8" t="s">
        <v>41</v>
      </c>
      <c r="F8">
        <v>620994</v>
      </c>
      <c r="G8" s="6">
        <v>0</v>
      </c>
      <c r="H8" t="s">
        <v>42</v>
      </c>
      <c r="I8">
        <v>10681844</v>
      </c>
      <c r="J8">
        <v>4</v>
      </c>
      <c r="K8">
        <v>32.74</v>
      </c>
      <c r="L8">
        <v>33</v>
      </c>
      <c r="M8">
        <v>890</v>
      </c>
      <c r="N8" s="2">
        <v>11776</v>
      </c>
      <c r="O8">
        <v>2048</v>
      </c>
      <c r="P8">
        <v>0</v>
      </c>
      <c r="R8" s="2">
        <v>5632</v>
      </c>
      <c r="T8" s="2">
        <v>11776</v>
      </c>
      <c r="X8">
        <v>0</v>
      </c>
      <c r="Z8">
        <v>1.2</v>
      </c>
      <c r="AB8">
        <v>22.22</v>
      </c>
      <c r="AC8">
        <v>5.4932777780000004</v>
      </c>
      <c r="AD8">
        <v>22</v>
      </c>
      <c r="AE8" s="7"/>
      <c r="AF8" s="7"/>
      <c r="AG8" s="7"/>
      <c r="AH8" s="7"/>
      <c r="AI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6.5067222219999996</v>
      </c>
      <c r="AJ8" s="7"/>
      <c r="AK8" t="s">
        <v>77</v>
      </c>
      <c r="AL8">
        <v>2.5</v>
      </c>
      <c r="AM8">
        <v>4.5</v>
      </c>
      <c r="AN8">
        <f>IFERROR(INT(Table13[[#This Row],[reject_prod]]/Table13[[#This Row],[part_weight]] * 1000), 0)</f>
        <v>36</v>
      </c>
    </row>
    <row r="9" spans="1:40" hidden="1">
      <c r="A9" s="1">
        <v>46024</v>
      </c>
      <c r="B9">
        <v>1</v>
      </c>
      <c r="C9">
        <v>6</v>
      </c>
      <c r="D9" t="s">
        <v>33</v>
      </c>
      <c r="E9" t="s">
        <v>34</v>
      </c>
      <c r="F9">
        <v>322419</v>
      </c>
      <c r="G9" s="6">
        <v>0</v>
      </c>
      <c r="H9" t="s">
        <v>72</v>
      </c>
      <c r="I9">
        <v>10678687</v>
      </c>
      <c r="J9">
        <v>4</v>
      </c>
      <c r="K9">
        <v>24.18</v>
      </c>
      <c r="L9">
        <v>24.8</v>
      </c>
      <c r="M9">
        <v>0</v>
      </c>
      <c r="N9" s="2">
        <v>7200</v>
      </c>
      <c r="O9">
        <v>0</v>
      </c>
      <c r="P9">
        <v>0</v>
      </c>
      <c r="R9">
        <v>0</v>
      </c>
      <c r="T9">
        <v>0</v>
      </c>
      <c r="X9">
        <v>0</v>
      </c>
      <c r="Z9">
        <v>0</v>
      </c>
      <c r="AB9">
        <v>0</v>
      </c>
      <c r="AC9">
        <v>0</v>
      </c>
      <c r="AD9">
        <v>22</v>
      </c>
      <c r="AE9" s="7">
        <v>5.5</v>
      </c>
      <c r="AF9" s="7"/>
      <c r="AG9" s="7"/>
      <c r="AH9" s="7"/>
      <c r="AI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9" s="7"/>
      <c r="AK9" t="s">
        <v>78</v>
      </c>
      <c r="AN9">
        <f>IFERROR(INT(Table13[[#This Row],[reject_prod]]/Table13[[#This Row],[part_weight]] * 1000), 0)</f>
        <v>0</v>
      </c>
    </row>
    <row r="10" spans="1:40" hidden="1">
      <c r="A10" s="1">
        <v>46024</v>
      </c>
      <c r="B10">
        <v>1</v>
      </c>
      <c r="C10">
        <v>7</v>
      </c>
      <c r="D10" t="s">
        <v>64</v>
      </c>
      <c r="E10" t="s">
        <v>34</v>
      </c>
      <c r="F10">
        <v>324165</v>
      </c>
      <c r="G10" s="6">
        <v>0</v>
      </c>
      <c r="H10" t="s">
        <v>44</v>
      </c>
      <c r="I10">
        <v>10680238</v>
      </c>
      <c r="J10">
        <v>4</v>
      </c>
      <c r="K10">
        <v>32.56</v>
      </c>
      <c r="L10">
        <v>33</v>
      </c>
      <c r="M10">
        <v>1924</v>
      </c>
      <c r="N10" s="2">
        <v>104192</v>
      </c>
      <c r="O10" s="2">
        <v>1184</v>
      </c>
      <c r="P10">
        <v>1776</v>
      </c>
      <c r="R10" s="2">
        <v>7104</v>
      </c>
      <c r="T10" s="2">
        <v>65712</v>
      </c>
      <c r="X10">
        <v>0</v>
      </c>
      <c r="Z10">
        <v>8.8000000000000007</v>
      </c>
      <c r="AB10">
        <v>22.5</v>
      </c>
      <c r="AC10">
        <v>12</v>
      </c>
      <c r="AD10">
        <v>22</v>
      </c>
      <c r="AE10" s="7"/>
      <c r="AF10" s="7"/>
      <c r="AG10" s="7"/>
      <c r="AH10" s="7"/>
      <c r="AI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" s="7"/>
      <c r="AK10" t="s">
        <v>79</v>
      </c>
      <c r="AN10">
        <f>IFERROR(INT(Table13[[#This Row],[reject_prod]]/Table13[[#This Row],[part_weight]] * 1000), 0)</f>
        <v>266</v>
      </c>
    </row>
    <row r="11" spans="1:40" hidden="1">
      <c r="A11" s="1">
        <v>46024</v>
      </c>
      <c r="B11">
        <v>1</v>
      </c>
      <c r="C11">
        <v>8</v>
      </c>
      <c r="D11" t="s">
        <v>43</v>
      </c>
      <c r="E11" t="s">
        <v>34</v>
      </c>
      <c r="F11">
        <v>323102</v>
      </c>
      <c r="G11" s="6">
        <v>0</v>
      </c>
      <c r="H11" t="s">
        <v>45</v>
      </c>
      <c r="I11">
        <v>10682922</v>
      </c>
      <c r="J11">
        <v>4</v>
      </c>
      <c r="K11">
        <v>56.9</v>
      </c>
      <c r="L11">
        <v>56.9</v>
      </c>
      <c r="M11" s="2">
        <v>1170</v>
      </c>
      <c r="N11" s="2">
        <v>38400</v>
      </c>
      <c r="O11">
        <v>0</v>
      </c>
      <c r="P11">
        <v>192</v>
      </c>
      <c r="R11" s="2">
        <v>4480</v>
      </c>
      <c r="T11" s="2">
        <v>11392</v>
      </c>
      <c r="X11">
        <v>5.6</v>
      </c>
      <c r="Z11">
        <v>7.8</v>
      </c>
      <c r="AB11">
        <v>27.74</v>
      </c>
      <c r="AC11">
        <v>9.0154999999999994</v>
      </c>
      <c r="AD11">
        <v>26</v>
      </c>
      <c r="AE11" s="7"/>
      <c r="AF11" s="7"/>
      <c r="AG11" s="7"/>
      <c r="AH11" s="7"/>
      <c r="AI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2.9845000000000006</v>
      </c>
      <c r="AJ11" s="7"/>
      <c r="AK11" t="s">
        <v>80</v>
      </c>
      <c r="AL11">
        <v>5</v>
      </c>
      <c r="AM11">
        <v>6.5</v>
      </c>
      <c r="AN11">
        <f>IFERROR(INT(Table13[[#This Row],[reject_prod]]/Table13[[#This Row],[part_weight]] * 1000), 0)</f>
        <v>137</v>
      </c>
    </row>
    <row r="12" spans="1:40" hidden="1">
      <c r="A12" s="1">
        <v>46024</v>
      </c>
      <c r="B12">
        <v>1</v>
      </c>
      <c r="C12">
        <v>9</v>
      </c>
      <c r="D12" t="s">
        <v>65</v>
      </c>
      <c r="E12" t="s">
        <v>46</v>
      </c>
      <c r="F12">
        <v>586276</v>
      </c>
      <c r="G12" s="6">
        <v>0</v>
      </c>
      <c r="H12" t="s">
        <v>47</v>
      </c>
      <c r="I12">
        <v>10682923</v>
      </c>
      <c r="J12">
        <v>6</v>
      </c>
      <c r="K12">
        <v>12.3</v>
      </c>
      <c r="L12">
        <v>12.3</v>
      </c>
      <c r="M12" s="2">
        <v>1620</v>
      </c>
      <c r="N12" s="2">
        <v>162000</v>
      </c>
      <c r="O12" s="2">
        <v>6480</v>
      </c>
      <c r="P12">
        <v>0</v>
      </c>
      <c r="R12" s="2">
        <v>16200</v>
      </c>
      <c r="T12" s="2">
        <v>24300</v>
      </c>
      <c r="X12">
        <v>0</v>
      </c>
      <c r="Z12">
        <v>1.2</v>
      </c>
      <c r="AB12">
        <v>25.5</v>
      </c>
      <c r="AC12">
        <v>11.475</v>
      </c>
      <c r="AD12">
        <v>26</v>
      </c>
      <c r="AE12" s="7"/>
      <c r="AF12" s="7"/>
      <c r="AG12" s="7"/>
      <c r="AH12" s="7"/>
      <c r="AI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12" s="7"/>
      <c r="AK12" t="s">
        <v>57</v>
      </c>
      <c r="AN12">
        <f>IFERROR(INT(Table13[[#This Row],[reject_prod]]/Table13[[#This Row],[part_weight]] * 1000), 0)</f>
        <v>97</v>
      </c>
    </row>
    <row r="13" spans="1:40" hidden="1">
      <c r="A13" s="1">
        <v>46024</v>
      </c>
      <c r="B13">
        <v>1</v>
      </c>
      <c r="C13">
        <v>10</v>
      </c>
      <c r="D13" t="s">
        <v>40</v>
      </c>
      <c r="E13" t="s">
        <v>41</v>
      </c>
      <c r="F13">
        <v>593537</v>
      </c>
      <c r="G13" s="6">
        <v>0</v>
      </c>
      <c r="H13" t="s">
        <v>48</v>
      </c>
      <c r="I13">
        <v>10680019</v>
      </c>
      <c r="J13">
        <v>4</v>
      </c>
      <c r="K13">
        <v>56.5</v>
      </c>
      <c r="L13">
        <v>56.8</v>
      </c>
      <c r="M13">
        <v>640</v>
      </c>
      <c r="N13" s="2">
        <v>69000</v>
      </c>
      <c r="O13">
        <v>165</v>
      </c>
      <c r="P13">
        <v>230</v>
      </c>
      <c r="R13" s="2">
        <v>2300</v>
      </c>
      <c r="T13" s="2">
        <v>53130</v>
      </c>
      <c r="X13">
        <v>10</v>
      </c>
      <c r="Z13">
        <v>6.3</v>
      </c>
      <c r="AB13">
        <v>31.7</v>
      </c>
      <c r="AC13">
        <v>5.6355555559999999</v>
      </c>
      <c r="AD13">
        <v>28.5</v>
      </c>
      <c r="AE13" s="7"/>
      <c r="AF13" s="7"/>
      <c r="AG13" s="7"/>
      <c r="AH13" s="7"/>
      <c r="AI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6.3644444440000001</v>
      </c>
      <c r="AJ13" s="7"/>
      <c r="AK13" t="s">
        <v>81</v>
      </c>
      <c r="AL13">
        <v>8</v>
      </c>
      <c r="AM13">
        <v>11</v>
      </c>
      <c r="AN13">
        <f>IFERROR(INT(Table13[[#This Row],[reject_prod]]/Table13[[#This Row],[part_weight]] * 1000), 0)</f>
        <v>110</v>
      </c>
    </row>
    <row r="14" spans="1:40" hidden="1">
      <c r="A14" s="1">
        <v>46024</v>
      </c>
      <c r="B14">
        <v>1</v>
      </c>
      <c r="C14">
        <v>11</v>
      </c>
      <c r="D14" t="s">
        <v>66</v>
      </c>
      <c r="E14" t="s">
        <v>46</v>
      </c>
      <c r="F14">
        <v>552181</v>
      </c>
      <c r="G14" s="6">
        <v>1</v>
      </c>
      <c r="H14" t="s">
        <v>49</v>
      </c>
      <c r="I14">
        <v>10679363</v>
      </c>
      <c r="J14">
        <v>6</v>
      </c>
      <c r="K14">
        <v>18.8</v>
      </c>
      <c r="L14">
        <v>18.8</v>
      </c>
      <c r="M14" s="2">
        <v>1450</v>
      </c>
      <c r="N14" s="2">
        <v>108000</v>
      </c>
      <c r="O14" s="2">
        <v>2700</v>
      </c>
      <c r="P14" s="2">
        <v>5940</v>
      </c>
      <c r="R14" s="2">
        <v>5400</v>
      </c>
      <c r="T14" s="2">
        <v>38340</v>
      </c>
      <c r="X14">
        <v>0</v>
      </c>
      <c r="Z14">
        <v>4.3</v>
      </c>
      <c r="AB14">
        <v>27.7</v>
      </c>
      <c r="AC14">
        <v>11.15694444</v>
      </c>
      <c r="AD14">
        <v>27</v>
      </c>
      <c r="AE14" s="7"/>
      <c r="AF14" s="7"/>
      <c r="AG14" s="7"/>
      <c r="AH14" s="7"/>
      <c r="AI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0.84305555999999982</v>
      </c>
      <c r="AJ14" s="7"/>
      <c r="AK14" t="s">
        <v>82</v>
      </c>
      <c r="AN14">
        <f>IFERROR(INT(Table13[[#This Row],[reject_prod]]/Table13[[#This Row],[part_weight]] * 1000), 0)</f>
        <v>228</v>
      </c>
    </row>
    <row r="15" spans="1:40" hidden="1">
      <c r="A15" s="1">
        <v>46024</v>
      </c>
      <c r="B15">
        <v>1</v>
      </c>
      <c r="C15">
        <v>12</v>
      </c>
      <c r="D15" t="s">
        <v>67</v>
      </c>
      <c r="E15" t="s">
        <v>34</v>
      </c>
      <c r="F15">
        <v>620599</v>
      </c>
      <c r="G15" s="6">
        <v>0</v>
      </c>
      <c r="H15" t="s">
        <v>50</v>
      </c>
      <c r="I15">
        <v>10682336</v>
      </c>
      <c r="J15">
        <v>4</v>
      </c>
      <c r="K15">
        <v>55</v>
      </c>
      <c r="L15">
        <v>55</v>
      </c>
      <c r="M15" s="2">
        <v>1190</v>
      </c>
      <c r="N15" s="2">
        <v>72000</v>
      </c>
      <c r="O15">
        <v>225</v>
      </c>
      <c r="P15" s="2">
        <v>1350</v>
      </c>
      <c r="R15" s="2">
        <v>3600</v>
      </c>
      <c r="T15" s="2">
        <v>66150</v>
      </c>
      <c r="X15">
        <v>0</v>
      </c>
      <c r="Z15">
        <v>4.5999999999999996</v>
      </c>
      <c r="AB15">
        <v>28</v>
      </c>
      <c r="AC15">
        <v>9.2555555559999991</v>
      </c>
      <c r="AD15">
        <v>28</v>
      </c>
      <c r="AE15" s="7"/>
      <c r="AF15" s="7"/>
      <c r="AG15" s="7"/>
      <c r="AH15" s="7"/>
      <c r="AI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2.7444444440000009</v>
      </c>
      <c r="AJ15" s="7"/>
      <c r="AK15" t="s">
        <v>83</v>
      </c>
      <c r="AN15">
        <f>IFERROR(INT(Table13[[#This Row],[reject_prod]]/Table13[[#This Row],[part_weight]] * 1000), 0)</f>
        <v>83</v>
      </c>
    </row>
    <row r="16" spans="1:40" hidden="1">
      <c r="A16" s="1">
        <v>46024</v>
      </c>
      <c r="B16">
        <v>1</v>
      </c>
      <c r="C16">
        <v>13</v>
      </c>
      <c r="D16" t="s">
        <v>66</v>
      </c>
      <c r="E16" t="s">
        <v>46</v>
      </c>
      <c r="F16">
        <v>586276</v>
      </c>
      <c r="G16" s="6">
        <v>0</v>
      </c>
      <c r="H16" t="s">
        <v>47</v>
      </c>
      <c r="I16">
        <v>10682335</v>
      </c>
      <c r="J16">
        <v>6</v>
      </c>
      <c r="K16">
        <v>12.3</v>
      </c>
      <c r="L16">
        <v>12.3</v>
      </c>
      <c r="M16" s="2">
        <v>1680</v>
      </c>
      <c r="N16" s="2">
        <v>162000</v>
      </c>
      <c r="O16" s="2">
        <v>4860</v>
      </c>
      <c r="P16" s="2">
        <v>6885</v>
      </c>
      <c r="R16" s="2">
        <v>8100</v>
      </c>
      <c r="T16" s="2">
        <v>128385</v>
      </c>
      <c r="X16">
        <v>0</v>
      </c>
      <c r="Z16">
        <v>1.2</v>
      </c>
      <c r="AB16">
        <v>26</v>
      </c>
      <c r="AC16">
        <v>12</v>
      </c>
      <c r="AD16">
        <v>26</v>
      </c>
      <c r="AE16" s="7"/>
      <c r="AF16" s="7"/>
      <c r="AG16" s="7"/>
      <c r="AH16" s="7"/>
      <c r="AI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" s="7"/>
      <c r="AK16" t="s">
        <v>51</v>
      </c>
      <c r="AN16">
        <f>IFERROR(INT(Table13[[#This Row],[reject_prod]]/Table13[[#This Row],[part_weight]] * 1000), 0)</f>
        <v>97</v>
      </c>
    </row>
    <row r="17" spans="1:40" hidden="1">
      <c r="A17" s="1">
        <v>46024</v>
      </c>
      <c r="B17">
        <v>1</v>
      </c>
      <c r="C17">
        <v>14</v>
      </c>
      <c r="D17" t="s">
        <v>68</v>
      </c>
      <c r="E17" t="s">
        <v>46</v>
      </c>
      <c r="F17">
        <v>555979</v>
      </c>
      <c r="G17" s="6">
        <v>1</v>
      </c>
      <c r="H17" t="s">
        <v>52</v>
      </c>
      <c r="I17">
        <v>10682931</v>
      </c>
      <c r="J17">
        <v>6</v>
      </c>
      <c r="K17">
        <v>28</v>
      </c>
      <c r="L17">
        <v>28</v>
      </c>
      <c r="M17">
        <v>970</v>
      </c>
      <c r="N17" s="2">
        <v>100800</v>
      </c>
      <c r="O17" s="2">
        <v>3240</v>
      </c>
      <c r="P17" s="2">
        <v>1344</v>
      </c>
      <c r="R17" s="2">
        <v>6720</v>
      </c>
      <c r="T17" s="2">
        <v>38304</v>
      </c>
      <c r="X17">
        <v>0</v>
      </c>
      <c r="Z17">
        <v>0.5</v>
      </c>
      <c r="AB17">
        <v>43.3</v>
      </c>
      <c r="AC17">
        <v>11.66694444</v>
      </c>
      <c r="AD17">
        <v>42</v>
      </c>
      <c r="AE17" s="7"/>
      <c r="AF17" s="7"/>
      <c r="AG17" s="7"/>
      <c r="AH17" s="7"/>
      <c r="AI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0.33305556000000003</v>
      </c>
      <c r="AJ17" s="7"/>
      <c r="AK17" t="s">
        <v>51</v>
      </c>
      <c r="AN17">
        <f>IFERROR(INT(Table13[[#This Row],[reject_prod]]/Table13[[#This Row],[part_weight]] * 1000), 0)</f>
        <v>17</v>
      </c>
    </row>
    <row r="18" spans="1:40" hidden="1">
      <c r="A18" s="1">
        <v>46024</v>
      </c>
      <c r="B18">
        <v>1</v>
      </c>
      <c r="C18">
        <v>15</v>
      </c>
      <c r="D18" t="s">
        <v>66</v>
      </c>
      <c r="E18" t="s">
        <v>46</v>
      </c>
      <c r="F18">
        <v>552181</v>
      </c>
      <c r="G18" s="6">
        <v>2</v>
      </c>
      <c r="H18" t="s">
        <v>49</v>
      </c>
      <c r="I18">
        <v>10682933</v>
      </c>
      <c r="J18">
        <v>6</v>
      </c>
      <c r="K18">
        <v>18.8</v>
      </c>
      <c r="L18">
        <v>18.8</v>
      </c>
      <c r="M18">
        <v>1400</v>
      </c>
      <c r="N18" s="2">
        <v>108000</v>
      </c>
      <c r="O18">
        <v>1620</v>
      </c>
      <c r="P18">
        <v>0</v>
      </c>
      <c r="R18" s="2">
        <v>10800</v>
      </c>
      <c r="T18" s="2">
        <v>37800</v>
      </c>
      <c r="X18">
        <v>0</v>
      </c>
      <c r="Z18">
        <v>1.2</v>
      </c>
      <c r="AB18">
        <v>31.1</v>
      </c>
      <c r="AC18">
        <v>12</v>
      </c>
      <c r="AD18">
        <v>27</v>
      </c>
      <c r="AE18" s="7"/>
      <c r="AF18" s="7"/>
      <c r="AG18" s="7"/>
      <c r="AH18" s="7"/>
      <c r="AI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" s="7"/>
      <c r="AK18" t="s">
        <v>51</v>
      </c>
      <c r="AN18">
        <f>IFERROR(INT(Table13[[#This Row],[reject_prod]]/Table13[[#This Row],[part_weight]] * 1000), 0)</f>
        <v>63</v>
      </c>
    </row>
    <row r="19" spans="1:40" hidden="1">
      <c r="A19" s="1">
        <v>46024</v>
      </c>
      <c r="B19">
        <v>1</v>
      </c>
      <c r="C19">
        <v>16</v>
      </c>
      <c r="D19" t="s">
        <v>69</v>
      </c>
      <c r="E19" t="s">
        <v>46</v>
      </c>
      <c r="F19">
        <v>555979</v>
      </c>
      <c r="G19" s="6">
        <v>2</v>
      </c>
      <c r="H19" t="s">
        <v>52</v>
      </c>
      <c r="I19">
        <v>10682063</v>
      </c>
      <c r="J19">
        <v>6</v>
      </c>
      <c r="K19">
        <v>28</v>
      </c>
      <c r="L19">
        <v>28</v>
      </c>
      <c r="M19">
        <v>975</v>
      </c>
      <c r="N19" s="2">
        <v>100800</v>
      </c>
      <c r="O19">
        <v>672</v>
      </c>
      <c r="P19" s="2">
        <v>3024</v>
      </c>
      <c r="R19">
        <v>3360</v>
      </c>
      <c r="T19" s="2">
        <v>80304</v>
      </c>
      <c r="X19">
        <v>0</v>
      </c>
      <c r="Z19">
        <v>2.2999999999999998</v>
      </c>
      <c r="AB19">
        <v>44.3</v>
      </c>
      <c r="AC19">
        <v>11.99791667</v>
      </c>
      <c r="AD19">
        <v>42</v>
      </c>
      <c r="AE19" s="7"/>
      <c r="AF19" s="7"/>
      <c r="AG19" s="7"/>
      <c r="AH19" s="7"/>
      <c r="AI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2.0833299999996058E-3</v>
      </c>
      <c r="AJ19" s="7"/>
      <c r="AK19" t="s">
        <v>51</v>
      </c>
      <c r="AN19">
        <f>IFERROR(INT(Table13[[#This Row],[reject_prod]]/Table13[[#This Row],[part_weight]] * 1000), 0)</f>
        <v>82</v>
      </c>
    </row>
    <row r="20" spans="1:40" hidden="1">
      <c r="A20" s="1">
        <v>46024</v>
      </c>
      <c r="B20">
        <v>2</v>
      </c>
      <c r="C20">
        <v>1</v>
      </c>
      <c r="D20" t="s">
        <v>84</v>
      </c>
      <c r="E20" t="s">
        <v>34</v>
      </c>
      <c r="F20">
        <v>347623</v>
      </c>
      <c r="G20" s="6">
        <v>0</v>
      </c>
      <c r="H20" t="s">
        <v>35</v>
      </c>
      <c r="I20">
        <v>10682194</v>
      </c>
      <c r="J20">
        <v>4</v>
      </c>
      <c r="K20">
        <v>35.6</v>
      </c>
      <c r="L20">
        <v>35.6</v>
      </c>
      <c r="M20" s="2">
        <v>1589</v>
      </c>
      <c r="N20" s="2">
        <v>40480</v>
      </c>
      <c r="O20">
        <v>368</v>
      </c>
      <c r="P20">
        <v>1124</v>
      </c>
      <c r="R20" s="2">
        <v>5520</v>
      </c>
      <c r="T20" s="2">
        <v>36084</v>
      </c>
      <c r="Z20">
        <v>2</v>
      </c>
      <c r="AB20">
        <v>26.7</v>
      </c>
      <c r="AC20">
        <v>11.785083330000001</v>
      </c>
      <c r="AD20">
        <v>27</v>
      </c>
      <c r="AE20" s="7"/>
      <c r="AF20" s="7"/>
      <c r="AG20" s="7"/>
      <c r="AH20" s="7"/>
      <c r="AI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0.21491666999999914</v>
      </c>
      <c r="AJ20" s="7"/>
      <c r="AK20" t="s">
        <v>90</v>
      </c>
      <c r="AN20">
        <f>IFERROR(INT(Table13[[#This Row],[reject_prod]]/Table13[[#This Row],[part_weight]] * 1000), 0)</f>
        <v>56</v>
      </c>
    </row>
    <row r="21" spans="1:40" hidden="1">
      <c r="A21" s="1">
        <v>46024</v>
      </c>
      <c r="B21">
        <v>2</v>
      </c>
      <c r="C21">
        <v>2</v>
      </c>
      <c r="D21" t="s">
        <v>54</v>
      </c>
      <c r="E21" t="s">
        <v>34</v>
      </c>
      <c r="F21">
        <v>423213</v>
      </c>
      <c r="G21" s="6">
        <v>0</v>
      </c>
      <c r="H21" t="s">
        <v>70</v>
      </c>
      <c r="I21">
        <v>10682754</v>
      </c>
      <c r="J21">
        <v>4</v>
      </c>
      <c r="K21">
        <v>30</v>
      </c>
      <c r="L21">
        <v>23</v>
      </c>
      <c r="M21">
        <v>1925</v>
      </c>
      <c r="N21" s="2">
        <v>47244</v>
      </c>
      <c r="O21">
        <v>1143</v>
      </c>
      <c r="R21" s="2">
        <v>9144</v>
      </c>
      <c r="T21" s="2">
        <v>9144</v>
      </c>
      <c r="X21">
        <v>0</v>
      </c>
      <c r="Z21">
        <v>4</v>
      </c>
      <c r="AB21">
        <v>22.4</v>
      </c>
      <c r="AC21">
        <v>11.97777778</v>
      </c>
      <c r="AD21">
        <v>22.5</v>
      </c>
      <c r="AE21" s="7"/>
      <c r="AF21" s="7"/>
      <c r="AG21" s="7"/>
      <c r="AH21" s="7"/>
      <c r="AI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21" s="7"/>
      <c r="AK21" t="s">
        <v>91</v>
      </c>
      <c r="AN21">
        <f>IFERROR(INT(Table13[[#This Row],[reject_prod]]/Table13[[#This Row],[part_weight]] * 1000), 0)</f>
        <v>173</v>
      </c>
    </row>
    <row r="22" spans="1:40" hidden="1">
      <c r="A22" s="1">
        <v>46024</v>
      </c>
      <c r="B22">
        <v>2</v>
      </c>
      <c r="C22">
        <v>3</v>
      </c>
      <c r="D22" t="s">
        <v>56</v>
      </c>
      <c r="E22" t="s">
        <v>34</v>
      </c>
      <c r="F22">
        <v>442034</v>
      </c>
      <c r="G22" s="6">
        <v>0</v>
      </c>
      <c r="H22" t="s">
        <v>37</v>
      </c>
      <c r="I22">
        <v>10681182</v>
      </c>
      <c r="J22">
        <v>4</v>
      </c>
      <c r="K22">
        <v>23</v>
      </c>
      <c r="L22">
        <v>23</v>
      </c>
      <c r="M22">
        <v>1658</v>
      </c>
      <c r="N22" s="2">
        <v>139776</v>
      </c>
      <c r="O22">
        <v>2688</v>
      </c>
      <c r="R22">
        <v>9216</v>
      </c>
      <c r="T22" s="2">
        <v>101376</v>
      </c>
      <c r="X22">
        <v>0</v>
      </c>
      <c r="Z22">
        <v>6</v>
      </c>
      <c r="AB22">
        <v>25.1</v>
      </c>
      <c r="AC22">
        <v>11.559944440000001</v>
      </c>
      <c r="AD22">
        <v>22</v>
      </c>
      <c r="AE22" s="7"/>
      <c r="AF22" s="7"/>
      <c r="AG22" s="7"/>
      <c r="AH22" s="7"/>
      <c r="AI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0.44005555999999935</v>
      </c>
      <c r="AJ22" s="7"/>
      <c r="AK22" t="s">
        <v>55</v>
      </c>
      <c r="AN22">
        <f>IFERROR(INT(Table13[[#This Row],[reject_prod]]/Table13[[#This Row],[part_weight]] * 1000), 0)</f>
        <v>260</v>
      </c>
    </row>
    <row r="23" spans="1:40" hidden="1">
      <c r="A23" s="1">
        <v>46024</v>
      </c>
      <c r="B23">
        <v>2</v>
      </c>
      <c r="C23">
        <v>4</v>
      </c>
      <c r="D23" t="s">
        <v>33</v>
      </c>
      <c r="E23" t="s">
        <v>34</v>
      </c>
      <c r="F23">
        <v>322383</v>
      </c>
      <c r="G23" s="6">
        <v>0</v>
      </c>
      <c r="H23" t="s">
        <v>71</v>
      </c>
      <c r="I23">
        <v>10682756</v>
      </c>
      <c r="J23">
        <v>4</v>
      </c>
      <c r="K23">
        <v>12.5</v>
      </c>
      <c r="L23">
        <v>12.5</v>
      </c>
      <c r="M23">
        <v>0</v>
      </c>
      <c r="N23" s="2">
        <v>66000</v>
      </c>
      <c r="O23">
        <v>0</v>
      </c>
      <c r="P23">
        <v>0</v>
      </c>
      <c r="R23">
        <v>0</v>
      </c>
      <c r="T23">
        <v>0</v>
      </c>
      <c r="X23">
        <v>0</v>
      </c>
      <c r="AB23">
        <v>0</v>
      </c>
      <c r="AC23">
        <v>0</v>
      </c>
      <c r="AD23">
        <v>17.920000000000002</v>
      </c>
      <c r="AE23" s="7"/>
      <c r="AF23" s="7"/>
      <c r="AG23" s="7"/>
      <c r="AH23" s="7"/>
      <c r="AI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" s="7"/>
      <c r="AK23" t="s">
        <v>76</v>
      </c>
      <c r="AN23">
        <f>IFERROR(INT(Table13[[#This Row],[reject_prod]]/Table13[[#This Row],[part_weight]] * 1000), 0)</f>
        <v>0</v>
      </c>
    </row>
    <row r="24" spans="1:40" hidden="1">
      <c r="A24" s="1">
        <v>46024</v>
      </c>
      <c r="B24">
        <v>2</v>
      </c>
      <c r="C24">
        <v>5</v>
      </c>
      <c r="D24" t="s">
        <v>33</v>
      </c>
      <c r="E24" t="s">
        <v>34</v>
      </c>
      <c r="F24">
        <v>611949</v>
      </c>
      <c r="G24" s="6">
        <v>0</v>
      </c>
      <c r="H24" t="s">
        <v>38</v>
      </c>
      <c r="I24">
        <v>10680235</v>
      </c>
      <c r="J24">
        <v>4</v>
      </c>
      <c r="K24">
        <v>20</v>
      </c>
      <c r="L24">
        <v>20</v>
      </c>
      <c r="M24">
        <v>0</v>
      </c>
      <c r="N24" s="2">
        <v>83600</v>
      </c>
      <c r="O24">
        <v>0</v>
      </c>
      <c r="P24">
        <v>0</v>
      </c>
      <c r="R24">
        <v>0</v>
      </c>
      <c r="T24" s="2">
        <v>6600</v>
      </c>
      <c r="X24">
        <v>0</v>
      </c>
      <c r="AB24">
        <v>0</v>
      </c>
      <c r="AC24">
        <v>0</v>
      </c>
      <c r="AD24">
        <v>21.64</v>
      </c>
      <c r="AE24" s="7"/>
      <c r="AF24" s="7"/>
      <c r="AG24" s="7"/>
      <c r="AH24" s="7"/>
      <c r="AI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" s="7"/>
      <c r="AK24" t="s">
        <v>39</v>
      </c>
      <c r="AN24">
        <f>IFERROR(INT(Table13[[#This Row],[reject_prod]]/Table13[[#This Row],[part_weight]] * 1000), 0)</f>
        <v>0</v>
      </c>
    </row>
    <row r="25" spans="1:40" hidden="1">
      <c r="A25" s="1">
        <v>46024</v>
      </c>
      <c r="B25">
        <v>2</v>
      </c>
      <c r="C25">
        <v>6</v>
      </c>
      <c r="D25" t="s">
        <v>85</v>
      </c>
      <c r="E25" t="s">
        <v>34</v>
      </c>
      <c r="F25">
        <v>322419</v>
      </c>
      <c r="G25" s="6">
        <v>0</v>
      </c>
      <c r="H25" t="s">
        <v>72</v>
      </c>
      <c r="I25">
        <v>10678687</v>
      </c>
      <c r="J25">
        <v>4</v>
      </c>
      <c r="K25">
        <v>24.18</v>
      </c>
      <c r="L25">
        <v>24.8</v>
      </c>
      <c r="M25">
        <v>1180</v>
      </c>
      <c r="N25">
        <v>7200</v>
      </c>
      <c r="O25">
        <v>0</v>
      </c>
      <c r="P25">
        <v>230</v>
      </c>
      <c r="R25">
        <v>3600</v>
      </c>
      <c r="T25">
        <v>3830</v>
      </c>
      <c r="X25">
        <v>7</v>
      </c>
      <c r="Z25">
        <v>3</v>
      </c>
      <c r="AB25">
        <v>19.940000000000001</v>
      </c>
      <c r="AC25">
        <v>6.5358888889999998</v>
      </c>
      <c r="AD25">
        <v>18.2</v>
      </c>
      <c r="AE25" s="7"/>
      <c r="AF25" s="7"/>
      <c r="AG25" s="7"/>
      <c r="AH25" s="7"/>
      <c r="AI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5.4641111110000002</v>
      </c>
      <c r="AJ25" s="7"/>
      <c r="AK25" t="s">
        <v>92</v>
      </c>
      <c r="AN25">
        <f>IFERROR(INT(Table13[[#This Row],[reject_prod]]/Table13[[#This Row],[part_weight]] * 1000), 0)</f>
        <v>120</v>
      </c>
    </row>
    <row r="26" spans="1:40" hidden="1">
      <c r="A26" s="1">
        <v>46024</v>
      </c>
      <c r="B26">
        <v>2</v>
      </c>
      <c r="C26">
        <v>7</v>
      </c>
      <c r="D26" t="s">
        <v>86</v>
      </c>
      <c r="E26" t="s">
        <v>34</v>
      </c>
      <c r="F26">
        <v>324165</v>
      </c>
      <c r="G26" s="6">
        <v>0</v>
      </c>
      <c r="H26" t="s">
        <v>44</v>
      </c>
      <c r="I26">
        <v>10680238</v>
      </c>
      <c r="J26">
        <v>4</v>
      </c>
      <c r="K26">
        <v>32.56</v>
      </c>
      <c r="L26">
        <v>33</v>
      </c>
      <c r="M26" s="2">
        <v>1904</v>
      </c>
      <c r="N26" s="2">
        <v>104192</v>
      </c>
      <c r="O26" s="2">
        <v>1726</v>
      </c>
      <c r="P26" s="2">
        <v>2368</v>
      </c>
      <c r="R26" s="2">
        <v>7104</v>
      </c>
      <c r="T26" s="2">
        <v>73408</v>
      </c>
      <c r="X26">
        <v>0</v>
      </c>
      <c r="Z26">
        <v>2</v>
      </c>
      <c r="AB26">
        <v>22.5</v>
      </c>
      <c r="AC26">
        <v>11.9</v>
      </c>
      <c r="AD26">
        <v>22</v>
      </c>
      <c r="AE26" s="7"/>
      <c r="AF26" s="7"/>
      <c r="AG26" s="7"/>
      <c r="AH26" s="7"/>
      <c r="AI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6" s="7"/>
      <c r="AK26" t="s">
        <v>93</v>
      </c>
      <c r="AN26">
        <f>IFERROR(INT(Table13[[#This Row],[reject_prod]]/Table13[[#This Row],[part_weight]] * 1000), 0)</f>
        <v>60</v>
      </c>
    </row>
    <row r="27" spans="1:40" hidden="1">
      <c r="A27" s="1">
        <v>46024</v>
      </c>
      <c r="B27">
        <v>2</v>
      </c>
      <c r="C27">
        <v>8</v>
      </c>
      <c r="D27" t="s">
        <v>53</v>
      </c>
      <c r="E27" t="s">
        <v>34</v>
      </c>
      <c r="F27">
        <v>323102</v>
      </c>
      <c r="G27" s="6">
        <v>0</v>
      </c>
      <c r="H27" t="s">
        <v>45</v>
      </c>
      <c r="I27">
        <v>10682922</v>
      </c>
      <c r="J27">
        <v>4</v>
      </c>
      <c r="K27">
        <v>56.9</v>
      </c>
      <c r="L27">
        <v>56.9</v>
      </c>
      <c r="M27" s="2">
        <v>1545</v>
      </c>
      <c r="N27" s="2">
        <v>38400</v>
      </c>
      <c r="O27">
        <v>192</v>
      </c>
      <c r="P27">
        <v>50</v>
      </c>
      <c r="R27" s="2">
        <v>6080</v>
      </c>
      <c r="T27" s="2">
        <v>17330</v>
      </c>
      <c r="X27">
        <v>0</v>
      </c>
      <c r="Z27">
        <v>1</v>
      </c>
      <c r="AB27">
        <v>27.7</v>
      </c>
      <c r="AC27">
        <v>11.887916669999999</v>
      </c>
      <c r="AD27">
        <v>26</v>
      </c>
      <c r="AE27" s="7"/>
      <c r="AF27" s="7"/>
      <c r="AG27" s="7"/>
      <c r="AH27" s="7"/>
      <c r="AI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0.11208333000000081</v>
      </c>
      <c r="AJ27" s="7"/>
      <c r="AK27" t="s">
        <v>93</v>
      </c>
      <c r="AN27">
        <f>IFERROR(INT(Table13[[#This Row],[reject_prod]]/Table13[[#This Row],[part_weight]] * 1000), 0)</f>
        <v>17</v>
      </c>
    </row>
    <row r="28" spans="1:40" hidden="1">
      <c r="A28" s="1">
        <v>46024</v>
      </c>
      <c r="B28">
        <v>2</v>
      </c>
      <c r="C28">
        <v>9</v>
      </c>
      <c r="D28" t="s">
        <v>87</v>
      </c>
      <c r="E28" t="s">
        <v>46</v>
      </c>
      <c r="F28">
        <v>586276</v>
      </c>
      <c r="G28" s="6">
        <v>0</v>
      </c>
      <c r="H28" t="s">
        <v>47</v>
      </c>
      <c r="I28">
        <v>10682923</v>
      </c>
      <c r="J28">
        <v>6</v>
      </c>
      <c r="K28">
        <v>12.3</v>
      </c>
      <c r="L28">
        <v>12.3</v>
      </c>
      <c r="M28" s="2">
        <v>1618</v>
      </c>
      <c r="N28" s="2">
        <v>162000</v>
      </c>
      <c r="O28">
        <v>0</v>
      </c>
      <c r="P28" s="2">
        <v>1215</v>
      </c>
      <c r="R28" s="2">
        <v>8100</v>
      </c>
      <c r="T28" s="2">
        <v>33615</v>
      </c>
      <c r="X28">
        <v>0</v>
      </c>
      <c r="Z28">
        <v>1</v>
      </c>
      <c r="AB28">
        <v>25.6</v>
      </c>
      <c r="AC28">
        <v>11.505777780000001</v>
      </c>
      <c r="AD28">
        <v>26</v>
      </c>
      <c r="AE28" s="7"/>
      <c r="AF28" s="7"/>
      <c r="AG28" s="7"/>
      <c r="AH28" s="7"/>
      <c r="AI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0.49422221999999927</v>
      </c>
      <c r="AJ28" s="7"/>
      <c r="AK28" t="s">
        <v>94</v>
      </c>
      <c r="AN28">
        <f>IFERROR(INT(Table13[[#This Row],[reject_prod]]/Table13[[#This Row],[part_weight]] * 1000), 0)</f>
        <v>81</v>
      </c>
    </row>
    <row r="29" spans="1:40" hidden="1">
      <c r="A29" s="1">
        <v>46024</v>
      </c>
      <c r="B29">
        <v>2</v>
      </c>
      <c r="C29">
        <v>10</v>
      </c>
      <c r="D29" t="s">
        <v>88</v>
      </c>
      <c r="E29" t="s">
        <v>41</v>
      </c>
      <c r="F29">
        <v>593537</v>
      </c>
      <c r="G29" s="6">
        <v>0</v>
      </c>
      <c r="H29" t="s">
        <v>48</v>
      </c>
      <c r="I29">
        <v>10680019</v>
      </c>
      <c r="J29">
        <v>4</v>
      </c>
      <c r="K29">
        <v>56.5</v>
      </c>
      <c r="L29">
        <v>56.8</v>
      </c>
      <c r="M29">
        <v>1335</v>
      </c>
      <c r="N29">
        <v>69000</v>
      </c>
      <c r="O29">
        <v>230</v>
      </c>
      <c r="P29">
        <v>230</v>
      </c>
      <c r="R29">
        <v>5175</v>
      </c>
      <c r="T29">
        <v>58305</v>
      </c>
      <c r="X29">
        <v>0</v>
      </c>
      <c r="Z29">
        <v>5</v>
      </c>
      <c r="AB29">
        <v>31.7</v>
      </c>
      <c r="AC29">
        <v>11.755416670000001</v>
      </c>
      <c r="AD29">
        <v>28.5</v>
      </c>
      <c r="AE29" s="7"/>
      <c r="AF29" s="7"/>
      <c r="AG29" s="7"/>
      <c r="AH29" s="7"/>
      <c r="AI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0.24458332999999932</v>
      </c>
      <c r="AJ29" s="7"/>
      <c r="AK29" t="s">
        <v>95</v>
      </c>
      <c r="AN29">
        <f>IFERROR(INT(Table13[[#This Row],[reject_prod]]/Table13[[#This Row],[part_weight]] * 1000), 0)</f>
        <v>88</v>
      </c>
    </row>
    <row r="30" spans="1:40" hidden="1">
      <c r="A30" s="1">
        <v>46024</v>
      </c>
      <c r="B30">
        <v>2</v>
      </c>
      <c r="C30">
        <v>11</v>
      </c>
      <c r="D30" t="s">
        <v>59</v>
      </c>
      <c r="E30" t="s">
        <v>46</v>
      </c>
      <c r="F30">
        <v>552181</v>
      </c>
      <c r="G30" s="6">
        <v>1</v>
      </c>
      <c r="H30" t="s">
        <v>49</v>
      </c>
      <c r="I30">
        <v>10679363</v>
      </c>
      <c r="J30">
        <v>6</v>
      </c>
      <c r="K30">
        <v>18.8</v>
      </c>
      <c r="L30">
        <v>18.8</v>
      </c>
      <c r="M30" s="2">
        <v>1539</v>
      </c>
      <c r="N30" s="2">
        <v>108000</v>
      </c>
      <c r="O30" s="2">
        <v>5940</v>
      </c>
      <c r="P30" s="2">
        <v>15930</v>
      </c>
      <c r="R30">
        <v>0</v>
      </c>
      <c r="T30" s="2">
        <v>48330</v>
      </c>
      <c r="X30">
        <v>0</v>
      </c>
      <c r="Z30">
        <v>1</v>
      </c>
      <c r="AB30">
        <v>27.87</v>
      </c>
      <c r="AC30">
        <v>11.914425</v>
      </c>
      <c r="AD30">
        <v>27</v>
      </c>
      <c r="AE30" s="7"/>
      <c r="AF30" s="7"/>
      <c r="AG30" s="7"/>
      <c r="AH30" s="7"/>
      <c r="AI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8.5575000000000401E-2</v>
      </c>
      <c r="AJ30" s="7"/>
      <c r="AK30" t="s">
        <v>96</v>
      </c>
      <c r="AN30">
        <f>IFERROR(INT(Table13[[#This Row],[reject_prod]]/Table13[[#This Row],[part_weight]] * 1000), 0)</f>
        <v>53</v>
      </c>
    </row>
    <row r="31" spans="1:40" hidden="1">
      <c r="A31" s="1">
        <v>46024</v>
      </c>
      <c r="B31">
        <v>2</v>
      </c>
      <c r="C31">
        <v>12</v>
      </c>
      <c r="D31" t="s">
        <v>60</v>
      </c>
      <c r="E31" t="s">
        <v>34</v>
      </c>
      <c r="F31">
        <v>620599</v>
      </c>
      <c r="G31" s="6">
        <v>0</v>
      </c>
      <c r="H31" t="s">
        <v>50</v>
      </c>
      <c r="I31">
        <v>10682336</v>
      </c>
      <c r="J31">
        <v>4</v>
      </c>
      <c r="K31">
        <v>55</v>
      </c>
      <c r="L31">
        <v>55</v>
      </c>
      <c r="M31">
        <v>1484</v>
      </c>
      <c r="N31" s="2">
        <v>72000</v>
      </c>
      <c r="O31" s="2">
        <v>1350</v>
      </c>
      <c r="R31" s="2">
        <v>7200</v>
      </c>
      <c r="T31" s="2">
        <v>72000</v>
      </c>
      <c r="X31">
        <v>0</v>
      </c>
      <c r="AB31">
        <v>28</v>
      </c>
      <c r="AC31">
        <v>11.542222219999999</v>
      </c>
      <c r="AD31">
        <v>28</v>
      </c>
      <c r="AE31" s="7"/>
      <c r="AF31" s="7"/>
      <c r="AG31" s="7"/>
      <c r="AH31" s="7"/>
      <c r="AI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0.45777778000000069</v>
      </c>
      <c r="AJ31" s="7"/>
      <c r="AK31" t="s">
        <v>97</v>
      </c>
      <c r="AN31">
        <f>IFERROR(INT(Table13[[#This Row],[reject_prod]]/Table13[[#This Row],[part_weight]] * 1000), 0)</f>
        <v>0</v>
      </c>
    </row>
    <row r="32" spans="1:40" hidden="1">
      <c r="A32" s="1">
        <v>46024</v>
      </c>
      <c r="B32">
        <v>2</v>
      </c>
      <c r="C32">
        <v>12</v>
      </c>
      <c r="D32" t="s">
        <v>60</v>
      </c>
      <c r="E32" t="s">
        <v>34</v>
      </c>
      <c r="F32">
        <v>620599</v>
      </c>
      <c r="G32" s="6">
        <v>0</v>
      </c>
      <c r="H32" t="s">
        <v>50</v>
      </c>
      <c r="I32">
        <v>10682928</v>
      </c>
      <c r="J32">
        <v>4</v>
      </c>
      <c r="K32">
        <v>55</v>
      </c>
      <c r="L32">
        <v>55</v>
      </c>
      <c r="M32">
        <v>39</v>
      </c>
      <c r="N32" s="2">
        <v>72000</v>
      </c>
      <c r="P32">
        <v>100</v>
      </c>
      <c r="T32">
        <v>100</v>
      </c>
      <c r="X32">
        <v>0</v>
      </c>
      <c r="Z32">
        <v>4</v>
      </c>
      <c r="AB32">
        <v>28</v>
      </c>
      <c r="AC32">
        <v>0.30333333299999998</v>
      </c>
      <c r="AD32">
        <v>28</v>
      </c>
      <c r="AE32" s="7"/>
      <c r="AF32" s="7"/>
      <c r="AG32" s="7"/>
      <c r="AH32" s="7"/>
      <c r="AI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11.696666667000001</v>
      </c>
      <c r="AJ32" s="7"/>
      <c r="AK32" t="s">
        <v>98</v>
      </c>
      <c r="AN32">
        <f>IFERROR(INT(Table13[[#This Row],[reject_prod]]/Table13[[#This Row],[part_weight]] * 1000), 0)</f>
        <v>72</v>
      </c>
    </row>
    <row r="33" spans="1:40" hidden="1">
      <c r="A33" s="1">
        <v>46024</v>
      </c>
      <c r="B33">
        <v>2</v>
      </c>
      <c r="C33">
        <v>13</v>
      </c>
      <c r="D33" t="s">
        <v>59</v>
      </c>
      <c r="E33" t="s">
        <v>46</v>
      </c>
      <c r="F33">
        <v>586276</v>
      </c>
      <c r="G33" s="6">
        <v>0</v>
      </c>
      <c r="H33" t="s">
        <v>47</v>
      </c>
      <c r="I33">
        <v>10682335</v>
      </c>
      <c r="J33">
        <v>6</v>
      </c>
      <c r="K33">
        <v>12.3</v>
      </c>
      <c r="L33">
        <v>12.3</v>
      </c>
      <c r="M33">
        <v>1635</v>
      </c>
      <c r="N33" s="2">
        <v>162000</v>
      </c>
      <c r="O33" s="2">
        <v>6885</v>
      </c>
      <c r="P33">
        <v>405</v>
      </c>
      <c r="R33" s="2">
        <v>16200</v>
      </c>
      <c r="T33" s="2">
        <v>138105</v>
      </c>
      <c r="X33">
        <v>0</v>
      </c>
      <c r="Z33">
        <v>1</v>
      </c>
      <c r="AB33">
        <v>26.1</v>
      </c>
      <c r="AC33">
        <v>11.85375</v>
      </c>
      <c r="AD33">
        <v>26</v>
      </c>
      <c r="AE33" s="7"/>
      <c r="AF33" s="7"/>
      <c r="AG33" s="7"/>
      <c r="AH33" s="7"/>
      <c r="AI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0.14625000000000021</v>
      </c>
      <c r="AJ33" s="7"/>
      <c r="AK33" t="s">
        <v>90</v>
      </c>
      <c r="AN33">
        <f>IFERROR(INT(Table13[[#This Row],[reject_prod]]/Table13[[#This Row],[part_weight]] * 1000), 0)</f>
        <v>81</v>
      </c>
    </row>
    <row r="34" spans="1:40" hidden="1">
      <c r="A34" s="1">
        <v>46024</v>
      </c>
      <c r="B34">
        <v>2</v>
      </c>
      <c r="C34">
        <v>14</v>
      </c>
      <c r="D34" t="s">
        <v>58</v>
      </c>
      <c r="E34" t="s">
        <v>46</v>
      </c>
      <c r="F34">
        <v>555979</v>
      </c>
      <c r="G34" s="6">
        <v>1</v>
      </c>
      <c r="H34" t="s">
        <v>52</v>
      </c>
      <c r="I34">
        <v>10682931</v>
      </c>
      <c r="J34">
        <v>6</v>
      </c>
      <c r="K34">
        <v>28</v>
      </c>
      <c r="L34">
        <v>28</v>
      </c>
      <c r="M34">
        <v>900</v>
      </c>
      <c r="N34" s="2">
        <v>100800</v>
      </c>
      <c r="O34" s="2">
        <v>1344</v>
      </c>
      <c r="P34" s="2">
        <v>3192</v>
      </c>
      <c r="R34" s="2">
        <v>3360</v>
      </c>
      <c r="T34" s="2">
        <v>43512</v>
      </c>
      <c r="X34">
        <v>0</v>
      </c>
      <c r="Z34">
        <v>2</v>
      </c>
      <c r="AB34">
        <v>43.2</v>
      </c>
      <c r="AC34">
        <v>10.8</v>
      </c>
      <c r="AD34">
        <v>42</v>
      </c>
      <c r="AE34" s="7"/>
      <c r="AF34" s="7"/>
      <c r="AG34" s="7"/>
      <c r="AH34" s="7"/>
      <c r="AI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1.1999999999999993</v>
      </c>
      <c r="AJ34" s="7"/>
      <c r="AK34" t="s">
        <v>99</v>
      </c>
      <c r="AN34">
        <f>IFERROR(INT(Table13[[#This Row],[reject_prod]]/Table13[[#This Row],[part_weight]] * 1000), 0)</f>
        <v>71</v>
      </c>
    </row>
    <row r="35" spans="1:40" hidden="1">
      <c r="A35" s="1">
        <v>46024</v>
      </c>
      <c r="B35">
        <v>2</v>
      </c>
      <c r="C35">
        <v>15</v>
      </c>
      <c r="D35" t="s">
        <v>59</v>
      </c>
      <c r="E35" t="s">
        <v>46</v>
      </c>
      <c r="F35">
        <v>552181</v>
      </c>
      <c r="G35" s="6">
        <v>2</v>
      </c>
      <c r="H35" t="s">
        <v>49</v>
      </c>
      <c r="I35">
        <v>10682933</v>
      </c>
      <c r="J35">
        <v>6</v>
      </c>
      <c r="K35">
        <v>18.8</v>
      </c>
      <c r="L35">
        <v>18.8</v>
      </c>
      <c r="M35">
        <v>1349</v>
      </c>
      <c r="N35" s="2">
        <v>108000</v>
      </c>
      <c r="O35">
        <v>0</v>
      </c>
      <c r="P35" s="2">
        <v>10530</v>
      </c>
      <c r="R35">
        <v>0</v>
      </c>
      <c r="T35" s="2">
        <v>48330</v>
      </c>
      <c r="X35">
        <v>0</v>
      </c>
      <c r="Z35">
        <v>1</v>
      </c>
      <c r="AB35">
        <v>31.27</v>
      </c>
      <c r="AC35">
        <v>11.717563889999999</v>
      </c>
      <c r="AD35">
        <v>27</v>
      </c>
      <c r="AE35" s="7"/>
      <c r="AF35" s="7"/>
      <c r="AG35" s="7"/>
      <c r="AH35" s="7"/>
      <c r="AI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0.2824361100000008</v>
      </c>
      <c r="AJ35" s="7"/>
      <c r="AK35" t="s">
        <v>90</v>
      </c>
      <c r="AN35">
        <f>IFERROR(INT(Table13[[#This Row],[reject_prod]]/Table13[[#This Row],[part_weight]] * 1000), 0)</f>
        <v>53</v>
      </c>
    </row>
    <row r="36" spans="1:40" hidden="1">
      <c r="A36" s="1">
        <v>46024</v>
      </c>
      <c r="B36">
        <v>2</v>
      </c>
      <c r="C36">
        <v>16</v>
      </c>
      <c r="D36" t="s">
        <v>89</v>
      </c>
      <c r="E36" t="s">
        <v>46</v>
      </c>
      <c r="F36">
        <v>555979</v>
      </c>
      <c r="G36" s="6">
        <v>2</v>
      </c>
      <c r="H36" t="s">
        <v>52</v>
      </c>
      <c r="I36">
        <v>10682063</v>
      </c>
      <c r="J36">
        <v>6</v>
      </c>
      <c r="K36">
        <v>28</v>
      </c>
      <c r="L36">
        <v>28</v>
      </c>
      <c r="M36">
        <v>896</v>
      </c>
      <c r="N36" s="2">
        <v>100800</v>
      </c>
      <c r="O36" s="2">
        <v>3024</v>
      </c>
      <c r="P36" s="2">
        <v>1680</v>
      </c>
      <c r="R36" s="2">
        <v>6720</v>
      </c>
      <c r="T36" s="2">
        <v>85680</v>
      </c>
      <c r="X36">
        <v>0</v>
      </c>
      <c r="Z36">
        <v>1</v>
      </c>
      <c r="AB36">
        <v>44.3</v>
      </c>
      <c r="AC36">
        <v>11.02577778</v>
      </c>
      <c r="AD36">
        <v>42</v>
      </c>
      <c r="AE36" s="7"/>
      <c r="AF36" s="7"/>
      <c r="AG36" s="7"/>
      <c r="AH36" s="7"/>
      <c r="AI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0.97422221999999969</v>
      </c>
      <c r="AJ36" s="7"/>
      <c r="AK36" t="s">
        <v>100</v>
      </c>
      <c r="AN36">
        <f>IFERROR(INT(Table13[[#This Row],[reject_prod]]/Table13[[#This Row],[part_weight]] * 1000), 0)</f>
        <v>35</v>
      </c>
    </row>
    <row r="37" spans="1:40" hidden="1">
      <c r="A37" s="1">
        <v>46025</v>
      </c>
      <c r="B37">
        <v>1</v>
      </c>
      <c r="C37">
        <v>1</v>
      </c>
      <c r="D37" t="s">
        <v>101</v>
      </c>
      <c r="E37" t="s">
        <v>34</v>
      </c>
      <c r="F37">
        <v>347623</v>
      </c>
      <c r="G37" s="6">
        <v>0</v>
      </c>
      <c r="H37" t="s">
        <v>35</v>
      </c>
      <c r="I37">
        <v>10682194</v>
      </c>
      <c r="J37">
        <v>4</v>
      </c>
      <c r="K37">
        <v>35.6</v>
      </c>
      <c r="L37">
        <v>35.6</v>
      </c>
      <c r="M37">
        <v>1130</v>
      </c>
      <c r="N37" s="2">
        <v>40480</v>
      </c>
      <c r="O37" s="2">
        <v>1124</v>
      </c>
      <c r="P37" s="2">
        <v>1840</v>
      </c>
      <c r="R37" s="2">
        <v>3680</v>
      </c>
      <c r="T37" s="2">
        <v>40480</v>
      </c>
      <c r="X37">
        <v>0</v>
      </c>
      <c r="Z37">
        <v>5.3</v>
      </c>
      <c r="AB37">
        <v>26.4</v>
      </c>
      <c r="AC37">
        <v>8.2866666670000004</v>
      </c>
      <c r="AD37">
        <v>27</v>
      </c>
      <c r="AE37" s="7"/>
      <c r="AF37" s="7"/>
      <c r="AG37" s="7"/>
      <c r="AH37" s="7"/>
      <c r="AI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3.7133333329999996</v>
      </c>
      <c r="AJ37" s="7"/>
      <c r="AK37" t="s">
        <v>102</v>
      </c>
      <c r="AL37">
        <v>1</v>
      </c>
      <c r="AM37">
        <v>2.6</v>
      </c>
      <c r="AN37">
        <f>IFERROR(INT(Table13[[#This Row],[reject_prod]]/Table13[[#This Row],[part_weight]] * 1000), 0)</f>
        <v>148</v>
      </c>
    </row>
    <row r="38" spans="1:40" hidden="1">
      <c r="A38" s="1">
        <v>46025</v>
      </c>
      <c r="B38">
        <v>1</v>
      </c>
      <c r="C38">
        <v>2</v>
      </c>
      <c r="D38" t="s">
        <v>43</v>
      </c>
      <c r="E38" t="s">
        <v>34</v>
      </c>
      <c r="F38">
        <v>423213</v>
      </c>
      <c r="G38" s="6">
        <v>0</v>
      </c>
      <c r="H38" t="s">
        <v>70</v>
      </c>
      <c r="I38">
        <v>10682754</v>
      </c>
      <c r="J38">
        <v>4</v>
      </c>
      <c r="K38">
        <v>23</v>
      </c>
      <c r="L38">
        <v>23</v>
      </c>
      <c r="M38">
        <v>1850</v>
      </c>
      <c r="N38" s="2">
        <v>47244</v>
      </c>
      <c r="O38">
        <v>0</v>
      </c>
      <c r="P38" s="2">
        <v>2667</v>
      </c>
      <c r="R38" s="2">
        <v>4572</v>
      </c>
      <c r="T38" s="2">
        <v>16383</v>
      </c>
      <c r="X38">
        <v>0</v>
      </c>
      <c r="Z38">
        <v>4.3</v>
      </c>
      <c r="AB38">
        <v>22.4</v>
      </c>
      <c r="AC38">
        <v>11.51111111</v>
      </c>
      <c r="AD38">
        <v>22.5</v>
      </c>
      <c r="AE38" s="7"/>
      <c r="AF38" s="7"/>
      <c r="AG38" s="7"/>
      <c r="AH38" s="7"/>
      <c r="AI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0.48888889000000013</v>
      </c>
      <c r="AJ38" s="7"/>
      <c r="AK38" t="s">
        <v>103</v>
      </c>
      <c r="AM38">
        <v>1</v>
      </c>
      <c r="AN38">
        <f>IFERROR(INT(Table13[[#This Row],[reject_prod]]/Table13[[#This Row],[part_weight]] * 1000), 0)</f>
        <v>186</v>
      </c>
    </row>
    <row r="39" spans="1:40" hidden="1">
      <c r="A39" s="1">
        <v>46025</v>
      </c>
      <c r="B39">
        <v>1</v>
      </c>
      <c r="C39">
        <v>3</v>
      </c>
      <c r="D39" t="s">
        <v>67</v>
      </c>
      <c r="E39" t="s">
        <v>34</v>
      </c>
      <c r="F39">
        <v>442034</v>
      </c>
      <c r="G39" s="6">
        <v>0</v>
      </c>
      <c r="H39" t="s">
        <v>37</v>
      </c>
      <c r="I39">
        <v>10681182</v>
      </c>
      <c r="J39">
        <v>4</v>
      </c>
      <c r="K39">
        <v>23</v>
      </c>
      <c r="L39">
        <v>23</v>
      </c>
      <c r="M39">
        <v>1632</v>
      </c>
      <c r="N39" s="2">
        <v>139776</v>
      </c>
      <c r="O39">
        <v>0</v>
      </c>
      <c r="P39" s="2">
        <v>1920</v>
      </c>
      <c r="R39" s="2">
        <v>4608</v>
      </c>
      <c r="T39" s="2">
        <v>107904</v>
      </c>
      <c r="X39">
        <v>0</v>
      </c>
      <c r="Z39">
        <v>3.2</v>
      </c>
      <c r="AB39">
        <v>25.9</v>
      </c>
      <c r="AC39">
        <v>11.74133333</v>
      </c>
      <c r="AD39">
        <v>22</v>
      </c>
      <c r="AE39" s="7"/>
      <c r="AF39" s="7"/>
      <c r="AG39" s="7"/>
      <c r="AH39" s="7"/>
      <c r="AI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39" s="7"/>
      <c r="AK39" t="s">
        <v>103</v>
      </c>
      <c r="AN39">
        <f>IFERROR(INT(Table13[[#This Row],[reject_prod]]/Table13[[#This Row],[part_weight]] * 1000), 0)</f>
        <v>139</v>
      </c>
    </row>
    <row r="40" spans="1:40" hidden="1">
      <c r="A40" s="1">
        <v>46025</v>
      </c>
      <c r="B40">
        <v>1</v>
      </c>
      <c r="C40">
        <v>4</v>
      </c>
      <c r="D40" t="s">
        <v>33</v>
      </c>
      <c r="E40" t="s">
        <v>34</v>
      </c>
      <c r="F40">
        <v>322383</v>
      </c>
      <c r="G40" s="6">
        <v>0</v>
      </c>
      <c r="H40" t="s">
        <v>71</v>
      </c>
      <c r="I40">
        <v>10682756</v>
      </c>
      <c r="J40">
        <v>4</v>
      </c>
      <c r="K40">
        <v>12.5</v>
      </c>
      <c r="L40">
        <v>12.5</v>
      </c>
      <c r="M40">
        <v>0</v>
      </c>
      <c r="N40" s="2">
        <v>66000</v>
      </c>
      <c r="O40">
        <v>0</v>
      </c>
      <c r="P40">
        <v>0</v>
      </c>
      <c r="R40">
        <v>0</v>
      </c>
      <c r="T40">
        <v>0</v>
      </c>
      <c r="X40">
        <v>0</v>
      </c>
      <c r="Z40">
        <v>0</v>
      </c>
      <c r="AB40">
        <v>0</v>
      </c>
      <c r="AC40">
        <v>0</v>
      </c>
      <c r="AD40">
        <v>17.920000000000002</v>
      </c>
      <c r="AE40" s="7"/>
      <c r="AF40" s="7"/>
      <c r="AG40" s="7"/>
      <c r="AH40" s="7"/>
      <c r="AI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" s="7"/>
      <c r="AK40" t="s">
        <v>76</v>
      </c>
      <c r="AN40">
        <f>IFERROR(INT(Table13[[#This Row],[reject_prod]]/Table13[[#This Row],[part_weight]] * 1000), 0)</f>
        <v>0</v>
      </c>
    </row>
    <row r="41" spans="1:40" hidden="1">
      <c r="A41" s="1">
        <v>46025</v>
      </c>
      <c r="B41">
        <v>1</v>
      </c>
      <c r="C41">
        <v>5</v>
      </c>
      <c r="D41" t="s">
        <v>33</v>
      </c>
      <c r="E41" t="s">
        <v>34</v>
      </c>
      <c r="F41">
        <v>611949</v>
      </c>
      <c r="G41" s="6">
        <v>0</v>
      </c>
      <c r="H41" t="s">
        <v>38</v>
      </c>
      <c r="I41">
        <v>10680235</v>
      </c>
      <c r="J41">
        <v>4</v>
      </c>
      <c r="K41">
        <v>20</v>
      </c>
      <c r="L41">
        <v>20</v>
      </c>
      <c r="M41">
        <v>0</v>
      </c>
      <c r="N41" s="2">
        <v>83600</v>
      </c>
      <c r="O41">
        <v>0</v>
      </c>
      <c r="P41">
        <v>0</v>
      </c>
      <c r="R41">
        <v>0</v>
      </c>
      <c r="T41">
        <v>0</v>
      </c>
      <c r="X41">
        <v>0</v>
      </c>
      <c r="Z41">
        <v>0</v>
      </c>
      <c r="AB41">
        <v>0</v>
      </c>
      <c r="AC41">
        <v>0</v>
      </c>
      <c r="AD41">
        <v>21.64</v>
      </c>
      <c r="AE41" s="7"/>
      <c r="AF41" s="7"/>
      <c r="AG41" s="7"/>
      <c r="AH41" s="7"/>
      <c r="AI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1" s="7"/>
      <c r="AK41" t="s">
        <v>39</v>
      </c>
      <c r="AN41">
        <f>IFERROR(INT(Table13[[#This Row],[reject_prod]]/Table13[[#This Row],[part_weight]] * 1000), 0)</f>
        <v>0</v>
      </c>
    </row>
    <row r="42" spans="1:40" hidden="1">
      <c r="A42" s="1">
        <v>46025</v>
      </c>
      <c r="B42">
        <v>1</v>
      </c>
      <c r="C42">
        <v>6</v>
      </c>
      <c r="D42" t="s">
        <v>104</v>
      </c>
      <c r="E42" t="s">
        <v>34</v>
      </c>
      <c r="F42">
        <v>322419</v>
      </c>
      <c r="G42" s="6">
        <v>0</v>
      </c>
      <c r="H42" t="s">
        <v>72</v>
      </c>
      <c r="I42">
        <v>10678687</v>
      </c>
      <c r="J42">
        <v>4</v>
      </c>
      <c r="K42">
        <v>24.18</v>
      </c>
      <c r="L42">
        <v>24.8</v>
      </c>
      <c r="M42">
        <v>845</v>
      </c>
      <c r="N42" s="2">
        <v>7200</v>
      </c>
      <c r="O42">
        <v>230</v>
      </c>
      <c r="P42">
        <v>0</v>
      </c>
      <c r="R42" s="2">
        <v>3600</v>
      </c>
      <c r="T42" s="2">
        <v>7200</v>
      </c>
      <c r="X42">
        <v>0</v>
      </c>
      <c r="Z42">
        <v>1</v>
      </c>
      <c r="AB42">
        <v>19.899999999999999</v>
      </c>
      <c r="AC42">
        <v>4.6709722219999996</v>
      </c>
      <c r="AD42">
        <v>22</v>
      </c>
      <c r="AE42" s="7"/>
      <c r="AF42" s="7"/>
      <c r="AG42" s="7"/>
      <c r="AH42" s="7"/>
      <c r="AI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7.3290277780000004</v>
      </c>
      <c r="AJ42" s="7"/>
      <c r="AK42" t="s">
        <v>78</v>
      </c>
      <c r="AN42">
        <f>IFERROR(INT(Table13[[#This Row],[reject_prod]]/Table13[[#This Row],[part_weight]] * 1000), 0)</f>
        <v>40</v>
      </c>
    </row>
    <row r="43" spans="1:40" hidden="1">
      <c r="A43" s="1">
        <v>46025</v>
      </c>
      <c r="B43">
        <v>1</v>
      </c>
      <c r="C43">
        <v>6</v>
      </c>
      <c r="D43" t="s">
        <v>104</v>
      </c>
      <c r="E43" t="s">
        <v>34</v>
      </c>
      <c r="F43">
        <v>579471</v>
      </c>
      <c r="G43" s="6">
        <v>0</v>
      </c>
      <c r="H43" t="s">
        <v>105</v>
      </c>
      <c r="I43">
        <v>10681843</v>
      </c>
      <c r="J43">
        <v>4</v>
      </c>
      <c r="K43">
        <v>24</v>
      </c>
      <c r="L43">
        <v>24</v>
      </c>
      <c r="M43">
        <v>760</v>
      </c>
      <c r="N43" s="2">
        <v>50400</v>
      </c>
      <c r="O43">
        <v>0</v>
      </c>
      <c r="P43" s="2">
        <v>3024</v>
      </c>
      <c r="R43">
        <v>0</v>
      </c>
      <c r="T43" s="2">
        <v>3024</v>
      </c>
      <c r="X43">
        <v>3</v>
      </c>
      <c r="Z43">
        <v>1.2</v>
      </c>
      <c r="AB43">
        <v>22.17</v>
      </c>
      <c r="AC43">
        <v>4.6803333330000001</v>
      </c>
      <c r="AD43">
        <v>22</v>
      </c>
      <c r="AE43" s="7"/>
      <c r="AF43" s="7"/>
      <c r="AG43" s="7">
        <v>1.5</v>
      </c>
      <c r="AH43" s="7"/>
      <c r="AI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5.8196666669999999</v>
      </c>
      <c r="AJ43" s="7"/>
      <c r="AK43" t="s">
        <v>106</v>
      </c>
      <c r="AL43">
        <v>6</v>
      </c>
      <c r="AM43">
        <v>5</v>
      </c>
      <c r="AN43">
        <f>IFERROR(INT(Table13[[#This Row],[reject_prod]]/Table13[[#This Row],[part_weight]] * 1000), 0)</f>
        <v>50</v>
      </c>
    </row>
    <row r="44" spans="1:40" hidden="1">
      <c r="A44" s="1">
        <v>46025</v>
      </c>
      <c r="B44">
        <v>1</v>
      </c>
      <c r="C44">
        <v>7</v>
      </c>
      <c r="D44" t="s">
        <v>107</v>
      </c>
      <c r="E44" t="s">
        <v>34</v>
      </c>
      <c r="F44">
        <v>324165</v>
      </c>
      <c r="G44" s="6">
        <v>0</v>
      </c>
      <c r="H44" t="s">
        <v>44</v>
      </c>
      <c r="I44">
        <v>10680238</v>
      </c>
      <c r="J44">
        <v>4</v>
      </c>
      <c r="K44">
        <v>32.56</v>
      </c>
      <c r="L44">
        <v>33</v>
      </c>
      <c r="M44">
        <v>1924</v>
      </c>
      <c r="N44" s="2">
        <v>104192</v>
      </c>
      <c r="O44" s="2">
        <v>2368</v>
      </c>
      <c r="P44" s="2">
        <v>2960</v>
      </c>
      <c r="R44" s="2">
        <v>7104</v>
      </c>
      <c r="T44" s="2">
        <v>81104</v>
      </c>
      <c r="X44">
        <v>0</v>
      </c>
      <c r="Z44">
        <v>4.2</v>
      </c>
      <c r="AB44">
        <v>22.5</v>
      </c>
      <c r="AC44">
        <v>12</v>
      </c>
      <c r="AD44">
        <v>22</v>
      </c>
      <c r="AE44" s="7"/>
      <c r="AF44" s="7"/>
      <c r="AG44" s="7"/>
      <c r="AH44" s="7"/>
      <c r="AI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" s="7"/>
      <c r="AK44" t="s">
        <v>79</v>
      </c>
      <c r="AN44">
        <f>IFERROR(INT(Table13[[#This Row],[reject_prod]]/Table13[[#This Row],[part_weight]] * 1000), 0)</f>
        <v>127</v>
      </c>
    </row>
    <row r="45" spans="1:40" hidden="1">
      <c r="A45" s="1">
        <v>46025</v>
      </c>
      <c r="B45">
        <v>1</v>
      </c>
      <c r="C45">
        <v>8</v>
      </c>
      <c r="D45" t="s">
        <v>108</v>
      </c>
      <c r="E45" t="s">
        <v>34</v>
      </c>
      <c r="F45">
        <v>323102</v>
      </c>
      <c r="G45" s="6">
        <v>0</v>
      </c>
      <c r="H45" t="s">
        <v>45</v>
      </c>
      <c r="I45">
        <v>10682922</v>
      </c>
      <c r="J45">
        <v>4</v>
      </c>
      <c r="K45">
        <v>56.9</v>
      </c>
      <c r="L45">
        <v>56.9</v>
      </c>
      <c r="M45">
        <v>1430</v>
      </c>
      <c r="N45" s="2">
        <v>38400</v>
      </c>
      <c r="O45">
        <v>50</v>
      </c>
      <c r="P45">
        <v>0</v>
      </c>
      <c r="R45" s="2">
        <v>5760</v>
      </c>
      <c r="T45" s="2">
        <v>23040</v>
      </c>
      <c r="X45">
        <v>0</v>
      </c>
      <c r="Z45">
        <v>3.4</v>
      </c>
      <c r="AB45">
        <v>27.74</v>
      </c>
      <c r="AC45">
        <v>11.01894444</v>
      </c>
      <c r="AD45">
        <v>26</v>
      </c>
      <c r="AE45" s="7"/>
      <c r="AF45" s="7"/>
      <c r="AG45" s="7"/>
      <c r="AH45" s="7"/>
      <c r="AI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0.98105555999999972</v>
      </c>
      <c r="AJ45" s="7"/>
      <c r="AK45" t="s">
        <v>109</v>
      </c>
      <c r="AL45">
        <v>1</v>
      </c>
      <c r="AM45">
        <v>2.5</v>
      </c>
      <c r="AN45">
        <f>IFERROR(INT(Table13[[#This Row],[reject_prod]]/Table13[[#This Row],[part_weight]] * 1000), 0)</f>
        <v>59</v>
      </c>
    </row>
    <row r="46" spans="1:40" hidden="1">
      <c r="A46" s="1">
        <v>46025</v>
      </c>
      <c r="B46">
        <v>1</v>
      </c>
      <c r="C46">
        <v>9</v>
      </c>
      <c r="D46" t="s">
        <v>110</v>
      </c>
      <c r="E46" t="s">
        <v>46</v>
      </c>
      <c r="F46">
        <v>586276</v>
      </c>
      <c r="G46" s="6">
        <v>0</v>
      </c>
      <c r="H46" t="s">
        <v>47</v>
      </c>
      <c r="I46">
        <v>10682923</v>
      </c>
      <c r="J46">
        <v>6</v>
      </c>
      <c r="K46">
        <v>12.3</v>
      </c>
      <c r="L46">
        <v>12.3</v>
      </c>
      <c r="M46">
        <v>1688</v>
      </c>
      <c r="N46" s="2">
        <v>162000</v>
      </c>
      <c r="O46" s="2">
        <v>1215</v>
      </c>
      <c r="P46" s="2">
        <v>3240</v>
      </c>
      <c r="R46" s="2">
        <v>8100</v>
      </c>
      <c r="T46" s="2">
        <v>43740</v>
      </c>
      <c r="X46">
        <v>0</v>
      </c>
      <c r="Z46">
        <v>1.2</v>
      </c>
      <c r="AB46">
        <v>25.5</v>
      </c>
      <c r="AC46">
        <v>11.956666670000001</v>
      </c>
      <c r="AD46">
        <v>26</v>
      </c>
      <c r="AE46" s="7"/>
      <c r="AF46" s="7"/>
      <c r="AG46" s="7"/>
      <c r="AH46" s="7"/>
      <c r="AI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46" s="7"/>
      <c r="AK46" t="s">
        <v>57</v>
      </c>
      <c r="AN46">
        <f>IFERROR(INT(Table13[[#This Row],[reject_prod]]/Table13[[#This Row],[part_weight]] * 1000), 0)</f>
        <v>97</v>
      </c>
    </row>
    <row r="47" spans="1:40" hidden="1">
      <c r="A47" s="1">
        <v>46025</v>
      </c>
      <c r="B47">
        <v>1</v>
      </c>
      <c r="C47">
        <v>10</v>
      </c>
      <c r="D47" t="s">
        <v>65</v>
      </c>
      <c r="E47" t="s">
        <v>41</v>
      </c>
      <c r="F47">
        <v>593537</v>
      </c>
      <c r="G47" s="6">
        <v>0</v>
      </c>
      <c r="H47" t="s">
        <v>48</v>
      </c>
      <c r="I47">
        <v>10680019</v>
      </c>
      <c r="J47">
        <v>4</v>
      </c>
      <c r="K47">
        <v>56.5</v>
      </c>
      <c r="L47">
        <v>56.8</v>
      </c>
      <c r="M47">
        <v>1300</v>
      </c>
      <c r="N47" s="2">
        <v>69000</v>
      </c>
      <c r="O47">
        <v>230</v>
      </c>
      <c r="P47">
        <v>115</v>
      </c>
      <c r="R47" s="2">
        <v>5175</v>
      </c>
      <c r="T47" s="2">
        <v>63250</v>
      </c>
      <c r="X47">
        <v>0</v>
      </c>
      <c r="Z47">
        <v>6.5</v>
      </c>
      <c r="AB47">
        <v>31.7</v>
      </c>
      <c r="AC47">
        <v>11.44722222</v>
      </c>
      <c r="AD47">
        <v>28.5</v>
      </c>
      <c r="AE47" s="7"/>
      <c r="AF47" s="7"/>
      <c r="AG47" s="7"/>
      <c r="AH47" s="7"/>
      <c r="AI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0.55277777999999955</v>
      </c>
      <c r="AJ47" s="7"/>
      <c r="AK47" t="s">
        <v>111</v>
      </c>
      <c r="AM47">
        <v>2.7</v>
      </c>
      <c r="AN47">
        <f>IFERROR(INT(Table13[[#This Row],[reject_prod]]/Table13[[#This Row],[part_weight]] * 1000), 0)</f>
        <v>114</v>
      </c>
    </row>
    <row r="48" spans="1:40" hidden="1">
      <c r="A48" s="1">
        <v>46025</v>
      </c>
      <c r="B48">
        <v>1</v>
      </c>
      <c r="C48">
        <v>11</v>
      </c>
      <c r="D48" t="s">
        <v>112</v>
      </c>
      <c r="E48" t="s">
        <v>46</v>
      </c>
      <c r="F48">
        <v>552181</v>
      </c>
      <c r="G48" s="6">
        <v>1</v>
      </c>
      <c r="H48" t="s">
        <v>49</v>
      </c>
      <c r="I48">
        <v>10679363</v>
      </c>
      <c r="J48">
        <v>6</v>
      </c>
      <c r="K48">
        <v>18.8</v>
      </c>
      <c r="L48">
        <v>18.8</v>
      </c>
      <c r="M48">
        <v>1580</v>
      </c>
      <c r="N48" s="2">
        <v>108000</v>
      </c>
      <c r="O48" s="2">
        <v>15930</v>
      </c>
      <c r="P48" s="2">
        <v>25650</v>
      </c>
      <c r="R48">
        <v>0</v>
      </c>
      <c r="T48" s="2">
        <v>58050</v>
      </c>
      <c r="X48">
        <v>0</v>
      </c>
      <c r="Z48">
        <v>3.4</v>
      </c>
      <c r="AB48">
        <v>27.6</v>
      </c>
      <c r="AC48">
        <v>12</v>
      </c>
      <c r="AD48">
        <v>27</v>
      </c>
      <c r="AE48" s="7"/>
      <c r="AF48" s="7"/>
      <c r="AG48" s="7"/>
      <c r="AH48" s="7"/>
      <c r="AI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" s="7"/>
      <c r="AK48" t="s">
        <v>113</v>
      </c>
      <c r="AN48">
        <f>IFERROR(INT(Table13[[#This Row],[reject_prod]]/Table13[[#This Row],[part_weight]] * 1000), 0)</f>
        <v>180</v>
      </c>
    </row>
    <row r="49" spans="1:40" hidden="1">
      <c r="A49" s="1">
        <v>46025</v>
      </c>
      <c r="B49">
        <v>1</v>
      </c>
      <c r="C49">
        <v>12</v>
      </c>
      <c r="D49" t="s">
        <v>40</v>
      </c>
      <c r="E49" t="s">
        <v>34</v>
      </c>
      <c r="F49">
        <v>620599</v>
      </c>
      <c r="G49" s="6">
        <v>0</v>
      </c>
      <c r="H49" t="s">
        <v>50</v>
      </c>
      <c r="I49">
        <v>10682928</v>
      </c>
      <c r="J49">
        <v>4</v>
      </c>
      <c r="K49">
        <v>55</v>
      </c>
      <c r="L49">
        <v>55</v>
      </c>
      <c r="M49">
        <v>1385</v>
      </c>
      <c r="N49" s="2">
        <v>72000</v>
      </c>
      <c r="O49">
        <v>100</v>
      </c>
      <c r="P49">
        <v>225</v>
      </c>
      <c r="R49" s="2">
        <v>5400</v>
      </c>
      <c r="T49" s="2">
        <v>5625</v>
      </c>
      <c r="X49">
        <v>0</v>
      </c>
      <c r="Z49">
        <v>7.8</v>
      </c>
      <c r="AB49">
        <v>28</v>
      </c>
      <c r="AC49">
        <v>10.77222222</v>
      </c>
      <c r="AD49">
        <v>28</v>
      </c>
      <c r="AE49" s="7"/>
      <c r="AF49" s="7"/>
      <c r="AG49" s="7"/>
      <c r="AH49" s="7"/>
      <c r="AI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1.2277777800000003</v>
      </c>
      <c r="AJ49" s="7"/>
      <c r="AK49" t="s">
        <v>114</v>
      </c>
      <c r="AN49">
        <f>IFERROR(INT(Table13[[#This Row],[reject_prod]]/Table13[[#This Row],[part_weight]] * 1000), 0)</f>
        <v>141</v>
      </c>
    </row>
    <row r="50" spans="1:40" hidden="1">
      <c r="A50" s="1">
        <v>46025</v>
      </c>
      <c r="B50">
        <v>1</v>
      </c>
      <c r="C50">
        <v>13</v>
      </c>
      <c r="D50" t="s">
        <v>112</v>
      </c>
      <c r="E50" t="s">
        <v>46</v>
      </c>
      <c r="F50">
        <v>586276</v>
      </c>
      <c r="G50" s="6">
        <v>0</v>
      </c>
      <c r="H50" t="s">
        <v>47</v>
      </c>
      <c r="I50">
        <v>10682335</v>
      </c>
      <c r="J50">
        <v>6</v>
      </c>
      <c r="K50">
        <v>12.3</v>
      </c>
      <c r="L50">
        <v>12.3</v>
      </c>
      <c r="M50">
        <v>1590</v>
      </c>
      <c r="N50" s="2">
        <v>162000</v>
      </c>
      <c r="O50">
        <v>405</v>
      </c>
      <c r="P50" s="2">
        <v>1620</v>
      </c>
      <c r="R50" s="2">
        <v>8100</v>
      </c>
      <c r="T50" s="2">
        <v>147420</v>
      </c>
      <c r="X50">
        <v>0</v>
      </c>
      <c r="Z50">
        <v>3.5</v>
      </c>
      <c r="AB50">
        <v>26</v>
      </c>
      <c r="AC50">
        <v>11.483333330000001</v>
      </c>
      <c r="AD50">
        <v>26</v>
      </c>
      <c r="AE50" s="7"/>
      <c r="AF50" s="7"/>
      <c r="AG50" s="7"/>
      <c r="AH50" s="7"/>
      <c r="AI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0.51666666999999933</v>
      </c>
      <c r="AJ50" s="7"/>
      <c r="AK50" t="s">
        <v>51</v>
      </c>
      <c r="AM50">
        <v>2</v>
      </c>
      <c r="AN50">
        <f>IFERROR(INT(Table13[[#This Row],[reject_prod]]/Table13[[#This Row],[part_weight]] * 1000), 0)</f>
        <v>284</v>
      </c>
    </row>
    <row r="51" spans="1:40" hidden="1">
      <c r="A51" s="1">
        <v>46025</v>
      </c>
      <c r="B51">
        <v>1</v>
      </c>
      <c r="C51">
        <v>14</v>
      </c>
      <c r="D51" t="s">
        <v>62</v>
      </c>
      <c r="E51" t="s">
        <v>46</v>
      </c>
      <c r="F51">
        <v>555979</v>
      </c>
      <c r="G51" s="6">
        <v>1</v>
      </c>
      <c r="H51" t="s">
        <v>52</v>
      </c>
      <c r="I51">
        <v>10682931</v>
      </c>
      <c r="J51">
        <v>6</v>
      </c>
      <c r="K51">
        <v>28</v>
      </c>
      <c r="L51">
        <v>28</v>
      </c>
      <c r="M51">
        <v>970</v>
      </c>
      <c r="N51" s="2">
        <v>100800</v>
      </c>
      <c r="O51" s="2">
        <v>3192</v>
      </c>
      <c r="P51" s="2">
        <v>2184</v>
      </c>
      <c r="R51" s="2">
        <v>6720</v>
      </c>
      <c r="T51" s="2">
        <v>49224</v>
      </c>
      <c r="X51">
        <v>0</v>
      </c>
      <c r="Z51">
        <v>4.5</v>
      </c>
      <c r="AB51">
        <v>43.3</v>
      </c>
      <c r="AC51">
        <v>11.66694444</v>
      </c>
      <c r="AD51">
        <v>42</v>
      </c>
      <c r="AE51" s="7"/>
      <c r="AF51" s="7"/>
      <c r="AG51" s="7"/>
      <c r="AH51" s="7"/>
      <c r="AI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0.33305556000000003</v>
      </c>
      <c r="AJ51" s="7"/>
      <c r="AK51" t="s">
        <v>51</v>
      </c>
      <c r="AN51">
        <f>IFERROR(INT(Table13[[#This Row],[reject_prod]]/Table13[[#This Row],[part_weight]] * 1000), 0)</f>
        <v>160</v>
      </c>
    </row>
    <row r="52" spans="1:40" hidden="1">
      <c r="A52" s="1">
        <v>46025</v>
      </c>
      <c r="B52">
        <v>1</v>
      </c>
      <c r="C52">
        <v>15</v>
      </c>
      <c r="D52" t="s">
        <v>112</v>
      </c>
      <c r="E52" t="s">
        <v>46</v>
      </c>
      <c r="F52">
        <v>552181</v>
      </c>
      <c r="G52" s="6">
        <v>2</v>
      </c>
      <c r="H52" t="s">
        <v>49</v>
      </c>
      <c r="I52">
        <v>10682933</v>
      </c>
      <c r="J52">
        <v>6</v>
      </c>
      <c r="K52">
        <v>18.8</v>
      </c>
      <c r="L52">
        <v>18.8</v>
      </c>
      <c r="M52">
        <v>1345</v>
      </c>
      <c r="N52" s="2">
        <v>108000</v>
      </c>
      <c r="O52" s="2">
        <v>10530</v>
      </c>
      <c r="P52">
        <v>270</v>
      </c>
      <c r="R52" s="2">
        <v>16200</v>
      </c>
      <c r="T52" s="2">
        <v>54270</v>
      </c>
      <c r="X52">
        <v>0</v>
      </c>
      <c r="Z52">
        <v>6.5</v>
      </c>
      <c r="AB52">
        <v>31.1</v>
      </c>
      <c r="AC52">
        <v>11.619305560000001</v>
      </c>
      <c r="AD52">
        <v>27</v>
      </c>
      <c r="AE52" s="7"/>
      <c r="AF52" s="7"/>
      <c r="AG52" s="7"/>
      <c r="AH52" s="7"/>
      <c r="AI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0.38069443999999919</v>
      </c>
      <c r="AJ52" s="7"/>
      <c r="AK52" t="s">
        <v>51</v>
      </c>
      <c r="AM52">
        <v>1.5</v>
      </c>
      <c r="AN52">
        <f>IFERROR(INT(Table13[[#This Row],[reject_prod]]/Table13[[#This Row],[part_weight]] * 1000), 0)</f>
        <v>345</v>
      </c>
    </row>
    <row r="53" spans="1:40" hidden="1">
      <c r="A53" s="1">
        <v>46025</v>
      </c>
      <c r="B53">
        <v>1</v>
      </c>
      <c r="C53">
        <v>16</v>
      </c>
      <c r="D53" t="s">
        <v>115</v>
      </c>
      <c r="E53" t="s">
        <v>46</v>
      </c>
      <c r="F53">
        <v>555979</v>
      </c>
      <c r="G53" s="6">
        <v>2</v>
      </c>
      <c r="H53" t="s">
        <v>52</v>
      </c>
      <c r="I53">
        <v>10682063</v>
      </c>
      <c r="J53">
        <v>6</v>
      </c>
      <c r="K53">
        <v>28</v>
      </c>
      <c r="L53">
        <v>28</v>
      </c>
      <c r="M53">
        <v>980</v>
      </c>
      <c r="N53" s="2">
        <v>100800</v>
      </c>
      <c r="O53" s="2">
        <v>1680</v>
      </c>
      <c r="P53">
        <v>840</v>
      </c>
      <c r="R53" s="2">
        <v>6720</v>
      </c>
      <c r="T53" s="2">
        <v>91560</v>
      </c>
      <c r="X53">
        <v>0</v>
      </c>
      <c r="Z53">
        <v>3.1</v>
      </c>
      <c r="AB53">
        <v>44.3</v>
      </c>
      <c r="AC53">
        <v>12</v>
      </c>
      <c r="AD53">
        <v>42</v>
      </c>
      <c r="AE53" s="7"/>
      <c r="AF53" s="7"/>
      <c r="AG53" s="7"/>
      <c r="AH53" s="7"/>
      <c r="AI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" s="7"/>
      <c r="AK53" t="s">
        <v>51</v>
      </c>
      <c r="AN53">
        <f>IFERROR(INT(Table13[[#This Row],[reject_prod]]/Table13[[#This Row],[part_weight]] * 1000), 0)</f>
        <v>110</v>
      </c>
    </row>
    <row r="54" spans="1:40" hidden="1">
      <c r="A54" s="1">
        <v>46025</v>
      </c>
      <c r="B54">
        <v>2</v>
      </c>
      <c r="C54">
        <v>1</v>
      </c>
      <c r="F54">
        <v>123456</v>
      </c>
      <c r="G54" s="6">
        <v>0</v>
      </c>
      <c r="M54">
        <v>0</v>
      </c>
      <c r="N54">
        <v>0</v>
      </c>
      <c r="O54">
        <v>0</v>
      </c>
      <c r="P54">
        <v>0</v>
      </c>
      <c r="R54">
        <v>0</v>
      </c>
      <c r="T54">
        <v>0</v>
      </c>
      <c r="X54">
        <v>0</v>
      </c>
      <c r="Z54">
        <v>0</v>
      </c>
      <c r="AB54">
        <v>0</v>
      </c>
      <c r="AC54">
        <v>0</v>
      </c>
      <c r="AD54">
        <v>22.5</v>
      </c>
      <c r="AE54" s="7"/>
      <c r="AF54" s="7"/>
      <c r="AG54" s="7"/>
      <c r="AH54" s="7"/>
      <c r="AI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" s="7">
        <v>12</v>
      </c>
      <c r="AK54" t="s">
        <v>116</v>
      </c>
      <c r="AN54">
        <f>IFERROR(INT(Table13[[#This Row],[reject_prod]]/Table13[[#This Row],[part_weight]] * 1000), 0)</f>
        <v>0</v>
      </c>
    </row>
    <row r="55" spans="1:40" hidden="1">
      <c r="A55" s="1">
        <v>46025</v>
      </c>
      <c r="B55">
        <v>2</v>
      </c>
      <c r="C55">
        <v>2</v>
      </c>
      <c r="D55" t="s">
        <v>88</v>
      </c>
      <c r="E55" t="s">
        <v>34</v>
      </c>
      <c r="F55">
        <v>423213</v>
      </c>
      <c r="G55" s="6">
        <v>0</v>
      </c>
      <c r="H55" t="s">
        <v>70</v>
      </c>
      <c r="I55">
        <v>10682754</v>
      </c>
      <c r="J55">
        <v>4</v>
      </c>
      <c r="K55">
        <v>30</v>
      </c>
      <c r="L55">
        <v>23</v>
      </c>
      <c r="M55">
        <v>1883</v>
      </c>
      <c r="N55" s="2">
        <v>47244</v>
      </c>
      <c r="O55" s="2">
        <v>2667</v>
      </c>
      <c r="P55">
        <v>762</v>
      </c>
      <c r="R55" s="2">
        <v>9144</v>
      </c>
      <c r="T55" s="2">
        <v>23622</v>
      </c>
      <c r="X55">
        <v>0</v>
      </c>
      <c r="Z55">
        <v>5</v>
      </c>
      <c r="AB55">
        <v>22.4</v>
      </c>
      <c r="AC55">
        <v>11.71644444</v>
      </c>
      <c r="AD55">
        <v>22.5</v>
      </c>
      <c r="AE55" s="7"/>
      <c r="AF55" s="7"/>
      <c r="AG55" s="7"/>
      <c r="AH55" s="7"/>
      <c r="AI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0.28355555999999993</v>
      </c>
      <c r="AJ55" s="7"/>
      <c r="AK55" t="s">
        <v>91</v>
      </c>
      <c r="AN55">
        <f>IFERROR(INT(Table13[[#This Row],[reject_prod]]/Table13[[#This Row],[part_weight]] * 1000), 0)</f>
        <v>217</v>
      </c>
    </row>
    <row r="56" spans="1:40" hidden="1">
      <c r="A56" s="1">
        <v>46025</v>
      </c>
      <c r="B56">
        <v>2</v>
      </c>
      <c r="C56">
        <v>3</v>
      </c>
      <c r="D56" t="s">
        <v>117</v>
      </c>
      <c r="E56" t="s">
        <v>34</v>
      </c>
      <c r="F56">
        <v>442034</v>
      </c>
      <c r="G56" s="6">
        <v>0</v>
      </c>
      <c r="H56" t="s">
        <v>37</v>
      </c>
      <c r="I56">
        <v>10681182</v>
      </c>
      <c r="J56">
        <v>4</v>
      </c>
      <c r="K56">
        <v>23</v>
      </c>
      <c r="L56">
        <v>23</v>
      </c>
      <c r="M56">
        <v>1548</v>
      </c>
      <c r="N56" s="2">
        <v>139776</v>
      </c>
      <c r="O56" s="2">
        <v>1920</v>
      </c>
      <c r="P56" s="2">
        <v>3456</v>
      </c>
      <c r="R56" s="2">
        <v>4608</v>
      </c>
      <c r="T56" s="2">
        <v>114048</v>
      </c>
      <c r="X56">
        <v>0</v>
      </c>
      <c r="Z56">
        <v>4</v>
      </c>
      <c r="AB56">
        <v>25.9</v>
      </c>
      <c r="AC56">
        <v>11.137</v>
      </c>
      <c r="AD56">
        <v>22</v>
      </c>
      <c r="AE56" s="7"/>
      <c r="AF56" s="7"/>
      <c r="AG56" s="7"/>
      <c r="AH56" s="7"/>
      <c r="AI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0.86299999999999955</v>
      </c>
      <c r="AJ56" s="7"/>
      <c r="AK56" t="s">
        <v>118</v>
      </c>
      <c r="AN56">
        <f>IFERROR(INT(Table13[[#This Row],[reject_prod]]/Table13[[#This Row],[part_weight]] * 1000), 0)</f>
        <v>173</v>
      </c>
    </row>
    <row r="57" spans="1:40" hidden="1">
      <c r="A57" s="1">
        <v>46025</v>
      </c>
      <c r="B57">
        <v>2</v>
      </c>
      <c r="C57">
        <v>4</v>
      </c>
      <c r="F57">
        <v>123456</v>
      </c>
      <c r="G57" s="6">
        <v>0</v>
      </c>
      <c r="M57">
        <v>0</v>
      </c>
      <c r="N57">
        <v>0</v>
      </c>
      <c r="O57">
        <v>0</v>
      </c>
      <c r="P57">
        <v>0</v>
      </c>
      <c r="R57">
        <v>0</v>
      </c>
      <c r="T57">
        <v>0</v>
      </c>
      <c r="X57">
        <v>0</v>
      </c>
      <c r="Z57">
        <v>0</v>
      </c>
      <c r="AB57">
        <v>0</v>
      </c>
      <c r="AC57">
        <v>0</v>
      </c>
      <c r="AD57">
        <v>22.5</v>
      </c>
      <c r="AE57" s="7"/>
      <c r="AF57" s="7"/>
      <c r="AG57" s="7"/>
      <c r="AH57" s="7"/>
      <c r="AI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" s="7">
        <v>12</v>
      </c>
      <c r="AK57" t="s">
        <v>116</v>
      </c>
      <c r="AN57">
        <f>IFERROR(INT(Table13[[#This Row],[reject_prod]]/Table13[[#This Row],[part_weight]] * 1000), 0)</f>
        <v>0</v>
      </c>
    </row>
    <row r="58" spans="1:40" hidden="1">
      <c r="A58" s="1">
        <v>46025</v>
      </c>
      <c r="B58">
        <v>2</v>
      </c>
      <c r="C58">
        <v>5</v>
      </c>
      <c r="F58">
        <v>123456</v>
      </c>
      <c r="G58" s="6">
        <v>0</v>
      </c>
      <c r="M58">
        <v>0</v>
      </c>
      <c r="N58">
        <v>0</v>
      </c>
      <c r="O58">
        <v>0</v>
      </c>
      <c r="P58">
        <v>0</v>
      </c>
      <c r="R58">
        <v>0</v>
      </c>
      <c r="T58">
        <v>0</v>
      </c>
      <c r="X58">
        <v>0</v>
      </c>
      <c r="Z58">
        <v>0</v>
      </c>
      <c r="AB58">
        <v>0</v>
      </c>
      <c r="AC58">
        <v>0</v>
      </c>
      <c r="AD58">
        <v>22.5</v>
      </c>
      <c r="AE58" s="7"/>
      <c r="AF58" s="7"/>
      <c r="AG58" s="7"/>
      <c r="AH58" s="7"/>
      <c r="AI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" s="7">
        <v>12</v>
      </c>
      <c r="AK58" t="s">
        <v>116</v>
      </c>
      <c r="AN58">
        <f>IFERROR(INT(Table13[[#This Row],[reject_prod]]/Table13[[#This Row],[part_weight]] * 1000), 0)</f>
        <v>0</v>
      </c>
    </row>
    <row r="59" spans="1:40" hidden="1">
      <c r="A59" s="1">
        <v>46025</v>
      </c>
      <c r="B59">
        <v>2</v>
      </c>
      <c r="C59">
        <v>6</v>
      </c>
      <c r="F59">
        <v>123456</v>
      </c>
      <c r="G59" s="6">
        <v>0</v>
      </c>
      <c r="M59">
        <v>0</v>
      </c>
      <c r="N59">
        <v>0</v>
      </c>
      <c r="O59">
        <v>0</v>
      </c>
      <c r="P59">
        <v>0</v>
      </c>
      <c r="R59">
        <v>0</v>
      </c>
      <c r="T59">
        <v>0</v>
      </c>
      <c r="X59">
        <v>0</v>
      </c>
      <c r="Z59">
        <v>0</v>
      </c>
      <c r="AB59">
        <v>0</v>
      </c>
      <c r="AC59">
        <v>0</v>
      </c>
      <c r="AD59">
        <v>22.5</v>
      </c>
      <c r="AE59" s="7"/>
      <c r="AF59" s="7"/>
      <c r="AG59" s="7"/>
      <c r="AH59" s="7"/>
      <c r="AI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9" s="7">
        <v>12</v>
      </c>
      <c r="AK59" t="s">
        <v>116</v>
      </c>
      <c r="AN59">
        <f>IFERROR(INT(Table13[[#This Row],[reject_prod]]/Table13[[#This Row],[part_weight]] * 1000), 0)</f>
        <v>0</v>
      </c>
    </row>
    <row r="60" spans="1:40" hidden="1">
      <c r="A60" s="1">
        <v>46025</v>
      </c>
      <c r="B60">
        <v>2</v>
      </c>
      <c r="C60">
        <v>7</v>
      </c>
      <c r="D60" t="s">
        <v>119</v>
      </c>
      <c r="E60" t="s">
        <v>34</v>
      </c>
      <c r="F60">
        <v>324165</v>
      </c>
      <c r="G60" s="6">
        <v>0</v>
      </c>
      <c r="H60" t="s">
        <v>44</v>
      </c>
      <c r="I60">
        <v>10680238</v>
      </c>
      <c r="J60">
        <v>4</v>
      </c>
      <c r="K60">
        <v>32.56</v>
      </c>
      <c r="L60">
        <v>33</v>
      </c>
      <c r="M60">
        <v>1902</v>
      </c>
      <c r="N60" s="2">
        <v>104192</v>
      </c>
      <c r="O60" s="2">
        <v>2960</v>
      </c>
      <c r="P60">
        <v>0</v>
      </c>
      <c r="R60" s="2">
        <v>10656</v>
      </c>
      <c r="T60" s="2">
        <v>88800</v>
      </c>
      <c r="X60">
        <v>0</v>
      </c>
      <c r="Z60">
        <v>3</v>
      </c>
      <c r="AB60">
        <v>22.5</v>
      </c>
      <c r="AC60">
        <v>11.887499999999999</v>
      </c>
      <c r="AD60">
        <v>22</v>
      </c>
      <c r="AE60" s="7"/>
      <c r="AF60" s="7"/>
      <c r="AG60" s="7"/>
      <c r="AH60" s="7"/>
      <c r="AI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0.11250000000000071</v>
      </c>
      <c r="AJ60" s="7"/>
      <c r="AK60" t="s">
        <v>91</v>
      </c>
      <c r="AN60">
        <f>IFERROR(INT(Table13[[#This Row],[reject_prod]]/Table13[[#This Row],[part_weight]] * 1000), 0)</f>
        <v>90</v>
      </c>
    </row>
    <row r="61" spans="1:40" hidden="1">
      <c r="A61" s="1">
        <v>46025</v>
      </c>
      <c r="B61">
        <v>2</v>
      </c>
      <c r="C61">
        <v>8</v>
      </c>
      <c r="F61">
        <v>123456</v>
      </c>
      <c r="G61" s="6">
        <v>0</v>
      </c>
      <c r="M61">
        <v>0</v>
      </c>
      <c r="N61">
        <v>0</v>
      </c>
      <c r="O61">
        <v>0</v>
      </c>
      <c r="P61">
        <v>0</v>
      </c>
      <c r="R61">
        <v>0</v>
      </c>
      <c r="T61">
        <v>0</v>
      </c>
      <c r="X61">
        <v>0</v>
      </c>
      <c r="Z61">
        <v>0</v>
      </c>
      <c r="AB61">
        <v>0</v>
      </c>
      <c r="AC61">
        <v>0</v>
      </c>
      <c r="AD61">
        <v>22.5</v>
      </c>
      <c r="AE61" s="7"/>
      <c r="AF61" s="7"/>
      <c r="AG61" s="7"/>
      <c r="AH61" s="7"/>
      <c r="AI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1" s="7">
        <v>12</v>
      </c>
      <c r="AK61" t="s">
        <v>116</v>
      </c>
      <c r="AN61">
        <f>IFERROR(INT(Table13[[#This Row],[reject_prod]]/Table13[[#This Row],[part_weight]] * 1000), 0)</f>
        <v>0</v>
      </c>
    </row>
    <row r="62" spans="1:40" hidden="1">
      <c r="A62" s="1">
        <v>46025</v>
      </c>
      <c r="B62">
        <v>2</v>
      </c>
      <c r="C62">
        <v>9</v>
      </c>
      <c r="D62" t="s">
        <v>120</v>
      </c>
      <c r="E62" t="s">
        <v>46</v>
      </c>
      <c r="F62">
        <v>586276</v>
      </c>
      <c r="G62" s="6">
        <v>0</v>
      </c>
      <c r="H62" t="s">
        <v>47</v>
      </c>
      <c r="I62">
        <v>10682923</v>
      </c>
      <c r="J62">
        <v>6</v>
      </c>
      <c r="K62">
        <v>12.3</v>
      </c>
      <c r="L62">
        <v>12.3</v>
      </c>
      <c r="M62">
        <v>1625</v>
      </c>
      <c r="N62" s="2">
        <v>162000</v>
      </c>
      <c r="O62" s="2">
        <v>3240</v>
      </c>
      <c r="P62" s="2">
        <v>4860</v>
      </c>
      <c r="R62" s="2">
        <v>8100</v>
      </c>
      <c r="T62" s="2">
        <v>53460</v>
      </c>
      <c r="X62">
        <v>0</v>
      </c>
      <c r="Z62">
        <v>1</v>
      </c>
      <c r="AB62">
        <v>25.6</v>
      </c>
      <c r="AC62">
        <v>11.55555556</v>
      </c>
      <c r="AD62">
        <v>26</v>
      </c>
      <c r="AE62" s="7"/>
      <c r="AF62" s="7"/>
      <c r="AG62" s="7"/>
      <c r="AH62" s="7"/>
      <c r="AI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0.44444443999999983</v>
      </c>
      <c r="AJ62" s="7"/>
      <c r="AK62" t="s">
        <v>90</v>
      </c>
      <c r="AN62">
        <f>IFERROR(INT(Table13[[#This Row],[reject_prod]]/Table13[[#This Row],[part_weight]] * 1000), 0)</f>
        <v>81</v>
      </c>
    </row>
    <row r="63" spans="1:40" hidden="1">
      <c r="A63" s="1">
        <v>46025</v>
      </c>
      <c r="B63">
        <v>2</v>
      </c>
      <c r="C63">
        <v>10</v>
      </c>
      <c r="D63" t="s">
        <v>89</v>
      </c>
      <c r="E63" t="s">
        <v>41</v>
      </c>
      <c r="F63">
        <v>593537</v>
      </c>
      <c r="G63" s="6">
        <v>0</v>
      </c>
      <c r="H63" t="s">
        <v>48</v>
      </c>
      <c r="I63">
        <v>10680019</v>
      </c>
      <c r="J63">
        <v>4</v>
      </c>
      <c r="K63">
        <v>56.5</v>
      </c>
      <c r="L63">
        <v>56.8</v>
      </c>
      <c r="M63">
        <v>1322</v>
      </c>
      <c r="N63" s="2">
        <v>69000</v>
      </c>
      <c r="O63">
        <v>115</v>
      </c>
      <c r="P63">
        <v>115</v>
      </c>
      <c r="R63" s="2">
        <v>5175</v>
      </c>
      <c r="T63" s="2">
        <v>68540</v>
      </c>
      <c r="X63">
        <v>0</v>
      </c>
      <c r="Z63">
        <v>4</v>
      </c>
      <c r="AB63">
        <v>31.7</v>
      </c>
      <c r="AC63">
        <v>11.64094444</v>
      </c>
      <c r="AD63">
        <v>28.5</v>
      </c>
      <c r="AE63" s="7"/>
      <c r="AF63" s="7"/>
      <c r="AG63" s="7"/>
      <c r="AH63" s="7"/>
      <c r="AI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0.35905555999999983</v>
      </c>
      <c r="AJ63" s="7"/>
      <c r="AK63" t="s">
        <v>121</v>
      </c>
      <c r="AN63">
        <f>IFERROR(INT(Table13[[#This Row],[reject_prod]]/Table13[[#This Row],[part_weight]] * 1000), 0)</f>
        <v>70</v>
      </c>
    </row>
    <row r="64" spans="1:40" hidden="1">
      <c r="A64" s="1">
        <v>46025</v>
      </c>
      <c r="B64">
        <v>2</v>
      </c>
      <c r="C64">
        <v>11</v>
      </c>
      <c r="D64" t="s">
        <v>59</v>
      </c>
      <c r="E64" t="s">
        <v>46</v>
      </c>
      <c r="F64">
        <v>552181</v>
      </c>
      <c r="G64" s="6">
        <v>1</v>
      </c>
      <c r="H64" t="s">
        <v>49</v>
      </c>
      <c r="I64">
        <v>10679363</v>
      </c>
      <c r="J64">
        <v>6</v>
      </c>
      <c r="K64">
        <v>18.8</v>
      </c>
      <c r="L64">
        <v>18.8</v>
      </c>
      <c r="M64">
        <v>1530</v>
      </c>
      <c r="N64" s="2">
        <v>108000</v>
      </c>
      <c r="O64" s="2">
        <v>25650</v>
      </c>
      <c r="P64" s="2">
        <v>34830</v>
      </c>
      <c r="R64">
        <v>0</v>
      </c>
      <c r="T64" s="2">
        <v>67230</v>
      </c>
      <c r="X64">
        <v>0</v>
      </c>
      <c r="Z64">
        <v>1</v>
      </c>
      <c r="AB64">
        <v>27.87</v>
      </c>
      <c r="AC64">
        <v>11.844749999999999</v>
      </c>
      <c r="AD64">
        <v>27</v>
      </c>
      <c r="AE64" s="7"/>
      <c r="AF64" s="7"/>
      <c r="AG64" s="7"/>
      <c r="AH64" s="7"/>
      <c r="AI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0.15525000000000055</v>
      </c>
      <c r="AJ64" s="7"/>
      <c r="AK64" t="s">
        <v>122</v>
      </c>
      <c r="AN64">
        <f>IFERROR(INT(Table13[[#This Row],[reject_prod]]/Table13[[#This Row],[part_weight]] * 1000), 0)</f>
        <v>53</v>
      </c>
    </row>
    <row r="65" spans="1:40" hidden="1">
      <c r="A65" s="1">
        <v>46025</v>
      </c>
      <c r="B65">
        <v>2</v>
      </c>
      <c r="C65">
        <v>12</v>
      </c>
      <c r="F65">
        <v>123456</v>
      </c>
      <c r="G65" s="6">
        <v>0</v>
      </c>
      <c r="M65">
        <v>0</v>
      </c>
      <c r="N65">
        <v>0</v>
      </c>
      <c r="O65">
        <v>0</v>
      </c>
      <c r="P65">
        <v>0</v>
      </c>
      <c r="R65">
        <v>0</v>
      </c>
      <c r="T65">
        <v>0</v>
      </c>
      <c r="X65">
        <v>0</v>
      </c>
      <c r="Z65">
        <v>0</v>
      </c>
      <c r="AB65">
        <v>0</v>
      </c>
      <c r="AC65">
        <v>0</v>
      </c>
      <c r="AD65">
        <v>22.5</v>
      </c>
      <c r="AE65" s="7"/>
      <c r="AF65" s="7"/>
      <c r="AG65" s="7"/>
      <c r="AH65" s="7"/>
      <c r="AI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5" s="7">
        <v>12</v>
      </c>
      <c r="AK65" t="s">
        <v>116</v>
      </c>
      <c r="AN65">
        <f>IFERROR(INT(Table13[[#This Row],[reject_prod]]/Table13[[#This Row],[part_weight]] * 1000), 0)</f>
        <v>0</v>
      </c>
    </row>
    <row r="66" spans="1:40" hidden="1">
      <c r="A66" s="1">
        <v>46025</v>
      </c>
      <c r="B66">
        <v>2</v>
      </c>
      <c r="C66">
        <v>13</v>
      </c>
      <c r="D66" t="s">
        <v>59</v>
      </c>
      <c r="E66" t="s">
        <v>46</v>
      </c>
      <c r="F66">
        <v>586276</v>
      </c>
      <c r="G66" s="6">
        <v>0</v>
      </c>
      <c r="H66" t="s">
        <v>47</v>
      </c>
      <c r="I66">
        <v>10682335</v>
      </c>
      <c r="J66">
        <v>6</v>
      </c>
      <c r="K66">
        <v>12.3</v>
      </c>
      <c r="L66">
        <v>12.3</v>
      </c>
      <c r="M66">
        <v>1629</v>
      </c>
      <c r="N66" s="2">
        <v>162000</v>
      </c>
      <c r="O66" s="2">
        <v>1620</v>
      </c>
      <c r="P66" s="2">
        <v>2430</v>
      </c>
      <c r="R66" s="2">
        <v>8100</v>
      </c>
      <c r="T66" s="2">
        <v>156330</v>
      </c>
      <c r="X66">
        <v>0</v>
      </c>
      <c r="Z66">
        <v>1</v>
      </c>
      <c r="AB66">
        <v>26.1</v>
      </c>
      <c r="AC66">
        <v>11.81025</v>
      </c>
      <c r="AD66">
        <v>26</v>
      </c>
      <c r="AE66" s="7"/>
      <c r="AF66" s="7"/>
      <c r="AG66" s="7"/>
      <c r="AH66" s="7"/>
      <c r="AI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0.18975000000000009</v>
      </c>
      <c r="AJ66" s="7"/>
      <c r="AK66" t="s">
        <v>90</v>
      </c>
      <c r="AN66">
        <f>IFERROR(INT(Table13[[#This Row],[reject_prod]]/Table13[[#This Row],[part_weight]] * 1000), 0)</f>
        <v>81</v>
      </c>
    </row>
    <row r="67" spans="1:40" hidden="1">
      <c r="A67" s="1">
        <v>46025</v>
      </c>
      <c r="B67">
        <v>2</v>
      </c>
      <c r="C67">
        <v>14</v>
      </c>
      <c r="D67" t="s">
        <v>123</v>
      </c>
      <c r="E67" t="s">
        <v>46</v>
      </c>
      <c r="F67">
        <v>555979</v>
      </c>
      <c r="G67" s="6">
        <v>1</v>
      </c>
      <c r="H67" t="s">
        <v>52</v>
      </c>
      <c r="I67">
        <v>10682931</v>
      </c>
      <c r="J67">
        <v>6</v>
      </c>
      <c r="K67">
        <v>28</v>
      </c>
      <c r="L67">
        <v>28</v>
      </c>
      <c r="M67">
        <v>983</v>
      </c>
      <c r="N67" s="2">
        <v>100800</v>
      </c>
      <c r="O67" s="2">
        <v>2184</v>
      </c>
      <c r="P67" s="2">
        <v>1344</v>
      </c>
      <c r="R67" s="2">
        <v>6720</v>
      </c>
      <c r="T67" s="2">
        <v>55104</v>
      </c>
      <c r="X67">
        <v>0</v>
      </c>
      <c r="Z67">
        <v>1</v>
      </c>
      <c r="AB67">
        <v>43.2</v>
      </c>
      <c r="AC67">
        <v>11.795999999999999</v>
      </c>
      <c r="AD67">
        <v>42</v>
      </c>
      <c r="AE67" s="7"/>
      <c r="AF67" s="7"/>
      <c r="AG67" s="7"/>
      <c r="AH67" s="7"/>
      <c r="AI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0.20400000000000063</v>
      </c>
      <c r="AJ67" s="7"/>
      <c r="AK67" t="s">
        <v>90</v>
      </c>
      <c r="AN67">
        <f>IFERROR(INT(Table13[[#This Row],[reject_prod]]/Table13[[#This Row],[part_weight]] * 1000), 0)</f>
        <v>35</v>
      </c>
    </row>
    <row r="68" spans="1:40" hidden="1">
      <c r="A68" s="1">
        <v>46025</v>
      </c>
      <c r="B68">
        <v>2</v>
      </c>
      <c r="C68">
        <v>15</v>
      </c>
      <c r="D68" t="s">
        <v>59</v>
      </c>
      <c r="E68" t="s">
        <v>46</v>
      </c>
      <c r="F68">
        <v>552181</v>
      </c>
      <c r="G68" s="6">
        <v>2</v>
      </c>
      <c r="H68" t="s">
        <v>49</v>
      </c>
      <c r="I68">
        <v>10682933</v>
      </c>
      <c r="J68">
        <v>6</v>
      </c>
      <c r="K68">
        <v>18.8</v>
      </c>
      <c r="L68">
        <v>18.8</v>
      </c>
      <c r="M68">
        <v>1362</v>
      </c>
      <c r="N68" s="2">
        <v>108000</v>
      </c>
      <c r="O68">
        <v>270</v>
      </c>
      <c r="P68" s="2">
        <v>2700</v>
      </c>
      <c r="R68" s="2">
        <v>5400</v>
      </c>
      <c r="T68" s="2">
        <v>62100</v>
      </c>
      <c r="X68">
        <v>0</v>
      </c>
      <c r="Z68">
        <v>1</v>
      </c>
      <c r="AB68">
        <v>31.27</v>
      </c>
      <c r="AC68">
        <v>11.83048333</v>
      </c>
      <c r="AD68">
        <v>27</v>
      </c>
      <c r="AE68" s="7"/>
      <c r="AF68" s="7"/>
      <c r="AG68" s="7"/>
      <c r="AH68" s="7"/>
      <c r="AI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0.16951667000000015</v>
      </c>
      <c r="AJ68" s="7"/>
      <c r="AK68" t="s">
        <v>90</v>
      </c>
      <c r="AN68">
        <f>IFERROR(INT(Table13[[#This Row],[reject_prod]]/Table13[[#This Row],[part_weight]] * 1000), 0)</f>
        <v>53</v>
      </c>
    </row>
    <row r="69" spans="1:40" hidden="1">
      <c r="A69" s="1">
        <v>46025</v>
      </c>
      <c r="B69">
        <v>2</v>
      </c>
      <c r="C69">
        <v>16</v>
      </c>
      <c r="D69" t="s">
        <v>124</v>
      </c>
      <c r="E69" t="s">
        <v>46</v>
      </c>
      <c r="F69">
        <v>555979</v>
      </c>
      <c r="G69" s="6">
        <v>2</v>
      </c>
      <c r="H69" t="s">
        <v>52</v>
      </c>
      <c r="I69">
        <v>10682063</v>
      </c>
      <c r="J69">
        <v>6</v>
      </c>
      <c r="K69">
        <v>28</v>
      </c>
      <c r="L69">
        <v>28</v>
      </c>
      <c r="M69">
        <v>968</v>
      </c>
      <c r="N69" s="2">
        <v>100800</v>
      </c>
      <c r="O69">
        <v>840</v>
      </c>
      <c r="P69">
        <v>0</v>
      </c>
      <c r="R69" s="2">
        <v>6720</v>
      </c>
      <c r="T69" s="2">
        <v>97440</v>
      </c>
      <c r="X69">
        <v>0</v>
      </c>
      <c r="AB69">
        <v>44.3</v>
      </c>
      <c r="AC69">
        <v>11.91177778</v>
      </c>
      <c r="AD69">
        <v>42</v>
      </c>
      <c r="AE69" s="7"/>
      <c r="AF69" s="7"/>
      <c r="AG69" s="7"/>
      <c r="AH69" s="7"/>
      <c r="AI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8.8222220000000462E-2</v>
      </c>
      <c r="AJ69" s="7"/>
      <c r="AK69" t="s">
        <v>90</v>
      </c>
      <c r="AN69">
        <f>IFERROR(INT(Table13[[#This Row],[reject_prod]]/Table13[[#This Row],[part_weight]] * 1000), 0)</f>
        <v>0</v>
      </c>
    </row>
    <row r="70" spans="1:40" hidden="1">
      <c r="A70" s="1">
        <v>46026</v>
      </c>
      <c r="B70">
        <v>1</v>
      </c>
      <c r="C70">
        <v>1</v>
      </c>
      <c r="D70" t="s">
        <v>33</v>
      </c>
      <c r="E70" t="s">
        <v>34</v>
      </c>
      <c r="F70">
        <v>347623</v>
      </c>
      <c r="G70" s="6">
        <v>0</v>
      </c>
      <c r="H70" t="s">
        <v>35</v>
      </c>
      <c r="I70">
        <v>10682194</v>
      </c>
      <c r="J70">
        <v>4</v>
      </c>
      <c r="K70">
        <v>35.6</v>
      </c>
      <c r="L70">
        <v>35.6</v>
      </c>
      <c r="M70">
        <v>0</v>
      </c>
      <c r="N70" s="2">
        <v>40480</v>
      </c>
      <c r="O70" s="2">
        <v>1840</v>
      </c>
      <c r="P70">
        <v>0</v>
      </c>
      <c r="R70" s="2">
        <v>1840</v>
      </c>
      <c r="T70" s="2">
        <v>40480</v>
      </c>
      <c r="Z70">
        <v>0</v>
      </c>
      <c r="AB70">
        <v>0</v>
      </c>
      <c r="AC70">
        <v>0</v>
      </c>
      <c r="AD70">
        <v>27</v>
      </c>
      <c r="AE70" s="7"/>
      <c r="AF70" s="7"/>
      <c r="AG70" s="7"/>
      <c r="AH70" s="7"/>
      <c r="AI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0" s="7"/>
      <c r="AK70" t="s">
        <v>102</v>
      </c>
      <c r="AN70">
        <f>IFERROR(INT(Table13[[#This Row],[reject_prod]]/Table13[[#This Row],[part_weight]] * 1000), 0)</f>
        <v>0</v>
      </c>
    </row>
    <row r="71" spans="1:40" hidden="1">
      <c r="A71" s="1">
        <v>46026</v>
      </c>
      <c r="B71">
        <v>1</v>
      </c>
      <c r="C71">
        <v>2</v>
      </c>
      <c r="D71" t="s">
        <v>67</v>
      </c>
      <c r="E71" t="s">
        <v>34</v>
      </c>
      <c r="F71">
        <v>423213</v>
      </c>
      <c r="G71" s="6">
        <v>0</v>
      </c>
      <c r="H71" t="s">
        <v>70</v>
      </c>
      <c r="I71">
        <v>10682754</v>
      </c>
      <c r="J71">
        <v>4</v>
      </c>
      <c r="K71">
        <v>23</v>
      </c>
      <c r="L71">
        <v>23</v>
      </c>
      <c r="M71">
        <v>1905</v>
      </c>
      <c r="N71" s="2">
        <v>47244</v>
      </c>
      <c r="O71">
        <v>762</v>
      </c>
      <c r="P71" s="2">
        <v>3810</v>
      </c>
      <c r="R71" s="2">
        <v>4572</v>
      </c>
      <c r="T71" s="2">
        <v>31242</v>
      </c>
      <c r="Z71">
        <v>3.4</v>
      </c>
      <c r="AB71">
        <v>22.4</v>
      </c>
      <c r="AC71">
        <v>11.85333333</v>
      </c>
      <c r="AD71">
        <v>22.5</v>
      </c>
      <c r="AE71" s="7"/>
      <c r="AF71" s="7"/>
      <c r="AG71" s="7"/>
      <c r="AH71" s="7"/>
      <c r="AI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0.14666667000000011</v>
      </c>
      <c r="AJ71" s="7"/>
      <c r="AK71" t="s">
        <v>125</v>
      </c>
      <c r="AN71">
        <f>IFERROR(INT(Table13[[#This Row],[reject_prod]]/Table13[[#This Row],[part_weight]] * 1000), 0)</f>
        <v>147</v>
      </c>
    </row>
    <row r="72" spans="1:40" hidden="1">
      <c r="A72" s="1">
        <v>46026</v>
      </c>
      <c r="B72">
        <v>1</v>
      </c>
      <c r="C72">
        <v>3</v>
      </c>
      <c r="D72" t="s">
        <v>108</v>
      </c>
      <c r="E72" t="s">
        <v>34</v>
      </c>
      <c r="F72">
        <v>442034</v>
      </c>
      <c r="G72" s="6">
        <v>0</v>
      </c>
      <c r="H72" t="s">
        <v>37</v>
      </c>
      <c r="I72">
        <v>10681182</v>
      </c>
      <c r="J72">
        <v>4</v>
      </c>
      <c r="K72">
        <v>23</v>
      </c>
      <c r="L72">
        <v>23</v>
      </c>
      <c r="M72">
        <v>1632</v>
      </c>
      <c r="N72" s="2">
        <v>139776</v>
      </c>
      <c r="O72" s="2">
        <v>3456</v>
      </c>
      <c r="P72">
        <v>768</v>
      </c>
      <c r="R72" s="2">
        <v>9216</v>
      </c>
      <c r="T72" s="2">
        <v>120576</v>
      </c>
      <c r="Z72">
        <v>4.5</v>
      </c>
      <c r="AB72">
        <v>25.9</v>
      </c>
      <c r="AC72">
        <v>11.74133333</v>
      </c>
      <c r="AD72">
        <v>22</v>
      </c>
      <c r="AE72" s="7"/>
      <c r="AF72" s="7"/>
      <c r="AG72" s="7"/>
      <c r="AH72" s="7"/>
      <c r="AI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72" s="7"/>
      <c r="AK72" t="s">
        <v>75</v>
      </c>
      <c r="AN72">
        <f>IFERROR(INT(Table13[[#This Row],[reject_prod]]/Table13[[#This Row],[part_weight]] * 1000), 0)</f>
        <v>195</v>
      </c>
    </row>
    <row r="73" spans="1:40" hidden="1">
      <c r="A73" s="1">
        <v>46026</v>
      </c>
      <c r="B73">
        <v>1</v>
      </c>
      <c r="C73">
        <v>4</v>
      </c>
      <c r="F73">
        <v>123456</v>
      </c>
      <c r="G73" s="6">
        <v>0</v>
      </c>
      <c r="M73">
        <v>0</v>
      </c>
      <c r="N73">
        <v>0</v>
      </c>
      <c r="O73">
        <v>0</v>
      </c>
      <c r="P73">
        <v>0</v>
      </c>
      <c r="R73">
        <v>0</v>
      </c>
      <c r="T73">
        <v>0</v>
      </c>
      <c r="X73">
        <v>0</v>
      </c>
      <c r="Z73">
        <v>0</v>
      </c>
      <c r="AB73">
        <v>0</v>
      </c>
      <c r="AC73">
        <v>0</v>
      </c>
      <c r="AD73">
        <v>22.5</v>
      </c>
      <c r="AE73" s="7"/>
      <c r="AF73" s="7"/>
      <c r="AG73" s="7"/>
      <c r="AH73" s="7"/>
      <c r="AI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" s="7">
        <v>12</v>
      </c>
      <c r="AK73" t="s">
        <v>116</v>
      </c>
      <c r="AN73">
        <f>IFERROR(INT(Table13[[#This Row],[reject_prod]]/Table13[[#This Row],[part_weight]] * 1000), 0)</f>
        <v>0</v>
      </c>
    </row>
    <row r="74" spans="1:40" hidden="1">
      <c r="A74" s="1">
        <v>46026</v>
      </c>
      <c r="B74">
        <v>1</v>
      </c>
      <c r="C74">
        <v>5</v>
      </c>
      <c r="F74">
        <v>123456</v>
      </c>
      <c r="G74" s="6">
        <v>0</v>
      </c>
      <c r="M74">
        <v>0</v>
      </c>
      <c r="N74">
        <v>0</v>
      </c>
      <c r="O74">
        <v>0</v>
      </c>
      <c r="P74">
        <v>0</v>
      </c>
      <c r="R74">
        <v>0</v>
      </c>
      <c r="T74">
        <v>0</v>
      </c>
      <c r="X74">
        <v>0</v>
      </c>
      <c r="Z74">
        <v>0</v>
      </c>
      <c r="AB74">
        <v>0</v>
      </c>
      <c r="AC74">
        <v>0</v>
      </c>
      <c r="AD74">
        <v>22.5</v>
      </c>
      <c r="AE74" s="7"/>
      <c r="AF74" s="7"/>
      <c r="AG74" s="7"/>
      <c r="AH74" s="7"/>
      <c r="AI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" s="7">
        <v>12</v>
      </c>
      <c r="AK74" t="s">
        <v>116</v>
      </c>
      <c r="AN74">
        <f>IFERROR(INT(Table13[[#This Row],[reject_prod]]/Table13[[#This Row],[part_weight]] * 1000), 0)</f>
        <v>0</v>
      </c>
    </row>
    <row r="75" spans="1:40" hidden="1">
      <c r="A75" s="1">
        <v>46026</v>
      </c>
      <c r="B75">
        <v>1</v>
      </c>
      <c r="C75">
        <v>6</v>
      </c>
      <c r="F75">
        <v>123456</v>
      </c>
      <c r="G75" s="6">
        <v>0</v>
      </c>
      <c r="M75">
        <v>0</v>
      </c>
      <c r="N75">
        <v>0</v>
      </c>
      <c r="O75">
        <v>0</v>
      </c>
      <c r="P75">
        <v>0</v>
      </c>
      <c r="R75">
        <v>0</v>
      </c>
      <c r="T75">
        <v>0</v>
      </c>
      <c r="X75">
        <v>0</v>
      </c>
      <c r="Z75">
        <v>0</v>
      </c>
      <c r="AB75">
        <v>0</v>
      </c>
      <c r="AC75">
        <v>0</v>
      </c>
      <c r="AD75">
        <v>22.5</v>
      </c>
      <c r="AE75" s="7"/>
      <c r="AF75" s="7"/>
      <c r="AG75" s="7"/>
      <c r="AH75" s="7"/>
      <c r="AI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5" s="7">
        <v>12</v>
      </c>
      <c r="AK75" t="s">
        <v>116</v>
      </c>
      <c r="AN75">
        <f>IFERROR(INT(Table13[[#This Row],[reject_prod]]/Table13[[#This Row],[part_weight]] * 1000), 0)</f>
        <v>0</v>
      </c>
    </row>
    <row r="76" spans="1:40" hidden="1">
      <c r="A76" s="1">
        <v>46026</v>
      </c>
      <c r="B76">
        <v>1</v>
      </c>
      <c r="C76">
        <v>7</v>
      </c>
      <c r="D76" t="s">
        <v>40</v>
      </c>
      <c r="E76" t="s">
        <v>34</v>
      </c>
      <c r="F76">
        <v>324165</v>
      </c>
      <c r="G76" s="6">
        <v>0</v>
      </c>
      <c r="H76" t="s">
        <v>44</v>
      </c>
      <c r="I76">
        <v>10680238</v>
      </c>
      <c r="J76">
        <v>4</v>
      </c>
      <c r="K76">
        <v>32.56</v>
      </c>
      <c r="L76">
        <v>33</v>
      </c>
      <c r="M76">
        <v>1780</v>
      </c>
      <c r="N76" s="2">
        <v>104192</v>
      </c>
      <c r="O76">
        <v>0</v>
      </c>
      <c r="P76">
        <v>0</v>
      </c>
      <c r="R76" s="2">
        <v>7104</v>
      </c>
      <c r="T76" s="2">
        <v>95904</v>
      </c>
      <c r="Z76">
        <v>4.5999999999999996</v>
      </c>
      <c r="AB76">
        <v>22.5</v>
      </c>
      <c r="AC76">
        <v>11.125</v>
      </c>
      <c r="AD76">
        <v>22</v>
      </c>
      <c r="AE76" s="7"/>
      <c r="AF76" s="7"/>
      <c r="AG76" s="7"/>
      <c r="AH76" s="7"/>
      <c r="AI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0.875</v>
      </c>
      <c r="AJ76" s="7"/>
      <c r="AK76" t="s">
        <v>126</v>
      </c>
      <c r="AN76">
        <f>IFERROR(INT(Table13[[#This Row],[reject_prod]]/Table13[[#This Row],[part_weight]] * 1000), 0)</f>
        <v>139</v>
      </c>
    </row>
    <row r="77" spans="1:40" hidden="1">
      <c r="A77" s="1">
        <v>46026</v>
      </c>
      <c r="B77">
        <v>1</v>
      </c>
      <c r="C77">
        <v>8</v>
      </c>
      <c r="F77">
        <v>123456</v>
      </c>
      <c r="G77" s="6">
        <v>0</v>
      </c>
      <c r="M77">
        <v>0</v>
      </c>
      <c r="N77">
        <v>0</v>
      </c>
      <c r="O77">
        <v>0</v>
      </c>
      <c r="P77">
        <v>0</v>
      </c>
      <c r="R77">
        <v>0</v>
      </c>
      <c r="T77">
        <v>0</v>
      </c>
      <c r="X77">
        <v>0</v>
      </c>
      <c r="Z77">
        <v>0</v>
      </c>
      <c r="AB77">
        <v>0</v>
      </c>
      <c r="AC77">
        <v>0</v>
      </c>
      <c r="AD77">
        <v>22.5</v>
      </c>
      <c r="AE77" s="7"/>
      <c r="AF77" s="7"/>
      <c r="AG77" s="7"/>
      <c r="AH77" s="7"/>
      <c r="AI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" s="7">
        <v>12</v>
      </c>
      <c r="AK77" t="s">
        <v>116</v>
      </c>
      <c r="AN77">
        <f>IFERROR(INT(Table13[[#This Row],[reject_prod]]/Table13[[#This Row],[part_weight]] * 1000), 0)</f>
        <v>0</v>
      </c>
    </row>
    <row r="78" spans="1:40" hidden="1">
      <c r="A78" s="1">
        <v>46026</v>
      </c>
      <c r="B78">
        <v>1</v>
      </c>
      <c r="C78">
        <v>9</v>
      </c>
      <c r="D78" t="s">
        <v>110</v>
      </c>
      <c r="E78" t="s">
        <v>46</v>
      </c>
      <c r="F78">
        <v>586276</v>
      </c>
      <c r="G78" s="6">
        <v>0</v>
      </c>
      <c r="H78" t="s">
        <v>47</v>
      </c>
      <c r="I78">
        <v>10682923</v>
      </c>
      <c r="J78">
        <v>6</v>
      </c>
      <c r="K78">
        <v>12.3</v>
      </c>
      <c r="L78">
        <v>12.3</v>
      </c>
      <c r="M78">
        <v>1620</v>
      </c>
      <c r="N78" s="2">
        <v>162000</v>
      </c>
      <c r="O78" s="2">
        <v>4860</v>
      </c>
      <c r="P78" s="2">
        <v>6480</v>
      </c>
      <c r="R78" s="2">
        <v>8100</v>
      </c>
      <c r="T78" s="2">
        <v>63180</v>
      </c>
      <c r="Z78">
        <v>1.4</v>
      </c>
      <c r="AB78">
        <v>25.5</v>
      </c>
      <c r="AC78">
        <v>11.475</v>
      </c>
      <c r="AD78">
        <v>26</v>
      </c>
      <c r="AE78" s="7"/>
      <c r="AF78" s="7"/>
      <c r="AG78" s="7"/>
      <c r="AH78" s="7"/>
      <c r="AI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78" s="7"/>
      <c r="AK78" t="s">
        <v>51</v>
      </c>
      <c r="AN78">
        <f>IFERROR(INT(Table13[[#This Row],[reject_prod]]/Table13[[#This Row],[part_weight]] * 1000), 0)</f>
        <v>113</v>
      </c>
    </row>
    <row r="79" spans="1:40" hidden="1">
      <c r="A79" s="1">
        <v>46026</v>
      </c>
      <c r="B79">
        <v>1</v>
      </c>
      <c r="C79">
        <v>10</v>
      </c>
      <c r="D79" t="s">
        <v>127</v>
      </c>
      <c r="E79" t="s">
        <v>41</v>
      </c>
      <c r="F79">
        <v>593537</v>
      </c>
      <c r="G79" s="6">
        <v>0</v>
      </c>
      <c r="H79" t="s">
        <v>48</v>
      </c>
      <c r="I79">
        <v>10680019</v>
      </c>
      <c r="J79">
        <v>4</v>
      </c>
      <c r="K79">
        <v>56.5</v>
      </c>
      <c r="L79">
        <v>56.8</v>
      </c>
      <c r="M79">
        <v>115</v>
      </c>
      <c r="N79" s="2">
        <v>69000</v>
      </c>
      <c r="O79">
        <v>115</v>
      </c>
      <c r="P79">
        <v>0</v>
      </c>
      <c r="R79">
        <v>575</v>
      </c>
      <c r="T79" s="2">
        <v>69000</v>
      </c>
      <c r="Z79">
        <v>0</v>
      </c>
      <c r="AB79">
        <v>31.7</v>
      </c>
      <c r="AC79">
        <v>1.012638889</v>
      </c>
      <c r="AD79">
        <v>28.5</v>
      </c>
      <c r="AE79" s="7"/>
      <c r="AF79" s="7"/>
      <c r="AG79" s="7"/>
      <c r="AH79" s="7"/>
      <c r="AI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10.987361111</v>
      </c>
      <c r="AJ79" s="7"/>
      <c r="AK79" t="s">
        <v>102</v>
      </c>
      <c r="AN79">
        <f>IFERROR(INT(Table13[[#This Row],[reject_prod]]/Table13[[#This Row],[part_weight]] * 1000), 0)</f>
        <v>0</v>
      </c>
    </row>
    <row r="80" spans="1:40" hidden="1">
      <c r="A80" s="1">
        <v>46026</v>
      </c>
      <c r="B80">
        <v>1</v>
      </c>
      <c r="C80">
        <v>10</v>
      </c>
      <c r="D80" t="s">
        <v>127</v>
      </c>
      <c r="E80" t="s">
        <v>41</v>
      </c>
      <c r="F80">
        <v>593537</v>
      </c>
      <c r="G80" s="6">
        <v>0</v>
      </c>
      <c r="H80" t="s">
        <v>48</v>
      </c>
      <c r="I80">
        <v>10682925</v>
      </c>
      <c r="J80">
        <v>4</v>
      </c>
      <c r="K80">
        <v>56.5</v>
      </c>
      <c r="L80">
        <v>56.8</v>
      </c>
      <c r="M80">
        <v>1150</v>
      </c>
      <c r="N80" s="2">
        <v>69000</v>
      </c>
      <c r="O80">
        <v>0</v>
      </c>
      <c r="P80">
        <v>575</v>
      </c>
      <c r="R80" s="2">
        <v>4025</v>
      </c>
      <c r="T80" s="2">
        <v>4600</v>
      </c>
      <c r="Z80">
        <v>7.5</v>
      </c>
      <c r="AB80">
        <v>31.7</v>
      </c>
      <c r="AC80">
        <v>10.126388889999999</v>
      </c>
      <c r="AD80">
        <v>28.5</v>
      </c>
      <c r="AE80" s="7"/>
      <c r="AF80" s="7"/>
      <c r="AG80" s="7"/>
      <c r="AH80" s="7"/>
      <c r="AI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1.8736111100000006</v>
      </c>
      <c r="AJ80" s="7"/>
      <c r="AK80" t="s">
        <v>128</v>
      </c>
      <c r="AN80">
        <f>IFERROR(INT(Table13[[#This Row],[reject_prod]]/Table13[[#This Row],[part_weight]] * 1000), 0)</f>
        <v>132</v>
      </c>
    </row>
    <row r="81" spans="1:40" hidden="1">
      <c r="A81" s="1">
        <v>46026</v>
      </c>
      <c r="B81">
        <v>1</v>
      </c>
      <c r="C81">
        <v>11</v>
      </c>
      <c r="D81" t="s">
        <v>129</v>
      </c>
      <c r="E81" t="s">
        <v>46</v>
      </c>
      <c r="F81">
        <v>552181</v>
      </c>
      <c r="G81" s="6">
        <v>1</v>
      </c>
      <c r="H81" t="s">
        <v>49</v>
      </c>
      <c r="I81">
        <v>10679363</v>
      </c>
      <c r="J81">
        <v>6</v>
      </c>
      <c r="K81">
        <v>18.8</v>
      </c>
      <c r="L81">
        <v>18.8</v>
      </c>
      <c r="M81">
        <v>1540</v>
      </c>
      <c r="N81" s="2">
        <v>108000</v>
      </c>
      <c r="O81" s="2">
        <v>34830</v>
      </c>
      <c r="P81" s="2">
        <v>44010</v>
      </c>
      <c r="R81">
        <v>0</v>
      </c>
      <c r="T81" s="2">
        <v>76410</v>
      </c>
      <c r="Z81">
        <v>2.2999999999999998</v>
      </c>
      <c r="AB81">
        <v>27.6</v>
      </c>
      <c r="AC81">
        <v>11.80666667</v>
      </c>
      <c r="AD81">
        <v>27</v>
      </c>
      <c r="AE81" s="7"/>
      <c r="AF81" s="7"/>
      <c r="AG81" s="7"/>
      <c r="AH81" s="7"/>
      <c r="AI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0.19333332999999975</v>
      </c>
      <c r="AJ81" s="7"/>
      <c r="AK81" t="s">
        <v>130</v>
      </c>
      <c r="AN81">
        <f>IFERROR(INT(Table13[[#This Row],[reject_prod]]/Table13[[#This Row],[part_weight]] * 1000), 0)</f>
        <v>122</v>
      </c>
    </row>
    <row r="82" spans="1:40" hidden="1">
      <c r="A82" s="1">
        <v>46026</v>
      </c>
      <c r="B82">
        <v>1</v>
      </c>
      <c r="C82">
        <v>12</v>
      </c>
      <c r="F82">
        <v>123456</v>
      </c>
      <c r="G82" s="6">
        <v>0</v>
      </c>
      <c r="M82">
        <v>0</v>
      </c>
      <c r="N82">
        <v>0</v>
      </c>
      <c r="O82">
        <v>0</v>
      </c>
      <c r="P82">
        <v>0</v>
      </c>
      <c r="R82">
        <v>0</v>
      </c>
      <c r="T82">
        <v>0</v>
      </c>
      <c r="X82">
        <v>0</v>
      </c>
      <c r="Z82">
        <v>0</v>
      </c>
      <c r="AB82">
        <v>0</v>
      </c>
      <c r="AC82">
        <v>0</v>
      </c>
      <c r="AD82">
        <v>22.5</v>
      </c>
      <c r="AE82" s="7"/>
      <c r="AF82" s="7"/>
      <c r="AG82" s="7"/>
      <c r="AH82" s="7"/>
      <c r="AI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" s="7">
        <v>12</v>
      </c>
      <c r="AK82" t="s">
        <v>116</v>
      </c>
      <c r="AN82">
        <f>IFERROR(INT(Table13[[#This Row],[reject_prod]]/Table13[[#This Row],[part_weight]] * 1000), 0)</f>
        <v>0</v>
      </c>
    </row>
    <row r="83" spans="1:40" hidden="1">
      <c r="A83" s="1">
        <v>46026</v>
      </c>
      <c r="B83">
        <v>1</v>
      </c>
      <c r="C83">
        <v>13</v>
      </c>
      <c r="D83" t="s">
        <v>129</v>
      </c>
      <c r="E83" t="s">
        <v>46</v>
      </c>
      <c r="F83">
        <v>586276</v>
      </c>
      <c r="G83" s="6">
        <v>0</v>
      </c>
      <c r="H83" t="s">
        <v>47</v>
      </c>
      <c r="I83">
        <v>10682335</v>
      </c>
      <c r="J83">
        <v>6</v>
      </c>
      <c r="K83">
        <v>12.3</v>
      </c>
      <c r="L83">
        <v>12.3</v>
      </c>
      <c r="M83">
        <v>945</v>
      </c>
      <c r="N83" s="2">
        <v>162000</v>
      </c>
      <c r="O83" s="2">
        <v>2430</v>
      </c>
      <c r="P83">
        <v>0</v>
      </c>
      <c r="R83" s="2">
        <v>8100</v>
      </c>
      <c r="T83" s="2">
        <v>162000</v>
      </c>
      <c r="Z83">
        <v>0</v>
      </c>
      <c r="AB83">
        <v>26</v>
      </c>
      <c r="AC83">
        <v>6.8250000000000002</v>
      </c>
      <c r="AD83">
        <v>26</v>
      </c>
      <c r="AE83" s="7"/>
      <c r="AF83" s="7"/>
      <c r="AG83" s="7"/>
      <c r="AH83" s="7"/>
      <c r="AI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5.1749999999999998</v>
      </c>
      <c r="AJ83" s="7"/>
      <c r="AK83" t="s">
        <v>102</v>
      </c>
      <c r="AN83">
        <f>IFERROR(INT(Table13[[#This Row],[reject_prod]]/Table13[[#This Row],[part_weight]] * 1000), 0)</f>
        <v>0</v>
      </c>
    </row>
    <row r="84" spans="1:40" hidden="1">
      <c r="A84" s="1">
        <v>46026</v>
      </c>
      <c r="B84">
        <v>1</v>
      </c>
      <c r="C84">
        <v>13</v>
      </c>
      <c r="D84" t="s">
        <v>129</v>
      </c>
      <c r="E84" t="s">
        <v>46</v>
      </c>
      <c r="F84">
        <v>586276</v>
      </c>
      <c r="G84" s="6">
        <v>0</v>
      </c>
      <c r="H84" t="s">
        <v>47</v>
      </c>
      <c r="I84">
        <v>10682930</v>
      </c>
      <c r="J84">
        <v>6</v>
      </c>
      <c r="K84">
        <v>12.3</v>
      </c>
      <c r="L84">
        <v>12.3</v>
      </c>
      <c r="M84">
        <v>743</v>
      </c>
      <c r="N84" s="2">
        <v>162000</v>
      </c>
      <c r="O84">
        <v>0</v>
      </c>
      <c r="P84" s="2">
        <v>4455</v>
      </c>
      <c r="R84">
        <v>0</v>
      </c>
      <c r="T84" s="2">
        <v>4455</v>
      </c>
      <c r="Z84">
        <v>2.5</v>
      </c>
      <c r="AB84">
        <v>26</v>
      </c>
      <c r="AC84">
        <v>5.3661111110000004</v>
      </c>
      <c r="AD84">
        <v>26</v>
      </c>
      <c r="AE84" s="7"/>
      <c r="AF84" s="7"/>
      <c r="AG84" s="7"/>
      <c r="AH84" s="7"/>
      <c r="AI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6.6338888889999996</v>
      </c>
      <c r="AJ84" s="7"/>
      <c r="AK84" t="s">
        <v>51</v>
      </c>
      <c r="AN84">
        <f>IFERROR(INT(Table13[[#This Row],[reject_prod]]/Table13[[#This Row],[part_weight]] * 1000), 0)</f>
        <v>203</v>
      </c>
    </row>
    <row r="85" spans="1:40" hidden="1">
      <c r="A85" s="1">
        <v>46026</v>
      </c>
      <c r="B85">
        <v>1</v>
      </c>
      <c r="C85">
        <v>14</v>
      </c>
      <c r="D85" t="s">
        <v>131</v>
      </c>
      <c r="E85" t="s">
        <v>46</v>
      </c>
      <c r="F85">
        <v>555979</v>
      </c>
      <c r="G85" s="6">
        <v>1</v>
      </c>
      <c r="H85" t="s">
        <v>52</v>
      </c>
      <c r="I85">
        <v>10682931</v>
      </c>
      <c r="J85">
        <v>6</v>
      </c>
      <c r="K85">
        <v>28</v>
      </c>
      <c r="L85">
        <v>28</v>
      </c>
      <c r="M85">
        <v>1008</v>
      </c>
      <c r="N85" s="2">
        <v>100800</v>
      </c>
      <c r="O85" s="2">
        <v>1344</v>
      </c>
      <c r="P85">
        <v>672</v>
      </c>
      <c r="R85" s="2">
        <v>6720</v>
      </c>
      <c r="T85" s="2">
        <v>60480</v>
      </c>
      <c r="Z85">
        <v>0.5</v>
      </c>
      <c r="AB85">
        <v>43.3</v>
      </c>
      <c r="AC85">
        <v>12</v>
      </c>
      <c r="AD85">
        <v>42</v>
      </c>
      <c r="AE85" s="7"/>
      <c r="AF85" s="7"/>
      <c r="AG85" s="7"/>
      <c r="AH85" s="7"/>
      <c r="AI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5" s="7"/>
      <c r="AK85" t="s">
        <v>51</v>
      </c>
      <c r="AN85">
        <f>IFERROR(INT(Table13[[#This Row],[reject_prod]]/Table13[[#This Row],[part_weight]] * 1000), 0)</f>
        <v>17</v>
      </c>
    </row>
    <row r="86" spans="1:40" hidden="1">
      <c r="A86" s="1">
        <v>46026</v>
      </c>
      <c r="B86">
        <v>1</v>
      </c>
      <c r="C86">
        <v>15</v>
      </c>
      <c r="D86" t="s">
        <v>129</v>
      </c>
      <c r="E86" t="s">
        <v>46</v>
      </c>
      <c r="F86">
        <v>552181</v>
      </c>
      <c r="G86" s="6">
        <v>2</v>
      </c>
      <c r="H86" t="s">
        <v>49</v>
      </c>
      <c r="I86">
        <v>10682933</v>
      </c>
      <c r="J86">
        <v>6</v>
      </c>
      <c r="K86">
        <v>18.8</v>
      </c>
      <c r="L86">
        <v>18.8</v>
      </c>
      <c r="M86">
        <v>1350</v>
      </c>
      <c r="N86" s="2">
        <v>108000</v>
      </c>
      <c r="O86" s="2">
        <v>2700</v>
      </c>
      <c r="P86" s="2">
        <v>10800</v>
      </c>
      <c r="R86">
        <v>0</v>
      </c>
      <c r="T86" s="2">
        <v>70200</v>
      </c>
      <c r="Z86">
        <v>2.1</v>
      </c>
      <c r="AB86">
        <v>31.2</v>
      </c>
      <c r="AC86">
        <v>11.7</v>
      </c>
      <c r="AD86">
        <v>27</v>
      </c>
      <c r="AE86" s="7"/>
      <c r="AF86" s="7"/>
      <c r="AG86" s="7"/>
      <c r="AH86" s="7"/>
      <c r="AI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86" s="7"/>
      <c r="AK86" t="s">
        <v>51</v>
      </c>
      <c r="AN86">
        <f>IFERROR(INT(Table13[[#This Row],[reject_prod]]/Table13[[#This Row],[part_weight]] * 1000), 0)</f>
        <v>111</v>
      </c>
    </row>
    <row r="87" spans="1:40" hidden="1">
      <c r="A87" s="1">
        <v>46026</v>
      </c>
      <c r="B87">
        <v>1</v>
      </c>
      <c r="C87">
        <v>16</v>
      </c>
      <c r="D87" t="s">
        <v>115</v>
      </c>
      <c r="E87" t="s">
        <v>46</v>
      </c>
      <c r="F87">
        <v>555979</v>
      </c>
      <c r="G87" s="6">
        <v>2</v>
      </c>
      <c r="H87" t="s">
        <v>52</v>
      </c>
      <c r="I87">
        <v>10682063</v>
      </c>
      <c r="J87">
        <v>6</v>
      </c>
      <c r="K87">
        <v>28</v>
      </c>
      <c r="L87">
        <v>28</v>
      </c>
      <c r="M87">
        <v>560</v>
      </c>
      <c r="N87" s="2">
        <v>100800</v>
      </c>
      <c r="O87">
        <v>0</v>
      </c>
      <c r="P87">
        <v>0</v>
      </c>
      <c r="R87" s="2">
        <v>3360</v>
      </c>
      <c r="T87" s="2">
        <v>100800</v>
      </c>
      <c r="Z87">
        <v>0</v>
      </c>
      <c r="AB87">
        <v>44.3</v>
      </c>
      <c r="AC87">
        <v>6.8911111109999998</v>
      </c>
      <c r="AD87">
        <v>42</v>
      </c>
      <c r="AE87" s="7"/>
      <c r="AF87" s="7"/>
      <c r="AG87" s="7"/>
      <c r="AH87" s="7"/>
      <c r="AI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5.1088888890000002</v>
      </c>
      <c r="AJ87" s="7"/>
      <c r="AK87" t="s">
        <v>102</v>
      </c>
      <c r="AN87">
        <f>IFERROR(INT(Table13[[#This Row],[reject_prod]]/Table13[[#This Row],[part_weight]] * 1000), 0)</f>
        <v>0</v>
      </c>
    </row>
    <row r="88" spans="1:40" hidden="1">
      <c r="A88" s="1">
        <v>46026</v>
      </c>
      <c r="B88">
        <v>1</v>
      </c>
      <c r="C88">
        <v>16</v>
      </c>
      <c r="D88" t="s">
        <v>115</v>
      </c>
      <c r="E88" t="s">
        <v>46</v>
      </c>
      <c r="F88">
        <v>555979</v>
      </c>
      <c r="G88" s="6">
        <v>2</v>
      </c>
      <c r="H88" t="s">
        <v>52</v>
      </c>
      <c r="I88">
        <v>10682063</v>
      </c>
      <c r="J88">
        <v>6</v>
      </c>
      <c r="K88">
        <v>28</v>
      </c>
      <c r="L88">
        <v>28</v>
      </c>
      <c r="M88">
        <v>420</v>
      </c>
      <c r="N88" s="2">
        <v>100800</v>
      </c>
      <c r="O88">
        <v>0</v>
      </c>
      <c r="P88" s="2">
        <v>2520</v>
      </c>
      <c r="R88">
        <v>0</v>
      </c>
      <c r="T88" s="2">
        <v>2520</v>
      </c>
      <c r="Z88">
        <v>1.2</v>
      </c>
      <c r="AB88">
        <v>44.3</v>
      </c>
      <c r="AC88">
        <v>5.1683333329999996</v>
      </c>
      <c r="AD88">
        <v>42</v>
      </c>
      <c r="AE88" s="7"/>
      <c r="AF88" s="7"/>
      <c r="AG88" s="7"/>
      <c r="AH88" s="7"/>
      <c r="AI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6.8316666670000004</v>
      </c>
      <c r="AJ88" s="7"/>
      <c r="AK88" t="s">
        <v>51</v>
      </c>
      <c r="AN88">
        <f>IFERROR(INT(Table13[[#This Row],[reject_prod]]/Table13[[#This Row],[part_weight]] * 1000), 0)</f>
        <v>42</v>
      </c>
    </row>
    <row r="89" spans="1:40" hidden="1">
      <c r="A89" s="1">
        <v>46026</v>
      </c>
      <c r="B89">
        <v>2</v>
      </c>
      <c r="C89">
        <v>1</v>
      </c>
      <c r="F89">
        <v>123456</v>
      </c>
      <c r="G89" s="6">
        <v>0</v>
      </c>
      <c r="M89">
        <v>0</v>
      </c>
      <c r="N89">
        <v>0</v>
      </c>
      <c r="O89">
        <v>0</v>
      </c>
      <c r="P89">
        <v>0</v>
      </c>
      <c r="R89">
        <v>0</v>
      </c>
      <c r="T89">
        <v>0</v>
      </c>
      <c r="X89">
        <v>0</v>
      </c>
      <c r="Z89">
        <v>0</v>
      </c>
      <c r="AB89">
        <v>0</v>
      </c>
      <c r="AC89">
        <v>0</v>
      </c>
      <c r="AD89">
        <v>22.5</v>
      </c>
      <c r="AE89" s="7"/>
      <c r="AF89" s="7"/>
      <c r="AG89" s="7"/>
      <c r="AH89" s="7"/>
      <c r="AI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9" s="7">
        <v>12</v>
      </c>
      <c r="AK89" t="s">
        <v>116</v>
      </c>
      <c r="AN89">
        <f>IFERROR(INT(Table13[[#This Row],[reject_prod]]/Table13[[#This Row],[part_weight]] * 1000), 0)</f>
        <v>0</v>
      </c>
    </row>
    <row r="90" spans="1:40" hidden="1">
      <c r="A90" s="1">
        <v>46026</v>
      </c>
      <c r="B90">
        <v>2</v>
      </c>
      <c r="C90">
        <v>2</v>
      </c>
      <c r="D90" t="s">
        <v>132</v>
      </c>
      <c r="E90" t="s">
        <v>34</v>
      </c>
      <c r="F90">
        <v>423213</v>
      </c>
      <c r="G90" s="6">
        <v>0</v>
      </c>
      <c r="H90" t="s">
        <v>70</v>
      </c>
      <c r="I90">
        <v>10682754</v>
      </c>
      <c r="J90">
        <v>4</v>
      </c>
      <c r="K90">
        <v>30</v>
      </c>
      <c r="L90">
        <v>23</v>
      </c>
      <c r="M90">
        <v>1865</v>
      </c>
      <c r="N90" s="2">
        <v>47244</v>
      </c>
      <c r="O90" s="2">
        <v>3810</v>
      </c>
      <c r="P90" s="2">
        <v>1905</v>
      </c>
      <c r="R90" s="2">
        <v>9144</v>
      </c>
      <c r="T90" s="2">
        <v>43433</v>
      </c>
      <c r="Z90">
        <v>1</v>
      </c>
      <c r="AB90">
        <v>22.4</v>
      </c>
      <c r="AC90">
        <v>11.60444444</v>
      </c>
      <c r="AD90">
        <v>22.5</v>
      </c>
      <c r="AE90" s="7"/>
      <c r="AF90" s="7"/>
      <c r="AG90" s="7"/>
      <c r="AH90" s="7"/>
      <c r="AI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0.39555556000000003</v>
      </c>
      <c r="AJ90" s="7"/>
      <c r="AK90" t="s">
        <v>133</v>
      </c>
      <c r="AN90">
        <f>IFERROR(INT(Table13[[#This Row],[reject_prod]]/Table13[[#This Row],[part_weight]] * 1000), 0)</f>
        <v>43</v>
      </c>
    </row>
    <row r="91" spans="1:40" hidden="1">
      <c r="A91" s="1">
        <v>46026</v>
      </c>
      <c r="B91">
        <v>2</v>
      </c>
      <c r="C91">
        <v>3</v>
      </c>
      <c r="D91" t="s">
        <v>134</v>
      </c>
      <c r="E91" t="s">
        <v>34</v>
      </c>
      <c r="F91">
        <v>442034</v>
      </c>
      <c r="G91" s="6">
        <v>0</v>
      </c>
      <c r="H91" t="s">
        <v>37</v>
      </c>
      <c r="I91">
        <v>10681182</v>
      </c>
      <c r="J91">
        <v>4</v>
      </c>
      <c r="K91">
        <v>23</v>
      </c>
      <c r="L91">
        <v>23</v>
      </c>
      <c r="M91">
        <v>1660</v>
      </c>
      <c r="N91" s="2">
        <v>139776</v>
      </c>
      <c r="O91">
        <v>768</v>
      </c>
      <c r="P91" s="2">
        <v>2888</v>
      </c>
      <c r="R91" s="2">
        <v>4608</v>
      </c>
      <c r="T91" s="2">
        <v>127104</v>
      </c>
      <c r="Z91">
        <v>3</v>
      </c>
      <c r="AB91">
        <v>25.9</v>
      </c>
      <c r="AC91">
        <v>11.94277778</v>
      </c>
      <c r="AD91">
        <v>22</v>
      </c>
      <c r="AE91" s="7"/>
      <c r="AF91" s="7"/>
      <c r="AG91" s="7"/>
      <c r="AH91" s="7"/>
      <c r="AI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5.7222219999999879E-2</v>
      </c>
      <c r="AJ91" s="7"/>
      <c r="AK91" t="s">
        <v>135</v>
      </c>
      <c r="AN91">
        <f>IFERROR(INT(Table13[[#This Row],[reject_prod]]/Table13[[#This Row],[part_weight]] * 1000), 0)</f>
        <v>130</v>
      </c>
    </row>
    <row r="92" spans="1:40" hidden="1">
      <c r="A92" s="1">
        <v>46026</v>
      </c>
      <c r="B92">
        <v>2</v>
      </c>
      <c r="C92">
        <v>4</v>
      </c>
      <c r="F92">
        <v>123456</v>
      </c>
      <c r="G92" s="6">
        <v>0</v>
      </c>
      <c r="M92">
        <v>0</v>
      </c>
      <c r="N92">
        <v>0</v>
      </c>
      <c r="O92">
        <v>0</v>
      </c>
      <c r="P92">
        <v>0</v>
      </c>
      <c r="R92">
        <v>0</v>
      </c>
      <c r="T92">
        <v>0</v>
      </c>
      <c r="X92">
        <v>0</v>
      </c>
      <c r="Z92">
        <v>0</v>
      </c>
      <c r="AB92">
        <v>0</v>
      </c>
      <c r="AC92">
        <v>0</v>
      </c>
      <c r="AD92">
        <v>22.5</v>
      </c>
      <c r="AE92" s="7"/>
      <c r="AF92" s="7"/>
      <c r="AG92" s="7"/>
      <c r="AH92" s="7"/>
      <c r="AI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2" s="7">
        <v>12</v>
      </c>
      <c r="AK92" t="s">
        <v>116</v>
      </c>
      <c r="AN92">
        <f>IFERROR(INT(Table13[[#This Row],[reject_prod]]/Table13[[#This Row],[part_weight]] * 1000), 0)</f>
        <v>0</v>
      </c>
    </row>
    <row r="93" spans="1:40" hidden="1">
      <c r="A93" s="1">
        <v>46026</v>
      </c>
      <c r="B93">
        <v>2</v>
      </c>
      <c r="C93">
        <v>5</v>
      </c>
      <c r="F93">
        <v>123456</v>
      </c>
      <c r="G93" s="6">
        <v>0</v>
      </c>
      <c r="M93">
        <v>0</v>
      </c>
      <c r="N93">
        <v>0</v>
      </c>
      <c r="O93">
        <v>0</v>
      </c>
      <c r="P93">
        <v>0</v>
      </c>
      <c r="R93">
        <v>0</v>
      </c>
      <c r="T93">
        <v>0</v>
      </c>
      <c r="X93">
        <v>0</v>
      </c>
      <c r="Z93">
        <v>0</v>
      </c>
      <c r="AB93">
        <v>0</v>
      </c>
      <c r="AC93">
        <v>0</v>
      </c>
      <c r="AD93">
        <v>22.5</v>
      </c>
      <c r="AE93" s="7"/>
      <c r="AF93" s="7"/>
      <c r="AG93" s="7"/>
      <c r="AH93" s="7"/>
      <c r="AI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3" s="7">
        <v>12</v>
      </c>
      <c r="AK93" t="s">
        <v>116</v>
      </c>
      <c r="AN93">
        <f>IFERROR(INT(Table13[[#This Row],[reject_prod]]/Table13[[#This Row],[part_weight]] * 1000), 0)</f>
        <v>0</v>
      </c>
    </row>
    <row r="94" spans="1:40" hidden="1">
      <c r="A94" s="1">
        <v>46026</v>
      </c>
      <c r="B94">
        <v>2</v>
      </c>
      <c r="C94">
        <v>6</v>
      </c>
      <c r="F94">
        <v>123456</v>
      </c>
      <c r="G94" s="6">
        <v>0</v>
      </c>
      <c r="M94">
        <v>0</v>
      </c>
      <c r="N94">
        <v>0</v>
      </c>
      <c r="O94">
        <v>0</v>
      </c>
      <c r="P94">
        <v>0</v>
      </c>
      <c r="R94">
        <v>0</v>
      </c>
      <c r="T94">
        <v>0</v>
      </c>
      <c r="X94">
        <v>0</v>
      </c>
      <c r="Z94">
        <v>0</v>
      </c>
      <c r="AB94">
        <v>0</v>
      </c>
      <c r="AC94">
        <v>0</v>
      </c>
      <c r="AD94">
        <v>22.5</v>
      </c>
      <c r="AE94" s="7"/>
      <c r="AF94" s="7"/>
      <c r="AG94" s="7"/>
      <c r="AH94" s="7"/>
      <c r="AI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4" s="7">
        <v>12</v>
      </c>
      <c r="AK94" t="s">
        <v>116</v>
      </c>
      <c r="AN94">
        <f>IFERROR(INT(Table13[[#This Row],[reject_prod]]/Table13[[#This Row],[part_weight]] * 1000), 0)</f>
        <v>0</v>
      </c>
    </row>
    <row r="95" spans="1:40" hidden="1">
      <c r="A95" s="1">
        <v>46026</v>
      </c>
      <c r="B95">
        <v>2</v>
      </c>
      <c r="C95">
        <v>7</v>
      </c>
      <c r="D95" t="s">
        <v>53</v>
      </c>
      <c r="E95" t="s">
        <v>34</v>
      </c>
      <c r="F95">
        <v>324165</v>
      </c>
      <c r="G95" s="6">
        <v>0</v>
      </c>
      <c r="H95" t="s">
        <v>44</v>
      </c>
      <c r="I95">
        <v>10680238</v>
      </c>
      <c r="J95">
        <v>4</v>
      </c>
      <c r="K95">
        <v>32.56</v>
      </c>
      <c r="L95">
        <v>33</v>
      </c>
      <c r="M95">
        <v>1921</v>
      </c>
      <c r="N95" s="2">
        <v>104192</v>
      </c>
      <c r="O95" s="2">
        <v>6480</v>
      </c>
      <c r="P95">
        <v>592</v>
      </c>
      <c r="R95" s="2">
        <v>7104</v>
      </c>
      <c r="T95" s="2">
        <v>103020</v>
      </c>
      <c r="Z95">
        <v>3</v>
      </c>
      <c r="AB95">
        <v>22.5</v>
      </c>
      <c r="AC95">
        <v>12</v>
      </c>
      <c r="AD95">
        <v>22</v>
      </c>
      <c r="AE95" s="7"/>
      <c r="AF95" s="7"/>
      <c r="AG95" s="7"/>
      <c r="AH95" s="7"/>
      <c r="AI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5" s="7"/>
      <c r="AK95" t="s">
        <v>55</v>
      </c>
      <c r="AN95">
        <f>IFERROR(INT(Table13[[#This Row],[reject_prod]]/Table13[[#This Row],[part_weight]] * 1000), 0)</f>
        <v>90</v>
      </c>
    </row>
    <row r="96" spans="1:40" hidden="1">
      <c r="A96" s="1">
        <v>46026</v>
      </c>
      <c r="B96">
        <v>2</v>
      </c>
      <c r="C96">
        <v>8</v>
      </c>
      <c r="F96">
        <v>123456</v>
      </c>
      <c r="G96" s="6">
        <v>0</v>
      </c>
      <c r="M96">
        <v>0</v>
      </c>
      <c r="N96">
        <v>0</v>
      </c>
      <c r="O96">
        <v>0</v>
      </c>
      <c r="P96">
        <v>0</v>
      </c>
      <c r="R96">
        <v>0</v>
      </c>
      <c r="T96">
        <v>0</v>
      </c>
      <c r="X96">
        <v>0</v>
      </c>
      <c r="Z96">
        <v>0</v>
      </c>
      <c r="AB96">
        <v>0</v>
      </c>
      <c r="AC96">
        <v>0</v>
      </c>
      <c r="AD96">
        <v>22.5</v>
      </c>
      <c r="AE96" s="7"/>
      <c r="AF96" s="7"/>
      <c r="AG96" s="7"/>
      <c r="AH96" s="7"/>
      <c r="AI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6" s="7">
        <v>12</v>
      </c>
      <c r="AK96" t="s">
        <v>116</v>
      </c>
      <c r="AN96">
        <f>IFERROR(INT(Table13[[#This Row],[reject_prod]]/Table13[[#This Row],[part_weight]] * 1000), 0)</f>
        <v>0</v>
      </c>
    </row>
    <row r="97" spans="1:40" hidden="1">
      <c r="A97" s="1">
        <v>46026</v>
      </c>
      <c r="B97">
        <v>2</v>
      </c>
      <c r="C97">
        <v>9</v>
      </c>
      <c r="D97" t="s">
        <v>136</v>
      </c>
      <c r="E97" t="s">
        <v>46</v>
      </c>
      <c r="F97">
        <v>586276</v>
      </c>
      <c r="G97" s="6">
        <v>0</v>
      </c>
      <c r="H97" t="s">
        <v>47</v>
      </c>
      <c r="I97">
        <v>10682923</v>
      </c>
      <c r="J97">
        <v>6</v>
      </c>
      <c r="K97">
        <v>12.3</v>
      </c>
      <c r="L97">
        <v>12.3</v>
      </c>
      <c r="M97">
        <v>1686</v>
      </c>
      <c r="N97" s="2">
        <v>162000</v>
      </c>
      <c r="O97" s="2">
        <v>6480</v>
      </c>
      <c r="R97" s="2">
        <v>16200</v>
      </c>
      <c r="T97" s="2">
        <v>72900</v>
      </c>
      <c r="Z97">
        <v>1</v>
      </c>
      <c r="AB97">
        <v>25.6</v>
      </c>
      <c r="AC97">
        <v>11.989333329999999</v>
      </c>
      <c r="AD97">
        <v>26</v>
      </c>
      <c r="AE97" s="7"/>
      <c r="AF97" s="7"/>
      <c r="AG97" s="7"/>
      <c r="AH97" s="7"/>
      <c r="AI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1.0666670000000877E-2</v>
      </c>
      <c r="AJ97" s="7"/>
      <c r="AK97" t="s">
        <v>90</v>
      </c>
      <c r="AN97">
        <f>IFERROR(INT(Table13[[#This Row],[reject_prod]]/Table13[[#This Row],[part_weight]] * 1000), 0)</f>
        <v>81</v>
      </c>
    </row>
    <row r="98" spans="1:40" hidden="1">
      <c r="A98" s="1">
        <v>46026</v>
      </c>
      <c r="B98">
        <v>2</v>
      </c>
      <c r="C98">
        <v>10</v>
      </c>
      <c r="D98" t="s">
        <v>137</v>
      </c>
      <c r="E98" t="s">
        <v>41</v>
      </c>
      <c r="F98">
        <v>593537</v>
      </c>
      <c r="G98" s="6">
        <v>0</v>
      </c>
      <c r="H98" t="s">
        <v>48</v>
      </c>
      <c r="I98">
        <v>10682925</v>
      </c>
      <c r="J98">
        <v>4</v>
      </c>
      <c r="K98">
        <v>56.5</v>
      </c>
      <c r="L98">
        <v>56.8</v>
      </c>
      <c r="M98">
        <v>1349</v>
      </c>
      <c r="N98" s="2">
        <v>69000</v>
      </c>
      <c r="O98">
        <v>575</v>
      </c>
      <c r="P98">
        <v>460</v>
      </c>
      <c r="R98" s="2">
        <v>5175</v>
      </c>
      <c r="T98" s="2">
        <v>9650</v>
      </c>
      <c r="Z98">
        <v>4</v>
      </c>
      <c r="AB98">
        <v>31.7</v>
      </c>
      <c r="AC98">
        <v>11.87869444</v>
      </c>
      <c r="AD98">
        <v>28.5</v>
      </c>
      <c r="AE98" s="7"/>
      <c r="AF98" s="7"/>
      <c r="AG98" s="7"/>
      <c r="AH98" s="7"/>
      <c r="AI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0.1213055599999997</v>
      </c>
      <c r="AJ98" s="7"/>
      <c r="AK98" t="s">
        <v>138</v>
      </c>
      <c r="AN98">
        <f>IFERROR(INT(Table13[[#This Row],[reject_prod]]/Table13[[#This Row],[part_weight]] * 1000), 0)</f>
        <v>70</v>
      </c>
    </row>
    <row r="99" spans="1:40" hidden="1">
      <c r="A99" s="1">
        <v>46026</v>
      </c>
      <c r="B99">
        <v>2</v>
      </c>
      <c r="C99">
        <v>11</v>
      </c>
      <c r="D99" t="s">
        <v>139</v>
      </c>
      <c r="E99" t="s">
        <v>46</v>
      </c>
      <c r="F99">
        <v>552181</v>
      </c>
      <c r="G99" s="6">
        <v>1</v>
      </c>
      <c r="H99" t="s">
        <v>49</v>
      </c>
      <c r="I99">
        <v>10679363</v>
      </c>
      <c r="J99">
        <v>6</v>
      </c>
      <c r="K99">
        <v>18.8</v>
      </c>
      <c r="L99">
        <v>18.8</v>
      </c>
      <c r="M99">
        <v>1527</v>
      </c>
      <c r="N99" s="2">
        <v>108000</v>
      </c>
      <c r="O99" s="2">
        <v>44010</v>
      </c>
      <c r="P99" s="2">
        <v>53190</v>
      </c>
      <c r="T99" s="2">
        <v>85590</v>
      </c>
      <c r="Z99">
        <v>2</v>
      </c>
      <c r="AB99">
        <v>27.87</v>
      </c>
      <c r="AC99">
        <v>11.821524999999999</v>
      </c>
      <c r="AD99">
        <v>27</v>
      </c>
      <c r="AE99" s="7"/>
      <c r="AF99" s="7"/>
      <c r="AG99" s="7"/>
      <c r="AH99" s="7"/>
      <c r="AI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0.17847500000000061</v>
      </c>
      <c r="AJ99" s="7"/>
      <c r="AK99" t="s">
        <v>122</v>
      </c>
      <c r="AN99">
        <f>IFERROR(INT(Table13[[#This Row],[reject_prod]]/Table13[[#This Row],[part_weight]] * 1000), 0)</f>
        <v>106</v>
      </c>
    </row>
    <row r="100" spans="1:40" hidden="1">
      <c r="A100" s="1">
        <v>46026</v>
      </c>
      <c r="B100">
        <v>2</v>
      </c>
      <c r="C100">
        <v>12</v>
      </c>
      <c r="F100">
        <v>123456</v>
      </c>
      <c r="G100" s="6">
        <v>0</v>
      </c>
      <c r="M100">
        <v>0</v>
      </c>
      <c r="N100">
        <v>0</v>
      </c>
      <c r="O100">
        <v>0</v>
      </c>
      <c r="P100">
        <v>0</v>
      </c>
      <c r="R100">
        <v>0</v>
      </c>
      <c r="T100">
        <v>0</v>
      </c>
      <c r="X100">
        <v>0</v>
      </c>
      <c r="Z100">
        <v>0</v>
      </c>
      <c r="AB100">
        <v>0</v>
      </c>
      <c r="AC100">
        <v>0</v>
      </c>
      <c r="AD100">
        <v>22.5</v>
      </c>
      <c r="AE100" s="7"/>
      <c r="AF100" s="7"/>
      <c r="AG100" s="7"/>
      <c r="AH100" s="7"/>
      <c r="AI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" s="7">
        <v>12</v>
      </c>
      <c r="AK100" t="s">
        <v>116</v>
      </c>
      <c r="AN100">
        <f>IFERROR(INT(Table13[[#This Row],[reject_prod]]/Table13[[#This Row],[part_weight]] * 1000), 0)</f>
        <v>0</v>
      </c>
    </row>
    <row r="101" spans="1:40" hidden="1">
      <c r="A101" s="1">
        <v>46026</v>
      </c>
      <c r="B101">
        <v>2</v>
      </c>
      <c r="C101">
        <v>13</v>
      </c>
      <c r="D101" t="s">
        <v>139</v>
      </c>
      <c r="E101" t="s">
        <v>46</v>
      </c>
      <c r="F101">
        <v>586276</v>
      </c>
      <c r="G101" s="6">
        <v>0</v>
      </c>
      <c r="H101" t="s">
        <v>47</v>
      </c>
      <c r="I101">
        <v>10682930</v>
      </c>
      <c r="J101">
        <v>6</v>
      </c>
      <c r="K101">
        <v>12.3</v>
      </c>
      <c r="L101">
        <v>12.3</v>
      </c>
      <c r="M101">
        <v>1629</v>
      </c>
      <c r="N101" s="2">
        <v>162000</v>
      </c>
      <c r="O101" s="2">
        <v>4455</v>
      </c>
      <c r="P101" s="2">
        <v>6075</v>
      </c>
      <c r="R101" s="2">
        <v>8100</v>
      </c>
      <c r="T101" s="2">
        <v>14175</v>
      </c>
      <c r="Z101">
        <v>2</v>
      </c>
      <c r="AB101">
        <v>26.1</v>
      </c>
      <c r="AC101">
        <v>11.81025</v>
      </c>
      <c r="AD101">
        <v>26</v>
      </c>
      <c r="AE101" s="7"/>
      <c r="AF101" s="7"/>
      <c r="AG101" s="7"/>
      <c r="AH101" s="7"/>
      <c r="AI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0.18975000000000009</v>
      </c>
      <c r="AJ101" s="7"/>
      <c r="AK101" t="s">
        <v>90</v>
      </c>
      <c r="AN101">
        <f>IFERROR(INT(Table13[[#This Row],[reject_prod]]/Table13[[#This Row],[part_weight]] * 1000), 0)</f>
        <v>162</v>
      </c>
    </row>
    <row r="102" spans="1:40" hidden="1">
      <c r="A102" s="1">
        <v>46026</v>
      </c>
      <c r="B102">
        <v>2</v>
      </c>
      <c r="C102">
        <v>14</v>
      </c>
      <c r="D102" t="s">
        <v>140</v>
      </c>
      <c r="E102" t="s">
        <v>46</v>
      </c>
      <c r="F102">
        <v>555979</v>
      </c>
      <c r="G102" s="6">
        <v>1</v>
      </c>
      <c r="H102" t="s">
        <v>52</v>
      </c>
      <c r="I102">
        <v>10682931</v>
      </c>
      <c r="J102">
        <v>6</v>
      </c>
      <c r="K102">
        <v>28</v>
      </c>
      <c r="L102">
        <v>28</v>
      </c>
      <c r="M102">
        <v>982</v>
      </c>
      <c r="N102" s="2">
        <v>100800</v>
      </c>
      <c r="O102">
        <v>672</v>
      </c>
      <c r="R102" s="2">
        <v>6720</v>
      </c>
      <c r="T102" s="2">
        <v>67872</v>
      </c>
      <c r="Z102">
        <v>1</v>
      </c>
      <c r="AB102">
        <v>43.2</v>
      </c>
      <c r="AC102">
        <v>11.784000000000001</v>
      </c>
      <c r="AD102">
        <v>42</v>
      </c>
      <c r="AE102" s="7"/>
      <c r="AF102" s="7"/>
      <c r="AG102" s="7"/>
      <c r="AH102" s="7"/>
      <c r="AI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0.2159999999999993</v>
      </c>
      <c r="AJ102" s="7"/>
      <c r="AK102" t="s">
        <v>90</v>
      </c>
      <c r="AN102">
        <f>IFERROR(INT(Table13[[#This Row],[reject_prod]]/Table13[[#This Row],[part_weight]] * 1000), 0)</f>
        <v>35</v>
      </c>
    </row>
    <row r="103" spans="1:40" hidden="1">
      <c r="A103" s="1">
        <v>46026</v>
      </c>
      <c r="B103">
        <v>2</v>
      </c>
      <c r="C103">
        <v>15</v>
      </c>
      <c r="D103" t="s">
        <v>139</v>
      </c>
      <c r="E103" t="s">
        <v>46</v>
      </c>
      <c r="F103">
        <v>552181</v>
      </c>
      <c r="G103" s="6">
        <v>2</v>
      </c>
      <c r="H103" t="s">
        <v>49</v>
      </c>
      <c r="I103">
        <v>10682933</v>
      </c>
      <c r="J103">
        <v>6</v>
      </c>
      <c r="K103">
        <v>18.8</v>
      </c>
      <c r="L103">
        <v>18.8</v>
      </c>
      <c r="M103">
        <v>1398</v>
      </c>
      <c r="N103" s="2">
        <v>108000</v>
      </c>
      <c r="O103" s="2">
        <v>10800</v>
      </c>
      <c r="P103" s="2">
        <v>18630</v>
      </c>
      <c r="T103" s="2">
        <v>70200</v>
      </c>
      <c r="Z103">
        <v>1</v>
      </c>
      <c r="AB103">
        <v>31.27</v>
      </c>
      <c r="AC103">
        <v>12</v>
      </c>
      <c r="AD103">
        <v>27</v>
      </c>
      <c r="AE103" s="7"/>
      <c r="AF103" s="7"/>
      <c r="AG103" s="7"/>
      <c r="AH103" s="7"/>
      <c r="AI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" s="7"/>
      <c r="AK103" t="s">
        <v>90</v>
      </c>
      <c r="AN103">
        <f>IFERROR(INT(Table13[[#This Row],[reject_prod]]/Table13[[#This Row],[part_weight]] * 1000), 0)</f>
        <v>53</v>
      </c>
    </row>
    <row r="104" spans="1:40" hidden="1">
      <c r="A104" s="1">
        <v>46026</v>
      </c>
      <c r="B104">
        <v>2</v>
      </c>
      <c r="C104">
        <v>16</v>
      </c>
      <c r="D104" t="s">
        <v>88</v>
      </c>
      <c r="E104" t="s">
        <v>46</v>
      </c>
      <c r="F104">
        <v>555979</v>
      </c>
      <c r="G104" s="6">
        <v>2</v>
      </c>
      <c r="H104" t="s">
        <v>52</v>
      </c>
      <c r="I104">
        <v>10682935</v>
      </c>
      <c r="J104">
        <v>6</v>
      </c>
      <c r="K104">
        <v>28</v>
      </c>
      <c r="L104">
        <v>28</v>
      </c>
      <c r="M104">
        <v>964</v>
      </c>
      <c r="N104" s="2">
        <v>100800</v>
      </c>
      <c r="O104" s="2">
        <v>2520</v>
      </c>
      <c r="P104" s="2">
        <v>1344</v>
      </c>
      <c r="R104" s="2">
        <v>6720</v>
      </c>
      <c r="T104" s="2">
        <v>8064</v>
      </c>
      <c r="Z104">
        <v>1</v>
      </c>
      <c r="AB104">
        <v>44.3</v>
      </c>
      <c r="AC104">
        <v>11.862555560000001</v>
      </c>
      <c r="AD104">
        <v>42</v>
      </c>
      <c r="AE104" s="7"/>
      <c r="AF104" s="7"/>
      <c r="AG104" s="7"/>
      <c r="AH104" s="7"/>
      <c r="AI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0.13744443999999945</v>
      </c>
      <c r="AJ104" s="7"/>
      <c r="AK104" t="s">
        <v>90</v>
      </c>
      <c r="AN104">
        <f>IFERROR(INT(Table13[[#This Row],[reject_prod]]/Table13[[#This Row],[part_weight]] * 1000), 0)</f>
        <v>35</v>
      </c>
    </row>
    <row r="105" spans="1:40" hidden="1">
      <c r="A105" s="1">
        <v>46027</v>
      </c>
      <c r="B105">
        <v>1</v>
      </c>
      <c r="C105">
        <v>1</v>
      </c>
      <c r="F105">
        <v>123456</v>
      </c>
      <c r="G105" s="6">
        <v>0</v>
      </c>
      <c r="M105">
        <v>0</v>
      </c>
      <c r="N105">
        <v>0</v>
      </c>
      <c r="O105">
        <v>0</v>
      </c>
      <c r="P105">
        <v>0</v>
      </c>
      <c r="R105">
        <v>0</v>
      </c>
      <c r="T105">
        <v>0</v>
      </c>
      <c r="X105">
        <v>0</v>
      </c>
      <c r="Z105">
        <v>0</v>
      </c>
      <c r="AB105">
        <v>0</v>
      </c>
      <c r="AC105">
        <v>0</v>
      </c>
      <c r="AD105">
        <v>22.5</v>
      </c>
      <c r="AE105" s="7"/>
      <c r="AF105" s="7"/>
      <c r="AG105" s="7"/>
      <c r="AH105" s="7"/>
      <c r="AI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" s="7">
        <v>12</v>
      </c>
      <c r="AK105" t="s">
        <v>116</v>
      </c>
      <c r="AN105">
        <f>IFERROR(INT(Table13[[#This Row],[reject_prod]]/Table13[[#This Row],[part_weight]] * 1000), 0)</f>
        <v>0</v>
      </c>
    </row>
    <row r="106" spans="1:40" hidden="1">
      <c r="A106" s="1">
        <v>46027</v>
      </c>
      <c r="B106">
        <v>1</v>
      </c>
      <c r="C106">
        <v>2</v>
      </c>
      <c r="D106" t="s">
        <v>141</v>
      </c>
      <c r="E106" t="s">
        <v>34</v>
      </c>
      <c r="F106">
        <v>423213</v>
      </c>
      <c r="G106" s="6">
        <v>0</v>
      </c>
      <c r="H106" t="s">
        <v>70</v>
      </c>
      <c r="I106">
        <v>10682754</v>
      </c>
      <c r="J106">
        <v>4</v>
      </c>
      <c r="K106">
        <v>23</v>
      </c>
      <c r="L106">
        <v>23</v>
      </c>
      <c r="M106">
        <v>1605</v>
      </c>
      <c r="N106" s="2">
        <v>47244</v>
      </c>
      <c r="O106" s="2">
        <v>1905</v>
      </c>
      <c r="P106" s="2">
        <v>3429</v>
      </c>
      <c r="Q106" s="2">
        <v>6420</v>
      </c>
      <c r="R106" s="2">
        <v>4572</v>
      </c>
      <c r="S106">
        <v>105</v>
      </c>
      <c r="T106" s="2">
        <v>44577</v>
      </c>
      <c r="U106" s="2">
        <v>2667</v>
      </c>
      <c r="V106">
        <v>148</v>
      </c>
      <c r="W106">
        <v>0</v>
      </c>
      <c r="X106">
        <v>0</v>
      </c>
      <c r="Y106">
        <v>0</v>
      </c>
      <c r="Z106">
        <v>6.5</v>
      </c>
      <c r="AA106">
        <v>4.4020046E-2</v>
      </c>
      <c r="AB106">
        <v>22.4</v>
      </c>
      <c r="AC106">
        <v>9.9866666669999997</v>
      </c>
      <c r="AD106">
        <v>22.5</v>
      </c>
      <c r="AE106" s="7"/>
      <c r="AF106" s="7"/>
      <c r="AG106" s="7"/>
      <c r="AH106" s="7"/>
      <c r="AI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2.0133333330000003</v>
      </c>
      <c r="AJ106" s="7"/>
      <c r="AK106" t="s">
        <v>125</v>
      </c>
      <c r="AN106">
        <f>IFERROR(INT(Table13[[#This Row],[reject_prod]]/Table13[[#This Row],[part_weight]] * 1000), 0)</f>
        <v>282</v>
      </c>
    </row>
    <row r="107" spans="1:40" hidden="1">
      <c r="A107" s="1">
        <v>46027</v>
      </c>
      <c r="B107">
        <v>1</v>
      </c>
      <c r="C107">
        <v>3</v>
      </c>
      <c r="D107" t="s">
        <v>40</v>
      </c>
      <c r="E107" t="s">
        <v>34</v>
      </c>
      <c r="F107">
        <v>442034</v>
      </c>
      <c r="G107" s="6">
        <v>0</v>
      </c>
      <c r="H107" t="s">
        <v>37</v>
      </c>
      <c r="I107">
        <v>10681182</v>
      </c>
      <c r="J107">
        <v>4</v>
      </c>
      <c r="K107">
        <v>23</v>
      </c>
      <c r="L107">
        <v>23</v>
      </c>
      <c r="M107">
        <v>1059</v>
      </c>
      <c r="N107" s="2">
        <v>139776</v>
      </c>
      <c r="O107" s="2">
        <v>2888</v>
      </c>
      <c r="P107" s="2">
        <v>2304</v>
      </c>
      <c r="Q107" s="2">
        <v>4236</v>
      </c>
      <c r="R107" s="2">
        <v>4608</v>
      </c>
      <c r="S107">
        <v>106</v>
      </c>
      <c r="T107" s="2">
        <v>131328</v>
      </c>
      <c r="U107" s="2">
        <v>8448</v>
      </c>
      <c r="V107">
        <v>97</v>
      </c>
      <c r="W107">
        <v>0</v>
      </c>
      <c r="X107">
        <v>0</v>
      </c>
      <c r="Y107">
        <v>0</v>
      </c>
      <c r="Z107">
        <v>4.3</v>
      </c>
      <c r="AA107">
        <v>4.4135156000000002E-2</v>
      </c>
      <c r="AB107">
        <v>25.9</v>
      </c>
      <c r="AC107">
        <v>7.6189166669999997</v>
      </c>
      <c r="AD107">
        <v>22</v>
      </c>
      <c r="AE107" s="7"/>
      <c r="AF107" s="7"/>
      <c r="AG107" s="7"/>
      <c r="AH107" s="7"/>
      <c r="AI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4.3810833330000003</v>
      </c>
      <c r="AJ107" s="7"/>
      <c r="AK107" t="s">
        <v>142</v>
      </c>
      <c r="AN107">
        <f>IFERROR(INT(Table13[[#This Row],[reject_prod]]/Table13[[#This Row],[part_weight]] * 1000), 0)</f>
        <v>186</v>
      </c>
    </row>
    <row r="108" spans="1:40" hidden="1">
      <c r="A108" s="1">
        <v>46027</v>
      </c>
      <c r="B108">
        <v>1</v>
      </c>
      <c r="C108">
        <v>4</v>
      </c>
      <c r="F108">
        <v>123456</v>
      </c>
      <c r="G108" s="6">
        <v>0</v>
      </c>
      <c r="M108">
        <v>0</v>
      </c>
      <c r="N108">
        <v>0</v>
      </c>
      <c r="O108">
        <v>0</v>
      </c>
      <c r="P108">
        <v>0</v>
      </c>
      <c r="R108">
        <v>0</v>
      </c>
      <c r="T108">
        <v>0</v>
      </c>
      <c r="X108">
        <v>0</v>
      </c>
      <c r="Z108">
        <v>0</v>
      </c>
      <c r="AB108">
        <v>0</v>
      </c>
      <c r="AC108">
        <v>0</v>
      </c>
      <c r="AD108">
        <v>22.5</v>
      </c>
      <c r="AE108" s="7"/>
      <c r="AF108" s="7"/>
      <c r="AG108" s="7"/>
      <c r="AH108" s="7"/>
      <c r="AI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" s="7">
        <v>12</v>
      </c>
      <c r="AK108" t="s">
        <v>116</v>
      </c>
      <c r="AN108">
        <f>IFERROR(INT(Table13[[#This Row],[reject_prod]]/Table13[[#This Row],[part_weight]] * 1000), 0)</f>
        <v>0</v>
      </c>
    </row>
    <row r="109" spans="1:40" hidden="1">
      <c r="A109" s="1">
        <v>46027</v>
      </c>
      <c r="B109">
        <v>1</v>
      </c>
      <c r="C109">
        <v>5</v>
      </c>
      <c r="D109" t="s">
        <v>143</v>
      </c>
      <c r="E109" t="s">
        <v>34</v>
      </c>
      <c r="F109">
        <v>611949</v>
      </c>
      <c r="G109" s="6">
        <v>0</v>
      </c>
      <c r="H109" t="s">
        <v>38</v>
      </c>
      <c r="I109">
        <v>10680235</v>
      </c>
      <c r="J109">
        <v>4</v>
      </c>
      <c r="K109">
        <v>20</v>
      </c>
      <c r="L109">
        <v>20</v>
      </c>
      <c r="M109">
        <v>1325</v>
      </c>
      <c r="N109" s="2">
        <v>83600</v>
      </c>
      <c r="O109">
        <v>0</v>
      </c>
      <c r="P109" s="2">
        <v>4950</v>
      </c>
      <c r="Q109" s="2">
        <v>5300</v>
      </c>
      <c r="R109">
        <v>0</v>
      </c>
      <c r="S109">
        <v>0</v>
      </c>
      <c r="T109" s="2">
        <v>11750</v>
      </c>
      <c r="U109" s="2">
        <v>71850</v>
      </c>
      <c r="V109">
        <v>106</v>
      </c>
      <c r="W109">
        <v>0</v>
      </c>
      <c r="X109">
        <v>0</v>
      </c>
      <c r="Y109">
        <v>0</v>
      </c>
      <c r="Z109">
        <v>7</v>
      </c>
      <c r="AA109">
        <v>6.6037736E-2</v>
      </c>
      <c r="AB109">
        <v>25.9</v>
      </c>
      <c r="AC109">
        <v>9.5326388889999993</v>
      </c>
      <c r="AD109">
        <v>21.64</v>
      </c>
      <c r="AE109" s="7"/>
      <c r="AF109" s="7"/>
      <c r="AG109" s="7"/>
      <c r="AH109" s="7"/>
      <c r="AI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2.4673611110000007</v>
      </c>
      <c r="AJ109" s="7"/>
      <c r="AK109" t="s">
        <v>103</v>
      </c>
      <c r="AN109">
        <f>IFERROR(INT(Table13[[#This Row],[reject_prod]]/Table13[[#This Row],[part_weight]] * 1000), 0)</f>
        <v>350</v>
      </c>
    </row>
    <row r="110" spans="1:40" hidden="1">
      <c r="A110" s="1">
        <v>46027</v>
      </c>
      <c r="B110">
        <v>1</v>
      </c>
      <c r="C110">
        <v>6</v>
      </c>
      <c r="D110" t="s">
        <v>144</v>
      </c>
      <c r="E110" t="s">
        <v>34</v>
      </c>
      <c r="F110">
        <v>579471</v>
      </c>
      <c r="G110" s="6">
        <v>0</v>
      </c>
      <c r="H110" t="s">
        <v>105</v>
      </c>
      <c r="I110">
        <v>10681843</v>
      </c>
      <c r="J110">
        <v>4</v>
      </c>
      <c r="K110">
        <v>24</v>
      </c>
      <c r="L110">
        <v>24</v>
      </c>
      <c r="M110">
        <v>1167</v>
      </c>
      <c r="N110" s="2">
        <v>50400</v>
      </c>
      <c r="O110" s="2">
        <v>3024</v>
      </c>
      <c r="P110" s="2">
        <v>1512</v>
      </c>
      <c r="Q110" s="2">
        <v>4668</v>
      </c>
      <c r="R110" s="2">
        <v>6048</v>
      </c>
      <c r="S110">
        <v>145</v>
      </c>
      <c r="T110" s="2">
        <v>7560</v>
      </c>
      <c r="U110" s="2">
        <v>42840</v>
      </c>
      <c r="V110">
        <v>112</v>
      </c>
      <c r="W110">
        <v>0</v>
      </c>
      <c r="X110">
        <v>0</v>
      </c>
      <c r="Y110">
        <v>0</v>
      </c>
      <c r="Z110">
        <v>3</v>
      </c>
      <c r="AA110">
        <v>2.6778063000000001E-2</v>
      </c>
      <c r="AB110">
        <v>25.9</v>
      </c>
      <c r="AC110">
        <v>8.3959166669999998</v>
      </c>
      <c r="AD110">
        <v>23</v>
      </c>
      <c r="AE110" s="7"/>
      <c r="AF110" s="7"/>
      <c r="AG110" s="7"/>
      <c r="AH110" s="7"/>
      <c r="AI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3.6040833330000002</v>
      </c>
      <c r="AJ110" s="7"/>
      <c r="AK110" t="s">
        <v>145</v>
      </c>
      <c r="AN110">
        <f>IFERROR(INT(Table13[[#This Row],[reject_prod]]/Table13[[#This Row],[part_weight]] * 1000), 0)</f>
        <v>125</v>
      </c>
    </row>
    <row r="111" spans="1:40" hidden="1">
      <c r="A111" s="1">
        <v>46027</v>
      </c>
      <c r="B111">
        <v>1</v>
      </c>
      <c r="C111">
        <v>7</v>
      </c>
      <c r="D111" t="s">
        <v>146</v>
      </c>
      <c r="E111" t="s">
        <v>34</v>
      </c>
      <c r="F111">
        <v>324165</v>
      </c>
      <c r="G111" s="6">
        <v>0</v>
      </c>
      <c r="H111" t="s">
        <v>44</v>
      </c>
      <c r="I111">
        <v>10680238</v>
      </c>
      <c r="J111">
        <v>4</v>
      </c>
      <c r="K111">
        <v>32.56</v>
      </c>
      <c r="L111">
        <v>33</v>
      </c>
      <c r="M111">
        <v>148</v>
      </c>
      <c r="N111" s="2">
        <v>104192</v>
      </c>
      <c r="O111">
        <v>592</v>
      </c>
      <c r="P111">
        <v>0</v>
      </c>
      <c r="Q111">
        <v>592</v>
      </c>
      <c r="R111" s="2">
        <v>1184</v>
      </c>
      <c r="S111">
        <v>39</v>
      </c>
      <c r="T111" s="2">
        <v>104192</v>
      </c>
      <c r="U111">
        <v>0</v>
      </c>
      <c r="V111">
        <v>20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22.5</v>
      </c>
      <c r="AC111">
        <v>0.92500000000000004</v>
      </c>
      <c r="AD111">
        <v>22</v>
      </c>
      <c r="AE111" s="7"/>
      <c r="AF111" s="7"/>
      <c r="AG111" s="7"/>
      <c r="AH111" s="7"/>
      <c r="AI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11.074999999999999</v>
      </c>
      <c r="AJ111" s="7"/>
      <c r="AK111" t="s">
        <v>147</v>
      </c>
      <c r="AN111">
        <f>IFERROR(INT(Table13[[#This Row],[reject_prod]]/Table13[[#This Row],[part_weight]] * 1000), 0)</f>
        <v>0</v>
      </c>
    </row>
    <row r="112" spans="1:40" hidden="1">
      <c r="A112" s="1">
        <v>46027</v>
      </c>
      <c r="B112">
        <v>1</v>
      </c>
      <c r="C112">
        <v>7</v>
      </c>
      <c r="D112" t="s">
        <v>146</v>
      </c>
      <c r="E112" t="s">
        <v>34</v>
      </c>
      <c r="F112">
        <v>324165</v>
      </c>
      <c r="G112" s="6">
        <v>0</v>
      </c>
      <c r="H112" t="s">
        <v>44</v>
      </c>
      <c r="I112">
        <v>10680239</v>
      </c>
      <c r="J112">
        <v>4</v>
      </c>
      <c r="K112">
        <v>32.56</v>
      </c>
      <c r="L112">
        <v>33</v>
      </c>
      <c r="M112">
        <v>1646</v>
      </c>
      <c r="N112" s="2">
        <v>11776</v>
      </c>
      <c r="O112">
        <v>0</v>
      </c>
      <c r="P112">
        <v>256</v>
      </c>
      <c r="Q112" s="2">
        <v>6584</v>
      </c>
      <c r="R112" s="2">
        <v>6144</v>
      </c>
      <c r="S112">
        <v>203</v>
      </c>
      <c r="T112" s="2">
        <v>6400</v>
      </c>
      <c r="U112" s="2">
        <v>5376</v>
      </c>
      <c r="V112">
        <v>217</v>
      </c>
      <c r="W112">
        <v>0</v>
      </c>
      <c r="X112">
        <v>0</v>
      </c>
      <c r="Y112">
        <v>0</v>
      </c>
      <c r="Z112">
        <v>6</v>
      </c>
      <c r="AA112">
        <v>2.7615154999999999E-2</v>
      </c>
      <c r="AB112">
        <v>22.5</v>
      </c>
      <c r="AC112">
        <v>10.2875</v>
      </c>
      <c r="AD112">
        <v>22</v>
      </c>
      <c r="AE112" s="7"/>
      <c r="AF112" s="7"/>
      <c r="AG112" s="7"/>
      <c r="AH112" s="7"/>
      <c r="AI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1.7125000000000004</v>
      </c>
      <c r="AJ112" s="7"/>
      <c r="AK112" t="s">
        <v>148</v>
      </c>
      <c r="AN112">
        <f>IFERROR(INT(Table13[[#This Row],[reject_prod]]/Table13[[#This Row],[part_weight]] * 1000), 0)</f>
        <v>181</v>
      </c>
    </row>
    <row r="113" spans="1:40" hidden="1">
      <c r="A113" s="1">
        <v>46027</v>
      </c>
      <c r="B113">
        <v>1</v>
      </c>
      <c r="C113">
        <v>8</v>
      </c>
      <c r="D113" t="s">
        <v>149</v>
      </c>
      <c r="E113" t="s">
        <v>34</v>
      </c>
      <c r="F113">
        <v>323102</v>
      </c>
      <c r="G113" s="6">
        <v>0</v>
      </c>
      <c r="H113" t="s">
        <v>45</v>
      </c>
      <c r="I113">
        <v>10682922</v>
      </c>
      <c r="J113">
        <v>4</v>
      </c>
      <c r="K113">
        <v>56.9</v>
      </c>
      <c r="L113">
        <v>56.9</v>
      </c>
      <c r="M113">
        <v>1186</v>
      </c>
      <c r="N113" s="2">
        <v>38400</v>
      </c>
      <c r="O113">
        <v>0</v>
      </c>
      <c r="P113">
        <v>138</v>
      </c>
      <c r="Q113" s="2">
        <v>4744</v>
      </c>
      <c r="R113" s="2">
        <v>4480</v>
      </c>
      <c r="S113">
        <v>255</v>
      </c>
      <c r="T113" s="2">
        <v>27658</v>
      </c>
      <c r="U113" s="2">
        <v>10742</v>
      </c>
      <c r="V113">
        <v>270</v>
      </c>
      <c r="W113">
        <v>0</v>
      </c>
      <c r="X113">
        <v>0</v>
      </c>
      <c r="Y113">
        <v>0</v>
      </c>
      <c r="Z113">
        <v>7.3</v>
      </c>
      <c r="AA113">
        <v>2.7043688E-2</v>
      </c>
      <c r="AB113">
        <v>22.5</v>
      </c>
      <c r="AC113">
        <v>7.4124999999999996</v>
      </c>
      <c r="AD113">
        <v>26</v>
      </c>
      <c r="AE113" s="7"/>
      <c r="AF113" s="7"/>
      <c r="AG113" s="7"/>
      <c r="AH113" s="7"/>
      <c r="AI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4.5875000000000004</v>
      </c>
      <c r="AJ113" s="7"/>
      <c r="AK113" t="s">
        <v>75</v>
      </c>
      <c r="AN113">
        <f>IFERROR(INT(Table13[[#This Row],[reject_prod]]/Table13[[#This Row],[part_weight]] * 1000), 0)</f>
        <v>128</v>
      </c>
    </row>
    <row r="114" spans="1:40" hidden="1">
      <c r="A114" s="1">
        <v>46027</v>
      </c>
      <c r="B114">
        <v>1</v>
      </c>
      <c r="C114">
        <v>9</v>
      </c>
      <c r="D114" t="s">
        <v>150</v>
      </c>
      <c r="E114" t="s">
        <v>46</v>
      </c>
      <c r="F114">
        <v>586276</v>
      </c>
      <c r="G114" s="6">
        <v>0</v>
      </c>
      <c r="H114" t="s">
        <v>47</v>
      </c>
      <c r="I114">
        <v>10682923</v>
      </c>
      <c r="J114">
        <v>6</v>
      </c>
      <c r="K114">
        <v>12.3</v>
      </c>
      <c r="L114">
        <v>12.3</v>
      </c>
      <c r="M114">
        <v>1675</v>
      </c>
      <c r="N114" s="2">
        <v>162000</v>
      </c>
      <c r="O114">
        <v>0</v>
      </c>
      <c r="P114" s="2">
        <v>1620</v>
      </c>
      <c r="Q114" s="2">
        <v>10050</v>
      </c>
      <c r="R114" s="2">
        <v>8100</v>
      </c>
      <c r="S114">
        <v>100</v>
      </c>
      <c r="T114" s="2">
        <v>82620</v>
      </c>
      <c r="U114" s="2">
        <v>79380</v>
      </c>
      <c r="V114">
        <v>124</v>
      </c>
      <c r="W114">
        <v>0</v>
      </c>
      <c r="X114">
        <v>0</v>
      </c>
      <c r="Y114">
        <v>0</v>
      </c>
      <c r="Z114">
        <v>1</v>
      </c>
      <c r="AA114">
        <v>8.0896330000000006E-3</v>
      </c>
      <c r="AB114">
        <v>25.5</v>
      </c>
      <c r="AC114">
        <v>11.86458333</v>
      </c>
      <c r="AD114">
        <v>26</v>
      </c>
      <c r="AE114" s="7"/>
      <c r="AF114" s="7"/>
      <c r="AG114" s="7"/>
      <c r="AH114" s="7"/>
      <c r="AI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0.13541666999999968</v>
      </c>
      <c r="AJ114" s="7"/>
      <c r="AK114" t="s">
        <v>51</v>
      </c>
      <c r="AN114">
        <f>IFERROR(INT(Table13[[#This Row],[reject_prod]]/Table13[[#This Row],[part_weight]] * 1000), 0)</f>
        <v>81</v>
      </c>
    </row>
    <row r="115" spans="1:40" hidden="1">
      <c r="A115" s="1">
        <v>46027</v>
      </c>
      <c r="B115">
        <v>1</v>
      </c>
      <c r="C115">
        <v>10</v>
      </c>
      <c r="D115" t="s">
        <v>40</v>
      </c>
      <c r="E115" t="s">
        <v>41</v>
      </c>
      <c r="F115">
        <v>593537</v>
      </c>
      <c r="G115" s="6">
        <v>0</v>
      </c>
      <c r="H115" t="s">
        <v>48</v>
      </c>
      <c r="I115">
        <v>10682925</v>
      </c>
      <c r="J115">
        <v>4</v>
      </c>
      <c r="K115">
        <v>56.5</v>
      </c>
      <c r="L115">
        <v>56.8</v>
      </c>
      <c r="M115">
        <v>1060</v>
      </c>
      <c r="N115" s="2">
        <v>69000</v>
      </c>
      <c r="O115">
        <v>460</v>
      </c>
      <c r="P115">
        <v>690</v>
      </c>
      <c r="Q115" s="2">
        <v>4240</v>
      </c>
      <c r="R115" s="2">
        <v>3450</v>
      </c>
      <c r="S115">
        <v>196</v>
      </c>
      <c r="T115" s="2">
        <v>9890</v>
      </c>
      <c r="U115" s="2">
        <v>59110</v>
      </c>
      <c r="V115">
        <v>241</v>
      </c>
      <c r="W115">
        <v>-1</v>
      </c>
      <c r="X115">
        <v>0</v>
      </c>
      <c r="Y115">
        <v>0</v>
      </c>
      <c r="Z115">
        <v>32.299999999999997</v>
      </c>
      <c r="AA115">
        <v>0.13411839</v>
      </c>
      <c r="AB115">
        <v>31.7</v>
      </c>
      <c r="AC115">
        <v>9.3338888890000007</v>
      </c>
      <c r="AD115">
        <v>28.5</v>
      </c>
      <c r="AE115" s="7"/>
      <c r="AF115" s="7"/>
      <c r="AG115" s="7"/>
      <c r="AH115" s="7"/>
      <c r="AI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2.6661111109999993</v>
      </c>
      <c r="AJ115" s="7"/>
      <c r="AK115" t="s">
        <v>151</v>
      </c>
      <c r="AN115">
        <f>IFERROR(INT(Table13[[#This Row],[reject_prod]]/Table13[[#This Row],[part_weight]] * 1000), 0)</f>
        <v>568</v>
      </c>
    </row>
    <row r="116" spans="1:40" hidden="1">
      <c r="A116" s="1">
        <v>46027</v>
      </c>
      <c r="B116">
        <v>1</v>
      </c>
      <c r="C116">
        <v>11</v>
      </c>
      <c r="D116" t="s">
        <v>112</v>
      </c>
      <c r="E116" t="s">
        <v>46</v>
      </c>
      <c r="F116">
        <v>552181</v>
      </c>
      <c r="G116" s="6">
        <v>1</v>
      </c>
      <c r="H116" t="s">
        <v>49</v>
      </c>
      <c r="I116">
        <v>10679363</v>
      </c>
      <c r="J116">
        <v>6</v>
      </c>
      <c r="K116">
        <v>18.8</v>
      </c>
      <c r="L116">
        <v>18.8</v>
      </c>
      <c r="M116">
        <v>1569</v>
      </c>
      <c r="N116" s="2">
        <v>108000</v>
      </c>
      <c r="O116" s="2">
        <v>53190</v>
      </c>
      <c r="P116" s="2">
        <v>3240</v>
      </c>
      <c r="Q116" s="2">
        <v>9414</v>
      </c>
      <c r="R116" s="2">
        <v>59400</v>
      </c>
      <c r="S116" s="2">
        <v>1117</v>
      </c>
      <c r="T116" s="2">
        <v>95040</v>
      </c>
      <c r="U116" s="2">
        <v>12960</v>
      </c>
      <c r="V116">
        <v>177</v>
      </c>
      <c r="W116">
        <v>0</v>
      </c>
      <c r="X116">
        <v>0</v>
      </c>
      <c r="Y116">
        <v>0</v>
      </c>
      <c r="Z116">
        <v>2.5</v>
      </c>
      <c r="AA116">
        <v>1.4125634999999999E-2</v>
      </c>
      <c r="AB116">
        <v>27.6</v>
      </c>
      <c r="AC116">
        <v>12</v>
      </c>
      <c r="AD116">
        <v>27</v>
      </c>
      <c r="AE116" s="7"/>
      <c r="AF116" s="7"/>
      <c r="AG116" s="7"/>
      <c r="AH116" s="7"/>
      <c r="AI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6" s="7"/>
      <c r="AK116" t="s">
        <v>130</v>
      </c>
      <c r="AN116">
        <f>IFERROR(INT(Table13[[#This Row],[reject_prod]]/Table13[[#This Row],[part_weight]] * 1000), 0)</f>
        <v>132</v>
      </c>
    </row>
    <row r="117" spans="1:40" hidden="1">
      <c r="A117" s="1">
        <v>46027</v>
      </c>
      <c r="B117">
        <v>1</v>
      </c>
      <c r="C117">
        <v>12</v>
      </c>
      <c r="D117" t="s">
        <v>152</v>
      </c>
      <c r="E117" t="s">
        <v>34</v>
      </c>
      <c r="F117">
        <v>620599</v>
      </c>
      <c r="G117" s="6">
        <v>0</v>
      </c>
      <c r="H117" t="s">
        <v>50</v>
      </c>
      <c r="I117">
        <v>10682928</v>
      </c>
      <c r="J117">
        <v>4</v>
      </c>
      <c r="K117">
        <v>55</v>
      </c>
      <c r="L117">
        <v>55</v>
      </c>
      <c r="M117">
        <v>1274</v>
      </c>
      <c r="N117" s="2">
        <v>72000</v>
      </c>
      <c r="O117">
        <v>0</v>
      </c>
      <c r="P117" s="2">
        <v>1350</v>
      </c>
      <c r="Q117" s="2">
        <v>5096</v>
      </c>
      <c r="R117" s="2">
        <v>3600</v>
      </c>
      <c r="S117">
        <v>198</v>
      </c>
      <c r="T117" s="2">
        <v>10350</v>
      </c>
      <c r="U117" s="2">
        <v>61650</v>
      </c>
      <c r="V117">
        <v>280</v>
      </c>
      <c r="W117">
        <v>0</v>
      </c>
      <c r="X117">
        <v>0</v>
      </c>
      <c r="Y117">
        <v>0</v>
      </c>
      <c r="Z117">
        <v>8</v>
      </c>
      <c r="AA117">
        <v>2.8542886E-2</v>
      </c>
      <c r="AB117">
        <v>27.6</v>
      </c>
      <c r="AC117">
        <v>9.7673333329999998</v>
      </c>
      <c r="AD117">
        <v>28</v>
      </c>
      <c r="AE117" s="7"/>
      <c r="AF117" s="7"/>
      <c r="AG117" s="7"/>
      <c r="AH117" s="7"/>
      <c r="AI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2.2326666670000002</v>
      </c>
      <c r="AJ117" s="7"/>
      <c r="AK117" t="s">
        <v>130</v>
      </c>
      <c r="AN117">
        <f>IFERROR(INT(Table13[[#This Row],[reject_prod]]/Table13[[#This Row],[part_weight]] * 1000), 0)</f>
        <v>145</v>
      </c>
    </row>
    <row r="118" spans="1:40" hidden="1">
      <c r="A118" s="1">
        <v>46027</v>
      </c>
      <c r="B118">
        <v>1</v>
      </c>
      <c r="C118">
        <v>13</v>
      </c>
      <c r="D118" t="s">
        <v>112</v>
      </c>
      <c r="E118" t="s">
        <v>46</v>
      </c>
      <c r="F118">
        <v>586276</v>
      </c>
      <c r="G118" s="6">
        <v>0</v>
      </c>
      <c r="H118" t="s">
        <v>47</v>
      </c>
      <c r="I118">
        <v>10682930</v>
      </c>
      <c r="J118">
        <v>6</v>
      </c>
      <c r="K118">
        <v>12.3</v>
      </c>
      <c r="L118">
        <v>12.3</v>
      </c>
      <c r="M118">
        <v>1665</v>
      </c>
      <c r="N118" s="2">
        <v>162000</v>
      </c>
      <c r="O118" s="2">
        <v>6075</v>
      </c>
      <c r="P118" s="2">
        <v>7695</v>
      </c>
      <c r="Q118" s="2">
        <v>9990</v>
      </c>
      <c r="R118" s="2">
        <v>8100</v>
      </c>
      <c r="S118">
        <v>100</v>
      </c>
      <c r="T118" s="2">
        <v>23895</v>
      </c>
      <c r="U118" s="2">
        <v>138105</v>
      </c>
      <c r="V118">
        <v>123</v>
      </c>
      <c r="W118">
        <v>0</v>
      </c>
      <c r="X118">
        <v>0</v>
      </c>
      <c r="Y118">
        <v>0</v>
      </c>
      <c r="Z118">
        <v>3.2</v>
      </c>
      <c r="AA118">
        <v>2.6042302E-2</v>
      </c>
      <c r="AB118">
        <v>26</v>
      </c>
      <c r="AC118">
        <v>12</v>
      </c>
      <c r="AD118">
        <v>26</v>
      </c>
      <c r="AE118" s="7"/>
      <c r="AF118" s="7"/>
      <c r="AG118" s="7"/>
      <c r="AH118" s="7"/>
      <c r="AI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" s="7"/>
      <c r="AK118" t="s">
        <v>51</v>
      </c>
      <c r="AN118">
        <f>IFERROR(INT(Table13[[#This Row],[reject_prod]]/Table13[[#This Row],[part_weight]] * 1000), 0)</f>
        <v>260</v>
      </c>
    </row>
    <row r="119" spans="1:40" hidden="1">
      <c r="A119" s="1">
        <v>46027</v>
      </c>
      <c r="B119">
        <v>1</v>
      </c>
      <c r="C119">
        <v>14</v>
      </c>
      <c r="D119" t="s">
        <v>112</v>
      </c>
      <c r="E119" t="s">
        <v>46</v>
      </c>
      <c r="F119">
        <v>555979</v>
      </c>
      <c r="G119" s="6">
        <v>1</v>
      </c>
      <c r="H119" t="s">
        <v>52</v>
      </c>
      <c r="I119">
        <v>10682931</v>
      </c>
      <c r="J119">
        <v>6</v>
      </c>
      <c r="K119">
        <v>28</v>
      </c>
      <c r="L119">
        <v>28</v>
      </c>
      <c r="M119">
        <v>926</v>
      </c>
      <c r="N119" s="2">
        <v>100800</v>
      </c>
      <c r="O119">
        <v>0</v>
      </c>
      <c r="P119" s="2">
        <v>2016</v>
      </c>
      <c r="Q119" s="2">
        <v>5556</v>
      </c>
      <c r="R119" s="2">
        <v>3360</v>
      </c>
      <c r="S119">
        <v>94</v>
      </c>
      <c r="T119" s="2">
        <v>72576</v>
      </c>
      <c r="U119" s="2">
        <v>28224</v>
      </c>
      <c r="V119">
        <v>156</v>
      </c>
      <c r="W119">
        <v>0</v>
      </c>
      <c r="X119">
        <v>0</v>
      </c>
      <c r="Y119">
        <v>0</v>
      </c>
      <c r="Z119">
        <v>4.5</v>
      </c>
      <c r="AA119">
        <v>2.8926257E-2</v>
      </c>
      <c r="AB119">
        <v>43.3</v>
      </c>
      <c r="AC119">
        <v>11.137722220000001</v>
      </c>
      <c r="AD119">
        <v>42</v>
      </c>
      <c r="AE119" s="7"/>
      <c r="AF119" s="7"/>
      <c r="AG119" s="7"/>
      <c r="AH119" s="7"/>
      <c r="AI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0.86227777999999944</v>
      </c>
      <c r="AJ119" s="7"/>
      <c r="AK119" t="s">
        <v>51</v>
      </c>
      <c r="AN119">
        <f>IFERROR(INT(Table13[[#This Row],[reject_prod]]/Table13[[#This Row],[part_weight]] * 1000), 0)</f>
        <v>160</v>
      </c>
    </row>
    <row r="120" spans="1:40" hidden="1">
      <c r="A120" s="1">
        <v>46027</v>
      </c>
      <c r="B120">
        <v>1</v>
      </c>
      <c r="C120">
        <v>15</v>
      </c>
      <c r="D120" t="s">
        <v>112</v>
      </c>
      <c r="E120" t="s">
        <v>46</v>
      </c>
      <c r="F120">
        <v>552181</v>
      </c>
      <c r="G120" s="6">
        <v>2</v>
      </c>
      <c r="H120" t="s">
        <v>49</v>
      </c>
      <c r="I120">
        <v>10682933</v>
      </c>
      <c r="J120">
        <v>6</v>
      </c>
      <c r="K120">
        <v>18.8</v>
      </c>
      <c r="L120">
        <v>18.8</v>
      </c>
      <c r="M120">
        <v>1366</v>
      </c>
      <c r="N120" s="2">
        <v>108000</v>
      </c>
      <c r="O120" s="2">
        <v>18630</v>
      </c>
      <c r="P120" s="2">
        <v>4860</v>
      </c>
      <c r="Q120" s="2">
        <v>8196</v>
      </c>
      <c r="R120" s="2">
        <v>21600</v>
      </c>
      <c r="S120">
        <v>406</v>
      </c>
      <c r="T120" s="2">
        <v>85860</v>
      </c>
      <c r="U120" s="2">
        <v>22140</v>
      </c>
      <c r="V120">
        <v>154</v>
      </c>
      <c r="W120">
        <v>0</v>
      </c>
      <c r="X120">
        <v>0</v>
      </c>
      <c r="Y120">
        <v>0</v>
      </c>
      <c r="Z120">
        <v>6.7</v>
      </c>
      <c r="AA120">
        <v>4.3482550000000002E-2</v>
      </c>
      <c r="AB120">
        <v>31.2</v>
      </c>
      <c r="AC120">
        <v>11.83866667</v>
      </c>
      <c r="AD120">
        <v>27</v>
      </c>
      <c r="AE120" s="7"/>
      <c r="AF120" s="7"/>
      <c r="AG120" s="7"/>
      <c r="AH120" s="7"/>
      <c r="AI1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0.16133332999999972</v>
      </c>
      <c r="AJ120" s="7"/>
      <c r="AK120" t="s">
        <v>51</v>
      </c>
      <c r="AN120">
        <f>IFERROR(INT(Table13[[#This Row],[reject_prod]]/Table13[[#This Row],[part_weight]] * 1000), 0)</f>
        <v>356</v>
      </c>
    </row>
    <row r="121" spans="1:40" hidden="1">
      <c r="A121" s="1">
        <v>46027</v>
      </c>
      <c r="B121">
        <v>1</v>
      </c>
      <c r="C121">
        <v>16</v>
      </c>
      <c r="D121" t="s">
        <v>69</v>
      </c>
      <c r="E121" t="s">
        <v>46</v>
      </c>
      <c r="F121">
        <v>555979</v>
      </c>
      <c r="G121" s="6">
        <v>2</v>
      </c>
      <c r="H121" t="s">
        <v>52</v>
      </c>
      <c r="I121">
        <v>10682935</v>
      </c>
      <c r="J121">
        <v>6</v>
      </c>
      <c r="K121">
        <v>28</v>
      </c>
      <c r="L121">
        <v>28</v>
      </c>
      <c r="M121">
        <v>935</v>
      </c>
      <c r="N121" s="2">
        <v>100800</v>
      </c>
      <c r="O121" s="2">
        <v>1344</v>
      </c>
      <c r="P121">
        <v>168</v>
      </c>
      <c r="Q121" s="2">
        <v>5610</v>
      </c>
      <c r="R121" s="2">
        <v>6720</v>
      </c>
      <c r="S121">
        <v>188</v>
      </c>
      <c r="T121" s="2">
        <v>13608</v>
      </c>
      <c r="U121" s="2">
        <v>87192</v>
      </c>
      <c r="V121">
        <v>157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44.3</v>
      </c>
      <c r="AC121">
        <v>11.505694439999999</v>
      </c>
      <c r="AD121">
        <v>42</v>
      </c>
      <c r="AE121" s="7"/>
      <c r="AF121" s="7"/>
      <c r="AG121" s="7"/>
      <c r="AH121" s="7"/>
      <c r="AI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0.49430556000000081</v>
      </c>
      <c r="AJ121" s="7"/>
      <c r="AK121" t="s">
        <v>51</v>
      </c>
      <c r="AN121">
        <f>IFERROR(INT(Table13[[#This Row],[reject_prod]]/Table13[[#This Row],[part_weight]] * 1000), 0)</f>
        <v>0</v>
      </c>
    </row>
    <row r="122" spans="1:40" hidden="1">
      <c r="A122" s="1">
        <v>46027</v>
      </c>
      <c r="B122">
        <v>2</v>
      </c>
      <c r="C122">
        <v>1</v>
      </c>
      <c r="D122" t="s">
        <v>33</v>
      </c>
      <c r="E122" t="s">
        <v>34</v>
      </c>
      <c r="F122">
        <v>322474</v>
      </c>
      <c r="G122" s="6">
        <v>0</v>
      </c>
      <c r="H122" t="s">
        <v>153</v>
      </c>
      <c r="I122">
        <v>10681777</v>
      </c>
      <c r="J122">
        <v>4</v>
      </c>
      <c r="K122">
        <v>44</v>
      </c>
      <c r="L122">
        <v>44</v>
      </c>
      <c r="M122">
        <v>30</v>
      </c>
      <c r="N122" s="2">
        <v>15840</v>
      </c>
      <c r="O122">
        <v>0</v>
      </c>
      <c r="P122">
        <v>110</v>
      </c>
      <c r="Q122">
        <v>120</v>
      </c>
      <c r="R122">
        <v>0</v>
      </c>
      <c r="S122">
        <v>0</v>
      </c>
      <c r="T122">
        <v>0</v>
      </c>
      <c r="U122" s="2">
        <v>15840</v>
      </c>
      <c r="V122">
        <v>5</v>
      </c>
      <c r="W122">
        <v>0</v>
      </c>
      <c r="X122">
        <v>15.4</v>
      </c>
      <c r="Y122">
        <v>2.9166666669999999</v>
      </c>
      <c r="Z122">
        <v>0</v>
      </c>
      <c r="AA122">
        <v>0</v>
      </c>
      <c r="AB122">
        <v>27.87</v>
      </c>
      <c r="AC122">
        <v>0.23225000000000001</v>
      </c>
      <c r="AD122">
        <v>28.56</v>
      </c>
      <c r="AE122" s="7">
        <v>5.5</v>
      </c>
      <c r="AF122" s="7"/>
      <c r="AG122" s="7"/>
      <c r="AH122" s="7"/>
      <c r="AI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6.2677499999999995</v>
      </c>
      <c r="AJ122" s="7"/>
      <c r="AK122" t="s">
        <v>154</v>
      </c>
      <c r="AN122">
        <f>IFERROR(INT(Table13[[#This Row],[reject_prod]]/Table13[[#This Row],[part_weight]] * 1000), 0)</f>
        <v>0</v>
      </c>
    </row>
    <row r="123" spans="1:40" hidden="1">
      <c r="A123" s="1">
        <v>46027</v>
      </c>
      <c r="B123">
        <v>2</v>
      </c>
      <c r="C123">
        <v>2</v>
      </c>
      <c r="D123" t="s">
        <v>88</v>
      </c>
      <c r="E123" t="s">
        <v>34</v>
      </c>
      <c r="F123">
        <v>423213</v>
      </c>
      <c r="G123" s="6">
        <v>0</v>
      </c>
      <c r="H123" t="s">
        <v>70</v>
      </c>
      <c r="I123">
        <v>10682754</v>
      </c>
      <c r="J123">
        <v>4</v>
      </c>
      <c r="K123">
        <v>23</v>
      </c>
      <c r="L123">
        <v>23</v>
      </c>
      <c r="M123">
        <v>1120</v>
      </c>
      <c r="N123" s="2">
        <v>47244</v>
      </c>
      <c r="O123" s="2">
        <v>3429</v>
      </c>
      <c r="P123" s="2">
        <v>1524</v>
      </c>
      <c r="Q123" s="2">
        <v>4480</v>
      </c>
      <c r="R123" s="2">
        <v>6096</v>
      </c>
      <c r="S123">
        <v>140</v>
      </c>
      <c r="T123" s="2">
        <v>47244</v>
      </c>
      <c r="U123">
        <v>0</v>
      </c>
      <c r="V123">
        <v>103</v>
      </c>
      <c r="W123">
        <v>0</v>
      </c>
      <c r="X123">
        <v>0</v>
      </c>
      <c r="Y123">
        <v>0</v>
      </c>
      <c r="Z123">
        <v>5</v>
      </c>
      <c r="AA123">
        <v>4.8524844999999997E-2</v>
      </c>
      <c r="AB123">
        <v>22.5</v>
      </c>
      <c r="AC123">
        <v>7</v>
      </c>
      <c r="AD123">
        <v>22.5</v>
      </c>
      <c r="AE123" s="7"/>
      <c r="AF123" s="7"/>
      <c r="AG123" s="7"/>
      <c r="AH123" s="7"/>
      <c r="AI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</v>
      </c>
      <c r="AJ123" s="7"/>
      <c r="AK123" t="s">
        <v>155</v>
      </c>
      <c r="AN123">
        <f>IFERROR(INT(Table13[[#This Row],[reject_prod]]/Table13[[#This Row],[part_weight]] * 1000), 0)</f>
        <v>217</v>
      </c>
    </row>
    <row r="124" spans="1:40" hidden="1">
      <c r="A124" s="1">
        <v>46027</v>
      </c>
      <c r="B124">
        <v>2</v>
      </c>
      <c r="C124">
        <v>2</v>
      </c>
      <c r="D124" t="s">
        <v>88</v>
      </c>
      <c r="E124" t="s">
        <v>34</v>
      </c>
      <c r="F124">
        <v>423215</v>
      </c>
      <c r="G124" s="6">
        <v>0</v>
      </c>
      <c r="H124" t="s">
        <v>156</v>
      </c>
      <c r="I124">
        <v>10682755</v>
      </c>
      <c r="J124">
        <v>4</v>
      </c>
      <c r="K124">
        <v>24</v>
      </c>
      <c r="L124">
        <v>24</v>
      </c>
      <c r="M124">
        <v>150</v>
      </c>
      <c r="N124" s="2">
        <v>89112</v>
      </c>
      <c r="O124">
        <v>0</v>
      </c>
      <c r="P124">
        <v>564</v>
      </c>
      <c r="Q124">
        <v>600</v>
      </c>
      <c r="R124">
        <v>0</v>
      </c>
      <c r="S124">
        <v>0</v>
      </c>
      <c r="T124">
        <v>0</v>
      </c>
      <c r="U124" s="2">
        <v>89112</v>
      </c>
      <c r="V124">
        <v>14</v>
      </c>
      <c r="W124">
        <v>0</v>
      </c>
      <c r="X124">
        <v>6</v>
      </c>
      <c r="Y124">
        <v>0.41666666699999999</v>
      </c>
      <c r="Z124">
        <v>1</v>
      </c>
      <c r="AA124">
        <v>6.9444443999999994E-2</v>
      </c>
      <c r="AB124">
        <v>26.83</v>
      </c>
      <c r="AC124">
        <v>1.117916667</v>
      </c>
      <c r="AD124">
        <v>22</v>
      </c>
      <c r="AE124" s="7"/>
      <c r="AF124" s="7"/>
      <c r="AG124" s="7">
        <v>1.5</v>
      </c>
      <c r="AH124" s="7"/>
      <c r="AI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9.3820833330000006</v>
      </c>
      <c r="AJ124" s="7"/>
      <c r="AK124" t="s">
        <v>157</v>
      </c>
      <c r="AN124">
        <f>IFERROR(INT(Table13[[#This Row],[reject_prod]]/Table13[[#This Row],[part_weight]] * 1000), 0)</f>
        <v>41</v>
      </c>
    </row>
    <row r="125" spans="1:40" hidden="1">
      <c r="A125" s="1">
        <v>46027</v>
      </c>
      <c r="B125">
        <v>2</v>
      </c>
      <c r="C125">
        <v>3</v>
      </c>
      <c r="D125" t="s">
        <v>58</v>
      </c>
      <c r="E125" t="s">
        <v>34</v>
      </c>
      <c r="F125">
        <v>442034</v>
      </c>
      <c r="G125" s="6">
        <v>0</v>
      </c>
      <c r="H125" t="s">
        <v>37</v>
      </c>
      <c r="I125">
        <v>10681182</v>
      </c>
      <c r="J125">
        <v>4</v>
      </c>
      <c r="K125">
        <v>23</v>
      </c>
      <c r="L125">
        <v>23</v>
      </c>
      <c r="M125">
        <v>1730</v>
      </c>
      <c r="N125" s="2">
        <v>139776</v>
      </c>
      <c r="O125" s="2">
        <v>2304</v>
      </c>
      <c r="P125">
        <v>0</v>
      </c>
      <c r="Q125" s="2">
        <v>6920</v>
      </c>
      <c r="R125" s="2">
        <v>9216</v>
      </c>
      <c r="S125">
        <v>212</v>
      </c>
      <c r="T125" s="2">
        <v>138240</v>
      </c>
      <c r="U125" s="2">
        <v>1536</v>
      </c>
      <c r="V125">
        <v>159</v>
      </c>
      <c r="W125">
        <v>0</v>
      </c>
      <c r="X125">
        <v>0</v>
      </c>
      <c r="Y125">
        <v>0</v>
      </c>
      <c r="Z125">
        <v>1</v>
      </c>
      <c r="AA125">
        <v>6.282986E-3</v>
      </c>
      <c r="AB125">
        <v>25.2</v>
      </c>
      <c r="AC125">
        <v>12</v>
      </c>
      <c r="AD125">
        <v>22</v>
      </c>
      <c r="AE125" s="7"/>
      <c r="AF125" s="7"/>
      <c r="AG125" s="7"/>
      <c r="AH125" s="7"/>
      <c r="AI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5" s="7"/>
      <c r="AK125" t="s">
        <v>75</v>
      </c>
      <c r="AN125">
        <f>IFERROR(INT(Table13[[#This Row],[reject_prod]]/Table13[[#This Row],[part_weight]] * 1000), 0)</f>
        <v>43</v>
      </c>
    </row>
    <row r="126" spans="1:40" hidden="1">
      <c r="A126" s="1">
        <v>46027</v>
      </c>
      <c r="B126">
        <v>2</v>
      </c>
      <c r="C126">
        <v>4</v>
      </c>
      <c r="F126">
        <v>123456</v>
      </c>
      <c r="G126" s="6">
        <v>0</v>
      </c>
      <c r="M126">
        <v>0</v>
      </c>
      <c r="N126">
        <v>0</v>
      </c>
      <c r="O126">
        <v>0</v>
      </c>
      <c r="P126">
        <v>0</v>
      </c>
      <c r="R126">
        <v>0</v>
      </c>
      <c r="T126">
        <v>0</v>
      </c>
      <c r="X126">
        <v>0</v>
      </c>
      <c r="Z126">
        <v>0</v>
      </c>
      <c r="AB126">
        <v>0</v>
      </c>
      <c r="AC126">
        <v>0</v>
      </c>
      <c r="AD126">
        <v>22.5</v>
      </c>
      <c r="AE126" s="7"/>
      <c r="AF126" s="7"/>
      <c r="AG126" s="7"/>
      <c r="AH126" s="7"/>
      <c r="AI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6" s="7">
        <v>12</v>
      </c>
      <c r="AK126" t="s">
        <v>116</v>
      </c>
      <c r="AN126">
        <f>IFERROR(INT(Table13[[#This Row],[reject_prod]]/Table13[[#This Row],[part_weight]] * 1000), 0)</f>
        <v>0</v>
      </c>
    </row>
    <row r="127" spans="1:40" hidden="1">
      <c r="A127" s="1">
        <v>46027</v>
      </c>
      <c r="B127">
        <v>2</v>
      </c>
      <c r="C127">
        <v>5</v>
      </c>
      <c r="D127" t="s">
        <v>89</v>
      </c>
      <c r="E127" t="s">
        <v>34</v>
      </c>
      <c r="F127">
        <v>611949</v>
      </c>
      <c r="G127" s="6">
        <v>0</v>
      </c>
      <c r="H127" t="s">
        <v>38</v>
      </c>
      <c r="I127">
        <v>10680235</v>
      </c>
      <c r="J127">
        <v>4</v>
      </c>
      <c r="K127">
        <v>20</v>
      </c>
      <c r="L127">
        <v>20</v>
      </c>
      <c r="M127">
        <v>1788</v>
      </c>
      <c r="N127" s="2">
        <v>83600</v>
      </c>
      <c r="O127" s="2">
        <v>4950</v>
      </c>
      <c r="P127" s="2">
        <v>5500</v>
      </c>
      <c r="Q127" s="2">
        <v>7152</v>
      </c>
      <c r="R127" s="2">
        <v>6600</v>
      </c>
      <c r="S127">
        <v>132</v>
      </c>
      <c r="T127" s="2">
        <v>18700</v>
      </c>
      <c r="U127" s="2">
        <v>64900</v>
      </c>
      <c r="V127">
        <v>143</v>
      </c>
      <c r="W127">
        <v>0</v>
      </c>
      <c r="X127">
        <v>0</v>
      </c>
      <c r="Y127">
        <v>0</v>
      </c>
      <c r="Z127">
        <v>4.3</v>
      </c>
      <c r="AA127">
        <v>3.0061521000000001E-2</v>
      </c>
      <c r="AB127">
        <v>23.65</v>
      </c>
      <c r="AC127">
        <v>11.746166669999999</v>
      </c>
      <c r="AD127">
        <v>21.64</v>
      </c>
      <c r="AE127" s="7"/>
      <c r="AF127" s="7"/>
      <c r="AG127" s="7"/>
      <c r="AH127" s="7"/>
      <c r="AI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0.25383333000000086</v>
      </c>
      <c r="AJ127" s="7"/>
      <c r="AK127" t="s">
        <v>158</v>
      </c>
      <c r="AN127">
        <f>IFERROR(INT(Table13[[#This Row],[reject_prod]]/Table13[[#This Row],[part_weight]] * 1000), 0)</f>
        <v>215</v>
      </c>
    </row>
    <row r="128" spans="1:40" hidden="1">
      <c r="A128" s="1">
        <v>46027</v>
      </c>
      <c r="B128">
        <v>2</v>
      </c>
      <c r="C128">
        <v>6</v>
      </c>
      <c r="D128" t="s">
        <v>124</v>
      </c>
      <c r="E128" t="s">
        <v>34</v>
      </c>
      <c r="F128">
        <v>579471</v>
      </c>
      <c r="G128" s="6">
        <v>0</v>
      </c>
      <c r="H128" t="s">
        <v>105</v>
      </c>
      <c r="I128">
        <v>10681843</v>
      </c>
      <c r="J128">
        <v>4</v>
      </c>
      <c r="K128">
        <v>24</v>
      </c>
      <c r="L128">
        <v>24</v>
      </c>
      <c r="M128">
        <v>1890</v>
      </c>
      <c r="N128" s="2">
        <v>50400</v>
      </c>
      <c r="O128" s="2">
        <v>1512</v>
      </c>
      <c r="P128" s="2">
        <v>3024</v>
      </c>
      <c r="Q128" s="2">
        <v>7560</v>
      </c>
      <c r="R128" s="2">
        <v>6048</v>
      </c>
      <c r="S128">
        <v>145</v>
      </c>
      <c r="T128" s="2">
        <v>15120</v>
      </c>
      <c r="U128" s="2">
        <v>35280</v>
      </c>
      <c r="V128">
        <v>181</v>
      </c>
      <c r="W128">
        <v>0</v>
      </c>
      <c r="X128">
        <v>0</v>
      </c>
      <c r="Y128">
        <v>0</v>
      </c>
      <c r="Z128">
        <v>3</v>
      </c>
      <c r="AA128">
        <v>1.6534391999999998E-2</v>
      </c>
      <c r="AB128">
        <v>22.15</v>
      </c>
      <c r="AC128">
        <v>11.62875</v>
      </c>
      <c r="AD128">
        <v>23</v>
      </c>
      <c r="AE128" s="7"/>
      <c r="AF128" s="7"/>
      <c r="AG128" s="7"/>
      <c r="AH128" s="7"/>
      <c r="AI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0.37124999999999986</v>
      </c>
      <c r="AJ128" s="7"/>
      <c r="AK128" t="s">
        <v>103</v>
      </c>
      <c r="AN128">
        <f>IFERROR(INT(Table13[[#This Row],[reject_prod]]/Table13[[#This Row],[part_weight]] * 1000), 0)</f>
        <v>125</v>
      </c>
    </row>
    <row r="129" spans="1:40" hidden="1">
      <c r="A129" s="1">
        <v>46027</v>
      </c>
      <c r="B129">
        <v>2</v>
      </c>
      <c r="C129">
        <v>7</v>
      </c>
      <c r="D129" t="s">
        <v>139</v>
      </c>
      <c r="E129" t="s">
        <v>34</v>
      </c>
      <c r="F129">
        <v>324165</v>
      </c>
      <c r="G129" s="6">
        <v>0</v>
      </c>
      <c r="H129" t="s">
        <v>44</v>
      </c>
      <c r="I129">
        <v>10680239</v>
      </c>
      <c r="J129">
        <v>4</v>
      </c>
      <c r="K129">
        <v>32.56</v>
      </c>
      <c r="L129">
        <v>33</v>
      </c>
      <c r="M129">
        <v>1345</v>
      </c>
      <c r="N129" s="2">
        <v>11776</v>
      </c>
      <c r="O129">
        <v>256</v>
      </c>
      <c r="P129">
        <v>0</v>
      </c>
      <c r="Q129" s="2">
        <v>5380</v>
      </c>
      <c r="R129" s="2">
        <v>5632</v>
      </c>
      <c r="S129">
        <v>186</v>
      </c>
      <c r="T129" s="2">
        <v>11776</v>
      </c>
      <c r="U129">
        <v>0</v>
      </c>
      <c r="V129">
        <v>178</v>
      </c>
      <c r="W129">
        <v>0</v>
      </c>
      <c r="X129">
        <v>0</v>
      </c>
      <c r="Y129">
        <v>0</v>
      </c>
      <c r="Z129">
        <v>6.2</v>
      </c>
      <c r="AA129">
        <v>3.4921708000000003E-2</v>
      </c>
      <c r="AB129">
        <v>22.5</v>
      </c>
      <c r="AC129">
        <v>8.40625</v>
      </c>
      <c r="AD129">
        <v>22</v>
      </c>
      <c r="AE129" s="7"/>
      <c r="AF129" s="7"/>
      <c r="AG129" s="7"/>
      <c r="AH129" s="7"/>
      <c r="AI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3.59375</v>
      </c>
      <c r="AJ129" s="7"/>
      <c r="AK129" t="s">
        <v>159</v>
      </c>
      <c r="AN129">
        <f>IFERROR(INT(Table13[[#This Row],[reject_prod]]/Table13[[#This Row],[part_weight]] * 1000), 0)</f>
        <v>187</v>
      </c>
    </row>
    <row r="130" spans="1:40" hidden="1">
      <c r="A130" s="1">
        <v>46027</v>
      </c>
      <c r="B130">
        <v>2</v>
      </c>
      <c r="C130">
        <v>7</v>
      </c>
      <c r="D130" t="s">
        <v>139</v>
      </c>
      <c r="E130" t="s">
        <v>34</v>
      </c>
      <c r="F130">
        <v>441809</v>
      </c>
      <c r="G130" s="6">
        <v>0</v>
      </c>
      <c r="H130" t="s">
        <v>160</v>
      </c>
      <c r="I130">
        <v>10682759</v>
      </c>
      <c r="J130">
        <v>4</v>
      </c>
      <c r="K130">
        <v>34</v>
      </c>
      <c r="L130">
        <v>33.67</v>
      </c>
      <c r="M130">
        <v>0</v>
      </c>
      <c r="N130" s="2">
        <v>18432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2">
        <v>18432</v>
      </c>
      <c r="V130">
        <v>0</v>
      </c>
      <c r="W130">
        <v>0</v>
      </c>
      <c r="X130">
        <v>0</v>
      </c>
      <c r="Y130" t="e">
        <v>#DIV/0!</v>
      </c>
      <c r="Z130">
        <v>0</v>
      </c>
      <c r="AA130" t="e">
        <v>#DIV/0!</v>
      </c>
      <c r="AB130">
        <v>0</v>
      </c>
      <c r="AC130">
        <v>0</v>
      </c>
      <c r="AD130">
        <v>18</v>
      </c>
      <c r="AE130" s="7"/>
      <c r="AF130" s="7"/>
      <c r="AG130" s="7">
        <v>1.5</v>
      </c>
      <c r="AH130" s="7"/>
      <c r="AI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0" s="7"/>
      <c r="AK130" t="s">
        <v>161</v>
      </c>
      <c r="AN130">
        <f>IFERROR(INT(Table13[[#This Row],[reject_prod]]/Table13[[#This Row],[part_weight]] * 1000), 0)</f>
        <v>0</v>
      </c>
    </row>
    <row r="131" spans="1:40" hidden="1">
      <c r="A131" s="1">
        <v>46027</v>
      </c>
      <c r="B131">
        <v>2</v>
      </c>
      <c r="C131">
        <v>8</v>
      </c>
      <c r="D131" t="s">
        <v>117</v>
      </c>
      <c r="E131" t="s">
        <v>34</v>
      </c>
      <c r="F131">
        <v>323102</v>
      </c>
      <c r="G131" s="6">
        <v>0</v>
      </c>
      <c r="H131" t="s">
        <v>45</v>
      </c>
      <c r="I131">
        <v>10682922</v>
      </c>
      <c r="J131">
        <v>4</v>
      </c>
      <c r="K131">
        <v>56.9</v>
      </c>
      <c r="L131">
        <v>56.9</v>
      </c>
      <c r="M131">
        <v>1520</v>
      </c>
      <c r="N131" s="2">
        <v>38400</v>
      </c>
      <c r="O131">
        <v>138</v>
      </c>
      <c r="P131">
        <v>80</v>
      </c>
      <c r="Q131" s="2">
        <v>6080</v>
      </c>
      <c r="R131" s="2">
        <v>6080</v>
      </c>
      <c r="S131">
        <v>346</v>
      </c>
      <c r="T131" s="2">
        <v>33680</v>
      </c>
      <c r="U131" s="2">
        <v>4720</v>
      </c>
      <c r="V131">
        <v>346</v>
      </c>
      <c r="W131">
        <v>0</v>
      </c>
      <c r="X131">
        <v>0</v>
      </c>
      <c r="Y131">
        <v>0</v>
      </c>
      <c r="Z131">
        <v>7</v>
      </c>
      <c r="AA131">
        <v>2.0234021000000001E-2</v>
      </c>
      <c r="AB131">
        <v>27.29</v>
      </c>
      <c r="AC131">
        <v>11.522444439999999</v>
      </c>
      <c r="AD131">
        <v>26</v>
      </c>
      <c r="AE131" s="7"/>
      <c r="AF131" s="7"/>
      <c r="AG131" s="7"/>
      <c r="AH131" s="7"/>
      <c r="AI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0.47755556000000077</v>
      </c>
      <c r="AJ131" s="7"/>
      <c r="AK131" t="s">
        <v>75</v>
      </c>
      <c r="AN131">
        <f>IFERROR(INT(Table13[[#This Row],[reject_prod]]/Table13[[#This Row],[part_weight]] * 1000), 0)</f>
        <v>123</v>
      </c>
    </row>
    <row r="132" spans="1:40" hidden="1">
      <c r="A132" s="1">
        <v>46027</v>
      </c>
      <c r="B132">
        <v>2</v>
      </c>
      <c r="C132">
        <v>9</v>
      </c>
      <c r="D132" t="s">
        <v>54</v>
      </c>
      <c r="E132" t="s">
        <v>46</v>
      </c>
      <c r="F132">
        <v>586276</v>
      </c>
      <c r="G132" s="6">
        <v>0</v>
      </c>
      <c r="H132" t="s">
        <v>47</v>
      </c>
      <c r="I132">
        <v>10682923</v>
      </c>
      <c r="J132">
        <v>6</v>
      </c>
      <c r="K132">
        <v>12.3</v>
      </c>
      <c r="L132">
        <v>12.3</v>
      </c>
      <c r="M132">
        <v>1635</v>
      </c>
      <c r="N132" s="2">
        <v>162000</v>
      </c>
      <c r="O132" s="2">
        <v>1620</v>
      </c>
      <c r="P132" s="2">
        <v>3240</v>
      </c>
      <c r="Q132" s="2">
        <v>9810</v>
      </c>
      <c r="R132" s="2">
        <v>8100</v>
      </c>
      <c r="S132">
        <v>100</v>
      </c>
      <c r="T132" s="2">
        <v>92340</v>
      </c>
      <c r="U132" s="2">
        <v>69660</v>
      </c>
      <c r="V132">
        <v>121</v>
      </c>
      <c r="W132">
        <v>0</v>
      </c>
      <c r="X132">
        <v>0</v>
      </c>
      <c r="Y132">
        <v>0</v>
      </c>
      <c r="Z132">
        <v>1.1000000000000001</v>
      </c>
      <c r="AA132">
        <v>9.1162989999999996E-3</v>
      </c>
      <c r="AB132">
        <v>25.5</v>
      </c>
      <c r="AC132">
        <v>11.581250000000001</v>
      </c>
      <c r="AD132">
        <v>26</v>
      </c>
      <c r="AE132" s="7"/>
      <c r="AF132" s="7"/>
      <c r="AG132" s="7"/>
      <c r="AH132" s="7"/>
      <c r="AI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0.41874999999999929</v>
      </c>
      <c r="AJ132" s="7"/>
      <c r="AK132" t="s">
        <v>51</v>
      </c>
      <c r="AN132">
        <f>IFERROR(INT(Table13[[#This Row],[reject_prod]]/Table13[[#This Row],[part_weight]] * 1000), 0)</f>
        <v>89</v>
      </c>
    </row>
    <row r="133" spans="1:40" hidden="1">
      <c r="A133" s="1">
        <v>46027</v>
      </c>
      <c r="B133">
        <v>2</v>
      </c>
      <c r="C133">
        <v>10</v>
      </c>
      <c r="D133" t="s">
        <v>162</v>
      </c>
      <c r="E133" t="s">
        <v>41</v>
      </c>
      <c r="F133">
        <v>593537</v>
      </c>
      <c r="G133" s="6">
        <v>0</v>
      </c>
      <c r="H133" t="s">
        <v>48</v>
      </c>
      <c r="I133">
        <v>10682925</v>
      </c>
      <c r="J133">
        <v>4</v>
      </c>
      <c r="K133">
        <v>56.5</v>
      </c>
      <c r="L133">
        <v>56.8</v>
      </c>
      <c r="M133">
        <v>1300</v>
      </c>
      <c r="N133" s="2">
        <v>69000</v>
      </c>
      <c r="O133">
        <v>690</v>
      </c>
      <c r="P133">
        <v>345</v>
      </c>
      <c r="Q133" s="2">
        <v>5200</v>
      </c>
      <c r="R133" s="2">
        <v>5175</v>
      </c>
      <c r="S133">
        <v>294</v>
      </c>
      <c r="T133" s="2">
        <v>18055</v>
      </c>
      <c r="U133" s="2">
        <v>50945</v>
      </c>
      <c r="V133">
        <v>295</v>
      </c>
      <c r="W133">
        <v>-2</v>
      </c>
      <c r="X133">
        <v>0</v>
      </c>
      <c r="Y133">
        <v>0</v>
      </c>
      <c r="Z133">
        <v>5</v>
      </c>
      <c r="AA133">
        <v>1.6928493999999999E-2</v>
      </c>
      <c r="AB133">
        <v>31.7</v>
      </c>
      <c r="AC133">
        <v>11.44722222</v>
      </c>
      <c r="AD133">
        <v>28.5</v>
      </c>
      <c r="AE133" s="7"/>
      <c r="AF133" s="7"/>
      <c r="AG133" s="7"/>
      <c r="AH133" s="7"/>
      <c r="AI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0.55277777999999955</v>
      </c>
      <c r="AJ133" s="7"/>
      <c r="AK133" t="s">
        <v>163</v>
      </c>
      <c r="AN133">
        <f>IFERROR(INT(Table13[[#This Row],[reject_prod]]/Table13[[#This Row],[part_weight]] * 1000), 0)</f>
        <v>88</v>
      </c>
    </row>
    <row r="134" spans="1:40" hidden="1">
      <c r="A134" s="1">
        <v>46027</v>
      </c>
      <c r="B134">
        <v>2</v>
      </c>
      <c r="C134">
        <v>11</v>
      </c>
      <c r="D134" t="s">
        <v>59</v>
      </c>
      <c r="E134" t="s">
        <v>46</v>
      </c>
      <c r="F134">
        <v>552181</v>
      </c>
      <c r="G134" s="6">
        <v>1</v>
      </c>
      <c r="H134" t="s">
        <v>49</v>
      </c>
      <c r="I134">
        <v>10679363</v>
      </c>
      <c r="J134">
        <v>6</v>
      </c>
      <c r="K134">
        <v>18.8</v>
      </c>
      <c r="L134">
        <v>18.8</v>
      </c>
      <c r="M134">
        <v>1535</v>
      </c>
      <c r="N134" s="2">
        <v>108000</v>
      </c>
      <c r="O134" s="2">
        <v>3240</v>
      </c>
      <c r="P134" s="2">
        <v>1620</v>
      </c>
      <c r="Q134" s="2">
        <v>9210</v>
      </c>
      <c r="R134" s="2">
        <v>10800</v>
      </c>
      <c r="S134">
        <v>203</v>
      </c>
      <c r="T134" s="2">
        <v>104220</v>
      </c>
      <c r="U134" s="2">
        <v>3780</v>
      </c>
      <c r="V134">
        <v>173</v>
      </c>
      <c r="W134">
        <v>0</v>
      </c>
      <c r="X134">
        <v>0</v>
      </c>
      <c r="Y134">
        <v>0</v>
      </c>
      <c r="Z134">
        <v>2</v>
      </c>
      <c r="AA134">
        <v>1.1550812000000001E-2</v>
      </c>
      <c r="AB134">
        <v>27.6</v>
      </c>
      <c r="AC134">
        <v>11.768333330000001</v>
      </c>
      <c r="AD134">
        <v>27</v>
      </c>
      <c r="AE134" s="7"/>
      <c r="AF134" s="7"/>
      <c r="AG134" s="7"/>
      <c r="AH134" s="7"/>
      <c r="AI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0.23166666999999919</v>
      </c>
      <c r="AJ134" s="7"/>
      <c r="AK134" t="s">
        <v>51</v>
      </c>
      <c r="AN134">
        <f>IFERROR(INT(Table13[[#This Row],[reject_prod]]/Table13[[#This Row],[part_weight]] * 1000), 0)</f>
        <v>106</v>
      </c>
    </row>
    <row r="135" spans="1:40" hidden="1">
      <c r="A135" s="1">
        <v>46027</v>
      </c>
      <c r="B135">
        <v>2</v>
      </c>
      <c r="C135">
        <v>12</v>
      </c>
      <c r="D135" t="s">
        <v>56</v>
      </c>
      <c r="E135" t="s">
        <v>34</v>
      </c>
      <c r="F135">
        <v>620599</v>
      </c>
      <c r="G135" s="6">
        <v>0</v>
      </c>
      <c r="H135" t="s">
        <v>50</v>
      </c>
      <c r="I135">
        <v>10682928</v>
      </c>
      <c r="J135">
        <v>4</v>
      </c>
      <c r="K135">
        <v>55</v>
      </c>
      <c r="L135">
        <v>55</v>
      </c>
      <c r="M135">
        <v>1520</v>
      </c>
      <c r="N135" s="2">
        <v>72000</v>
      </c>
      <c r="O135" s="2">
        <v>1350</v>
      </c>
      <c r="P135">
        <v>225</v>
      </c>
      <c r="Q135" s="2">
        <v>6080</v>
      </c>
      <c r="R135" s="2">
        <v>7200</v>
      </c>
      <c r="S135">
        <v>396</v>
      </c>
      <c r="T135" s="2">
        <v>16425</v>
      </c>
      <c r="U135" s="2">
        <v>55575</v>
      </c>
      <c r="V135">
        <v>334</v>
      </c>
      <c r="W135">
        <v>0</v>
      </c>
      <c r="X135">
        <v>0</v>
      </c>
      <c r="Y135">
        <v>0</v>
      </c>
      <c r="Z135">
        <v>4</v>
      </c>
      <c r="AA135">
        <v>1.1961721999999999E-2</v>
      </c>
      <c r="AB135">
        <v>27.6</v>
      </c>
      <c r="AC135">
        <v>11.653333330000001</v>
      </c>
      <c r="AD135">
        <v>28</v>
      </c>
      <c r="AE135" s="7"/>
      <c r="AF135" s="7"/>
      <c r="AG135" s="7"/>
      <c r="AH135" s="7"/>
      <c r="AI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135" s="7"/>
      <c r="AK135" t="s">
        <v>164</v>
      </c>
      <c r="AN135">
        <f>IFERROR(INT(Table13[[#This Row],[reject_prod]]/Table13[[#This Row],[part_weight]] * 1000), 0)</f>
        <v>72</v>
      </c>
    </row>
    <row r="136" spans="1:40" hidden="1">
      <c r="A136" s="1">
        <v>46027</v>
      </c>
      <c r="B136">
        <v>2</v>
      </c>
      <c r="C136">
        <v>13</v>
      </c>
      <c r="D136" t="s">
        <v>59</v>
      </c>
      <c r="E136" t="s">
        <v>46</v>
      </c>
      <c r="F136">
        <v>586276</v>
      </c>
      <c r="G136" s="6">
        <v>0</v>
      </c>
      <c r="H136" t="s">
        <v>47</v>
      </c>
      <c r="I136">
        <v>10682930</v>
      </c>
      <c r="J136">
        <v>6</v>
      </c>
      <c r="K136">
        <v>12.3</v>
      </c>
      <c r="L136">
        <v>12.3</v>
      </c>
      <c r="M136">
        <v>1560</v>
      </c>
      <c r="N136" s="2">
        <v>162000</v>
      </c>
      <c r="O136" s="2">
        <v>7695</v>
      </c>
      <c r="P136">
        <v>810</v>
      </c>
      <c r="Q136" s="2">
        <v>9360</v>
      </c>
      <c r="R136" s="2">
        <v>16200</v>
      </c>
      <c r="S136">
        <v>199</v>
      </c>
      <c r="T136" s="2">
        <v>33210</v>
      </c>
      <c r="U136" s="2">
        <v>128790</v>
      </c>
      <c r="V136">
        <v>115</v>
      </c>
      <c r="W136">
        <v>0</v>
      </c>
      <c r="X136">
        <v>0</v>
      </c>
      <c r="Y136">
        <v>0</v>
      </c>
      <c r="Z136">
        <v>2</v>
      </c>
      <c r="AA136">
        <v>1.7371969000000001E-2</v>
      </c>
      <c r="AB136">
        <v>26.43</v>
      </c>
      <c r="AC136">
        <v>11.452999999999999</v>
      </c>
      <c r="AD136">
        <v>26</v>
      </c>
      <c r="AE136" s="7"/>
      <c r="AF136" s="7"/>
      <c r="AG136" s="7"/>
      <c r="AH136" s="7"/>
      <c r="AI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0.5470000000000006</v>
      </c>
      <c r="AJ136" s="7"/>
      <c r="AK136" t="s">
        <v>51</v>
      </c>
      <c r="AN136">
        <f>IFERROR(INT(Table13[[#This Row],[reject_prod]]/Table13[[#This Row],[part_weight]] * 1000), 0)</f>
        <v>162</v>
      </c>
    </row>
    <row r="137" spans="1:40" hidden="1">
      <c r="A137" s="1">
        <v>46027</v>
      </c>
      <c r="B137">
        <v>2</v>
      </c>
      <c r="C137">
        <v>14</v>
      </c>
      <c r="D137" t="s">
        <v>165</v>
      </c>
      <c r="E137" t="s">
        <v>46</v>
      </c>
      <c r="F137">
        <v>555979</v>
      </c>
      <c r="G137" s="6">
        <v>1</v>
      </c>
      <c r="H137" t="s">
        <v>52</v>
      </c>
      <c r="I137">
        <v>10682931</v>
      </c>
      <c r="J137">
        <v>6</v>
      </c>
      <c r="K137">
        <v>28</v>
      </c>
      <c r="L137">
        <v>28</v>
      </c>
      <c r="M137">
        <v>955</v>
      </c>
      <c r="N137" s="2">
        <v>100800</v>
      </c>
      <c r="O137" s="2">
        <v>2016</v>
      </c>
      <c r="P137" s="2">
        <v>4368</v>
      </c>
      <c r="Q137" s="2">
        <v>5730</v>
      </c>
      <c r="R137" s="2">
        <v>3360</v>
      </c>
      <c r="S137">
        <v>94</v>
      </c>
      <c r="T137" s="2">
        <v>78288</v>
      </c>
      <c r="U137" s="2">
        <v>22512</v>
      </c>
      <c r="V137">
        <v>160</v>
      </c>
      <c r="W137">
        <v>0</v>
      </c>
      <c r="X137">
        <v>0</v>
      </c>
      <c r="Y137">
        <v>0</v>
      </c>
      <c r="Z137">
        <v>5</v>
      </c>
      <c r="AA137">
        <v>3.1164298E-2</v>
      </c>
      <c r="AB137">
        <v>43.3</v>
      </c>
      <c r="AC137">
        <v>11.486527779999999</v>
      </c>
      <c r="AD137">
        <v>42</v>
      </c>
      <c r="AE137" s="7"/>
      <c r="AF137" s="7"/>
      <c r="AG137" s="7"/>
      <c r="AH137" s="7"/>
      <c r="AI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0.51347222000000059</v>
      </c>
      <c r="AJ137" s="7"/>
      <c r="AK137" t="s">
        <v>166</v>
      </c>
      <c r="AN137">
        <f>IFERROR(INT(Table13[[#This Row],[reject_prod]]/Table13[[#This Row],[part_weight]] * 1000), 0)</f>
        <v>178</v>
      </c>
    </row>
    <row r="138" spans="1:40" hidden="1">
      <c r="A138" s="1">
        <v>46027</v>
      </c>
      <c r="B138">
        <v>2</v>
      </c>
      <c r="C138">
        <v>15</v>
      </c>
      <c r="D138" t="s">
        <v>59</v>
      </c>
      <c r="E138" t="s">
        <v>46</v>
      </c>
      <c r="F138">
        <v>552181</v>
      </c>
      <c r="G138" s="6">
        <v>2</v>
      </c>
      <c r="H138" t="s">
        <v>49</v>
      </c>
      <c r="I138">
        <v>10682933</v>
      </c>
      <c r="J138">
        <v>6</v>
      </c>
      <c r="K138">
        <v>18.8</v>
      </c>
      <c r="L138">
        <v>18.8</v>
      </c>
      <c r="M138">
        <v>1395</v>
      </c>
      <c r="N138" s="2">
        <v>108000</v>
      </c>
      <c r="O138" s="2">
        <v>4860</v>
      </c>
      <c r="P138" s="2">
        <v>13230</v>
      </c>
      <c r="Q138" s="2">
        <v>8370</v>
      </c>
      <c r="R138">
        <v>0</v>
      </c>
      <c r="S138">
        <v>0</v>
      </c>
      <c r="T138" s="2">
        <v>94230</v>
      </c>
      <c r="U138" s="2">
        <v>13770</v>
      </c>
      <c r="V138">
        <v>157</v>
      </c>
      <c r="W138">
        <v>0</v>
      </c>
      <c r="X138">
        <v>0</v>
      </c>
      <c r="Y138">
        <v>0</v>
      </c>
      <c r="Z138">
        <v>3</v>
      </c>
      <c r="AA138">
        <v>1.906505E-2</v>
      </c>
      <c r="AB138">
        <v>31.2</v>
      </c>
      <c r="AC138">
        <v>12</v>
      </c>
      <c r="AD138">
        <v>27</v>
      </c>
      <c r="AE138" s="7"/>
      <c r="AF138" s="7"/>
      <c r="AG138" s="7"/>
      <c r="AH138" s="7"/>
      <c r="AI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8" s="7"/>
      <c r="AK138" t="s">
        <v>51</v>
      </c>
      <c r="AN138">
        <f>IFERROR(INT(Table13[[#This Row],[reject_prod]]/Table13[[#This Row],[part_weight]] * 1000), 0)</f>
        <v>159</v>
      </c>
    </row>
    <row r="139" spans="1:40" hidden="1">
      <c r="A139" s="1">
        <v>46027</v>
      </c>
      <c r="B139">
        <v>2</v>
      </c>
      <c r="C139">
        <v>16</v>
      </c>
      <c r="D139" t="s">
        <v>167</v>
      </c>
      <c r="E139" t="s">
        <v>46</v>
      </c>
      <c r="F139">
        <v>555979</v>
      </c>
      <c r="G139" s="6">
        <v>2</v>
      </c>
      <c r="H139" t="s">
        <v>52</v>
      </c>
      <c r="I139">
        <v>10682935</v>
      </c>
      <c r="J139">
        <v>6</v>
      </c>
      <c r="K139">
        <v>28</v>
      </c>
      <c r="L139">
        <v>28</v>
      </c>
      <c r="M139">
        <v>985</v>
      </c>
      <c r="N139" s="2">
        <v>100800</v>
      </c>
      <c r="O139">
        <v>168</v>
      </c>
      <c r="P139" s="2">
        <v>2520</v>
      </c>
      <c r="Q139" s="2">
        <v>5910</v>
      </c>
      <c r="R139" s="2">
        <v>3360</v>
      </c>
      <c r="S139">
        <v>94</v>
      </c>
      <c r="T139" s="2">
        <v>19320</v>
      </c>
      <c r="U139" s="2">
        <v>81480</v>
      </c>
      <c r="V139">
        <v>165</v>
      </c>
      <c r="W139">
        <v>0</v>
      </c>
      <c r="X139">
        <v>0</v>
      </c>
      <c r="Y139">
        <v>0</v>
      </c>
      <c r="Z139">
        <v>3</v>
      </c>
      <c r="AA139">
        <v>1.8129078999999999E-2</v>
      </c>
      <c r="AB139">
        <v>44.3</v>
      </c>
      <c r="AC139">
        <v>12</v>
      </c>
      <c r="AD139">
        <v>42</v>
      </c>
      <c r="AE139" s="7"/>
      <c r="AF139" s="7"/>
      <c r="AG139" s="7"/>
      <c r="AH139" s="7"/>
      <c r="AI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9" s="7"/>
      <c r="AK139" t="s">
        <v>51</v>
      </c>
      <c r="AN139">
        <f>IFERROR(INT(Table13[[#This Row],[reject_prod]]/Table13[[#This Row],[part_weight]] * 1000), 0)</f>
        <v>107</v>
      </c>
    </row>
    <row r="140" spans="1:40" hidden="1">
      <c r="A140" s="1">
        <v>46028</v>
      </c>
      <c r="B140">
        <v>1</v>
      </c>
      <c r="C140">
        <v>1</v>
      </c>
      <c r="D140" t="s">
        <v>141</v>
      </c>
      <c r="E140" t="s">
        <v>34</v>
      </c>
      <c r="F140">
        <v>322474</v>
      </c>
      <c r="G140" s="6">
        <v>0</v>
      </c>
      <c r="H140" t="s">
        <v>153</v>
      </c>
      <c r="I140">
        <v>10681777</v>
      </c>
      <c r="J140">
        <v>4</v>
      </c>
      <c r="K140">
        <v>44</v>
      </c>
      <c r="L140">
        <v>44</v>
      </c>
      <c r="M140">
        <v>1369</v>
      </c>
      <c r="N140" s="2">
        <v>15840</v>
      </c>
      <c r="O140">
        <v>110</v>
      </c>
      <c r="P140">
        <v>440</v>
      </c>
      <c r="Q140" s="2">
        <v>5476</v>
      </c>
      <c r="R140" s="2">
        <v>4620</v>
      </c>
      <c r="S140">
        <v>203</v>
      </c>
      <c r="T140" s="2">
        <v>5060</v>
      </c>
      <c r="U140" s="2">
        <v>10780</v>
      </c>
      <c r="V140">
        <v>241</v>
      </c>
      <c r="W140">
        <v>0</v>
      </c>
      <c r="X140">
        <v>10</v>
      </c>
      <c r="Y140">
        <v>4.1503419999999999E-2</v>
      </c>
      <c r="Z140">
        <v>2.5</v>
      </c>
      <c r="AA140">
        <v>1.0375855E-2</v>
      </c>
      <c r="AB140">
        <v>29.8</v>
      </c>
      <c r="AC140">
        <v>11.33227778</v>
      </c>
      <c r="AD140">
        <v>28.56</v>
      </c>
      <c r="AE140" s="7"/>
      <c r="AF140" s="7"/>
      <c r="AG140" s="7"/>
      <c r="AH140" s="7"/>
      <c r="AI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0.66772221999999992</v>
      </c>
      <c r="AJ140" s="7"/>
      <c r="AK140" t="s">
        <v>75</v>
      </c>
      <c r="AL140">
        <v>22</v>
      </c>
      <c r="AM140">
        <v>19</v>
      </c>
      <c r="AN140">
        <f>IFERROR(INT(Table13[[#This Row],[reject_prod]]/Table13[[#This Row],[part_weight]] * 1000), 0)</f>
        <v>56</v>
      </c>
    </row>
    <row r="141" spans="1:40" hidden="1">
      <c r="A141" s="1">
        <v>46028</v>
      </c>
      <c r="B141">
        <v>1</v>
      </c>
      <c r="C141">
        <v>2</v>
      </c>
      <c r="D141" t="s">
        <v>112</v>
      </c>
      <c r="E141" t="s">
        <v>34</v>
      </c>
      <c r="F141">
        <v>423215</v>
      </c>
      <c r="G141" s="6">
        <v>0</v>
      </c>
      <c r="H141" t="s">
        <v>156</v>
      </c>
      <c r="I141">
        <v>10682755</v>
      </c>
      <c r="J141">
        <v>4</v>
      </c>
      <c r="K141">
        <v>24</v>
      </c>
      <c r="L141">
        <v>24</v>
      </c>
      <c r="M141">
        <v>1588</v>
      </c>
      <c r="N141" s="2">
        <v>89112</v>
      </c>
      <c r="O141">
        <v>0</v>
      </c>
      <c r="P141" s="2">
        <v>2820</v>
      </c>
      <c r="Q141" s="2">
        <v>6352</v>
      </c>
      <c r="R141" s="2">
        <v>3384</v>
      </c>
      <c r="S141">
        <v>81</v>
      </c>
      <c r="T141" s="2">
        <v>6204</v>
      </c>
      <c r="U141" s="2">
        <v>82908</v>
      </c>
      <c r="V141">
        <v>152</v>
      </c>
      <c r="W141">
        <v>0</v>
      </c>
      <c r="X141">
        <v>0</v>
      </c>
      <c r="Y141">
        <v>0</v>
      </c>
      <c r="Z141">
        <v>3.4</v>
      </c>
      <c r="AA141">
        <v>2.2302687000000002E-2</v>
      </c>
      <c r="AB141">
        <v>26.8</v>
      </c>
      <c r="AC141">
        <v>11.82177778</v>
      </c>
      <c r="AD141">
        <v>22</v>
      </c>
      <c r="AE141" s="7"/>
      <c r="AF141" s="7"/>
      <c r="AG141" s="7"/>
      <c r="AH141" s="7"/>
      <c r="AI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141" s="7"/>
      <c r="AK141" t="s">
        <v>168</v>
      </c>
      <c r="AL141">
        <v>3</v>
      </c>
      <c r="AM141">
        <v>2</v>
      </c>
      <c r="AN141">
        <f>IFERROR(INT(Table13[[#This Row],[reject_prod]]/Table13[[#This Row],[part_weight]] * 1000), 0)</f>
        <v>141</v>
      </c>
    </row>
    <row r="142" spans="1:40" hidden="1">
      <c r="A142" s="1">
        <v>46028</v>
      </c>
      <c r="B142">
        <v>1</v>
      </c>
      <c r="C142">
        <v>3</v>
      </c>
      <c r="D142" t="s">
        <v>43</v>
      </c>
      <c r="E142" t="s">
        <v>34</v>
      </c>
      <c r="F142">
        <v>442034</v>
      </c>
      <c r="G142" s="6">
        <v>0</v>
      </c>
      <c r="H142" t="s">
        <v>37</v>
      </c>
      <c r="I142">
        <v>10681182</v>
      </c>
      <c r="J142">
        <v>4</v>
      </c>
      <c r="K142">
        <v>23</v>
      </c>
      <c r="L142">
        <v>23</v>
      </c>
      <c r="M142">
        <v>384</v>
      </c>
      <c r="N142" s="2">
        <v>139776</v>
      </c>
      <c r="O142">
        <v>0</v>
      </c>
      <c r="P142">
        <v>0</v>
      </c>
      <c r="Q142" s="2">
        <v>1536</v>
      </c>
      <c r="R142" s="2">
        <v>1536</v>
      </c>
      <c r="S142">
        <v>35</v>
      </c>
      <c r="T142" s="2">
        <v>139776</v>
      </c>
      <c r="U142">
        <v>0</v>
      </c>
      <c r="V142">
        <v>35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25.9</v>
      </c>
      <c r="AC142">
        <v>2.762666667</v>
      </c>
      <c r="AD142">
        <v>22</v>
      </c>
      <c r="AE142" s="7"/>
      <c r="AF142" s="7"/>
      <c r="AG142" s="7"/>
      <c r="AH142" s="7"/>
      <c r="AI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9.2373333330000005</v>
      </c>
      <c r="AJ142" s="7"/>
      <c r="AK142" t="s">
        <v>102</v>
      </c>
      <c r="AL142">
        <v>3</v>
      </c>
      <c r="AM142">
        <v>3</v>
      </c>
      <c r="AN142">
        <f>IFERROR(INT(Table13[[#This Row],[reject_prod]]/Table13[[#This Row],[part_weight]] * 1000), 0)</f>
        <v>0</v>
      </c>
    </row>
    <row r="143" spans="1:40" hidden="1">
      <c r="A143" s="1">
        <v>46028</v>
      </c>
      <c r="B143">
        <v>1</v>
      </c>
      <c r="C143">
        <v>3</v>
      </c>
      <c r="D143" t="s">
        <v>43</v>
      </c>
      <c r="E143" t="s">
        <v>34</v>
      </c>
      <c r="F143">
        <v>442034</v>
      </c>
      <c r="G143" s="6">
        <v>0</v>
      </c>
      <c r="H143" t="s">
        <v>37</v>
      </c>
      <c r="I143">
        <v>10681183</v>
      </c>
      <c r="J143">
        <v>4</v>
      </c>
      <c r="K143">
        <v>23</v>
      </c>
      <c r="L143">
        <v>23</v>
      </c>
      <c r="M143">
        <v>1199</v>
      </c>
      <c r="N143" s="2">
        <v>139776</v>
      </c>
      <c r="O143">
        <v>0</v>
      </c>
      <c r="P143" s="2">
        <v>4608</v>
      </c>
      <c r="Q143" s="2">
        <v>4796</v>
      </c>
      <c r="R143">
        <v>0</v>
      </c>
      <c r="S143">
        <v>0</v>
      </c>
      <c r="T143" s="2">
        <v>4608</v>
      </c>
      <c r="U143" s="2">
        <v>135168</v>
      </c>
      <c r="V143">
        <v>110</v>
      </c>
      <c r="W143">
        <v>0</v>
      </c>
      <c r="X143">
        <v>0</v>
      </c>
      <c r="Y143">
        <v>0</v>
      </c>
      <c r="Z143">
        <v>4.3</v>
      </c>
      <c r="AA143">
        <v>3.8981759999999997E-2</v>
      </c>
      <c r="AB143">
        <v>25.9</v>
      </c>
      <c r="AC143">
        <v>8.6261388889999999</v>
      </c>
      <c r="AD143">
        <v>22</v>
      </c>
      <c r="AE143" s="7"/>
      <c r="AF143" s="7"/>
      <c r="AG143" s="7"/>
      <c r="AH143" s="7"/>
      <c r="AI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3.3738611110000001</v>
      </c>
      <c r="AJ143" s="7"/>
      <c r="AK143" t="s">
        <v>103</v>
      </c>
      <c r="AN143">
        <f>IFERROR(INT(Table13[[#This Row],[reject_prod]]/Table13[[#This Row],[part_weight]] * 1000), 0)</f>
        <v>186</v>
      </c>
    </row>
    <row r="144" spans="1:40" hidden="1">
      <c r="A144" s="1">
        <v>46028</v>
      </c>
      <c r="B144">
        <v>1</v>
      </c>
      <c r="C144">
        <v>4</v>
      </c>
      <c r="F144">
        <v>123456</v>
      </c>
      <c r="G144" s="6">
        <v>0</v>
      </c>
      <c r="M144">
        <v>0</v>
      </c>
      <c r="N144">
        <v>0</v>
      </c>
      <c r="O144">
        <v>0</v>
      </c>
      <c r="P144">
        <v>0</v>
      </c>
      <c r="R144">
        <v>0</v>
      </c>
      <c r="T144">
        <v>0</v>
      </c>
      <c r="X144">
        <v>0</v>
      </c>
      <c r="Z144">
        <v>0</v>
      </c>
      <c r="AB144">
        <v>0</v>
      </c>
      <c r="AC144">
        <v>0</v>
      </c>
      <c r="AD144">
        <v>22.5</v>
      </c>
      <c r="AE144" s="7"/>
      <c r="AF144" s="7"/>
      <c r="AG144" s="7"/>
      <c r="AH144" s="7"/>
      <c r="AI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4" s="7">
        <v>12</v>
      </c>
      <c r="AK144" t="s">
        <v>116</v>
      </c>
      <c r="AN144">
        <f>IFERROR(INT(Table13[[#This Row],[reject_prod]]/Table13[[#This Row],[part_weight]] * 1000), 0)</f>
        <v>0</v>
      </c>
    </row>
    <row r="145" spans="1:40" hidden="1">
      <c r="A145" s="1">
        <v>46028</v>
      </c>
      <c r="B145">
        <v>1</v>
      </c>
      <c r="C145">
        <v>5</v>
      </c>
      <c r="D145" t="s">
        <v>65</v>
      </c>
      <c r="E145" t="s">
        <v>34</v>
      </c>
      <c r="F145">
        <v>611949</v>
      </c>
      <c r="G145" s="6">
        <v>0</v>
      </c>
      <c r="H145" t="s">
        <v>38</v>
      </c>
      <c r="I145">
        <v>10680235</v>
      </c>
      <c r="J145">
        <v>4</v>
      </c>
      <c r="K145">
        <v>20</v>
      </c>
      <c r="L145">
        <v>20</v>
      </c>
      <c r="M145">
        <v>1745</v>
      </c>
      <c r="N145" s="2">
        <v>83600</v>
      </c>
      <c r="O145" s="2">
        <v>5500</v>
      </c>
      <c r="P145" s="2">
        <v>3600</v>
      </c>
      <c r="Q145" s="2">
        <v>6980</v>
      </c>
      <c r="R145" s="2">
        <v>8250</v>
      </c>
      <c r="S145">
        <v>165</v>
      </c>
      <c r="T145" s="2">
        <v>30000</v>
      </c>
      <c r="U145" s="2">
        <v>53600</v>
      </c>
      <c r="V145">
        <v>140</v>
      </c>
      <c r="W145">
        <v>0</v>
      </c>
      <c r="X145">
        <v>0</v>
      </c>
      <c r="Y145">
        <v>0</v>
      </c>
      <c r="Z145">
        <v>12.5</v>
      </c>
      <c r="AA145">
        <v>8.9541546999999999E-2</v>
      </c>
      <c r="AB145">
        <v>24.7</v>
      </c>
      <c r="AC145">
        <v>11.972638890000001</v>
      </c>
      <c r="AD145">
        <v>21.64</v>
      </c>
      <c r="AE145" s="7"/>
      <c r="AF145" s="7"/>
      <c r="AG145" s="7"/>
      <c r="AH145" s="7"/>
      <c r="AI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2.73611099999993E-2</v>
      </c>
      <c r="AJ145" s="7"/>
      <c r="AK145" t="s">
        <v>169</v>
      </c>
      <c r="AL145">
        <v>7</v>
      </c>
      <c r="AM145">
        <v>6</v>
      </c>
      <c r="AN145">
        <f>IFERROR(INT(Table13[[#This Row],[reject_prod]]/Table13[[#This Row],[part_weight]] * 1000), 0)</f>
        <v>625</v>
      </c>
    </row>
    <row r="146" spans="1:40" hidden="1">
      <c r="A146" s="1">
        <v>46028</v>
      </c>
      <c r="B146">
        <v>1</v>
      </c>
      <c r="C146">
        <v>6</v>
      </c>
      <c r="D146" t="s">
        <v>170</v>
      </c>
      <c r="E146" t="s">
        <v>34</v>
      </c>
      <c r="F146">
        <v>579471</v>
      </c>
      <c r="G146" s="6">
        <v>0</v>
      </c>
      <c r="H146" t="s">
        <v>105</v>
      </c>
      <c r="I146">
        <v>10681843</v>
      </c>
      <c r="J146">
        <v>4</v>
      </c>
      <c r="K146">
        <v>24</v>
      </c>
      <c r="L146">
        <v>24</v>
      </c>
      <c r="M146">
        <v>1925</v>
      </c>
      <c r="N146" s="2">
        <v>50400</v>
      </c>
      <c r="O146" s="2">
        <v>3024</v>
      </c>
      <c r="P146" s="2">
        <v>4536</v>
      </c>
      <c r="Q146" s="2">
        <v>7700</v>
      </c>
      <c r="R146" s="2">
        <v>6048</v>
      </c>
      <c r="S146">
        <v>145</v>
      </c>
      <c r="T146" s="2">
        <v>22680</v>
      </c>
      <c r="U146" s="2">
        <v>27720</v>
      </c>
      <c r="V146">
        <v>185</v>
      </c>
      <c r="W146">
        <v>0</v>
      </c>
      <c r="X146">
        <v>0</v>
      </c>
      <c r="Y146">
        <v>0</v>
      </c>
      <c r="Z146">
        <v>2.1</v>
      </c>
      <c r="AA146">
        <v>1.1363636E-2</v>
      </c>
      <c r="AB146">
        <v>22.1</v>
      </c>
      <c r="AC146">
        <v>11.81736111</v>
      </c>
      <c r="AD146">
        <v>23</v>
      </c>
      <c r="AE146" s="7"/>
      <c r="AF146" s="7"/>
      <c r="AG146" s="7"/>
      <c r="AH146" s="7"/>
      <c r="AI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0.18263888999999978</v>
      </c>
      <c r="AJ146" s="7"/>
      <c r="AK146" t="s">
        <v>103</v>
      </c>
      <c r="AL146">
        <v>3</v>
      </c>
      <c r="AM146">
        <v>2</v>
      </c>
      <c r="AN146">
        <f>IFERROR(INT(Table13[[#This Row],[reject_prod]]/Table13[[#This Row],[part_weight]] * 1000), 0)</f>
        <v>87</v>
      </c>
    </row>
    <row r="147" spans="1:40" hidden="1">
      <c r="A147" s="1">
        <v>46028</v>
      </c>
      <c r="B147">
        <v>1</v>
      </c>
      <c r="C147">
        <v>7</v>
      </c>
      <c r="D147" t="s">
        <v>69</v>
      </c>
      <c r="E147" t="s">
        <v>34</v>
      </c>
      <c r="F147">
        <v>441809</v>
      </c>
      <c r="G147" s="6">
        <v>0</v>
      </c>
      <c r="H147" t="s">
        <v>160</v>
      </c>
      <c r="I147">
        <v>10682759</v>
      </c>
      <c r="J147">
        <v>4</v>
      </c>
      <c r="K147">
        <v>34</v>
      </c>
      <c r="L147">
        <v>33.67</v>
      </c>
      <c r="M147">
        <v>308</v>
      </c>
      <c r="N147" s="2">
        <v>18432</v>
      </c>
      <c r="O147">
        <v>0</v>
      </c>
      <c r="P147">
        <v>768</v>
      </c>
      <c r="Q147" s="2">
        <v>1232</v>
      </c>
      <c r="R147">
        <v>0</v>
      </c>
      <c r="S147">
        <v>0</v>
      </c>
      <c r="T147">
        <v>768</v>
      </c>
      <c r="U147" s="2">
        <v>17664</v>
      </c>
      <c r="V147">
        <v>41</v>
      </c>
      <c r="W147">
        <v>0</v>
      </c>
      <c r="X147">
        <v>15</v>
      </c>
      <c r="Y147">
        <v>0.36160750400000002</v>
      </c>
      <c r="Z147">
        <v>1.4</v>
      </c>
      <c r="AA147">
        <v>3.3750033999999998E-2</v>
      </c>
      <c r="AB147">
        <v>22.5</v>
      </c>
      <c r="AC147">
        <v>1.925</v>
      </c>
      <c r="AD147">
        <v>18</v>
      </c>
      <c r="AE147" s="7"/>
      <c r="AF147" s="7"/>
      <c r="AG147" s="7"/>
      <c r="AH147" s="7"/>
      <c r="AI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10.074999999999999</v>
      </c>
      <c r="AJ147" s="7"/>
      <c r="AK147" t="s">
        <v>171</v>
      </c>
      <c r="AL147">
        <v>15</v>
      </c>
      <c r="AM147">
        <v>13</v>
      </c>
      <c r="AN147">
        <f>IFERROR(INT(Table13[[#This Row],[reject_prod]]/Table13[[#This Row],[part_weight]] * 1000), 0)</f>
        <v>41</v>
      </c>
    </row>
    <row r="148" spans="1:40" hidden="1">
      <c r="A148" s="1">
        <v>46028</v>
      </c>
      <c r="B148">
        <v>1</v>
      </c>
      <c r="C148">
        <v>8</v>
      </c>
      <c r="D148" t="s">
        <v>69</v>
      </c>
      <c r="E148" t="s">
        <v>34</v>
      </c>
      <c r="F148">
        <v>323102</v>
      </c>
      <c r="G148" s="6">
        <v>0</v>
      </c>
      <c r="H148" t="s">
        <v>45</v>
      </c>
      <c r="I148">
        <v>10682922</v>
      </c>
      <c r="J148">
        <v>4</v>
      </c>
      <c r="K148">
        <v>56.9</v>
      </c>
      <c r="L148">
        <v>56.9</v>
      </c>
      <c r="M148">
        <v>1401</v>
      </c>
      <c r="N148" s="2">
        <v>38400</v>
      </c>
      <c r="O148">
        <v>80</v>
      </c>
      <c r="P148">
        <v>640</v>
      </c>
      <c r="Q148" s="2">
        <v>5604</v>
      </c>
      <c r="R148" s="2">
        <v>4800</v>
      </c>
      <c r="S148">
        <v>273</v>
      </c>
      <c r="T148" s="2">
        <v>39680</v>
      </c>
      <c r="U148" s="2">
        <v>-1280</v>
      </c>
      <c r="V148">
        <v>319</v>
      </c>
      <c r="W148">
        <v>0</v>
      </c>
      <c r="X148">
        <v>0</v>
      </c>
      <c r="Y148">
        <v>0</v>
      </c>
      <c r="Z148">
        <v>13.6</v>
      </c>
      <c r="AA148">
        <v>4.2650931000000003E-2</v>
      </c>
      <c r="AB148">
        <v>27.2</v>
      </c>
      <c r="AC148">
        <v>10.585333329999999</v>
      </c>
      <c r="AD148">
        <v>26</v>
      </c>
      <c r="AE148" s="7"/>
      <c r="AF148" s="7"/>
      <c r="AG148" s="7"/>
      <c r="AH148" s="7"/>
      <c r="AI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1.4146666700000008</v>
      </c>
      <c r="AJ148" s="7"/>
      <c r="AK148" t="s">
        <v>172</v>
      </c>
      <c r="AL148">
        <v>3</v>
      </c>
      <c r="AM148">
        <v>5</v>
      </c>
      <c r="AN148">
        <f>IFERROR(INT(Table13[[#This Row],[reject_prod]]/Table13[[#This Row],[part_weight]] * 1000), 0)</f>
        <v>239</v>
      </c>
    </row>
    <row r="149" spans="1:40" hidden="1">
      <c r="A149" s="1">
        <v>46028</v>
      </c>
      <c r="B149">
        <v>1</v>
      </c>
      <c r="C149">
        <v>9</v>
      </c>
      <c r="D149" t="s">
        <v>173</v>
      </c>
      <c r="E149" t="s">
        <v>46</v>
      </c>
      <c r="F149">
        <v>586276</v>
      </c>
      <c r="G149" s="6">
        <v>0</v>
      </c>
      <c r="H149" t="s">
        <v>47</v>
      </c>
      <c r="I149">
        <v>10682923</v>
      </c>
      <c r="J149">
        <v>6</v>
      </c>
      <c r="K149">
        <v>12.3</v>
      </c>
      <c r="L149">
        <v>12.3</v>
      </c>
      <c r="M149">
        <v>1628</v>
      </c>
      <c r="N149" s="2">
        <v>162000</v>
      </c>
      <c r="O149" s="2">
        <v>3240</v>
      </c>
      <c r="P149" s="2">
        <v>4860</v>
      </c>
      <c r="Q149" s="2">
        <v>9768</v>
      </c>
      <c r="R149" s="2">
        <v>8100</v>
      </c>
      <c r="S149">
        <v>100</v>
      </c>
      <c r="T149" s="2">
        <v>102060</v>
      </c>
      <c r="U149" s="2">
        <v>59940</v>
      </c>
      <c r="V149">
        <v>120</v>
      </c>
      <c r="W149">
        <v>0</v>
      </c>
      <c r="X149">
        <v>0</v>
      </c>
      <c r="Y149">
        <v>0</v>
      </c>
      <c r="Z149">
        <v>1</v>
      </c>
      <c r="AA149">
        <v>8.323179E-3</v>
      </c>
      <c r="AB149">
        <v>25.5</v>
      </c>
      <c r="AC149">
        <v>11.53166667</v>
      </c>
      <c r="AD149">
        <v>26</v>
      </c>
      <c r="AE149" s="7"/>
      <c r="AF149" s="7"/>
      <c r="AG149" s="7"/>
      <c r="AH149" s="7"/>
      <c r="AI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0.4683333300000001</v>
      </c>
      <c r="AJ149" s="7"/>
      <c r="AK149" t="s">
        <v>51</v>
      </c>
      <c r="AN149">
        <f>IFERROR(INT(Table13[[#This Row],[reject_prod]]/Table13[[#This Row],[part_weight]] * 1000), 0)</f>
        <v>81</v>
      </c>
    </row>
    <row r="150" spans="1:40" hidden="1">
      <c r="A150" s="1">
        <v>46028</v>
      </c>
      <c r="B150">
        <v>1</v>
      </c>
      <c r="C150">
        <v>10</v>
      </c>
      <c r="D150" t="s">
        <v>174</v>
      </c>
      <c r="E150" t="s">
        <v>41</v>
      </c>
      <c r="F150">
        <v>593537</v>
      </c>
      <c r="G150" s="6">
        <v>0</v>
      </c>
      <c r="H150" t="s">
        <v>48</v>
      </c>
      <c r="I150">
        <v>10682925</v>
      </c>
      <c r="J150">
        <v>4</v>
      </c>
      <c r="K150">
        <v>56.5</v>
      </c>
      <c r="L150">
        <v>56.8</v>
      </c>
      <c r="M150">
        <v>1230</v>
      </c>
      <c r="N150" s="2">
        <v>69000</v>
      </c>
      <c r="O150">
        <v>345</v>
      </c>
      <c r="P150">
        <v>460</v>
      </c>
      <c r="Q150" s="2">
        <v>4920</v>
      </c>
      <c r="R150" s="2">
        <v>4600</v>
      </c>
      <c r="S150">
        <v>261</v>
      </c>
      <c r="T150" s="2">
        <v>22885</v>
      </c>
      <c r="U150" s="2">
        <v>46115</v>
      </c>
      <c r="V150">
        <v>279</v>
      </c>
      <c r="W150">
        <v>0</v>
      </c>
      <c r="X150">
        <v>0</v>
      </c>
      <c r="Y150">
        <v>0</v>
      </c>
      <c r="Z150">
        <v>11.5</v>
      </c>
      <c r="AA150">
        <v>4.1151380000000001E-2</v>
      </c>
      <c r="AB150">
        <v>31.7</v>
      </c>
      <c r="AC150">
        <v>10.830833330000001</v>
      </c>
      <c r="AD150">
        <v>28.5</v>
      </c>
      <c r="AE150" s="7"/>
      <c r="AF150" s="7"/>
      <c r="AG150" s="7"/>
      <c r="AH150" s="7"/>
      <c r="AI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1.1691666699999992</v>
      </c>
      <c r="AJ150" s="7"/>
      <c r="AK150" t="s">
        <v>175</v>
      </c>
      <c r="AL150">
        <v>7</v>
      </c>
      <c r="AM150">
        <v>12</v>
      </c>
      <c r="AN150">
        <f>IFERROR(INT(Table13[[#This Row],[reject_prod]]/Table13[[#This Row],[part_weight]] * 1000), 0)</f>
        <v>202</v>
      </c>
    </row>
    <row r="151" spans="1:40" hidden="1">
      <c r="A151" s="1">
        <v>46028</v>
      </c>
      <c r="B151">
        <v>1</v>
      </c>
      <c r="C151">
        <v>11</v>
      </c>
      <c r="D151" t="s">
        <v>61</v>
      </c>
      <c r="E151" t="s">
        <v>46</v>
      </c>
      <c r="F151">
        <v>552181</v>
      </c>
      <c r="G151" s="6">
        <v>1</v>
      </c>
      <c r="H151" t="s">
        <v>49</v>
      </c>
      <c r="I151">
        <v>10679363</v>
      </c>
      <c r="J151">
        <v>6</v>
      </c>
      <c r="K151">
        <v>18.8</v>
      </c>
      <c r="L151">
        <v>18.8</v>
      </c>
      <c r="M151">
        <v>630</v>
      </c>
      <c r="N151" s="2">
        <v>108000</v>
      </c>
      <c r="O151" s="2">
        <v>1620</v>
      </c>
      <c r="P151" s="2">
        <v>5400</v>
      </c>
      <c r="Q151" s="2">
        <v>3780</v>
      </c>
      <c r="R151">
        <v>0</v>
      </c>
      <c r="S151">
        <v>0</v>
      </c>
      <c r="T151" s="2">
        <v>108000</v>
      </c>
      <c r="U151">
        <v>0</v>
      </c>
      <c r="V151">
        <v>71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27.6</v>
      </c>
      <c r="AC151">
        <v>4.83</v>
      </c>
      <c r="AD151">
        <v>27</v>
      </c>
      <c r="AE151" s="7"/>
      <c r="AF151" s="7"/>
      <c r="AG151" s="7"/>
      <c r="AH151" s="7"/>
      <c r="AI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7.17</v>
      </c>
      <c r="AJ151" s="7"/>
      <c r="AK151" t="s">
        <v>102</v>
      </c>
      <c r="AN151">
        <f>IFERROR(INT(Table13[[#This Row],[reject_prod]]/Table13[[#This Row],[part_weight]] * 1000), 0)</f>
        <v>0</v>
      </c>
    </row>
    <row r="152" spans="1:40" hidden="1">
      <c r="A152" s="1">
        <v>46028</v>
      </c>
      <c r="B152">
        <v>1</v>
      </c>
      <c r="C152">
        <v>11</v>
      </c>
      <c r="D152" t="s">
        <v>61</v>
      </c>
      <c r="E152" t="s">
        <v>46</v>
      </c>
      <c r="F152">
        <v>552181</v>
      </c>
      <c r="G152" s="6">
        <v>1</v>
      </c>
      <c r="H152" t="s">
        <v>49</v>
      </c>
      <c r="I152">
        <v>10682927</v>
      </c>
      <c r="J152">
        <v>6</v>
      </c>
      <c r="K152">
        <v>18.8</v>
      </c>
      <c r="L152">
        <v>18.8</v>
      </c>
      <c r="M152">
        <v>920</v>
      </c>
      <c r="N152" s="2">
        <v>108000</v>
      </c>
      <c r="O152">
        <v>0</v>
      </c>
      <c r="P152" s="2">
        <v>5400</v>
      </c>
      <c r="Q152" s="2">
        <v>5520</v>
      </c>
      <c r="R152">
        <v>0</v>
      </c>
      <c r="S152">
        <v>0</v>
      </c>
      <c r="T152" s="2">
        <v>5400</v>
      </c>
      <c r="U152" s="2">
        <v>102600</v>
      </c>
      <c r="V152">
        <v>104</v>
      </c>
      <c r="W152">
        <v>0</v>
      </c>
      <c r="X152">
        <v>0</v>
      </c>
      <c r="Y152">
        <v>0</v>
      </c>
      <c r="Z152">
        <v>2.2999999999999998</v>
      </c>
      <c r="AA152">
        <v>2.2163121000000001E-2</v>
      </c>
      <c r="AB152">
        <v>27.6</v>
      </c>
      <c r="AC152">
        <v>7.0533333330000003</v>
      </c>
      <c r="AD152">
        <v>27</v>
      </c>
      <c r="AE152" s="7"/>
      <c r="AF152" s="7"/>
      <c r="AG152" s="7"/>
      <c r="AH152" s="7"/>
      <c r="AI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4.9466666669999997</v>
      </c>
      <c r="AJ152" s="7"/>
      <c r="AK152" t="s">
        <v>176</v>
      </c>
      <c r="AN152">
        <f>IFERROR(INT(Table13[[#This Row],[reject_prod]]/Table13[[#This Row],[part_weight]] * 1000), 0)</f>
        <v>122</v>
      </c>
    </row>
    <row r="153" spans="1:40" hidden="1">
      <c r="A153" s="1">
        <v>46028</v>
      </c>
      <c r="B153">
        <v>1</v>
      </c>
      <c r="C153">
        <v>12</v>
      </c>
      <c r="D153" t="s">
        <v>177</v>
      </c>
      <c r="E153" t="s">
        <v>34</v>
      </c>
      <c r="F153">
        <v>620599</v>
      </c>
      <c r="G153" s="6">
        <v>0</v>
      </c>
      <c r="H153" t="s">
        <v>50</v>
      </c>
      <c r="I153">
        <v>10682928</v>
      </c>
      <c r="J153">
        <v>4</v>
      </c>
      <c r="K153">
        <v>55</v>
      </c>
      <c r="L153">
        <v>55</v>
      </c>
      <c r="M153">
        <v>1540</v>
      </c>
      <c r="N153" s="2">
        <v>72000</v>
      </c>
      <c r="O153">
        <v>225</v>
      </c>
      <c r="P153">
        <v>900</v>
      </c>
      <c r="Q153" s="2">
        <v>6160</v>
      </c>
      <c r="R153" s="2">
        <v>5400</v>
      </c>
      <c r="S153">
        <v>297</v>
      </c>
      <c r="T153" s="2">
        <v>22500</v>
      </c>
      <c r="U153" s="2">
        <v>49500</v>
      </c>
      <c r="V153">
        <v>339</v>
      </c>
      <c r="W153">
        <v>0</v>
      </c>
      <c r="X153">
        <v>0</v>
      </c>
      <c r="Y153">
        <v>0</v>
      </c>
      <c r="Z153">
        <v>4.5</v>
      </c>
      <c r="AA153">
        <v>1.3282172E-2</v>
      </c>
      <c r="AB153">
        <v>28</v>
      </c>
      <c r="AC153">
        <v>11.97777778</v>
      </c>
      <c r="AD153">
        <v>28</v>
      </c>
      <c r="AE153" s="7"/>
      <c r="AF153" s="7"/>
      <c r="AG153" s="7"/>
      <c r="AH153" s="7"/>
      <c r="AI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153" s="7"/>
      <c r="AK153" t="s">
        <v>178</v>
      </c>
      <c r="AL153">
        <v>6</v>
      </c>
      <c r="AM153">
        <v>3</v>
      </c>
      <c r="AN153">
        <f>IFERROR(INT(Table13[[#This Row],[reject_prod]]/Table13[[#This Row],[part_weight]] * 1000), 0)</f>
        <v>81</v>
      </c>
    </row>
    <row r="154" spans="1:40" hidden="1">
      <c r="A154" s="1">
        <v>46028</v>
      </c>
      <c r="B154">
        <v>1</v>
      </c>
      <c r="C154">
        <v>13</v>
      </c>
      <c r="D154" t="s">
        <v>61</v>
      </c>
      <c r="E154" t="s">
        <v>46</v>
      </c>
      <c r="F154">
        <v>586276</v>
      </c>
      <c r="G154" s="6">
        <v>0</v>
      </c>
      <c r="H154" t="s">
        <v>47</v>
      </c>
      <c r="I154">
        <v>10682930</v>
      </c>
      <c r="J154">
        <v>6</v>
      </c>
      <c r="K154">
        <v>12.3</v>
      </c>
      <c r="L154">
        <v>12.3</v>
      </c>
      <c r="M154">
        <v>1639</v>
      </c>
      <c r="N154" s="2">
        <v>162000</v>
      </c>
      <c r="O154">
        <v>810</v>
      </c>
      <c r="P154" s="2">
        <v>2430</v>
      </c>
      <c r="Q154" s="2">
        <v>9834</v>
      </c>
      <c r="R154" s="2">
        <v>8100</v>
      </c>
      <c r="S154">
        <v>100</v>
      </c>
      <c r="T154" s="2">
        <v>42930</v>
      </c>
      <c r="U154" s="2">
        <v>119070</v>
      </c>
      <c r="V154">
        <v>121</v>
      </c>
      <c r="W154">
        <v>0</v>
      </c>
      <c r="X154">
        <v>0</v>
      </c>
      <c r="Y154">
        <v>0</v>
      </c>
      <c r="Z154">
        <v>1.4</v>
      </c>
      <c r="AA154">
        <v>1.1574246E-2</v>
      </c>
      <c r="AB154">
        <v>26</v>
      </c>
      <c r="AC154">
        <v>11.837222219999999</v>
      </c>
      <c r="AD154">
        <v>26</v>
      </c>
      <c r="AE154" s="7"/>
      <c r="AF154" s="7"/>
      <c r="AG154" s="7"/>
      <c r="AH154" s="7"/>
      <c r="AI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0.16277778000000076</v>
      </c>
      <c r="AJ154" s="7"/>
      <c r="AK154" t="s">
        <v>51</v>
      </c>
      <c r="AN154">
        <f>IFERROR(INT(Table13[[#This Row],[reject_prod]]/Table13[[#This Row],[part_weight]] * 1000), 0)</f>
        <v>113</v>
      </c>
    </row>
    <row r="155" spans="1:40" hidden="1">
      <c r="A155" s="1">
        <v>46028</v>
      </c>
      <c r="B155">
        <v>1</v>
      </c>
      <c r="C155">
        <v>14</v>
      </c>
      <c r="D155" t="s">
        <v>67</v>
      </c>
      <c r="E155" t="s">
        <v>46</v>
      </c>
      <c r="F155">
        <v>555979</v>
      </c>
      <c r="G155" s="6">
        <v>1</v>
      </c>
      <c r="H155" t="s">
        <v>52</v>
      </c>
      <c r="I155">
        <v>10682931</v>
      </c>
      <c r="J155">
        <v>6</v>
      </c>
      <c r="K155">
        <v>28</v>
      </c>
      <c r="L155">
        <v>28</v>
      </c>
      <c r="M155">
        <v>925</v>
      </c>
      <c r="N155" s="2">
        <v>100800</v>
      </c>
      <c r="O155" s="2">
        <v>4368</v>
      </c>
      <c r="P155" s="2">
        <v>2688</v>
      </c>
      <c r="Q155" s="2">
        <v>5550</v>
      </c>
      <c r="R155" s="2">
        <v>6720</v>
      </c>
      <c r="S155">
        <v>188</v>
      </c>
      <c r="T155" s="2">
        <v>83328</v>
      </c>
      <c r="U155" s="2">
        <v>17472</v>
      </c>
      <c r="V155">
        <v>155</v>
      </c>
      <c r="W155">
        <v>0</v>
      </c>
      <c r="X155">
        <v>0</v>
      </c>
      <c r="Y155">
        <v>0</v>
      </c>
      <c r="Z155">
        <v>14.3</v>
      </c>
      <c r="AA155">
        <v>9.2020591999999998E-2</v>
      </c>
      <c r="AB155">
        <v>43.6</v>
      </c>
      <c r="AC155">
        <v>11.20277778</v>
      </c>
      <c r="AD155">
        <v>42</v>
      </c>
      <c r="AE155" s="7"/>
      <c r="AF155" s="7"/>
      <c r="AG155" s="7"/>
      <c r="AH155" s="7"/>
      <c r="AI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0.79722222000000009</v>
      </c>
      <c r="AJ155" s="7"/>
      <c r="AK155" t="s">
        <v>179</v>
      </c>
      <c r="AN155">
        <f>IFERROR(INT(Table13[[#This Row],[reject_prod]]/Table13[[#This Row],[part_weight]] * 1000), 0)</f>
        <v>510</v>
      </c>
    </row>
    <row r="156" spans="1:40" hidden="1">
      <c r="A156" s="1">
        <v>46028</v>
      </c>
      <c r="B156">
        <v>1</v>
      </c>
      <c r="C156">
        <v>15</v>
      </c>
      <c r="D156" t="s">
        <v>61</v>
      </c>
      <c r="E156" t="s">
        <v>46</v>
      </c>
      <c r="F156">
        <v>552181</v>
      </c>
      <c r="G156" s="6">
        <v>2</v>
      </c>
      <c r="H156" t="s">
        <v>49</v>
      </c>
      <c r="I156">
        <v>10682933</v>
      </c>
      <c r="J156">
        <v>6</v>
      </c>
      <c r="K156">
        <v>18.8</v>
      </c>
      <c r="L156">
        <v>18.8</v>
      </c>
      <c r="M156">
        <v>1366</v>
      </c>
      <c r="N156" s="2">
        <v>108000</v>
      </c>
      <c r="O156" s="2">
        <v>13230</v>
      </c>
      <c r="P156" s="2">
        <v>10530</v>
      </c>
      <c r="Q156" s="2">
        <v>8196</v>
      </c>
      <c r="R156" s="2">
        <v>10800</v>
      </c>
      <c r="S156">
        <v>203</v>
      </c>
      <c r="T156" s="2">
        <v>102330</v>
      </c>
      <c r="U156" s="2">
        <v>5670</v>
      </c>
      <c r="V156">
        <v>154</v>
      </c>
      <c r="W156">
        <v>0</v>
      </c>
      <c r="X156">
        <v>0</v>
      </c>
      <c r="Y156">
        <v>0</v>
      </c>
      <c r="Z156">
        <v>1.8</v>
      </c>
      <c r="AA156">
        <v>1.1681878999999999E-2</v>
      </c>
      <c r="AB156">
        <v>31.2</v>
      </c>
      <c r="AC156">
        <v>11.83866667</v>
      </c>
      <c r="AD156">
        <v>27</v>
      </c>
      <c r="AE156" s="7"/>
      <c r="AF156" s="7"/>
      <c r="AG156" s="7"/>
      <c r="AH156" s="7"/>
      <c r="AI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0.16133332999999972</v>
      </c>
      <c r="AJ156" s="7"/>
      <c r="AK156" t="s">
        <v>176</v>
      </c>
      <c r="AN156">
        <f>IFERROR(INT(Table13[[#This Row],[reject_prod]]/Table13[[#This Row],[part_weight]] * 1000), 0)</f>
        <v>95</v>
      </c>
    </row>
    <row r="157" spans="1:40" hidden="1">
      <c r="A157" s="1">
        <v>46028</v>
      </c>
      <c r="B157">
        <v>1</v>
      </c>
      <c r="C157">
        <v>16</v>
      </c>
      <c r="D157" t="s">
        <v>115</v>
      </c>
      <c r="E157" t="s">
        <v>46</v>
      </c>
      <c r="F157">
        <v>555979</v>
      </c>
      <c r="G157" s="6">
        <v>2</v>
      </c>
      <c r="H157" t="s">
        <v>52</v>
      </c>
      <c r="I157">
        <v>10682935</v>
      </c>
      <c r="J157">
        <v>6</v>
      </c>
      <c r="K157">
        <v>28</v>
      </c>
      <c r="L157">
        <v>28</v>
      </c>
      <c r="M157">
        <v>971</v>
      </c>
      <c r="N157" s="2">
        <v>100800</v>
      </c>
      <c r="O157" s="2">
        <v>2520</v>
      </c>
      <c r="P157" s="2">
        <v>1512</v>
      </c>
      <c r="Q157" s="2">
        <v>5826</v>
      </c>
      <c r="R157" s="2">
        <v>6720</v>
      </c>
      <c r="S157">
        <v>188</v>
      </c>
      <c r="T157" s="2">
        <v>25032</v>
      </c>
      <c r="U157" s="2">
        <v>75768</v>
      </c>
      <c r="V157">
        <v>163</v>
      </c>
      <c r="W157">
        <v>0</v>
      </c>
      <c r="X157">
        <v>0</v>
      </c>
      <c r="Y157">
        <v>0</v>
      </c>
      <c r="Z157">
        <v>3.1</v>
      </c>
      <c r="AA157">
        <v>1.9003481999999999E-2</v>
      </c>
      <c r="AB157">
        <v>43.7</v>
      </c>
      <c r="AC157">
        <v>11.78686111</v>
      </c>
      <c r="AD157">
        <v>42</v>
      </c>
      <c r="AE157" s="7"/>
      <c r="AF157" s="7"/>
      <c r="AG157" s="7"/>
      <c r="AH157" s="7"/>
      <c r="AI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0.21313888999999975</v>
      </c>
      <c r="AJ157" s="7"/>
      <c r="AK157" t="s">
        <v>51</v>
      </c>
      <c r="AL157">
        <v>1</v>
      </c>
      <c r="AM157">
        <v>1</v>
      </c>
      <c r="AN157">
        <f>IFERROR(INT(Table13[[#This Row],[reject_prod]]/Table13[[#This Row],[part_weight]] * 1000), 0)</f>
        <v>110</v>
      </c>
    </row>
    <row r="158" spans="1:40" hidden="1">
      <c r="A158" s="1">
        <v>46028</v>
      </c>
      <c r="B158">
        <v>2</v>
      </c>
      <c r="C158">
        <v>1</v>
      </c>
      <c r="D158" t="s">
        <v>33</v>
      </c>
      <c r="E158" t="s">
        <v>34</v>
      </c>
      <c r="F158">
        <v>347623</v>
      </c>
      <c r="G158" s="6">
        <v>0</v>
      </c>
      <c r="H158" t="s">
        <v>35</v>
      </c>
      <c r="I158">
        <v>10682194</v>
      </c>
      <c r="J158">
        <v>4</v>
      </c>
      <c r="K158">
        <v>35.6</v>
      </c>
      <c r="L158">
        <v>35.6</v>
      </c>
      <c r="M158">
        <v>381</v>
      </c>
      <c r="N158">
        <v>0</v>
      </c>
      <c r="O158">
        <v>0</v>
      </c>
      <c r="P158">
        <v>0</v>
      </c>
      <c r="Q158" s="2">
        <v>1524</v>
      </c>
      <c r="R158" s="2">
        <v>1523</v>
      </c>
      <c r="S158">
        <v>54</v>
      </c>
      <c r="T158">
        <v>0</v>
      </c>
      <c r="U158">
        <v>0</v>
      </c>
      <c r="V158">
        <v>54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26.6</v>
      </c>
      <c r="AC158">
        <v>2.8151666670000002</v>
      </c>
      <c r="AD158">
        <v>27</v>
      </c>
      <c r="AE158" s="7"/>
      <c r="AF158" s="7"/>
      <c r="AG158" s="7"/>
      <c r="AH158" s="7"/>
      <c r="AI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9.1848333330000003</v>
      </c>
      <c r="AJ158" s="7"/>
      <c r="AK158" t="s">
        <v>180</v>
      </c>
      <c r="AN158">
        <f>IFERROR(INT(Table13[[#This Row],[reject_prod]]/Table13[[#This Row],[part_weight]] * 1000), 0)</f>
        <v>0</v>
      </c>
    </row>
    <row r="159" spans="1:40" hidden="1">
      <c r="A159" s="1">
        <v>46028</v>
      </c>
      <c r="B159">
        <v>2</v>
      </c>
      <c r="C159">
        <v>1</v>
      </c>
      <c r="D159" t="s">
        <v>58</v>
      </c>
      <c r="E159" t="s">
        <v>34</v>
      </c>
      <c r="F159">
        <v>322474</v>
      </c>
      <c r="G159" s="6">
        <v>0</v>
      </c>
      <c r="H159" t="s">
        <v>153</v>
      </c>
      <c r="I159">
        <v>10681777</v>
      </c>
      <c r="J159">
        <v>4</v>
      </c>
      <c r="K159">
        <v>44</v>
      </c>
      <c r="L159">
        <v>44</v>
      </c>
      <c r="M159">
        <v>1460</v>
      </c>
      <c r="N159" s="2">
        <v>15840</v>
      </c>
      <c r="O159">
        <v>440</v>
      </c>
      <c r="P159">
        <v>330</v>
      </c>
      <c r="Q159" s="2">
        <v>5840</v>
      </c>
      <c r="R159" s="2">
        <v>5940</v>
      </c>
      <c r="S159">
        <v>261</v>
      </c>
      <c r="T159" s="2">
        <v>10890</v>
      </c>
      <c r="U159" s="2">
        <v>4950</v>
      </c>
      <c r="V159">
        <v>257</v>
      </c>
      <c r="W159">
        <v>0</v>
      </c>
      <c r="X159">
        <v>0</v>
      </c>
      <c r="Y159">
        <v>0</v>
      </c>
      <c r="Z159">
        <v>3.2</v>
      </c>
      <c r="AA159">
        <v>1.24533E-2</v>
      </c>
      <c r="AB159">
        <v>29.8</v>
      </c>
      <c r="AC159">
        <v>12</v>
      </c>
      <c r="AD159">
        <v>28.56</v>
      </c>
      <c r="AE159" s="7"/>
      <c r="AF159" s="7"/>
      <c r="AG159" s="7"/>
      <c r="AH159" s="7"/>
      <c r="AI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" s="7"/>
      <c r="AK159" t="s">
        <v>51</v>
      </c>
      <c r="AN159">
        <f>IFERROR(INT(Table13[[#This Row],[reject_prod]]/Table13[[#This Row],[part_weight]] * 1000), 0)</f>
        <v>72</v>
      </c>
    </row>
    <row r="160" spans="1:40" hidden="1">
      <c r="A160" s="1">
        <v>46028</v>
      </c>
      <c r="B160">
        <v>2</v>
      </c>
      <c r="C160">
        <v>2</v>
      </c>
      <c r="D160" t="s">
        <v>181</v>
      </c>
      <c r="E160" t="s">
        <v>34</v>
      </c>
      <c r="F160">
        <v>423215</v>
      </c>
      <c r="G160" s="6">
        <v>0</v>
      </c>
      <c r="H160" t="s">
        <v>156</v>
      </c>
      <c r="I160">
        <v>10682755</v>
      </c>
      <c r="J160">
        <v>4</v>
      </c>
      <c r="K160">
        <v>24</v>
      </c>
      <c r="L160">
        <v>24</v>
      </c>
      <c r="M160">
        <v>1621</v>
      </c>
      <c r="N160" s="2">
        <v>89112</v>
      </c>
      <c r="O160" s="2">
        <v>2820</v>
      </c>
      <c r="P160" s="2">
        <v>2538</v>
      </c>
      <c r="Q160" s="2">
        <v>6484</v>
      </c>
      <c r="R160" s="2">
        <v>6768</v>
      </c>
      <c r="S160">
        <v>162</v>
      </c>
      <c r="T160" s="2">
        <v>12690</v>
      </c>
      <c r="U160" s="2">
        <v>76422</v>
      </c>
      <c r="V160">
        <v>156</v>
      </c>
      <c r="W160">
        <v>0</v>
      </c>
      <c r="X160">
        <v>0</v>
      </c>
      <c r="Y160">
        <v>0</v>
      </c>
      <c r="Z160">
        <v>1.6</v>
      </c>
      <c r="AA160">
        <v>1.0281719E-2</v>
      </c>
      <c r="AB160">
        <v>26.8</v>
      </c>
      <c r="AC160">
        <v>12</v>
      </c>
      <c r="AD160">
        <v>22</v>
      </c>
      <c r="AE160" s="7"/>
      <c r="AF160" s="7"/>
      <c r="AG160" s="7"/>
      <c r="AH160" s="7"/>
      <c r="AI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" s="7"/>
      <c r="AK160" t="s">
        <v>103</v>
      </c>
      <c r="AN160">
        <f>IFERROR(INT(Table13[[#This Row],[reject_prod]]/Table13[[#This Row],[part_weight]] * 1000), 0)</f>
        <v>66</v>
      </c>
    </row>
    <row r="161" spans="1:40" hidden="1">
      <c r="A161" s="1">
        <v>46028</v>
      </c>
      <c r="B161">
        <v>2</v>
      </c>
      <c r="C161">
        <v>3</v>
      </c>
      <c r="D161" t="s">
        <v>182</v>
      </c>
      <c r="E161" t="s">
        <v>34</v>
      </c>
      <c r="F161">
        <v>442034</v>
      </c>
      <c r="G161" s="6">
        <v>0</v>
      </c>
      <c r="H161" t="s">
        <v>37</v>
      </c>
      <c r="I161">
        <v>10681183</v>
      </c>
      <c r="J161">
        <v>4</v>
      </c>
      <c r="K161">
        <v>23</v>
      </c>
      <c r="L161">
        <v>23</v>
      </c>
      <c r="M161">
        <v>1632</v>
      </c>
      <c r="N161" s="2">
        <v>139776</v>
      </c>
      <c r="O161" s="2">
        <v>4608</v>
      </c>
      <c r="P161" s="2">
        <v>1920</v>
      </c>
      <c r="Q161" s="2">
        <v>6528</v>
      </c>
      <c r="R161" s="2">
        <v>9216</v>
      </c>
      <c r="S161">
        <v>212</v>
      </c>
      <c r="T161" s="2">
        <v>11136</v>
      </c>
      <c r="U161" s="2">
        <v>128640</v>
      </c>
      <c r="V161">
        <v>150</v>
      </c>
      <c r="W161">
        <v>0</v>
      </c>
      <c r="X161">
        <v>0</v>
      </c>
      <c r="Y161">
        <v>0</v>
      </c>
      <c r="Z161">
        <v>4.5999999999999996</v>
      </c>
      <c r="AA161">
        <v>3.0637254999999999E-2</v>
      </c>
      <c r="AB161">
        <v>25.9</v>
      </c>
      <c r="AC161">
        <v>11.74133333</v>
      </c>
      <c r="AD161">
        <v>22</v>
      </c>
      <c r="AE161" s="7"/>
      <c r="AF161" s="7"/>
      <c r="AG161" s="7"/>
      <c r="AH161" s="7"/>
      <c r="AI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161" s="7"/>
      <c r="AK161" t="s">
        <v>75</v>
      </c>
      <c r="AN161">
        <f>IFERROR(INT(Table13[[#This Row],[reject_prod]]/Table13[[#This Row],[part_weight]] * 1000), 0)</f>
        <v>200</v>
      </c>
    </row>
    <row r="162" spans="1:40" hidden="1">
      <c r="A162" s="1">
        <v>46028</v>
      </c>
      <c r="B162">
        <v>2</v>
      </c>
      <c r="C162">
        <v>4</v>
      </c>
      <c r="F162">
        <v>123456</v>
      </c>
      <c r="G162" s="6">
        <v>0</v>
      </c>
      <c r="M162">
        <v>0</v>
      </c>
      <c r="N162">
        <v>0</v>
      </c>
      <c r="O162">
        <v>0</v>
      </c>
      <c r="P162">
        <v>0</v>
      </c>
      <c r="R162">
        <v>0</v>
      </c>
      <c r="T162">
        <v>0</v>
      </c>
      <c r="X162">
        <v>0</v>
      </c>
      <c r="Z162">
        <v>0</v>
      </c>
      <c r="AB162">
        <v>0</v>
      </c>
      <c r="AC162">
        <v>0</v>
      </c>
      <c r="AD162">
        <v>22.5</v>
      </c>
      <c r="AE162" s="7"/>
      <c r="AF162" s="7"/>
      <c r="AG162" s="7"/>
      <c r="AH162" s="7"/>
      <c r="AI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" s="7">
        <v>12</v>
      </c>
      <c r="AK162" t="s">
        <v>116</v>
      </c>
      <c r="AN162">
        <f>IFERROR(INT(Table13[[#This Row],[reject_prod]]/Table13[[#This Row],[part_weight]] * 1000), 0)</f>
        <v>0</v>
      </c>
    </row>
    <row r="163" spans="1:40" hidden="1">
      <c r="A163" s="1">
        <v>46028</v>
      </c>
      <c r="B163">
        <v>2</v>
      </c>
      <c r="C163">
        <v>5</v>
      </c>
      <c r="D163" t="s">
        <v>56</v>
      </c>
      <c r="E163" t="s">
        <v>34</v>
      </c>
      <c r="F163">
        <v>611949</v>
      </c>
      <c r="G163" s="6">
        <v>0</v>
      </c>
      <c r="H163" t="s">
        <v>38</v>
      </c>
      <c r="I163">
        <v>10680235</v>
      </c>
      <c r="J163">
        <v>4</v>
      </c>
      <c r="K163">
        <v>20</v>
      </c>
      <c r="L163">
        <v>20</v>
      </c>
      <c r="M163">
        <v>1600</v>
      </c>
      <c r="N163" s="2">
        <v>83600</v>
      </c>
      <c r="O163" s="2">
        <v>3600</v>
      </c>
      <c r="P163" s="2">
        <v>3300</v>
      </c>
      <c r="Q163" s="2">
        <v>6400</v>
      </c>
      <c r="R163" s="2">
        <v>6600</v>
      </c>
      <c r="S163">
        <v>132</v>
      </c>
      <c r="T163" s="2">
        <v>36300</v>
      </c>
      <c r="U163" s="2">
        <v>47300</v>
      </c>
      <c r="V163">
        <v>128</v>
      </c>
      <c r="W163">
        <v>0</v>
      </c>
      <c r="X163">
        <v>0</v>
      </c>
      <c r="Y163">
        <v>0</v>
      </c>
      <c r="Z163">
        <v>12.5</v>
      </c>
      <c r="AA163">
        <v>9.765625E-2</v>
      </c>
      <c r="AB163">
        <v>24.7</v>
      </c>
      <c r="AC163">
        <v>10.97777778</v>
      </c>
      <c r="AD163">
        <v>21.64</v>
      </c>
      <c r="AE163" s="7"/>
      <c r="AF163" s="7"/>
      <c r="AG163" s="7"/>
      <c r="AH163" s="7"/>
      <c r="AI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1.0222222199999997</v>
      </c>
      <c r="AJ163" s="7"/>
      <c r="AK163" t="s">
        <v>183</v>
      </c>
      <c r="AN163">
        <f>IFERROR(INT(Table13[[#This Row],[reject_prod]]/Table13[[#This Row],[part_weight]] * 1000), 0)</f>
        <v>625</v>
      </c>
    </row>
    <row r="164" spans="1:40" hidden="1">
      <c r="A164" s="1">
        <v>46028</v>
      </c>
      <c r="B164">
        <v>2</v>
      </c>
      <c r="C164">
        <v>6</v>
      </c>
      <c r="D164" t="s">
        <v>184</v>
      </c>
      <c r="E164" t="s">
        <v>34</v>
      </c>
      <c r="F164">
        <v>579471</v>
      </c>
      <c r="G164" s="6">
        <v>0</v>
      </c>
      <c r="H164" t="s">
        <v>105</v>
      </c>
      <c r="I164">
        <v>10681843</v>
      </c>
      <c r="J164">
        <v>4</v>
      </c>
      <c r="K164">
        <v>24</v>
      </c>
      <c r="L164">
        <v>24</v>
      </c>
      <c r="M164">
        <v>700</v>
      </c>
      <c r="N164" s="2">
        <v>50400</v>
      </c>
      <c r="O164" s="2">
        <v>4536</v>
      </c>
      <c r="P164" s="2">
        <v>1008</v>
      </c>
      <c r="Q164" s="2">
        <v>2800</v>
      </c>
      <c r="R164" s="2">
        <v>6048</v>
      </c>
      <c r="S164">
        <v>145</v>
      </c>
      <c r="T164" s="2">
        <v>25200</v>
      </c>
      <c r="U164" s="2">
        <v>25200</v>
      </c>
      <c r="V164">
        <v>67</v>
      </c>
      <c r="W164">
        <v>0</v>
      </c>
      <c r="X164">
        <v>0</v>
      </c>
      <c r="Y164">
        <v>0</v>
      </c>
      <c r="Z164">
        <v>13.8</v>
      </c>
      <c r="AA164">
        <v>0.20535714299999999</v>
      </c>
      <c r="AB164">
        <v>22.1</v>
      </c>
      <c r="AC164">
        <v>4.2972222220000003</v>
      </c>
      <c r="AD164">
        <v>23</v>
      </c>
      <c r="AE164" s="7"/>
      <c r="AF164" s="7"/>
      <c r="AG164" s="7"/>
      <c r="AH164" s="7"/>
      <c r="AI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7.7027777779999997</v>
      </c>
      <c r="AJ164" s="7"/>
      <c r="AK164" t="s">
        <v>185</v>
      </c>
      <c r="AN164">
        <f>IFERROR(INT(Table13[[#This Row],[reject_prod]]/Table13[[#This Row],[part_weight]] * 1000), 0)</f>
        <v>575</v>
      </c>
    </row>
    <row r="165" spans="1:40" hidden="1">
      <c r="A165" s="1">
        <v>46028</v>
      </c>
      <c r="B165">
        <v>2</v>
      </c>
      <c r="C165">
        <v>7</v>
      </c>
      <c r="D165" t="s">
        <v>54</v>
      </c>
      <c r="E165" t="s">
        <v>34</v>
      </c>
      <c r="F165">
        <v>441809</v>
      </c>
      <c r="G165" s="6">
        <v>0</v>
      </c>
      <c r="H165" t="s">
        <v>160</v>
      </c>
      <c r="I165">
        <v>10682759</v>
      </c>
      <c r="J165">
        <v>4</v>
      </c>
      <c r="K165">
        <v>34</v>
      </c>
      <c r="L165">
        <v>33.67</v>
      </c>
      <c r="M165">
        <v>1680</v>
      </c>
      <c r="N165" s="2">
        <v>18432</v>
      </c>
      <c r="O165">
        <v>768</v>
      </c>
      <c r="P165">
        <v>576</v>
      </c>
      <c r="Q165" s="2">
        <v>6720</v>
      </c>
      <c r="R165" s="2">
        <v>6912</v>
      </c>
      <c r="S165">
        <v>233</v>
      </c>
      <c r="T165" s="2">
        <v>7488</v>
      </c>
      <c r="U165" s="2">
        <v>10944</v>
      </c>
      <c r="V165">
        <v>226</v>
      </c>
      <c r="W165">
        <v>0</v>
      </c>
      <c r="X165">
        <v>0</v>
      </c>
      <c r="Y165">
        <v>0</v>
      </c>
      <c r="Z165">
        <v>12.8</v>
      </c>
      <c r="AA165">
        <v>5.6571484999999998E-2</v>
      </c>
      <c r="AB165">
        <v>23.6</v>
      </c>
      <c r="AC165">
        <v>11.01333333</v>
      </c>
      <c r="AD165">
        <v>18</v>
      </c>
      <c r="AE165" s="7"/>
      <c r="AF165" s="7"/>
      <c r="AG165" s="7"/>
      <c r="AH165" s="7"/>
      <c r="AI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0.98666666999999997</v>
      </c>
      <c r="AJ165" s="7"/>
      <c r="AK165" t="s">
        <v>186</v>
      </c>
      <c r="AN165">
        <f>IFERROR(INT(Table13[[#This Row],[reject_prod]]/Table13[[#This Row],[part_weight]] * 1000), 0)</f>
        <v>380</v>
      </c>
    </row>
    <row r="166" spans="1:40" hidden="1">
      <c r="A166" s="1">
        <v>46028</v>
      </c>
      <c r="B166">
        <v>2</v>
      </c>
      <c r="C166">
        <v>8</v>
      </c>
      <c r="F166">
        <v>123456</v>
      </c>
      <c r="G166" s="6">
        <v>0</v>
      </c>
      <c r="M166">
        <v>0</v>
      </c>
      <c r="N166">
        <v>0</v>
      </c>
      <c r="O166">
        <v>0</v>
      </c>
      <c r="P166">
        <v>0</v>
      </c>
      <c r="R166">
        <v>0</v>
      </c>
      <c r="T166">
        <v>0</v>
      </c>
      <c r="X166">
        <v>0</v>
      </c>
      <c r="Z166">
        <v>0</v>
      </c>
      <c r="AB166">
        <v>0</v>
      </c>
      <c r="AC166">
        <v>0</v>
      </c>
      <c r="AD166">
        <v>22.5</v>
      </c>
      <c r="AE166" s="7"/>
      <c r="AF166" s="7"/>
      <c r="AG166" s="7"/>
      <c r="AH166" s="7"/>
      <c r="AI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6" s="7">
        <v>12</v>
      </c>
      <c r="AK166" t="s">
        <v>116</v>
      </c>
      <c r="AN166">
        <f>IFERROR(INT(Table13[[#This Row],[reject_prod]]/Table13[[#This Row],[part_weight]] * 1000), 0)</f>
        <v>0</v>
      </c>
    </row>
    <row r="167" spans="1:40" hidden="1">
      <c r="A167" s="1">
        <v>46028</v>
      </c>
      <c r="B167">
        <v>2</v>
      </c>
      <c r="C167">
        <v>9</v>
      </c>
      <c r="D167" t="s">
        <v>167</v>
      </c>
      <c r="E167" t="s">
        <v>46</v>
      </c>
      <c r="F167">
        <v>586276</v>
      </c>
      <c r="G167" s="6">
        <v>0</v>
      </c>
      <c r="H167" t="s">
        <v>47</v>
      </c>
      <c r="I167">
        <v>10682923</v>
      </c>
      <c r="J167">
        <v>6</v>
      </c>
      <c r="K167">
        <v>12.3</v>
      </c>
      <c r="L167">
        <v>12.3</v>
      </c>
      <c r="M167">
        <v>1688</v>
      </c>
      <c r="N167" s="2">
        <v>162000</v>
      </c>
      <c r="O167" s="2">
        <v>4860</v>
      </c>
      <c r="P167" s="2">
        <v>6885</v>
      </c>
      <c r="Q167" s="2">
        <v>10128</v>
      </c>
      <c r="R167" s="2">
        <v>8100</v>
      </c>
      <c r="S167">
        <v>100</v>
      </c>
      <c r="T167" s="2">
        <v>112185</v>
      </c>
      <c r="U167" s="2">
        <v>49815</v>
      </c>
      <c r="V167">
        <v>125</v>
      </c>
      <c r="W167">
        <v>0</v>
      </c>
      <c r="X167">
        <v>0</v>
      </c>
      <c r="Y167">
        <v>0</v>
      </c>
      <c r="Z167">
        <v>1</v>
      </c>
      <c r="AA167">
        <v>8.0273310000000004E-3</v>
      </c>
      <c r="AB167">
        <v>25.5</v>
      </c>
      <c r="AC167">
        <v>11.956666670000001</v>
      </c>
      <c r="AD167">
        <v>26</v>
      </c>
      <c r="AE167" s="7"/>
      <c r="AF167" s="7"/>
      <c r="AG167" s="7"/>
      <c r="AH167" s="7"/>
      <c r="AI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167" s="7"/>
      <c r="AK167" t="s">
        <v>51</v>
      </c>
      <c r="AN167">
        <f>IFERROR(INT(Table13[[#This Row],[reject_prod]]/Table13[[#This Row],[part_weight]] * 1000), 0)</f>
        <v>81</v>
      </c>
    </row>
    <row r="168" spans="1:40" hidden="1">
      <c r="A168" s="1">
        <v>46028</v>
      </c>
      <c r="B168">
        <v>2</v>
      </c>
      <c r="C168">
        <v>10</v>
      </c>
      <c r="D168" t="s">
        <v>187</v>
      </c>
      <c r="E168" t="s">
        <v>41</v>
      </c>
      <c r="F168">
        <v>593537</v>
      </c>
      <c r="G168" s="6">
        <v>0</v>
      </c>
      <c r="H168" t="s">
        <v>48</v>
      </c>
      <c r="I168">
        <v>10682925</v>
      </c>
      <c r="J168">
        <v>4</v>
      </c>
      <c r="K168">
        <v>56.5</v>
      </c>
      <c r="L168">
        <v>56.8</v>
      </c>
      <c r="M168">
        <v>1340</v>
      </c>
      <c r="N168" s="2">
        <v>69000</v>
      </c>
      <c r="O168">
        <v>460</v>
      </c>
      <c r="P168">
        <v>115</v>
      </c>
      <c r="Q168" s="2">
        <v>5360</v>
      </c>
      <c r="R168" s="2">
        <v>5750</v>
      </c>
      <c r="S168">
        <v>327</v>
      </c>
      <c r="T168" s="2">
        <v>28175</v>
      </c>
      <c r="U168" s="2">
        <v>40825</v>
      </c>
      <c r="V168">
        <v>304</v>
      </c>
      <c r="W168">
        <v>-2</v>
      </c>
      <c r="X168">
        <v>0</v>
      </c>
      <c r="Y168">
        <v>0</v>
      </c>
      <c r="Z168">
        <v>6</v>
      </c>
      <c r="AA168">
        <v>1.9707799000000002E-2</v>
      </c>
      <c r="AB168">
        <v>31.7</v>
      </c>
      <c r="AC168">
        <v>11.79944444</v>
      </c>
      <c r="AD168">
        <v>28.5</v>
      </c>
      <c r="AE168" s="7"/>
      <c r="AF168" s="7"/>
      <c r="AG168" s="7"/>
      <c r="AH168" s="7"/>
      <c r="AI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0.20055555999999974</v>
      </c>
      <c r="AJ168" s="7"/>
      <c r="AK168" t="s">
        <v>51</v>
      </c>
      <c r="AN168">
        <f>IFERROR(INT(Table13[[#This Row],[reject_prod]]/Table13[[#This Row],[part_weight]] * 1000), 0)</f>
        <v>105</v>
      </c>
    </row>
    <row r="169" spans="1:40" hidden="1">
      <c r="A169" s="1">
        <v>46028</v>
      </c>
      <c r="B169">
        <v>2</v>
      </c>
      <c r="C169">
        <v>11</v>
      </c>
      <c r="D169" t="s">
        <v>59</v>
      </c>
      <c r="E169" t="s">
        <v>46</v>
      </c>
      <c r="F169">
        <v>552181</v>
      </c>
      <c r="G169" s="6">
        <v>1</v>
      </c>
      <c r="H169" t="s">
        <v>49</v>
      </c>
      <c r="I169">
        <v>10679363</v>
      </c>
      <c r="J169">
        <v>6</v>
      </c>
      <c r="K169">
        <v>18.8</v>
      </c>
      <c r="L169">
        <v>18.8</v>
      </c>
      <c r="M169">
        <v>0</v>
      </c>
      <c r="N169" s="2">
        <v>108000</v>
      </c>
      <c r="O169" s="2">
        <v>5400</v>
      </c>
      <c r="P169">
        <v>0</v>
      </c>
      <c r="Q169">
        <v>0</v>
      </c>
      <c r="R169" s="2">
        <v>5400</v>
      </c>
      <c r="S169">
        <v>102</v>
      </c>
      <c r="T169" s="2">
        <v>108000</v>
      </c>
      <c r="U169">
        <v>0</v>
      </c>
      <c r="V169">
        <v>0</v>
      </c>
      <c r="W169">
        <v>0</v>
      </c>
      <c r="X169">
        <v>0</v>
      </c>
      <c r="Y169" t="e">
        <v>#DIV/0!</v>
      </c>
      <c r="Z169">
        <v>0</v>
      </c>
      <c r="AA169" t="e">
        <v>#DIV/0!</v>
      </c>
      <c r="AB169">
        <v>0</v>
      </c>
      <c r="AC169">
        <v>0</v>
      </c>
      <c r="AD169">
        <v>27</v>
      </c>
      <c r="AE169" s="7"/>
      <c r="AF169" s="7"/>
      <c r="AG169" s="7"/>
      <c r="AH169" s="7"/>
      <c r="AI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9" s="7"/>
      <c r="AK169" t="s">
        <v>102</v>
      </c>
      <c r="AN169">
        <f>IFERROR(INT(Table13[[#This Row],[reject_prod]]/Table13[[#This Row],[part_weight]] * 1000), 0)</f>
        <v>0</v>
      </c>
    </row>
    <row r="170" spans="1:40" hidden="1">
      <c r="A170" s="1">
        <v>46028</v>
      </c>
      <c r="B170">
        <v>2</v>
      </c>
      <c r="C170">
        <v>11</v>
      </c>
      <c r="D170" t="s">
        <v>59</v>
      </c>
      <c r="E170" t="s">
        <v>46</v>
      </c>
      <c r="F170">
        <v>552181</v>
      </c>
      <c r="G170" s="6">
        <v>1</v>
      </c>
      <c r="H170" t="s">
        <v>49</v>
      </c>
      <c r="I170">
        <v>10682927</v>
      </c>
      <c r="J170">
        <v>6</v>
      </c>
      <c r="K170">
        <v>18.8</v>
      </c>
      <c r="L170">
        <v>18.8</v>
      </c>
      <c r="M170">
        <v>1573</v>
      </c>
      <c r="N170" s="2">
        <v>108000</v>
      </c>
      <c r="O170">
        <v>0</v>
      </c>
      <c r="P170" s="2">
        <v>4050</v>
      </c>
      <c r="Q170" s="2">
        <v>9438</v>
      </c>
      <c r="R170" s="2">
        <v>5400</v>
      </c>
      <c r="S170">
        <v>102</v>
      </c>
      <c r="T170" s="2">
        <v>9450</v>
      </c>
      <c r="U170" s="2">
        <v>98550</v>
      </c>
      <c r="V170">
        <v>177</v>
      </c>
      <c r="W170">
        <v>0</v>
      </c>
      <c r="X170">
        <v>0</v>
      </c>
      <c r="Y170">
        <v>0</v>
      </c>
      <c r="Z170">
        <v>1</v>
      </c>
      <c r="AA170">
        <v>5.6358859999999997E-3</v>
      </c>
      <c r="AB170">
        <v>27.6</v>
      </c>
      <c r="AC170">
        <v>12</v>
      </c>
      <c r="AD170">
        <v>27</v>
      </c>
      <c r="AE170" s="7"/>
      <c r="AF170" s="7"/>
      <c r="AG170" s="7"/>
      <c r="AH170" s="7"/>
      <c r="AI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" s="7"/>
      <c r="AK170" t="s">
        <v>51</v>
      </c>
      <c r="AN170">
        <f>IFERROR(INT(Table13[[#This Row],[reject_prod]]/Table13[[#This Row],[part_weight]] * 1000), 0)</f>
        <v>53</v>
      </c>
    </row>
    <row r="171" spans="1:40" hidden="1">
      <c r="A171" s="1">
        <v>46028</v>
      </c>
      <c r="B171">
        <v>2</v>
      </c>
      <c r="C171">
        <v>12</v>
      </c>
      <c r="D171" t="s">
        <v>84</v>
      </c>
      <c r="E171" t="s">
        <v>34</v>
      </c>
      <c r="F171">
        <v>620599</v>
      </c>
      <c r="G171" s="6">
        <v>0</v>
      </c>
      <c r="H171" t="s">
        <v>50</v>
      </c>
      <c r="I171">
        <v>10682928</v>
      </c>
      <c r="J171">
        <v>4</v>
      </c>
      <c r="K171">
        <v>55</v>
      </c>
      <c r="L171">
        <v>55</v>
      </c>
      <c r="M171">
        <v>1520</v>
      </c>
      <c r="N171" s="2">
        <v>72000</v>
      </c>
      <c r="O171">
        <v>900</v>
      </c>
      <c r="P171" s="2">
        <v>1575</v>
      </c>
      <c r="Q171" s="2">
        <v>6080</v>
      </c>
      <c r="R171" s="2">
        <v>5400</v>
      </c>
      <c r="S171">
        <v>297</v>
      </c>
      <c r="T171" s="2">
        <v>28575</v>
      </c>
      <c r="U171" s="2">
        <v>43425</v>
      </c>
      <c r="V171">
        <v>334</v>
      </c>
      <c r="W171">
        <v>0</v>
      </c>
      <c r="X171">
        <v>0</v>
      </c>
      <c r="Y171">
        <v>0</v>
      </c>
      <c r="Z171">
        <v>3.8</v>
      </c>
      <c r="AA171">
        <v>1.1363636E-2</v>
      </c>
      <c r="AB171">
        <v>28</v>
      </c>
      <c r="AC171">
        <v>11.82222222</v>
      </c>
      <c r="AD171">
        <v>28</v>
      </c>
      <c r="AE171" s="7"/>
      <c r="AF171" s="7"/>
      <c r="AG171" s="7"/>
      <c r="AH171" s="7"/>
      <c r="AI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0.17777777999999955</v>
      </c>
      <c r="AJ171" s="7"/>
      <c r="AK171" t="s">
        <v>188</v>
      </c>
      <c r="AN171">
        <f>IFERROR(INT(Table13[[#This Row],[reject_prod]]/Table13[[#This Row],[part_weight]] * 1000), 0)</f>
        <v>69</v>
      </c>
    </row>
    <row r="172" spans="1:40" hidden="1">
      <c r="A172" s="1">
        <v>46028</v>
      </c>
      <c r="B172">
        <v>2</v>
      </c>
      <c r="C172">
        <v>13</v>
      </c>
      <c r="D172" t="s">
        <v>59</v>
      </c>
      <c r="E172" t="s">
        <v>46</v>
      </c>
      <c r="F172">
        <v>586276</v>
      </c>
      <c r="G172" s="6">
        <v>0</v>
      </c>
      <c r="H172" t="s">
        <v>47</v>
      </c>
      <c r="I172">
        <v>10682930</v>
      </c>
      <c r="J172">
        <v>6</v>
      </c>
      <c r="K172">
        <v>12.3</v>
      </c>
      <c r="L172">
        <v>12.3</v>
      </c>
      <c r="M172">
        <v>1620</v>
      </c>
      <c r="N172" s="2">
        <v>162000</v>
      </c>
      <c r="O172" s="2">
        <v>2430</v>
      </c>
      <c r="P172" s="2">
        <v>4050</v>
      </c>
      <c r="Q172" s="2">
        <v>9720</v>
      </c>
      <c r="R172" s="2">
        <v>8100</v>
      </c>
      <c r="S172">
        <v>100</v>
      </c>
      <c r="T172" s="2">
        <v>52650</v>
      </c>
      <c r="U172" s="2">
        <v>109350</v>
      </c>
      <c r="V172">
        <v>120</v>
      </c>
      <c r="W172">
        <v>0</v>
      </c>
      <c r="X172">
        <v>0</v>
      </c>
      <c r="Y172">
        <v>0</v>
      </c>
      <c r="Z172">
        <v>1.2</v>
      </c>
      <c r="AA172">
        <v>1.0037137E-2</v>
      </c>
      <c r="AB172">
        <v>26.43</v>
      </c>
      <c r="AC172">
        <v>11.8935</v>
      </c>
      <c r="AD172">
        <v>26</v>
      </c>
      <c r="AE172" s="7"/>
      <c r="AF172" s="7"/>
      <c r="AG172" s="7"/>
      <c r="AH172" s="7"/>
      <c r="AI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172" s="7"/>
      <c r="AK172" t="s">
        <v>51</v>
      </c>
      <c r="AN172">
        <f>IFERROR(INT(Table13[[#This Row],[reject_prod]]/Table13[[#This Row],[part_weight]] * 1000), 0)</f>
        <v>97</v>
      </c>
    </row>
    <row r="173" spans="1:40" hidden="1">
      <c r="A173" s="1">
        <v>46028</v>
      </c>
      <c r="B173">
        <v>2</v>
      </c>
      <c r="C173">
        <v>14</v>
      </c>
      <c r="D173" t="s">
        <v>139</v>
      </c>
      <c r="E173" t="s">
        <v>46</v>
      </c>
      <c r="F173">
        <v>555979</v>
      </c>
      <c r="G173" s="6">
        <v>1</v>
      </c>
      <c r="H173" t="s">
        <v>52</v>
      </c>
      <c r="I173">
        <v>10682931</v>
      </c>
      <c r="J173">
        <v>6</v>
      </c>
      <c r="K173">
        <v>28</v>
      </c>
      <c r="L173">
        <v>28</v>
      </c>
      <c r="M173">
        <v>955</v>
      </c>
      <c r="N173" s="2">
        <v>100800</v>
      </c>
      <c r="O173" s="2">
        <v>2688</v>
      </c>
      <c r="P173" s="2">
        <v>1680</v>
      </c>
      <c r="Q173" s="2">
        <v>5730</v>
      </c>
      <c r="R173" s="2">
        <v>6720</v>
      </c>
      <c r="S173">
        <v>188</v>
      </c>
      <c r="T173" s="2">
        <v>89040</v>
      </c>
      <c r="U173" s="2">
        <v>11760</v>
      </c>
      <c r="V173">
        <v>160</v>
      </c>
      <c r="W173">
        <v>0</v>
      </c>
      <c r="X173">
        <v>0</v>
      </c>
      <c r="Y173">
        <v>0</v>
      </c>
      <c r="Z173">
        <v>4</v>
      </c>
      <c r="AA173">
        <v>2.4931439E-2</v>
      </c>
      <c r="AB173">
        <v>43.6</v>
      </c>
      <c r="AC173">
        <v>11.56611111</v>
      </c>
      <c r="AD173">
        <v>42</v>
      </c>
      <c r="AE173" s="7"/>
      <c r="AF173" s="7"/>
      <c r="AG173" s="7"/>
      <c r="AH173" s="7"/>
      <c r="AI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0.43388889000000042</v>
      </c>
      <c r="AJ173" s="7"/>
      <c r="AK173" t="s">
        <v>179</v>
      </c>
      <c r="AN173">
        <f>IFERROR(INT(Table13[[#This Row],[reject_prod]]/Table13[[#This Row],[part_weight]] * 1000), 0)</f>
        <v>142</v>
      </c>
    </row>
    <row r="174" spans="1:40" hidden="1">
      <c r="A174" s="1">
        <v>46028</v>
      </c>
      <c r="B174">
        <v>2</v>
      </c>
      <c r="C174">
        <v>15</v>
      </c>
      <c r="D174" t="s">
        <v>59</v>
      </c>
      <c r="E174" t="s">
        <v>46</v>
      </c>
      <c r="F174">
        <v>552181</v>
      </c>
      <c r="G174" s="6">
        <v>2</v>
      </c>
      <c r="H174" t="s">
        <v>49</v>
      </c>
      <c r="I174">
        <v>10682933</v>
      </c>
      <c r="J174">
        <v>6</v>
      </c>
      <c r="K174">
        <v>18.8</v>
      </c>
      <c r="L174">
        <v>18.8</v>
      </c>
      <c r="M174">
        <v>1360</v>
      </c>
      <c r="N174" s="2">
        <v>108000</v>
      </c>
      <c r="O174" s="2">
        <v>10530</v>
      </c>
      <c r="P174" s="2">
        <v>11880</v>
      </c>
      <c r="Q174" s="2">
        <v>8160</v>
      </c>
      <c r="R174" s="2">
        <v>5400</v>
      </c>
      <c r="S174">
        <v>102</v>
      </c>
      <c r="T174" s="2">
        <v>98380</v>
      </c>
      <c r="U174" s="2">
        <v>9620</v>
      </c>
      <c r="V174">
        <v>153</v>
      </c>
      <c r="W174">
        <v>0</v>
      </c>
      <c r="X174">
        <v>0</v>
      </c>
      <c r="Y174">
        <v>0</v>
      </c>
      <c r="Z174">
        <v>1</v>
      </c>
      <c r="AA174">
        <v>6.5185649999999996E-3</v>
      </c>
      <c r="AB174">
        <v>31.2</v>
      </c>
      <c r="AC174">
        <v>11.786666670000001</v>
      </c>
      <c r="AD174">
        <v>27</v>
      </c>
      <c r="AE174" s="7"/>
      <c r="AF174" s="7"/>
      <c r="AG174" s="7"/>
      <c r="AH174" s="7"/>
      <c r="AI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174" s="7"/>
      <c r="AK174" t="s">
        <v>51</v>
      </c>
      <c r="AN174">
        <f>IFERROR(INT(Table13[[#This Row],[reject_prod]]/Table13[[#This Row],[part_weight]] * 1000), 0)</f>
        <v>53</v>
      </c>
    </row>
    <row r="175" spans="1:40" hidden="1">
      <c r="A175" s="1">
        <v>46028</v>
      </c>
      <c r="B175">
        <v>2</v>
      </c>
      <c r="C175">
        <v>16</v>
      </c>
      <c r="D175" t="s">
        <v>124</v>
      </c>
      <c r="E175" t="s">
        <v>46</v>
      </c>
      <c r="F175">
        <v>555979</v>
      </c>
      <c r="G175" s="6">
        <v>2</v>
      </c>
      <c r="H175" t="s">
        <v>52</v>
      </c>
      <c r="I175">
        <v>10682935</v>
      </c>
      <c r="J175">
        <v>6</v>
      </c>
      <c r="K175">
        <v>28</v>
      </c>
      <c r="L175">
        <v>28</v>
      </c>
      <c r="M175">
        <v>954</v>
      </c>
      <c r="N175" s="2">
        <v>100800</v>
      </c>
      <c r="O175" s="2">
        <v>1512</v>
      </c>
      <c r="P175">
        <v>0</v>
      </c>
      <c r="Q175" s="2">
        <v>5724</v>
      </c>
      <c r="R175" s="2">
        <v>6720</v>
      </c>
      <c r="S175">
        <v>188</v>
      </c>
      <c r="T175" s="2">
        <v>30240</v>
      </c>
      <c r="U175" s="2">
        <v>70560</v>
      </c>
      <c r="V175">
        <v>160</v>
      </c>
      <c r="W175">
        <v>0</v>
      </c>
      <c r="X175">
        <v>0</v>
      </c>
      <c r="Y175">
        <v>0</v>
      </c>
      <c r="Z175">
        <v>0.5</v>
      </c>
      <c r="AA175">
        <v>3.1196969999999998E-3</v>
      </c>
      <c r="AB175">
        <v>43.7</v>
      </c>
      <c r="AC175">
        <v>11.580500000000001</v>
      </c>
      <c r="AD175">
        <v>42</v>
      </c>
      <c r="AE175" s="7"/>
      <c r="AF175" s="7"/>
      <c r="AG175" s="7"/>
      <c r="AH175" s="7"/>
      <c r="AI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0.41949999999999932</v>
      </c>
      <c r="AJ175" s="7"/>
      <c r="AK175" t="s">
        <v>51</v>
      </c>
      <c r="AN175">
        <f>IFERROR(INT(Table13[[#This Row],[reject_prod]]/Table13[[#This Row],[part_weight]] * 1000), 0)</f>
        <v>17</v>
      </c>
    </row>
    <row r="176" spans="1:40" hidden="1">
      <c r="A176" s="1">
        <v>46029</v>
      </c>
      <c r="B176">
        <v>1</v>
      </c>
      <c r="C176">
        <v>1</v>
      </c>
      <c r="D176" t="s">
        <v>65</v>
      </c>
      <c r="E176" t="s">
        <v>34</v>
      </c>
      <c r="F176">
        <v>322474</v>
      </c>
      <c r="G176" s="6">
        <v>0</v>
      </c>
      <c r="H176" t="s">
        <v>153</v>
      </c>
      <c r="I176">
        <v>10681777</v>
      </c>
      <c r="J176">
        <v>4</v>
      </c>
      <c r="K176">
        <v>44</v>
      </c>
      <c r="L176">
        <v>44</v>
      </c>
      <c r="M176">
        <v>1263</v>
      </c>
      <c r="N176" s="2">
        <v>15840</v>
      </c>
      <c r="O176">
        <v>330</v>
      </c>
      <c r="P176">
        <v>0</v>
      </c>
      <c r="Q176" s="2">
        <v>5052</v>
      </c>
      <c r="R176" s="2">
        <v>5280</v>
      </c>
      <c r="S176">
        <v>232</v>
      </c>
      <c r="T176" s="2">
        <v>15840</v>
      </c>
      <c r="U176">
        <v>0</v>
      </c>
      <c r="V176">
        <v>222</v>
      </c>
      <c r="W176">
        <v>0</v>
      </c>
      <c r="X176">
        <v>0</v>
      </c>
      <c r="Y176">
        <v>0</v>
      </c>
      <c r="Z176">
        <v>4.3</v>
      </c>
      <c r="AA176">
        <v>1.9344274000000002E-2</v>
      </c>
      <c r="AB176">
        <v>29.8</v>
      </c>
      <c r="AC176">
        <v>10.45483333</v>
      </c>
      <c r="AD176">
        <v>28.56</v>
      </c>
      <c r="AE176" s="7"/>
      <c r="AF176" s="7"/>
      <c r="AG176" s="7"/>
      <c r="AH176" s="7"/>
      <c r="AI1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1.5451666700000004</v>
      </c>
      <c r="AJ176" s="7"/>
      <c r="AK176" t="s">
        <v>172</v>
      </c>
      <c r="AN176">
        <f>IFERROR(INT(Table13[[#This Row],[reject_prod]]/Table13[[#This Row],[part_weight]] * 1000), 0)</f>
        <v>97</v>
      </c>
    </row>
    <row r="177" spans="1:40" hidden="1">
      <c r="A177" s="1">
        <v>46029</v>
      </c>
      <c r="B177">
        <v>1</v>
      </c>
      <c r="C177">
        <v>1</v>
      </c>
      <c r="D177" t="s">
        <v>33</v>
      </c>
      <c r="E177" t="s">
        <v>34</v>
      </c>
      <c r="F177">
        <v>365091</v>
      </c>
      <c r="G177" s="6">
        <v>0</v>
      </c>
      <c r="H177" t="s">
        <v>189</v>
      </c>
      <c r="I177">
        <v>10682753</v>
      </c>
      <c r="J177">
        <v>4</v>
      </c>
      <c r="K177">
        <v>44</v>
      </c>
      <c r="L177">
        <v>44</v>
      </c>
      <c r="M177">
        <v>0</v>
      </c>
      <c r="N177" s="2">
        <v>66885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2">
        <v>66885</v>
      </c>
      <c r="V177">
        <v>0</v>
      </c>
      <c r="W177">
        <v>0</v>
      </c>
      <c r="X177">
        <v>21</v>
      </c>
      <c r="Y177" t="e">
        <v>#DIV/0!</v>
      </c>
      <c r="Z177">
        <v>0</v>
      </c>
      <c r="AA177" t="e">
        <v>#DIV/0!</v>
      </c>
      <c r="AB177">
        <v>0</v>
      </c>
      <c r="AC177">
        <v>0</v>
      </c>
      <c r="AD177">
        <v>28.64</v>
      </c>
      <c r="AE177" s="7">
        <v>1.5</v>
      </c>
      <c r="AF177" s="7"/>
      <c r="AG177" s="7"/>
      <c r="AH177" s="7"/>
      <c r="AI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77" s="7"/>
      <c r="AK177" t="s">
        <v>190</v>
      </c>
      <c r="AN177">
        <f>IFERROR(INT(Table13[[#This Row],[reject_prod]]/Table13[[#This Row],[part_weight]] * 1000), 0)</f>
        <v>0</v>
      </c>
    </row>
    <row r="178" spans="1:40" hidden="1">
      <c r="A178" s="1">
        <v>46029</v>
      </c>
      <c r="B178">
        <v>1</v>
      </c>
      <c r="C178">
        <v>2</v>
      </c>
      <c r="D178" t="s">
        <v>62</v>
      </c>
      <c r="E178" t="s">
        <v>34</v>
      </c>
      <c r="F178">
        <v>423215</v>
      </c>
      <c r="G178" s="6">
        <v>0</v>
      </c>
      <c r="H178" t="s">
        <v>156</v>
      </c>
      <c r="I178">
        <v>10682755</v>
      </c>
      <c r="J178">
        <v>4</v>
      </c>
      <c r="K178">
        <v>24</v>
      </c>
      <c r="L178">
        <v>24</v>
      </c>
      <c r="M178">
        <v>1588</v>
      </c>
      <c r="N178" s="2">
        <v>89112</v>
      </c>
      <c r="O178" s="2">
        <v>2538</v>
      </c>
      <c r="P178" s="2">
        <v>1974</v>
      </c>
      <c r="Q178" s="2">
        <v>6352</v>
      </c>
      <c r="R178" s="2">
        <v>6768</v>
      </c>
      <c r="S178">
        <v>162</v>
      </c>
      <c r="T178" s="2">
        <v>18894</v>
      </c>
      <c r="U178" s="2">
        <v>70218</v>
      </c>
      <c r="V178">
        <v>152</v>
      </c>
      <c r="W178">
        <v>0</v>
      </c>
      <c r="X178">
        <v>0</v>
      </c>
      <c r="Y178">
        <v>0</v>
      </c>
      <c r="Z178">
        <v>3.4</v>
      </c>
      <c r="AA178">
        <v>2.2302687000000002E-2</v>
      </c>
      <c r="AB178">
        <v>26.8</v>
      </c>
      <c r="AC178">
        <v>11.82177778</v>
      </c>
      <c r="AD178">
        <v>22</v>
      </c>
      <c r="AE178" s="7"/>
      <c r="AF178" s="7"/>
      <c r="AG178" s="7"/>
      <c r="AH178" s="7"/>
      <c r="AI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178" s="7"/>
      <c r="AK178" t="s">
        <v>191</v>
      </c>
      <c r="AN178">
        <f>IFERROR(INT(Table13[[#This Row],[reject_prod]]/Table13[[#This Row],[part_weight]] * 1000), 0)</f>
        <v>141</v>
      </c>
    </row>
    <row r="179" spans="1:40" hidden="1">
      <c r="A179" s="1">
        <v>46029</v>
      </c>
      <c r="B179">
        <v>1</v>
      </c>
      <c r="C179">
        <v>3</v>
      </c>
      <c r="D179" t="s">
        <v>192</v>
      </c>
      <c r="E179" t="s">
        <v>34</v>
      </c>
      <c r="F179">
        <v>442034</v>
      </c>
      <c r="G179" s="6">
        <v>0</v>
      </c>
      <c r="H179" t="s">
        <v>37</v>
      </c>
      <c r="I179">
        <v>10681183</v>
      </c>
      <c r="J179">
        <v>4</v>
      </c>
      <c r="K179">
        <v>23</v>
      </c>
      <c r="L179">
        <v>23</v>
      </c>
      <c r="M179">
        <v>1667</v>
      </c>
      <c r="N179" s="2">
        <v>139776</v>
      </c>
      <c r="O179" s="2">
        <v>1920</v>
      </c>
      <c r="P179" s="2">
        <v>3840</v>
      </c>
      <c r="Q179" s="2">
        <v>6668</v>
      </c>
      <c r="R179" s="2">
        <v>4608</v>
      </c>
      <c r="S179">
        <v>106</v>
      </c>
      <c r="T179" s="2">
        <v>17664</v>
      </c>
      <c r="U179" s="2">
        <v>122112</v>
      </c>
      <c r="V179">
        <v>153</v>
      </c>
      <c r="W179">
        <v>0</v>
      </c>
      <c r="X179">
        <v>0</v>
      </c>
      <c r="Y179">
        <v>0</v>
      </c>
      <c r="Z179">
        <v>3.2</v>
      </c>
      <c r="AA179">
        <v>2.0865392E-2</v>
      </c>
      <c r="AB179">
        <v>25.9</v>
      </c>
      <c r="AC179">
        <v>11.993138890000001</v>
      </c>
      <c r="AD179">
        <v>22</v>
      </c>
      <c r="AE179" s="7"/>
      <c r="AF179" s="7"/>
      <c r="AG179" s="7"/>
      <c r="AH179" s="7"/>
      <c r="AI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6.8611099999991154E-3</v>
      </c>
      <c r="AJ179" s="7"/>
      <c r="AK179" t="s">
        <v>103</v>
      </c>
      <c r="AN179">
        <f>IFERROR(INT(Table13[[#This Row],[reject_prod]]/Table13[[#This Row],[part_weight]] * 1000), 0)</f>
        <v>139</v>
      </c>
    </row>
    <row r="180" spans="1:40" hidden="1">
      <c r="A180" s="1">
        <v>46029</v>
      </c>
      <c r="B180">
        <v>1</v>
      </c>
      <c r="C180">
        <v>4</v>
      </c>
      <c r="F180">
        <v>123456</v>
      </c>
      <c r="G180" s="6">
        <v>0</v>
      </c>
      <c r="M180">
        <v>0</v>
      </c>
      <c r="N180">
        <v>0</v>
      </c>
      <c r="O180">
        <v>0</v>
      </c>
      <c r="P180">
        <v>0</v>
      </c>
      <c r="R180">
        <v>0</v>
      </c>
      <c r="T180">
        <v>0</v>
      </c>
      <c r="X180">
        <v>0</v>
      </c>
      <c r="Z180">
        <v>0</v>
      </c>
      <c r="AB180">
        <v>0</v>
      </c>
      <c r="AC180">
        <v>0</v>
      </c>
      <c r="AD180">
        <v>22.5</v>
      </c>
      <c r="AE180" s="7"/>
      <c r="AF180" s="7"/>
      <c r="AG180" s="7"/>
      <c r="AH180" s="7"/>
      <c r="AI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" s="7">
        <v>12</v>
      </c>
      <c r="AK180" t="s">
        <v>116</v>
      </c>
      <c r="AN180">
        <f>IFERROR(INT(Table13[[#This Row],[reject_prod]]/Table13[[#This Row],[part_weight]] * 1000), 0)</f>
        <v>0</v>
      </c>
    </row>
    <row r="181" spans="1:40" hidden="1">
      <c r="A181" s="1">
        <v>46029</v>
      </c>
      <c r="B181">
        <v>1</v>
      </c>
      <c r="C181">
        <v>5</v>
      </c>
      <c r="D181" t="s">
        <v>152</v>
      </c>
      <c r="E181" t="s">
        <v>34</v>
      </c>
      <c r="F181">
        <v>611949</v>
      </c>
      <c r="G181" s="6">
        <v>0</v>
      </c>
      <c r="H181" t="s">
        <v>38</v>
      </c>
      <c r="I181">
        <v>10680235</v>
      </c>
      <c r="J181">
        <v>4</v>
      </c>
      <c r="K181">
        <v>20</v>
      </c>
      <c r="L181">
        <v>20</v>
      </c>
      <c r="M181">
        <v>1745</v>
      </c>
      <c r="N181" s="2">
        <v>83600</v>
      </c>
      <c r="O181" s="2">
        <v>3300</v>
      </c>
      <c r="P181" s="2">
        <v>3300</v>
      </c>
      <c r="Q181" s="2">
        <v>6980</v>
      </c>
      <c r="R181" s="2">
        <v>6600</v>
      </c>
      <c r="S181">
        <v>132</v>
      </c>
      <c r="T181" s="2">
        <v>42900</v>
      </c>
      <c r="U181" s="2">
        <v>40700</v>
      </c>
      <c r="V181">
        <v>140</v>
      </c>
      <c r="W181">
        <v>0</v>
      </c>
      <c r="X181">
        <v>0</v>
      </c>
      <c r="Y181">
        <v>0</v>
      </c>
      <c r="Z181">
        <v>7.6</v>
      </c>
      <c r="AA181">
        <v>5.4441260999999998E-2</v>
      </c>
      <c r="AB181">
        <v>24.7</v>
      </c>
      <c r="AC181">
        <v>11.972638890000001</v>
      </c>
      <c r="AD181">
        <v>21.64</v>
      </c>
      <c r="AE181" s="7"/>
      <c r="AF181" s="7"/>
      <c r="AG181" s="7"/>
      <c r="AH181" s="7"/>
      <c r="AI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2.73611099999993E-2</v>
      </c>
      <c r="AJ181" s="7"/>
      <c r="AK181" t="s">
        <v>193</v>
      </c>
      <c r="AN181">
        <f>IFERROR(INT(Table13[[#This Row],[reject_prod]]/Table13[[#This Row],[part_weight]] * 1000), 0)</f>
        <v>380</v>
      </c>
    </row>
    <row r="182" spans="1:40" hidden="1">
      <c r="A182" s="1">
        <v>46029</v>
      </c>
      <c r="B182">
        <v>1</v>
      </c>
      <c r="C182">
        <v>6</v>
      </c>
      <c r="D182" t="s">
        <v>33</v>
      </c>
      <c r="E182" t="s">
        <v>34</v>
      </c>
      <c r="F182">
        <v>579471</v>
      </c>
      <c r="G182" s="6">
        <v>0</v>
      </c>
      <c r="H182" t="s">
        <v>105</v>
      </c>
      <c r="I182">
        <v>10681843</v>
      </c>
      <c r="J182">
        <v>4</v>
      </c>
      <c r="K182">
        <v>24</v>
      </c>
      <c r="L182">
        <v>24</v>
      </c>
      <c r="M182">
        <v>418</v>
      </c>
      <c r="N182" s="2">
        <v>50400</v>
      </c>
      <c r="O182" s="2">
        <v>1008</v>
      </c>
      <c r="P182" s="2">
        <v>2520</v>
      </c>
      <c r="Q182" s="2">
        <v>1672</v>
      </c>
      <c r="R182">
        <v>0</v>
      </c>
      <c r="S182">
        <v>0</v>
      </c>
      <c r="T182" s="2">
        <v>26712</v>
      </c>
      <c r="U182" s="2">
        <v>23688</v>
      </c>
      <c r="V182">
        <v>40</v>
      </c>
      <c r="W182">
        <v>0</v>
      </c>
      <c r="X182">
        <v>0</v>
      </c>
      <c r="Y182">
        <v>0</v>
      </c>
      <c r="Z182">
        <v>4.5</v>
      </c>
      <c r="AA182">
        <v>0.112141148</v>
      </c>
      <c r="AB182">
        <v>22.1</v>
      </c>
      <c r="AC182">
        <v>2.5660555559999998</v>
      </c>
      <c r="AD182">
        <v>23</v>
      </c>
      <c r="AE182" s="7"/>
      <c r="AF182" s="7"/>
      <c r="AG182" s="7"/>
      <c r="AH182" s="7">
        <v>9</v>
      </c>
      <c r="AI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0.43394444399999976</v>
      </c>
      <c r="AJ182" s="7"/>
      <c r="AK182" t="s">
        <v>194</v>
      </c>
      <c r="AN182">
        <f>IFERROR(INT(Table13[[#This Row],[reject_prod]]/Table13[[#This Row],[part_weight]] * 1000), 0)</f>
        <v>187</v>
      </c>
    </row>
    <row r="183" spans="1:40" hidden="1">
      <c r="A183" s="1">
        <v>46029</v>
      </c>
      <c r="B183">
        <v>1</v>
      </c>
      <c r="C183">
        <v>7</v>
      </c>
      <c r="D183" t="s">
        <v>67</v>
      </c>
      <c r="E183" t="s">
        <v>34</v>
      </c>
      <c r="F183">
        <v>441809</v>
      </c>
      <c r="G183" s="6">
        <v>0</v>
      </c>
      <c r="H183" t="s">
        <v>160</v>
      </c>
      <c r="I183">
        <v>10682759</v>
      </c>
      <c r="J183">
        <v>4</v>
      </c>
      <c r="K183">
        <v>34</v>
      </c>
      <c r="L183">
        <v>33.67</v>
      </c>
      <c r="M183">
        <v>1608</v>
      </c>
      <c r="N183" s="2">
        <v>18432</v>
      </c>
      <c r="O183">
        <v>576</v>
      </c>
      <c r="P183" s="2">
        <v>1152</v>
      </c>
      <c r="Q183" s="2">
        <v>6432</v>
      </c>
      <c r="R183" s="2">
        <v>4608</v>
      </c>
      <c r="S183">
        <v>155</v>
      </c>
      <c r="T183" s="2">
        <v>12672</v>
      </c>
      <c r="U183" s="2">
        <v>5760</v>
      </c>
      <c r="V183">
        <v>217</v>
      </c>
      <c r="W183">
        <v>0</v>
      </c>
      <c r="X183">
        <v>0</v>
      </c>
      <c r="Y183">
        <v>0</v>
      </c>
      <c r="Z183">
        <v>43.5</v>
      </c>
      <c r="AA183">
        <v>0.200863074</v>
      </c>
      <c r="AB183">
        <v>25.1</v>
      </c>
      <c r="AC183">
        <v>11.21133333</v>
      </c>
      <c r="AD183">
        <v>18</v>
      </c>
      <c r="AE183" s="7"/>
      <c r="AF183" s="7"/>
      <c r="AG183" s="7"/>
      <c r="AH183" s="7"/>
      <c r="AI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0.78866666999999957</v>
      </c>
      <c r="AJ183" s="7"/>
      <c r="AK183" t="s">
        <v>195</v>
      </c>
      <c r="AN183">
        <f>IFERROR(INT(Table13[[#This Row],[reject_prod]]/Table13[[#This Row],[part_weight]] * 1000), 0)</f>
        <v>1291</v>
      </c>
    </row>
    <row r="184" spans="1:40" hidden="1">
      <c r="A184" s="1">
        <v>46029</v>
      </c>
      <c r="B184">
        <v>1</v>
      </c>
      <c r="C184">
        <v>8</v>
      </c>
      <c r="F184">
        <v>123456</v>
      </c>
      <c r="G184" s="6">
        <v>0</v>
      </c>
      <c r="M184">
        <v>0</v>
      </c>
      <c r="N184">
        <v>0</v>
      </c>
      <c r="O184">
        <v>0</v>
      </c>
      <c r="P184">
        <v>0</v>
      </c>
      <c r="R184">
        <v>0</v>
      </c>
      <c r="T184">
        <v>0</v>
      </c>
      <c r="X184">
        <v>0</v>
      </c>
      <c r="Z184">
        <v>0</v>
      </c>
      <c r="AB184">
        <v>0</v>
      </c>
      <c r="AC184">
        <v>0</v>
      </c>
      <c r="AD184">
        <v>22.5</v>
      </c>
      <c r="AE184" s="7"/>
      <c r="AF184" s="7"/>
      <c r="AG184" s="7"/>
      <c r="AH184" s="7"/>
      <c r="AI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" s="7">
        <v>12</v>
      </c>
      <c r="AK184" t="s">
        <v>116</v>
      </c>
      <c r="AN184">
        <f>IFERROR(INT(Table13[[#This Row],[reject_prod]]/Table13[[#This Row],[part_weight]] * 1000), 0)</f>
        <v>0</v>
      </c>
    </row>
    <row r="185" spans="1:40" hidden="1">
      <c r="A185" s="1">
        <v>46029</v>
      </c>
      <c r="B185">
        <v>1</v>
      </c>
      <c r="C185">
        <v>9</v>
      </c>
      <c r="D185" t="s">
        <v>61</v>
      </c>
      <c r="E185" t="s">
        <v>46</v>
      </c>
      <c r="F185">
        <v>586276</v>
      </c>
      <c r="G185" s="6">
        <v>0</v>
      </c>
      <c r="H185" t="s">
        <v>47</v>
      </c>
      <c r="I185">
        <v>10682923</v>
      </c>
      <c r="J185">
        <v>6</v>
      </c>
      <c r="K185">
        <v>12.3</v>
      </c>
      <c r="L185">
        <v>12.3</v>
      </c>
      <c r="M185">
        <v>1630</v>
      </c>
      <c r="N185" s="2">
        <v>162000</v>
      </c>
      <c r="O185" s="2">
        <v>6885</v>
      </c>
      <c r="P185">
        <v>405</v>
      </c>
      <c r="Q185" s="2">
        <v>9780</v>
      </c>
      <c r="R185" s="2">
        <v>16200</v>
      </c>
      <c r="S185">
        <v>199</v>
      </c>
      <c r="T185" s="2">
        <v>121905</v>
      </c>
      <c r="U185" s="2">
        <v>40095</v>
      </c>
      <c r="V185">
        <v>120</v>
      </c>
      <c r="W185">
        <v>0</v>
      </c>
      <c r="X185">
        <v>0</v>
      </c>
      <c r="Y185">
        <v>0</v>
      </c>
      <c r="Z185">
        <v>1</v>
      </c>
      <c r="AA185">
        <v>8.3129669999999992E-3</v>
      </c>
      <c r="AB185">
        <v>26.2</v>
      </c>
      <c r="AC185">
        <v>11.86277778</v>
      </c>
      <c r="AD185">
        <v>26</v>
      </c>
      <c r="AE185" s="7"/>
      <c r="AF185" s="7"/>
      <c r="AG185" s="7"/>
      <c r="AH185" s="7"/>
      <c r="AI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185" s="7"/>
      <c r="AK185" t="s">
        <v>51</v>
      </c>
      <c r="AN185">
        <f>IFERROR(INT(Table13[[#This Row],[reject_prod]]/Table13[[#This Row],[part_weight]] * 1000), 0)</f>
        <v>81</v>
      </c>
    </row>
    <row r="186" spans="1:40" hidden="1">
      <c r="A186" s="1">
        <v>46029</v>
      </c>
      <c r="B186">
        <v>1</v>
      </c>
      <c r="C186">
        <v>10</v>
      </c>
      <c r="D186" t="s">
        <v>196</v>
      </c>
      <c r="E186" t="s">
        <v>41</v>
      </c>
      <c r="F186">
        <v>593537</v>
      </c>
      <c r="G186" s="6">
        <v>0</v>
      </c>
      <c r="H186" t="s">
        <v>48</v>
      </c>
      <c r="I186">
        <v>10682925</v>
      </c>
      <c r="J186">
        <v>4</v>
      </c>
      <c r="K186">
        <v>56.5</v>
      </c>
      <c r="L186">
        <v>56.8</v>
      </c>
      <c r="M186">
        <v>1315</v>
      </c>
      <c r="N186" s="2">
        <v>69000</v>
      </c>
      <c r="O186">
        <v>115</v>
      </c>
      <c r="P186">
        <v>115</v>
      </c>
      <c r="Q186" s="2">
        <v>5260</v>
      </c>
      <c r="R186" s="2">
        <v>5175</v>
      </c>
      <c r="S186">
        <v>294</v>
      </c>
      <c r="T186" s="2">
        <v>33350</v>
      </c>
      <c r="U186" s="2">
        <v>35650</v>
      </c>
      <c r="V186">
        <v>299</v>
      </c>
      <c r="W186">
        <v>0</v>
      </c>
      <c r="X186">
        <v>0</v>
      </c>
      <c r="Y186">
        <v>0</v>
      </c>
      <c r="Z186">
        <v>4.5999999999999996</v>
      </c>
      <c r="AA186">
        <v>1.5396562000000001E-2</v>
      </c>
      <c r="AB186">
        <v>31.7</v>
      </c>
      <c r="AC186">
        <v>11.57930556</v>
      </c>
      <c r="AD186">
        <v>28.5</v>
      </c>
      <c r="AE186" s="7"/>
      <c r="AF186" s="7"/>
      <c r="AG186" s="7"/>
      <c r="AH186" s="7"/>
      <c r="AI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0.42069444000000011</v>
      </c>
      <c r="AJ186" s="7"/>
      <c r="AK186" t="s">
        <v>197</v>
      </c>
      <c r="AN186">
        <f>IFERROR(INT(Table13[[#This Row],[reject_prod]]/Table13[[#This Row],[part_weight]] * 1000), 0)</f>
        <v>80</v>
      </c>
    </row>
    <row r="187" spans="1:40" hidden="1">
      <c r="A187" s="1">
        <v>46029</v>
      </c>
      <c r="B187">
        <v>1</v>
      </c>
      <c r="C187">
        <v>11</v>
      </c>
      <c r="D187" t="s">
        <v>112</v>
      </c>
      <c r="E187" t="s">
        <v>46</v>
      </c>
      <c r="F187">
        <v>552181</v>
      </c>
      <c r="G187" s="6">
        <v>1</v>
      </c>
      <c r="H187" t="s">
        <v>49</v>
      </c>
      <c r="I187">
        <v>10682927</v>
      </c>
      <c r="J187">
        <v>6</v>
      </c>
      <c r="K187">
        <v>18.8</v>
      </c>
      <c r="L187">
        <v>18.8</v>
      </c>
      <c r="M187">
        <v>1534</v>
      </c>
      <c r="N187" s="2">
        <v>108000</v>
      </c>
      <c r="O187" s="2">
        <v>4050</v>
      </c>
      <c r="P187" s="2">
        <v>10260</v>
      </c>
      <c r="Q187" s="2">
        <v>9204</v>
      </c>
      <c r="R187" s="2">
        <v>10800</v>
      </c>
      <c r="S187">
        <v>203</v>
      </c>
      <c r="T187" s="2">
        <v>21060</v>
      </c>
      <c r="U187" s="2">
        <v>86940</v>
      </c>
      <c r="V187">
        <v>173</v>
      </c>
      <c r="W187">
        <v>0</v>
      </c>
      <c r="X187">
        <v>0</v>
      </c>
      <c r="Y187">
        <v>0</v>
      </c>
      <c r="Z187">
        <v>1.1000000000000001</v>
      </c>
      <c r="AA187">
        <v>6.3570880000000003E-3</v>
      </c>
      <c r="AB187">
        <v>27.6</v>
      </c>
      <c r="AC187">
        <v>11.760666670000001</v>
      </c>
      <c r="AD187">
        <v>27</v>
      </c>
      <c r="AE187" s="7"/>
      <c r="AF187" s="7"/>
      <c r="AG187" s="7"/>
      <c r="AH187" s="7"/>
      <c r="AI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0.23933332999999912</v>
      </c>
      <c r="AJ187" s="7"/>
      <c r="AK187" t="s">
        <v>176</v>
      </c>
      <c r="AN187">
        <f>IFERROR(INT(Table13[[#This Row],[reject_prod]]/Table13[[#This Row],[part_weight]] * 1000), 0)</f>
        <v>58</v>
      </c>
    </row>
    <row r="188" spans="1:40" hidden="1">
      <c r="A188" s="1">
        <v>46029</v>
      </c>
      <c r="B188">
        <v>1</v>
      </c>
      <c r="C188">
        <v>12</v>
      </c>
      <c r="D188" t="s">
        <v>43</v>
      </c>
      <c r="E188" t="s">
        <v>34</v>
      </c>
      <c r="F188">
        <v>620599</v>
      </c>
      <c r="G188" s="6">
        <v>0</v>
      </c>
      <c r="H188" t="s">
        <v>50</v>
      </c>
      <c r="I188">
        <v>10682928</v>
      </c>
      <c r="J188">
        <v>4</v>
      </c>
      <c r="K188">
        <v>55</v>
      </c>
      <c r="L188">
        <v>55</v>
      </c>
      <c r="M188">
        <v>1540</v>
      </c>
      <c r="N188" s="2">
        <v>72000</v>
      </c>
      <c r="O188" s="2">
        <v>1575</v>
      </c>
      <c r="P188">
        <v>450</v>
      </c>
      <c r="Q188" s="2">
        <v>6160</v>
      </c>
      <c r="R188" s="2">
        <v>7200</v>
      </c>
      <c r="S188">
        <v>396</v>
      </c>
      <c r="T188" s="2">
        <v>34650</v>
      </c>
      <c r="U188" s="2">
        <v>37350</v>
      </c>
      <c r="V188">
        <v>339</v>
      </c>
      <c r="W188">
        <v>0</v>
      </c>
      <c r="X188">
        <v>0</v>
      </c>
      <c r="Y188">
        <v>0</v>
      </c>
      <c r="Z188">
        <v>4.5999999999999996</v>
      </c>
      <c r="AA188">
        <v>1.3577331999999999E-2</v>
      </c>
      <c r="AB188">
        <v>28</v>
      </c>
      <c r="AC188">
        <v>11.97777778</v>
      </c>
      <c r="AD188">
        <v>28</v>
      </c>
      <c r="AE188" s="7"/>
      <c r="AF188" s="7"/>
      <c r="AG188" s="7"/>
      <c r="AH188" s="7"/>
      <c r="AI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188" s="7"/>
      <c r="AK188" t="s">
        <v>178</v>
      </c>
      <c r="AN188">
        <f>IFERROR(INT(Table13[[#This Row],[reject_prod]]/Table13[[#This Row],[part_weight]] * 1000), 0)</f>
        <v>83</v>
      </c>
    </row>
    <row r="189" spans="1:40" hidden="1">
      <c r="A189" s="1">
        <v>46029</v>
      </c>
      <c r="B189">
        <v>1</v>
      </c>
      <c r="C189">
        <v>13</v>
      </c>
      <c r="D189" t="s">
        <v>112</v>
      </c>
      <c r="E189" t="s">
        <v>46</v>
      </c>
      <c r="F189">
        <v>586276</v>
      </c>
      <c r="G189" s="6">
        <v>0</v>
      </c>
      <c r="H189" t="s">
        <v>47</v>
      </c>
      <c r="I189">
        <v>10682930</v>
      </c>
      <c r="J189">
        <v>6</v>
      </c>
      <c r="K189">
        <v>12.3</v>
      </c>
      <c r="L189">
        <v>12.3</v>
      </c>
      <c r="M189">
        <v>1649</v>
      </c>
      <c r="N189" s="2">
        <v>162000</v>
      </c>
      <c r="O189" s="2">
        <v>4050</v>
      </c>
      <c r="P189" s="2">
        <v>5670</v>
      </c>
      <c r="Q189" s="2">
        <v>9894</v>
      </c>
      <c r="R189" s="2">
        <v>8100</v>
      </c>
      <c r="S189">
        <v>100</v>
      </c>
      <c r="T189" s="2">
        <v>62370</v>
      </c>
      <c r="U189" s="2">
        <v>99630</v>
      </c>
      <c r="V189">
        <v>122</v>
      </c>
      <c r="W189">
        <v>0</v>
      </c>
      <c r="X189">
        <v>0</v>
      </c>
      <c r="Y189">
        <v>0</v>
      </c>
      <c r="Z189">
        <v>2.1</v>
      </c>
      <c r="AA189">
        <v>1.7256085000000001E-2</v>
      </c>
      <c r="AB189">
        <v>26</v>
      </c>
      <c r="AC189">
        <v>11.90944444</v>
      </c>
      <c r="AD189">
        <v>26</v>
      </c>
      <c r="AE189" s="7"/>
      <c r="AF189" s="7"/>
      <c r="AG189" s="7"/>
      <c r="AH189" s="7"/>
      <c r="AI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9.0555560000000312E-2</v>
      </c>
      <c r="AJ189" s="7"/>
      <c r="AK189" t="s">
        <v>51</v>
      </c>
      <c r="AN189">
        <f>IFERROR(INT(Table13[[#This Row],[reject_prod]]/Table13[[#This Row],[part_weight]] * 1000), 0)</f>
        <v>170</v>
      </c>
    </row>
    <row r="190" spans="1:40" hidden="1">
      <c r="A190" s="1">
        <v>46029</v>
      </c>
      <c r="B190">
        <v>1</v>
      </c>
      <c r="C190">
        <v>14</v>
      </c>
      <c r="D190" t="s">
        <v>141</v>
      </c>
      <c r="E190" t="s">
        <v>46</v>
      </c>
      <c r="F190">
        <v>555979</v>
      </c>
      <c r="G190" s="6">
        <v>1</v>
      </c>
      <c r="H190" t="s">
        <v>52</v>
      </c>
      <c r="I190">
        <v>10682931</v>
      </c>
      <c r="J190">
        <v>6</v>
      </c>
      <c r="K190">
        <v>28</v>
      </c>
      <c r="L190">
        <v>28</v>
      </c>
      <c r="M190">
        <v>978</v>
      </c>
      <c r="N190" s="2">
        <v>100800</v>
      </c>
      <c r="O190" s="2">
        <v>1680</v>
      </c>
      <c r="P190" s="2">
        <v>4032</v>
      </c>
      <c r="Q190" s="2">
        <v>5868</v>
      </c>
      <c r="R190" s="2">
        <v>3360</v>
      </c>
      <c r="S190">
        <v>94</v>
      </c>
      <c r="T190" s="2">
        <v>94752</v>
      </c>
      <c r="U190" s="2">
        <v>6048</v>
      </c>
      <c r="V190">
        <v>164</v>
      </c>
      <c r="W190">
        <v>0</v>
      </c>
      <c r="X190">
        <v>0</v>
      </c>
      <c r="Y190">
        <v>0</v>
      </c>
      <c r="Z190">
        <v>4.3</v>
      </c>
      <c r="AA190">
        <v>2.6171E-2</v>
      </c>
      <c r="AB190">
        <v>43.6</v>
      </c>
      <c r="AC190">
        <v>11.844666670000001</v>
      </c>
      <c r="AD190">
        <v>42</v>
      </c>
      <c r="AE190" s="7"/>
      <c r="AF190" s="7"/>
      <c r="AG190" s="7"/>
      <c r="AH190" s="7"/>
      <c r="AI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0.15533332999999949</v>
      </c>
      <c r="AJ190" s="7"/>
      <c r="AK190" t="s">
        <v>198</v>
      </c>
      <c r="AN190">
        <f>IFERROR(INT(Table13[[#This Row],[reject_prod]]/Table13[[#This Row],[part_weight]] * 1000), 0)</f>
        <v>153</v>
      </c>
    </row>
    <row r="191" spans="1:40" hidden="1">
      <c r="A191" s="1">
        <v>46029</v>
      </c>
      <c r="B191">
        <v>1</v>
      </c>
      <c r="C191">
        <v>15</v>
      </c>
      <c r="D191" t="s">
        <v>112</v>
      </c>
      <c r="E191" t="s">
        <v>46</v>
      </c>
      <c r="F191">
        <v>552181</v>
      </c>
      <c r="G191" s="6">
        <v>2</v>
      </c>
      <c r="H191" t="s">
        <v>49</v>
      </c>
      <c r="I191">
        <v>10682933</v>
      </c>
      <c r="J191">
        <v>6</v>
      </c>
      <c r="K191">
        <v>18.8</v>
      </c>
      <c r="L191">
        <v>18.8</v>
      </c>
      <c r="M191">
        <v>0</v>
      </c>
      <c r="N191" s="2">
        <v>108000</v>
      </c>
      <c r="O191" s="2">
        <v>10800</v>
      </c>
      <c r="P191">
        <v>0</v>
      </c>
      <c r="Q191">
        <v>0</v>
      </c>
      <c r="R191" s="2">
        <v>10800</v>
      </c>
      <c r="S191">
        <v>203</v>
      </c>
      <c r="T191" s="2">
        <v>108000</v>
      </c>
      <c r="U191">
        <v>0</v>
      </c>
      <c r="V191">
        <v>0</v>
      </c>
      <c r="W191">
        <v>0</v>
      </c>
      <c r="X191">
        <v>0</v>
      </c>
      <c r="Y191" t="e">
        <v>#DIV/0!</v>
      </c>
      <c r="Z191">
        <v>0</v>
      </c>
      <c r="AA191" t="e">
        <v>#DIV/0!</v>
      </c>
      <c r="AB191">
        <v>0</v>
      </c>
      <c r="AC191">
        <v>0</v>
      </c>
      <c r="AD191">
        <v>27</v>
      </c>
      <c r="AE191" s="7"/>
      <c r="AF191" s="7"/>
      <c r="AG191" s="7"/>
      <c r="AH191" s="7"/>
      <c r="AI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1" s="7"/>
      <c r="AK191" t="s">
        <v>102</v>
      </c>
      <c r="AN191">
        <f>IFERROR(INT(Table13[[#This Row],[reject_prod]]/Table13[[#This Row],[part_weight]] * 1000), 0)</f>
        <v>0</v>
      </c>
    </row>
    <row r="192" spans="1:40" hidden="1">
      <c r="A192" s="1">
        <v>46029</v>
      </c>
      <c r="B192">
        <v>1</v>
      </c>
      <c r="C192">
        <v>15</v>
      </c>
      <c r="D192" t="s">
        <v>112</v>
      </c>
      <c r="E192" t="s">
        <v>46</v>
      </c>
      <c r="F192">
        <v>552181</v>
      </c>
      <c r="G192" s="6">
        <v>2</v>
      </c>
      <c r="H192" t="s">
        <v>49</v>
      </c>
      <c r="I192">
        <v>10682933</v>
      </c>
      <c r="J192">
        <v>6</v>
      </c>
      <c r="K192">
        <v>18.8</v>
      </c>
      <c r="L192">
        <v>18.8</v>
      </c>
      <c r="M192">
        <v>1365</v>
      </c>
      <c r="N192" s="2">
        <v>108000</v>
      </c>
      <c r="O192">
        <v>0</v>
      </c>
      <c r="P192" s="2">
        <v>10530</v>
      </c>
      <c r="Q192" s="2">
        <v>8190</v>
      </c>
      <c r="R192">
        <v>0</v>
      </c>
      <c r="S192">
        <v>0</v>
      </c>
      <c r="T192" s="2">
        <v>10530</v>
      </c>
      <c r="U192" s="2">
        <v>97470</v>
      </c>
      <c r="V192">
        <v>154</v>
      </c>
      <c r="W192">
        <v>0</v>
      </c>
      <c r="X192">
        <v>0</v>
      </c>
      <c r="Y192">
        <v>0</v>
      </c>
      <c r="Z192">
        <v>3.1</v>
      </c>
      <c r="AA192">
        <v>2.0133531E-2</v>
      </c>
      <c r="AB192">
        <v>31.2</v>
      </c>
      <c r="AC192">
        <v>11.83</v>
      </c>
      <c r="AD192">
        <v>27</v>
      </c>
      <c r="AE192" s="7"/>
      <c r="AF192" s="7"/>
      <c r="AG192" s="7"/>
      <c r="AH192" s="7"/>
      <c r="AI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192" s="7"/>
      <c r="AK192" t="s">
        <v>176</v>
      </c>
      <c r="AN192">
        <f>IFERROR(INT(Table13[[#This Row],[reject_prod]]/Table13[[#This Row],[part_weight]] * 1000), 0)</f>
        <v>164</v>
      </c>
    </row>
    <row r="193" spans="1:40" hidden="1">
      <c r="A193" s="1">
        <v>46029</v>
      </c>
      <c r="B193">
        <v>2</v>
      </c>
      <c r="C193">
        <v>16</v>
      </c>
      <c r="D193" t="s">
        <v>40</v>
      </c>
      <c r="E193" t="s">
        <v>46</v>
      </c>
      <c r="F193">
        <v>555979</v>
      </c>
      <c r="G193" s="6">
        <v>2</v>
      </c>
      <c r="H193" t="s">
        <v>52</v>
      </c>
      <c r="I193">
        <v>10682935</v>
      </c>
      <c r="J193">
        <v>6</v>
      </c>
      <c r="K193">
        <v>28</v>
      </c>
      <c r="L193">
        <v>28</v>
      </c>
      <c r="M193">
        <v>988</v>
      </c>
      <c r="N193" s="2">
        <v>100800</v>
      </c>
      <c r="O193">
        <v>0</v>
      </c>
      <c r="P193" s="2">
        <v>2520</v>
      </c>
      <c r="Q193" s="2">
        <v>5928</v>
      </c>
      <c r="R193" s="2">
        <v>3360</v>
      </c>
      <c r="S193">
        <v>94</v>
      </c>
      <c r="T193" s="2">
        <v>33600</v>
      </c>
      <c r="U193" s="2">
        <v>67200</v>
      </c>
      <c r="V193">
        <v>166</v>
      </c>
      <c r="W193">
        <v>0</v>
      </c>
      <c r="X193">
        <v>0</v>
      </c>
      <c r="Y193">
        <v>0</v>
      </c>
      <c r="Z193">
        <v>1.3</v>
      </c>
      <c r="AA193">
        <v>7.8320799999999999E-3</v>
      </c>
      <c r="AB193">
        <v>43.7</v>
      </c>
      <c r="AC193">
        <v>11.99322222</v>
      </c>
      <c r="AD193">
        <v>42</v>
      </c>
      <c r="AE193" s="7"/>
      <c r="AF193" s="7"/>
      <c r="AG193" s="7"/>
      <c r="AH193" s="7"/>
      <c r="AI1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6.7777800000001776E-3</v>
      </c>
      <c r="AJ193" s="7"/>
      <c r="AK193" t="s">
        <v>51</v>
      </c>
      <c r="AN193">
        <f>IFERROR(INT(Table13[[#This Row],[reject_prod]]/Table13[[#This Row],[part_weight]] * 1000), 0)</f>
        <v>46</v>
      </c>
    </row>
    <row r="194" spans="1:40" hidden="1">
      <c r="A194" s="1">
        <v>46029</v>
      </c>
      <c r="B194">
        <v>2</v>
      </c>
      <c r="C194">
        <v>1</v>
      </c>
      <c r="D194" t="s">
        <v>84</v>
      </c>
      <c r="E194" t="s">
        <v>34</v>
      </c>
      <c r="F194">
        <v>365091</v>
      </c>
      <c r="G194" s="6">
        <v>0</v>
      </c>
      <c r="H194" t="s">
        <v>189</v>
      </c>
      <c r="I194">
        <v>10682753</v>
      </c>
      <c r="J194">
        <v>4</v>
      </c>
      <c r="K194">
        <v>44</v>
      </c>
      <c r="L194">
        <v>44</v>
      </c>
      <c r="M194">
        <v>350</v>
      </c>
      <c r="N194" s="2">
        <v>66885</v>
      </c>
      <c r="O194">
        <v>0</v>
      </c>
      <c r="P194">
        <v>0</v>
      </c>
      <c r="Q194" s="2">
        <v>1400</v>
      </c>
      <c r="R194" s="2">
        <v>1260</v>
      </c>
      <c r="S194">
        <v>55</v>
      </c>
      <c r="T194" s="2">
        <v>1260</v>
      </c>
      <c r="U194" s="2">
        <v>65625</v>
      </c>
      <c r="V194">
        <v>62</v>
      </c>
      <c r="W194">
        <v>0</v>
      </c>
      <c r="X194">
        <v>19</v>
      </c>
      <c r="Y194">
        <v>0.308441558</v>
      </c>
      <c r="Z194">
        <v>1</v>
      </c>
      <c r="AA194">
        <v>1.6233766E-2</v>
      </c>
      <c r="AB194">
        <v>27.67</v>
      </c>
      <c r="AC194">
        <v>2.690138889</v>
      </c>
      <c r="AD194">
        <v>28.64</v>
      </c>
      <c r="AE194" s="7">
        <v>4</v>
      </c>
      <c r="AF194" s="7"/>
      <c r="AG194" s="7"/>
      <c r="AH194" s="7"/>
      <c r="AI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5.309861111</v>
      </c>
      <c r="AJ194" s="7"/>
      <c r="AK194" t="s">
        <v>199</v>
      </c>
      <c r="AN194">
        <f>IFERROR(INT(Table13[[#This Row],[reject_prod]]/Table13[[#This Row],[part_weight]] * 1000), 0)</f>
        <v>22</v>
      </c>
    </row>
    <row r="195" spans="1:40" hidden="1">
      <c r="A195" s="1">
        <v>46029</v>
      </c>
      <c r="B195">
        <v>2</v>
      </c>
      <c r="C195">
        <v>2</v>
      </c>
      <c r="D195" t="s">
        <v>59</v>
      </c>
      <c r="E195" t="s">
        <v>34</v>
      </c>
      <c r="F195">
        <v>423215</v>
      </c>
      <c r="G195" s="6">
        <v>0</v>
      </c>
      <c r="H195" t="s">
        <v>156</v>
      </c>
      <c r="I195">
        <v>10682755</v>
      </c>
      <c r="J195">
        <v>4</v>
      </c>
      <c r="K195">
        <v>24</v>
      </c>
      <c r="L195">
        <v>24</v>
      </c>
      <c r="M195">
        <v>1620</v>
      </c>
      <c r="N195" s="2">
        <v>89112</v>
      </c>
      <c r="O195" s="2">
        <v>1974</v>
      </c>
      <c r="P195" s="2">
        <v>1692</v>
      </c>
      <c r="Q195" s="2">
        <v>6480</v>
      </c>
      <c r="R195" s="2">
        <v>6768</v>
      </c>
      <c r="S195">
        <v>162</v>
      </c>
      <c r="T195" s="2">
        <v>25380</v>
      </c>
      <c r="U195" s="2">
        <v>63732</v>
      </c>
      <c r="V195">
        <v>156</v>
      </c>
      <c r="W195">
        <v>0</v>
      </c>
      <c r="X195">
        <v>0</v>
      </c>
      <c r="Y195">
        <v>0</v>
      </c>
      <c r="Z195">
        <v>5</v>
      </c>
      <c r="AA195">
        <v>3.2150206000000001E-2</v>
      </c>
      <c r="AB195">
        <v>26.8</v>
      </c>
      <c r="AC195">
        <v>12</v>
      </c>
      <c r="AD195">
        <v>22</v>
      </c>
      <c r="AE195" s="7"/>
      <c r="AF195" s="7"/>
      <c r="AG195" s="7"/>
      <c r="AH195" s="7"/>
      <c r="AI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" s="7"/>
      <c r="AK195" t="s">
        <v>200</v>
      </c>
      <c r="AN195">
        <f>IFERROR(INT(Table13[[#This Row],[reject_prod]]/Table13[[#This Row],[part_weight]] * 1000), 0)</f>
        <v>208</v>
      </c>
    </row>
    <row r="196" spans="1:40" hidden="1">
      <c r="A196" s="1">
        <v>46029</v>
      </c>
      <c r="B196">
        <v>2</v>
      </c>
      <c r="C196">
        <v>3</v>
      </c>
      <c r="D196" t="s">
        <v>201</v>
      </c>
      <c r="E196" t="s">
        <v>34</v>
      </c>
      <c r="F196">
        <v>442034</v>
      </c>
      <c r="G196" s="6">
        <v>0</v>
      </c>
      <c r="H196" t="s">
        <v>37</v>
      </c>
      <c r="I196">
        <v>10681183</v>
      </c>
      <c r="J196">
        <v>4</v>
      </c>
      <c r="K196">
        <v>23</v>
      </c>
      <c r="L196">
        <v>23</v>
      </c>
      <c r="M196">
        <v>1632</v>
      </c>
      <c r="N196" s="2">
        <v>139776</v>
      </c>
      <c r="O196" s="2">
        <v>3840</v>
      </c>
      <c r="P196" s="2">
        <v>1152</v>
      </c>
      <c r="Q196" s="2">
        <v>6528</v>
      </c>
      <c r="R196" s="2">
        <v>9216</v>
      </c>
      <c r="S196">
        <v>212</v>
      </c>
      <c r="T196" s="2">
        <v>24192</v>
      </c>
      <c r="U196" s="2">
        <v>115584</v>
      </c>
      <c r="V196">
        <v>150</v>
      </c>
      <c r="W196">
        <v>0</v>
      </c>
      <c r="X196">
        <v>0</v>
      </c>
      <c r="Y196">
        <v>0</v>
      </c>
      <c r="Z196">
        <v>1</v>
      </c>
      <c r="AA196">
        <v>6.6602730000000004E-3</v>
      </c>
      <c r="AB196">
        <v>25.9</v>
      </c>
      <c r="AC196">
        <v>11.74133333</v>
      </c>
      <c r="AD196">
        <v>22</v>
      </c>
      <c r="AE196" s="7"/>
      <c r="AF196" s="7"/>
      <c r="AG196" s="7"/>
      <c r="AH196" s="7"/>
      <c r="AI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196" s="7"/>
      <c r="AK196" t="s">
        <v>75</v>
      </c>
      <c r="AN196">
        <f>IFERROR(INT(Table13[[#This Row],[reject_prod]]/Table13[[#This Row],[part_weight]] * 1000), 0)</f>
        <v>43</v>
      </c>
    </row>
    <row r="197" spans="1:40" hidden="1">
      <c r="A197" s="1">
        <v>46029</v>
      </c>
      <c r="B197">
        <v>2</v>
      </c>
      <c r="C197">
        <v>4</v>
      </c>
      <c r="F197">
        <v>123456</v>
      </c>
      <c r="G197" s="6">
        <v>0</v>
      </c>
      <c r="M197">
        <v>0</v>
      </c>
      <c r="N197">
        <v>0</v>
      </c>
      <c r="O197">
        <v>0</v>
      </c>
      <c r="P197">
        <v>0</v>
      </c>
      <c r="R197">
        <v>0</v>
      </c>
      <c r="T197">
        <v>0</v>
      </c>
      <c r="X197">
        <v>0</v>
      </c>
      <c r="Z197">
        <v>0</v>
      </c>
      <c r="AB197">
        <v>0</v>
      </c>
      <c r="AC197">
        <v>0</v>
      </c>
      <c r="AD197">
        <v>22.5</v>
      </c>
      <c r="AE197" s="7"/>
      <c r="AF197" s="7"/>
      <c r="AG197" s="7"/>
      <c r="AH197" s="7"/>
      <c r="AI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7" s="7">
        <v>12</v>
      </c>
      <c r="AK197" t="s">
        <v>116</v>
      </c>
      <c r="AN197">
        <f>IFERROR(INT(Table13[[#This Row],[reject_prod]]/Table13[[#This Row],[part_weight]] * 1000), 0)</f>
        <v>0</v>
      </c>
    </row>
    <row r="198" spans="1:40" hidden="1">
      <c r="A198" s="1">
        <v>46029</v>
      </c>
      <c r="B198">
        <v>2</v>
      </c>
      <c r="C198">
        <v>5</v>
      </c>
      <c r="D198" t="s">
        <v>58</v>
      </c>
      <c r="E198" t="s">
        <v>34</v>
      </c>
      <c r="F198">
        <v>611949</v>
      </c>
      <c r="G198" s="6">
        <v>0</v>
      </c>
      <c r="H198" t="s">
        <v>38</v>
      </c>
      <c r="I198">
        <v>10680235</v>
      </c>
      <c r="J198">
        <v>4</v>
      </c>
      <c r="K198">
        <v>20</v>
      </c>
      <c r="L198">
        <v>20</v>
      </c>
      <c r="M198">
        <v>1660</v>
      </c>
      <c r="N198" s="2">
        <v>83600</v>
      </c>
      <c r="O198" s="2">
        <v>3300</v>
      </c>
      <c r="P198" s="2">
        <v>3300</v>
      </c>
      <c r="Q198" s="2">
        <v>6640</v>
      </c>
      <c r="R198" s="2">
        <v>6600</v>
      </c>
      <c r="S198">
        <v>132</v>
      </c>
      <c r="T198" s="2">
        <v>49500</v>
      </c>
      <c r="U198" s="2">
        <v>34100</v>
      </c>
      <c r="V198">
        <v>133</v>
      </c>
      <c r="W198">
        <v>0</v>
      </c>
      <c r="X198">
        <v>0</v>
      </c>
      <c r="Y198">
        <v>0</v>
      </c>
      <c r="Z198">
        <v>4</v>
      </c>
      <c r="AA198">
        <v>3.0120482000000001E-2</v>
      </c>
      <c r="AB198">
        <v>24.7</v>
      </c>
      <c r="AC198">
        <v>11.38944444</v>
      </c>
      <c r="AD198">
        <v>21.64</v>
      </c>
      <c r="AE198" s="7"/>
      <c r="AF198" s="7"/>
      <c r="AG198" s="7"/>
      <c r="AH198" s="7"/>
      <c r="AI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0.61055555999999989</v>
      </c>
      <c r="AJ198" s="7"/>
      <c r="AK198" t="s">
        <v>202</v>
      </c>
      <c r="AN198">
        <f>IFERROR(INT(Table13[[#This Row],[reject_prod]]/Table13[[#This Row],[part_weight]] * 1000), 0)</f>
        <v>200</v>
      </c>
    </row>
    <row r="199" spans="1:40" hidden="1">
      <c r="A199" s="1">
        <v>46029</v>
      </c>
      <c r="B199">
        <v>2</v>
      </c>
      <c r="C199">
        <v>6</v>
      </c>
      <c r="D199" t="s">
        <v>203</v>
      </c>
      <c r="E199" t="s">
        <v>34</v>
      </c>
      <c r="F199">
        <v>579471</v>
      </c>
      <c r="G199" s="6">
        <v>0</v>
      </c>
      <c r="H199" t="s">
        <v>105</v>
      </c>
      <c r="I199">
        <v>10681843</v>
      </c>
      <c r="J199">
        <v>4</v>
      </c>
      <c r="K199">
        <v>24</v>
      </c>
      <c r="L199">
        <v>24</v>
      </c>
      <c r="M199">
        <v>1640</v>
      </c>
      <c r="N199" s="2">
        <v>50400</v>
      </c>
      <c r="O199" s="2">
        <v>2520</v>
      </c>
      <c r="P199" s="2">
        <v>3024</v>
      </c>
      <c r="Q199" s="2">
        <v>6560</v>
      </c>
      <c r="R199" s="2">
        <v>6048</v>
      </c>
      <c r="S199">
        <v>145</v>
      </c>
      <c r="T199" s="2">
        <v>33264</v>
      </c>
      <c r="U199" s="2">
        <v>17136</v>
      </c>
      <c r="V199">
        <v>157</v>
      </c>
      <c r="W199">
        <v>0</v>
      </c>
      <c r="X199">
        <v>0</v>
      </c>
      <c r="Y199">
        <v>0</v>
      </c>
      <c r="Z199">
        <v>12</v>
      </c>
      <c r="AA199">
        <v>7.6219512000000003E-2</v>
      </c>
      <c r="AB199">
        <v>22.1</v>
      </c>
      <c r="AC199">
        <v>10.06777778</v>
      </c>
      <c r="AD199">
        <v>23</v>
      </c>
      <c r="AE199" s="7"/>
      <c r="AF199" s="7"/>
      <c r="AG199" s="7"/>
      <c r="AH199" s="7"/>
      <c r="AI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1.9322222199999999</v>
      </c>
      <c r="AJ199" s="7"/>
      <c r="AK199" t="s">
        <v>204</v>
      </c>
      <c r="AN199">
        <f>IFERROR(INT(Table13[[#This Row],[reject_prod]]/Table13[[#This Row],[part_weight]] * 1000), 0)</f>
        <v>500</v>
      </c>
    </row>
    <row r="200" spans="1:40" hidden="1">
      <c r="A200" s="1">
        <v>46029</v>
      </c>
      <c r="B200">
        <v>2</v>
      </c>
      <c r="C200">
        <v>7</v>
      </c>
      <c r="D200" t="s">
        <v>124</v>
      </c>
      <c r="E200" t="s">
        <v>34</v>
      </c>
      <c r="F200">
        <v>441809</v>
      </c>
      <c r="G200" s="6">
        <v>0</v>
      </c>
      <c r="H200" t="s">
        <v>160</v>
      </c>
      <c r="I200">
        <v>10682759</v>
      </c>
      <c r="J200">
        <v>4</v>
      </c>
      <c r="K200">
        <v>34</v>
      </c>
      <c r="L200">
        <v>33.67</v>
      </c>
      <c r="M200">
        <v>1510</v>
      </c>
      <c r="N200" s="2">
        <v>18432</v>
      </c>
      <c r="O200" s="2">
        <v>1152</v>
      </c>
      <c r="P200">
        <v>0</v>
      </c>
      <c r="Q200" s="2">
        <v>6040</v>
      </c>
      <c r="R200" s="2">
        <v>6912</v>
      </c>
      <c r="S200">
        <v>233</v>
      </c>
      <c r="T200" s="2">
        <v>18432</v>
      </c>
      <c r="U200">
        <v>0</v>
      </c>
      <c r="V200">
        <v>203</v>
      </c>
      <c r="W200">
        <v>0</v>
      </c>
      <c r="X200">
        <v>0</v>
      </c>
      <c r="Y200">
        <v>0</v>
      </c>
      <c r="Z200">
        <v>20</v>
      </c>
      <c r="AA200">
        <v>9.8344469000000004E-2</v>
      </c>
      <c r="AB200">
        <v>25.1</v>
      </c>
      <c r="AC200">
        <v>10.52805556</v>
      </c>
      <c r="AD200">
        <v>18</v>
      </c>
      <c r="AE200" s="7"/>
      <c r="AF200" s="7"/>
      <c r="AG200" s="7"/>
      <c r="AH200" s="7"/>
      <c r="AI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1.4719444399999997</v>
      </c>
      <c r="AJ200" s="7"/>
      <c r="AK200" t="s">
        <v>205</v>
      </c>
      <c r="AN200">
        <f>IFERROR(INT(Table13[[#This Row],[reject_prod]]/Table13[[#This Row],[part_weight]] * 1000), 0)</f>
        <v>594</v>
      </c>
    </row>
    <row r="201" spans="1:40" hidden="1">
      <c r="A201" s="1">
        <v>46029</v>
      </c>
      <c r="B201">
        <v>2</v>
      </c>
      <c r="C201">
        <v>8</v>
      </c>
      <c r="F201">
        <v>123456</v>
      </c>
      <c r="G201" s="6">
        <v>0</v>
      </c>
      <c r="M201">
        <v>0</v>
      </c>
      <c r="N201">
        <v>0</v>
      </c>
      <c r="O201">
        <v>0</v>
      </c>
      <c r="P201">
        <v>0</v>
      </c>
      <c r="R201">
        <v>0</v>
      </c>
      <c r="T201">
        <v>0</v>
      </c>
      <c r="X201">
        <v>0</v>
      </c>
      <c r="Z201">
        <v>0</v>
      </c>
      <c r="AB201">
        <v>0</v>
      </c>
      <c r="AC201">
        <v>0</v>
      </c>
      <c r="AD201">
        <v>22.5</v>
      </c>
      <c r="AE201" s="7"/>
      <c r="AF201" s="7"/>
      <c r="AG201" s="7"/>
      <c r="AH201" s="7"/>
      <c r="AI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" s="7">
        <v>12</v>
      </c>
      <c r="AK201" t="s">
        <v>116</v>
      </c>
      <c r="AN201">
        <f>IFERROR(INT(Table13[[#This Row],[reject_prod]]/Table13[[#This Row],[part_weight]] * 1000), 0)</f>
        <v>0</v>
      </c>
    </row>
    <row r="202" spans="1:40" hidden="1">
      <c r="A202" s="1">
        <v>46029</v>
      </c>
      <c r="B202">
        <v>2</v>
      </c>
      <c r="C202">
        <v>9</v>
      </c>
      <c r="D202" t="s">
        <v>56</v>
      </c>
      <c r="E202" t="s">
        <v>46</v>
      </c>
      <c r="F202">
        <v>586276</v>
      </c>
      <c r="G202" s="6">
        <v>0</v>
      </c>
      <c r="H202" t="s">
        <v>47</v>
      </c>
      <c r="I202">
        <v>10682923</v>
      </c>
      <c r="J202">
        <v>6</v>
      </c>
      <c r="K202">
        <v>12.3</v>
      </c>
      <c r="L202">
        <v>12.3</v>
      </c>
      <c r="M202">
        <v>1688</v>
      </c>
      <c r="N202" s="2">
        <v>162000</v>
      </c>
      <c r="O202">
        <v>405</v>
      </c>
      <c r="P202" s="2">
        <v>2430</v>
      </c>
      <c r="Q202" s="2">
        <v>10128</v>
      </c>
      <c r="R202" s="2">
        <v>8100</v>
      </c>
      <c r="S202">
        <v>100</v>
      </c>
      <c r="T202" s="2">
        <v>132030</v>
      </c>
      <c r="U202" s="2">
        <v>29970</v>
      </c>
      <c r="V202">
        <v>125</v>
      </c>
      <c r="W202">
        <v>0</v>
      </c>
      <c r="X202">
        <v>0</v>
      </c>
      <c r="Y202">
        <v>0</v>
      </c>
      <c r="Z202">
        <v>1</v>
      </c>
      <c r="AA202">
        <v>8.0273310000000004E-3</v>
      </c>
      <c r="AB202">
        <v>25.5</v>
      </c>
      <c r="AC202">
        <v>11.956666670000001</v>
      </c>
      <c r="AD202">
        <v>26</v>
      </c>
      <c r="AE202" s="7"/>
      <c r="AF202" s="7"/>
      <c r="AG202" s="7"/>
      <c r="AH202" s="7"/>
      <c r="AI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202" s="7"/>
      <c r="AK202" t="s">
        <v>51</v>
      </c>
      <c r="AN202">
        <f>IFERROR(INT(Table13[[#This Row],[reject_prod]]/Table13[[#This Row],[part_weight]] * 1000), 0)</f>
        <v>81</v>
      </c>
    </row>
    <row r="203" spans="1:40" hidden="1">
      <c r="A203" s="1">
        <v>46029</v>
      </c>
      <c r="B203">
        <v>2</v>
      </c>
      <c r="C203">
        <v>10</v>
      </c>
      <c r="D203" t="s">
        <v>206</v>
      </c>
      <c r="E203" t="s">
        <v>41</v>
      </c>
      <c r="F203">
        <v>593537</v>
      </c>
      <c r="G203" s="6">
        <v>0</v>
      </c>
      <c r="H203" t="s">
        <v>48</v>
      </c>
      <c r="I203">
        <v>10682925</v>
      </c>
      <c r="J203">
        <v>4</v>
      </c>
      <c r="K203">
        <v>56.5</v>
      </c>
      <c r="L203">
        <v>56.8</v>
      </c>
      <c r="M203">
        <v>1330</v>
      </c>
      <c r="N203" s="2">
        <v>69000</v>
      </c>
      <c r="O203">
        <v>115</v>
      </c>
      <c r="P203">
        <v>230</v>
      </c>
      <c r="Q203" s="2">
        <v>5320</v>
      </c>
      <c r="R203" s="2">
        <v>5175</v>
      </c>
      <c r="S203">
        <v>294</v>
      </c>
      <c r="T203" s="2">
        <v>38755</v>
      </c>
      <c r="U203" s="2">
        <v>30245</v>
      </c>
      <c r="V203">
        <v>302</v>
      </c>
      <c r="W203">
        <v>-2</v>
      </c>
      <c r="X203">
        <v>0</v>
      </c>
      <c r="Y203">
        <v>0</v>
      </c>
      <c r="Z203">
        <v>13</v>
      </c>
      <c r="AA203">
        <v>4.3021285999999999E-2</v>
      </c>
      <c r="AB203">
        <v>31.7</v>
      </c>
      <c r="AC203">
        <v>11.71138889</v>
      </c>
      <c r="AD203">
        <v>28.5</v>
      </c>
      <c r="AE203" s="7"/>
      <c r="AF203" s="7"/>
      <c r="AG203" s="7"/>
      <c r="AH203" s="7"/>
      <c r="AI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0.28861110999999973</v>
      </c>
      <c r="AJ203" s="7"/>
      <c r="AK203" t="s">
        <v>207</v>
      </c>
      <c r="AN203">
        <f>IFERROR(INT(Table13[[#This Row],[reject_prod]]/Table13[[#This Row],[part_weight]] * 1000), 0)</f>
        <v>228</v>
      </c>
    </row>
    <row r="204" spans="1:40" hidden="1">
      <c r="A204" s="1">
        <v>46029</v>
      </c>
      <c r="B204">
        <v>2</v>
      </c>
      <c r="C204">
        <v>11</v>
      </c>
      <c r="D204" t="s">
        <v>208</v>
      </c>
      <c r="E204" t="s">
        <v>46</v>
      </c>
      <c r="F204">
        <v>552181</v>
      </c>
      <c r="G204" s="6">
        <v>1</v>
      </c>
      <c r="H204" t="s">
        <v>49</v>
      </c>
      <c r="I204">
        <v>10682927</v>
      </c>
      <c r="J204">
        <v>6</v>
      </c>
      <c r="K204">
        <v>18.8</v>
      </c>
      <c r="L204">
        <v>18.8</v>
      </c>
      <c r="M204">
        <v>1510</v>
      </c>
      <c r="N204" s="2">
        <v>108000</v>
      </c>
      <c r="O204" s="2">
        <v>10260</v>
      </c>
      <c r="P204" s="2">
        <v>13770</v>
      </c>
      <c r="Q204" s="2">
        <v>9060</v>
      </c>
      <c r="R204" s="2">
        <v>5400</v>
      </c>
      <c r="S204">
        <v>102</v>
      </c>
      <c r="T204" s="2">
        <v>35370</v>
      </c>
      <c r="U204" s="2">
        <v>72630</v>
      </c>
      <c r="V204">
        <v>170</v>
      </c>
      <c r="W204">
        <v>0</v>
      </c>
      <c r="X204">
        <v>0</v>
      </c>
      <c r="Y204">
        <v>0</v>
      </c>
      <c r="Z204">
        <v>0.5</v>
      </c>
      <c r="AA204">
        <v>2.9355129999999998E-3</v>
      </c>
      <c r="AB204">
        <v>27.6</v>
      </c>
      <c r="AC204">
        <v>11.57666667</v>
      </c>
      <c r="AD204">
        <v>27</v>
      </c>
      <c r="AE204" s="7"/>
      <c r="AF204" s="7"/>
      <c r="AG204" s="7"/>
      <c r="AH204" s="7"/>
      <c r="AI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0.42333333000000017</v>
      </c>
      <c r="AJ204" s="7"/>
      <c r="AK204" t="s">
        <v>176</v>
      </c>
      <c r="AN204">
        <f>IFERROR(INT(Table13[[#This Row],[reject_prod]]/Table13[[#This Row],[part_weight]] * 1000), 0)</f>
        <v>26</v>
      </c>
    </row>
    <row r="205" spans="1:40" hidden="1">
      <c r="A205" s="1">
        <v>46029</v>
      </c>
      <c r="B205">
        <v>2</v>
      </c>
      <c r="C205">
        <v>12</v>
      </c>
      <c r="D205" t="s">
        <v>54</v>
      </c>
      <c r="E205" t="s">
        <v>34</v>
      </c>
      <c r="F205">
        <v>620599</v>
      </c>
      <c r="G205" s="6">
        <v>0</v>
      </c>
      <c r="H205" t="s">
        <v>50</v>
      </c>
      <c r="I205">
        <v>10682928</v>
      </c>
      <c r="J205">
        <v>4</v>
      </c>
      <c r="K205">
        <v>55</v>
      </c>
      <c r="L205">
        <v>55</v>
      </c>
      <c r="M205">
        <v>1560</v>
      </c>
      <c r="N205" s="2">
        <v>72000</v>
      </c>
      <c r="O205">
        <v>450</v>
      </c>
      <c r="P205" s="2">
        <v>1300</v>
      </c>
      <c r="Q205" s="2">
        <v>6240</v>
      </c>
      <c r="R205" s="2">
        <v>5400</v>
      </c>
      <c r="S205">
        <v>297</v>
      </c>
      <c r="T205" s="2">
        <v>40900</v>
      </c>
      <c r="U205" s="2">
        <v>31100</v>
      </c>
      <c r="V205">
        <v>343</v>
      </c>
      <c r="W205">
        <v>0</v>
      </c>
      <c r="X205">
        <v>0</v>
      </c>
      <c r="Y205">
        <v>0</v>
      </c>
      <c r="Z205">
        <v>4</v>
      </c>
      <c r="AA205">
        <v>1.1655011999999999E-2</v>
      </c>
      <c r="AB205">
        <v>28</v>
      </c>
      <c r="AC205">
        <v>12</v>
      </c>
      <c r="AD205">
        <v>28</v>
      </c>
      <c r="AE205" s="7"/>
      <c r="AF205" s="7"/>
      <c r="AG205" s="7"/>
      <c r="AH205" s="7"/>
      <c r="AI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" s="7"/>
      <c r="AK205" t="s">
        <v>164</v>
      </c>
      <c r="AN205">
        <f>IFERROR(INT(Table13[[#This Row],[reject_prod]]/Table13[[#This Row],[part_weight]] * 1000), 0)</f>
        <v>72</v>
      </c>
    </row>
    <row r="206" spans="1:40" hidden="1">
      <c r="A206" s="1">
        <v>46029</v>
      </c>
      <c r="B206">
        <v>2</v>
      </c>
      <c r="C206">
        <v>13</v>
      </c>
      <c r="D206" t="s">
        <v>208</v>
      </c>
      <c r="E206" t="s">
        <v>46</v>
      </c>
      <c r="F206">
        <v>586276</v>
      </c>
      <c r="G206" s="6">
        <v>0</v>
      </c>
      <c r="H206" t="s">
        <v>47</v>
      </c>
      <c r="I206">
        <v>10682930</v>
      </c>
      <c r="J206">
        <v>6</v>
      </c>
      <c r="K206">
        <v>12.3</v>
      </c>
      <c r="L206">
        <v>12.3</v>
      </c>
      <c r="M206">
        <v>1620</v>
      </c>
      <c r="N206" s="2">
        <v>162000</v>
      </c>
      <c r="O206" s="2">
        <v>5670</v>
      </c>
      <c r="P206" s="2">
        <v>7290</v>
      </c>
      <c r="Q206" s="2">
        <v>9720</v>
      </c>
      <c r="R206" s="2">
        <v>8100</v>
      </c>
      <c r="S206">
        <v>100</v>
      </c>
      <c r="T206" s="2">
        <v>72090</v>
      </c>
      <c r="U206" s="2">
        <v>89910</v>
      </c>
      <c r="V206">
        <v>120</v>
      </c>
      <c r="W206">
        <v>0</v>
      </c>
      <c r="X206">
        <v>0</v>
      </c>
      <c r="Y206">
        <v>0</v>
      </c>
      <c r="Z206">
        <v>1</v>
      </c>
      <c r="AA206">
        <v>8.3642809999999995E-3</v>
      </c>
      <c r="AB206">
        <v>26.43</v>
      </c>
      <c r="AC206">
        <v>11.8935</v>
      </c>
      <c r="AD206">
        <v>26</v>
      </c>
      <c r="AE206" s="7"/>
      <c r="AF206" s="7"/>
      <c r="AG206" s="7"/>
      <c r="AH206" s="7"/>
      <c r="AI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206" s="7"/>
      <c r="AK206" t="s">
        <v>51</v>
      </c>
      <c r="AN206">
        <f>IFERROR(INT(Table13[[#This Row],[reject_prod]]/Table13[[#This Row],[part_weight]] * 1000), 0)</f>
        <v>81</v>
      </c>
    </row>
    <row r="207" spans="1:40" hidden="1">
      <c r="A207" s="1">
        <v>46029</v>
      </c>
      <c r="B207">
        <v>2</v>
      </c>
      <c r="C207">
        <v>14</v>
      </c>
      <c r="D207" t="s">
        <v>117</v>
      </c>
      <c r="E207" t="s">
        <v>46</v>
      </c>
      <c r="F207">
        <v>555979</v>
      </c>
      <c r="G207" s="6">
        <v>1</v>
      </c>
      <c r="H207" t="s">
        <v>52</v>
      </c>
      <c r="I207">
        <v>10682931</v>
      </c>
      <c r="J207">
        <v>6</v>
      </c>
      <c r="K207">
        <v>28</v>
      </c>
      <c r="L207">
        <v>28</v>
      </c>
      <c r="M207">
        <v>960</v>
      </c>
      <c r="N207" s="2">
        <v>100800</v>
      </c>
      <c r="O207" s="2">
        <v>4032</v>
      </c>
      <c r="P207" s="2">
        <v>2856</v>
      </c>
      <c r="Q207" s="2">
        <v>5760</v>
      </c>
      <c r="R207" s="2">
        <v>6720</v>
      </c>
      <c r="S207">
        <v>188</v>
      </c>
      <c r="T207" s="2">
        <v>100296</v>
      </c>
      <c r="U207">
        <v>504</v>
      </c>
      <c r="V207">
        <v>161</v>
      </c>
      <c r="W207">
        <v>0</v>
      </c>
      <c r="X207">
        <v>0</v>
      </c>
      <c r="Y207">
        <v>0</v>
      </c>
      <c r="Z207">
        <v>0.5</v>
      </c>
      <c r="AA207">
        <v>3.1001980000000002E-3</v>
      </c>
      <c r="AB207">
        <v>43.6</v>
      </c>
      <c r="AC207">
        <v>11.626666670000001</v>
      </c>
      <c r="AD207">
        <v>42</v>
      </c>
      <c r="AE207" s="7"/>
      <c r="AF207" s="7"/>
      <c r="AG207" s="7"/>
      <c r="AH207" s="7"/>
      <c r="AI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0.37333332999999946</v>
      </c>
      <c r="AJ207" s="7"/>
      <c r="AK207" t="s">
        <v>51</v>
      </c>
      <c r="AN207">
        <f>IFERROR(INT(Table13[[#This Row],[reject_prod]]/Table13[[#This Row],[part_weight]] * 1000), 0)</f>
        <v>17</v>
      </c>
    </row>
    <row r="208" spans="1:40" hidden="1">
      <c r="A208" s="1">
        <v>46029</v>
      </c>
      <c r="B208">
        <v>2</v>
      </c>
      <c r="C208">
        <v>15</v>
      </c>
      <c r="D208" t="s">
        <v>208</v>
      </c>
      <c r="E208" t="s">
        <v>46</v>
      </c>
      <c r="F208">
        <v>552181</v>
      </c>
      <c r="G208" s="6">
        <v>2</v>
      </c>
      <c r="H208" t="s">
        <v>49</v>
      </c>
      <c r="I208">
        <v>10682934</v>
      </c>
      <c r="J208">
        <v>6</v>
      </c>
      <c r="K208">
        <v>18.8</v>
      </c>
      <c r="L208">
        <v>18.8</v>
      </c>
      <c r="M208">
        <v>1360</v>
      </c>
      <c r="N208" s="2">
        <v>108000</v>
      </c>
      <c r="O208" s="2">
        <v>10530</v>
      </c>
      <c r="P208" s="2">
        <v>13230</v>
      </c>
      <c r="Q208" s="2">
        <v>8160</v>
      </c>
      <c r="R208" s="2">
        <v>5400</v>
      </c>
      <c r="S208">
        <v>102</v>
      </c>
      <c r="T208" s="2">
        <v>18630</v>
      </c>
      <c r="U208" s="2">
        <v>89370</v>
      </c>
      <c r="V208">
        <v>153</v>
      </c>
      <c r="W208">
        <v>0</v>
      </c>
      <c r="X208">
        <v>0</v>
      </c>
      <c r="Y208">
        <v>0</v>
      </c>
      <c r="Z208">
        <v>0.5</v>
      </c>
      <c r="AA208">
        <v>3.2592820000000001E-3</v>
      </c>
      <c r="AB208">
        <v>31.2</v>
      </c>
      <c r="AC208">
        <v>11.786666670000001</v>
      </c>
      <c r="AD208">
        <v>27</v>
      </c>
      <c r="AE208" s="7"/>
      <c r="AF208" s="7"/>
      <c r="AG208" s="7"/>
      <c r="AH208" s="7"/>
      <c r="AI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208" s="7"/>
      <c r="AK208" t="s">
        <v>176</v>
      </c>
      <c r="AN208">
        <f>IFERROR(INT(Table13[[#This Row],[reject_prod]]/Table13[[#This Row],[part_weight]] * 1000), 0)</f>
        <v>26</v>
      </c>
    </row>
    <row r="209" spans="1:40" hidden="1">
      <c r="A209" s="1">
        <v>46029</v>
      </c>
      <c r="B209">
        <v>2</v>
      </c>
      <c r="C209">
        <v>16</v>
      </c>
      <c r="D209" t="s">
        <v>209</v>
      </c>
      <c r="E209" t="s">
        <v>46</v>
      </c>
      <c r="F209">
        <v>555979</v>
      </c>
      <c r="G209" s="6">
        <v>2</v>
      </c>
      <c r="H209" t="s">
        <v>52</v>
      </c>
      <c r="I209">
        <v>10682935</v>
      </c>
      <c r="J209">
        <v>6</v>
      </c>
      <c r="K209">
        <v>28</v>
      </c>
      <c r="L209">
        <v>28</v>
      </c>
      <c r="M209">
        <v>980</v>
      </c>
      <c r="N209" s="2">
        <v>100800</v>
      </c>
      <c r="O209" s="2">
        <v>2520</v>
      </c>
      <c r="P209" s="2">
        <v>1680</v>
      </c>
      <c r="Q209" s="2">
        <v>5880</v>
      </c>
      <c r="R209" s="2">
        <v>6720</v>
      </c>
      <c r="S209">
        <v>188</v>
      </c>
      <c r="T209" s="2">
        <v>42000</v>
      </c>
      <c r="U209" s="2">
        <v>58800</v>
      </c>
      <c r="V209">
        <v>165</v>
      </c>
      <c r="W209">
        <v>0</v>
      </c>
      <c r="X209">
        <v>0</v>
      </c>
      <c r="Y209">
        <v>0</v>
      </c>
      <c r="Z209">
        <v>1</v>
      </c>
      <c r="AA209">
        <v>6.0738579999999997E-3</v>
      </c>
      <c r="AB209">
        <v>43.7</v>
      </c>
      <c r="AC209">
        <v>11.89611111</v>
      </c>
      <c r="AD209">
        <v>42</v>
      </c>
      <c r="AE209" s="7"/>
      <c r="AF209" s="7"/>
      <c r="AG209" s="7"/>
      <c r="AH209" s="7"/>
      <c r="AI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0.10388889000000034</v>
      </c>
      <c r="AJ209" s="7"/>
      <c r="AK209" t="s">
        <v>51</v>
      </c>
      <c r="AN209">
        <f>IFERROR(INT(Table13[[#This Row],[reject_prod]]/Table13[[#This Row],[part_weight]] * 1000), 0)</f>
        <v>35</v>
      </c>
    </row>
    <row r="210" spans="1:40" hidden="1">
      <c r="A210" s="1">
        <v>46030</v>
      </c>
      <c r="B210">
        <v>1</v>
      </c>
      <c r="C210">
        <v>1</v>
      </c>
      <c r="D210" t="s">
        <v>152</v>
      </c>
      <c r="E210" t="s">
        <v>34</v>
      </c>
      <c r="F210">
        <v>365091</v>
      </c>
      <c r="G210" s="6">
        <v>0</v>
      </c>
      <c r="H210" t="s">
        <v>189</v>
      </c>
      <c r="I210">
        <v>10682753</v>
      </c>
      <c r="J210">
        <v>4</v>
      </c>
      <c r="K210">
        <v>44</v>
      </c>
      <c r="L210">
        <v>44</v>
      </c>
      <c r="M210">
        <v>1326</v>
      </c>
      <c r="N210" s="2">
        <v>66885</v>
      </c>
      <c r="O210">
        <v>0</v>
      </c>
      <c r="P210">
        <v>945</v>
      </c>
      <c r="Q210" s="2">
        <v>5304</v>
      </c>
      <c r="R210" s="2">
        <v>3780</v>
      </c>
      <c r="S210">
        <v>166</v>
      </c>
      <c r="T210" s="2">
        <v>5985</v>
      </c>
      <c r="U210" s="2">
        <v>60900</v>
      </c>
      <c r="V210">
        <v>233</v>
      </c>
      <c r="W210">
        <v>0</v>
      </c>
      <c r="X210">
        <v>0</v>
      </c>
      <c r="Y210">
        <v>0</v>
      </c>
      <c r="Z210">
        <v>12</v>
      </c>
      <c r="AA210">
        <v>5.1419169000000001E-2</v>
      </c>
      <c r="AB210">
        <v>27.5</v>
      </c>
      <c r="AC210">
        <v>10.12916667</v>
      </c>
      <c r="AD210">
        <v>28.64</v>
      </c>
      <c r="AE210" s="7"/>
      <c r="AF210" s="7"/>
      <c r="AG210" s="7"/>
      <c r="AH210" s="7"/>
      <c r="AI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1.87083333</v>
      </c>
      <c r="AJ210" s="7"/>
      <c r="AK210" t="s">
        <v>210</v>
      </c>
      <c r="AL210">
        <v>13</v>
      </c>
      <c r="AM210">
        <v>21</v>
      </c>
      <c r="AN210">
        <f>IFERROR(INT(Table13[[#This Row],[reject_prod]]/Table13[[#This Row],[part_weight]] * 1000), 0)</f>
        <v>272</v>
      </c>
    </row>
    <row r="211" spans="1:40" hidden="1">
      <c r="A211" s="1">
        <v>46030</v>
      </c>
      <c r="B211">
        <v>1</v>
      </c>
      <c r="C211">
        <v>2</v>
      </c>
      <c r="D211" t="s">
        <v>141</v>
      </c>
      <c r="E211" t="s">
        <v>34</v>
      </c>
      <c r="F211">
        <v>423215</v>
      </c>
      <c r="G211" s="6">
        <v>0</v>
      </c>
      <c r="H211" t="s">
        <v>156</v>
      </c>
      <c r="I211">
        <v>10682755</v>
      </c>
      <c r="J211">
        <v>4</v>
      </c>
      <c r="K211">
        <v>24</v>
      </c>
      <c r="L211">
        <v>24</v>
      </c>
      <c r="M211">
        <v>1573</v>
      </c>
      <c r="N211" s="2">
        <v>89112</v>
      </c>
      <c r="O211" s="2">
        <v>1692</v>
      </c>
      <c r="P211">
        <v>846</v>
      </c>
      <c r="Q211" s="2">
        <v>6292</v>
      </c>
      <c r="R211" s="2">
        <v>6768</v>
      </c>
      <c r="S211">
        <v>162</v>
      </c>
      <c r="T211" s="2">
        <v>31302</v>
      </c>
      <c r="U211" s="2">
        <v>57810</v>
      </c>
      <c r="V211">
        <v>151</v>
      </c>
      <c r="W211">
        <v>0</v>
      </c>
      <c r="X211">
        <v>0</v>
      </c>
      <c r="Y211">
        <v>0</v>
      </c>
      <c r="Z211">
        <v>8.5</v>
      </c>
      <c r="AA211">
        <v>5.6288408999999998E-2</v>
      </c>
      <c r="AB211">
        <v>27.3</v>
      </c>
      <c r="AC211">
        <v>11.92858333</v>
      </c>
      <c r="AD211">
        <v>22</v>
      </c>
      <c r="AE211" s="7"/>
      <c r="AF211" s="7"/>
      <c r="AG211" s="7"/>
      <c r="AH211" s="7"/>
      <c r="AI2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7.1416669999999627E-2</v>
      </c>
      <c r="AJ211" s="7"/>
      <c r="AK211" t="s">
        <v>200</v>
      </c>
      <c r="AM211">
        <v>1</v>
      </c>
      <c r="AN211">
        <f>IFERROR(INT(Table13[[#This Row],[reject_prod]]/Table13[[#This Row],[part_weight]] * 1000), 0)</f>
        <v>354</v>
      </c>
    </row>
    <row r="212" spans="1:40" hidden="1">
      <c r="A212" s="1">
        <v>46030</v>
      </c>
      <c r="B212">
        <v>1</v>
      </c>
      <c r="C212">
        <v>3</v>
      </c>
      <c r="D212" t="s">
        <v>112</v>
      </c>
      <c r="E212" t="s">
        <v>34</v>
      </c>
      <c r="F212">
        <v>442034</v>
      </c>
      <c r="G212" s="6">
        <v>0</v>
      </c>
      <c r="H212" t="s">
        <v>37</v>
      </c>
      <c r="I212">
        <v>10681183</v>
      </c>
      <c r="J212">
        <v>4</v>
      </c>
      <c r="K212">
        <v>23</v>
      </c>
      <c r="L212">
        <v>23</v>
      </c>
      <c r="M212">
        <v>1619</v>
      </c>
      <c r="N212" s="2">
        <v>139776</v>
      </c>
      <c r="O212" s="2">
        <v>1152</v>
      </c>
      <c r="P212" s="2">
        <v>2688</v>
      </c>
      <c r="Q212" s="2">
        <v>6476</v>
      </c>
      <c r="R212" s="2">
        <v>4608</v>
      </c>
      <c r="S212">
        <v>106</v>
      </c>
      <c r="T212" s="2">
        <v>30336</v>
      </c>
      <c r="U212" s="2">
        <v>109440</v>
      </c>
      <c r="V212">
        <v>149</v>
      </c>
      <c r="W212">
        <v>0</v>
      </c>
      <c r="X212">
        <v>0</v>
      </c>
      <c r="Y212">
        <v>0</v>
      </c>
      <c r="Z212">
        <v>7.6</v>
      </c>
      <c r="AA212">
        <v>5.1024518999999997E-2</v>
      </c>
      <c r="AB212">
        <v>26</v>
      </c>
      <c r="AC212">
        <v>11.69277778</v>
      </c>
      <c r="AD212">
        <v>22</v>
      </c>
      <c r="AE212" s="7"/>
      <c r="AF212" s="7"/>
      <c r="AG212" s="7"/>
      <c r="AH212" s="7"/>
      <c r="AI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0.30722221999999988</v>
      </c>
      <c r="AJ212" s="7"/>
      <c r="AK212" t="s">
        <v>211</v>
      </c>
      <c r="AL212">
        <v>2</v>
      </c>
      <c r="AN212">
        <f>IFERROR(INT(Table13[[#This Row],[reject_prod]]/Table13[[#This Row],[part_weight]] * 1000), 0)</f>
        <v>330</v>
      </c>
    </row>
    <row r="213" spans="1:40" hidden="1">
      <c r="A213" s="1">
        <v>46030</v>
      </c>
      <c r="B213">
        <v>1</v>
      </c>
      <c r="C213">
        <v>4</v>
      </c>
      <c r="F213">
        <v>123456</v>
      </c>
      <c r="G213" s="6">
        <v>0</v>
      </c>
      <c r="M213">
        <v>0</v>
      </c>
      <c r="N213">
        <v>0</v>
      </c>
      <c r="O213">
        <v>0</v>
      </c>
      <c r="P213">
        <v>0</v>
      </c>
      <c r="R213">
        <v>0</v>
      </c>
      <c r="T213">
        <v>0</v>
      </c>
      <c r="X213">
        <v>0</v>
      </c>
      <c r="Z213">
        <v>0</v>
      </c>
      <c r="AB213">
        <v>0</v>
      </c>
      <c r="AC213">
        <v>0</v>
      </c>
      <c r="AD213">
        <v>22.5</v>
      </c>
      <c r="AE213" s="7"/>
      <c r="AF213" s="7"/>
      <c r="AG213" s="7"/>
      <c r="AH213" s="7"/>
      <c r="AI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" s="7">
        <v>12</v>
      </c>
      <c r="AK213" t="s">
        <v>116</v>
      </c>
      <c r="AN213">
        <f>IFERROR(INT(Table13[[#This Row],[reject_prod]]/Table13[[#This Row],[part_weight]] * 1000), 0)</f>
        <v>0</v>
      </c>
    </row>
    <row r="214" spans="1:40" hidden="1">
      <c r="A214" s="1">
        <v>46030</v>
      </c>
      <c r="B214">
        <v>1</v>
      </c>
      <c r="C214">
        <v>5</v>
      </c>
      <c r="D214" t="s">
        <v>43</v>
      </c>
      <c r="E214" t="s">
        <v>34</v>
      </c>
      <c r="F214">
        <v>611949</v>
      </c>
      <c r="G214" s="6">
        <v>0</v>
      </c>
      <c r="H214" t="s">
        <v>38</v>
      </c>
      <c r="I214">
        <v>10680235</v>
      </c>
      <c r="J214">
        <v>4</v>
      </c>
      <c r="K214">
        <v>20</v>
      </c>
      <c r="L214">
        <v>20</v>
      </c>
      <c r="M214">
        <v>1773</v>
      </c>
      <c r="N214" s="2">
        <v>83600</v>
      </c>
      <c r="O214" s="2">
        <v>3300</v>
      </c>
      <c r="P214" s="2">
        <v>3300</v>
      </c>
      <c r="Q214" s="2">
        <v>7092</v>
      </c>
      <c r="R214" s="2">
        <v>6600</v>
      </c>
      <c r="S214">
        <v>132</v>
      </c>
      <c r="T214" s="2">
        <v>36100</v>
      </c>
      <c r="U214" s="2">
        <v>47500</v>
      </c>
      <c r="V214">
        <v>142</v>
      </c>
      <c r="W214">
        <v>0</v>
      </c>
      <c r="X214">
        <v>0</v>
      </c>
      <c r="Y214">
        <v>0</v>
      </c>
      <c r="Z214">
        <v>9.8000000000000007</v>
      </c>
      <c r="AA214">
        <v>6.9091934999999993E-2</v>
      </c>
      <c r="AB214">
        <v>23.6</v>
      </c>
      <c r="AC214">
        <v>11.622999999999999</v>
      </c>
      <c r="AD214">
        <v>21.64</v>
      </c>
      <c r="AE214" s="7"/>
      <c r="AF214" s="7"/>
      <c r="AG214" s="7"/>
      <c r="AH214" s="7"/>
      <c r="AI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0.37700000000000067</v>
      </c>
      <c r="AJ214" s="7"/>
      <c r="AK214" t="s">
        <v>212</v>
      </c>
      <c r="AN214">
        <f>IFERROR(INT(Table13[[#This Row],[reject_prod]]/Table13[[#This Row],[part_weight]] * 1000), 0)</f>
        <v>490</v>
      </c>
    </row>
    <row r="215" spans="1:40" hidden="1">
      <c r="A215" s="1">
        <v>46030</v>
      </c>
      <c r="B215">
        <v>1</v>
      </c>
      <c r="C215">
        <v>6</v>
      </c>
      <c r="D215" t="s">
        <v>213</v>
      </c>
      <c r="E215" t="s">
        <v>34</v>
      </c>
      <c r="F215">
        <v>579471</v>
      </c>
      <c r="G215" s="6">
        <v>0</v>
      </c>
      <c r="H215" t="s">
        <v>105</v>
      </c>
      <c r="I215">
        <v>10681843</v>
      </c>
      <c r="J215">
        <v>4</v>
      </c>
      <c r="K215">
        <v>24</v>
      </c>
      <c r="L215">
        <v>24</v>
      </c>
      <c r="M215">
        <v>1907</v>
      </c>
      <c r="N215" s="2">
        <v>50400</v>
      </c>
      <c r="O215" s="2">
        <v>3024</v>
      </c>
      <c r="P215" s="2">
        <v>4536</v>
      </c>
      <c r="Q215" s="2">
        <v>7628</v>
      </c>
      <c r="R215" s="2">
        <v>6048</v>
      </c>
      <c r="S215">
        <v>145</v>
      </c>
      <c r="T215" s="2">
        <v>40824</v>
      </c>
      <c r="U215" s="2">
        <v>9576</v>
      </c>
      <c r="V215">
        <v>183</v>
      </c>
      <c r="W215">
        <v>0</v>
      </c>
      <c r="X215">
        <v>0</v>
      </c>
      <c r="Y215">
        <v>0</v>
      </c>
      <c r="Z215">
        <v>1</v>
      </c>
      <c r="AA215">
        <v>5.4623320000000003E-3</v>
      </c>
      <c r="AB215">
        <v>22.4</v>
      </c>
      <c r="AC215">
        <v>11.86577778</v>
      </c>
      <c r="AD215">
        <v>23</v>
      </c>
      <c r="AE215" s="7"/>
      <c r="AF215" s="7"/>
      <c r="AG215" s="7"/>
      <c r="AH215" s="7"/>
      <c r="AI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0.13422221999999984</v>
      </c>
      <c r="AJ215" s="7"/>
      <c r="AK215" t="s">
        <v>214</v>
      </c>
      <c r="AL215">
        <v>3</v>
      </c>
      <c r="AM215">
        <v>2</v>
      </c>
      <c r="AN215">
        <f>IFERROR(INT(Table13[[#This Row],[reject_prod]]/Table13[[#This Row],[part_weight]] * 1000), 0)</f>
        <v>41</v>
      </c>
    </row>
    <row r="216" spans="1:40" hidden="1">
      <c r="A216" s="1">
        <v>46030</v>
      </c>
      <c r="B216">
        <v>1</v>
      </c>
      <c r="C216">
        <v>7</v>
      </c>
      <c r="D216" t="s">
        <v>215</v>
      </c>
      <c r="E216" t="s">
        <v>34</v>
      </c>
      <c r="F216">
        <v>322435</v>
      </c>
      <c r="G216" s="6">
        <v>0</v>
      </c>
      <c r="H216" t="s">
        <v>216</v>
      </c>
      <c r="I216">
        <v>10682760</v>
      </c>
      <c r="J216">
        <v>4</v>
      </c>
      <c r="K216">
        <v>34.5</v>
      </c>
      <c r="L216">
        <v>34.5</v>
      </c>
      <c r="M216">
        <v>344</v>
      </c>
      <c r="N216" s="2">
        <v>17640</v>
      </c>
      <c r="O216">
        <v>0</v>
      </c>
      <c r="P216" s="2">
        <v>1260</v>
      </c>
      <c r="Q216" s="2">
        <v>1376</v>
      </c>
      <c r="R216">
        <v>0</v>
      </c>
      <c r="S216">
        <v>0</v>
      </c>
      <c r="T216" s="2">
        <v>1260</v>
      </c>
      <c r="U216" s="2">
        <v>16380</v>
      </c>
      <c r="V216">
        <v>47</v>
      </c>
      <c r="W216">
        <v>0</v>
      </c>
      <c r="X216">
        <v>25</v>
      </c>
      <c r="Y216">
        <v>0.52662622199999998</v>
      </c>
      <c r="Z216">
        <v>4</v>
      </c>
      <c r="AA216">
        <v>8.4260194999999996E-2</v>
      </c>
      <c r="AB216">
        <v>22.3</v>
      </c>
      <c r="AC216">
        <v>2.130888889</v>
      </c>
      <c r="AD216">
        <v>22</v>
      </c>
      <c r="AE216" s="7"/>
      <c r="AF216" s="7"/>
      <c r="AG216" s="7"/>
      <c r="AH216" s="7"/>
      <c r="AI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9.8691111110000005</v>
      </c>
      <c r="AJ216" s="7"/>
      <c r="AK216" t="s">
        <v>217</v>
      </c>
      <c r="AL216">
        <v>8</v>
      </c>
      <c r="AM216">
        <v>25</v>
      </c>
      <c r="AN216">
        <f>IFERROR(INT(Table13[[#This Row],[reject_prod]]/Table13[[#This Row],[part_weight]] * 1000), 0)</f>
        <v>115</v>
      </c>
    </row>
    <row r="217" spans="1:40" hidden="1">
      <c r="A217" s="1">
        <v>46030</v>
      </c>
      <c r="B217">
        <v>1</v>
      </c>
      <c r="C217">
        <v>8</v>
      </c>
      <c r="D217" t="s">
        <v>40</v>
      </c>
      <c r="E217" t="s">
        <v>34</v>
      </c>
      <c r="F217">
        <v>323102</v>
      </c>
      <c r="G217" s="6">
        <v>0</v>
      </c>
      <c r="H217" t="s">
        <v>45</v>
      </c>
      <c r="I217">
        <v>10683894</v>
      </c>
      <c r="J217">
        <v>4</v>
      </c>
      <c r="K217">
        <v>56.9</v>
      </c>
      <c r="L217">
        <v>56.9</v>
      </c>
      <c r="M217">
        <v>1376</v>
      </c>
      <c r="N217" s="2">
        <v>38400</v>
      </c>
      <c r="O217">
        <v>0</v>
      </c>
      <c r="P217">
        <v>0</v>
      </c>
      <c r="Q217" s="2">
        <v>5504</v>
      </c>
      <c r="R217" s="2">
        <v>5440</v>
      </c>
      <c r="S217">
        <v>310</v>
      </c>
      <c r="T217" s="2">
        <v>5440</v>
      </c>
      <c r="U217" s="2">
        <v>32960</v>
      </c>
      <c r="V217">
        <v>313</v>
      </c>
      <c r="W217">
        <v>0</v>
      </c>
      <c r="X217">
        <v>2</v>
      </c>
      <c r="Y217">
        <v>6.3861530000000003E-3</v>
      </c>
      <c r="Z217">
        <v>1.5</v>
      </c>
      <c r="AA217">
        <v>4.7896149999999997E-3</v>
      </c>
      <c r="AB217">
        <v>27.9</v>
      </c>
      <c r="AC217">
        <v>10.664</v>
      </c>
      <c r="AD217">
        <v>26</v>
      </c>
      <c r="AE217" s="7"/>
      <c r="AF217" s="7"/>
      <c r="AG217" s="7"/>
      <c r="AH217" s="7"/>
      <c r="AI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1.3360000000000003</v>
      </c>
      <c r="AJ217" s="7"/>
      <c r="AK217" t="s">
        <v>218</v>
      </c>
      <c r="AL217">
        <v>4</v>
      </c>
      <c r="AM217">
        <v>3</v>
      </c>
      <c r="AN217">
        <f>IFERROR(INT(Table13[[#This Row],[reject_prod]]/Table13[[#This Row],[part_weight]] * 1000), 0)</f>
        <v>26</v>
      </c>
    </row>
    <row r="218" spans="1:40" hidden="1">
      <c r="A218" s="1">
        <v>46030</v>
      </c>
      <c r="B218">
        <v>1</v>
      </c>
      <c r="C218">
        <v>9</v>
      </c>
      <c r="D218" t="s">
        <v>65</v>
      </c>
      <c r="E218" t="s">
        <v>46</v>
      </c>
      <c r="F218">
        <v>586276</v>
      </c>
      <c r="G218" s="6">
        <v>0</v>
      </c>
      <c r="H218" t="s">
        <v>47</v>
      </c>
      <c r="I218">
        <v>10682923</v>
      </c>
      <c r="J218">
        <v>6</v>
      </c>
      <c r="K218">
        <v>12.3</v>
      </c>
      <c r="L218">
        <v>12.3</v>
      </c>
      <c r="M218">
        <v>1639</v>
      </c>
      <c r="N218" s="2">
        <v>162000</v>
      </c>
      <c r="O218" s="2">
        <v>2430</v>
      </c>
      <c r="P218" s="2">
        <v>4050</v>
      </c>
      <c r="Q218" s="2">
        <v>9834</v>
      </c>
      <c r="R218" s="2">
        <v>8100</v>
      </c>
      <c r="S218">
        <v>100</v>
      </c>
      <c r="T218" s="2">
        <v>141750</v>
      </c>
      <c r="U218" s="2">
        <v>20250</v>
      </c>
      <c r="V218">
        <v>121</v>
      </c>
      <c r="W218">
        <v>0</v>
      </c>
      <c r="X218">
        <v>0</v>
      </c>
      <c r="Y218">
        <v>0</v>
      </c>
      <c r="Z218">
        <v>1.2</v>
      </c>
      <c r="AA218">
        <v>9.9207830000000007E-3</v>
      </c>
      <c r="AB218">
        <v>26.2</v>
      </c>
      <c r="AC218">
        <v>11.92827778</v>
      </c>
      <c r="AD218">
        <v>26</v>
      </c>
      <c r="AE218" s="7"/>
      <c r="AF218" s="7"/>
      <c r="AG218" s="7"/>
      <c r="AH218" s="7"/>
      <c r="AI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7.1722219999999837E-2</v>
      </c>
      <c r="AJ218" s="7"/>
      <c r="AK218" t="s">
        <v>51</v>
      </c>
      <c r="AN218">
        <f>IFERROR(INT(Table13[[#This Row],[reject_prod]]/Table13[[#This Row],[part_weight]] * 1000), 0)</f>
        <v>97</v>
      </c>
    </row>
    <row r="219" spans="1:40" hidden="1">
      <c r="A219" s="1">
        <v>46030</v>
      </c>
      <c r="B219">
        <v>1</v>
      </c>
      <c r="C219">
        <v>10</v>
      </c>
      <c r="D219" t="s">
        <v>219</v>
      </c>
      <c r="E219" t="s">
        <v>41</v>
      </c>
      <c r="F219">
        <v>593537</v>
      </c>
      <c r="G219" s="6">
        <v>0</v>
      </c>
      <c r="H219" t="s">
        <v>48</v>
      </c>
      <c r="I219">
        <v>10682925</v>
      </c>
      <c r="J219">
        <v>4</v>
      </c>
      <c r="K219">
        <v>56.5</v>
      </c>
      <c r="L219">
        <v>56.8</v>
      </c>
      <c r="M219">
        <v>1299</v>
      </c>
      <c r="N219" s="2">
        <v>69000</v>
      </c>
      <c r="O219">
        <v>230</v>
      </c>
      <c r="P219">
        <v>690</v>
      </c>
      <c r="Q219" s="2">
        <v>5196</v>
      </c>
      <c r="R219" s="2">
        <v>4600</v>
      </c>
      <c r="S219">
        <v>261</v>
      </c>
      <c r="T219" s="2">
        <v>43125</v>
      </c>
      <c r="U219" s="2">
        <v>25875</v>
      </c>
      <c r="V219">
        <v>295</v>
      </c>
      <c r="W219">
        <v>0</v>
      </c>
      <c r="X219">
        <v>0</v>
      </c>
      <c r="Y219">
        <v>0</v>
      </c>
      <c r="Z219">
        <v>6.5</v>
      </c>
      <c r="AA219">
        <v>2.2023984E-2</v>
      </c>
      <c r="AB219">
        <v>31.7</v>
      </c>
      <c r="AC219">
        <v>11.438416670000001</v>
      </c>
      <c r="AD219">
        <v>28.5</v>
      </c>
      <c r="AE219" s="7"/>
      <c r="AF219" s="7"/>
      <c r="AG219" s="7"/>
      <c r="AH219" s="7"/>
      <c r="AI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0.56158332999999949</v>
      </c>
      <c r="AJ219" s="7"/>
      <c r="AK219" t="s">
        <v>197</v>
      </c>
      <c r="AM219">
        <v>3</v>
      </c>
      <c r="AN219">
        <f>IFERROR(INT(Table13[[#This Row],[reject_prod]]/Table13[[#This Row],[part_weight]] * 1000), 0)</f>
        <v>114</v>
      </c>
    </row>
    <row r="220" spans="1:40" hidden="1">
      <c r="A220" s="1">
        <v>46030</v>
      </c>
      <c r="B220">
        <v>1</v>
      </c>
      <c r="C220">
        <v>11</v>
      </c>
      <c r="D220" t="s">
        <v>61</v>
      </c>
      <c r="E220" t="s">
        <v>46</v>
      </c>
      <c r="F220">
        <v>552181</v>
      </c>
      <c r="G220" s="6">
        <v>1</v>
      </c>
      <c r="H220" t="s">
        <v>49</v>
      </c>
      <c r="I220">
        <v>10682927</v>
      </c>
      <c r="J220">
        <v>6</v>
      </c>
      <c r="K220">
        <v>18.8</v>
      </c>
      <c r="L220">
        <v>18.8</v>
      </c>
      <c r="M220">
        <v>1533</v>
      </c>
      <c r="N220" s="2">
        <v>108000</v>
      </c>
      <c r="O220" s="2">
        <v>13770</v>
      </c>
      <c r="P220" s="2">
        <v>11610</v>
      </c>
      <c r="Q220" s="2">
        <v>9198</v>
      </c>
      <c r="R220" s="2">
        <v>10800</v>
      </c>
      <c r="S220">
        <v>203</v>
      </c>
      <c r="T220" s="2">
        <v>44010</v>
      </c>
      <c r="U220" s="2">
        <v>63990</v>
      </c>
      <c r="V220">
        <v>173</v>
      </c>
      <c r="W220">
        <v>0</v>
      </c>
      <c r="X220">
        <v>0</v>
      </c>
      <c r="Y220">
        <v>0</v>
      </c>
      <c r="Z220">
        <v>7.8</v>
      </c>
      <c r="AA220">
        <v>4.5106937999999999E-2</v>
      </c>
      <c r="AB220">
        <v>27.6</v>
      </c>
      <c r="AC220">
        <v>11.753</v>
      </c>
      <c r="AD220">
        <v>27</v>
      </c>
      <c r="AE220" s="7"/>
      <c r="AF220" s="7"/>
      <c r="AG220" s="7"/>
      <c r="AH220" s="7"/>
      <c r="AI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0.24699999999999989</v>
      </c>
      <c r="AJ220" s="7"/>
      <c r="AK220" t="s">
        <v>220</v>
      </c>
      <c r="AM220">
        <v>2</v>
      </c>
      <c r="AN220">
        <f>IFERROR(INT(Table13[[#This Row],[reject_prod]]/Table13[[#This Row],[part_weight]] * 1000), 0)</f>
        <v>414</v>
      </c>
    </row>
    <row r="221" spans="1:40" hidden="1">
      <c r="A221" s="1">
        <v>46030</v>
      </c>
      <c r="B221">
        <v>1</v>
      </c>
      <c r="C221">
        <v>12</v>
      </c>
      <c r="D221" t="s">
        <v>67</v>
      </c>
      <c r="E221" t="s">
        <v>34</v>
      </c>
      <c r="F221">
        <v>620599</v>
      </c>
      <c r="G221" s="6">
        <v>0</v>
      </c>
      <c r="H221" t="s">
        <v>50</v>
      </c>
      <c r="I221">
        <v>10682928</v>
      </c>
      <c r="J221">
        <v>4</v>
      </c>
      <c r="K221">
        <v>55</v>
      </c>
      <c r="L221">
        <v>55</v>
      </c>
      <c r="M221">
        <v>1525</v>
      </c>
      <c r="N221" s="2">
        <v>72000</v>
      </c>
      <c r="O221" s="2">
        <v>1300</v>
      </c>
      <c r="P221">
        <v>125</v>
      </c>
      <c r="Q221" s="2">
        <v>6100</v>
      </c>
      <c r="R221" s="2">
        <v>7200</v>
      </c>
      <c r="S221">
        <v>396</v>
      </c>
      <c r="T221" s="2">
        <v>46925</v>
      </c>
      <c r="U221" s="2">
        <v>25075</v>
      </c>
      <c r="V221">
        <v>336</v>
      </c>
      <c r="W221">
        <v>0</v>
      </c>
      <c r="X221">
        <v>0</v>
      </c>
      <c r="Y221">
        <v>0</v>
      </c>
      <c r="Z221">
        <v>3.9</v>
      </c>
      <c r="AA221">
        <v>1.1624440999999999E-2</v>
      </c>
      <c r="AB221">
        <v>28</v>
      </c>
      <c r="AC221">
        <v>11.86111111</v>
      </c>
      <c r="AD221">
        <v>28</v>
      </c>
      <c r="AE221" s="7"/>
      <c r="AF221" s="7"/>
      <c r="AG221" s="7"/>
      <c r="AH221" s="7"/>
      <c r="AI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21" s="7"/>
      <c r="AK221" t="s">
        <v>178</v>
      </c>
      <c r="AN221">
        <f>IFERROR(INT(Table13[[#This Row],[reject_prod]]/Table13[[#This Row],[part_weight]] * 1000), 0)</f>
        <v>70</v>
      </c>
    </row>
    <row r="222" spans="1:40" hidden="1">
      <c r="A222" s="1">
        <v>46030</v>
      </c>
      <c r="B222">
        <v>1</v>
      </c>
      <c r="C222">
        <v>13</v>
      </c>
      <c r="D222" t="s">
        <v>61</v>
      </c>
      <c r="E222" t="s">
        <v>46</v>
      </c>
      <c r="F222">
        <v>586276</v>
      </c>
      <c r="G222" s="6">
        <v>0</v>
      </c>
      <c r="H222" t="s">
        <v>47</v>
      </c>
      <c r="I222">
        <v>10682930</v>
      </c>
      <c r="J222">
        <v>6</v>
      </c>
      <c r="K222">
        <v>12.3</v>
      </c>
      <c r="L222">
        <v>12.3</v>
      </c>
      <c r="M222">
        <v>1626</v>
      </c>
      <c r="N222" s="2">
        <v>162000</v>
      </c>
      <c r="O222" s="2">
        <v>7290</v>
      </c>
      <c r="P222">
        <v>810</v>
      </c>
      <c r="Q222" s="2">
        <v>9756</v>
      </c>
      <c r="R222" s="2">
        <v>16200</v>
      </c>
      <c r="S222">
        <v>199</v>
      </c>
      <c r="T222" s="2">
        <v>81810</v>
      </c>
      <c r="U222" s="2">
        <v>80190</v>
      </c>
      <c r="V222">
        <v>120</v>
      </c>
      <c r="W222">
        <v>0</v>
      </c>
      <c r="X222">
        <v>0</v>
      </c>
      <c r="Y222">
        <v>0</v>
      </c>
      <c r="Z222">
        <v>0.8</v>
      </c>
      <c r="AA222">
        <v>6.6667330000000002E-3</v>
      </c>
      <c r="AB222">
        <v>26</v>
      </c>
      <c r="AC222">
        <v>11.74333333</v>
      </c>
      <c r="AD222">
        <v>26</v>
      </c>
      <c r="AE222" s="7"/>
      <c r="AF222" s="7"/>
      <c r="AG222" s="7"/>
      <c r="AH222" s="7"/>
      <c r="AI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0.25666666999999954</v>
      </c>
      <c r="AJ222" s="7"/>
      <c r="AK222" t="s">
        <v>51</v>
      </c>
      <c r="AN222">
        <f>IFERROR(INT(Table13[[#This Row],[reject_prod]]/Table13[[#This Row],[part_weight]] * 1000), 0)</f>
        <v>65</v>
      </c>
    </row>
    <row r="223" spans="1:40" hidden="1">
      <c r="A223" s="1">
        <v>46030</v>
      </c>
      <c r="B223">
        <v>1</v>
      </c>
      <c r="C223">
        <v>14</v>
      </c>
      <c r="D223" t="s">
        <v>62</v>
      </c>
      <c r="E223" t="s">
        <v>46</v>
      </c>
      <c r="F223">
        <v>555979</v>
      </c>
      <c r="G223" s="6">
        <v>1</v>
      </c>
      <c r="H223" t="s">
        <v>52</v>
      </c>
      <c r="I223">
        <v>10682931</v>
      </c>
      <c r="J223">
        <v>6</v>
      </c>
      <c r="K223">
        <v>28</v>
      </c>
      <c r="L223">
        <v>28</v>
      </c>
      <c r="M223">
        <v>84</v>
      </c>
      <c r="N223" s="2">
        <v>100800</v>
      </c>
      <c r="O223" s="2">
        <v>2856</v>
      </c>
      <c r="P223">
        <v>0</v>
      </c>
      <c r="Q223">
        <v>504</v>
      </c>
      <c r="R223" s="2">
        <v>3360</v>
      </c>
      <c r="S223">
        <v>94</v>
      </c>
      <c r="T223" s="2">
        <v>100800</v>
      </c>
      <c r="U223">
        <v>0</v>
      </c>
      <c r="V223">
        <v>14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43.6</v>
      </c>
      <c r="AC223">
        <v>1.0173333330000001</v>
      </c>
      <c r="AD223">
        <v>42</v>
      </c>
      <c r="AE223" s="7"/>
      <c r="AF223" s="7"/>
      <c r="AG223" s="7"/>
      <c r="AH223" s="7"/>
      <c r="AI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10.982666667</v>
      </c>
      <c r="AJ223" s="7"/>
      <c r="AK223" t="s">
        <v>102</v>
      </c>
      <c r="AM223">
        <v>7</v>
      </c>
      <c r="AN223">
        <f>IFERROR(INT(Table13[[#This Row],[reject_prod]]/Table13[[#This Row],[part_weight]] * 1000), 0)</f>
        <v>0</v>
      </c>
    </row>
    <row r="224" spans="1:40" hidden="1">
      <c r="A224" s="1">
        <v>46030</v>
      </c>
      <c r="B224">
        <v>1</v>
      </c>
      <c r="C224">
        <v>14</v>
      </c>
      <c r="D224" t="s">
        <v>62</v>
      </c>
      <c r="E224" t="s">
        <v>46</v>
      </c>
      <c r="F224">
        <v>555979</v>
      </c>
      <c r="G224" s="6">
        <v>1</v>
      </c>
      <c r="H224" t="s">
        <v>52</v>
      </c>
      <c r="I224">
        <v>10682932</v>
      </c>
      <c r="J224">
        <v>6</v>
      </c>
      <c r="K224">
        <v>28</v>
      </c>
      <c r="L224">
        <v>28</v>
      </c>
      <c r="M224">
        <v>844</v>
      </c>
      <c r="N224" s="2">
        <v>100800</v>
      </c>
      <c r="O224">
        <v>0</v>
      </c>
      <c r="P224" s="2">
        <v>1512</v>
      </c>
      <c r="Q224" s="2">
        <v>5064</v>
      </c>
      <c r="R224" s="2">
        <v>3360</v>
      </c>
      <c r="S224">
        <v>94</v>
      </c>
      <c r="T224" s="2">
        <v>4872</v>
      </c>
      <c r="U224" s="2">
        <v>95928</v>
      </c>
      <c r="V224">
        <v>142</v>
      </c>
      <c r="W224">
        <v>0</v>
      </c>
      <c r="X224">
        <v>0</v>
      </c>
      <c r="Y224">
        <v>0</v>
      </c>
      <c r="Z224">
        <v>5.4</v>
      </c>
      <c r="AA224">
        <v>3.8083954000000003E-2</v>
      </c>
      <c r="AB224">
        <v>43.6</v>
      </c>
      <c r="AC224">
        <v>10.22177778</v>
      </c>
      <c r="AD224">
        <v>42</v>
      </c>
      <c r="AE224" s="7"/>
      <c r="AF224" s="7"/>
      <c r="AG224" s="7"/>
      <c r="AH224" s="7"/>
      <c r="AI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1.77822222</v>
      </c>
      <c r="AJ224" s="7"/>
      <c r="AK224" t="s">
        <v>198</v>
      </c>
      <c r="AN224">
        <f>IFERROR(INT(Table13[[#This Row],[reject_prod]]/Table13[[#This Row],[part_weight]] * 1000), 0)</f>
        <v>192</v>
      </c>
    </row>
    <row r="225" spans="1:40" hidden="1">
      <c r="A225" s="1">
        <v>46030</v>
      </c>
      <c r="B225">
        <v>1</v>
      </c>
      <c r="C225">
        <v>15</v>
      </c>
      <c r="D225" t="s">
        <v>61</v>
      </c>
      <c r="E225" t="s">
        <v>46</v>
      </c>
      <c r="F225">
        <v>552181</v>
      </c>
      <c r="G225" s="6">
        <v>2</v>
      </c>
      <c r="H225" t="s">
        <v>49</v>
      </c>
      <c r="I225">
        <v>10682927</v>
      </c>
      <c r="J225">
        <v>6</v>
      </c>
      <c r="K225">
        <v>18.8</v>
      </c>
      <c r="L225">
        <v>18.8</v>
      </c>
      <c r="M225">
        <v>1350</v>
      </c>
      <c r="N225" s="2">
        <v>108000</v>
      </c>
      <c r="O225" s="2">
        <v>13230</v>
      </c>
      <c r="P225" s="2">
        <v>11070</v>
      </c>
      <c r="Q225" s="2">
        <v>8100</v>
      </c>
      <c r="R225" s="2">
        <v>10800</v>
      </c>
      <c r="S225">
        <v>203</v>
      </c>
      <c r="T225" s="2">
        <v>27270</v>
      </c>
      <c r="U225" s="2">
        <v>80730</v>
      </c>
      <c r="V225">
        <v>152</v>
      </c>
      <c r="W225">
        <v>0</v>
      </c>
      <c r="X225">
        <v>0</v>
      </c>
      <c r="Y225">
        <v>0</v>
      </c>
      <c r="Z225">
        <v>1.2</v>
      </c>
      <c r="AA225">
        <v>7.8802209999999998E-3</v>
      </c>
      <c r="AB225">
        <v>31.2</v>
      </c>
      <c r="AC225">
        <v>11.7</v>
      </c>
      <c r="AD225">
        <v>27</v>
      </c>
      <c r="AE225" s="7"/>
      <c r="AF225" s="7"/>
      <c r="AG225" s="7"/>
      <c r="AH225" s="7"/>
      <c r="AI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225" s="7"/>
      <c r="AK225" t="s">
        <v>176</v>
      </c>
      <c r="AN225">
        <f>IFERROR(INT(Table13[[#This Row],[reject_prod]]/Table13[[#This Row],[part_weight]] * 1000), 0)</f>
        <v>63</v>
      </c>
    </row>
    <row r="226" spans="1:40" hidden="1">
      <c r="A226" s="1">
        <v>46030</v>
      </c>
      <c r="B226">
        <v>1</v>
      </c>
      <c r="C226">
        <v>16</v>
      </c>
      <c r="D226" t="s">
        <v>221</v>
      </c>
      <c r="E226" t="s">
        <v>46</v>
      </c>
      <c r="F226">
        <v>555979</v>
      </c>
      <c r="G226" s="6">
        <v>2</v>
      </c>
      <c r="H226" t="s">
        <v>52</v>
      </c>
      <c r="I226">
        <v>10682935</v>
      </c>
      <c r="J226">
        <v>6</v>
      </c>
      <c r="K226">
        <v>28</v>
      </c>
      <c r="L226">
        <v>28</v>
      </c>
      <c r="M226">
        <v>960</v>
      </c>
      <c r="N226" s="2">
        <v>100800</v>
      </c>
      <c r="O226" s="2">
        <v>1680</v>
      </c>
      <c r="P226">
        <v>336</v>
      </c>
      <c r="Q226" s="2">
        <v>5760</v>
      </c>
      <c r="R226" s="2">
        <v>6720</v>
      </c>
      <c r="S226">
        <v>188</v>
      </c>
      <c r="T226" s="2">
        <v>47376</v>
      </c>
      <c r="U226" s="2">
        <v>53424</v>
      </c>
      <c r="V226">
        <v>161</v>
      </c>
      <c r="W226">
        <v>0</v>
      </c>
      <c r="X226">
        <v>0</v>
      </c>
      <c r="Y226">
        <v>0</v>
      </c>
      <c r="Z226">
        <v>11</v>
      </c>
      <c r="AA226">
        <v>6.8204365000000003E-2</v>
      </c>
      <c r="AB226">
        <v>43.7</v>
      </c>
      <c r="AC226">
        <v>11.653333330000001</v>
      </c>
      <c r="AD226">
        <v>42</v>
      </c>
      <c r="AE226" s="7"/>
      <c r="AF226" s="7"/>
      <c r="AG226" s="7"/>
      <c r="AH226" s="7"/>
      <c r="AI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226" s="7"/>
      <c r="AK226" t="s">
        <v>222</v>
      </c>
      <c r="AN226">
        <f>IFERROR(INT(Table13[[#This Row],[reject_prod]]/Table13[[#This Row],[part_weight]] * 1000), 0)</f>
        <v>392</v>
      </c>
    </row>
    <row r="227" spans="1:40" hidden="1">
      <c r="A227" s="1">
        <v>46030</v>
      </c>
      <c r="B227">
        <v>2</v>
      </c>
      <c r="C227">
        <v>1</v>
      </c>
      <c r="D227" t="s">
        <v>58</v>
      </c>
      <c r="E227" t="s">
        <v>34</v>
      </c>
      <c r="F227">
        <v>365091</v>
      </c>
      <c r="G227" s="6">
        <v>0</v>
      </c>
      <c r="H227" t="s">
        <v>189</v>
      </c>
      <c r="I227">
        <v>10682753</v>
      </c>
      <c r="J227">
        <v>4</v>
      </c>
      <c r="K227">
        <v>44</v>
      </c>
      <c r="L227">
        <v>44</v>
      </c>
      <c r="M227">
        <v>1470</v>
      </c>
      <c r="N227" s="2">
        <v>66885</v>
      </c>
      <c r="O227">
        <v>945</v>
      </c>
      <c r="P227">
        <v>420</v>
      </c>
      <c r="Q227" s="2">
        <v>5880</v>
      </c>
      <c r="R227" s="2">
        <v>6300</v>
      </c>
      <c r="S227">
        <v>277</v>
      </c>
      <c r="T227" s="2">
        <v>11760</v>
      </c>
      <c r="U227" s="2">
        <v>55125</v>
      </c>
      <c r="V227">
        <v>259</v>
      </c>
      <c r="W227">
        <v>0</v>
      </c>
      <c r="X227">
        <v>0</v>
      </c>
      <c r="Y227">
        <v>0</v>
      </c>
      <c r="Z227">
        <v>12</v>
      </c>
      <c r="AA227">
        <v>4.6382188999999997E-2</v>
      </c>
      <c r="AB227">
        <v>27.7</v>
      </c>
      <c r="AC227">
        <v>11.310833329999999</v>
      </c>
      <c r="AD227">
        <v>28.64</v>
      </c>
      <c r="AE227" s="7"/>
      <c r="AF227" s="7"/>
      <c r="AG227" s="7"/>
      <c r="AH227" s="7"/>
      <c r="AI2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0.68916667000000054</v>
      </c>
      <c r="AJ227" s="7"/>
      <c r="AK227" t="s">
        <v>75</v>
      </c>
      <c r="AN227">
        <f>IFERROR(INT(Table13[[#This Row],[reject_prod]]/Table13[[#This Row],[part_weight]] * 1000), 0)</f>
        <v>272</v>
      </c>
    </row>
    <row r="228" spans="1:40" hidden="1">
      <c r="A228" s="1">
        <v>46030</v>
      </c>
      <c r="B228">
        <v>2</v>
      </c>
      <c r="C228">
        <v>2</v>
      </c>
      <c r="D228" t="s">
        <v>54</v>
      </c>
      <c r="E228" t="s">
        <v>34</v>
      </c>
      <c r="F228">
        <v>423215</v>
      </c>
      <c r="G228" s="6">
        <v>0</v>
      </c>
      <c r="H228" t="s">
        <v>156</v>
      </c>
      <c r="I228">
        <v>10682755</v>
      </c>
      <c r="J228">
        <v>4</v>
      </c>
      <c r="K228">
        <v>24</v>
      </c>
      <c r="L228">
        <v>24</v>
      </c>
      <c r="M228">
        <v>1560</v>
      </c>
      <c r="N228" s="2">
        <v>89112</v>
      </c>
      <c r="O228">
        <v>846</v>
      </c>
      <c r="P228">
        <v>282</v>
      </c>
      <c r="Q228" s="2">
        <v>6240</v>
      </c>
      <c r="R228" s="2">
        <v>6768</v>
      </c>
      <c r="S228">
        <v>162</v>
      </c>
      <c r="T228" s="2">
        <v>37506</v>
      </c>
      <c r="U228" s="2">
        <v>51606</v>
      </c>
      <c r="V228">
        <v>150</v>
      </c>
      <c r="W228">
        <v>0</v>
      </c>
      <c r="X228">
        <v>0</v>
      </c>
      <c r="Y228">
        <v>0</v>
      </c>
      <c r="Z228">
        <v>3.4</v>
      </c>
      <c r="AA228">
        <v>2.2702990999999999E-2</v>
      </c>
      <c r="AB228">
        <v>27.3</v>
      </c>
      <c r="AC228">
        <v>11.83</v>
      </c>
      <c r="AD228">
        <v>22</v>
      </c>
      <c r="AE228" s="7"/>
      <c r="AF228" s="7"/>
      <c r="AG228" s="7"/>
      <c r="AH228" s="7"/>
      <c r="AI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228" s="7"/>
      <c r="AK228" t="s">
        <v>168</v>
      </c>
      <c r="AN228">
        <f>IFERROR(INT(Table13[[#This Row],[reject_prod]]/Table13[[#This Row],[part_weight]] * 1000), 0)</f>
        <v>141</v>
      </c>
    </row>
    <row r="229" spans="1:40" hidden="1">
      <c r="A229" s="1">
        <v>46030</v>
      </c>
      <c r="B229">
        <v>2</v>
      </c>
      <c r="C229">
        <v>3</v>
      </c>
      <c r="D229" t="s">
        <v>117</v>
      </c>
      <c r="E229" t="s">
        <v>34</v>
      </c>
      <c r="F229">
        <v>442034</v>
      </c>
      <c r="G229" s="6">
        <v>0</v>
      </c>
      <c r="H229" t="s">
        <v>37</v>
      </c>
      <c r="I229">
        <v>10681183</v>
      </c>
      <c r="J229">
        <v>4</v>
      </c>
      <c r="K229">
        <v>23</v>
      </c>
      <c r="L229">
        <v>23</v>
      </c>
      <c r="M229">
        <v>1632</v>
      </c>
      <c r="N229" s="2">
        <v>139776</v>
      </c>
      <c r="O229" s="2">
        <v>2688</v>
      </c>
      <c r="P229">
        <v>0</v>
      </c>
      <c r="Q229" s="2">
        <v>6528</v>
      </c>
      <c r="R229" s="2">
        <v>9216</v>
      </c>
      <c r="S229">
        <v>212</v>
      </c>
      <c r="T229" s="2">
        <v>36864</v>
      </c>
      <c r="U229" s="2">
        <v>102912</v>
      </c>
      <c r="V229">
        <v>150</v>
      </c>
      <c r="W229">
        <v>0</v>
      </c>
      <c r="X229">
        <v>0</v>
      </c>
      <c r="Y229">
        <v>0</v>
      </c>
      <c r="Z229">
        <v>4.5999999999999996</v>
      </c>
      <c r="AA229">
        <v>3.0637254999999999E-2</v>
      </c>
      <c r="AB229">
        <v>25.9</v>
      </c>
      <c r="AC229">
        <v>11.74133333</v>
      </c>
      <c r="AD229">
        <v>22</v>
      </c>
      <c r="AE229" s="7"/>
      <c r="AF229" s="7"/>
      <c r="AG229" s="7"/>
      <c r="AH229" s="7"/>
      <c r="AI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229" s="7"/>
      <c r="AK229" t="s">
        <v>223</v>
      </c>
      <c r="AN229">
        <f>IFERROR(INT(Table13[[#This Row],[reject_prod]]/Table13[[#This Row],[part_weight]] * 1000), 0)</f>
        <v>200</v>
      </c>
    </row>
    <row r="230" spans="1:40" hidden="1">
      <c r="A230" s="1">
        <v>46030</v>
      </c>
      <c r="B230">
        <v>2</v>
      </c>
      <c r="C230">
        <v>4</v>
      </c>
      <c r="F230">
        <v>123456</v>
      </c>
      <c r="G230" s="6">
        <v>0</v>
      </c>
      <c r="M230">
        <v>0</v>
      </c>
      <c r="N230">
        <v>0</v>
      </c>
      <c r="O230">
        <v>0</v>
      </c>
      <c r="P230">
        <v>0</v>
      </c>
      <c r="R230">
        <v>0</v>
      </c>
      <c r="T230">
        <v>0</v>
      </c>
      <c r="X230">
        <v>0</v>
      </c>
      <c r="Z230">
        <v>0</v>
      </c>
      <c r="AB230">
        <v>0</v>
      </c>
      <c r="AC230">
        <v>0</v>
      </c>
      <c r="AD230">
        <v>22.5</v>
      </c>
      <c r="AE230" s="7"/>
      <c r="AF230" s="7"/>
      <c r="AG230" s="7"/>
      <c r="AH230" s="7"/>
      <c r="AI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0" s="7">
        <v>12</v>
      </c>
      <c r="AK230" t="s">
        <v>116</v>
      </c>
      <c r="AN230">
        <f>IFERROR(INT(Table13[[#This Row],[reject_prod]]/Table13[[#This Row],[part_weight]] * 1000), 0)</f>
        <v>0</v>
      </c>
    </row>
    <row r="231" spans="1:40" hidden="1">
      <c r="A231" s="1">
        <v>46030</v>
      </c>
      <c r="B231">
        <v>2</v>
      </c>
      <c r="C231">
        <v>5</v>
      </c>
      <c r="D231" t="s">
        <v>53</v>
      </c>
      <c r="E231" t="s">
        <v>34</v>
      </c>
      <c r="F231">
        <v>611949</v>
      </c>
      <c r="G231" s="6">
        <v>0</v>
      </c>
      <c r="H231" t="s">
        <v>38</v>
      </c>
      <c r="I231">
        <v>10680235</v>
      </c>
      <c r="J231">
        <v>4</v>
      </c>
      <c r="K231">
        <v>20</v>
      </c>
      <c r="L231">
        <v>20</v>
      </c>
      <c r="M231">
        <v>1790</v>
      </c>
      <c r="N231" s="2">
        <v>83600</v>
      </c>
      <c r="O231" s="2">
        <v>3300</v>
      </c>
      <c r="P231" s="2">
        <v>3850</v>
      </c>
      <c r="Q231" s="2">
        <v>7160</v>
      </c>
      <c r="R231" s="2">
        <v>6600</v>
      </c>
      <c r="S231">
        <v>132</v>
      </c>
      <c r="T231" s="2">
        <v>63250</v>
      </c>
      <c r="U231" s="2">
        <v>20350</v>
      </c>
      <c r="V231">
        <v>143</v>
      </c>
      <c r="W231">
        <v>0</v>
      </c>
      <c r="X231">
        <v>0</v>
      </c>
      <c r="Y231">
        <v>0</v>
      </c>
      <c r="Z231">
        <v>3.2</v>
      </c>
      <c r="AA231">
        <v>2.2346369000000001E-2</v>
      </c>
      <c r="AB231">
        <v>23.6</v>
      </c>
      <c r="AC231">
        <v>11.734444440000001</v>
      </c>
      <c r="AD231">
        <v>21.64</v>
      </c>
      <c r="AE231" s="7"/>
      <c r="AF231" s="7"/>
      <c r="AG231" s="7"/>
      <c r="AH231" s="7"/>
      <c r="AI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0.26555555999999925</v>
      </c>
      <c r="AJ231" s="7"/>
      <c r="AK231" t="s">
        <v>193</v>
      </c>
      <c r="AN231">
        <f>IFERROR(INT(Table13[[#This Row],[reject_prod]]/Table13[[#This Row],[part_weight]] * 1000), 0)</f>
        <v>160</v>
      </c>
    </row>
    <row r="232" spans="1:40" hidden="1">
      <c r="A232" s="1">
        <v>46030</v>
      </c>
      <c r="B232">
        <v>2</v>
      </c>
      <c r="C232">
        <v>6</v>
      </c>
      <c r="D232" t="s">
        <v>224</v>
      </c>
      <c r="E232" t="s">
        <v>34</v>
      </c>
      <c r="F232">
        <v>579471</v>
      </c>
      <c r="G232" s="6">
        <v>0</v>
      </c>
      <c r="H232" t="s">
        <v>105</v>
      </c>
      <c r="I232">
        <v>10681843</v>
      </c>
      <c r="J232">
        <v>4</v>
      </c>
      <c r="K232">
        <v>24</v>
      </c>
      <c r="L232">
        <v>24</v>
      </c>
      <c r="M232">
        <v>1890</v>
      </c>
      <c r="N232" s="2">
        <v>50400</v>
      </c>
      <c r="O232" s="2">
        <v>4536</v>
      </c>
      <c r="P232">
        <v>0</v>
      </c>
      <c r="Q232" s="2">
        <v>7560</v>
      </c>
      <c r="R232" s="2">
        <v>12096</v>
      </c>
      <c r="S232">
        <v>290</v>
      </c>
      <c r="T232" s="2">
        <v>48384</v>
      </c>
      <c r="U232" s="2">
        <v>2016</v>
      </c>
      <c r="V232">
        <v>181</v>
      </c>
      <c r="W232">
        <v>0</v>
      </c>
      <c r="X232">
        <v>0</v>
      </c>
      <c r="Y232">
        <v>0</v>
      </c>
      <c r="Z232">
        <v>1.2</v>
      </c>
      <c r="AA232">
        <v>6.6137569999999996E-3</v>
      </c>
      <c r="AB232">
        <v>22.4</v>
      </c>
      <c r="AC232">
        <v>11.76</v>
      </c>
      <c r="AD232">
        <v>23</v>
      </c>
      <c r="AE232" s="7"/>
      <c r="AF232" s="7"/>
      <c r="AG232" s="7"/>
      <c r="AH232" s="7"/>
      <c r="AI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232" s="7"/>
      <c r="AK232" t="s">
        <v>103</v>
      </c>
      <c r="AN232">
        <f>IFERROR(INT(Table13[[#This Row],[reject_prod]]/Table13[[#This Row],[part_weight]] * 1000), 0)</f>
        <v>50</v>
      </c>
    </row>
    <row r="233" spans="1:40" hidden="1">
      <c r="A233" s="1">
        <v>46030</v>
      </c>
      <c r="B233">
        <v>2</v>
      </c>
      <c r="C233">
        <v>7</v>
      </c>
      <c r="D233" t="s">
        <v>225</v>
      </c>
      <c r="E233" t="s">
        <v>34</v>
      </c>
      <c r="F233">
        <v>322435</v>
      </c>
      <c r="G233" s="6">
        <v>0</v>
      </c>
      <c r="H233" t="s">
        <v>216</v>
      </c>
      <c r="I233">
        <v>10682760</v>
      </c>
      <c r="J233">
        <v>4</v>
      </c>
      <c r="K233">
        <v>34.5</v>
      </c>
      <c r="L233">
        <v>34.5</v>
      </c>
      <c r="M233">
        <v>1910</v>
      </c>
      <c r="N233" s="2">
        <v>17640</v>
      </c>
      <c r="O233" s="2">
        <v>1260</v>
      </c>
      <c r="P233">
        <v>0</v>
      </c>
      <c r="Q233" s="2">
        <v>7640</v>
      </c>
      <c r="R233" s="2">
        <v>8820</v>
      </c>
      <c r="S233">
        <v>304</v>
      </c>
      <c r="T233" s="2">
        <v>8820</v>
      </c>
      <c r="U233" s="2">
        <v>8820</v>
      </c>
      <c r="V233">
        <v>264</v>
      </c>
      <c r="W233">
        <v>0</v>
      </c>
      <c r="X233">
        <v>0</v>
      </c>
      <c r="Y233">
        <v>0</v>
      </c>
      <c r="Z233">
        <v>11.3</v>
      </c>
      <c r="AA233">
        <v>4.2871235000000001E-2</v>
      </c>
      <c r="AB233">
        <v>21.98</v>
      </c>
      <c r="AC233">
        <v>11.661611110000001</v>
      </c>
      <c r="AD233">
        <v>22</v>
      </c>
      <c r="AE233" s="7"/>
      <c r="AF233" s="7"/>
      <c r="AG233" s="7"/>
      <c r="AH233" s="7"/>
      <c r="AI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0.33838888999999917</v>
      </c>
      <c r="AJ233" s="7"/>
      <c r="AK233" t="s">
        <v>226</v>
      </c>
      <c r="AN233">
        <f>IFERROR(INT(Table13[[#This Row],[reject_prod]]/Table13[[#This Row],[part_weight]] * 1000), 0)</f>
        <v>327</v>
      </c>
    </row>
    <row r="234" spans="1:40" hidden="1">
      <c r="A234" s="1">
        <v>46030</v>
      </c>
      <c r="B234">
        <v>2</v>
      </c>
      <c r="C234">
        <v>8</v>
      </c>
      <c r="D234" t="s">
        <v>84</v>
      </c>
      <c r="E234" t="s">
        <v>34</v>
      </c>
      <c r="F234">
        <v>323102</v>
      </c>
      <c r="G234" s="6">
        <v>0</v>
      </c>
      <c r="H234" t="s">
        <v>45</v>
      </c>
      <c r="I234">
        <v>10683894</v>
      </c>
      <c r="J234">
        <v>4</v>
      </c>
      <c r="K234">
        <v>56.9</v>
      </c>
      <c r="L234">
        <v>56.9</v>
      </c>
      <c r="M234">
        <v>1560</v>
      </c>
      <c r="N234" s="2">
        <v>38400</v>
      </c>
      <c r="O234">
        <v>0</v>
      </c>
      <c r="P234">
        <v>160</v>
      </c>
      <c r="Q234" s="2">
        <v>6240</v>
      </c>
      <c r="R234" s="2">
        <v>6080</v>
      </c>
      <c r="S234">
        <v>346</v>
      </c>
      <c r="T234" s="2">
        <v>11680</v>
      </c>
      <c r="U234" s="2">
        <v>26720</v>
      </c>
      <c r="V234">
        <v>355</v>
      </c>
      <c r="W234">
        <v>0</v>
      </c>
      <c r="X234">
        <v>0</v>
      </c>
      <c r="Y234">
        <v>0</v>
      </c>
      <c r="Z234">
        <v>3.5</v>
      </c>
      <c r="AA234">
        <v>9.8575999999999993E-3</v>
      </c>
      <c r="AB234">
        <v>27.9</v>
      </c>
      <c r="AC234">
        <v>12</v>
      </c>
      <c r="AD234">
        <v>26</v>
      </c>
      <c r="AE234" s="7"/>
      <c r="AF234" s="7"/>
      <c r="AG234" s="7"/>
      <c r="AH234" s="7"/>
      <c r="AI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4" s="7"/>
      <c r="AK234" t="s">
        <v>227</v>
      </c>
      <c r="AN234">
        <f>IFERROR(INT(Table13[[#This Row],[reject_prod]]/Table13[[#This Row],[part_weight]] * 1000), 0)</f>
        <v>61</v>
      </c>
    </row>
    <row r="235" spans="1:40" hidden="1">
      <c r="A235" s="1">
        <v>46030</v>
      </c>
      <c r="B235">
        <v>2</v>
      </c>
      <c r="C235">
        <v>9</v>
      </c>
      <c r="D235" t="s">
        <v>56</v>
      </c>
      <c r="E235" t="s">
        <v>46</v>
      </c>
      <c r="F235">
        <v>586276</v>
      </c>
      <c r="G235" s="6">
        <v>0</v>
      </c>
      <c r="H235" t="s">
        <v>47</v>
      </c>
      <c r="I235">
        <v>10682923</v>
      </c>
      <c r="J235">
        <v>6</v>
      </c>
      <c r="K235">
        <v>12.3</v>
      </c>
      <c r="L235">
        <v>12.3</v>
      </c>
      <c r="M235">
        <v>1620</v>
      </c>
      <c r="N235" s="2">
        <v>162000</v>
      </c>
      <c r="O235" s="2">
        <v>4050</v>
      </c>
      <c r="P235" s="2">
        <v>5670</v>
      </c>
      <c r="Q235" s="2">
        <v>9720</v>
      </c>
      <c r="R235" s="2">
        <v>8100</v>
      </c>
      <c r="S235">
        <v>100</v>
      </c>
      <c r="T235" s="2">
        <v>151470</v>
      </c>
      <c r="U235" s="2">
        <v>10530</v>
      </c>
      <c r="V235">
        <v>120</v>
      </c>
      <c r="W235">
        <v>0</v>
      </c>
      <c r="X235">
        <v>0</v>
      </c>
      <c r="Y235">
        <v>0</v>
      </c>
      <c r="Z235">
        <v>1.2</v>
      </c>
      <c r="AA235">
        <v>1.0037137E-2</v>
      </c>
      <c r="AB235">
        <v>26.2</v>
      </c>
      <c r="AC235">
        <v>11.79</v>
      </c>
      <c r="AD235">
        <v>26</v>
      </c>
      <c r="AE235" s="7"/>
      <c r="AF235" s="7"/>
      <c r="AG235" s="7"/>
      <c r="AH235" s="7"/>
      <c r="AI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5" s="7"/>
      <c r="AK235" t="s">
        <v>51</v>
      </c>
      <c r="AN235">
        <f>IFERROR(INT(Table13[[#This Row],[reject_prod]]/Table13[[#This Row],[part_weight]] * 1000), 0)</f>
        <v>97</v>
      </c>
    </row>
    <row r="236" spans="1:40" hidden="1">
      <c r="A236" s="1">
        <v>46030</v>
      </c>
      <c r="B236">
        <v>2</v>
      </c>
      <c r="C236">
        <v>10</v>
      </c>
      <c r="D236" t="s">
        <v>228</v>
      </c>
      <c r="E236" t="s">
        <v>41</v>
      </c>
      <c r="F236">
        <v>593537</v>
      </c>
      <c r="G236" s="6">
        <v>0</v>
      </c>
      <c r="H236" t="s">
        <v>48</v>
      </c>
      <c r="I236">
        <v>10682925</v>
      </c>
      <c r="J236">
        <v>4</v>
      </c>
      <c r="K236">
        <v>56.5</v>
      </c>
      <c r="L236">
        <v>56.8</v>
      </c>
      <c r="M236">
        <v>1335</v>
      </c>
      <c r="N236" s="2">
        <v>69000</v>
      </c>
      <c r="O236">
        <v>690</v>
      </c>
      <c r="P236">
        <v>345</v>
      </c>
      <c r="Q236" s="2">
        <v>5340</v>
      </c>
      <c r="R236" s="2">
        <v>5750</v>
      </c>
      <c r="S236">
        <v>327</v>
      </c>
      <c r="T236" s="2">
        <v>49220</v>
      </c>
      <c r="U236" s="2">
        <v>19780</v>
      </c>
      <c r="V236">
        <v>303</v>
      </c>
      <c r="W236">
        <v>-2</v>
      </c>
      <c r="X236">
        <v>0</v>
      </c>
      <c r="Y236">
        <v>0</v>
      </c>
      <c r="Z236">
        <v>8</v>
      </c>
      <c r="AA236">
        <v>2.6375480999999999E-2</v>
      </c>
      <c r="AB236">
        <v>31.7</v>
      </c>
      <c r="AC236">
        <v>11.755416670000001</v>
      </c>
      <c r="AD236">
        <v>28.5</v>
      </c>
      <c r="AE236" s="7"/>
      <c r="AF236" s="7"/>
      <c r="AG236" s="7"/>
      <c r="AH236" s="7"/>
      <c r="AI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0.24458332999999932</v>
      </c>
      <c r="AJ236" s="7"/>
      <c r="AK236" t="s">
        <v>229</v>
      </c>
      <c r="AN236">
        <f>IFERROR(INT(Table13[[#This Row],[reject_prod]]/Table13[[#This Row],[part_weight]] * 1000), 0)</f>
        <v>140</v>
      </c>
    </row>
    <row r="237" spans="1:40" hidden="1">
      <c r="A237" s="1">
        <v>46030</v>
      </c>
      <c r="B237">
        <v>2</v>
      </c>
      <c r="C237">
        <v>11</v>
      </c>
      <c r="D237" t="s">
        <v>139</v>
      </c>
      <c r="E237" t="s">
        <v>46</v>
      </c>
      <c r="F237">
        <v>552181</v>
      </c>
      <c r="G237" s="6">
        <v>1</v>
      </c>
      <c r="H237" t="s">
        <v>49</v>
      </c>
      <c r="I237">
        <v>10682927</v>
      </c>
      <c r="J237">
        <v>6</v>
      </c>
      <c r="K237">
        <v>18.8</v>
      </c>
      <c r="L237">
        <v>18.8</v>
      </c>
      <c r="M237">
        <v>1530</v>
      </c>
      <c r="N237" s="2">
        <v>108000</v>
      </c>
      <c r="O237" s="2">
        <v>11610</v>
      </c>
      <c r="P237" s="2">
        <v>9990</v>
      </c>
      <c r="Q237" s="2">
        <v>9180</v>
      </c>
      <c r="R237" s="2">
        <v>10800</v>
      </c>
      <c r="S237">
        <v>203</v>
      </c>
      <c r="T237" s="2">
        <v>53190</v>
      </c>
      <c r="U237" s="2">
        <v>54810</v>
      </c>
      <c r="V237">
        <v>173</v>
      </c>
      <c r="W237">
        <v>0</v>
      </c>
      <c r="X237">
        <v>0</v>
      </c>
      <c r="Y237">
        <v>0</v>
      </c>
      <c r="Z237">
        <v>1</v>
      </c>
      <c r="AA237">
        <v>5.7942799999999997E-3</v>
      </c>
      <c r="AB237">
        <v>27.6</v>
      </c>
      <c r="AC237">
        <v>11.73</v>
      </c>
      <c r="AD237">
        <v>27</v>
      </c>
      <c r="AE237" s="7"/>
      <c r="AF237" s="7"/>
      <c r="AG237" s="7"/>
      <c r="AH237" s="7"/>
      <c r="AI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37" s="7"/>
      <c r="AK237" t="s">
        <v>51</v>
      </c>
      <c r="AN237">
        <f>IFERROR(INT(Table13[[#This Row],[reject_prod]]/Table13[[#This Row],[part_weight]] * 1000), 0)</f>
        <v>53</v>
      </c>
    </row>
    <row r="238" spans="1:40" hidden="1">
      <c r="A238" s="1">
        <v>46030</v>
      </c>
      <c r="B238">
        <v>2</v>
      </c>
      <c r="C238">
        <v>12</v>
      </c>
      <c r="D238" t="s">
        <v>59</v>
      </c>
      <c r="E238" t="s">
        <v>34</v>
      </c>
      <c r="F238">
        <v>620599</v>
      </c>
      <c r="G238" s="6">
        <v>0</v>
      </c>
      <c r="H238" t="s">
        <v>50</v>
      </c>
      <c r="I238">
        <v>10682928</v>
      </c>
      <c r="J238">
        <v>4</v>
      </c>
      <c r="K238">
        <v>55</v>
      </c>
      <c r="L238">
        <v>55</v>
      </c>
      <c r="M238">
        <v>1545</v>
      </c>
      <c r="N238" s="2">
        <v>72000</v>
      </c>
      <c r="O238">
        <v>125</v>
      </c>
      <c r="P238">
        <v>900</v>
      </c>
      <c r="Q238" s="2">
        <v>6180</v>
      </c>
      <c r="R238" s="2">
        <v>5400</v>
      </c>
      <c r="S238">
        <v>297</v>
      </c>
      <c r="T238" s="2">
        <v>53100</v>
      </c>
      <c r="U238" s="2">
        <v>18900</v>
      </c>
      <c r="V238">
        <v>340</v>
      </c>
      <c r="W238">
        <v>0</v>
      </c>
      <c r="X238">
        <v>0</v>
      </c>
      <c r="Y238">
        <v>0</v>
      </c>
      <c r="Z238">
        <v>4.3</v>
      </c>
      <c r="AA238">
        <v>1.265078E-2</v>
      </c>
      <c r="AB238">
        <v>28</v>
      </c>
      <c r="AC238">
        <v>12</v>
      </c>
      <c r="AD238">
        <v>28</v>
      </c>
      <c r="AE238" s="7"/>
      <c r="AF238" s="7"/>
      <c r="AG238" s="7"/>
      <c r="AH238" s="7"/>
      <c r="AI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" s="7"/>
      <c r="AK238" t="s">
        <v>230</v>
      </c>
      <c r="AN238">
        <f>IFERROR(INT(Table13[[#This Row],[reject_prod]]/Table13[[#This Row],[part_weight]] * 1000), 0)</f>
        <v>78</v>
      </c>
    </row>
    <row r="239" spans="1:40" hidden="1">
      <c r="A239" s="1">
        <v>46030</v>
      </c>
      <c r="B239">
        <v>2</v>
      </c>
      <c r="C239">
        <v>13</v>
      </c>
      <c r="D239" t="s">
        <v>139</v>
      </c>
      <c r="E239" t="s">
        <v>46</v>
      </c>
      <c r="F239">
        <v>586276</v>
      </c>
      <c r="G239" s="6">
        <v>0</v>
      </c>
      <c r="H239" t="s">
        <v>47</v>
      </c>
      <c r="I239">
        <v>10682930</v>
      </c>
      <c r="J239">
        <v>6</v>
      </c>
      <c r="K239">
        <v>12.3</v>
      </c>
      <c r="L239">
        <v>12.3</v>
      </c>
      <c r="M239">
        <v>1560</v>
      </c>
      <c r="N239" s="2">
        <v>162000</v>
      </c>
      <c r="O239">
        <v>810</v>
      </c>
      <c r="P239" s="2">
        <v>2025</v>
      </c>
      <c r="Q239" s="2">
        <v>9360</v>
      </c>
      <c r="R239" s="2">
        <v>8100</v>
      </c>
      <c r="S239">
        <v>100</v>
      </c>
      <c r="T239" s="2">
        <v>91125</v>
      </c>
      <c r="U239" s="2">
        <v>70875</v>
      </c>
      <c r="V239">
        <v>115</v>
      </c>
      <c r="W239">
        <v>0</v>
      </c>
      <c r="X239">
        <v>0</v>
      </c>
      <c r="Y239">
        <v>0</v>
      </c>
      <c r="Z239">
        <v>1.2</v>
      </c>
      <c r="AA239">
        <v>1.0423181E-2</v>
      </c>
      <c r="AB239">
        <v>26.43</v>
      </c>
      <c r="AC239">
        <v>11.452999999999999</v>
      </c>
      <c r="AD239">
        <v>26</v>
      </c>
      <c r="AE239" s="7"/>
      <c r="AF239" s="7"/>
      <c r="AG239" s="7"/>
      <c r="AH239" s="7"/>
      <c r="AI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0.5470000000000006</v>
      </c>
      <c r="AJ239" s="7"/>
      <c r="AK239" t="s">
        <v>51</v>
      </c>
      <c r="AN239">
        <f>IFERROR(INT(Table13[[#This Row],[reject_prod]]/Table13[[#This Row],[part_weight]] * 1000), 0)</f>
        <v>97</v>
      </c>
    </row>
    <row r="240" spans="1:40" hidden="1">
      <c r="A240" s="1">
        <v>46030</v>
      </c>
      <c r="B240">
        <v>2</v>
      </c>
      <c r="C240">
        <v>14</v>
      </c>
      <c r="D240" t="s">
        <v>224</v>
      </c>
      <c r="E240" t="s">
        <v>46</v>
      </c>
      <c r="F240">
        <v>555979</v>
      </c>
      <c r="G240" s="6">
        <v>1</v>
      </c>
      <c r="H240" t="s">
        <v>52</v>
      </c>
      <c r="I240">
        <v>10682932</v>
      </c>
      <c r="J240">
        <v>6</v>
      </c>
      <c r="K240">
        <v>28</v>
      </c>
      <c r="L240">
        <v>28</v>
      </c>
      <c r="M240">
        <v>980</v>
      </c>
      <c r="N240" s="2">
        <v>100800</v>
      </c>
      <c r="O240" s="2">
        <v>1512</v>
      </c>
      <c r="P240" s="2">
        <v>3192</v>
      </c>
      <c r="Q240" s="2">
        <v>5880</v>
      </c>
      <c r="R240" s="2">
        <v>3360</v>
      </c>
      <c r="S240">
        <v>94</v>
      </c>
      <c r="T240" s="2">
        <v>9912</v>
      </c>
      <c r="U240" s="2">
        <v>90888</v>
      </c>
      <c r="V240">
        <v>165</v>
      </c>
      <c r="W240">
        <v>0</v>
      </c>
      <c r="X240">
        <v>0</v>
      </c>
      <c r="Y240">
        <v>0</v>
      </c>
      <c r="Z240">
        <v>2</v>
      </c>
      <c r="AA240">
        <v>1.2147715999999999E-2</v>
      </c>
      <c r="AB240">
        <v>43.6</v>
      </c>
      <c r="AC240">
        <v>11.868888889999999</v>
      </c>
      <c r="AD240">
        <v>42</v>
      </c>
      <c r="AE240" s="7"/>
      <c r="AF240" s="7"/>
      <c r="AG240" s="7"/>
      <c r="AH240" s="7"/>
      <c r="AI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0.13111111000000086</v>
      </c>
      <c r="AJ240" s="7"/>
      <c r="AK240" t="s">
        <v>51</v>
      </c>
      <c r="AN240">
        <f>IFERROR(INT(Table13[[#This Row],[reject_prod]]/Table13[[#This Row],[part_weight]] * 1000), 0)</f>
        <v>71</v>
      </c>
    </row>
    <row r="241" spans="1:40" hidden="1">
      <c r="A241" s="1">
        <v>46030</v>
      </c>
      <c r="B241">
        <v>2</v>
      </c>
      <c r="C241">
        <v>15</v>
      </c>
      <c r="D241" t="s">
        <v>139</v>
      </c>
      <c r="E241" t="s">
        <v>46</v>
      </c>
      <c r="F241">
        <v>552181</v>
      </c>
      <c r="G241" s="6">
        <v>2</v>
      </c>
      <c r="H241" t="s">
        <v>49</v>
      </c>
      <c r="I241">
        <v>10682934</v>
      </c>
      <c r="J241">
        <v>6</v>
      </c>
      <c r="K241">
        <v>18.8</v>
      </c>
      <c r="L241">
        <v>18.8</v>
      </c>
      <c r="M241">
        <v>1395</v>
      </c>
      <c r="N241" s="2">
        <v>108000</v>
      </c>
      <c r="O241" s="2">
        <v>11070</v>
      </c>
      <c r="P241" s="2">
        <v>14040</v>
      </c>
      <c r="Q241" s="2">
        <v>8370</v>
      </c>
      <c r="R241" s="2">
        <v>5400</v>
      </c>
      <c r="S241">
        <v>102</v>
      </c>
      <c r="T241" s="2">
        <v>35640</v>
      </c>
      <c r="U241" s="2">
        <v>72360</v>
      </c>
      <c r="V241">
        <v>157</v>
      </c>
      <c r="W241">
        <v>0</v>
      </c>
      <c r="X241">
        <v>0</v>
      </c>
      <c r="Y241">
        <v>0</v>
      </c>
      <c r="Z241">
        <v>1</v>
      </c>
      <c r="AA241">
        <v>6.3550170000000001E-3</v>
      </c>
      <c r="AB241">
        <v>31.2</v>
      </c>
      <c r="AC241">
        <v>12</v>
      </c>
      <c r="AD241">
        <v>27</v>
      </c>
      <c r="AE241" s="7"/>
      <c r="AF241" s="7"/>
      <c r="AG241" s="7"/>
      <c r="AH241" s="7"/>
      <c r="AI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" s="7"/>
      <c r="AK241" t="s">
        <v>51</v>
      </c>
      <c r="AN241">
        <f>IFERROR(INT(Table13[[#This Row],[reject_prod]]/Table13[[#This Row],[part_weight]] * 1000), 0)</f>
        <v>53</v>
      </c>
    </row>
    <row r="242" spans="1:40" hidden="1">
      <c r="A242" s="1">
        <v>46030</v>
      </c>
      <c r="B242">
        <v>2</v>
      </c>
      <c r="C242">
        <v>16</v>
      </c>
      <c r="D242" t="s">
        <v>124</v>
      </c>
      <c r="E242" t="s">
        <v>46</v>
      </c>
      <c r="F242">
        <v>555979</v>
      </c>
      <c r="G242" s="6">
        <v>2</v>
      </c>
      <c r="H242" t="s">
        <v>52</v>
      </c>
      <c r="I242">
        <v>10682935</v>
      </c>
      <c r="J242">
        <v>6</v>
      </c>
      <c r="K242">
        <v>28</v>
      </c>
      <c r="L242">
        <v>28</v>
      </c>
      <c r="M242">
        <v>990</v>
      </c>
      <c r="N242" s="2">
        <v>100800</v>
      </c>
      <c r="O242">
        <v>336</v>
      </c>
      <c r="P242" s="2">
        <v>2856</v>
      </c>
      <c r="Q242" s="2">
        <v>5940</v>
      </c>
      <c r="R242" s="2">
        <v>3360</v>
      </c>
      <c r="S242">
        <v>94</v>
      </c>
      <c r="T242" s="2">
        <v>53256</v>
      </c>
      <c r="U242" s="2">
        <v>47544</v>
      </c>
      <c r="V242">
        <v>166</v>
      </c>
      <c r="W242">
        <v>0</v>
      </c>
      <c r="X242">
        <v>0</v>
      </c>
      <c r="Y242">
        <v>0</v>
      </c>
      <c r="Z242">
        <v>3.1</v>
      </c>
      <c r="AA242">
        <v>1.8638768999999999E-2</v>
      </c>
      <c r="AB242">
        <v>43.7</v>
      </c>
      <c r="AC242">
        <v>12</v>
      </c>
      <c r="AD242">
        <v>42</v>
      </c>
      <c r="AE242" s="7"/>
      <c r="AF242" s="7"/>
      <c r="AG242" s="7"/>
      <c r="AH242" s="7"/>
      <c r="AI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" s="7"/>
      <c r="AK242" t="s">
        <v>51</v>
      </c>
      <c r="AN242">
        <f>IFERROR(INT(Table13[[#This Row],[reject_prod]]/Table13[[#This Row],[part_weight]] * 1000), 0)</f>
        <v>110</v>
      </c>
    </row>
    <row r="243" spans="1:40" hidden="1">
      <c r="A243" s="1">
        <v>46031</v>
      </c>
      <c r="B243">
        <v>1</v>
      </c>
      <c r="C243">
        <v>1</v>
      </c>
      <c r="D243" t="s">
        <v>141</v>
      </c>
      <c r="E243" t="s">
        <v>34</v>
      </c>
      <c r="F243">
        <v>365091</v>
      </c>
      <c r="G243" s="6">
        <v>0</v>
      </c>
      <c r="H243" t="s">
        <v>189</v>
      </c>
      <c r="I243">
        <v>10682753</v>
      </c>
      <c r="J243">
        <v>4</v>
      </c>
      <c r="K243">
        <v>44</v>
      </c>
      <c r="L243">
        <v>44</v>
      </c>
      <c r="M243">
        <v>1517</v>
      </c>
      <c r="N243" s="2">
        <v>66885</v>
      </c>
      <c r="O243">
        <v>420</v>
      </c>
      <c r="P243">
        <v>105</v>
      </c>
      <c r="Q243" s="2">
        <v>6068</v>
      </c>
      <c r="R243" s="2">
        <v>6300</v>
      </c>
      <c r="S243">
        <v>277</v>
      </c>
      <c r="T243" s="2">
        <v>17745</v>
      </c>
      <c r="U243" s="2">
        <v>49140</v>
      </c>
      <c r="V243">
        <v>267</v>
      </c>
      <c r="W243">
        <v>0</v>
      </c>
      <c r="X243">
        <v>0</v>
      </c>
      <c r="Y243">
        <v>0</v>
      </c>
      <c r="Z243">
        <v>3.2</v>
      </c>
      <c r="AA243">
        <v>1.1985378E-2</v>
      </c>
      <c r="AB243">
        <v>27.5</v>
      </c>
      <c r="AC243">
        <v>11.588194440000001</v>
      </c>
      <c r="AD243">
        <v>28.64</v>
      </c>
      <c r="AE243" s="7"/>
      <c r="AF243" s="7"/>
      <c r="AG243" s="7"/>
      <c r="AH243" s="7"/>
      <c r="AI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0.41180555999999946</v>
      </c>
      <c r="AJ243" s="7"/>
      <c r="AK243" t="s">
        <v>75</v>
      </c>
      <c r="AN243">
        <f>IFERROR(INT(Table13[[#This Row],[reject_prod]]/Table13[[#This Row],[part_weight]] * 1000), 0)</f>
        <v>72</v>
      </c>
    </row>
    <row r="244" spans="1:40" hidden="1">
      <c r="A244" s="1">
        <v>46031</v>
      </c>
      <c r="B244">
        <v>1</v>
      </c>
      <c r="C244">
        <v>2</v>
      </c>
      <c r="D244" t="s">
        <v>112</v>
      </c>
      <c r="E244" t="s">
        <v>34</v>
      </c>
      <c r="F244">
        <v>423215</v>
      </c>
      <c r="G244" s="6">
        <v>0</v>
      </c>
      <c r="H244" t="s">
        <v>156</v>
      </c>
      <c r="I244">
        <v>10682755</v>
      </c>
      <c r="J244">
        <v>4</v>
      </c>
      <c r="K244">
        <v>24</v>
      </c>
      <c r="L244">
        <v>24</v>
      </c>
      <c r="M244">
        <v>1558</v>
      </c>
      <c r="N244" s="2">
        <v>89112</v>
      </c>
      <c r="O244">
        <v>282</v>
      </c>
      <c r="P244" s="2">
        <v>3102</v>
      </c>
      <c r="Q244" s="2">
        <v>6232</v>
      </c>
      <c r="R244" s="2">
        <v>3384</v>
      </c>
      <c r="S244">
        <v>81</v>
      </c>
      <c r="T244" s="2">
        <v>46812</v>
      </c>
      <c r="U244" s="2">
        <v>42300</v>
      </c>
      <c r="V244">
        <v>150</v>
      </c>
      <c r="W244">
        <v>0</v>
      </c>
      <c r="X244">
        <v>0</v>
      </c>
      <c r="Y244">
        <v>0</v>
      </c>
      <c r="Z244">
        <v>1.5</v>
      </c>
      <c r="AA244">
        <v>1.0028883000000001E-2</v>
      </c>
      <c r="AB244">
        <v>27.3</v>
      </c>
      <c r="AC244">
        <v>11.814833330000001</v>
      </c>
      <c r="AD244">
        <v>22</v>
      </c>
      <c r="AE244" s="7"/>
      <c r="AF244" s="7"/>
      <c r="AG244" s="7"/>
      <c r="AH244" s="7"/>
      <c r="AI2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0.1851666699999992</v>
      </c>
      <c r="AJ244" s="7"/>
      <c r="AK244" t="s">
        <v>214</v>
      </c>
      <c r="AN244">
        <f>IFERROR(INT(Table13[[#This Row],[reject_prod]]/Table13[[#This Row],[part_weight]] * 1000), 0)</f>
        <v>62</v>
      </c>
    </row>
    <row r="245" spans="1:40" hidden="1">
      <c r="A245" s="1">
        <v>46031</v>
      </c>
      <c r="B245">
        <v>1</v>
      </c>
      <c r="C245">
        <v>3</v>
      </c>
      <c r="D245" t="s">
        <v>152</v>
      </c>
      <c r="E245" t="s">
        <v>34</v>
      </c>
      <c r="F245">
        <v>442034</v>
      </c>
      <c r="G245" s="6">
        <v>0</v>
      </c>
      <c r="H245" t="s">
        <v>37</v>
      </c>
      <c r="I245">
        <v>10681183</v>
      </c>
      <c r="J245">
        <v>4</v>
      </c>
      <c r="K245">
        <v>23</v>
      </c>
      <c r="L245">
        <v>23</v>
      </c>
      <c r="M245">
        <v>1557</v>
      </c>
      <c r="N245" s="2">
        <v>139776</v>
      </c>
      <c r="O245">
        <v>0</v>
      </c>
      <c r="P245" s="2">
        <v>1536</v>
      </c>
      <c r="Q245" s="2">
        <v>6228</v>
      </c>
      <c r="R245" s="2">
        <v>4608</v>
      </c>
      <c r="S245">
        <v>106</v>
      </c>
      <c r="T245" s="2">
        <v>43008</v>
      </c>
      <c r="U245" s="2">
        <v>96768</v>
      </c>
      <c r="V245">
        <v>143</v>
      </c>
      <c r="W245">
        <v>0</v>
      </c>
      <c r="X245">
        <v>0</v>
      </c>
      <c r="Y245">
        <v>0</v>
      </c>
      <c r="Z245">
        <v>4.5</v>
      </c>
      <c r="AA245">
        <v>3.1414928000000002E-2</v>
      </c>
      <c r="AB245">
        <v>26.9</v>
      </c>
      <c r="AC245">
        <v>11.63425</v>
      </c>
      <c r="AD245">
        <v>22</v>
      </c>
      <c r="AE245" s="7"/>
      <c r="AF245" s="7"/>
      <c r="AG245" s="7"/>
      <c r="AH245" s="7"/>
      <c r="AI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0.36575000000000024</v>
      </c>
      <c r="AJ245" s="7"/>
      <c r="AK245" t="s">
        <v>211</v>
      </c>
      <c r="AL245">
        <v>4</v>
      </c>
      <c r="AM245">
        <v>2</v>
      </c>
      <c r="AN245">
        <f>IFERROR(INT(Table13[[#This Row],[reject_prod]]/Table13[[#This Row],[part_weight]] * 1000), 0)</f>
        <v>195</v>
      </c>
    </row>
    <row r="246" spans="1:40" hidden="1">
      <c r="A246" s="1">
        <v>46031</v>
      </c>
      <c r="B246">
        <v>1</v>
      </c>
      <c r="C246">
        <v>4</v>
      </c>
      <c r="F246">
        <v>123456</v>
      </c>
      <c r="G246" s="6">
        <v>0</v>
      </c>
      <c r="M246">
        <v>0</v>
      </c>
      <c r="N246">
        <v>0</v>
      </c>
      <c r="O246">
        <v>0</v>
      </c>
      <c r="P246">
        <v>0</v>
      </c>
      <c r="R246">
        <v>0</v>
      </c>
      <c r="T246">
        <v>0</v>
      </c>
      <c r="X246">
        <v>0</v>
      </c>
      <c r="Z246">
        <v>0</v>
      </c>
      <c r="AB246">
        <v>0</v>
      </c>
      <c r="AC246">
        <v>0</v>
      </c>
      <c r="AD246">
        <v>22.5</v>
      </c>
      <c r="AE246" s="7"/>
      <c r="AF246" s="7"/>
      <c r="AG246" s="7"/>
      <c r="AH246" s="7"/>
      <c r="AI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" s="7">
        <v>12</v>
      </c>
      <c r="AK246" t="s">
        <v>116</v>
      </c>
      <c r="AN246">
        <f>IFERROR(INT(Table13[[#This Row],[reject_prod]]/Table13[[#This Row],[part_weight]] * 1000), 0)</f>
        <v>0</v>
      </c>
    </row>
    <row r="247" spans="1:40" hidden="1">
      <c r="A247" s="1">
        <v>46031</v>
      </c>
      <c r="B247">
        <v>1</v>
      </c>
      <c r="C247">
        <v>5</v>
      </c>
      <c r="D247" t="s">
        <v>65</v>
      </c>
      <c r="E247" t="s">
        <v>34</v>
      </c>
      <c r="F247">
        <v>611949</v>
      </c>
      <c r="G247" s="6">
        <v>0</v>
      </c>
      <c r="H247" t="s">
        <v>38</v>
      </c>
      <c r="I247">
        <v>10680235</v>
      </c>
      <c r="J247">
        <v>4</v>
      </c>
      <c r="K247">
        <v>20</v>
      </c>
      <c r="L247">
        <v>20</v>
      </c>
      <c r="M247">
        <v>1797</v>
      </c>
      <c r="N247" s="2">
        <v>83600</v>
      </c>
      <c r="O247" s="2">
        <v>3850</v>
      </c>
      <c r="P247" s="2">
        <v>4400</v>
      </c>
      <c r="Q247" s="2">
        <v>7188</v>
      </c>
      <c r="R247" s="2">
        <v>6600</v>
      </c>
      <c r="S247">
        <v>132</v>
      </c>
      <c r="T247" s="2">
        <v>70400</v>
      </c>
      <c r="U247" s="2">
        <v>13200</v>
      </c>
      <c r="V247">
        <v>144</v>
      </c>
      <c r="W247">
        <v>0</v>
      </c>
      <c r="X247">
        <v>0</v>
      </c>
      <c r="Y247">
        <v>0</v>
      </c>
      <c r="Z247">
        <v>1.2</v>
      </c>
      <c r="AA247">
        <v>8.3472449999999997E-3</v>
      </c>
      <c r="AB247">
        <v>23.6</v>
      </c>
      <c r="AC247">
        <v>11.780333329999999</v>
      </c>
      <c r="AD247">
        <v>21.64</v>
      </c>
      <c r="AE247" s="7"/>
      <c r="AF247" s="7"/>
      <c r="AG247" s="7"/>
      <c r="AH247" s="7"/>
      <c r="AI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0.21966667000000051</v>
      </c>
      <c r="AJ247" s="7"/>
      <c r="AK247" t="s">
        <v>193</v>
      </c>
      <c r="AN247">
        <f>IFERROR(INT(Table13[[#This Row],[reject_prod]]/Table13[[#This Row],[part_weight]] * 1000), 0)</f>
        <v>60</v>
      </c>
    </row>
    <row r="248" spans="1:40" hidden="1">
      <c r="A248" s="1">
        <v>46031</v>
      </c>
      <c r="B248">
        <v>1</v>
      </c>
      <c r="C248">
        <v>6</v>
      </c>
      <c r="D248" t="s">
        <v>231</v>
      </c>
      <c r="E248" t="s">
        <v>34</v>
      </c>
      <c r="F248">
        <v>579471</v>
      </c>
      <c r="G248" s="6">
        <v>0</v>
      </c>
      <c r="H248" t="s">
        <v>105</v>
      </c>
      <c r="I248">
        <v>10681843</v>
      </c>
      <c r="J248">
        <v>4</v>
      </c>
      <c r="K248">
        <v>24</v>
      </c>
      <c r="L248">
        <v>24</v>
      </c>
      <c r="M248">
        <v>504</v>
      </c>
      <c r="N248" s="2">
        <v>50400</v>
      </c>
      <c r="O248">
        <v>0</v>
      </c>
      <c r="P248">
        <v>0</v>
      </c>
      <c r="Q248" s="2">
        <v>2016</v>
      </c>
      <c r="R248" s="2">
        <v>2016</v>
      </c>
      <c r="S248">
        <v>48</v>
      </c>
      <c r="T248" s="2">
        <v>50400</v>
      </c>
      <c r="U248">
        <v>0</v>
      </c>
      <c r="V248">
        <v>48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22.4</v>
      </c>
      <c r="AC248">
        <v>3.1360000000000001</v>
      </c>
      <c r="AD248">
        <v>23</v>
      </c>
      <c r="AE248" s="7"/>
      <c r="AF248" s="7"/>
      <c r="AG248" s="7"/>
      <c r="AH248" s="7"/>
      <c r="AI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8.8640000000000008</v>
      </c>
      <c r="AJ248" s="7"/>
      <c r="AK248" t="s">
        <v>232</v>
      </c>
      <c r="AN248">
        <f>IFERROR(INT(Table13[[#This Row],[reject_prod]]/Table13[[#This Row],[part_weight]] * 1000), 0)</f>
        <v>0</v>
      </c>
    </row>
    <row r="249" spans="1:40" hidden="1">
      <c r="A249" s="1">
        <v>46031</v>
      </c>
      <c r="B249">
        <v>1</v>
      </c>
      <c r="C249">
        <v>6</v>
      </c>
      <c r="D249" t="s">
        <v>213</v>
      </c>
      <c r="E249" t="s">
        <v>34</v>
      </c>
      <c r="F249">
        <v>532981</v>
      </c>
      <c r="G249" s="6">
        <v>0</v>
      </c>
      <c r="H249" t="s">
        <v>233</v>
      </c>
      <c r="I249">
        <v>10682758</v>
      </c>
      <c r="J249">
        <v>4</v>
      </c>
      <c r="K249">
        <v>24.45</v>
      </c>
      <c r="L249">
        <v>24</v>
      </c>
      <c r="M249">
        <v>237</v>
      </c>
      <c r="N249" s="2">
        <v>87552</v>
      </c>
      <c r="O249">
        <v>0</v>
      </c>
      <c r="P249">
        <v>912</v>
      </c>
      <c r="Q249">
        <v>948</v>
      </c>
      <c r="R249">
        <v>0</v>
      </c>
      <c r="S249">
        <v>0</v>
      </c>
      <c r="T249">
        <v>912</v>
      </c>
      <c r="U249" s="2">
        <v>86640</v>
      </c>
      <c r="V249">
        <v>23</v>
      </c>
      <c r="W249">
        <v>0</v>
      </c>
      <c r="X249">
        <v>7</v>
      </c>
      <c r="Y249">
        <v>0.30766526</v>
      </c>
      <c r="Z249">
        <v>0.8</v>
      </c>
      <c r="AA249">
        <v>3.5161744000000002E-2</v>
      </c>
      <c r="AB249">
        <v>21.9</v>
      </c>
      <c r="AC249">
        <v>1.4417500000000001</v>
      </c>
      <c r="AD249">
        <v>20</v>
      </c>
      <c r="AE249" s="7"/>
      <c r="AF249" s="7">
        <v>2.5</v>
      </c>
      <c r="AG249" s="7"/>
      <c r="AH249" s="7"/>
      <c r="AI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8.0582499999999992</v>
      </c>
      <c r="AJ249" s="7"/>
      <c r="AK249" t="s">
        <v>234</v>
      </c>
      <c r="AL249">
        <v>3</v>
      </c>
      <c r="AM249">
        <v>5</v>
      </c>
      <c r="AN249">
        <f>IFERROR(INT(Table13[[#This Row],[reject_prod]]/Table13[[#This Row],[part_weight]] * 1000), 0)</f>
        <v>33</v>
      </c>
    </row>
    <row r="250" spans="1:40" hidden="1">
      <c r="A250" s="1">
        <v>46031</v>
      </c>
      <c r="B250">
        <v>1</v>
      </c>
      <c r="C250">
        <v>7</v>
      </c>
      <c r="D250" t="s">
        <v>235</v>
      </c>
      <c r="E250" t="s">
        <v>34</v>
      </c>
      <c r="F250">
        <v>322435</v>
      </c>
      <c r="G250" s="6">
        <v>0</v>
      </c>
      <c r="H250" t="s">
        <v>216</v>
      </c>
      <c r="I250">
        <v>10682760</v>
      </c>
      <c r="J250">
        <v>4</v>
      </c>
      <c r="K250">
        <v>34.5</v>
      </c>
      <c r="L250">
        <v>34.5</v>
      </c>
      <c r="M250">
        <v>1904</v>
      </c>
      <c r="N250" s="2">
        <v>17640</v>
      </c>
      <c r="O250">
        <v>0</v>
      </c>
      <c r="P250">
        <v>0</v>
      </c>
      <c r="Q250" s="2">
        <v>7616</v>
      </c>
      <c r="R250" s="2">
        <v>7350</v>
      </c>
      <c r="S250">
        <v>254</v>
      </c>
      <c r="T250" s="2">
        <v>16170</v>
      </c>
      <c r="U250" s="2">
        <v>1470</v>
      </c>
      <c r="V250">
        <v>263</v>
      </c>
      <c r="W250">
        <v>0</v>
      </c>
      <c r="X250">
        <v>0</v>
      </c>
      <c r="Y250">
        <v>0</v>
      </c>
      <c r="Z250">
        <v>9.1999999999999993</v>
      </c>
      <c r="AA250">
        <v>3.5014006E-2</v>
      </c>
      <c r="AB250">
        <v>22.5</v>
      </c>
      <c r="AC250">
        <v>11.9</v>
      </c>
      <c r="AD250">
        <v>22</v>
      </c>
      <c r="AE250" s="7"/>
      <c r="AF250" s="7"/>
      <c r="AG250" s="7"/>
      <c r="AH250" s="7"/>
      <c r="AI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50" s="7"/>
      <c r="AK250" t="s">
        <v>236</v>
      </c>
      <c r="AN250">
        <f>IFERROR(INT(Table13[[#This Row],[reject_prod]]/Table13[[#This Row],[part_weight]] * 1000), 0)</f>
        <v>266</v>
      </c>
    </row>
    <row r="251" spans="1:40" hidden="1">
      <c r="A251" s="1">
        <v>46031</v>
      </c>
      <c r="B251">
        <v>1</v>
      </c>
      <c r="C251">
        <v>8</v>
      </c>
      <c r="D251" t="s">
        <v>143</v>
      </c>
      <c r="E251" t="s">
        <v>34</v>
      </c>
      <c r="F251">
        <v>323102</v>
      </c>
      <c r="G251" s="6">
        <v>0</v>
      </c>
      <c r="H251" t="s">
        <v>45</v>
      </c>
      <c r="I251">
        <v>10683894</v>
      </c>
      <c r="J251">
        <v>4</v>
      </c>
      <c r="K251">
        <v>56.9</v>
      </c>
      <c r="L251">
        <v>56.9</v>
      </c>
      <c r="M251">
        <v>1571</v>
      </c>
      <c r="N251" s="2">
        <v>38400</v>
      </c>
      <c r="O251">
        <v>160</v>
      </c>
      <c r="P251">
        <v>0</v>
      </c>
      <c r="Q251" s="2">
        <v>6284</v>
      </c>
      <c r="R251" s="2">
        <v>6400</v>
      </c>
      <c r="S251">
        <v>364</v>
      </c>
      <c r="T251" s="2">
        <v>17920</v>
      </c>
      <c r="U251" s="2">
        <v>20480</v>
      </c>
      <c r="V251">
        <v>358</v>
      </c>
      <c r="W251">
        <v>0</v>
      </c>
      <c r="X251">
        <v>0</v>
      </c>
      <c r="Y251">
        <v>0</v>
      </c>
      <c r="Z251">
        <v>1.5</v>
      </c>
      <c r="AA251">
        <v>4.1951050000000002E-3</v>
      </c>
      <c r="AB251">
        <v>27.5</v>
      </c>
      <c r="AC251">
        <v>12</v>
      </c>
      <c r="AD251">
        <v>26</v>
      </c>
      <c r="AE251" s="7"/>
      <c r="AF251" s="7"/>
      <c r="AG251" s="7"/>
      <c r="AH251" s="7"/>
      <c r="AI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1" s="7"/>
      <c r="AK251" t="s">
        <v>75</v>
      </c>
      <c r="AN251">
        <f>IFERROR(INT(Table13[[#This Row],[reject_prod]]/Table13[[#This Row],[part_weight]] * 1000), 0)</f>
        <v>26</v>
      </c>
    </row>
    <row r="252" spans="1:40" hidden="1">
      <c r="A252" s="1">
        <v>46031</v>
      </c>
      <c r="B252">
        <v>1</v>
      </c>
      <c r="C252">
        <v>9</v>
      </c>
      <c r="D252" t="s">
        <v>67</v>
      </c>
      <c r="E252" t="s">
        <v>46</v>
      </c>
      <c r="F252">
        <v>586276</v>
      </c>
      <c r="G252" s="6">
        <v>0</v>
      </c>
      <c r="H252" t="s">
        <v>47</v>
      </c>
      <c r="I252">
        <v>10682923</v>
      </c>
      <c r="J252">
        <v>6</v>
      </c>
      <c r="K252">
        <v>12.3</v>
      </c>
      <c r="L252">
        <v>12.3</v>
      </c>
      <c r="M252">
        <v>1601</v>
      </c>
      <c r="N252" s="2">
        <v>162000</v>
      </c>
      <c r="O252" s="2">
        <v>5670</v>
      </c>
      <c r="P252" s="2">
        <v>6885</v>
      </c>
      <c r="Q252" s="2">
        <v>9606</v>
      </c>
      <c r="R252" s="2">
        <v>8100</v>
      </c>
      <c r="S252">
        <v>100</v>
      </c>
      <c r="T252" s="2">
        <v>160785</v>
      </c>
      <c r="U252" s="2">
        <v>1215</v>
      </c>
      <c r="V252">
        <v>118</v>
      </c>
      <c r="W252">
        <v>0</v>
      </c>
      <c r="X252">
        <v>0</v>
      </c>
      <c r="Y252">
        <v>0</v>
      </c>
      <c r="Z252">
        <v>2.1</v>
      </c>
      <c r="AA252">
        <v>1.7773443999999999E-2</v>
      </c>
      <c r="AB252">
        <v>26.2</v>
      </c>
      <c r="AC252">
        <v>11.65172222</v>
      </c>
      <c r="AD252">
        <v>26</v>
      </c>
      <c r="AE252" s="7"/>
      <c r="AF252" s="7"/>
      <c r="AG252" s="7"/>
      <c r="AH252" s="7"/>
      <c r="AI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0.34827778000000009</v>
      </c>
      <c r="AJ252" s="7"/>
      <c r="AK252" t="s">
        <v>237</v>
      </c>
      <c r="AL252">
        <v>1</v>
      </c>
      <c r="AM252">
        <v>1</v>
      </c>
      <c r="AN252">
        <f>IFERROR(INT(Table13[[#This Row],[reject_prod]]/Table13[[#This Row],[part_weight]] * 1000), 0)</f>
        <v>170</v>
      </c>
    </row>
    <row r="253" spans="1:40" hidden="1">
      <c r="A253" s="1">
        <v>46031</v>
      </c>
      <c r="B253">
        <v>1</v>
      </c>
      <c r="C253">
        <v>10</v>
      </c>
      <c r="D253" t="s">
        <v>238</v>
      </c>
      <c r="E253" t="s">
        <v>41</v>
      </c>
      <c r="F253">
        <v>593537</v>
      </c>
      <c r="G253" s="6">
        <v>0</v>
      </c>
      <c r="H253" t="s">
        <v>48</v>
      </c>
      <c r="I253">
        <v>10682925</v>
      </c>
      <c r="J253">
        <v>4</v>
      </c>
      <c r="K253">
        <v>56.5</v>
      </c>
      <c r="L253">
        <v>56.8</v>
      </c>
      <c r="M253">
        <v>1336</v>
      </c>
      <c r="N253" s="2">
        <v>69000</v>
      </c>
      <c r="O253">
        <v>345</v>
      </c>
      <c r="P253">
        <v>345</v>
      </c>
      <c r="Q253" s="2">
        <v>5344</v>
      </c>
      <c r="R253" s="2">
        <v>5175</v>
      </c>
      <c r="S253">
        <v>294</v>
      </c>
      <c r="T253" s="2">
        <v>54050</v>
      </c>
      <c r="U253" s="2">
        <v>14950</v>
      </c>
      <c r="V253">
        <v>304</v>
      </c>
      <c r="W253">
        <v>0</v>
      </c>
      <c r="X253">
        <v>0</v>
      </c>
      <c r="Y253">
        <v>0</v>
      </c>
      <c r="Z253">
        <v>9.5</v>
      </c>
      <c r="AA253">
        <v>3.1297440000000003E-2</v>
      </c>
      <c r="AB253">
        <v>31.7</v>
      </c>
      <c r="AC253">
        <v>11.764222220000001</v>
      </c>
      <c r="AD253">
        <v>28.5</v>
      </c>
      <c r="AE253" s="7"/>
      <c r="AF253" s="7"/>
      <c r="AG253" s="7"/>
      <c r="AH253" s="7"/>
      <c r="AI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0.23577777999999938</v>
      </c>
      <c r="AJ253" s="7"/>
      <c r="AK253" t="s">
        <v>197</v>
      </c>
      <c r="AM253">
        <v>2</v>
      </c>
      <c r="AN253">
        <f>IFERROR(INT(Table13[[#This Row],[reject_prod]]/Table13[[#This Row],[part_weight]] * 1000), 0)</f>
        <v>167</v>
      </c>
    </row>
    <row r="254" spans="1:40" hidden="1">
      <c r="A254" s="1">
        <v>46031</v>
      </c>
      <c r="B254">
        <v>1</v>
      </c>
      <c r="C254">
        <v>11</v>
      </c>
      <c r="D254" t="s">
        <v>61</v>
      </c>
      <c r="E254" t="s">
        <v>46</v>
      </c>
      <c r="F254">
        <v>552181</v>
      </c>
      <c r="G254" s="6">
        <v>1</v>
      </c>
      <c r="H254" t="s">
        <v>49</v>
      </c>
      <c r="I254">
        <v>10682927</v>
      </c>
      <c r="J254">
        <v>6</v>
      </c>
      <c r="K254">
        <v>18.8</v>
      </c>
      <c r="L254">
        <v>18.8</v>
      </c>
      <c r="M254">
        <v>1535</v>
      </c>
      <c r="N254" s="2">
        <v>108000</v>
      </c>
      <c r="O254" s="2">
        <v>9990</v>
      </c>
      <c r="P254" s="2">
        <v>13500</v>
      </c>
      <c r="Q254" s="2">
        <v>9210</v>
      </c>
      <c r="R254" s="2">
        <v>5400</v>
      </c>
      <c r="S254">
        <v>102</v>
      </c>
      <c r="T254" s="2">
        <v>62100</v>
      </c>
      <c r="U254" s="2">
        <v>45900</v>
      </c>
      <c r="V254">
        <v>173</v>
      </c>
      <c r="W254">
        <v>0</v>
      </c>
      <c r="X254">
        <v>0</v>
      </c>
      <c r="Y254">
        <v>0</v>
      </c>
      <c r="Z254">
        <v>4.5</v>
      </c>
      <c r="AA254">
        <v>2.5989327E-2</v>
      </c>
      <c r="AB254">
        <v>27.6</v>
      </c>
      <c r="AC254">
        <v>11.768333330000001</v>
      </c>
      <c r="AD254">
        <v>27</v>
      </c>
      <c r="AE254" s="7"/>
      <c r="AF254" s="7"/>
      <c r="AG254" s="7"/>
      <c r="AH254" s="7"/>
      <c r="AI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0.23166666999999919</v>
      </c>
      <c r="AJ254" s="7"/>
      <c r="AK254" t="s">
        <v>239</v>
      </c>
      <c r="AN254">
        <f>IFERROR(INT(Table13[[#This Row],[reject_prod]]/Table13[[#This Row],[part_weight]] * 1000), 0)</f>
        <v>239</v>
      </c>
    </row>
    <row r="255" spans="1:40" hidden="1">
      <c r="A255" s="1">
        <v>46031</v>
      </c>
      <c r="B255">
        <v>1</v>
      </c>
      <c r="C255">
        <v>12</v>
      </c>
      <c r="D255" t="s">
        <v>40</v>
      </c>
      <c r="E255" t="s">
        <v>34</v>
      </c>
      <c r="F255">
        <v>620599</v>
      </c>
      <c r="G255" s="6">
        <v>0</v>
      </c>
      <c r="H255" t="s">
        <v>50</v>
      </c>
      <c r="I255">
        <v>10682928</v>
      </c>
      <c r="J255">
        <v>4</v>
      </c>
      <c r="K255">
        <v>55</v>
      </c>
      <c r="L255">
        <v>55</v>
      </c>
      <c r="M255">
        <v>1529</v>
      </c>
      <c r="N255" s="2">
        <v>72000</v>
      </c>
      <c r="O255">
        <v>900</v>
      </c>
      <c r="P255" s="2">
        <v>1125</v>
      </c>
      <c r="Q255" s="2">
        <v>6116</v>
      </c>
      <c r="R255" s="2">
        <v>5400</v>
      </c>
      <c r="S255">
        <v>297</v>
      </c>
      <c r="T255" s="2">
        <v>58725</v>
      </c>
      <c r="U255" s="2">
        <v>13275</v>
      </c>
      <c r="V255">
        <v>336</v>
      </c>
      <c r="W255">
        <v>0</v>
      </c>
      <c r="X255">
        <v>0</v>
      </c>
      <c r="Y255">
        <v>0</v>
      </c>
      <c r="Z255">
        <v>32.5</v>
      </c>
      <c r="AA255">
        <v>9.6616920999999995E-2</v>
      </c>
      <c r="AB255">
        <v>28</v>
      </c>
      <c r="AC255">
        <v>11.892222220000001</v>
      </c>
      <c r="AD255">
        <v>28</v>
      </c>
      <c r="AE255" s="7"/>
      <c r="AF255" s="7"/>
      <c r="AG255" s="7"/>
      <c r="AH255" s="7"/>
      <c r="AI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0.10777777999999927</v>
      </c>
      <c r="AJ255" s="7"/>
      <c r="AK255" t="s">
        <v>240</v>
      </c>
      <c r="AN255">
        <f>IFERROR(INT(Table13[[#This Row],[reject_prod]]/Table13[[#This Row],[part_weight]] * 1000), 0)</f>
        <v>590</v>
      </c>
    </row>
    <row r="256" spans="1:40" hidden="1">
      <c r="A256" s="1">
        <v>46031</v>
      </c>
      <c r="B256">
        <v>1</v>
      </c>
      <c r="C256">
        <v>13</v>
      </c>
      <c r="D256" t="s">
        <v>61</v>
      </c>
      <c r="E256" t="s">
        <v>46</v>
      </c>
      <c r="F256">
        <v>586276</v>
      </c>
      <c r="G256" s="6">
        <v>0</v>
      </c>
      <c r="H256" t="s">
        <v>47</v>
      </c>
      <c r="I256">
        <v>10682930</v>
      </c>
      <c r="J256">
        <v>6</v>
      </c>
      <c r="K256">
        <v>12.3</v>
      </c>
      <c r="L256">
        <v>12.3</v>
      </c>
      <c r="M256">
        <v>1612</v>
      </c>
      <c r="N256" s="2">
        <v>162000</v>
      </c>
      <c r="O256" s="2">
        <v>2025</v>
      </c>
      <c r="P256" s="2">
        <v>3240</v>
      </c>
      <c r="Q256" s="2">
        <v>9672</v>
      </c>
      <c r="R256" s="2">
        <v>8100</v>
      </c>
      <c r="S256">
        <v>100</v>
      </c>
      <c r="T256" s="2">
        <v>100440</v>
      </c>
      <c r="U256" s="2">
        <v>61560</v>
      </c>
      <c r="V256">
        <v>119</v>
      </c>
      <c r="W256">
        <v>0</v>
      </c>
      <c r="X256">
        <v>0</v>
      </c>
      <c r="Y256">
        <v>0</v>
      </c>
      <c r="Z256">
        <v>2.1</v>
      </c>
      <c r="AA256">
        <v>1.7652161999999999E-2</v>
      </c>
      <c r="AB256">
        <v>26.4</v>
      </c>
      <c r="AC256">
        <v>11.82133333</v>
      </c>
      <c r="AD256">
        <v>26</v>
      </c>
      <c r="AE256" s="7"/>
      <c r="AF256" s="7"/>
      <c r="AG256" s="7"/>
      <c r="AH256" s="7"/>
      <c r="AI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0.17866667000000014</v>
      </c>
      <c r="AJ256" s="7"/>
      <c r="AK256" t="s">
        <v>51</v>
      </c>
      <c r="AN256">
        <f>IFERROR(INT(Table13[[#This Row],[reject_prod]]/Table13[[#This Row],[part_weight]] * 1000), 0)</f>
        <v>170</v>
      </c>
    </row>
    <row r="257" spans="1:40" hidden="1">
      <c r="A257" s="1">
        <v>46031</v>
      </c>
      <c r="B257">
        <v>1</v>
      </c>
      <c r="C257">
        <v>14</v>
      </c>
      <c r="D257" t="s">
        <v>231</v>
      </c>
      <c r="E257" t="s">
        <v>46</v>
      </c>
      <c r="F257">
        <v>555979</v>
      </c>
      <c r="G257" s="6">
        <v>1</v>
      </c>
      <c r="H257" t="s">
        <v>52</v>
      </c>
      <c r="I257">
        <v>10682932</v>
      </c>
      <c r="J257">
        <v>6</v>
      </c>
      <c r="K257">
        <v>28</v>
      </c>
      <c r="L257">
        <v>28</v>
      </c>
      <c r="M257">
        <v>953</v>
      </c>
      <c r="N257" s="2">
        <v>100800</v>
      </c>
      <c r="O257" s="2">
        <v>3192</v>
      </c>
      <c r="P257" s="2">
        <v>2016</v>
      </c>
      <c r="Q257" s="2">
        <v>5718</v>
      </c>
      <c r="R257" s="2">
        <v>6720</v>
      </c>
      <c r="S257">
        <v>188</v>
      </c>
      <c r="T257" s="2">
        <v>15456</v>
      </c>
      <c r="U257" s="2">
        <v>85344</v>
      </c>
      <c r="V257">
        <v>160</v>
      </c>
      <c r="W257">
        <v>0</v>
      </c>
      <c r="X257">
        <v>0</v>
      </c>
      <c r="Y257">
        <v>0</v>
      </c>
      <c r="Z257">
        <v>4.3</v>
      </c>
      <c r="AA257">
        <v>2.6857543000000001E-2</v>
      </c>
      <c r="AB257">
        <v>44.1</v>
      </c>
      <c r="AC257">
        <v>11.674250000000001</v>
      </c>
      <c r="AD257">
        <v>42</v>
      </c>
      <c r="AE257" s="7"/>
      <c r="AF257" s="7"/>
      <c r="AG257" s="7"/>
      <c r="AH257" s="7"/>
      <c r="AI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0.32574999999999932</v>
      </c>
      <c r="AJ257" s="7"/>
      <c r="AK257" t="s">
        <v>241</v>
      </c>
      <c r="AN257">
        <f>IFERROR(INT(Table13[[#This Row],[reject_prod]]/Table13[[#This Row],[part_weight]] * 1000), 0)</f>
        <v>153</v>
      </c>
    </row>
    <row r="258" spans="1:40" hidden="1">
      <c r="A258" s="1">
        <v>46031</v>
      </c>
      <c r="B258">
        <v>1</v>
      </c>
      <c r="C258">
        <v>15</v>
      </c>
      <c r="D258" t="s">
        <v>61</v>
      </c>
      <c r="E258" t="s">
        <v>46</v>
      </c>
      <c r="F258">
        <v>552181</v>
      </c>
      <c r="G258" s="6">
        <v>2</v>
      </c>
      <c r="H258" t="s">
        <v>49</v>
      </c>
      <c r="I258">
        <v>10682934</v>
      </c>
      <c r="J258">
        <v>6</v>
      </c>
      <c r="K258">
        <v>18.8</v>
      </c>
      <c r="L258">
        <v>18.8</v>
      </c>
      <c r="M258">
        <v>1356</v>
      </c>
      <c r="N258" s="2">
        <v>108000</v>
      </c>
      <c r="O258" s="2">
        <v>14040</v>
      </c>
      <c r="P258" s="2">
        <v>11340</v>
      </c>
      <c r="Q258" s="2">
        <v>8136</v>
      </c>
      <c r="R258" s="2">
        <v>10800</v>
      </c>
      <c r="S258">
        <v>203</v>
      </c>
      <c r="T258" s="2">
        <v>43740</v>
      </c>
      <c r="U258" s="2">
        <v>64260</v>
      </c>
      <c r="V258">
        <v>153</v>
      </c>
      <c r="W258">
        <v>0</v>
      </c>
      <c r="X258">
        <v>0</v>
      </c>
      <c r="Y258">
        <v>0</v>
      </c>
      <c r="Z258">
        <v>1.2</v>
      </c>
      <c r="AA258">
        <v>7.8453519999999999E-3</v>
      </c>
      <c r="AB258">
        <v>31.3</v>
      </c>
      <c r="AC258">
        <v>11.789666670000001</v>
      </c>
      <c r="AD258">
        <v>27</v>
      </c>
      <c r="AE258" s="7"/>
      <c r="AF258" s="7"/>
      <c r="AG258" s="7"/>
      <c r="AH258" s="7"/>
      <c r="AI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0.21033332999999921</v>
      </c>
      <c r="AJ258" s="7"/>
      <c r="AK258" t="s">
        <v>51</v>
      </c>
      <c r="AN258">
        <f>IFERROR(INT(Table13[[#This Row],[reject_prod]]/Table13[[#This Row],[part_weight]] * 1000), 0)</f>
        <v>63</v>
      </c>
    </row>
    <row r="259" spans="1:40" hidden="1">
      <c r="A259" s="1">
        <v>46031</v>
      </c>
      <c r="B259">
        <v>2</v>
      </c>
      <c r="C259">
        <v>16</v>
      </c>
      <c r="D259" t="s">
        <v>221</v>
      </c>
      <c r="E259" t="s">
        <v>46</v>
      </c>
      <c r="F259">
        <v>555979</v>
      </c>
      <c r="G259" s="6">
        <v>2</v>
      </c>
      <c r="H259" t="s">
        <v>52</v>
      </c>
      <c r="I259">
        <v>10682935</v>
      </c>
      <c r="J259">
        <v>6</v>
      </c>
      <c r="K259">
        <v>28</v>
      </c>
      <c r="L259">
        <v>28</v>
      </c>
      <c r="M259">
        <v>961</v>
      </c>
      <c r="N259" s="2">
        <v>100800</v>
      </c>
      <c r="O259" s="2">
        <v>2856</v>
      </c>
      <c r="P259" s="2">
        <v>1848</v>
      </c>
      <c r="Q259" s="2">
        <v>5766</v>
      </c>
      <c r="R259" s="2">
        <v>6720</v>
      </c>
      <c r="S259">
        <v>188</v>
      </c>
      <c r="T259" s="2">
        <v>58968</v>
      </c>
      <c r="U259" s="2">
        <v>41832</v>
      </c>
      <c r="V259">
        <v>161</v>
      </c>
      <c r="W259">
        <v>0</v>
      </c>
      <c r="X259">
        <v>0</v>
      </c>
      <c r="Y259">
        <v>0</v>
      </c>
      <c r="Z259">
        <v>1.1000000000000001</v>
      </c>
      <c r="AA259">
        <v>6.8133389999999999E-3</v>
      </c>
      <c r="AB259">
        <v>43.7</v>
      </c>
      <c r="AC259">
        <v>11.66547222</v>
      </c>
      <c r="AD259">
        <v>42</v>
      </c>
      <c r="AE259" s="7"/>
      <c r="AF259" s="7"/>
      <c r="AG259" s="7"/>
      <c r="AH259" s="7"/>
      <c r="AI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0.33452778000000016</v>
      </c>
      <c r="AJ259" s="7"/>
      <c r="AK259" t="s">
        <v>51</v>
      </c>
      <c r="AM259">
        <v>4</v>
      </c>
      <c r="AN259">
        <f>IFERROR(INT(Table13[[#This Row],[reject_prod]]/Table13[[#This Row],[part_weight]] * 1000), 0)</f>
        <v>39</v>
      </c>
    </row>
    <row r="260" spans="1:40" hidden="1">
      <c r="A260" s="1">
        <v>46031</v>
      </c>
      <c r="B260">
        <v>2</v>
      </c>
      <c r="C260">
        <v>1</v>
      </c>
      <c r="D260" t="s">
        <v>56</v>
      </c>
      <c r="E260" t="s">
        <v>34</v>
      </c>
      <c r="F260">
        <v>365091</v>
      </c>
      <c r="G260" s="6">
        <v>0</v>
      </c>
      <c r="H260" t="s">
        <v>189</v>
      </c>
      <c r="I260">
        <v>10682753</v>
      </c>
      <c r="J260">
        <v>4</v>
      </c>
      <c r="K260">
        <v>44</v>
      </c>
      <c r="L260">
        <v>44</v>
      </c>
      <c r="M260">
        <v>1575</v>
      </c>
      <c r="N260" s="2">
        <v>66885</v>
      </c>
      <c r="O260">
        <v>105</v>
      </c>
      <c r="P260">
        <v>105</v>
      </c>
      <c r="Q260" s="2">
        <v>6300</v>
      </c>
      <c r="R260" s="2">
        <v>6300</v>
      </c>
      <c r="S260">
        <v>277</v>
      </c>
      <c r="T260" s="2">
        <v>23940</v>
      </c>
      <c r="U260" s="2">
        <v>42945</v>
      </c>
      <c r="V260">
        <v>277</v>
      </c>
      <c r="W260">
        <v>0</v>
      </c>
      <c r="X260">
        <v>0</v>
      </c>
      <c r="Y260">
        <v>0</v>
      </c>
      <c r="Z260">
        <v>1.8</v>
      </c>
      <c r="AA260">
        <v>6.4935059999999996E-3</v>
      </c>
      <c r="AB260">
        <v>27.5</v>
      </c>
      <c r="AC260">
        <v>12</v>
      </c>
      <c r="AD260">
        <v>28.64</v>
      </c>
      <c r="AE260" s="7"/>
      <c r="AF260" s="7"/>
      <c r="AG260" s="7"/>
      <c r="AH260" s="7"/>
      <c r="AI2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0" s="7"/>
      <c r="AK260" t="s">
        <v>75</v>
      </c>
      <c r="AN260">
        <f>IFERROR(INT(Table13[[#This Row],[reject_prod]]/Table13[[#This Row],[part_weight]] * 1000), 0)</f>
        <v>40</v>
      </c>
    </row>
    <row r="261" spans="1:40" hidden="1">
      <c r="A261" s="1">
        <v>46031</v>
      </c>
      <c r="B261">
        <v>2</v>
      </c>
      <c r="C261">
        <v>2</v>
      </c>
      <c r="D261" t="s">
        <v>167</v>
      </c>
      <c r="E261" t="s">
        <v>34</v>
      </c>
      <c r="F261">
        <v>423215</v>
      </c>
      <c r="G261" s="6">
        <v>0</v>
      </c>
      <c r="H261" t="s">
        <v>156</v>
      </c>
      <c r="I261">
        <v>10682755</v>
      </c>
      <c r="J261">
        <v>4</v>
      </c>
      <c r="K261">
        <v>24</v>
      </c>
      <c r="L261">
        <v>24</v>
      </c>
      <c r="M261">
        <v>1600</v>
      </c>
      <c r="N261" s="2">
        <v>89112</v>
      </c>
      <c r="O261" s="2">
        <v>3102</v>
      </c>
      <c r="P261" s="2">
        <v>2820</v>
      </c>
      <c r="Q261" s="2">
        <v>6400</v>
      </c>
      <c r="R261" s="2">
        <v>6768</v>
      </c>
      <c r="S261">
        <v>162</v>
      </c>
      <c r="T261" s="2">
        <v>50196</v>
      </c>
      <c r="U261" s="2">
        <v>38916</v>
      </c>
      <c r="V261">
        <v>154</v>
      </c>
      <c r="W261">
        <v>0</v>
      </c>
      <c r="X261">
        <v>0</v>
      </c>
      <c r="Y261">
        <v>0</v>
      </c>
      <c r="Z261">
        <v>0.5</v>
      </c>
      <c r="AA261">
        <v>3.2552079999999999E-3</v>
      </c>
      <c r="AB261">
        <v>27.3</v>
      </c>
      <c r="AC261">
        <v>12</v>
      </c>
      <c r="AD261">
        <v>22</v>
      </c>
      <c r="AE261" s="7"/>
      <c r="AF261" s="7"/>
      <c r="AG261" s="7"/>
      <c r="AH261" s="7"/>
      <c r="AI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" s="7"/>
      <c r="AK261" t="s">
        <v>214</v>
      </c>
      <c r="AN261">
        <f>IFERROR(INT(Table13[[#This Row],[reject_prod]]/Table13[[#This Row],[part_weight]] * 1000), 0)</f>
        <v>20</v>
      </c>
    </row>
    <row r="262" spans="1:40" hidden="1">
      <c r="A262" s="1">
        <v>46031</v>
      </c>
      <c r="B262">
        <v>2</v>
      </c>
      <c r="C262">
        <v>3</v>
      </c>
      <c r="D262" t="s">
        <v>89</v>
      </c>
      <c r="E262" t="s">
        <v>34</v>
      </c>
      <c r="F262">
        <v>442034</v>
      </c>
      <c r="G262" s="6">
        <v>0</v>
      </c>
      <c r="H262" t="s">
        <v>37</v>
      </c>
      <c r="I262">
        <v>10681183</v>
      </c>
      <c r="J262">
        <v>4</v>
      </c>
      <c r="K262">
        <v>23</v>
      </c>
      <c r="L262">
        <v>23</v>
      </c>
      <c r="M262">
        <v>1560</v>
      </c>
      <c r="N262" s="2">
        <v>139776</v>
      </c>
      <c r="O262" s="2">
        <v>1536</v>
      </c>
      <c r="P262" s="2">
        <v>3072</v>
      </c>
      <c r="Q262" s="2">
        <v>6240</v>
      </c>
      <c r="R262" s="2">
        <v>4608</v>
      </c>
      <c r="S262">
        <v>106</v>
      </c>
      <c r="T262" s="2">
        <v>48384</v>
      </c>
      <c r="U262" s="2">
        <v>91392</v>
      </c>
      <c r="V262">
        <v>144</v>
      </c>
      <c r="W262">
        <v>0</v>
      </c>
      <c r="X262">
        <v>0</v>
      </c>
      <c r="Y262">
        <v>0</v>
      </c>
      <c r="Z262">
        <v>3.8</v>
      </c>
      <c r="AA262">
        <v>2.6477146E-2</v>
      </c>
      <c r="AB262">
        <v>26.78</v>
      </c>
      <c r="AC262">
        <v>11.60466667</v>
      </c>
      <c r="AD262">
        <v>22</v>
      </c>
      <c r="AE262" s="7"/>
      <c r="AF262" s="7"/>
      <c r="AG262" s="7"/>
      <c r="AH262" s="7"/>
      <c r="AI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0.39533332999999971</v>
      </c>
      <c r="AJ262" s="7"/>
      <c r="AK262" t="s">
        <v>75</v>
      </c>
      <c r="AN262">
        <f>IFERROR(INT(Table13[[#This Row],[reject_prod]]/Table13[[#This Row],[part_weight]] * 1000), 0)</f>
        <v>165</v>
      </c>
    </row>
    <row r="263" spans="1:40" hidden="1">
      <c r="A263" s="1">
        <v>46031</v>
      </c>
      <c r="B263">
        <v>2</v>
      </c>
      <c r="C263">
        <v>4</v>
      </c>
      <c r="F263">
        <v>123456</v>
      </c>
      <c r="G263" s="6">
        <v>0</v>
      </c>
      <c r="M263">
        <v>0</v>
      </c>
      <c r="N263">
        <v>0</v>
      </c>
      <c r="O263">
        <v>0</v>
      </c>
      <c r="P263">
        <v>0</v>
      </c>
      <c r="R263">
        <v>0</v>
      </c>
      <c r="T263">
        <v>0</v>
      </c>
      <c r="X263">
        <v>0</v>
      </c>
      <c r="Z263">
        <v>0</v>
      </c>
      <c r="AB263">
        <v>0</v>
      </c>
      <c r="AC263">
        <v>0</v>
      </c>
      <c r="AD263">
        <v>22.5</v>
      </c>
      <c r="AE263" s="7"/>
      <c r="AF263" s="7"/>
      <c r="AG263" s="7"/>
      <c r="AH263" s="7"/>
      <c r="AI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3" s="7">
        <v>12</v>
      </c>
      <c r="AK263" t="s">
        <v>116</v>
      </c>
      <c r="AN263">
        <f>IFERROR(INT(Table13[[#This Row],[reject_prod]]/Table13[[#This Row],[part_weight]] * 1000), 0)</f>
        <v>0</v>
      </c>
    </row>
    <row r="264" spans="1:40" hidden="1">
      <c r="A264" s="1">
        <v>46031</v>
      </c>
      <c r="B264">
        <v>2</v>
      </c>
      <c r="C264">
        <v>5</v>
      </c>
      <c r="D264" t="s">
        <v>117</v>
      </c>
      <c r="E264" t="s">
        <v>34</v>
      </c>
      <c r="F264">
        <v>611949</v>
      </c>
      <c r="G264" s="6">
        <v>0</v>
      </c>
      <c r="H264" t="s">
        <v>38</v>
      </c>
      <c r="I264">
        <v>10680235</v>
      </c>
      <c r="J264">
        <v>4</v>
      </c>
      <c r="K264">
        <v>20</v>
      </c>
      <c r="L264">
        <v>20</v>
      </c>
      <c r="M264">
        <v>1788</v>
      </c>
      <c r="N264" s="2">
        <v>83600</v>
      </c>
      <c r="O264" s="2">
        <v>4400</v>
      </c>
      <c r="P264" s="2">
        <v>4950</v>
      </c>
      <c r="Q264" s="2">
        <v>7152</v>
      </c>
      <c r="R264" s="2">
        <v>6600</v>
      </c>
      <c r="S264">
        <v>132</v>
      </c>
      <c r="T264" s="2">
        <v>77550</v>
      </c>
      <c r="U264" s="2">
        <v>6050</v>
      </c>
      <c r="V264">
        <v>143</v>
      </c>
      <c r="W264">
        <v>0</v>
      </c>
      <c r="X264">
        <v>0</v>
      </c>
      <c r="Y264">
        <v>0</v>
      </c>
      <c r="Z264">
        <v>2</v>
      </c>
      <c r="AA264">
        <v>1.3982102999999999E-2</v>
      </c>
      <c r="AB264">
        <v>23.6</v>
      </c>
      <c r="AC264">
        <v>11.72133333</v>
      </c>
      <c r="AD264">
        <v>21.64</v>
      </c>
      <c r="AE264" s="7"/>
      <c r="AF264" s="7"/>
      <c r="AG264" s="7"/>
      <c r="AH264" s="7"/>
      <c r="AI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0.27866666999999978</v>
      </c>
      <c r="AJ264" s="7"/>
      <c r="AK264" t="s">
        <v>193</v>
      </c>
      <c r="AN264">
        <f>IFERROR(INT(Table13[[#This Row],[reject_prod]]/Table13[[#This Row],[part_weight]] * 1000), 0)</f>
        <v>100</v>
      </c>
    </row>
    <row r="265" spans="1:40" hidden="1">
      <c r="A265" s="1">
        <v>46031</v>
      </c>
      <c r="B265">
        <v>2</v>
      </c>
      <c r="C265">
        <v>6</v>
      </c>
      <c r="D265" t="s">
        <v>242</v>
      </c>
      <c r="E265" t="s">
        <v>34</v>
      </c>
      <c r="F265">
        <v>532981</v>
      </c>
      <c r="G265" s="6">
        <v>0</v>
      </c>
      <c r="H265" t="s">
        <v>233</v>
      </c>
      <c r="I265">
        <v>10682758</v>
      </c>
      <c r="J265">
        <v>4</v>
      </c>
      <c r="K265">
        <v>24.45</v>
      </c>
      <c r="L265">
        <v>24</v>
      </c>
      <c r="M265">
        <v>2020</v>
      </c>
      <c r="N265" s="2">
        <v>87552</v>
      </c>
      <c r="O265">
        <v>912</v>
      </c>
      <c r="P265" s="2">
        <v>3648</v>
      </c>
      <c r="Q265" s="2">
        <v>8080</v>
      </c>
      <c r="R265" s="2">
        <v>5472</v>
      </c>
      <c r="S265">
        <v>131</v>
      </c>
      <c r="T265" s="2">
        <v>9120</v>
      </c>
      <c r="U265" s="2">
        <v>78432</v>
      </c>
      <c r="V265">
        <v>194</v>
      </c>
      <c r="W265">
        <v>4</v>
      </c>
      <c r="X265">
        <v>0</v>
      </c>
      <c r="Y265">
        <v>0</v>
      </c>
      <c r="Z265">
        <v>1.8</v>
      </c>
      <c r="AA265">
        <v>9.2821780000000003E-3</v>
      </c>
      <c r="AB265">
        <v>21.7</v>
      </c>
      <c r="AC265">
        <v>12</v>
      </c>
      <c r="AD265">
        <v>20</v>
      </c>
      <c r="AE265" s="7"/>
      <c r="AF265" s="7"/>
      <c r="AG265" s="7"/>
      <c r="AH265" s="7"/>
      <c r="AI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" s="7"/>
      <c r="AK265" t="s">
        <v>243</v>
      </c>
      <c r="AN265">
        <f>IFERROR(INT(Table13[[#This Row],[reject_prod]]/Table13[[#This Row],[part_weight]] * 1000), 0)</f>
        <v>75</v>
      </c>
    </row>
    <row r="266" spans="1:40" hidden="1">
      <c r="A266" s="1">
        <v>46031</v>
      </c>
      <c r="B266">
        <v>2</v>
      </c>
      <c r="C266">
        <v>7</v>
      </c>
      <c r="D266" t="s">
        <v>244</v>
      </c>
      <c r="E266" t="s">
        <v>34</v>
      </c>
      <c r="F266">
        <v>322435</v>
      </c>
      <c r="G266" s="6">
        <v>0</v>
      </c>
      <c r="H266" t="s">
        <v>216</v>
      </c>
      <c r="I266">
        <v>10682760</v>
      </c>
      <c r="J266">
        <v>4</v>
      </c>
      <c r="K266">
        <v>34.5</v>
      </c>
      <c r="L266">
        <v>34.5</v>
      </c>
      <c r="M266">
        <v>368</v>
      </c>
      <c r="N266" s="2">
        <v>17640</v>
      </c>
      <c r="O266">
        <v>0</v>
      </c>
      <c r="P266">
        <v>0</v>
      </c>
      <c r="Q266" s="2">
        <v>1472</v>
      </c>
      <c r="R266" s="2">
        <v>1470</v>
      </c>
      <c r="S266">
        <v>51</v>
      </c>
      <c r="T266" s="2">
        <v>17640</v>
      </c>
      <c r="U266">
        <v>0</v>
      </c>
      <c r="V266">
        <v>51</v>
      </c>
      <c r="W266">
        <v>0</v>
      </c>
      <c r="X266">
        <v>0</v>
      </c>
      <c r="Y266">
        <v>0</v>
      </c>
      <c r="Z266">
        <v>1</v>
      </c>
      <c r="AA266">
        <v>1.9691241000000002E-2</v>
      </c>
      <c r="AB266">
        <v>22.5</v>
      </c>
      <c r="AC266">
        <v>2.2999999999999998</v>
      </c>
      <c r="AD266">
        <v>22</v>
      </c>
      <c r="AE266" s="7"/>
      <c r="AF266" s="7"/>
      <c r="AG266" s="7"/>
      <c r="AH266" s="7"/>
      <c r="AI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9.6999999999999993</v>
      </c>
      <c r="AJ266" s="7"/>
      <c r="AK266" t="s">
        <v>245</v>
      </c>
      <c r="AN266">
        <f>IFERROR(INT(Table13[[#This Row],[reject_prod]]/Table13[[#This Row],[part_weight]] * 1000), 0)</f>
        <v>28</v>
      </c>
    </row>
    <row r="267" spans="1:40" hidden="1">
      <c r="A267" s="1">
        <v>46031</v>
      </c>
      <c r="B267">
        <v>2</v>
      </c>
      <c r="C267">
        <v>7</v>
      </c>
      <c r="D267" t="s">
        <v>244</v>
      </c>
      <c r="E267" t="s">
        <v>34</v>
      </c>
      <c r="F267">
        <v>324177</v>
      </c>
      <c r="G267" s="6">
        <v>0</v>
      </c>
      <c r="H267" t="s">
        <v>246</v>
      </c>
      <c r="I267">
        <v>10682801</v>
      </c>
      <c r="J267">
        <v>4</v>
      </c>
      <c r="K267">
        <v>34.5</v>
      </c>
      <c r="L267">
        <v>34.5</v>
      </c>
      <c r="M267">
        <v>380</v>
      </c>
      <c r="N267" s="2">
        <v>62400</v>
      </c>
      <c r="O267">
        <v>0</v>
      </c>
      <c r="P267">
        <v>936</v>
      </c>
      <c r="Q267" s="2">
        <v>1520</v>
      </c>
      <c r="R267">
        <v>0</v>
      </c>
      <c r="S267">
        <v>0</v>
      </c>
      <c r="T267">
        <v>936</v>
      </c>
      <c r="U267" s="2">
        <v>61464</v>
      </c>
      <c r="V267">
        <v>52</v>
      </c>
      <c r="W267">
        <v>0</v>
      </c>
      <c r="X267">
        <v>13</v>
      </c>
      <c r="Y267">
        <v>0.24790236500000001</v>
      </c>
      <c r="Z267">
        <v>2</v>
      </c>
      <c r="AA267">
        <v>3.8138825000000001E-2</v>
      </c>
      <c r="AB267">
        <v>21.43</v>
      </c>
      <c r="AC267">
        <v>2.262055556</v>
      </c>
      <c r="AD267">
        <v>22</v>
      </c>
      <c r="AE267" s="7"/>
      <c r="AF267" s="7"/>
      <c r="AG267" s="7">
        <v>1.5</v>
      </c>
      <c r="AH267" s="7"/>
      <c r="AI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8.237944444</v>
      </c>
      <c r="AJ267" s="7"/>
      <c r="AK267" t="s">
        <v>247</v>
      </c>
      <c r="AN267">
        <f>IFERROR(INT(Table13[[#This Row],[reject_prod]]/Table13[[#This Row],[part_weight]] * 1000), 0)</f>
        <v>57</v>
      </c>
    </row>
    <row r="268" spans="1:40" hidden="1">
      <c r="A268" s="1">
        <v>46031</v>
      </c>
      <c r="B268">
        <v>2</v>
      </c>
      <c r="C268">
        <v>8</v>
      </c>
      <c r="D268" t="s">
        <v>53</v>
      </c>
      <c r="E268" t="s">
        <v>34</v>
      </c>
      <c r="F268">
        <v>323102</v>
      </c>
      <c r="G268" s="6">
        <v>0</v>
      </c>
      <c r="H268" t="s">
        <v>45</v>
      </c>
      <c r="I268">
        <v>10683894</v>
      </c>
      <c r="J268">
        <v>4</v>
      </c>
      <c r="K268">
        <v>56.9</v>
      </c>
      <c r="L268">
        <v>56.9</v>
      </c>
      <c r="M268">
        <v>1560</v>
      </c>
      <c r="N268" s="2">
        <v>38400</v>
      </c>
      <c r="O268">
        <v>0</v>
      </c>
      <c r="P268">
        <v>160</v>
      </c>
      <c r="Q268" s="2">
        <v>6240</v>
      </c>
      <c r="R268" s="2">
        <v>6080</v>
      </c>
      <c r="S268">
        <v>346</v>
      </c>
      <c r="T268" s="2">
        <v>24160</v>
      </c>
      <c r="U268" s="2">
        <v>14240</v>
      </c>
      <c r="V268">
        <v>355</v>
      </c>
      <c r="W268">
        <v>0</v>
      </c>
      <c r="X268">
        <v>0</v>
      </c>
      <c r="Y268">
        <v>0</v>
      </c>
      <c r="Z268">
        <v>1.5</v>
      </c>
      <c r="AA268">
        <v>4.2246860000000001E-3</v>
      </c>
      <c r="AB268">
        <v>27.9</v>
      </c>
      <c r="AC268">
        <v>12</v>
      </c>
      <c r="AD268">
        <v>26</v>
      </c>
      <c r="AE268" s="7"/>
      <c r="AF268" s="7"/>
      <c r="AG268" s="7"/>
      <c r="AH268" s="7"/>
      <c r="AI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" s="7"/>
      <c r="AK268" t="s">
        <v>227</v>
      </c>
      <c r="AN268">
        <f>IFERROR(INT(Table13[[#This Row],[reject_prod]]/Table13[[#This Row],[part_weight]] * 1000), 0)</f>
        <v>26</v>
      </c>
    </row>
    <row r="269" spans="1:40" hidden="1">
      <c r="A269" s="1">
        <v>46031</v>
      </c>
      <c r="B269">
        <v>2</v>
      </c>
      <c r="C269">
        <v>9</v>
      </c>
      <c r="D269" t="s">
        <v>208</v>
      </c>
      <c r="E269" t="s">
        <v>46</v>
      </c>
      <c r="F269">
        <v>586276</v>
      </c>
      <c r="G269" s="6">
        <v>0</v>
      </c>
      <c r="H269" t="s">
        <v>47</v>
      </c>
      <c r="I269">
        <v>10682923</v>
      </c>
      <c r="J269">
        <v>6</v>
      </c>
      <c r="K269">
        <v>12.3</v>
      </c>
      <c r="L269">
        <v>12.3</v>
      </c>
      <c r="M269">
        <v>203</v>
      </c>
      <c r="N269" s="2">
        <v>162000</v>
      </c>
      <c r="O269" s="2">
        <v>6885</v>
      </c>
      <c r="P269">
        <v>0</v>
      </c>
      <c r="Q269" s="2">
        <v>1218</v>
      </c>
      <c r="R269" s="2">
        <v>8100</v>
      </c>
      <c r="S269">
        <v>100</v>
      </c>
      <c r="T269" s="2">
        <v>162000</v>
      </c>
      <c r="U269">
        <v>0</v>
      </c>
      <c r="V269">
        <v>15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26.2</v>
      </c>
      <c r="AC269">
        <v>1.477388889</v>
      </c>
      <c r="AD269">
        <v>26</v>
      </c>
      <c r="AE269" s="7"/>
      <c r="AF269" s="7"/>
      <c r="AG269" s="7"/>
      <c r="AH269" s="7"/>
      <c r="AI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10.522611111</v>
      </c>
      <c r="AJ269" s="7"/>
      <c r="AK269" t="s">
        <v>248</v>
      </c>
      <c r="AN269">
        <f>IFERROR(INT(Table13[[#This Row],[reject_prod]]/Table13[[#This Row],[part_weight]] * 1000), 0)</f>
        <v>0</v>
      </c>
    </row>
    <row r="270" spans="1:40" hidden="1">
      <c r="A270" s="1">
        <v>46031</v>
      </c>
      <c r="B270">
        <v>2</v>
      </c>
      <c r="C270">
        <v>9</v>
      </c>
      <c r="D270" t="s">
        <v>208</v>
      </c>
      <c r="E270" t="s">
        <v>46</v>
      </c>
      <c r="F270">
        <v>586276</v>
      </c>
      <c r="G270" s="6">
        <v>0</v>
      </c>
      <c r="H270" t="s">
        <v>47</v>
      </c>
      <c r="I270">
        <v>10682924</v>
      </c>
      <c r="J270">
        <v>6</v>
      </c>
      <c r="K270">
        <v>12.3</v>
      </c>
      <c r="L270">
        <v>12.3</v>
      </c>
      <c r="M270">
        <v>1418</v>
      </c>
      <c r="N270" s="2">
        <v>162000</v>
      </c>
      <c r="O270">
        <v>0</v>
      </c>
      <c r="P270">
        <v>405</v>
      </c>
      <c r="Q270" s="2">
        <v>8508</v>
      </c>
      <c r="R270" s="2">
        <v>8100</v>
      </c>
      <c r="S270">
        <v>100</v>
      </c>
      <c r="T270" s="2">
        <v>8505</v>
      </c>
      <c r="U270" s="2">
        <v>153495</v>
      </c>
      <c r="V270">
        <v>105</v>
      </c>
      <c r="W270">
        <v>0</v>
      </c>
      <c r="X270">
        <v>0</v>
      </c>
      <c r="Y270">
        <v>0</v>
      </c>
      <c r="Z270">
        <v>2</v>
      </c>
      <c r="AA270">
        <v>1.9111616000000001E-2</v>
      </c>
      <c r="AB270">
        <v>26.2</v>
      </c>
      <c r="AC270">
        <v>10.31988889</v>
      </c>
      <c r="AD270">
        <v>26</v>
      </c>
      <c r="AE270" s="7"/>
      <c r="AF270" s="7"/>
      <c r="AG270" s="7"/>
      <c r="AH270" s="7"/>
      <c r="AI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1.6801111100000004</v>
      </c>
      <c r="AJ270" s="7"/>
      <c r="AK270" t="s">
        <v>51</v>
      </c>
      <c r="AN270">
        <f>IFERROR(INT(Table13[[#This Row],[reject_prod]]/Table13[[#This Row],[part_weight]] * 1000), 0)</f>
        <v>162</v>
      </c>
    </row>
    <row r="271" spans="1:40" hidden="1">
      <c r="A271" s="1">
        <v>46031</v>
      </c>
      <c r="B271">
        <v>2</v>
      </c>
      <c r="C271">
        <v>10</v>
      </c>
      <c r="D271" t="s">
        <v>249</v>
      </c>
      <c r="E271" t="s">
        <v>41</v>
      </c>
      <c r="F271">
        <v>593537</v>
      </c>
      <c r="G271" s="6">
        <v>0</v>
      </c>
      <c r="H271" t="s">
        <v>48</v>
      </c>
      <c r="I271">
        <v>10682925</v>
      </c>
      <c r="J271">
        <v>4</v>
      </c>
      <c r="K271">
        <v>56.5</v>
      </c>
      <c r="L271">
        <v>56.8</v>
      </c>
      <c r="M271">
        <v>1345</v>
      </c>
      <c r="N271" s="2">
        <v>69000</v>
      </c>
      <c r="O271">
        <v>345</v>
      </c>
      <c r="P271">
        <v>575</v>
      </c>
      <c r="Q271" s="2">
        <v>5380</v>
      </c>
      <c r="R271" s="2">
        <v>5175</v>
      </c>
      <c r="S271">
        <v>294</v>
      </c>
      <c r="T271" s="2">
        <v>59800</v>
      </c>
      <c r="U271" s="2">
        <v>9200</v>
      </c>
      <c r="V271">
        <v>306</v>
      </c>
      <c r="W271">
        <v>-2</v>
      </c>
      <c r="X271">
        <v>0</v>
      </c>
      <c r="Y271">
        <v>0</v>
      </c>
      <c r="Z271">
        <v>4.8</v>
      </c>
      <c r="AA271">
        <v>1.5707629000000001E-2</v>
      </c>
      <c r="AB271">
        <v>31.7</v>
      </c>
      <c r="AC271">
        <v>11.843472220000001</v>
      </c>
      <c r="AD271">
        <v>28.5</v>
      </c>
      <c r="AE271" s="7"/>
      <c r="AF271" s="7"/>
      <c r="AG271" s="7"/>
      <c r="AH271" s="7"/>
      <c r="AI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0.15652777999999934</v>
      </c>
      <c r="AJ271" s="7"/>
      <c r="AK271" t="s">
        <v>229</v>
      </c>
      <c r="AN271">
        <f>IFERROR(INT(Table13[[#This Row],[reject_prod]]/Table13[[#This Row],[part_weight]] * 1000), 0)</f>
        <v>84</v>
      </c>
    </row>
    <row r="272" spans="1:40" hidden="1">
      <c r="A272" s="1">
        <v>46031</v>
      </c>
      <c r="B272">
        <v>2</v>
      </c>
      <c r="C272">
        <v>11</v>
      </c>
      <c r="D272" t="s">
        <v>59</v>
      </c>
      <c r="E272" t="s">
        <v>46</v>
      </c>
      <c r="F272">
        <v>552181</v>
      </c>
      <c r="G272" s="6">
        <v>1</v>
      </c>
      <c r="H272" t="s">
        <v>49</v>
      </c>
      <c r="I272">
        <v>10682927</v>
      </c>
      <c r="J272">
        <v>6</v>
      </c>
      <c r="K272">
        <v>18.8</v>
      </c>
      <c r="L272">
        <v>18.8</v>
      </c>
      <c r="M272">
        <v>1560</v>
      </c>
      <c r="N272" s="2">
        <v>108000</v>
      </c>
      <c r="O272" s="2">
        <v>13500</v>
      </c>
      <c r="P272" s="2">
        <v>11880</v>
      </c>
      <c r="Q272" s="2">
        <v>9360</v>
      </c>
      <c r="R272" s="2">
        <v>10800</v>
      </c>
      <c r="S272">
        <v>203</v>
      </c>
      <c r="T272" s="2">
        <v>71280</v>
      </c>
      <c r="U272" s="2">
        <v>36720</v>
      </c>
      <c r="V272">
        <v>176</v>
      </c>
      <c r="W272">
        <v>0</v>
      </c>
      <c r="X272">
        <v>0</v>
      </c>
      <c r="Y272">
        <v>0</v>
      </c>
      <c r="Z272">
        <v>1</v>
      </c>
      <c r="AA272">
        <v>5.682851E-3</v>
      </c>
      <c r="AB272">
        <v>27.6</v>
      </c>
      <c r="AC272">
        <v>11.96</v>
      </c>
      <c r="AD272">
        <v>27</v>
      </c>
      <c r="AE272" s="7"/>
      <c r="AF272" s="7"/>
      <c r="AG272" s="7"/>
      <c r="AH272" s="7"/>
      <c r="AI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72" s="7"/>
      <c r="AK272" t="s">
        <v>51</v>
      </c>
      <c r="AN272">
        <f>IFERROR(INT(Table13[[#This Row],[reject_prod]]/Table13[[#This Row],[part_weight]] * 1000), 0)</f>
        <v>53</v>
      </c>
    </row>
    <row r="273" spans="1:40" hidden="1">
      <c r="A273" s="1">
        <v>46031</v>
      </c>
      <c r="B273">
        <v>2</v>
      </c>
      <c r="C273">
        <v>12</v>
      </c>
      <c r="D273" t="s">
        <v>54</v>
      </c>
      <c r="E273" t="s">
        <v>34</v>
      </c>
      <c r="F273">
        <v>620599</v>
      </c>
      <c r="G273" s="6">
        <v>0</v>
      </c>
      <c r="H273" t="s">
        <v>50</v>
      </c>
      <c r="I273">
        <v>10682928</v>
      </c>
      <c r="J273">
        <v>4</v>
      </c>
      <c r="K273">
        <v>55</v>
      </c>
      <c r="L273">
        <v>55</v>
      </c>
      <c r="M273">
        <v>1400</v>
      </c>
      <c r="N273" s="2">
        <v>72000</v>
      </c>
      <c r="O273" s="2">
        <v>1125</v>
      </c>
      <c r="P273" s="2">
        <v>1125</v>
      </c>
      <c r="Q273" s="2">
        <v>5600</v>
      </c>
      <c r="R273" s="2">
        <v>5400</v>
      </c>
      <c r="S273">
        <v>297</v>
      </c>
      <c r="T273" s="2">
        <v>64125</v>
      </c>
      <c r="U273" s="2">
        <v>7875</v>
      </c>
      <c r="V273">
        <v>308</v>
      </c>
      <c r="W273">
        <v>0</v>
      </c>
      <c r="X273">
        <v>0</v>
      </c>
      <c r="Y273">
        <v>0</v>
      </c>
      <c r="Z273">
        <v>34</v>
      </c>
      <c r="AA273">
        <v>0.11038961</v>
      </c>
      <c r="AB273">
        <v>28</v>
      </c>
      <c r="AC273">
        <v>10.88888889</v>
      </c>
      <c r="AD273">
        <v>28</v>
      </c>
      <c r="AE273" s="7"/>
      <c r="AF273" s="7"/>
      <c r="AG273" s="7"/>
      <c r="AH273" s="7"/>
      <c r="AI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1.1111111099999995</v>
      </c>
      <c r="AJ273" s="7"/>
      <c r="AK273" t="s">
        <v>250</v>
      </c>
      <c r="AN273">
        <f>IFERROR(INT(Table13[[#This Row],[reject_prod]]/Table13[[#This Row],[part_weight]] * 1000), 0)</f>
        <v>618</v>
      </c>
    </row>
    <row r="274" spans="1:40" hidden="1">
      <c r="A274" s="1">
        <v>46031</v>
      </c>
      <c r="B274">
        <v>2</v>
      </c>
      <c r="C274">
        <v>13</v>
      </c>
      <c r="D274" t="s">
        <v>59</v>
      </c>
      <c r="E274" t="s">
        <v>46</v>
      </c>
      <c r="F274">
        <v>586276</v>
      </c>
      <c r="G274" s="6">
        <v>0</v>
      </c>
      <c r="H274" t="s">
        <v>47</v>
      </c>
      <c r="I274">
        <v>10682930</v>
      </c>
      <c r="J274">
        <v>6</v>
      </c>
      <c r="K274">
        <v>12.3</v>
      </c>
      <c r="L274">
        <v>12.3</v>
      </c>
      <c r="M274">
        <v>1620</v>
      </c>
      <c r="N274" s="2">
        <v>162000</v>
      </c>
      <c r="O274" s="2">
        <v>3240</v>
      </c>
      <c r="P274" s="2">
        <v>4860</v>
      </c>
      <c r="Q274" s="2">
        <v>9720</v>
      </c>
      <c r="R274" s="2">
        <v>8100</v>
      </c>
      <c r="S274">
        <v>100</v>
      </c>
      <c r="T274" s="2">
        <v>110160</v>
      </c>
      <c r="U274" s="2">
        <v>51840</v>
      </c>
      <c r="V274">
        <v>120</v>
      </c>
      <c r="W274">
        <v>0</v>
      </c>
      <c r="X274">
        <v>0</v>
      </c>
      <c r="Y274">
        <v>0</v>
      </c>
      <c r="Z274">
        <v>1</v>
      </c>
      <c r="AA274">
        <v>8.3642809999999995E-3</v>
      </c>
      <c r="AB274">
        <v>26.43</v>
      </c>
      <c r="AC274">
        <v>11.8935</v>
      </c>
      <c r="AD274">
        <v>26</v>
      </c>
      <c r="AE274" s="7"/>
      <c r="AF274" s="7"/>
      <c r="AG274" s="7"/>
      <c r="AH274" s="7"/>
      <c r="AI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274" s="7"/>
      <c r="AK274" t="s">
        <v>51</v>
      </c>
      <c r="AN274">
        <f>IFERROR(INT(Table13[[#This Row],[reject_prod]]/Table13[[#This Row],[part_weight]] * 1000), 0)</f>
        <v>81</v>
      </c>
    </row>
    <row r="275" spans="1:40" hidden="1">
      <c r="A275" s="1">
        <v>46031</v>
      </c>
      <c r="B275">
        <v>2</v>
      </c>
      <c r="C275">
        <v>14</v>
      </c>
      <c r="D275" t="s">
        <v>244</v>
      </c>
      <c r="E275" t="s">
        <v>46</v>
      </c>
      <c r="F275">
        <v>555979</v>
      </c>
      <c r="G275" s="6">
        <v>1</v>
      </c>
      <c r="H275" t="s">
        <v>52</v>
      </c>
      <c r="I275">
        <v>10682932</v>
      </c>
      <c r="J275">
        <v>6</v>
      </c>
      <c r="K275">
        <v>28</v>
      </c>
      <c r="L275">
        <v>28</v>
      </c>
      <c r="M275">
        <v>920</v>
      </c>
      <c r="N275" s="2">
        <v>100800</v>
      </c>
      <c r="O275" s="2">
        <v>2016</v>
      </c>
      <c r="P275" s="2">
        <v>1176</v>
      </c>
      <c r="Q275" s="2">
        <v>5520</v>
      </c>
      <c r="R275" s="2">
        <v>6720</v>
      </c>
      <c r="S275">
        <v>188</v>
      </c>
      <c r="T275" s="2">
        <v>21336</v>
      </c>
      <c r="U275" s="2">
        <v>79464</v>
      </c>
      <c r="V275">
        <v>155</v>
      </c>
      <c r="W275">
        <v>0</v>
      </c>
      <c r="X275">
        <v>0</v>
      </c>
      <c r="Y275">
        <v>0</v>
      </c>
      <c r="Z275">
        <v>12.8</v>
      </c>
      <c r="AA275">
        <v>8.2815735000000001E-2</v>
      </c>
      <c r="AB275">
        <v>44.1</v>
      </c>
      <c r="AC275">
        <v>11.27</v>
      </c>
      <c r="AD275">
        <v>42</v>
      </c>
      <c r="AE275" s="7"/>
      <c r="AF275" s="7"/>
      <c r="AG275" s="7"/>
      <c r="AH275" s="7"/>
      <c r="AI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0.73000000000000043</v>
      </c>
      <c r="AJ275" s="7"/>
      <c r="AK275" t="s">
        <v>251</v>
      </c>
      <c r="AN275">
        <f>IFERROR(INT(Table13[[#This Row],[reject_prod]]/Table13[[#This Row],[part_weight]] * 1000), 0)</f>
        <v>457</v>
      </c>
    </row>
    <row r="276" spans="1:40" hidden="1">
      <c r="A276" s="1">
        <v>46031</v>
      </c>
      <c r="B276">
        <v>2</v>
      </c>
      <c r="C276">
        <v>15</v>
      </c>
      <c r="D276" t="s">
        <v>59</v>
      </c>
      <c r="E276" t="s">
        <v>46</v>
      </c>
      <c r="F276">
        <v>552181</v>
      </c>
      <c r="G276" s="6">
        <v>2</v>
      </c>
      <c r="H276" t="s">
        <v>49</v>
      </c>
      <c r="I276">
        <v>10682934</v>
      </c>
      <c r="J276">
        <v>6</v>
      </c>
      <c r="K276">
        <v>18.8</v>
      </c>
      <c r="L276">
        <v>18.8</v>
      </c>
      <c r="M276">
        <v>1360</v>
      </c>
      <c r="N276" s="2">
        <v>108000</v>
      </c>
      <c r="O276" s="2">
        <v>11340</v>
      </c>
      <c r="P276" s="2">
        <v>14040</v>
      </c>
      <c r="Q276" s="2">
        <v>8160</v>
      </c>
      <c r="R276" s="2">
        <v>5400</v>
      </c>
      <c r="S276">
        <v>102</v>
      </c>
      <c r="T276" s="2">
        <v>51840</v>
      </c>
      <c r="U276" s="2">
        <v>56160</v>
      </c>
      <c r="V276">
        <v>153</v>
      </c>
      <c r="W276">
        <v>0</v>
      </c>
      <c r="X276">
        <v>0</v>
      </c>
      <c r="Y276">
        <v>0</v>
      </c>
      <c r="Z276">
        <v>1</v>
      </c>
      <c r="AA276">
        <v>6.5185649999999996E-3</v>
      </c>
      <c r="AB276">
        <v>31.2</v>
      </c>
      <c r="AC276">
        <v>11.786666670000001</v>
      </c>
      <c r="AD276">
        <v>27</v>
      </c>
      <c r="AE276" s="7"/>
      <c r="AF276" s="7"/>
      <c r="AG276" s="7"/>
      <c r="AH276" s="7"/>
      <c r="AI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276" s="7"/>
      <c r="AK276" t="s">
        <v>51</v>
      </c>
      <c r="AN276">
        <f>IFERROR(INT(Table13[[#This Row],[reject_prod]]/Table13[[#This Row],[part_weight]] * 1000), 0)</f>
        <v>53</v>
      </c>
    </row>
    <row r="277" spans="1:40" hidden="1">
      <c r="A277" s="1">
        <v>46031</v>
      </c>
      <c r="B277">
        <v>2</v>
      </c>
      <c r="C277">
        <v>16</v>
      </c>
      <c r="D277" t="s">
        <v>88</v>
      </c>
      <c r="E277" t="s">
        <v>46</v>
      </c>
      <c r="F277">
        <v>555979</v>
      </c>
      <c r="G277" s="6">
        <v>2</v>
      </c>
      <c r="H277" t="s">
        <v>52</v>
      </c>
      <c r="I277">
        <v>10682935</v>
      </c>
      <c r="J277">
        <v>6</v>
      </c>
      <c r="K277">
        <v>28</v>
      </c>
      <c r="L277">
        <v>28</v>
      </c>
      <c r="M277">
        <v>990</v>
      </c>
      <c r="N277" s="2">
        <v>100800</v>
      </c>
      <c r="O277" s="2">
        <v>1848</v>
      </c>
      <c r="P277" s="2">
        <v>1008</v>
      </c>
      <c r="Q277" s="2">
        <v>5940</v>
      </c>
      <c r="R277" s="2">
        <v>6720</v>
      </c>
      <c r="S277">
        <v>188</v>
      </c>
      <c r="T277" s="2">
        <v>68208</v>
      </c>
      <c r="U277" s="2">
        <v>32592</v>
      </c>
      <c r="V277">
        <v>166</v>
      </c>
      <c r="W277">
        <v>0</v>
      </c>
      <c r="X277">
        <v>0</v>
      </c>
      <c r="Y277">
        <v>0</v>
      </c>
      <c r="Z277">
        <v>1.2</v>
      </c>
      <c r="AA277">
        <v>7.2150069999999998E-3</v>
      </c>
      <c r="AB277">
        <v>43.7</v>
      </c>
      <c r="AC277">
        <v>12</v>
      </c>
      <c r="AD277">
        <v>42</v>
      </c>
      <c r="AE277" s="7"/>
      <c r="AF277" s="7"/>
      <c r="AG277" s="7"/>
      <c r="AH277" s="7"/>
      <c r="AI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" s="7"/>
      <c r="AK277" t="s">
        <v>51</v>
      </c>
      <c r="AN277">
        <f>IFERROR(INT(Table13[[#This Row],[reject_prod]]/Table13[[#This Row],[part_weight]] * 1000), 0)</f>
        <v>42</v>
      </c>
    </row>
    <row r="278" spans="1:40" hidden="1">
      <c r="A278" s="1">
        <v>46032</v>
      </c>
      <c r="B278">
        <v>1</v>
      </c>
      <c r="C278">
        <v>1</v>
      </c>
      <c r="D278" t="s">
        <v>61</v>
      </c>
      <c r="E278" t="s">
        <v>34</v>
      </c>
      <c r="F278">
        <v>365091</v>
      </c>
      <c r="G278" s="6">
        <v>0</v>
      </c>
      <c r="H278" t="s">
        <v>189</v>
      </c>
      <c r="I278">
        <v>10682753</v>
      </c>
      <c r="J278">
        <v>4</v>
      </c>
      <c r="K278">
        <v>44</v>
      </c>
      <c r="L278">
        <v>44</v>
      </c>
      <c r="M278">
        <v>1422</v>
      </c>
      <c r="N278" s="2">
        <v>66885</v>
      </c>
      <c r="O278">
        <v>105</v>
      </c>
      <c r="P278">
        <v>630</v>
      </c>
      <c r="Q278" s="2">
        <v>5688</v>
      </c>
      <c r="R278" s="2">
        <v>5040</v>
      </c>
      <c r="S278">
        <v>222</v>
      </c>
      <c r="T278" s="2">
        <v>30870</v>
      </c>
      <c r="U278" s="2">
        <v>36015</v>
      </c>
      <c r="V278">
        <v>250</v>
      </c>
      <c r="W278">
        <v>0</v>
      </c>
      <c r="X278">
        <v>0</v>
      </c>
      <c r="Y278">
        <v>0</v>
      </c>
      <c r="Z278">
        <v>3</v>
      </c>
      <c r="AA278">
        <v>1.1986958000000001E-2</v>
      </c>
      <c r="AB278">
        <v>27.5</v>
      </c>
      <c r="AC278">
        <v>10.862500000000001</v>
      </c>
      <c r="AD278">
        <v>28.64</v>
      </c>
      <c r="AE278" s="7"/>
      <c r="AF278" s="7"/>
      <c r="AG278" s="7"/>
      <c r="AH278" s="7"/>
      <c r="AI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1.1374999999999993</v>
      </c>
      <c r="AJ278" s="7"/>
      <c r="AK278" t="s">
        <v>75</v>
      </c>
      <c r="AN278">
        <f>IFERROR(INT(Table13[[#This Row],[reject_prod]]/Table13[[#This Row],[part_weight]] * 1000), 0)</f>
        <v>68</v>
      </c>
    </row>
    <row r="279" spans="1:40" hidden="1">
      <c r="A279" s="1">
        <v>46032</v>
      </c>
      <c r="B279">
        <v>1</v>
      </c>
      <c r="C279">
        <v>2</v>
      </c>
      <c r="D279" t="s">
        <v>141</v>
      </c>
      <c r="E279" t="s">
        <v>34</v>
      </c>
      <c r="F279">
        <v>423215</v>
      </c>
      <c r="G279" s="6">
        <v>0</v>
      </c>
      <c r="H279" t="s">
        <v>156</v>
      </c>
      <c r="I279">
        <v>10682755</v>
      </c>
      <c r="J279">
        <v>4</v>
      </c>
      <c r="K279">
        <v>24</v>
      </c>
      <c r="L279">
        <v>24</v>
      </c>
      <c r="M279">
        <v>1563</v>
      </c>
      <c r="N279" s="2">
        <v>89112</v>
      </c>
      <c r="O279" s="2">
        <v>2820</v>
      </c>
      <c r="P279" s="2">
        <v>2256</v>
      </c>
      <c r="Q279" s="2">
        <v>6252</v>
      </c>
      <c r="R279" s="2">
        <v>6768</v>
      </c>
      <c r="S279">
        <v>162</v>
      </c>
      <c r="T279" s="2">
        <v>56400</v>
      </c>
      <c r="U279" s="2">
        <v>32712</v>
      </c>
      <c r="V279">
        <v>150</v>
      </c>
      <c r="W279">
        <v>0</v>
      </c>
      <c r="X279">
        <v>0</v>
      </c>
      <c r="Y279">
        <v>0</v>
      </c>
      <c r="Z279">
        <v>1</v>
      </c>
      <c r="AA279">
        <v>6.6645339999999997E-3</v>
      </c>
      <c r="AB279">
        <v>27.3</v>
      </c>
      <c r="AC279">
        <v>11.85275</v>
      </c>
      <c r="AD279">
        <v>22</v>
      </c>
      <c r="AE279" s="7"/>
      <c r="AF279" s="7"/>
      <c r="AG279" s="7"/>
      <c r="AH279" s="7"/>
      <c r="AI2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0.14724999999999966</v>
      </c>
      <c r="AJ279" s="7"/>
      <c r="AK279" t="s">
        <v>214</v>
      </c>
      <c r="AN279">
        <f>IFERROR(INT(Table13[[#This Row],[reject_prod]]/Table13[[#This Row],[part_weight]] * 1000), 0)</f>
        <v>41</v>
      </c>
    </row>
    <row r="280" spans="1:40" hidden="1">
      <c r="A280" s="1">
        <v>46032</v>
      </c>
      <c r="B280">
        <v>1</v>
      </c>
      <c r="C280">
        <v>3</v>
      </c>
      <c r="D280" t="s">
        <v>43</v>
      </c>
      <c r="E280" t="s">
        <v>34</v>
      </c>
      <c r="F280">
        <v>442034</v>
      </c>
      <c r="G280" s="6">
        <v>0</v>
      </c>
      <c r="H280" t="s">
        <v>37</v>
      </c>
      <c r="I280">
        <v>10681183</v>
      </c>
      <c r="J280">
        <v>4</v>
      </c>
      <c r="K280">
        <v>23</v>
      </c>
      <c r="L280">
        <v>23</v>
      </c>
      <c r="M280">
        <v>1466</v>
      </c>
      <c r="N280" s="2">
        <v>139776</v>
      </c>
      <c r="O280" s="2">
        <v>3072</v>
      </c>
      <c r="P280" s="2">
        <v>3840</v>
      </c>
      <c r="Q280" s="2">
        <v>5864</v>
      </c>
      <c r="R280" s="2">
        <v>4608</v>
      </c>
      <c r="S280">
        <v>106</v>
      </c>
      <c r="T280" s="2">
        <v>54528</v>
      </c>
      <c r="U280" s="2">
        <v>85248</v>
      </c>
      <c r="V280">
        <v>135</v>
      </c>
      <c r="W280">
        <v>0</v>
      </c>
      <c r="X280">
        <v>0</v>
      </c>
      <c r="Y280">
        <v>0</v>
      </c>
      <c r="Z280">
        <v>6.5</v>
      </c>
      <c r="AA280">
        <v>4.8193843E-2</v>
      </c>
      <c r="AB280">
        <v>26.9</v>
      </c>
      <c r="AC280">
        <v>10.95427778</v>
      </c>
      <c r="AD280">
        <v>22</v>
      </c>
      <c r="AE280" s="7"/>
      <c r="AF280" s="7"/>
      <c r="AG280" s="7"/>
      <c r="AH280" s="7"/>
      <c r="AI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1.04572222</v>
      </c>
      <c r="AJ280" s="7"/>
      <c r="AK280" t="s">
        <v>252</v>
      </c>
      <c r="AN280">
        <f>IFERROR(INT(Table13[[#This Row],[reject_prod]]/Table13[[#This Row],[part_weight]] * 1000), 0)</f>
        <v>282</v>
      </c>
    </row>
    <row r="281" spans="1:40" hidden="1">
      <c r="A281" s="1">
        <v>46032</v>
      </c>
      <c r="B281">
        <v>1</v>
      </c>
      <c r="C281">
        <v>4</v>
      </c>
      <c r="F281">
        <v>123456</v>
      </c>
      <c r="G281" s="6">
        <v>0</v>
      </c>
      <c r="M281">
        <v>0</v>
      </c>
      <c r="N281">
        <v>0</v>
      </c>
      <c r="O281">
        <v>0</v>
      </c>
      <c r="P281">
        <v>0</v>
      </c>
      <c r="R281">
        <v>0</v>
      </c>
      <c r="T281">
        <v>0</v>
      </c>
      <c r="X281">
        <v>0</v>
      </c>
      <c r="Z281">
        <v>0</v>
      </c>
      <c r="AB281">
        <v>0</v>
      </c>
      <c r="AC281">
        <v>0</v>
      </c>
      <c r="AD281">
        <v>22.5</v>
      </c>
      <c r="AE281" s="7"/>
      <c r="AF281" s="7"/>
      <c r="AG281" s="7"/>
      <c r="AH281" s="7"/>
      <c r="AI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" s="7">
        <v>12</v>
      </c>
      <c r="AK281" t="s">
        <v>116</v>
      </c>
      <c r="AN281">
        <f>IFERROR(INT(Table13[[#This Row],[reject_prod]]/Table13[[#This Row],[part_weight]] * 1000), 0)</f>
        <v>0</v>
      </c>
    </row>
    <row r="282" spans="1:40" hidden="1">
      <c r="A282" s="1">
        <v>46032</v>
      </c>
      <c r="B282">
        <v>1</v>
      </c>
      <c r="C282">
        <v>5</v>
      </c>
      <c r="D282" t="s">
        <v>143</v>
      </c>
      <c r="E282" t="s">
        <v>34</v>
      </c>
      <c r="F282">
        <v>611949</v>
      </c>
      <c r="G282" s="6">
        <v>0</v>
      </c>
      <c r="H282" t="s">
        <v>38</v>
      </c>
      <c r="I282">
        <v>10680235</v>
      </c>
      <c r="J282">
        <v>4</v>
      </c>
      <c r="K282">
        <v>20</v>
      </c>
      <c r="L282">
        <v>20</v>
      </c>
      <c r="M282">
        <v>1511</v>
      </c>
      <c r="N282" s="2">
        <v>83600</v>
      </c>
      <c r="O282" s="2">
        <v>4950</v>
      </c>
      <c r="P282">
        <v>0</v>
      </c>
      <c r="Q282" s="2">
        <v>6044</v>
      </c>
      <c r="R282" s="2">
        <v>11000</v>
      </c>
      <c r="S282">
        <v>220</v>
      </c>
      <c r="T282" s="2">
        <v>83600</v>
      </c>
      <c r="U282">
        <v>0</v>
      </c>
      <c r="V282">
        <v>121</v>
      </c>
      <c r="W282">
        <v>0</v>
      </c>
      <c r="X282">
        <v>0</v>
      </c>
      <c r="Y282">
        <v>0</v>
      </c>
      <c r="Z282">
        <v>4</v>
      </c>
      <c r="AA282">
        <v>3.3090667999999997E-2</v>
      </c>
      <c r="AB282">
        <v>23.6</v>
      </c>
      <c r="AC282">
        <v>9.9054444440000005</v>
      </c>
      <c r="AD282">
        <v>21.64</v>
      </c>
      <c r="AE282" s="7"/>
      <c r="AF282" s="7"/>
      <c r="AG282" s="7"/>
      <c r="AH282" s="7"/>
      <c r="AI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2.0945555559999995</v>
      </c>
      <c r="AJ282" s="7"/>
      <c r="AK282" t="s">
        <v>253</v>
      </c>
      <c r="AN282">
        <f>IFERROR(INT(Table13[[#This Row],[reject_prod]]/Table13[[#This Row],[part_weight]] * 1000), 0)</f>
        <v>200</v>
      </c>
    </row>
    <row r="283" spans="1:40" hidden="1">
      <c r="A283" s="1">
        <v>46032</v>
      </c>
      <c r="B283">
        <v>1</v>
      </c>
      <c r="C283">
        <v>6</v>
      </c>
      <c r="D283" t="s">
        <v>152</v>
      </c>
      <c r="E283" t="s">
        <v>34</v>
      </c>
      <c r="F283">
        <v>532981</v>
      </c>
      <c r="G283" s="6">
        <v>0</v>
      </c>
      <c r="H283" t="s">
        <v>233</v>
      </c>
      <c r="I283">
        <v>10682758</v>
      </c>
      <c r="J283">
        <v>4</v>
      </c>
      <c r="K283">
        <v>24.45</v>
      </c>
      <c r="L283">
        <v>24</v>
      </c>
      <c r="M283">
        <v>1956</v>
      </c>
      <c r="N283" s="2">
        <v>87552</v>
      </c>
      <c r="O283" s="2">
        <v>3648</v>
      </c>
      <c r="P283">
        <v>456</v>
      </c>
      <c r="Q283" s="2">
        <v>7824</v>
      </c>
      <c r="R283" s="2">
        <v>10944</v>
      </c>
      <c r="S283">
        <v>263</v>
      </c>
      <c r="T283" s="2">
        <v>16872</v>
      </c>
      <c r="U283" s="2">
        <v>70680</v>
      </c>
      <c r="V283">
        <v>188</v>
      </c>
      <c r="W283">
        <v>0</v>
      </c>
      <c r="X283">
        <v>0</v>
      </c>
      <c r="Y283">
        <v>0</v>
      </c>
      <c r="Z283">
        <v>3</v>
      </c>
      <c r="AA283">
        <v>1.5976483E-2</v>
      </c>
      <c r="AB283">
        <v>21.9</v>
      </c>
      <c r="AC283">
        <v>11.898999999999999</v>
      </c>
      <c r="AD283">
        <v>20</v>
      </c>
      <c r="AE283" s="7"/>
      <c r="AF283" s="7"/>
      <c r="AG283" s="7"/>
      <c r="AH283" s="7"/>
      <c r="AI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0.10100000000000087</v>
      </c>
      <c r="AJ283" s="7"/>
      <c r="AK283" t="s">
        <v>214</v>
      </c>
      <c r="AN283">
        <f>IFERROR(INT(Table13[[#This Row],[reject_prod]]/Table13[[#This Row],[part_weight]] * 1000), 0)</f>
        <v>125</v>
      </c>
    </row>
    <row r="284" spans="1:40" hidden="1">
      <c r="A284" s="1">
        <v>46032</v>
      </c>
      <c r="B284">
        <v>1</v>
      </c>
      <c r="C284">
        <v>7</v>
      </c>
      <c r="D284" t="s">
        <v>254</v>
      </c>
      <c r="E284" t="s">
        <v>34</v>
      </c>
      <c r="F284">
        <v>324177</v>
      </c>
      <c r="G284" s="6">
        <v>0</v>
      </c>
      <c r="H284" t="s">
        <v>246</v>
      </c>
      <c r="I284">
        <v>10682801</v>
      </c>
      <c r="J284">
        <v>4</v>
      </c>
      <c r="K284">
        <v>34.5</v>
      </c>
      <c r="L284">
        <v>34.5</v>
      </c>
      <c r="M284">
        <v>1228</v>
      </c>
      <c r="N284" s="2">
        <v>62400</v>
      </c>
      <c r="O284">
        <v>936</v>
      </c>
      <c r="P284">
        <v>312</v>
      </c>
      <c r="Q284" s="2">
        <v>4912</v>
      </c>
      <c r="R284" s="2">
        <v>4680</v>
      </c>
      <c r="S284">
        <v>161</v>
      </c>
      <c r="T284" s="2">
        <v>4992</v>
      </c>
      <c r="U284" s="2">
        <v>57408</v>
      </c>
      <c r="V284">
        <v>169</v>
      </c>
      <c r="W284">
        <v>0</v>
      </c>
      <c r="X284">
        <v>18.600000000000001</v>
      </c>
      <c r="Y284">
        <v>0.109757825</v>
      </c>
      <c r="Z284">
        <v>0</v>
      </c>
      <c r="AA284">
        <v>0</v>
      </c>
      <c r="AB284">
        <v>21.43</v>
      </c>
      <c r="AC284">
        <v>7.3100111109999997</v>
      </c>
      <c r="AD284">
        <v>22</v>
      </c>
      <c r="AE284" s="7"/>
      <c r="AF284" s="7"/>
      <c r="AG284" s="7"/>
      <c r="AH284" s="7"/>
      <c r="AI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4.6899888890000003</v>
      </c>
      <c r="AJ284" s="7"/>
      <c r="AK284" t="s">
        <v>255</v>
      </c>
      <c r="AN284">
        <f>IFERROR(INT(Table13[[#This Row],[reject_prod]]/Table13[[#This Row],[part_weight]] * 1000), 0)</f>
        <v>0</v>
      </c>
    </row>
    <row r="285" spans="1:40" hidden="1">
      <c r="A285" s="1">
        <v>46032</v>
      </c>
      <c r="B285">
        <v>1</v>
      </c>
      <c r="C285">
        <v>8</v>
      </c>
      <c r="D285" t="s">
        <v>129</v>
      </c>
      <c r="E285" t="s">
        <v>34</v>
      </c>
      <c r="F285">
        <v>323102</v>
      </c>
      <c r="G285" s="6">
        <v>0</v>
      </c>
      <c r="H285" t="s">
        <v>45</v>
      </c>
      <c r="I285">
        <v>10683894</v>
      </c>
      <c r="J285">
        <v>4</v>
      </c>
      <c r="K285">
        <v>56.9</v>
      </c>
      <c r="L285">
        <v>56.9</v>
      </c>
      <c r="M285">
        <v>395</v>
      </c>
      <c r="N285" s="2">
        <v>38400</v>
      </c>
      <c r="O285">
        <v>160</v>
      </c>
      <c r="P285">
        <v>0</v>
      </c>
      <c r="Q285" s="2">
        <v>1580</v>
      </c>
      <c r="R285" s="2">
        <v>1600</v>
      </c>
      <c r="S285">
        <v>91</v>
      </c>
      <c r="T285" s="2">
        <v>25600</v>
      </c>
      <c r="U285" s="2">
        <v>12800</v>
      </c>
      <c r="V285">
        <v>90</v>
      </c>
      <c r="W285">
        <v>0</v>
      </c>
      <c r="X285">
        <v>0</v>
      </c>
      <c r="Y285">
        <v>0</v>
      </c>
      <c r="Z285">
        <v>4.3</v>
      </c>
      <c r="AA285">
        <v>4.7829859000000002E-2</v>
      </c>
      <c r="AB285">
        <v>27.5</v>
      </c>
      <c r="AC285">
        <v>3.017361111</v>
      </c>
      <c r="AD285">
        <v>26</v>
      </c>
      <c r="AE285" s="7"/>
      <c r="AF285" s="7"/>
      <c r="AG285" s="7"/>
      <c r="AH285" s="7"/>
      <c r="AI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8.9826388890000004</v>
      </c>
      <c r="AJ285" s="7"/>
      <c r="AK285" t="s">
        <v>256</v>
      </c>
      <c r="AN285">
        <f>IFERROR(INT(Table13[[#This Row],[reject_prod]]/Table13[[#This Row],[part_weight]] * 1000), 0)</f>
        <v>75</v>
      </c>
    </row>
    <row r="286" spans="1:40" hidden="1">
      <c r="A286" s="1">
        <v>46032</v>
      </c>
      <c r="B286">
        <v>1</v>
      </c>
      <c r="C286">
        <v>9</v>
      </c>
      <c r="D286" t="s">
        <v>257</v>
      </c>
      <c r="E286" t="s">
        <v>46</v>
      </c>
      <c r="F286">
        <v>586276</v>
      </c>
      <c r="G286" s="6">
        <v>0</v>
      </c>
      <c r="H286" t="s">
        <v>47</v>
      </c>
      <c r="I286">
        <v>10682924</v>
      </c>
      <c r="J286">
        <v>6</v>
      </c>
      <c r="K286">
        <v>12.3</v>
      </c>
      <c r="L286">
        <v>12.3</v>
      </c>
      <c r="M286">
        <v>1624</v>
      </c>
      <c r="N286" s="2">
        <v>162000</v>
      </c>
      <c r="O286">
        <v>405</v>
      </c>
      <c r="P286" s="2">
        <v>2025</v>
      </c>
      <c r="Q286" s="2">
        <v>9744</v>
      </c>
      <c r="R286" s="2">
        <v>8100</v>
      </c>
      <c r="S286">
        <v>100</v>
      </c>
      <c r="T286" s="2">
        <v>18225</v>
      </c>
      <c r="U286" s="2">
        <v>143775</v>
      </c>
      <c r="V286">
        <v>120</v>
      </c>
      <c r="W286">
        <v>0</v>
      </c>
      <c r="X286">
        <v>0</v>
      </c>
      <c r="Y286">
        <v>0</v>
      </c>
      <c r="Z286">
        <v>1</v>
      </c>
      <c r="AA286">
        <v>8.3436789999999997E-3</v>
      </c>
      <c r="AB286">
        <v>26.2</v>
      </c>
      <c r="AC286">
        <v>11.81911111</v>
      </c>
      <c r="AD286">
        <v>26</v>
      </c>
      <c r="AE286" s="7"/>
      <c r="AF286" s="7"/>
      <c r="AG286" s="7"/>
      <c r="AH286" s="7"/>
      <c r="AI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86" s="7"/>
      <c r="AK286" t="s">
        <v>51</v>
      </c>
      <c r="AN286">
        <f>IFERROR(INT(Table13[[#This Row],[reject_prod]]/Table13[[#This Row],[part_weight]] * 1000), 0)</f>
        <v>81</v>
      </c>
    </row>
    <row r="287" spans="1:40" hidden="1">
      <c r="A287" s="1">
        <v>46032</v>
      </c>
      <c r="B287">
        <v>1</v>
      </c>
      <c r="C287">
        <v>10</v>
      </c>
      <c r="D287" t="s">
        <v>254</v>
      </c>
      <c r="E287" t="s">
        <v>41</v>
      </c>
      <c r="F287">
        <v>593537</v>
      </c>
      <c r="G287" s="6">
        <v>0</v>
      </c>
      <c r="H287" t="s">
        <v>48</v>
      </c>
      <c r="I287">
        <v>10682925</v>
      </c>
      <c r="J287">
        <v>4</v>
      </c>
      <c r="K287">
        <v>56.5</v>
      </c>
      <c r="L287">
        <v>56.8</v>
      </c>
      <c r="M287">
        <v>1379</v>
      </c>
      <c r="N287" s="2">
        <v>69000</v>
      </c>
      <c r="O287">
        <v>575</v>
      </c>
      <c r="P287">
        <v>0</v>
      </c>
      <c r="Q287" s="2">
        <v>5516</v>
      </c>
      <c r="R287" s="2">
        <v>5750</v>
      </c>
      <c r="S287">
        <v>327</v>
      </c>
      <c r="T287" s="2">
        <v>64975</v>
      </c>
      <c r="U287" s="2">
        <v>4025</v>
      </c>
      <c r="V287">
        <v>313</v>
      </c>
      <c r="W287">
        <v>0</v>
      </c>
      <c r="X287">
        <v>0</v>
      </c>
      <c r="Y287">
        <v>0</v>
      </c>
      <c r="Z287">
        <v>1</v>
      </c>
      <c r="AA287">
        <v>3.1917389999999999E-3</v>
      </c>
      <c r="AB287">
        <v>31.7</v>
      </c>
      <c r="AC287">
        <v>12</v>
      </c>
      <c r="AD287">
        <v>28.5</v>
      </c>
      <c r="AE287" s="7"/>
      <c r="AF287" s="7"/>
      <c r="AG287" s="7"/>
      <c r="AH287" s="7"/>
      <c r="AI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7" s="7"/>
      <c r="AK287" t="s">
        <v>51</v>
      </c>
      <c r="AN287">
        <f>IFERROR(INT(Table13[[#This Row],[reject_prod]]/Table13[[#This Row],[part_weight]] * 1000), 0)</f>
        <v>17</v>
      </c>
    </row>
    <row r="288" spans="1:40" hidden="1">
      <c r="A288" s="1">
        <v>46032</v>
      </c>
      <c r="B288">
        <v>1</v>
      </c>
      <c r="C288">
        <v>11</v>
      </c>
      <c r="D288" t="s">
        <v>112</v>
      </c>
      <c r="E288" t="s">
        <v>46</v>
      </c>
      <c r="F288">
        <v>552181</v>
      </c>
      <c r="G288" s="6">
        <v>1</v>
      </c>
      <c r="H288" t="s">
        <v>49</v>
      </c>
      <c r="I288">
        <v>10682927</v>
      </c>
      <c r="J288">
        <v>6</v>
      </c>
      <c r="K288">
        <v>18.8</v>
      </c>
      <c r="L288">
        <v>18.8</v>
      </c>
      <c r="M288">
        <v>1503</v>
      </c>
      <c r="N288" s="2">
        <v>108000</v>
      </c>
      <c r="O288" s="2">
        <v>11880</v>
      </c>
      <c r="P288" s="2">
        <v>12420</v>
      </c>
      <c r="Q288" s="2">
        <v>9018</v>
      </c>
      <c r="R288" s="2">
        <v>10800</v>
      </c>
      <c r="S288">
        <v>203</v>
      </c>
      <c r="T288" s="2">
        <v>82620</v>
      </c>
      <c r="U288" s="2">
        <v>25380</v>
      </c>
      <c r="V288">
        <v>170</v>
      </c>
      <c r="W288">
        <v>0</v>
      </c>
      <c r="X288">
        <v>0</v>
      </c>
      <c r="Y288">
        <v>0</v>
      </c>
      <c r="Z288">
        <v>4</v>
      </c>
      <c r="AA288">
        <v>2.3593474999999999E-2</v>
      </c>
      <c r="AB288">
        <v>27.6</v>
      </c>
      <c r="AC288">
        <v>11.523</v>
      </c>
      <c r="AD288">
        <v>27</v>
      </c>
      <c r="AE288" s="7"/>
      <c r="AF288" s="7"/>
      <c r="AG288" s="7"/>
      <c r="AH288" s="7"/>
      <c r="AI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0.47700000000000031</v>
      </c>
      <c r="AJ288" s="7"/>
      <c r="AK288" t="s">
        <v>239</v>
      </c>
      <c r="AN288">
        <f>IFERROR(INT(Table13[[#This Row],[reject_prod]]/Table13[[#This Row],[part_weight]] * 1000), 0)</f>
        <v>212</v>
      </c>
    </row>
    <row r="289" spans="1:40" hidden="1">
      <c r="A289" s="1">
        <v>46032</v>
      </c>
      <c r="B289">
        <v>1</v>
      </c>
      <c r="C289">
        <v>12</v>
      </c>
      <c r="D289" t="s">
        <v>65</v>
      </c>
      <c r="E289" t="s">
        <v>34</v>
      </c>
      <c r="F289">
        <v>620599</v>
      </c>
      <c r="G289" s="6">
        <v>0</v>
      </c>
      <c r="H289" t="s">
        <v>50</v>
      </c>
      <c r="I289">
        <v>10682928</v>
      </c>
      <c r="J289">
        <v>4</v>
      </c>
      <c r="K289">
        <v>55</v>
      </c>
      <c r="L289">
        <v>55</v>
      </c>
      <c r="M289">
        <v>1363</v>
      </c>
      <c r="N289" s="2">
        <v>72000</v>
      </c>
      <c r="O289" s="2">
        <v>1125</v>
      </c>
      <c r="P289">
        <v>900</v>
      </c>
      <c r="Q289" s="2">
        <v>5452</v>
      </c>
      <c r="R289" s="2">
        <v>5400</v>
      </c>
      <c r="S289">
        <v>297</v>
      </c>
      <c r="T289" s="2">
        <v>69300</v>
      </c>
      <c r="U289" s="2">
        <v>2700</v>
      </c>
      <c r="V289">
        <v>300</v>
      </c>
      <c r="W289">
        <v>0</v>
      </c>
      <c r="X289">
        <v>0</v>
      </c>
      <c r="Y289">
        <v>0</v>
      </c>
      <c r="Z289">
        <v>14.5</v>
      </c>
      <c r="AA289">
        <v>4.8355899000000001E-2</v>
      </c>
      <c r="AB289">
        <v>28</v>
      </c>
      <c r="AC289">
        <v>10.60111111</v>
      </c>
      <c r="AD289">
        <v>28</v>
      </c>
      <c r="AE289" s="7"/>
      <c r="AF289" s="7"/>
      <c r="AG289" s="7"/>
      <c r="AH289" s="7"/>
      <c r="AI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1.3988888900000003</v>
      </c>
      <c r="AJ289" s="7"/>
      <c r="AK289" t="s">
        <v>258</v>
      </c>
      <c r="AN289">
        <f>IFERROR(INT(Table13[[#This Row],[reject_prod]]/Table13[[#This Row],[part_weight]] * 1000), 0)</f>
        <v>263</v>
      </c>
    </row>
    <row r="290" spans="1:40" hidden="1">
      <c r="A290" s="1">
        <v>46032</v>
      </c>
      <c r="B290">
        <v>1</v>
      </c>
      <c r="C290">
        <v>13</v>
      </c>
      <c r="D290" t="s">
        <v>112</v>
      </c>
      <c r="E290" t="s">
        <v>46</v>
      </c>
      <c r="F290">
        <v>586276</v>
      </c>
      <c r="G290" s="6">
        <v>0</v>
      </c>
      <c r="H290" t="s">
        <v>47</v>
      </c>
      <c r="I290">
        <v>10682930</v>
      </c>
      <c r="J290">
        <v>6</v>
      </c>
      <c r="K290">
        <v>12.3</v>
      </c>
      <c r="L290">
        <v>12.3</v>
      </c>
      <c r="M290">
        <v>1608</v>
      </c>
      <c r="N290" s="2">
        <v>162000</v>
      </c>
      <c r="O290" s="2">
        <v>4860</v>
      </c>
      <c r="P290" s="2">
        <v>6480</v>
      </c>
      <c r="Q290" s="2">
        <v>9648</v>
      </c>
      <c r="R290" s="2">
        <v>8100</v>
      </c>
      <c r="S290">
        <v>100</v>
      </c>
      <c r="T290" s="2">
        <v>119880</v>
      </c>
      <c r="U290" s="2">
        <v>42120</v>
      </c>
      <c r="V290">
        <v>119</v>
      </c>
      <c r="W290">
        <v>0</v>
      </c>
      <c r="X290">
        <v>0</v>
      </c>
      <c r="Y290">
        <v>0</v>
      </c>
      <c r="Z290">
        <v>2.1</v>
      </c>
      <c r="AA290">
        <v>1.7696072E-2</v>
      </c>
      <c r="AB290">
        <v>26.4</v>
      </c>
      <c r="AC290">
        <v>11.792</v>
      </c>
      <c r="AD290">
        <v>26</v>
      </c>
      <c r="AE290" s="7"/>
      <c r="AF290" s="7"/>
      <c r="AG290" s="7"/>
      <c r="AH290" s="7"/>
      <c r="AI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290" s="7"/>
      <c r="AK290" t="s">
        <v>51</v>
      </c>
      <c r="AN290">
        <f>IFERROR(INT(Table13[[#This Row],[reject_prod]]/Table13[[#This Row],[part_weight]] * 1000), 0)</f>
        <v>170</v>
      </c>
    </row>
    <row r="291" spans="1:40" hidden="1">
      <c r="A291" s="1">
        <v>46032</v>
      </c>
      <c r="B291">
        <v>1</v>
      </c>
      <c r="C291">
        <v>14</v>
      </c>
      <c r="D291" t="s">
        <v>259</v>
      </c>
      <c r="E291" t="s">
        <v>46</v>
      </c>
      <c r="F291">
        <v>555979</v>
      </c>
      <c r="G291" s="6">
        <v>1</v>
      </c>
      <c r="H291" t="s">
        <v>52</v>
      </c>
      <c r="I291">
        <v>10682932</v>
      </c>
      <c r="J291">
        <v>6</v>
      </c>
      <c r="K291">
        <v>28</v>
      </c>
      <c r="L291">
        <v>28</v>
      </c>
      <c r="M291">
        <v>990</v>
      </c>
      <c r="N291" s="2">
        <v>100800</v>
      </c>
      <c r="O291" s="2">
        <v>1176</v>
      </c>
      <c r="P291" s="2">
        <v>2856</v>
      </c>
      <c r="Q291" s="2">
        <v>5940</v>
      </c>
      <c r="R291" s="2">
        <v>3360</v>
      </c>
      <c r="S291">
        <v>94</v>
      </c>
      <c r="T291" s="2">
        <v>26376</v>
      </c>
      <c r="U291" s="2">
        <v>74424</v>
      </c>
      <c r="V291">
        <v>166</v>
      </c>
      <c r="W291">
        <v>0</v>
      </c>
      <c r="X291">
        <v>0</v>
      </c>
      <c r="Y291">
        <v>0</v>
      </c>
      <c r="Z291">
        <v>1.2</v>
      </c>
      <c r="AA291">
        <v>7.2150069999999998E-3</v>
      </c>
      <c r="AB291">
        <v>44.1</v>
      </c>
      <c r="AC291">
        <v>12</v>
      </c>
      <c r="AD291">
        <v>42</v>
      </c>
      <c r="AE291" s="7"/>
      <c r="AF291" s="7"/>
      <c r="AG291" s="7"/>
      <c r="AH291" s="7"/>
      <c r="AI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1" s="7"/>
      <c r="AK291" t="s">
        <v>260</v>
      </c>
      <c r="AN291">
        <f>IFERROR(INT(Table13[[#This Row],[reject_prod]]/Table13[[#This Row],[part_weight]] * 1000), 0)</f>
        <v>42</v>
      </c>
    </row>
    <row r="292" spans="1:40" hidden="1">
      <c r="A292" s="1">
        <v>46032</v>
      </c>
      <c r="B292">
        <v>1</v>
      </c>
      <c r="C292">
        <v>15</v>
      </c>
      <c r="D292" t="s">
        <v>112</v>
      </c>
      <c r="E292" t="s">
        <v>46</v>
      </c>
      <c r="F292">
        <v>552181</v>
      </c>
      <c r="G292" s="6">
        <v>2</v>
      </c>
      <c r="H292" t="s">
        <v>49</v>
      </c>
      <c r="I292">
        <v>10682934</v>
      </c>
      <c r="J292">
        <v>6</v>
      </c>
      <c r="K292">
        <v>18.8</v>
      </c>
      <c r="L292">
        <v>18.8</v>
      </c>
      <c r="M292">
        <v>1359</v>
      </c>
      <c r="N292" s="2">
        <v>108000</v>
      </c>
      <c r="O292" s="2">
        <v>14040</v>
      </c>
      <c r="P292" s="2">
        <v>15660</v>
      </c>
      <c r="Q292" s="2">
        <v>8154</v>
      </c>
      <c r="R292" s="2">
        <v>10800</v>
      </c>
      <c r="S292">
        <v>203</v>
      </c>
      <c r="T292" s="2">
        <v>64260</v>
      </c>
      <c r="U292" s="2">
        <v>43740</v>
      </c>
      <c r="V292">
        <v>153</v>
      </c>
      <c r="W292">
        <v>0</v>
      </c>
      <c r="X292">
        <v>0</v>
      </c>
      <c r="Y292">
        <v>0</v>
      </c>
      <c r="Z292">
        <v>3.4</v>
      </c>
      <c r="AA292">
        <v>2.2179429000000001E-2</v>
      </c>
      <c r="AB292">
        <v>31.3</v>
      </c>
      <c r="AC292">
        <v>11.81575</v>
      </c>
      <c r="AD292">
        <v>27</v>
      </c>
      <c r="AE292" s="7"/>
      <c r="AF292" s="7"/>
      <c r="AG292" s="7"/>
      <c r="AH292" s="7"/>
      <c r="AI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0.18425000000000047</v>
      </c>
      <c r="AJ292" s="7"/>
      <c r="AK292" t="s">
        <v>51</v>
      </c>
      <c r="AN292">
        <f>IFERROR(INT(Table13[[#This Row],[reject_prod]]/Table13[[#This Row],[part_weight]] * 1000), 0)</f>
        <v>180</v>
      </c>
    </row>
    <row r="293" spans="1:40" hidden="1">
      <c r="A293" s="1">
        <v>46032</v>
      </c>
      <c r="B293">
        <v>1</v>
      </c>
      <c r="C293">
        <v>16</v>
      </c>
      <c r="D293" t="s">
        <v>261</v>
      </c>
      <c r="E293" t="s">
        <v>46</v>
      </c>
      <c r="F293">
        <v>555979</v>
      </c>
      <c r="G293" s="6">
        <v>2</v>
      </c>
      <c r="H293" t="s">
        <v>52</v>
      </c>
      <c r="I293">
        <v>10682935</v>
      </c>
      <c r="J293">
        <v>6</v>
      </c>
      <c r="K293">
        <v>28</v>
      </c>
      <c r="L293">
        <v>28</v>
      </c>
      <c r="M293">
        <v>973</v>
      </c>
      <c r="N293" s="2">
        <v>100800</v>
      </c>
      <c r="O293" s="2">
        <v>1008</v>
      </c>
      <c r="P293">
        <v>0</v>
      </c>
      <c r="Q293" s="2">
        <v>5838</v>
      </c>
      <c r="R293" s="2">
        <v>6720</v>
      </c>
      <c r="S293">
        <v>188</v>
      </c>
      <c r="T293" s="2">
        <v>70560</v>
      </c>
      <c r="U293" s="2">
        <v>30240</v>
      </c>
      <c r="V293">
        <v>163</v>
      </c>
      <c r="W293">
        <v>0</v>
      </c>
      <c r="X293">
        <v>0</v>
      </c>
      <c r="Y293">
        <v>0</v>
      </c>
      <c r="Z293">
        <v>4.3</v>
      </c>
      <c r="AA293">
        <v>2.6305485999999999E-2</v>
      </c>
      <c r="AB293">
        <v>43.7</v>
      </c>
      <c r="AC293">
        <v>11.811138890000001</v>
      </c>
      <c r="AD293">
        <v>42</v>
      </c>
      <c r="AE293" s="7"/>
      <c r="AF293" s="7"/>
      <c r="AG293" s="7"/>
      <c r="AH293" s="7"/>
      <c r="AI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0.1888611099999995</v>
      </c>
      <c r="AJ293" s="7"/>
      <c r="AK293" t="s">
        <v>51</v>
      </c>
      <c r="AN293">
        <f>IFERROR(INT(Table13[[#This Row],[reject_prod]]/Table13[[#This Row],[part_weight]] * 1000), 0)</f>
        <v>153</v>
      </c>
    </row>
    <row r="294" spans="1:40" hidden="1">
      <c r="A294" s="1">
        <v>46032</v>
      </c>
      <c r="B294">
        <v>2</v>
      </c>
      <c r="C294">
        <v>1</v>
      </c>
      <c r="F294">
        <v>123456</v>
      </c>
      <c r="G294" s="6">
        <v>0</v>
      </c>
      <c r="M294">
        <v>0</v>
      </c>
      <c r="N294">
        <v>0</v>
      </c>
      <c r="O294">
        <v>0</v>
      </c>
      <c r="P294">
        <v>0</v>
      </c>
      <c r="R294">
        <v>0</v>
      </c>
      <c r="T294">
        <v>0</v>
      </c>
      <c r="X294">
        <v>0</v>
      </c>
      <c r="Z294">
        <v>0</v>
      </c>
      <c r="AB294">
        <v>0</v>
      </c>
      <c r="AC294">
        <v>0</v>
      </c>
      <c r="AD294">
        <v>22.5</v>
      </c>
      <c r="AE294" s="7"/>
      <c r="AF294" s="7"/>
      <c r="AG294" s="7"/>
      <c r="AH294" s="7"/>
      <c r="AI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4" s="7">
        <v>12</v>
      </c>
      <c r="AK294" t="s">
        <v>116</v>
      </c>
      <c r="AN294">
        <f>IFERROR(INT(Table13[[#This Row],[reject_prod]]/Table13[[#This Row],[part_weight]] * 1000), 0)</f>
        <v>0</v>
      </c>
    </row>
    <row r="295" spans="1:40" hidden="1">
      <c r="A295" s="1">
        <v>46032</v>
      </c>
      <c r="B295">
        <v>2</v>
      </c>
      <c r="C295">
        <v>2</v>
      </c>
      <c r="D295" t="s">
        <v>117</v>
      </c>
      <c r="E295" t="s">
        <v>34</v>
      </c>
      <c r="F295">
        <v>423215</v>
      </c>
      <c r="G295" s="6">
        <v>0</v>
      </c>
      <c r="H295" t="s">
        <v>156</v>
      </c>
      <c r="I295">
        <v>10682755</v>
      </c>
      <c r="J295">
        <v>4</v>
      </c>
      <c r="K295">
        <v>24</v>
      </c>
      <c r="L295">
        <v>24</v>
      </c>
      <c r="M295">
        <v>1605</v>
      </c>
      <c r="N295" s="2">
        <v>89112</v>
      </c>
      <c r="O295" s="2">
        <v>2256</v>
      </c>
      <c r="P295" s="2">
        <v>1974</v>
      </c>
      <c r="Q295" s="2">
        <v>6420</v>
      </c>
      <c r="R295" s="2">
        <v>6768</v>
      </c>
      <c r="S295">
        <v>162</v>
      </c>
      <c r="T295" s="2">
        <v>62886</v>
      </c>
      <c r="U295" s="2">
        <v>26226</v>
      </c>
      <c r="V295">
        <v>154</v>
      </c>
      <c r="W295">
        <v>0</v>
      </c>
      <c r="X295">
        <v>0</v>
      </c>
      <c r="Y295">
        <v>0</v>
      </c>
      <c r="Z295">
        <v>1</v>
      </c>
      <c r="AA295">
        <v>6.4901350000000002E-3</v>
      </c>
      <c r="AB295">
        <v>27.2</v>
      </c>
      <c r="AC295">
        <v>12</v>
      </c>
      <c r="AD295">
        <v>22</v>
      </c>
      <c r="AE295" s="7"/>
      <c r="AF295" s="7"/>
      <c r="AG295" s="7"/>
      <c r="AH295" s="7"/>
      <c r="AI2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" s="7"/>
      <c r="AK295" t="s">
        <v>214</v>
      </c>
      <c r="AN295">
        <f>IFERROR(INT(Table13[[#This Row],[reject_prod]]/Table13[[#This Row],[part_weight]] * 1000), 0)</f>
        <v>41</v>
      </c>
    </row>
    <row r="296" spans="1:40" hidden="1">
      <c r="A296" s="1">
        <v>46032</v>
      </c>
      <c r="B296">
        <v>2</v>
      </c>
      <c r="C296">
        <v>3</v>
      </c>
      <c r="D296" t="s">
        <v>139</v>
      </c>
      <c r="E296" t="s">
        <v>34</v>
      </c>
      <c r="F296">
        <v>442034</v>
      </c>
      <c r="G296" s="6">
        <v>0</v>
      </c>
      <c r="H296" t="s">
        <v>37</v>
      </c>
      <c r="I296">
        <v>10681183</v>
      </c>
      <c r="J296">
        <v>4</v>
      </c>
      <c r="K296">
        <v>23</v>
      </c>
      <c r="L296">
        <v>23</v>
      </c>
      <c r="M296">
        <v>1550</v>
      </c>
      <c r="N296" s="2">
        <v>139776</v>
      </c>
      <c r="O296" s="2">
        <v>3840</v>
      </c>
      <c r="P296">
        <v>768</v>
      </c>
      <c r="Q296" s="2">
        <v>6200</v>
      </c>
      <c r="R296" s="2">
        <v>9216</v>
      </c>
      <c r="S296">
        <v>212</v>
      </c>
      <c r="T296" s="2">
        <v>65280</v>
      </c>
      <c r="U296" s="2">
        <v>74496</v>
      </c>
      <c r="V296">
        <v>143</v>
      </c>
      <c r="W296">
        <v>0</v>
      </c>
      <c r="X296">
        <v>0</v>
      </c>
      <c r="Y296">
        <v>0</v>
      </c>
      <c r="Z296">
        <v>5</v>
      </c>
      <c r="AA296">
        <v>3.5063113999999999E-2</v>
      </c>
      <c r="AB296">
        <v>26.78</v>
      </c>
      <c r="AC296">
        <v>11.53027778</v>
      </c>
      <c r="AD296">
        <v>22</v>
      </c>
      <c r="AE296" s="7"/>
      <c r="AF296" s="7"/>
      <c r="AG296" s="7"/>
      <c r="AH296" s="7"/>
      <c r="AI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0.46972221999999952</v>
      </c>
      <c r="AJ296" s="7"/>
      <c r="AK296" t="s">
        <v>262</v>
      </c>
      <c r="AN296">
        <f>IFERROR(INT(Table13[[#This Row],[reject_prod]]/Table13[[#This Row],[part_weight]] * 1000), 0)</f>
        <v>217</v>
      </c>
    </row>
    <row r="297" spans="1:40" hidden="1">
      <c r="A297" s="1">
        <v>46032</v>
      </c>
      <c r="B297">
        <v>2</v>
      </c>
      <c r="C297">
        <v>4</v>
      </c>
      <c r="F297">
        <v>123456</v>
      </c>
      <c r="G297" s="6">
        <v>0</v>
      </c>
      <c r="M297">
        <v>0</v>
      </c>
      <c r="N297">
        <v>0</v>
      </c>
      <c r="O297">
        <v>0</v>
      </c>
      <c r="P297">
        <v>0</v>
      </c>
      <c r="R297">
        <v>0</v>
      </c>
      <c r="T297">
        <v>0</v>
      </c>
      <c r="X297">
        <v>0</v>
      </c>
      <c r="Z297">
        <v>0</v>
      </c>
      <c r="AB297">
        <v>0</v>
      </c>
      <c r="AC297">
        <v>0</v>
      </c>
      <c r="AD297">
        <v>22.5</v>
      </c>
      <c r="AE297" s="7"/>
      <c r="AF297" s="7"/>
      <c r="AG297" s="7"/>
      <c r="AH297" s="7"/>
      <c r="AI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7" s="7">
        <v>12</v>
      </c>
      <c r="AK297" t="s">
        <v>116</v>
      </c>
      <c r="AN297">
        <f>IFERROR(INT(Table13[[#This Row],[reject_prod]]/Table13[[#This Row],[part_weight]] * 1000), 0)</f>
        <v>0</v>
      </c>
    </row>
    <row r="298" spans="1:40" hidden="1">
      <c r="A298" s="1">
        <v>46032</v>
      </c>
      <c r="B298">
        <v>2</v>
      </c>
      <c r="C298">
        <v>5</v>
      </c>
      <c r="F298">
        <v>123456</v>
      </c>
      <c r="G298" s="6">
        <v>0</v>
      </c>
      <c r="M298">
        <v>0</v>
      </c>
      <c r="N298">
        <v>0</v>
      </c>
      <c r="O298">
        <v>0</v>
      </c>
      <c r="P298">
        <v>0</v>
      </c>
      <c r="R298">
        <v>0</v>
      </c>
      <c r="T298">
        <v>0</v>
      </c>
      <c r="X298">
        <v>0</v>
      </c>
      <c r="Z298">
        <v>0</v>
      </c>
      <c r="AB298">
        <v>0</v>
      </c>
      <c r="AC298">
        <v>0</v>
      </c>
      <c r="AD298">
        <v>22.5</v>
      </c>
      <c r="AE298" s="7"/>
      <c r="AF298" s="7"/>
      <c r="AG298" s="7"/>
      <c r="AH298" s="7"/>
      <c r="AI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" s="7">
        <v>12</v>
      </c>
      <c r="AK298" t="s">
        <v>116</v>
      </c>
      <c r="AN298">
        <f>IFERROR(INT(Table13[[#This Row],[reject_prod]]/Table13[[#This Row],[part_weight]] * 1000), 0)</f>
        <v>0</v>
      </c>
    </row>
    <row r="299" spans="1:40" hidden="1">
      <c r="A299" s="1">
        <v>46032</v>
      </c>
      <c r="B299">
        <v>2</v>
      </c>
      <c r="C299">
        <v>6</v>
      </c>
      <c r="D299" t="s">
        <v>208</v>
      </c>
      <c r="E299" t="s">
        <v>34</v>
      </c>
      <c r="F299">
        <v>532981</v>
      </c>
      <c r="G299" s="6">
        <v>0</v>
      </c>
      <c r="H299" t="s">
        <v>233</v>
      </c>
      <c r="I299">
        <v>10682758</v>
      </c>
      <c r="J299">
        <v>4</v>
      </c>
      <c r="K299">
        <v>24.45</v>
      </c>
      <c r="L299">
        <v>24</v>
      </c>
      <c r="M299">
        <v>1990</v>
      </c>
      <c r="N299" s="2">
        <v>87552</v>
      </c>
      <c r="O299">
        <v>456</v>
      </c>
      <c r="P299" s="2">
        <v>2900</v>
      </c>
      <c r="Q299" s="2">
        <v>7960</v>
      </c>
      <c r="R299" s="2">
        <v>5472</v>
      </c>
      <c r="S299">
        <v>131</v>
      </c>
      <c r="T299" s="2">
        <v>24788</v>
      </c>
      <c r="U299" s="2">
        <v>62764</v>
      </c>
      <c r="V299">
        <v>191</v>
      </c>
      <c r="W299">
        <v>4</v>
      </c>
      <c r="X299">
        <v>0</v>
      </c>
      <c r="Y299">
        <v>0</v>
      </c>
      <c r="Z299">
        <v>1</v>
      </c>
      <c r="AA299">
        <v>5.2345059999999999E-3</v>
      </c>
      <c r="AB299">
        <v>21.7</v>
      </c>
      <c r="AC299">
        <v>11.99527778</v>
      </c>
      <c r="AD299">
        <v>20</v>
      </c>
      <c r="AE299" s="7"/>
      <c r="AF299" s="7"/>
      <c r="AG299" s="7"/>
      <c r="AH299" s="7"/>
      <c r="AI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4.7222199999996661E-3</v>
      </c>
      <c r="AJ299" s="7"/>
      <c r="AK299" t="s">
        <v>214</v>
      </c>
      <c r="AN299">
        <f>IFERROR(INT(Table13[[#This Row],[reject_prod]]/Table13[[#This Row],[part_weight]] * 1000), 0)</f>
        <v>41</v>
      </c>
    </row>
    <row r="300" spans="1:40" hidden="1">
      <c r="A300" s="1">
        <v>46032</v>
      </c>
      <c r="B300">
        <v>2</v>
      </c>
      <c r="C300">
        <v>7</v>
      </c>
      <c r="D300" t="s">
        <v>53</v>
      </c>
      <c r="E300" t="s">
        <v>34</v>
      </c>
      <c r="F300">
        <v>324177</v>
      </c>
      <c r="G300" s="6">
        <v>0</v>
      </c>
      <c r="H300" t="s">
        <v>246</v>
      </c>
      <c r="I300">
        <v>10682801</v>
      </c>
      <c r="J300">
        <v>4</v>
      </c>
      <c r="K300">
        <v>34.5</v>
      </c>
      <c r="L300">
        <v>34.5</v>
      </c>
      <c r="M300">
        <v>1872</v>
      </c>
      <c r="N300" s="2">
        <v>62400</v>
      </c>
      <c r="O300">
        <v>312</v>
      </c>
      <c r="P300" s="2">
        <v>1560</v>
      </c>
      <c r="Q300" s="2">
        <v>7488</v>
      </c>
      <c r="R300" s="2">
        <v>6240</v>
      </c>
      <c r="S300">
        <v>215</v>
      </c>
      <c r="T300" s="2">
        <v>12480</v>
      </c>
      <c r="U300" s="2">
        <v>49920</v>
      </c>
      <c r="V300">
        <v>258</v>
      </c>
      <c r="W300">
        <v>0</v>
      </c>
      <c r="X300">
        <v>0</v>
      </c>
      <c r="Y300">
        <v>0</v>
      </c>
      <c r="Z300">
        <v>17</v>
      </c>
      <c r="AA300">
        <v>6.5805771999999998E-2</v>
      </c>
      <c r="AB300">
        <v>21.43</v>
      </c>
      <c r="AC300">
        <v>11.143599999999999</v>
      </c>
      <c r="AD300">
        <v>22</v>
      </c>
      <c r="AE300" s="7"/>
      <c r="AF300" s="7"/>
      <c r="AG300" s="7"/>
      <c r="AH300" s="7"/>
      <c r="AI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0.85640000000000072</v>
      </c>
      <c r="AJ300" s="7"/>
      <c r="AK300" t="s">
        <v>263</v>
      </c>
      <c r="AN300">
        <f>IFERROR(INT(Table13[[#This Row],[reject_prod]]/Table13[[#This Row],[part_weight]] * 1000), 0)</f>
        <v>492</v>
      </c>
    </row>
    <row r="301" spans="1:40" hidden="1">
      <c r="A301" s="1">
        <v>46032</v>
      </c>
      <c r="B301">
        <v>2</v>
      </c>
      <c r="C301">
        <v>8</v>
      </c>
      <c r="F301">
        <v>123456</v>
      </c>
      <c r="G301" s="6">
        <v>0</v>
      </c>
      <c r="M301">
        <v>0</v>
      </c>
      <c r="N301">
        <v>0</v>
      </c>
      <c r="O301">
        <v>0</v>
      </c>
      <c r="P301">
        <v>0</v>
      </c>
      <c r="R301">
        <v>0</v>
      </c>
      <c r="T301">
        <v>0</v>
      </c>
      <c r="X301">
        <v>0</v>
      </c>
      <c r="Z301">
        <v>0</v>
      </c>
      <c r="AB301">
        <v>0</v>
      </c>
      <c r="AC301">
        <v>0</v>
      </c>
      <c r="AD301">
        <v>22.5</v>
      </c>
      <c r="AE301" s="7"/>
      <c r="AF301" s="7"/>
      <c r="AG301" s="7"/>
      <c r="AH301" s="7"/>
      <c r="AI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" s="7">
        <v>12</v>
      </c>
      <c r="AK301" t="s">
        <v>116</v>
      </c>
      <c r="AN301">
        <f>IFERROR(INT(Table13[[#This Row],[reject_prod]]/Table13[[#This Row],[part_weight]] * 1000), 0)</f>
        <v>0</v>
      </c>
    </row>
    <row r="302" spans="1:40" hidden="1">
      <c r="A302" s="1">
        <v>46032</v>
      </c>
      <c r="B302">
        <v>2</v>
      </c>
      <c r="C302">
        <v>9</v>
      </c>
      <c r="D302" t="s">
        <v>264</v>
      </c>
      <c r="E302" t="s">
        <v>46</v>
      </c>
      <c r="F302">
        <v>586276</v>
      </c>
      <c r="G302" s="6">
        <v>0</v>
      </c>
      <c r="H302" t="s">
        <v>47</v>
      </c>
      <c r="I302">
        <v>10682924</v>
      </c>
      <c r="J302">
        <v>6</v>
      </c>
      <c r="K302">
        <v>12.3</v>
      </c>
      <c r="L302">
        <v>12.3</v>
      </c>
      <c r="M302">
        <v>1620</v>
      </c>
      <c r="N302" s="2">
        <v>162000</v>
      </c>
      <c r="O302" s="2">
        <v>2025</v>
      </c>
      <c r="P302" s="2">
        <v>3645</v>
      </c>
      <c r="Q302" s="2">
        <v>9720</v>
      </c>
      <c r="R302" s="2">
        <v>8100</v>
      </c>
      <c r="S302">
        <v>100</v>
      </c>
      <c r="T302" s="2">
        <v>27945</v>
      </c>
      <c r="U302" s="2">
        <v>134055</v>
      </c>
      <c r="V302">
        <v>120</v>
      </c>
      <c r="W302">
        <v>0</v>
      </c>
      <c r="X302">
        <v>0</v>
      </c>
      <c r="Y302">
        <v>0</v>
      </c>
      <c r="Z302">
        <v>1</v>
      </c>
      <c r="AA302">
        <v>8.3642809999999995E-3</v>
      </c>
      <c r="AB302">
        <v>26.2</v>
      </c>
      <c r="AC302">
        <v>11.79</v>
      </c>
      <c r="AD302">
        <v>26</v>
      </c>
      <c r="AE302" s="7"/>
      <c r="AF302" s="7"/>
      <c r="AG302" s="7"/>
      <c r="AH302" s="7"/>
      <c r="AI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02" s="7"/>
      <c r="AK302" t="s">
        <v>51</v>
      </c>
      <c r="AN302">
        <f>IFERROR(INT(Table13[[#This Row],[reject_prod]]/Table13[[#This Row],[part_weight]] * 1000), 0)</f>
        <v>81</v>
      </c>
    </row>
    <row r="303" spans="1:40" hidden="1">
      <c r="A303" s="1">
        <v>46032</v>
      </c>
      <c r="B303">
        <v>2</v>
      </c>
      <c r="C303">
        <v>10</v>
      </c>
      <c r="D303" t="s">
        <v>265</v>
      </c>
      <c r="E303" t="s">
        <v>41</v>
      </c>
      <c r="F303">
        <v>593537</v>
      </c>
      <c r="G303" s="6">
        <v>0</v>
      </c>
      <c r="H303" t="s">
        <v>48</v>
      </c>
      <c r="I303">
        <v>10682925</v>
      </c>
      <c r="J303">
        <v>4</v>
      </c>
      <c r="K303">
        <v>56.5</v>
      </c>
      <c r="L303">
        <v>56.8</v>
      </c>
      <c r="M303">
        <v>1010</v>
      </c>
      <c r="N303" s="2">
        <v>69000</v>
      </c>
      <c r="O303">
        <v>0</v>
      </c>
      <c r="P303">
        <v>0</v>
      </c>
      <c r="Q303" s="2">
        <v>4040</v>
      </c>
      <c r="R303" s="2">
        <v>4025</v>
      </c>
      <c r="S303">
        <v>229</v>
      </c>
      <c r="T303" s="2">
        <v>69000</v>
      </c>
      <c r="U303">
        <v>0</v>
      </c>
      <c r="V303">
        <v>229</v>
      </c>
      <c r="W303">
        <v>-1</v>
      </c>
      <c r="X303">
        <v>0</v>
      </c>
      <c r="Y303">
        <v>0</v>
      </c>
      <c r="Z303">
        <v>5</v>
      </c>
      <c r="AA303">
        <v>2.1789151E-2</v>
      </c>
      <c r="AB303">
        <v>31.7</v>
      </c>
      <c r="AC303">
        <v>8.8936111110000002</v>
      </c>
      <c r="AD303">
        <v>28.5</v>
      </c>
      <c r="AE303" s="7"/>
      <c r="AF303" s="7"/>
      <c r="AG303" s="7"/>
      <c r="AH303" s="7"/>
      <c r="AI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3.1063888889999998</v>
      </c>
      <c r="AJ303" s="7"/>
      <c r="AK303" t="s">
        <v>51</v>
      </c>
      <c r="AN303">
        <f>IFERROR(INT(Table13[[#This Row],[reject_prod]]/Table13[[#This Row],[part_weight]] * 1000), 0)</f>
        <v>88</v>
      </c>
    </row>
    <row r="304" spans="1:40" hidden="1">
      <c r="A304" s="1">
        <v>46032</v>
      </c>
      <c r="B304">
        <v>2</v>
      </c>
      <c r="C304">
        <v>10</v>
      </c>
      <c r="D304" t="s">
        <v>265</v>
      </c>
      <c r="E304" t="s">
        <v>41</v>
      </c>
      <c r="F304">
        <v>593537</v>
      </c>
      <c r="G304" s="6">
        <v>0</v>
      </c>
      <c r="H304" t="s">
        <v>48</v>
      </c>
      <c r="I304">
        <v>10682926</v>
      </c>
      <c r="J304">
        <v>4</v>
      </c>
      <c r="K304">
        <v>56.5</v>
      </c>
      <c r="L304">
        <v>56.8</v>
      </c>
      <c r="M304">
        <v>330</v>
      </c>
      <c r="N304" s="2">
        <v>69000</v>
      </c>
      <c r="O304">
        <v>0</v>
      </c>
      <c r="P304">
        <v>230</v>
      </c>
      <c r="Q304" s="2">
        <v>1320</v>
      </c>
      <c r="R304" s="2">
        <v>1150</v>
      </c>
      <c r="S304">
        <v>65</v>
      </c>
      <c r="T304" s="2">
        <v>1150</v>
      </c>
      <c r="U304" s="2">
        <v>67850</v>
      </c>
      <c r="V304">
        <v>75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31.7</v>
      </c>
      <c r="AC304">
        <v>2.9058333329999999</v>
      </c>
      <c r="AD304">
        <v>28.5</v>
      </c>
      <c r="AE304" s="7"/>
      <c r="AF304" s="7"/>
      <c r="AG304" s="7"/>
      <c r="AH304" s="7"/>
      <c r="AI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9.0941666669999996</v>
      </c>
      <c r="AJ304" s="7"/>
      <c r="AK304" t="s">
        <v>51</v>
      </c>
      <c r="AN304">
        <f>IFERROR(INT(Table13[[#This Row],[reject_prod]]/Table13[[#This Row],[part_weight]] * 1000), 0)</f>
        <v>0</v>
      </c>
    </row>
    <row r="305" spans="1:40" hidden="1">
      <c r="A305" s="1">
        <v>46032</v>
      </c>
      <c r="B305">
        <v>2</v>
      </c>
      <c r="C305">
        <v>11</v>
      </c>
      <c r="D305" t="s">
        <v>59</v>
      </c>
      <c r="E305" t="s">
        <v>46</v>
      </c>
      <c r="F305">
        <v>552181</v>
      </c>
      <c r="G305" s="6">
        <v>1</v>
      </c>
      <c r="H305" t="s">
        <v>49</v>
      </c>
      <c r="I305">
        <v>10682927</v>
      </c>
      <c r="J305">
        <v>6</v>
      </c>
      <c r="K305">
        <v>18.8</v>
      </c>
      <c r="L305">
        <v>18.8</v>
      </c>
      <c r="M305">
        <v>1580</v>
      </c>
      <c r="N305" s="2">
        <v>108000</v>
      </c>
      <c r="O305" s="2">
        <v>12420</v>
      </c>
      <c r="P305" s="2">
        <v>3360</v>
      </c>
      <c r="Q305" s="2">
        <v>9480</v>
      </c>
      <c r="R305" s="2">
        <v>5400</v>
      </c>
      <c r="S305">
        <v>102</v>
      </c>
      <c r="T305" s="2">
        <v>78960</v>
      </c>
      <c r="U305" s="2">
        <v>29040</v>
      </c>
      <c r="V305">
        <v>178</v>
      </c>
      <c r="W305">
        <v>0</v>
      </c>
      <c r="X305">
        <v>0</v>
      </c>
      <c r="Y305">
        <v>0</v>
      </c>
      <c r="Z305">
        <v>0.5</v>
      </c>
      <c r="AA305">
        <v>2.8054579999999998E-3</v>
      </c>
      <c r="AB305">
        <v>27.6</v>
      </c>
      <c r="AC305">
        <v>12</v>
      </c>
      <c r="AD305">
        <v>27</v>
      </c>
      <c r="AE305" s="7"/>
      <c r="AF305" s="7"/>
      <c r="AG305" s="7"/>
      <c r="AH305" s="7"/>
      <c r="AI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5" s="7"/>
      <c r="AK305" t="s">
        <v>51</v>
      </c>
      <c r="AN305">
        <f>IFERROR(INT(Table13[[#This Row],[reject_prod]]/Table13[[#This Row],[part_weight]] * 1000), 0)</f>
        <v>26</v>
      </c>
    </row>
    <row r="306" spans="1:40" hidden="1">
      <c r="A306" s="1">
        <v>46032</v>
      </c>
      <c r="B306">
        <v>2</v>
      </c>
      <c r="C306">
        <v>12</v>
      </c>
      <c r="F306">
        <v>123456</v>
      </c>
      <c r="G306" s="6">
        <v>0</v>
      </c>
      <c r="M306">
        <v>0</v>
      </c>
      <c r="N306">
        <v>0</v>
      </c>
      <c r="O306">
        <v>0</v>
      </c>
      <c r="P306">
        <v>0</v>
      </c>
      <c r="R306">
        <v>0</v>
      </c>
      <c r="T306">
        <v>0</v>
      </c>
      <c r="X306">
        <v>0</v>
      </c>
      <c r="Z306">
        <v>0</v>
      </c>
      <c r="AB306">
        <v>0</v>
      </c>
      <c r="AC306">
        <v>0</v>
      </c>
      <c r="AD306">
        <v>22.5</v>
      </c>
      <c r="AE306" s="7"/>
      <c r="AF306" s="7"/>
      <c r="AG306" s="7"/>
      <c r="AH306" s="7"/>
      <c r="AI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6" s="7">
        <v>12</v>
      </c>
      <c r="AK306" t="s">
        <v>116</v>
      </c>
      <c r="AN306">
        <f>IFERROR(INT(Table13[[#This Row],[reject_prod]]/Table13[[#This Row],[part_weight]] * 1000), 0)</f>
        <v>0</v>
      </c>
    </row>
    <row r="307" spans="1:40" hidden="1">
      <c r="A307" s="1">
        <v>46032</v>
      </c>
      <c r="B307">
        <v>2</v>
      </c>
      <c r="C307">
        <v>13</v>
      </c>
      <c r="D307" t="s">
        <v>59</v>
      </c>
      <c r="E307" t="s">
        <v>46</v>
      </c>
      <c r="F307">
        <v>586276</v>
      </c>
      <c r="G307" s="6">
        <v>0</v>
      </c>
      <c r="H307" t="s">
        <v>47</v>
      </c>
      <c r="I307">
        <v>10682930</v>
      </c>
      <c r="J307">
        <v>6</v>
      </c>
      <c r="K307">
        <v>12.3</v>
      </c>
      <c r="L307">
        <v>12.3</v>
      </c>
      <c r="M307">
        <v>1620</v>
      </c>
      <c r="N307" s="2">
        <v>162000</v>
      </c>
      <c r="O307" s="2">
        <v>6480</v>
      </c>
      <c r="P307">
        <v>0</v>
      </c>
      <c r="Q307" s="2">
        <v>9720</v>
      </c>
      <c r="R307" s="2">
        <v>16200</v>
      </c>
      <c r="S307">
        <v>199</v>
      </c>
      <c r="T307" s="2">
        <v>129600</v>
      </c>
      <c r="U307" s="2">
        <v>32400</v>
      </c>
      <c r="V307">
        <v>120</v>
      </c>
      <c r="W307">
        <v>0</v>
      </c>
      <c r="X307">
        <v>0</v>
      </c>
      <c r="Y307">
        <v>0</v>
      </c>
      <c r="Z307">
        <v>1</v>
      </c>
      <c r="AA307">
        <v>8.3642809999999995E-3</v>
      </c>
      <c r="AB307">
        <v>26.43</v>
      </c>
      <c r="AC307">
        <v>11.8935</v>
      </c>
      <c r="AD307">
        <v>26</v>
      </c>
      <c r="AE307" s="7"/>
      <c r="AF307" s="7"/>
      <c r="AG307" s="7"/>
      <c r="AH307" s="7"/>
      <c r="AI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307" s="7"/>
      <c r="AK307" t="s">
        <v>51</v>
      </c>
      <c r="AN307">
        <f>IFERROR(INT(Table13[[#This Row],[reject_prod]]/Table13[[#This Row],[part_weight]] * 1000), 0)</f>
        <v>81</v>
      </c>
    </row>
    <row r="308" spans="1:40" hidden="1">
      <c r="A308" s="1">
        <v>46032</v>
      </c>
      <c r="B308">
        <v>2</v>
      </c>
      <c r="C308">
        <v>14</v>
      </c>
      <c r="D308" t="s">
        <v>266</v>
      </c>
      <c r="E308" t="s">
        <v>46</v>
      </c>
      <c r="F308">
        <v>555979</v>
      </c>
      <c r="G308" s="6">
        <v>1</v>
      </c>
      <c r="H308" t="s">
        <v>52</v>
      </c>
      <c r="I308">
        <v>10682932</v>
      </c>
      <c r="J308">
        <v>6</v>
      </c>
      <c r="K308">
        <v>28</v>
      </c>
      <c r="L308">
        <v>28</v>
      </c>
      <c r="M308">
        <v>990</v>
      </c>
      <c r="N308" s="2">
        <v>100800</v>
      </c>
      <c r="O308" s="2">
        <v>2856</v>
      </c>
      <c r="P308" s="2">
        <v>2016</v>
      </c>
      <c r="Q308" s="2">
        <v>5940</v>
      </c>
      <c r="R308" s="2">
        <v>6720</v>
      </c>
      <c r="S308">
        <v>188</v>
      </c>
      <c r="T308" s="2">
        <v>32256</v>
      </c>
      <c r="U308" s="2">
        <v>68544</v>
      </c>
      <c r="V308">
        <v>166</v>
      </c>
      <c r="W308">
        <v>0</v>
      </c>
      <c r="X308">
        <v>0</v>
      </c>
      <c r="Y308">
        <v>0</v>
      </c>
      <c r="Z308">
        <v>1</v>
      </c>
      <c r="AA308">
        <v>6.0125059999999999E-3</v>
      </c>
      <c r="AB308">
        <v>44.1</v>
      </c>
      <c r="AC308">
        <v>12</v>
      </c>
      <c r="AD308">
        <v>42</v>
      </c>
      <c r="AE308" s="7"/>
      <c r="AF308" s="7"/>
      <c r="AG308" s="7"/>
      <c r="AH308" s="7"/>
      <c r="AI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8" s="7"/>
      <c r="AK308" t="s">
        <v>51</v>
      </c>
      <c r="AN308">
        <f>IFERROR(INT(Table13[[#This Row],[reject_prod]]/Table13[[#This Row],[part_weight]] * 1000), 0)</f>
        <v>35</v>
      </c>
    </row>
    <row r="309" spans="1:40" hidden="1">
      <c r="A309" s="1">
        <v>46032</v>
      </c>
      <c r="B309">
        <v>2</v>
      </c>
      <c r="C309">
        <v>15</v>
      </c>
      <c r="D309" t="s">
        <v>59</v>
      </c>
      <c r="E309" t="s">
        <v>46</v>
      </c>
      <c r="F309">
        <v>552181</v>
      </c>
      <c r="G309" s="6">
        <v>2</v>
      </c>
      <c r="H309" t="s">
        <v>49</v>
      </c>
      <c r="I309">
        <v>10682934</v>
      </c>
      <c r="J309">
        <v>6</v>
      </c>
      <c r="K309">
        <v>18.8</v>
      </c>
      <c r="L309">
        <v>18.8</v>
      </c>
      <c r="M309">
        <v>1380</v>
      </c>
      <c r="N309" s="2">
        <v>108000</v>
      </c>
      <c r="O309" s="2">
        <v>15660</v>
      </c>
      <c r="P309" s="2">
        <v>9720</v>
      </c>
      <c r="Q309" s="2">
        <v>8280</v>
      </c>
      <c r="R309" s="2">
        <v>10800</v>
      </c>
      <c r="S309">
        <v>203</v>
      </c>
      <c r="T309" s="2">
        <v>69120</v>
      </c>
      <c r="U309" s="2">
        <v>38880</v>
      </c>
      <c r="V309">
        <v>156</v>
      </c>
      <c r="W309">
        <v>0</v>
      </c>
      <c r="X309">
        <v>0</v>
      </c>
      <c r="Y309">
        <v>0</v>
      </c>
      <c r="Z309">
        <v>0.5</v>
      </c>
      <c r="AA309">
        <v>3.2120460000000001E-3</v>
      </c>
      <c r="AB309">
        <v>31.2</v>
      </c>
      <c r="AC309">
        <v>11.96</v>
      </c>
      <c r="AD309">
        <v>27</v>
      </c>
      <c r="AE309" s="7"/>
      <c r="AF309" s="7"/>
      <c r="AG309" s="7"/>
      <c r="AH309" s="7"/>
      <c r="AI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309" s="7"/>
      <c r="AK309" t="s">
        <v>51</v>
      </c>
      <c r="AN309">
        <f>IFERROR(INT(Table13[[#This Row],[reject_prod]]/Table13[[#This Row],[part_weight]] * 1000), 0)</f>
        <v>26</v>
      </c>
    </row>
    <row r="310" spans="1:40" hidden="1">
      <c r="A310" s="1">
        <v>46032</v>
      </c>
      <c r="B310">
        <v>2</v>
      </c>
      <c r="C310">
        <v>16</v>
      </c>
      <c r="D310" t="s">
        <v>60</v>
      </c>
      <c r="E310" t="s">
        <v>46</v>
      </c>
      <c r="F310">
        <v>555979</v>
      </c>
      <c r="G310" s="6">
        <v>2</v>
      </c>
      <c r="H310" t="s">
        <v>52</v>
      </c>
      <c r="I310">
        <v>10682935</v>
      </c>
      <c r="J310">
        <v>6</v>
      </c>
      <c r="K310">
        <v>28</v>
      </c>
      <c r="L310">
        <v>28</v>
      </c>
      <c r="M310">
        <v>990</v>
      </c>
      <c r="N310" s="2">
        <v>100800</v>
      </c>
      <c r="O310">
        <v>0</v>
      </c>
      <c r="P310" s="2">
        <v>2520</v>
      </c>
      <c r="Q310" s="2">
        <v>5940</v>
      </c>
      <c r="R310" s="2">
        <v>3360</v>
      </c>
      <c r="S310">
        <v>94</v>
      </c>
      <c r="T310" s="2">
        <v>76440</v>
      </c>
      <c r="U310" s="2">
        <v>24360</v>
      </c>
      <c r="V310">
        <v>166</v>
      </c>
      <c r="W310">
        <v>0</v>
      </c>
      <c r="X310">
        <v>0</v>
      </c>
      <c r="Y310">
        <v>0</v>
      </c>
      <c r="Z310">
        <v>0.5</v>
      </c>
      <c r="AA310">
        <v>3.006253E-3</v>
      </c>
      <c r="AB310">
        <v>43.7</v>
      </c>
      <c r="AC310">
        <v>12</v>
      </c>
      <c r="AD310">
        <v>42</v>
      </c>
      <c r="AE310" s="7"/>
      <c r="AF310" s="7"/>
      <c r="AG310" s="7"/>
      <c r="AH310" s="7"/>
      <c r="AI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0" s="7"/>
      <c r="AK310" t="s">
        <v>51</v>
      </c>
      <c r="AN310">
        <f>IFERROR(INT(Table13[[#This Row],[reject_prod]]/Table13[[#This Row],[part_weight]] * 1000), 0)</f>
        <v>17</v>
      </c>
    </row>
    <row r="311" spans="1:40" hidden="1">
      <c r="A311" s="1">
        <v>46033</v>
      </c>
      <c r="B311">
        <v>1</v>
      </c>
      <c r="C311">
        <v>1</v>
      </c>
      <c r="F311">
        <v>123456</v>
      </c>
      <c r="G311" s="6">
        <v>0</v>
      </c>
      <c r="M311">
        <v>0</v>
      </c>
      <c r="N311">
        <v>0</v>
      </c>
      <c r="O311">
        <v>0</v>
      </c>
      <c r="P311">
        <v>0</v>
      </c>
      <c r="R311">
        <v>0</v>
      </c>
      <c r="T311">
        <v>0</v>
      </c>
      <c r="X311">
        <v>0</v>
      </c>
      <c r="Z311">
        <v>0</v>
      </c>
      <c r="AB311">
        <v>0</v>
      </c>
      <c r="AC311">
        <v>0</v>
      </c>
      <c r="AD311">
        <v>22.5</v>
      </c>
      <c r="AE311" s="7"/>
      <c r="AF311" s="7"/>
      <c r="AG311" s="7"/>
      <c r="AH311" s="7"/>
      <c r="AI3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1" s="7">
        <v>12</v>
      </c>
      <c r="AK311" t="s">
        <v>116</v>
      </c>
      <c r="AN311">
        <f>IFERROR(INT(Table13[[#This Row],[reject_prod]]/Table13[[#This Row],[part_weight]] * 1000), 0)</f>
        <v>0</v>
      </c>
    </row>
    <row r="312" spans="1:40" hidden="1">
      <c r="A312" s="1">
        <v>46033</v>
      </c>
      <c r="B312">
        <v>1</v>
      </c>
      <c r="C312">
        <v>2</v>
      </c>
      <c r="D312" t="s">
        <v>115</v>
      </c>
      <c r="E312" t="s">
        <v>34</v>
      </c>
      <c r="F312">
        <v>423215</v>
      </c>
      <c r="G312" s="6">
        <v>0</v>
      </c>
      <c r="H312" t="s">
        <v>156</v>
      </c>
      <c r="I312">
        <v>10682755</v>
      </c>
      <c r="J312">
        <v>4</v>
      </c>
      <c r="K312">
        <v>24</v>
      </c>
      <c r="L312">
        <v>24</v>
      </c>
      <c r="M312">
        <v>1560</v>
      </c>
      <c r="N312" s="2">
        <v>89112</v>
      </c>
      <c r="O312" s="2">
        <v>1974</v>
      </c>
      <c r="P312" s="2">
        <v>1692</v>
      </c>
      <c r="Q312" s="2">
        <v>6240</v>
      </c>
      <c r="R312" s="2">
        <v>6768</v>
      </c>
      <c r="S312">
        <v>162</v>
      </c>
      <c r="T312" s="2">
        <v>69372</v>
      </c>
      <c r="U312" s="2">
        <v>19740</v>
      </c>
      <c r="V312">
        <v>150</v>
      </c>
      <c r="W312">
        <v>0</v>
      </c>
      <c r="X312">
        <v>0</v>
      </c>
      <c r="Y312">
        <v>0</v>
      </c>
      <c r="Z312">
        <v>1.5</v>
      </c>
      <c r="AA312">
        <v>1.0016026000000001E-2</v>
      </c>
      <c r="AB312">
        <v>27.3</v>
      </c>
      <c r="AC312">
        <v>11.83</v>
      </c>
      <c r="AD312">
        <v>22</v>
      </c>
      <c r="AE312" s="7"/>
      <c r="AF312" s="7"/>
      <c r="AG312" s="7"/>
      <c r="AH312" s="7"/>
      <c r="AI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312" s="7"/>
      <c r="AK312" t="s">
        <v>214</v>
      </c>
      <c r="AN312">
        <f>IFERROR(INT(Table13[[#This Row],[reject_prod]]/Table13[[#This Row],[part_weight]] * 1000), 0)</f>
        <v>62</v>
      </c>
    </row>
    <row r="313" spans="1:40" hidden="1">
      <c r="A313" s="1">
        <v>46033</v>
      </c>
      <c r="B313">
        <v>1</v>
      </c>
      <c r="C313">
        <v>3</v>
      </c>
      <c r="D313" t="s">
        <v>43</v>
      </c>
      <c r="E313" t="s">
        <v>34</v>
      </c>
      <c r="F313">
        <v>442034</v>
      </c>
      <c r="G313" s="6">
        <v>0</v>
      </c>
      <c r="H313" t="s">
        <v>37</v>
      </c>
      <c r="I313">
        <v>10681183</v>
      </c>
      <c r="J313">
        <v>4</v>
      </c>
      <c r="K313">
        <v>23</v>
      </c>
      <c r="L313">
        <v>23</v>
      </c>
      <c r="M313">
        <v>1581</v>
      </c>
      <c r="N313" s="2">
        <v>139776</v>
      </c>
      <c r="O313">
        <v>768</v>
      </c>
      <c r="P313" s="2">
        <v>2688</v>
      </c>
      <c r="Q313" s="2">
        <v>6324</v>
      </c>
      <c r="R313" s="2">
        <v>4608</v>
      </c>
      <c r="S313">
        <v>106</v>
      </c>
      <c r="T313" s="2">
        <v>67200</v>
      </c>
      <c r="U313" s="2">
        <v>72576</v>
      </c>
      <c r="V313">
        <v>145</v>
      </c>
      <c r="W313">
        <v>0</v>
      </c>
      <c r="X313">
        <v>0</v>
      </c>
      <c r="Y313">
        <v>0</v>
      </c>
      <c r="Z313">
        <v>4.5999999999999996</v>
      </c>
      <c r="AA313">
        <v>3.1625553000000001E-2</v>
      </c>
      <c r="AB313">
        <v>26.9</v>
      </c>
      <c r="AC313">
        <v>11.81358333</v>
      </c>
      <c r="AD313">
        <v>22</v>
      </c>
      <c r="AE313" s="7"/>
      <c r="AF313" s="7"/>
      <c r="AG313" s="7"/>
      <c r="AH313" s="7"/>
      <c r="AI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0.18641666999999984</v>
      </c>
      <c r="AJ313" s="7"/>
      <c r="AK313" t="s">
        <v>103</v>
      </c>
      <c r="AN313">
        <f>IFERROR(INT(Table13[[#This Row],[reject_prod]]/Table13[[#This Row],[part_weight]] * 1000), 0)</f>
        <v>200</v>
      </c>
    </row>
    <row r="314" spans="1:40" hidden="1">
      <c r="A314" s="1">
        <v>46033</v>
      </c>
      <c r="B314">
        <v>1</v>
      </c>
      <c r="C314">
        <v>4</v>
      </c>
      <c r="F314">
        <v>123456</v>
      </c>
      <c r="G314" s="6">
        <v>0</v>
      </c>
      <c r="M314">
        <v>0</v>
      </c>
      <c r="N314">
        <v>0</v>
      </c>
      <c r="O314">
        <v>0</v>
      </c>
      <c r="P314">
        <v>0</v>
      </c>
      <c r="R314">
        <v>0</v>
      </c>
      <c r="T314">
        <v>0</v>
      </c>
      <c r="X314">
        <v>0</v>
      </c>
      <c r="Z314">
        <v>0</v>
      </c>
      <c r="AB314">
        <v>0</v>
      </c>
      <c r="AC314">
        <v>0</v>
      </c>
      <c r="AD314">
        <v>22.5</v>
      </c>
      <c r="AE314" s="7"/>
      <c r="AF314" s="7"/>
      <c r="AG314" s="7"/>
      <c r="AH314" s="7"/>
      <c r="AI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4" s="7">
        <v>12</v>
      </c>
      <c r="AK314" t="s">
        <v>116</v>
      </c>
      <c r="AN314">
        <f>IFERROR(INT(Table13[[#This Row],[reject_prod]]/Table13[[#This Row],[part_weight]] * 1000), 0)</f>
        <v>0</v>
      </c>
    </row>
    <row r="315" spans="1:40" hidden="1">
      <c r="A315" s="1">
        <v>46033</v>
      </c>
      <c r="B315">
        <v>1</v>
      </c>
      <c r="C315">
        <v>5</v>
      </c>
      <c r="F315">
        <v>123456</v>
      </c>
      <c r="G315" s="6">
        <v>0</v>
      </c>
      <c r="M315">
        <v>0</v>
      </c>
      <c r="N315">
        <v>0</v>
      </c>
      <c r="O315">
        <v>0</v>
      </c>
      <c r="P315">
        <v>0</v>
      </c>
      <c r="R315">
        <v>0</v>
      </c>
      <c r="T315">
        <v>0</v>
      </c>
      <c r="X315">
        <v>0</v>
      </c>
      <c r="Z315">
        <v>0</v>
      </c>
      <c r="AB315">
        <v>0</v>
      </c>
      <c r="AC315">
        <v>0</v>
      </c>
      <c r="AD315">
        <v>22.5</v>
      </c>
      <c r="AE315" s="7"/>
      <c r="AF315" s="7"/>
      <c r="AG315" s="7"/>
      <c r="AH315" s="7"/>
      <c r="AI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5" s="7">
        <v>12</v>
      </c>
      <c r="AK315" t="s">
        <v>116</v>
      </c>
      <c r="AN315">
        <f>IFERROR(INT(Table13[[#This Row],[reject_prod]]/Table13[[#This Row],[part_weight]] * 1000), 0)</f>
        <v>0</v>
      </c>
    </row>
    <row r="316" spans="1:40" hidden="1">
      <c r="A316" s="1">
        <v>46033</v>
      </c>
      <c r="B316">
        <v>1</v>
      </c>
      <c r="C316">
        <v>6</v>
      </c>
      <c r="D316" t="s">
        <v>40</v>
      </c>
      <c r="E316" t="s">
        <v>34</v>
      </c>
      <c r="F316">
        <v>532981</v>
      </c>
      <c r="G316" s="6">
        <v>0</v>
      </c>
      <c r="H316" t="s">
        <v>233</v>
      </c>
      <c r="I316">
        <v>10682758</v>
      </c>
      <c r="J316">
        <v>4</v>
      </c>
      <c r="K316">
        <v>24.45</v>
      </c>
      <c r="L316">
        <v>24</v>
      </c>
      <c r="M316">
        <v>1960</v>
      </c>
      <c r="N316" s="2">
        <v>87552</v>
      </c>
      <c r="O316" s="2">
        <v>2900</v>
      </c>
      <c r="P316" s="2">
        <v>5016</v>
      </c>
      <c r="Q316" s="2">
        <v>7840</v>
      </c>
      <c r="R316" s="2">
        <v>5472</v>
      </c>
      <c r="S316">
        <v>131</v>
      </c>
      <c r="T316" s="2">
        <v>32391</v>
      </c>
      <c r="U316" s="2">
        <v>55161</v>
      </c>
      <c r="V316">
        <v>188</v>
      </c>
      <c r="W316">
        <v>0</v>
      </c>
      <c r="X316">
        <v>0</v>
      </c>
      <c r="Y316">
        <v>0</v>
      </c>
      <c r="Z316">
        <v>3.4</v>
      </c>
      <c r="AA316">
        <v>1.8069728E-2</v>
      </c>
      <c r="AB316">
        <v>21.7</v>
      </c>
      <c r="AC316">
        <v>11.814444440000001</v>
      </c>
      <c r="AD316">
        <v>20</v>
      </c>
      <c r="AE316" s="7"/>
      <c r="AF316" s="7"/>
      <c r="AG316" s="7"/>
      <c r="AH316" s="7"/>
      <c r="AI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0.18555555999999918</v>
      </c>
      <c r="AJ316" s="7"/>
      <c r="AK316" t="s">
        <v>103</v>
      </c>
      <c r="AN316">
        <f>IFERROR(INT(Table13[[#This Row],[reject_prod]]/Table13[[#This Row],[part_weight]] * 1000), 0)</f>
        <v>141</v>
      </c>
    </row>
    <row r="317" spans="1:40" hidden="1">
      <c r="A317" s="1">
        <v>46033</v>
      </c>
      <c r="B317">
        <v>1</v>
      </c>
      <c r="C317">
        <v>7</v>
      </c>
      <c r="D317" t="s">
        <v>267</v>
      </c>
      <c r="E317" t="s">
        <v>34</v>
      </c>
      <c r="F317">
        <v>324177</v>
      </c>
      <c r="G317" s="6">
        <v>0</v>
      </c>
      <c r="H317" t="s">
        <v>246</v>
      </c>
      <c r="I317">
        <v>10682801</v>
      </c>
      <c r="J317">
        <v>4</v>
      </c>
      <c r="K317">
        <v>34.5</v>
      </c>
      <c r="L317">
        <v>34.5</v>
      </c>
      <c r="M317">
        <v>1860</v>
      </c>
      <c r="N317" s="2">
        <v>62400</v>
      </c>
      <c r="O317" s="2">
        <v>1560</v>
      </c>
      <c r="P317">
        <v>312</v>
      </c>
      <c r="Q317" s="2">
        <v>7440</v>
      </c>
      <c r="R317" s="2">
        <v>7800</v>
      </c>
      <c r="S317">
        <v>269</v>
      </c>
      <c r="T317" s="2">
        <v>19032</v>
      </c>
      <c r="U317" s="2">
        <v>43368</v>
      </c>
      <c r="V317">
        <v>257</v>
      </c>
      <c r="W317">
        <v>0</v>
      </c>
      <c r="X317">
        <v>0</v>
      </c>
      <c r="Y317">
        <v>0</v>
      </c>
      <c r="Z317">
        <v>17.600000000000001</v>
      </c>
      <c r="AA317">
        <v>6.8567867000000005E-2</v>
      </c>
      <c r="AB317">
        <v>21.43</v>
      </c>
      <c r="AC317">
        <v>11.07216667</v>
      </c>
      <c r="AD317">
        <v>22</v>
      </c>
      <c r="AE317" s="7"/>
      <c r="AF317" s="7"/>
      <c r="AG317" s="7"/>
      <c r="AH317" s="7"/>
      <c r="AI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0.92783333000000034</v>
      </c>
      <c r="AJ317" s="7"/>
      <c r="AK317" t="s">
        <v>268</v>
      </c>
      <c r="AN317">
        <f>IFERROR(INT(Table13[[#This Row],[reject_prod]]/Table13[[#This Row],[part_weight]] * 1000), 0)</f>
        <v>510</v>
      </c>
    </row>
    <row r="318" spans="1:40" hidden="1">
      <c r="A318" s="1">
        <v>46033</v>
      </c>
      <c r="B318">
        <v>1</v>
      </c>
      <c r="C318">
        <v>8</v>
      </c>
      <c r="F318">
        <v>123456</v>
      </c>
      <c r="G318" s="6">
        <v>0</v>
      </c>
      <c r="M318">
        <v>0</v>
      </c>
      <c r="N318">
        <v>0</v>
      </c>
      <c r="O318">
        <v>0</v>
      </c>
      <c r="P318">
        <v>0</v>
      </c>
      <c r="R318">
        <v>0</v>
      </c>
      <c r="T318">
        <v>0</v>
      </c>
      <c r="X318">
        <v>0</v>
      </c>
      <c r="Z318">
        <v>0</v>
      </c>
      <c r="AB318">
        <v>0</v>
      </c>
      <c r="AC318">
        <v>0</v>
      </c>
      <c r="AD318">
        <v>22.5</v>
      </c>
      <c r="AE318" s="7"/>
      <c r="AF318" s="7"/>
      <c r="AG318" s="7"/>
      <c r="AH318" s="7"/>
      <c r="AI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8" s="7">
        <v>12</v>
      </c>
      <c r="AK318" t="s">
        <v>116</v>
      </c>
      <c r="AN318">
        <f>IFERROR(INT(Table13[[#This Row],[reject_prod]]/Table13[[#This Row],[part_weight]] * 1000), 0)</f>
        <v>0</v>
      </c>
    </row>
    <row r="319" spans="1:40" hidden="1">
      <c r="A319" s="1">
        <v>46033</v>
      </c>
      <c r="B319">
        <v>1</v>
      </c>
      <c r="C319">
        <v>9</v>
      </c>
      <c r="D319" t="s">
        <v>143</v>
      </c>
      <c r="E319" t="s">
        <v>46</v>
      </c>
      <c r="F319">
        <v>586276</v>
      </c>
      <c r="G319" s="6">
        <v>0</v>
      </c>
      <c r="H319" t="s">
        <v>47</v>
      </c>
      <c r="I319">
        <v>10682924</v>
      </c>
      <c r="J319">
        <v>6</v>
      </c>
      <c r="K319">
        <v>12.3</v>
      </c>
      <c r="L319">
        <v>12.3</v>
      </c>
      <c r="M319">
        <v>1587</v>
      </c>
      <c r="N319" s="2">
        <v>162000</v>
      </c>
      <c r="O319" s="2">
        <v>3645</v>
      </c>
      <c r="P319" s="2">
        <v>5265</v>
      </c>
      <c r="Q319" s="2">
        <v>9522</v>
      </c>
      <c r="R319" s="2">
        <v>8100</v>
      </c>
      <c r="S319">
        <v>100</v>
      </c>
      <c r="T319" s="2">
        <v>37665</v>
      </c>
      <c r="U319" s="2">
        <v>124335</v>
      </c>
      <c r="V319">
        <v>117</v>
      </c>
      <c r="W319">
        <v>0</v>
      </c>
      <c r="X319">
        <v>0</v>
      </c>
      <c r="Y319">
        <v>0</v>
      </c>
      <c r="Z319">
        <v>1.2</v>
      </c>
      <c r="AA319">
        <v>1.0245849E-2</v>
      </c>
      <c r="AB319">
        <v>26.2</v>
      </c>
      <c r="AC319">
        <v>11.54983333</v>
      </c>
      <c r="AD319">
        <v>26</v>
      </c>
      <c r="AE319" s="7"/>
      <c r="AF319" s="7"/>
      <c r="AG319" s="7"/>
      <c r="AH319" s="7"/>
      <c r="AI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0.45016666999999977</v>
      </c>
      <c r="AJ319" s="7"/>
      <c r="AK319" t="s">
        <v>51</v>
      </c>
      <c r="AN319">
        <f>IFERROR(INT(Table13[[#This Row],[reject_prod]]/Table13[[#This Row],[part_weight]] * 1000), 0)</f>
        <v>97</v>
      </c>
    </row>
    <row r="320" spans="1:40" hidden="1">
      <c r="A320" s="1">
        <v>46033</v>
      </c>
      <c r="B320">
        <v>1</v>
      </c>
      <c r="C320">
        <v>10</v>
      </c>
      <c r="D320" t="s">
        <v>269</v>
      </c>
      <c r="E320" t="s">
        <v>41</v>
      </c>
      <c r="F320">
        <v>593537</v>
      </c>
      <c r="G320" s="6">
        <v>0</v>
      </c>
      <c r="H320" t="s">
        <v>48</v>
      </c>
      <c r="I320">
        <v>10682926</v>
      </c>
      <c r="J320">
        <v>4</v>
      </c>
      <c r="K320">
        <v>56.5</v>
      </c>
      <c r="L320">
        <v>56.8</v>
      </c>
      <c r="M320">
        <v>1359</v>
      </c>
      <c r="N320" s="2">
        <v>69000</v>
      </c>
      <c r="O320">
        <v>230</v>
      </c>
      <c r="P320">
        <v>0</v>
      </c>
      <c r="Q320" s="2">
        <v>5436</v>
      </c>
      <c r="R320" s="2">
        <v>5750</v>
      </c>
      <c r="S320">
        <v>327</v>
      </c>
      <c r="T320" s="2">
        <v>6900</v>
      </c>
      <c r="U320" s="2">
        <v>62100</v>
      </c>
      <c r="V320">
        <v>309</v>
      </c>
      <c r="W320">
        <v>0</v>
      </c>
      <c r="X320">
        <v>0</v>
      </c>
      <c r="Y320">
        <v>0</v>
      </c>
      <c r="Z320">
        <v>2.2999999999999998</v>
      </c>
      <c r="AA320">
        <v>7.449036E-3</v>
      </c>
      <c r="AB320">
        <v>31.7</v>
      </c>
      <c r="AC320">
        <v>11.966749999999999</v>
      </c>
      <c r="AD320">
        <v>28.5</v>
      </c>
      <c r="AE320" s="7"/>
      <c r="AF320" s="7"/>
      <c r="AG320" s="7"/>
      <c r="AH320" s="7"/>
      <c r="AI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3.3250000000000668E-2</v>
      </c>
      <c r="AJ320" s="7"/>
      <c r="AK320" t="s">
        <v>51</v>
      </c>
      <c r="AN320">
        <f>IFERROR(INT(Table13[[#This Row],[reject_prod]]/Table13[[#This Row],[part_weight]] * 1000), 0)</f>
        <v>40</v>
      </c>
    </row>
    <row r="321" spans="1:40" hidden="1">
      <c r="A321" s="1">
        <v>46033</v>
      </c>
      <c r="B321">
        <v>1</v>
      </c>
      <c r="C321">
        <v>11</v>
      </c>
      <c r="D321" t="s">
        <v>61</v>
      </c>
      <c r="E321" t="s">
        <v>46</v>
      </c>
      <c r="F321">
        <v>552181</v>
      </c>
      <c r="G321" s="6">
        <v>1</v>
      </c>
      <c r="H321" t="s">
        <v>49</v>
      </c>
      <c r="I321">
        <v>10682927</v>
      </c>
      <c r="J321">
        <v>6</v>
      </c>
      <c r="K321">
        <v>18.8</v>
      </c>
      <c r="L321">
        <v>18.8</v>
      </c>
      <c r="M321">
        <v>1565</v>
      </c>
      <c r="N321" s="2">
        <v>108000</v>
      </c>
      <c r="O321" s="2">
        <v>3360</v>
      </c>
      <c r="P321" s="2">
        <v>2430</v>
      </c>
      <c r="Q321" s="2">
        <v>9390</v>
      </c>
      <c r="R321" s="2">
        <v>10800</v>
      </c>
      <c r="S321">
        <v>203</v>
      </c>
      <c r="T321" s="2">
        <v>88830</v>
      </c>
      <c r="U321" s="2">
        <v>19170</v>
      </c>
      <c r="V321">
        <v>177</v>
      </c>
      <c r="W321">
        <v>0</v>
      </c>
      <c r="X321">
        <v>0</v>
      </c>
      <c r="Y321">
        <v>0</v>
      </c>
      <c r="Z321">
        <v>3.4</v>
      </c>
      <c r="AA321">
        <v>1.9259964000000001E-2</v>
      </c>
      <c r="AB321">
        <v>27.6</v>
      </c>
      <c r="AC321">
        <v>11.998333329999999</v>
      </c>
      <c r="AD321">
        <v>27</v>
      </c>
      <c r="AE321" s="7"/>
      <c r="AF321" s="7"/>
      <c r="AG321" s="7"/>
      <c r="AH321" s="7"/>
      <c r="AI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1.6666700000005363E-3</v>
      </c>
      <c r="AJ321" s="7"/>
      <c r="AK321" t="s">
        <v>270</v>
      </c>
      <c r="AN321">
        <f>IFERROR(INT(Table13[[#This Row],[reject_prod]]/Table13[[#This Row],[part_weight]] * 1000), 0)</f>
        <v>180</v>
      </c>
    </row>
    <row r="322" spans="1:40" hidden="1">
      <c r="A322" s="1">
        <v>46033</v>
      </c>
      <c r="B322">
        <v>1</v>
      </c>
      <c r="C322">
        <v>12</v>
      </c>
      <c r="F322">
        <v>123456</v>
      </c>
      <c r="G322" s="6">
        <v>0</v>
      </c>
      <c r="M322">
        <v>0</v>
      </c>
      <c r="N322">
        <v>0</v>
      </c>
      <c r="O322">
        <v>0</v>
      </c>
      <c r="P322">
        <v>0</v>
      </c>
      <c r="R322">
        <v>0</v>
      </c>
      <c r="T322">
        <v>0</v>
      </c>
      <c r="X322">
        <v>0</v>
      </c>
      <c r="Z322">
        <v>0</v>
      </c>
      <c r="AB322">
        <v>0</v>
      </c>
      <c r="AC322">
        <v>0</v>
      </c>
      <c r="AD322">
        <v>22.5</v>
      </c>
      <c r="AE322" s="7"/>
      <c r="AF322" s="7"/>
      <c r="AG322" s="7"/>
      <c r="AH322" s="7"/>
      <c r="AI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2" s="7">
        <v>12</v>
      </c>
      <c r="AK322" t="s">
        <v>116</v>
      </c>
      <c r="AN322">
        <f>IFERROR(INT(Table13[[#This Row],[reject_prod]]/Table13[[#This Row],[part_weight]] * 1000), 0)</f>
        <v>0</v>
      </c>
    </row>
    <row r="323" spans="1:40" hidden="1">
      <c r="A323" s="1">
        <v>46033</v>
      </c>
      <c r="B323">
        <v>1</v>
      </c>
      <c r="C323">
        <v>13</v>
      </c>
      <c r="D323" t="s">
        <v>61</v>
      </c>
      <c r="E323" t="s">
        <v>46</v>
      </c>
      <c r="F323">
        <v>586276</v>
      </c>
      <c r="G323" s="6">
        <v>0</v>
      </c>
      <c r="H323" t="s">
        <v>47</v>
      </c>
      <c r="I323">
        <v>10682930</v>
      </c>
      <c r="J323">
        <v>6</v>
      </c>
      <c r="K323">
        <v>12.3</v>
      </c>
      <c r="L323">
        <v>12.3</v>
      </c>
      <c r="M323">
        <v>1605</v>
      </c>
      <c r="N323" s="2">
        <v>162000</v>
      </c>
      <c r="O323">
        <v>0</v>
      </c>
      <c r="P323" s="2">
        <v>1620</v>
      </c>
      <c r="Q323" s="2">
        <v>9630</v>
      </c>
      <c r="R323" s="2">
        <v>8100</v>
      </c>
      <c r="S323">
        <v>100</v>
      </c>
      <c r="T323" s="2">
        <v>139320</v>
      </c>
      <c r="U323" s="2">
        <v>22680</v>
      </c>
      <c r="V323">
        <v>118</v>
      </c>
      <c r="W323">
        <v>0</v>
      </c>
      <c r="X323">
        <v>0</v>
      </c>
      <c r="Y323">
        <v>0</v>
      </c>
      <c r="Z323">
        <v>1</v>
      </c>
      <c r="AA323">
        <v>8.4424519999999996E-3</v>
      </c>
      <c r="AB323">
        <v>26.4</v>
      </c>
      <c r="AC323">
        <v>11.77</v>
      </c>
      <c r="AD323">
        <v>26</v>
      </c>
      <c r="AE323" s="7"/>
      <c r="AF323" s="7"/>
      <c r="AG323" s="7"/>
      <c r="AH323" s="7"/>
      <c r="AI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0.23000000000000043</v>
      </c>
      <c r="AJ323" s="7"/>
      <c r="AK323" t="s">
        <v>51</v>
      </c>
      <c r="AN323">
        <f>IFERROR(INT(Table13[[#This Row],[reject_prod]]/Table13[[#This Row],[part_weight]] * 1000), 0)</f>
        <v>81</v>
      </c>
    </row>
    <row r="324" spans="1:40" hidden="1">
      <c r="A324" s="1">
        <v>46033</v>
      </c>
      <c r="B324">
        <v>1</v>
      </c>
      <c r="C324">
        <v>14</v>
      </c>
      <c r="D324" t="s">
        <v>271</v>
      </c>
      <c r="E324" t="s">
        <v>46</v>
      </c>
      <c r="F324">
        <v>555979</v>
      </c>
      <c r="G324" s="6">
        <v>1</v>
      </c>
      <c r="H324" t="s">
        <v>52</v>
      </c>
      <c r="I324">
        <v>10682932</v>
      </c>
      <c r="J324">
        <v>6</v>
      </c>
      <c r="K324">
        <v>28</v>
      </c>
      <c r="L324">
        <v>28</v>
      </c>
      <c r="M324">
        <v>969</v>
      </c>
      <c r="N324" s="2">
        <v>100800</v>
      </c>
      <c r="O324" s="2">
        <v>2016</v>
      </c>
      <c r="P324">
        <v>336</v>
      </c>
      <c r="Q324" s="2">
        <v>5814</v>
      </c>
      <c r="R324" s="2">
        <v>6720</v>
      </c>
      <c r="S324">
        <v>188</v>
      </c>
      <c r="T324" s="2">
        <v>37296</v>
      </c>
      <c r="U324" s="2">
        <v>63504</v>
      </c>
      <c r="V324">
        <v>163</v>
      </c>
      <c r="W324">
        <v>0</v>
      </c>
      <c r="X324">
        <v>0</v>
      </c>
      <c r="Y324">
        <v>0</v>
      </c>
      <c r="Z324">
        <v>2.5</v>
      </c>
      <c r="AA324">
        <v>1.5357020000000001E-2</v>
      </c>
      <c r="AB324">
        <v>44.1</v>
      </c>
      <c r="AC324">
        <v>11.87025</v>
      </c>
      <c r="AD324">
        <v>42</v>
      </c>
      <c r="AE324" s="7"/>
      <c r="AF324" s="7"/>
      <c r="AG324" s="7"/>
      <c r="AH324" s="7"/>
      <c r="AI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0.12974999999999959</v>
      </c>
      <c r="AJ324" s="7"/>
      <c r="AK324" t="s">
        <v>272</v>
      </c>
      <c r="AN324">
        <f>IFERROR(INT(Table13[[#This Row],[reject_prod]]/Table13[[#This Row],[part_weight]] * 1000), 0)</f>
        <v>89</v>
      </c>
    </row>
    <row r="325" spans="1:40" hidden="1">
      <c r="A325" s="1">
        <v>46033</v>
      </c>
      <c r="B325">
        <v>1</v>
      </c>
      <c r="C325">
        <v>15</v>
      </c>
      <c r="D325" t="s">
        <v>61</v>
      </c>
      <c r="E325" t="s">
        <v>46</v>
      </c>
      <c r="F325">
        <v>552181</v>
      </c>
      <c r="G325" s="6">
        <v>2</v>
      </c>
      <c r="H325" t="s">
        <v>49</v>
      </c>
      <c r="I325">
        <v>10682934</v>
      </c>
      <c r="J325">
        <v>6</v>
      </c>
      <c r="K325">
        <v>18.8</v>
      </c>
      <c r="L325">
        <v>18.8</v>
      </c>
      <c r="M325">
        <v>1362</v>
      </c>
      <c r="N325" s="2">
        <v>108000</v>
      </c>
      <c r="O325" s="2">
        <v>9720</v>
      </c>
      <c r="P325" s="2">
        <v>2700</v>
      </c>
      <c r="Q325" s="2">
        <v>8172</v>
      </c>
      <c r="R325" s="2">
        <v>5400</v>
      </c>
      <c r="S325">
        <v>102</v>
      </c>
      <c r="T325" s="2">
        <v>67500</v>
      </c>
      <c r="U325" s="2">
        <v>40500</v>
      </c>
      <c r="V325">
        <v>154</v>
      </c>
      <c r="W325">
        <v>0</v>
      </c>
      <c r="X325">
        <v>0</v>
      </c>
      <c r="Y325">
        <v>0</v>
      </c>
      <c r="Z325">
        <v>3.4</v>
      </c>
      <c r="AA325">
        <v>2.2130575999999999E-2</v>
      </c>
      <c r="AB325">
        <v>31.3</v>
      </c>
      <c r="AC325">
        <v>11.84183333</v>
      </c>
      <c r="AD325">
        <v>27</v>
      </c>
      <c r="AE325" s="7"/>
      <c r="AF325" s="7"/>
      <c r="AG325" s="7"/>
      <c r="AH325" s="7"/>
      <c r="AI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0.15816666999999995</v>
      </c>
      <c r="AJ325" s="7"/>
      <c r="AK325" t="s">
        <v>51</v>
      </c>
      <c r="AN325">
        <f>IFERROR(INT(Table13[[#This Row],[reject_prod]]/Table13[[#This Row],[part_weight]] * 1000), 0)</f>
        <v>180</v>
      </c>
    </row>
    <row r="326" spans="1:40" hidden="1">
      <c r="A326" s="1">
        <v>46033</v>
      </c>
      <c r="B326">
        <v>2</v>
      </c>
      <c r="C326">
        <v>16</v>
      </c>
      <c r="D326" t="s">
        <v>273</v>
      </c>
      <c r="E326" t="s">
        <v>46</v>
      </c>
      <c r="F326">
        <v>555979</v>
      </c>
      <c r="G326" s="6">
        <v>2</v>
      </c>
      <c r="H326" t="s">
        <v>52</v>
      </c>
      <c r="I326">
        <v>10682935</v>
      </c>
      <c r="J326">
        <v>6</v>
      </c>
      <c r="K326">
        <v>28</v>
      </c>
      <c r="L326">
        <v>28</v>
      </c>
      <c r="M326">
        <v>979</v>
      </c>
      <c r="N326" s="2">
        <v>100800</v>
      </c>
      <c r="O326" s="2">
        <v>2520</v>
      </c>
      <c r="P326" s="2">
        <v>1512</v>
      </c>
      <c r="Q326" s="2">
        <v>5874</v>
      </c>
      <c r="R326" s="2">
        <v>6720</v>
      </c>
      <c r="S326">
        <v>188</v>
      </c>
      <c r="T326" s="2">
        <v>82152</v>
      </c>
      <c r="U326" s="2">
        <v>18648</v>
      </c>
      <c r="V326">
        <v>164</v>
      </c>
      <c r="W326">
        <v>0</v>
      </c>
      <c r="X326">
        <v>0</v>
      </c>
      <c r="Y326">
        <v>0</v>
      </c>
      <c r="Z326">
        <v>2.2999999999999998</v>
      </c>
      <c r="AA326">
        <v>1.3984142999999999E-2</v>
      </c>
      <c r="AB326">
        <v>43.7</v>
      </c>
      <c r="AC326">
        <v>11.88397222</v>
      </c>
      <c r="AD326">
        <v>42</v>
      </c>
      <c r="AE326" s="7"/>
      <c r="AF326" s="7"/>
      <c r="AG326" s="7"/>
      <c r="AH326" s="7"/>
      <c r="AI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0.11602777999999958</v>
      </c>
      <c r="AJ326" s="7"/>
      <c r="AK326" t="s">
        <v>51</v>
      </c>
      <c r="AN326">
        <f>IFERROR(INT(Table13[[#This Row],[reject_prod]]/Table13[[#This Row],[part_weight]] * 1000), 0)</f>
        <v>82</v>
      </c>
    </row>
    <row r="327" spans="1:40" hidden="1">
      <c r="A327" s="1">
        <v>46033</v>
      </c>
      <c r="B327">
        <v>2</v>
      </c>
      <c r="C327">
        <v>1</v>
      </c>
      <c r="F327">
        <v>123456</v>
      </c>
      <c r="G327" s="6">
        <v>0</v>
      </c>
      <c r="M327">
        <v>0</v>
      </c>
      <c r="N327">
        <v>0</v>
      </c>
      <c r="O327">
        <v>0</v>
      </c>
      <c r="P327">
        <v>0</v>
      </c>
      <c r="R327">
        <v>0</v>
      </c>
      <c r="T327">
        <v>0</v>
      </c>
      <c r="X327">
        <v>0</v>
      </c>
      <c r="Z327">
        <v>0</v>
      </c>
      <c r="AB327">
        <v>0</v>
      </c>
      <c r="AC327">
        <v>0</v>
      </c>
      <c r="AD327">
        <v>22.5</v>
      </c>
      <c r="AE327" s="7"/>
      <c r="AF327" s="7"/>
      <c r="AG327" s="7"/>
      <c r="AH327" s="7"/>
      <c r="AI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7" s="7">
        <v>12</v>
      </c>
      <c r="AK327" t="s">
        <v>116</v>
      </c>
      <c r="AN327">
        <f>IFERROR(INT(Table13[[#This Row],[reject_prod]]/Table13[[#This Row],[part_weight]] * 1000), 0)</f>
        <v>0</v>
      </c>
    </row>
    <row r="328" spans="1:40" hidden="1">
      <c r="A328" s="1">
        <v>46033</v>
      </c>
      <c r="B328">
        <v>2</v>
      </c>
      <c r="C328">
        <v>2</v>
      </c>
      <c r="D328" t="s">
        <v>274</v>
      </c>
      <c r="E328" t="s">
        <v>34</v>
      </c>
      <c r="F328">
        <v>423215</v>
      </c>
      <c r="G328" s="6">
        <v>0</v>
      </c>
      <c r="H328" t="s">
        <v>156</v>
      </c>
      <c r="I328">
        <v>10682755</v>
      </c>
      <c r="J328">
        <v>4</v>
      </c>
      <c r="K328">
        <v>24</v>
      </c>
      <c r="L328">
        <v>24</v>
      </c>
      <c r="M328">
        <v>1575</v>
      </c>
      <c r="N328" s="2">
        <v>89112</v>
      </c>
      <c r="O328" s="2">
        <v>1692</v>
      </c>
      <c r="P328" s="2">
        <v>1410</v>
      </c>
      <c r="Q328" s="2">
        <v>6300</v>
      </c>
      <c r="R328" s="2">
        <v>6768</v>
      </c>
      <c r="S328">
        <v>162</v>
      </c>
      <c r="T328" s="2">
        <v>75858</v>
      </c>
      <c r="U328" s="2">
        <v>13254</v>
      </c>
      <c r="V328">
        <v>151</v>
      </c>
      <c r="W328">
        <v>0</v>
      </c>
      <c r="X328">
        <v>0</v>
      </c>
      <c r="Y328">
        <v>0</v>
      </c>
      <c r="Z328">
        <v>1</v>
      </c>
      <c r="AA328">
        <v>6.6137569999999996E-3</v>
      </c>
      <c r="AB328">
        <v>27.2</v>
      </c>
      <c r="AC328">
        <v>11.9</v>
      </c>
      <c r="AD328">
        <v>22</v>
      </c>
      <c r="AE328" s="7"/>
      <c r="AF328" s="7"/>
      <c r="AG328" s="7"/>
      <c r="AH328" s="7"/>
      <c r="AI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328" s="7"/>
      <c r="AK328" t="s">
        <v>214</v>
      </c>
      <c r="AN328">
        <f>IFERROR(INT(Table13[[#This Row],[reject_prod]]/Table13[[#This Row],[part_weight]] * 1000), 0)</f>
        <v>41</v>
      </c>
    </row>
    <row r="329" spans="1:40" hidden="1">
      <c r="A329" s="1">
        <v>46033</v>
      </c>
      <c r="B329">
        <v>2</v>
      </c>
      <c r="C329">
        <v>3</v>
      </c>
      <c r="D329" t="s">
        <v>117</v>
      </c>
      <c r="E329" t="s">
        <v>34</v>
      </c>
      <c r="F329">
        <v>442034</v>
      </c>
      <c r="G329" s="6">
        <v>0</v>
      </c>
      <c r="H329" t="s">
        <v>37</v>
      </c>
      <c r="I329">
        <v>10681183</v>
      </c>
      <c r="J329">
        <v>4</v>
      </c>
      <c r="K329">
        <v>23</v>
      </c>
      <c r="L329">
        <v>23</v>
      </c>
      <c r="M329">
        <v>1612</v>
      </c>
      <c r="N329" s="2">
        <v>139776</v>
      </c>
      <c r="O329" s="2">
        <v>2688</v>
      </c>
      <c r="Q329" s="2">
        <v>6448</v>
      </c>
      <c r="R329" s="2">
        <v>9216</v>
      </c>
      <c r="S329">
        <v>212</v>
      </c>
      <c r="T329" s="2">
        <v>73728</v>
      </c>
      <c r="U329" s="2">
        <v>66048</v>
      </c>
      <c r="V329">
        <v>148</v>
      </c>
      <c r="W329">
        <v>0</v>
      </c>
      <c r="X329">
        <v>0</v>
      </c>
      <c r="Y329">
        <v>0</v>
      </c>
      <c r="Z329">
        <v>4</v>
      </c>
      <c r="AA329">
        <v>2.6971625999999999E-2</v>
      </c>
      <c r="AB329">
        <v>26.78</v>
      </c>
      <c r="AC329">
        <v>11.991488889999999</v>
      </c>
      <c r="AD329">
        <v>22</v>
      </c>
      <c r="AE329" s="7"/>
      <c r="AF329" s="7"/>
      <c r="AG329" s="7"/>
      <c r="AH329" s="7"/>
      <c r="AI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8.511110000000599E-3</v>
      </c>
      <c r="AJ329" s="7"/>
      <c r="AK329" t="s">
        <v>118</v>
      </c>
      <c r="AN329">
        <f>IFERROR(INT(Table13[[#This Row],[reject_prod]]/Table13[[#This Row],[part_weight]] * 1000), 0)</f>
        <v>173</v>
      </c>
    </row>
    <row r="330" spans="1:40" hidden="1">
      <c r="A330" s="1">
        <v>46033</v>
      </c>
      <c r="B330">
        <v>2</v>
      </c>
      <c r="C330">
        <v>4</v>
      </c>
      <c r="F330">
        <v>123456</v>
      </c>
      <c r="G330" s="6">
        <v>0</v>
      </c>
      <c r="M330">
        <v>0</v>
      </c>
      <c r="N330">
        <v>0</v>
      </c>
      <c r="O330">
        <v>0</v>
      </c>
      <c r="P330">
        <v>0</v>
      </c>
      <c r="R330">
        <v>0</v>
      </c>
      <c r="T330">
        <v>0</v>
      </c>
      <c r="X330">
        <v>0</v>
      </c>
      <c r="Z330">
        <v>0</v>
      </c>
      <c r="AB330">
        <v>0</v>
      </c>
      <c r="AC330">
        <v>0</v>
      </c>
      <c r="AD330">
        <v>22.5</v>
      </c>
      <c r="AE330" s="7"/>
      <c r="AF330" s="7"/>
      <c r="AG330" s="7"/>
      <c r="AH330" s="7"/>
      <c r="AI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" s="7">
        <v>12</v>
      </c>
      <c r="AK330" t="s">
        <v>116</v>
      </c>
      <c r="AN330">
        <f>IFERROR(INT(Table13[[#This Row],[reject_prod]]/Table13[[#This Row],[part_weight]] * 1000), 0)</f>
        <v>0</v>
      </c>
    </row>
    <row r="331" spans="1:40" hidden="1">
      <c r="A331" s="1">
        <v>46033</v>
      </c>
      <c r="B331">
        <v>2</v>
      </c>
      <c r="C331">
        <v>5</v>
      </c>
      <c r="F331">
        <v>123456</v>
      </c>
      <c r="G331" s="6">
        <v>0</v>
      </c>
      <c r="M331">
        <v>0</v>
      </c>
      <c r="N331">
        <v>0</v>
      </c>
      <c r="O331">
        <v>0</v>
      </c>
      <c r="P331">
        <v>0</v>
      </c>
      <c r="R331">
        <v>0</v>
      </c>
      <c r="T331">
        <v>0</v>
      </c>
      <c r="X331">
        <v>0</v>
      </c>
      <c r="Z331">
        <v>0</v>
      </c>
      <c r="AB331">
        <v>0</v>
      </c>
      <c r="AC331">
        <v>0</v>
      </c>
      <c r="AD331">
        <v>22.5</v>
      </c>
      <c r="AE331" s="7"/>
      <c r="AF331" s="7"/>
      <c r="AG331" s="7"/>
      <c r="AH331" s="7"/>
      <c r="AI3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" s="7">
        <v>12</v>
      </c>
      <c r="AK331" t="s">
        <v>116</v>
      </c>
      <c r="AN331">
        <f>IFERROR(INT(Table13[[#This Row],[reject_prod]]/Table13[[#This Row],[part_weight]] * 1000), 0)</f>
        <v>0</v>
      </c>
    </row>
    <row r="332" spans="1:40" hidden="1">
      <c r="A332" s="1">
        <v>46033</v>
      </c>
      <c r="B332">
        <v>2</v>
      </c>
      <c r="C332">
        <v>6</v>
      </c>
      <c r="D332" t="s">
        <v>275</v>
      </c>
      <c r="E332" t="s">
        <v>34</v>
      </c>
      <c r="F332">
        <v>532981</v>
      </c>
      <c r="G332" s="6">
        <v>0</v>
      </c>
      <c r="H332" t="s">
        <v>233</v>
      </c>
      <c r="I332">
        <v>10682758</v>
      </c>
      <c r="J332">
        <v>4</v>
      </c>
      <c r="K332">
        <v>24.45</v>
      </c>
      <c r="L332">
        <v>24</v>
      </c>
      <c r="M332">
        <v>1985</v>
      </c>
      <c r="N332" s="2">
        <v>87552</v>
      </c>
      <c r="O332" s="2">
        <v>5016</v>
      </c>
      <c r="P332" s="2">
        <v>2280</v>
      </c>
      <c r="Q332" s="2">
        <v>7940</v>
      </c>
      <c r="R332" s="2">
        <v>10944</v>
      </c>
      <c r="S332">
        <v>263</v>
      </c>
      <c r="T332" s="2">
        <v>40584</v>
      </c>
      <c r="U332" s="2">
        <v>46968</v>
      </c>
      <c r="V332">
        <v>191</v>
      </c>
      <c r="W332">
        <v>4</v>
      </c>
      <c r="X332">
        <v>0</v>
      </c>
      <c r="Y332">
        <v>0</v>
      </c>
      <c r="Z332">
        <v>1</v>
      </c>
      <c r="AA332">
        <v>5.2476909999999996E-3</v>
      </c>
      <c r="AB332">
        <v>21.7</v>
      </c>
      <c r="AC332">
        <v>11.96513889</v>
      </c>
      <c r="AD332">
        <v>20</v>
      </c>
      <c r="AE332" s="7"/>
      <c r="AF332" s="7"/>
      <c r="AG332" s="7"/>
      <c r="AH332" s="7"/>
      <c r="AI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3.4861109999999584E-2</v>
      </c>
      <c r="AJ332" s="7"/>
      <c r="AK332" t="s">
        <v>118</v>
      </c>
      <c r="AN332">
        <f>IFERROR(INT(Table13[[#This Row],[reject_prod]]/Table13[[#This Row],[part_weight]] * 1000), 0)</f>
        <v>41</v>
      </c>
    </row>
    <row r="333" spans="1:40" hidden="1">
      <c r="A333" s="1">
        <v>46033</v>
      </c>
      <c r="B333">
        <v>2</v>
      </c>
      <c r="C333">
        <v>7</v>
      </c>
      <c r="D333" t="s">
        <v>274</v>
      </c>
      <c r="E333" t="s">
        <v>34</v>
      </c>
      <c r="F333">
        <v>324177</v>
      </c>
      <c r="G333" s="6">
        <v>0</v>
      </c>
      <c r="H333" t="s">
        <v>246</v>
      </c>
      <c r="I333">
        <v>10682801</v>
      </c>
      <c r="J333">
        <v>4</v>
      </c>
      <c r="K333">
        <v>34.5</v>
      </c>
      <c r="L333">
        <v>34.5</v>
      </c>
      <c r="M333">
        <v>135</v>
      </c>
      <c r="N333" s="2">
        <v>62400</v>
      </c>
      <c r="O333">
        <v>312</v>
      </c>
      <c r="P333">
        <v>780</v>
      </c>
      <c r="Q333">
        <v>540</v>
      </c>
      <c r="S333">
        <v>0</v>
      </c>
      <c r="T333" s="2">
        <v>19500</v>
      </c>
      <c r="U333" s="2">
        <v>42900</v>
      </c>
      <c r="V333">
        <v>19</v>
      </c>
      <c r="W333">
        <v>0</v>
      </c>
      <c r="X333">
        <v>0</v>
      </c>
      <c r="Y333">
        <v>0</v>
      </c>
      <c r="Z333">
        <v>13</v>
      </c>
      <c r="AA333">
        <v>0.69779924900000001</v>
      </c>
      <c r="AB333">
        <v>21.43</v>
      </c>
      <c r="AC333">
        <v>0.80362500000000003</v>
      </c>
      <c r="AD333">
        <v>22</v>
      </c>
      <c r="AE333" s="7"/>
      <c r="AF333" s="7"/>
      <c r="AG333" s="7"/>
      <c r="AH333" s="7">
        <v>1.2</v>
      </c>
      <c r="AI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9.9963750000000005</v>
      </c>
      <c r="AJ333" s="7"/>
      <c r="AK333" t="s">
        <v>276</v>
      </c>
      <c r="AN333">
        <f>IFERROR(INT(Table13[[#This Row],[reject_prod]]/Table13[[#This Row],[part_weight]] * 1000), 0)</f>
        <v>376</v>
      </c>
    </row>
    <row r="334" spans="1:40" hidden="1">
      <c r="A334" s="1">
        <v>46033</v>
      </c>
      <c r="B334">
        <v>2</v>
      </c>
      <c r="C334">
        <v>8</v>
      </c>
      <c r="F334">
        <v>123456</v>
      </c>
      <c r="G334" s="6">
        <v>0</v>
      </c>
      <c r="M334">
        <v>0</v>
      </c>
      <c r="N334">
        <v>0</v>
      </c>
      <c r="O334">
        <v>0</v>
      </c>
      <c r="P334">
        <v>0</v>
      </c>
      <c r="R334">
        <v>0</v>
      </c>
      <c r="T334">
        <v>0</v>
      </c>
      <c r="X334">
        <v>0</v>
      </c>
      <c r="Z334">
        <v>0</v>
      </c>
      <c r="AB334">
        <v>0</v>
      </c>
      <c r="AC334">
        <v>0</v>
      </c>
      <c r="AD334">
        <v>22.5</v>
      </c>
      <c r="AE334" s="7"/>
      <c r="AF334" s="7"/>
      <c r="AG334" s="7"/>
      <c r="AH334" s="7"/>
      <c r="AI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4" s="7">
        <v>12</v>
      </c>
      <c r="AK334" t="s">
        <v>116</v>
      </c>
      <c r="AN334">
        <f>IFERROR(INT(Table13[[#This Row],[reject_prod]]/Table13[[#This Row],[part_weight]] * 1000), 0)</f>
        <v>0</v>
      </c>
    </row>
    <row r="335" spans="1:40" hidden="1">
      <c r="A335" s="1">
        <v>46033</v>
      </c>
      <c r="B335">
        <v>2</v>
      </c>
      <c r="C335">
        <v>9</v>
      </c>
      <c r="D335" t="s">
        <v>89</v>
      </c>
      <c r="E335" t="s">
        <v>46</v>
      </c>
      <c r="F335">
        <v>586276</v>
      </c>
      <c r="G335" s="6">
        <v>0</v>
      </c>
      <c r="H335" t="s">
        <v>47</v>
      </c>
      <c r="I335">
        <v>10682924</v>
      </c>
      <c r="J335">
        <v>6</v>
      </c>
      <c r="K335">
        <v>12.3</v>
      </c>
      <c r="L335">
        <v>12.3</v>
      </c>
      <c r="M335">
        <v>1613</v>
      </c>
      <c r="N335" s="2">
        <v>162000</v>
      </c>
      <c r="O335" s="2">
        <v>5265</v>
      </c>
      <c r="P335" s="2">
        <v>6885</v>
      </c>
      <c r="Q335" s="2">
        <v>9678</v>
      </c>
      <c r="R335" s="2">
        <v>8100</v>
      </c>
      <c r="S335">
        <v>100</v>
      </c>
      <c r="T335" s="2">
        <v>47385</v>
      </c>
      <c r="U335" s="2">
        <v>114615</v>
      </c>
      <c r="V335">
        <v>119</v>
      </c>
      <c r="W335">
        <v>0</v>
      </c>
      <c r="X335">
        <v>0</v>
      </c>
      <c r="Y335">
        <v>0</v>
      </c>
      <c r="Z335">
        <v>1</v>
      </c>
      <c r="AA335">
        <v>8.4005799999999995E-3</v>
      </c>
      <c r="AB335">
        <v>26.2</v>
      </c>
      <c r="AC335">
        <v>11.739055560000001</v>
      </c>
      <c r="AD335">
        <v>26</v>
      </c>
      <c r="AE335" s="7"/>
      <c r="AF335" s="7"/>
      <c r="AG335" s="7"/>
      <c r="AH335" s="7"/>
      <c r="AI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0.26094443999999939</v>
      </c>
      <c r="AJ335" s="7"/>
      <c r="AK335" t="s">
        <v>51</v>
      </c>
      <c r="AN335">
        <f>IFERROR(INT(Table13[[#This Row],[reject_prod]]/Table13[[#This Row],[part_weight]] * 1000), 0)</f>
        <v>81</v>
      </c>
    </row>
    <row r="336" spans="1:40" hidden="1">
      <c r="A336" s="1">
        <v>46033</v>
      </c>
      <c r="B336">
        <v>2</v>
      </c>
      <c r="C336">
        <v>10</v>
      </c>
      <c r="D336" t="s">
        <v>53</v>
      </c>
      <c r="E336" t="s">
        <v>41</v>
      </c>
      <c r="F336">
        <v>593537</v>
      </c>
      <c r="G336" s="6">
        <v>0</v>
      </c>
      <c r="H336" t="s">
        <v>48</v>
      </c>
      <c r="I336">
        <v>10682926</v>
      </c>
      <c r="J336">
        <v>4</v>
      </c>
      <c r="K336">
        <v>56.5</v>
      </c>
      <c r="L336">
        <v>56.8</v>
      </c>
      <c r="M336">
        <v>1368</v>
      </c>
      <c r="N336" s="2">
        <v>69000</v>
      </c>
      <c r="P336">
        <v>180</v>
      </c>
      <c r="Q336" s="2">
        <v>5472</v>
      </c>
      <c r="R336" s="2">
        <v>5175</v>
      </c>
      <c r="S336">
        <v>294</v>
      </c>
      <c r="T336" s="2">
        <v>12255</v>
      </c>
      <c r="U336" s="2">
        <v>56745</v>
      </c>
      <c r="V336">
        <v>311</v>
      </c>
      <c r="W336">
        <v>-2</v>
      </c>
      <c r="X336">
        <v>0</v>
      </c>
      <c r="Y336">
        <v>0</v>
      </c>
      <c r="Z336">
        <v>4</v>
      </c>
      <c r="AA336">
        <v>1.2869614999999999E-2</v>
      </c>
      <c r="AB336">
        <v>31.7</v>
      </c>
      <c r="AC336">
        <v>12</v>
      </c>
      <c r="AD336">
        <v>28.5</v>
      </c>
      <c r="AE336" s="7"/>
      <c r="AF336" s="7"/>
      <c r="AG336" s="7"/>
      <c r="AH336" s="7"/>
      <c r="AI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6" s="7"/>
      <c r="AK336" t="s">
        <v>277</v>
      </c>
      <c r="AN336">
        <f>IFERROR(INT(Table13[[#This Row],[reject_prod]]/Table13[[#This Row],[part_weight]] * 1000), 0)</f>
        <v>70</v>
      </c>
    </row>
    <row r="337" spans="1:40" hidden="1">
      <c r="A337" s="1">
        <v>46033</v>
      </c>
      <c r="B337">
        <v>2</v>
      </c>
      <c r="C337">
        <v>11</v>
      </c>
      <c r="D337" t="s">
        <v>59</v>
      </c>
      <c r="E337" t="s">
        <v>46</v>
      </c>
      <c r="F337">
        <v>552181</v>
      </c>
      <c r="G337" s="6">
        <v>1</v>
      </c>
      <c r="H337" t="s">
        <v>49</v>
      </c>
      <c r="I337">
        <v>10682927</v>
      </c>
      <c r="J337">
        <v>6</v>
      </c>
      <c r="K337">
        <v>18.8</v>
      </c>
      <c r="L337">
        <v>18.8</v>
      </c>
      <c r="M337">
        <v>1560</v>
      </c>
      <c r="N337" s="2">
        <v>108000</v>
      </c>
      <c r="O337" s="2">
        <v>2430</v>
      </c>
      <c r="P337">
        <v>270</v>
      </c>
      <c r="Q337" s="2">
        <v>9360</v>
      </c>
      <c r="R337" s="2">
        <v>10800</v>
      </c>
      <c r="S337">
        <v>203</v>
      </c>
      <c r="T337" s="2">
        <v>97470</v>
      </c>
      <c r="U337" s="2">
        <v>10530</v>
      </c>
      <c r="V337">
        <v>176</v>
      </c>
      <c r="W337">
        <v>0</v>
      </c>
      <c r="X337">
        <v>0</v>
      </c>
      <c r="Y337">
        <v>0</v>
      </c>
      <c r="Z337">
        <v>1</v>
      </c>
      <c r="AA337">
        <v>5.682851E-3</v>
      </c>
      <c r="AB337">
        <v>27.6</v>
      </c>
      <c r="AC337">
        <v>11.96</v>
      </c>
      <c r="AD337">
        <v>27</v>
      </c>
      <c r="AE337" s="7"/>
      <c r="AF337" s="7"/>
      <c r="AG337" s="7"/>
      <c r="AH337" s="7"/>
      <c r="AI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337" s="7"/>
      <c r="AK337" t="s">
        <v>51</v>
      </c>
      <c r="AN337">
        <f>IFERROR(INT(Table13[[#This Row],[reject_prod]]/Table13[[#This Row],[part_weight]] * 1000), 0)</f>
        <v>53</v>
      </c>
    </row>
    <row r="338" spans="1:40" hidden="1">
      <c r="A338" s="1">
        <v>46033</v>
      </c>
      <c r="B338">
        <v>2</v>
      </c>
      <c r="C338">
        <v>12</v>
      </c>
      <c r="F338">
        <v>123456</v>
      </c>
      <c r="G338" s="6">
        <v>0</v>
      </c>
      <c r="M338">
        <v>0</v>
      </c>
      <c r="N338">
        <v>0</v>
      </c>
      <c r="O338">
        <v>0</v>
      </c>
      <c r="P338">
        <v>0</v>
      </c>
      <c r="R338">
        <v>0</v>
      </c>
      <c r="T338">
        <v>0</v>
      </c>
      <c r="X338">
        <v>0</v>
      </c>
      <c r="Z338">
        <v>0</v>
      </c>
      <c r="AB338">
        <v>0</v>
      </c>
      <c r="AC338">
        <v>0</v>
      </c>
      <c r="AD338">
        <v>22.5</v>
      </c>
      <c r="AE338" s="7"/>
      <c r="AF338" s="7"/>
      <c r="AG338" s="7"/>
      <c r="AH338" s="7"/>
      <c r="AI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8" s="7">
        <v>12</v>
      </c>
      <c r="AK338" t="s">
        <v>116</v>
      </c>
      <c r="AN338">
        <f>IFERROR(INT(Table13[[#This Row],[reject_prod]]/Table13[[#This Row],[part_weight]] * 1000), 0)</f>
        <v>0</v>
      </c>
    </row>
    <row r="339" spans="1:40" hidden="1">
      <c r="A339" s="1">
        <v>46033</v>
      </c>
      <c r="B339">
        <v>2</v>
      </c>
      <c r="C339">
        <v>13</v>
      </c>
      <c r="D339" t="s">
        <v>59</v>
      </c>
      <c r="E339" t="s">
        <v>46</v>
      </c>
      <c r="F339">
        <v>586276</v>
      </c>
      <c r="G339" s="6">
        <v>0</v>
      </c>
      <c r="H339" t="s">
        <v>47</v>
      </c>
      <c r="I339">
        <v>10682930</v>
      </c>
      <c r="J339">
        <v>6</v>
      </c>
      <c r="K339">
        <v>12.3</v>
      </c>
      <c r="L339">
        <v>12.3</v>
      </c>
      <c r="M339">
        <v>1618</v>
      </c>
      <c r="N339" s="2">
        <v>162000</v>
      </c>
      <c r="O339" s="2">
        <v>1620</v>
      </c>
      <c r="P339" s="2">
        <v>2835</v>
      </c>
      <c r="Q339" s="2">
        <v>9708</v>
      </c>
      <c r="R339" s="2">
        <v>8100</v>
      </c>
      <c r="S339">
        <v>100</v>
      </c>
      <c r="T339" s="2">
        <v>148635</v>
      </c>
      <c r="U339" s="2">
        <v>13365</v>
      </c>
      <c r="V339">
        <v>119</v>
      </c>
      <c r="W339">
        <v>0</v>
      </c>
      <c r="X339">
        <v>0</v>
      </c>
      <c r="Y339">
        <v>0</v>
      </c>
      <c r="Z339">
        <v>1</v>
      </c>
      <c r="AA339">
        <v>8.3746199999999993E-3</v>
      </c>
      <c r="AB339">
        <v>26.43</v>
      </c>
      <c r="AC339">
        <v>11.878816670000001</v>
      </c>
      <c r="AD339">
        <v>26</v>
      </c>
      <c r="AE339" s="7"/>
      <c r="AF339" s="7"/>
      <c r="AG339" s="7"/>
      <c r="AH339" s="7"/>
      <c r="AI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0.12118332999999915</v>
      </c>
      <c r="AJ339" s="7"/>
      <c r="AK339" t="s">
        <v>51</v>
      </c>
      <c r="AN339">
        <f>IFERROR(INT(Table13[[#This Row],[reject_prod]]/Table13[[#This Row],[part_weight]] * 1000), 0)</f>
        <v>81</v>
      </c>
    </row>
    <row r="340" spans="1:40" hidden="1">
      <c r="A340" s="1">
        <v>46033</v>
      </c>
      <c r="B340">
        <v>2</v>
      </c>
      <c r="C340">
        <v>14</v>
      </c>
      <c r="D340" t="s">
        <v>139</v>
      </c>
      <c r="E340" t="s">
        <v>46</v>
      </c>
      <c r="F340">
        <v>555979</v>
      </c>
      <c r="G340" s="6">
        <v>1</v>
      </c>
      <c r="H340" t="s">
        <v>52</v>
      </c>
      <c r="I340">
        <v>10682932</v>
      </c>
      <c r="J340">
        <v>6</v>
      </c>
      <c r="K340">
        <v>28</v>
      </c>
      <c r="L340">
        <v>28</v>
      </c>
      <c r="M340">
        <v>984</v>
      </c>
      <c r="N340" s="2">
        <v>100800</v>
      </c>
      <c r="O340">
        <v>336</v>
      </c>
      <c r="P340" s="2">
        <v>2688</v>
      </c>
      <c r="Q340" s="2">
        <v>5904</v>
      </c>
      <c r="R340" s="2">
        <v>3360</v>
      </c>
      <c r="S340">
        <v>94</v>
      </c>
      <c r="T340" s="2">
        <v>43008</v>
      </c>
      <c r="U340" s="2">
        <v>57792</v>
      </c>
      <c r="V340">
        <v>165</v>
      </c>
      <c r="W340">
        <v>0</v>
      </c>
      <c r="X340">
        <v>0</v>
      </c>
      <c r="Y340">
        <v>0</v>
      </c>
      <c r="Z340">
        <v>1</v>
      </c>
      <c r="AA340">
        <v>6.0491679999999997E-3</v>
      </c>
      <c r="AB340">
        <v>44.1</v>
      </c>
      <c r="AC340">
        <v>12</v>
      </c>
      <c r="AD340">
        <v>42</v>
      </c>
      <c r="AE340" s="7"/>
      <c r="AF340" s="7"/>
      <c r="AG340" s="7"/>
      <c r="AH340" s="7"/>
      <c r="AI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0" s="7"/>
      <c r="AK340" t="s">
        <v>51</v>
      </c>
      <c r="AN340">
        <f>IFERROR(INT(Table13[[#This Row],[reject_prod]]/Table13[[#This Row],[part_weight]] * 1000), 0)</f>
        <v>35</v>
      </c>
    </row>
    <row r="341" spans="1:40" hidden="1">
      <c r="A341" s="1">
        <v>46033</v>
      </c>
      <c r="B341">
        <v>2</v>
      </c>
      <c r="C341">
        <v>15</v>
      </c>
      <c r="D341" t="s">
        <v>59</v>
      </c>
      <c r="E341" t="s">
        <v>46</v>
      </c>
      <c r="F341">
        <v>552181</v>
      </c>
      <c r="G341" s="6">
        <v>2</v>
      </c>
      <c r="H341" t="s">
        <v>49</v>
      </c>
      <c r="I341">
        <v>10682934</v>
      </c>
      <c r="J341">
        <v>6</v>
      </c>
      <c r="K341">
        <v>18.8</v>
      </c>
      <c r="L341">
        <v>18.8</v>
      </c>
      <c r="M341">
        <v>1369</v>
      </c>
      <c r="N341" s="2">
        <v>108000</v>
      </c>
      <c r="O341" s="2">
        <v>2700</v>
      </c>
      <c r="P341">
        <v>270</v>
      </c>
      <c r="Q341" s="2">
        <v>8214</v>
      </c>
      <c r="R341" s="2">
        <v>10800</v>
      </c>
      <c r="S341">
        <v>203</v>
      </c>
      <c r="T341" s="2">
        <v>75870</v>
      </c>
      <c r="U341" s="2">
        <v>32130</v>
      </c>
      <c r="V341">
        <v>154</v>
      </c>
      <c r="W341">
        <v>0</v>
      </c>
      <c r="X341">
        <v>0</v>
      </c>
      <c r="Y341">
        <v>0</v>
      </c>
      <c r="Z341">
        <v>1</v>
      </c>
      <c r="AA341">
        <v>6.4757110000000003E-3</v>
      </c>
      <c r="AB341">
        <v>31.2</v>
      </c>
      <c r="AC341">
        <v>11.86466667</v>
      </c>
      <c r="AD341">
        <v>27</v>
      </c>
      <c r="AE341" s="7"/>
      <c r="AF341" s="7"/>
      <c r="AG341" s="7"/>
      <c r="AH341" s="7"/>
      <c r="AI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0.13533332999999992</v>
      </c>
      <c r="AJ341" s="7"/>
      <c r="AK341" t="s">
        <v>51</v>
      </c>
      <c r="AN341">
        <f>IFERROR(INT(Table13[[#This Row],[reject_prod]]/Table13[[#This Row],[part_weight]] * 1000), 0)</f>
        <v>53</v>
      </c>
    </row>
    <row r="342" spans="1:40" s="4" customFormat="1" hidden="1">
      <c r="A342" s="3">
        <v>46033</v>
      </c>
      <c r="B342" s="4">
        <v>2</v>
      </c>
      <c r="C342" s="4">
        <v>16</v>
      </c>
      <c r="D342" s="4" t="s">
        <v>140</v>
      </c>
      <c r="E342" s="4" t="s">
        <v>46</v>
      </c>
      <c r="F342" s="4">
        <v>555979</v>
      </c>
      <c r="G342" s="9">
        <v>2</v>
      </c>
      <c r="H342" s="4" t="s">
        <v>52</v>
      </c>
      <c r="I342" s="4">
        <v>10682935</v>
      </c>
      <c r="J342" s="4">
        <v>6</v>
      </c>
      <c r="K342" s="4">
        <v>28</v>
      </c>
      <c r="L342" s="4">
        <v>28</v>
      </c>
      <c r="M342" s="4">
        <v>998</v>
      </c>
      <c r="N342" s="5">
        <v>100800</v>
      </c>
      <c r="O342" s="5">
        <v>1512</v>
      </c>
      <c r="P342" s="4">
        <v>672</v>
      </c>
      <c r="Q342" s="5">
        <v>5988</v>
      </c>
      <c r="R342" s="5">
        <v>6720</v>
      </c>
      <c r="S342" s="4">
        <v>188</v>
      </c>
      <c r="T342" s="5">
        <v>88032</v>
      </c>
      <c r="U342" s="5">
        <v>12768</v>
      </c>
      <c r="V342" s="4">
        <v>168</v>
      </c>
      <c r="W342" s="4">
        <v>0</v>
      </c>
      <c r="X342" s="4">
        <v>0</v>
      </c>
      <c r="Y342" s="4">
        <v>0</v>
      </c>
      <c r="Z342" s="4">
        <v>3</v>
      </c>
      <c r="AA342" s="4">
        <v>1.7892928999999998E-2</v>
      </c>
      <c r="AB342" s="4">
        <v>43.7</v>
      </c>
      <c r="AC342" s="4">
        <v>12</v>
      </c>
      <c r="AD342" s="4">
        <v>42</v>
      </c>
      <c r="AE342" s="8"/>
      <c r="AF342" s="8"/>
      <c r="AG342" s="8"/>
      <c r="AH342" s="8"/>
      <c r="AI34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" s="8"/>
      <c r="AK342" s="4" t="s">
        <v>51</v>
      </c>
      <c r="AN342">
        <f>IFERROR(INT(Table13[[#This Row],[reject_prod]]/Table13[[#This Row],[part_weight]] * 1000), 0)</f>
        <v>107</v>
      </c>
    </row>
    <row r="343" spans="1:40" hidden="1">
      <c r="A343" s="1">
        <v>46034</v>
      </c>
      <c r="B343">
        <v>1</v>
      </c>
      <c r="C343">
        <v>1</v>
      </c>
      <c r="D343" t="s">
        <v>278</v>
      </c>
      <c r="E343" t="s">
        <v>34</v>
      </c>
      <c r="F343">
        <v>365091</v>
      </c>
      <c r="G343" s="6">
        <v>0</v>
      </c>
      <c r="H343" t="s">
        <v>189</v>
      </c>
      <c r="I343">
        <v>10682753</v>
      </c>
      <c r="J343">
        <v>4</v>
      </c>
      <c r="K343">
        <v>44</v>
      </c>
      <c r="L343">
        <v>44</v>
      </c>
      <c r="M343">
        <v>1283</v>
      </c>
      <c r="N343" s="2">
        <v>66885</v>
      </c>
      <c r="O343">
        <v>630</v>
      </c>
      <c r="P343">
        <v>315</v>
      </c>
      <c r="Q343" s="2">
        <v>5132</v>
      </c>
      <c r="R343" s="2">
        <v>5040</v>
      </c>
      <c r="S343">
        <v>222</v>
      </c>
      <c r="T343" s="2">
        <v>34335</v>
      </c>
      <c r="U343" s="2">
        <v>32550</v>
      </c>
      <c r="V343">
        <v>226</v>
      </c>
      <c r="W343">
        <v>0</v>
      </c>
      <c r="X343">
        <v>3.4</v>
      </c>
      <c r="Y343">
        <v>1.5057040000000001E-2</v>
      </c>
      <c r="Z343">
        <v>0</v>
      </c>
      <c r="AA343">
        <v>0</v>
      </c>
      <c r="AB343">
        <v>27.3</v>
      </c>
      <c r="AC343">
        <v>9.7294166670000006</v>
      </c>
      <c r="AD343">
        <v>28.64</v>
      </c>
      <c r="AE343" s="7"/>
      <c r="AF343" s="7"/>
      <c r="AG343" s="7"/>
      <c r="AH343" s="7"/>
      <c r="AI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2.2705833329999994</v>
      </c>
      <c r="AJ343" s="7"/>
      <c r="AK343" t="s">
        <v>214</v>
      </c>
      <c r="AN343">
        <f>IFERROR(INT(Table13[[#This Row],[reject_prod]]/Table13[[#This Row],[part_weight]] * 1000), 0)</f>
        <v>0</v>
      </c>
    </row>
    <row r="344" spans="1:40" hidden="1">
      <c r="A344" s="1">
        <v>46034</v>
      </c>
      <c r="B344">
        <v>1</v>
      </c>
      <c r="C344">
        <v>2</v>
      </c>
      <c r="D344" t="s">
        <v>67</v>
      </c>
      <c r="E344" t="s">
        <v>34</v>
      </c>
      <c r="F344">
        <v>423215</v>
      </c>
      <c r="G344" s="6">
        <v>0</v>
      </c>
      <c r="H344" t="s">
        <v>156</v>
      </c>
      <c r="I344">
        <v>10682755</v>
      </c>
      <c r="J344">
        <v>4</v>
      </c>
      <c r="K344">
        <v>24</v>
      </c>
      <c r="L344">
        <v>24</v>
      </c>
      <c r="M344">
        <v>1561</v>
      </c>
      <c r="N344" s="2">
        <v>89112</v>
      </c>
      <c r="O344" s="2">
        <v>1410</v>
      </c>
      <c r="P344">
        <v>564</v>
      </c>
      <c r="Q344" s="2">
        <v>6244</v>
      </c>
      <c r="R344" s="2">
        <v>6768</v>
      </c>
      <c r="S344">
        <v>162</v>
      </c>
      <c r="T344" s="2">
        <v>81780</v>
      </c>
      <c r="U344" s="2">
        <v>7332</v>
      </c>
      <c r="V344">
        <v>150</v>
      </c>
      <c r="W344">
        <v>0</v>
      </c>
      <c r="X344">
        <v>0</v>
      </c>
      <c r="Y344">
        <v>0</v>
      </c>
      <c r="Z344">
        <v>2.1</v>
      </c>
      <c r="AA344">
        <v>1.4013453E-2</v>
      </c>
      <c r="AB344">
        <v>27.3</v>
      </c>
      <c r="AC344">
        <v>11.837583329999999</v>
      </c>
      <c r="AD344">
        <v>22</v>
      </c>
      <c r="AE344" s="7"/>
      <c r="AF344" s="7"/>
      <c r="AG344" s="7"/>
      <c r="AH344" s="7"/>
      <c r="AI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0.16241667000000071</v>
      </c>
      <c r="AJ344" s="7"/>
      <c r="AK344" t="s">
        <v>214</v>
      </c>
      <c r="AN344">
        <f>IFERROR(INT(Table13[[#This Row],[reject_prod]]/Table13[[#This Row],[part_weight]] * 1000), 0)</f>
        <v>87</v>
      </c>
    </row>
    <row r="345" spans="1:40" hidden="1">
      <c r="A345" s="1">
        <v>46034</v>
      </c>
      <c r="B345">
        <v>1</v>
      </c>
      <c r="C345">
        <v>3</v>
      </c>
      <c r="D345" t="s">
        <v>152</v>
      </c>
      <c r="E345" t="s">
        <v>34</v>
      </c>
      <c r="F345">
        <v>442034</v>
      </c>
      <c r="G345" s="6">
        <v>0</v>
      </c>
      <c r="H345" t="s">
        <v>37</v>
      </c>
      <c r="I345">
        <v>10681183</v>
      </c>
      <c r="J345">
        <v>4</v>
      </c>
      <c r="K345">
        <v>23</v>
      </c>
      <c r="L345">
        <v>23</v>
      </c>
      <c r="M345">
        <v>1577</v>
      </c>
      <c r="N345" s="2">
        <v>139776</v>
      </c>
      <c r="O345">
        <v>0</v>
      </c>
      <c r="P345">
        <v>384</v>
      </c>
      <c r="Q345" s="2">
        <v>6308</v>
      </c>
      <c r="R345" s="2">
        <v>4608</v>
      </c>
      <c r="S345">
        <v>106</v>
      </c>
      <c r="T345" s="2">
        <v>78720</v>
      </c>
      <c r="U345" s="2">
        <v>61056</v>
      </c>
      <c r="V345">
        <v>145</v>
      </c>
      <c r="W345">
        <v>0</v>
      </c>
      <c r="X345">
        <v>0</v>
      </c>
      <c r="Y345">
        <v>0</v>
      </c>
      <c r="Z345">
        <v>18.600000000000001</v>
      </c>
      <c r="AA345">
        <v>0.128201594</v>
      </c>
      <c r="AB345">
        <v>26.9</v>
      </c>
      <c r="AC345">
        <v>11.78369444</v>
      </c>
      <c r="AD345">
        <v>22</v>
      </c>
      <c r="AE345" s="7"/>
      <c r="AF345" s="7"/>
      <c r="AG345" s="7"/>
      <c r="AH345" s="7"/>
      <c r="AI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0.21630556000000034</v>
      </c>
      <c r="AJ345" s="7"/>
      <c r="AK345" t="s">
        <v>75</v>
      </c>
      <c r="AN345">
        <f>IFERROR(INT(Table13[[#This Row],[reject_prod]]/Table13[[#This Row],[part_weight]] * 1000), 0)</f>
        <v>808</v>
      </c>
    </row>
    <row r="346" spans="1:40" hidden="1">
      <c r="A346" s="1">
        <v>46034</v>
      </c>
      <c r="B346">
        <v>1</v>
      </c>
      <c r="C346">
        <v>4</v>
      </c>
      <c r="F346">
        <v>123456</v>
      </c>
      <c r="G346" s="6">
        <v>0</v>
      </c>
      <c r="M346">
        <v>0</v>
      </c>
      <c r="N346">
        <v>0</v>
      </c>
      <c r="O346">
        <v>0</v>
      </c>
      <c r="P346">
        <v>0</v>
      </c>
      <c r="R346">
        <v>0</v>
      </c>
      <c r="T346">
        <v>0</v>
      </c>
      <c r="X346">
        <v>0</v>
      </c>
      <c r="Z346">
        <v>0</v>
      </c>
      <c r="AB346">
        <v>0</v>
      </c>
      <c r="AC346">
        <v>0</v>
      </c>
      <c r="AD346">
        <v>22.5</v>
      </c>
      <c r="AE346" s="7"/>
      <c r="AF346" s="7"/>
      <c r="AG346" s="7"/>
      <c r="AH346" s="7"/>
      <c r="AI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6" s="7">
        <v>12</v>
      </c>
      <c r="AK346" t="s">
        <v>116</v>
      </c>
      <c r="AN346">
        <f>IFERROR(INT(Table13[[#This Row],[reject_prod]]/Table13[[#This Row],[part_weight]] * 1000), 0)</f>
        <v>0</v>
      </c>
    </row>
    <row r="347" spans="1:40" hidden="1">
      <c r="A347" s="1">
        <v>46034</v>
      </c>
      <c r="B347">
        <v>1</v>
      </c>
      <c r="C347">
        <v>5</v>
      </c>
      <c r="D347" t="s">
        <v>69</v>
      </c>
      <c r="E347" t="s">
        <v>34</v>
      </c>
      <c r="F347">
        <v>597507</v>
      </c>
      <c r="G347" s="6">
        <v>0</v>
      </c>
      <c r="H347" t="s">
        <v>279</v>
      </c>
      <c r="I347">
        <v>10682757</v>
      </c>
      <c r="J347">
        <v>4</v>
      </c>
      <c r="K347">
        <v>23</v>
      </c>
      <c r="L347">
        <v>23</v>
      </c>
      <c r="M347">
        <v>0</v>
      </c>
      <c r="N347" s="2">
        <v>64680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2">
        <v>64680</v>
      </c>
      <c r="V347">
        <v>0</v>
      </c>
      <c r="W347">
        <v>0</v>
      </c>
      <c r="X347">
        <v>14.6</v>
      </c>
      <c r="Y347" t="e">
        <v>#DIV/0!</v>
      </c>
      <c r="Z347">
        <v>0</v>
      </c>
      <c r="AA347" t="e">
        <v>#DIV/0!</v>
      </c>
      <c r="AB347">
        <v>26.9</v>
      </c>
      <c r="AC347">
        <v>0</v>
      </c>
      <c r="AD347">
        <v>22</v>
      </c>
      <c r="AE347" s="7"/>
      <c r="AF347" s="7"/>
      <c r="AG347" s="7"/>
      <c r="AH347" s="7"/>
      <c r="AI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47" s="7"/>
      <c r="AK347" t="s">
        <v>280</v>
      </c>
      <c r="AN347">
        <f>IFERROR(INT(Table13[[#This Row],[reject_prod]]/Table13[[#This Row],[part_weight]] * 1000), 0)</f>
        <v>0</v>
      </c>
    </row>
    <row r="348" spans="1:40" hidden="1">
      <c r="A348" s="1">
        <v>46034</v>
      </c>
      <c r="B348">
        <v>1</v>
      </c>
      <c r="C348">
        <v>6</v>
      </c>
      <c r="D348" t="s">
        <v>40</v>
      </c>
      <c r="E348" t="s">
        <v>34</v>
      </c>
      <c r="F348">
        <v>532981</v>
      </c>
      <c r="G348" s="6">
        <v>0</v>
      </c>
      <c r="H348" t="s">
        <v>233</v>
      </c>
      <c r="I348">
        <v>10682758</v>
      </c>
      <c r="J348">
        <v>4</v>
      </c>
      <c r="K348">
        <v>24.45</v>
      </c>
      <c r="L348">
        <v>24</v>
      </c>
      <c r="M348">
        <v>1952</v>
      </c>
      <c r="N348" s="2">
        <v>87552</v>
      </c>
      <c r="O348" s="2">
        <v>2280</v>
      </c>
      <c r="P348" s="2">
        <v>4560</v>
      </c>
      <c r="Q348" s="2">
        <v>7808</v>
      </c>
      <c r="R348" s="2">
        <v>5472</v>
      </c>
      <c r="S348">
        <v>131</v>
      </c>
      <c r="T348" s="2">
        <v>48336</v>
      </c>
      <c r="U348" s="2">
        <v>39216</v>
      </c>
      <c r="V348">
        <v>187</v>
      </c>
      <c r="W348">
        <v>0</v>
      </c>
      <c r="X348">
        <v>0</v>
      </c>
      <c r="Y348">
        <v>0</v>
      </c>
      <c r="Z348">
        <v>2.5</v>
      </c>
      <c r="AA348">
        <v>1.3341018E-2</v>
      </c>
      <c r="AB348">
        <v>21.7</v>
      </c>
      <c r="AC348">
        <v>11.76622222</v>
      </c>
      <c r="AD348">
        <v>20</v>
      </c>
      <c r="AE348" s="7"/>
      <c r="AF348" s="7"/>
      <c r="AG348" s="7"/>
      <c r="AH348" s="7"/>
      <c r="AI3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0.23377778000000049</v>
      </c>
      <c r="AJ348" s="7"/>
      <c r="AK348" t="s">
        <v>103</v>
      </c>
      <c r="AN348">
        <f>IFERROR(INT(Table13[[#This Row],[reject_prod]]/Table13[[#This Row],[part_weight]] * 1000), 0)</f>
        <v>104</v>
      </c>
    </row>
    <row r="349" spans="1:40" hidden="1">
      <c r="A349" s="1">
        <v>46034</v>
      </c>
      <c r="B349">
        <v>1</v>
      </c>
      <c r="C349">
        <v>7</v>
      </c>
      <c r="D349" t="s">
        <v>281</v>
      </c>
      <c r="E349" t="s">
        <v>34</v>
      </c>
      <c r="F349">
        <v>324177</v>
      </c>
      <c r="G349" s="6">
        <v>0</v>
      </c>
      <c r="H349" t="s">
        <v>246</v>
      </c>
      <c r="I349">
        <v>10682801</v>
      </c>
      <c r="J349">
        <v>4</v>
      </c>
      <c r="K349">
        <v>34.5</v>
      </c>
      <c r="L349">
        <v>34.5</v>
      </c>
      <c r="M349">
        <v>585</v>
      </c>
      <c r="N349" s="2">
        <v>62400</v>
      </c>
      <c r="O349">
        <v>780</v>
      </c>
      <c r="P349">
        <v>0</v>
      </c>
      <c r="Q349" s="2">
        <v>2340</v>
      </c>
      <c r="R349" s="2">
        <v>2340</v>
      </c>
      <c r="S349">
        <v>81</v>
      </c>
      <c r="T349" s="2">
        <v>21060</v>
      </c>
      <c r="U349" s="2">
        <v>41340</v>
      </c>
      <c r="V349">
        <v>81</v>
      </c>
      <c r="W349">
        <v>0</v>
      </c>
      <c r="X349">
        <v>0</v>
      </c>
      <c r="Y349">
        <v>0</v>
      </c>
      <c r="Z349">
        <v>26</v>
      </c>
      <c r="AA349">
        <v>0.322061192</v>
      </c>
      <c r="AB349">
        <v>21.43</v>
      </c>
      <c r="AC349">
        <v>3.4823750000000002</v>
      </c>
      <c r="AD349">
        <v>22</v>
      </c>
      <c r="AE349" s="7"/>
      <c r="AF349" s="7"/>
      <c r="AG349" s="7"/>
      <c r="AH349" s="7"/>
      <c r="AI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8.5176249999999989</v>
      </c>
      <c r="AJ349" s="7"/>
      <c r="AK349" t="s">
        <v>282</v>
      </c>
      <c r="AN349">
        <f>IFERROR(INT(Table13[[#This Row],[reject_prod]]/Table13[[#This Row],[part_weight]] * 1000), 0)</f>
        <v>753</v>
      </c>
    </row>
    <row r="350" spans="1:40" hidden="1">
      <c r="A350" s="1">
        <v>46034</v>
      </c>
      <c r="B350">
        <v>1</v>
      </c>
      <c r="C350">
        <v>8</v>
      </c>
      <c r="D350" t="s">
        <v>40</v>
      </c>
      <c r="E350" t="s">
        <v>34</v>
      </c>
      <c r="F350">
        <v>323102</v>
      </c>
      <c r="G350" s="6">
        <v>0</v>
      </c>
      <c r="H350" t="s">
        <v>45</v>
      </c>
      <c r="I350">
        <v>10683894</v>
      </c>
      <c r="J350">
        <v>4</v>
      </c>
      <c r="K350">
        <v>56.9</v>
      </c>
      <c r="L350">
        <v>56.9</v>
      </c>
      <c r="M350">
        <v>1232</v>
      </c>
      <c r="N350" s="2">
        <v>38400</v>
      </c>
      <c r="O350">
        <v>0</v>
      </c>
      <c r="P350">
        <v>0</v>
      </c>
      <c r="Q350" s="2">
        <v>4928</v>
      </c>
      <c r="R350" s="2">
        <v>4800</v>
      </c>
      <c r="S350">
        <v>273</v>
      </c>
      <c r="T350" s="2">
        <v>30400</v>
      </c>
      <c r="U350" s="2">
        <v>8000</v>
      </c>
      <c r="V350">
        <v>280</v>
      </c>
      <c r="W350">
        <v>0</v>
      </c>
      <c r="X350">
        <v>3</v>
      </c>
      <c r="Y350">
        <v>1.0698879E-2</v>
      </c>
      <c r="Z350">
        <v>0</v>
      </c>
      <c r="AA350">
        <v>0</v>
      </c>
      <c r="AB350">
        <v>27.8</v>
      </c>
      <c r="AC350">
        <v>9.5137777779999997</v>
      </c>
      <c r="AD350">
        <v>26</v>
      </c>
      <c r="AE350" s="7"/>
      <c r="AF350" s="7"/>
      <c r="AG350" s="7"/>
      <c r="AH350" s="7"/>
      <c r="AI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2.4862222220000003</v>
      </c>
      <c r="AJ350" s="7"/>
      <c r="AK350" t="s">
        <v>283</v>
      </c>
      <c r="AN350">
        <f>IFERROR(INT(Table13[[#This Row],[reject_prod]]/Table13[[#This Row],[part_weight]] * 1000), 0)</f>
        <v>0</v>
      </c>
    </row>
    <row r="351" spans="1:40" hidden="1">
      <c r="A351" s="1">
        <v>46034</v>
      </c>
      <c r="B351">
        <v>1</v>
      </c>
      <c r="C351">
        <v>9</v>
      </c>
      <c r="D351" t="s">
        <v>284</v>
      </c>
      <c r="E351" t="s">
        <v>46</v>
      </c>
      <c r="F351">
        <v>586276</v>
      </c>
      <c r="G351" s="6">
        <v>0</v>
      </c>
      <c r="H351" t="s">
        <v>47</v>
      </c>
      <c r="I351">
        <v>10682924</v>
      </c>
      <c r="J351">
        <v>6</v>
      </c>
      <c r="K351">
        <v>12.3</v>
      </c>
      <c r="L351">
        <v>12.3</v>
      </c>
      <c r="M351">
        <v>1648</v>
      </c>
      <c r="N351" s="2">
        <v>162000</v>
      </c>
      <c r="O351" s="2">
        <v>6885</v>
      </c>
      <c r="P351">
        <v>0</v>
      </c>
      <c r="Q351" s="2">
        <v>9888</v>
      </c>
      <c r="R351" s="2">
        <v>16200</v>
      </c>
      <c r="S351">
        <v>199</v>
      </c>
      <c r="T351" s="2">
        <v>56700</v>
      </c>
      <c r="U351" s="2">
        <v>105300</v>
      </c>
      <c r="V351">
        <v>122</v>
      </c>
      <c r="W351">
        <v>0</v>
      </c>
      <c r="X351">
        <v>0</v>
      </c>
      <c r="Y351">
        <v>0</v>
      </c>
      <c r="Z351">
        <v>1</v>
      </c>
      <c r="AA351">
        <v>8.2221700000000009E-3</v>
      </c>
      <c r="AB351">
        <v>26.2</v>
      </c>
      <c r="AC351">
        <v>11.99377778</v>
      </c>
      <c r="AD351">
        <v>26</v>
      </c>
      <c r="AE351" s="7"/>
      <c r="AF351" s="7"/>
      <c r="AG351" s="7"/>
      <c r="AH351" s="7"/>
      <c r="AI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6.222219999999723E-3</v>
      </c>
      <c r="AJ351" s="7"/>
      <c r="AK351" t="s">
        <v>51</v>
      </c>
      <c r="AN351">
        <f>IFERROR(INT(Table13[[#This Row],[reject_prod]]/Table13[[#This Row],[part_weight]] * 1000), 0)</f>
        <v>81</v>
      </c>
    </row>
    <row r="352" spans="1:40" hidden="1">
      <c r="A352" s="1">
        <v>46034</v>
      </c>
      <c r="B352">
        <v>1</v>
      </c>
      <c r="C352">
        <v>10</v>
      </c>
      <c r="D352" t="s">
        <v>141</v>
      </c>
      <c r="E352" t="s">
        <v>41</v>
      </c>
      <c r="F352">
        <v>593537</v>
      </c>
      <c r="G352" s="6">
        <v>0</v>
      </c>
      <c r="H352" t="s">
        <v>48</v>
      </c>
      <c r="I352">
        <v>10682926</v>
      </c>
      <c r="J352">
        <v>4</v>
      </c>
      <c r="K352">
        <v>56.5</v>
      </c>
      <c r="L352">
        <v>56.8</v>
      </c>
      <c r="M352">
        <v>1356</v>
      </c>
      <c r="N352" s="2">
        <v>69000</v>
      </c>
      <c r="O352">
        <v>180</v>
      </c>
      <c r="P352">
        <v>230</v>
      </c>
      <c r="Q352" s="2">
        <v>5424</v>
      </c>
      <c r="R352" s="2">
        <v>5175</v>
      </c>
      <c r="S352">
        <v>294</v>
      </c>
      <c r="T352" s="2">
        <v>17480</v>
      </c>
      <c r="U352" s="2">
        <v>51520</v>
      </c>
      <c r="V352">
        <v>308</v>
      </c>
      <c r="W352">
        <v>0</v>
      </c>
      <c r="X352">
        <v>0</v>
      </c>
      <c r="Y352">
        <v>0</v>
      </c>
      <c r="Z352">
        <v>3</v>
      </c>
      <c r="AA352">
        <v>9.7376289999999994E-3</v>
      </c>
      <c r="AB352">
        <v>31.7</v>
      </c>
      <c r="AC352">
        <v>11.94033333</v>
      </c>
      <c r="AD352">
        <v>28.5</v>
      </c>
      <c r="AE352" s="7"/>
      <c r="AF352" s="7"/>
      <c r="AG352" s="7"/>
      <c r="AH352" s="7"/>
      <c r="AI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5.9666670000000366E-2</v>
      </c>
      <c r="AJ352" s="7"/>
      <c r="AK352" t="s">
        <v>285</v>
      </c>
      <c r="AN352">
        <f>IFERROR(INT(Table13[[#This Row],[reject_prod]]/Table13[[#This Row],[part_weight]] * 1000), 0)</f>
        <v>52</v>
      </c>
    </row>
    <row r="353" spans="1:40" hidden="1">
      <c r="A353" s="1">
        <v>46034</v>
      </c>
      <c r="B353">
        <v>1</v>
      </c>
      <c r="C353">
        <v>11</v>
      </c>
      <c r="D353" t="s">
        <v>61</v>
      </c>
      <c r="E353" t="s">
        <v>46</v>
      </c>
      <c r="F353">
        <v>552181</v>
      </c>
      <c r="G353" s="6">
        <v>1</v>
      </c>
      <c r="H353" t="s">
        <v>49</v>
      </c>
      <c r="I353">
        <v>10682927</v>
      </c>
      <c r="J353">
        <v>6</v>
      </c>
      <c r="K353">
        <v>18.8</v>
      </c>
      <c r="L353">
        <v>18.8</v>
      </c>
      <c r="M353">
        <v>1565</v>
      </c>
      <c r="N353" s="2">
        <v>108000</v>
      </c>
      <c r="O353">
        <v>270</v>
      </c>
      <c r="P353" s="2">
        <v>4050</v>
      </c>
      <c r="Q353" s="2">
        <v>9390</v>
      </c>
      <c r="R353" s="2">
        <v>5400</v>
      </c>
      <c r="S353">
        <v>102</v>
      </c>
      <c r="T353" s="2">
        <v>106650</v>
      </c>
      <c r="U353" s="2">
        <v>1350</v>
      </c>
      <c r="V353">
        <v>177</v>
      </c>
      <c r="W353">
        <v>0</v>
      </c>
      <c r="X353">
        <v>0</v>
      </c>
      <c r="Y353">
        <v>0</v>
      </c>
      <c r="Z353">
        <v>2.6</v>
      </c>
      <c r="AA353">
        <v>1.4728208E-2</v>
      </c>
      <c r="AB353">
        <v>27.6</v>
      </c>
      <c r="AC353">
        <v>11.998333329999999</v>
      </c>
      <c r="AD353">
        <v>27</v>
      </c>
      <c r="AE353" s="7"/>
      <c r="AF353" s="7"/>
      <c r="AG353" s="7"/>
      <c r="AH353" s="7"/>
      <c r="AI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1.6666700000005363E-3</v>
      </c>
      <c r="AJ353" s="7"/>
      <c r="AK353" t="s">
        <v>270</v>
      </c>
      <c r="AN353">
        <f>IFERROR(INT(Table13[[#This Row],[reject_prod]]/Table13[[#This Row],[part_weight]] * 1000), 0)</f>
        <v>138</v>
      </c>
    </row>
    <row r="354" spans="1:40" hidden="1">
      <c r="A354" s="1">
        <v>46034</v>
      </c>
      <c r="B354">
        <v>1</v>
      </c>
      <c r="C354">
        <v>12</v>
      </c>
      <c r="D354" t="s">
        <v>112</v>
      </c>
      <c r="E354" t="s">
        <v>34</v>
      </c>
      <c r="F354">
        <v>620599</v>
      </c>
      <c r="G354" s="6">
        <v>0</v>
      </c>
      <c r="H354" t="s">
        <v>50</v>
      </c>
      <c r="I354">
        <v>10682928</v>
      </c>
      <c r="J354">
        <v>4</v>
      </c>
      <c r="K354">
        <v>55</v>
      </c>
      <c r="L354">
        <v>55</v>
      </c>
      <c r="M354">
        <v>675</v>
      </c>
      <c r="N354" s="2">
        <v>72000</v>
      </c>
      <c r="O354">
        <v>900</v>
      </c>
      <c r="P354">
        <v>0</v>
      </c>
      <c r="Q354" s="2">
        <v>2700</v>
      </c>
      <c r="R354" s="2">
        <v>3600</v>
      </c>
      <c r="S354">
        <v>198</v>
      </c>
      <c r="T354" s="2">
        <v>72000</v>
      </c>
      <c r="U354">
        <v>0</v>
      </c>
      <c r="V354">
        <v>149</v>
      </c>
      <c r="W354">
        <v>0</v>
      </c>
      <c r="X354">
        <v>5.5</v>
      </c>
      <c r="Y354">
        <v>3.7037037000000002E-2</v>
      </c>
      <c r="Z354">
        <v>0</v>
      </c>
      <c r="AA354">
        <v>0</v>
      </c>
      <c r="AB354">
        <v>28</v>
      </c>
      <c r="AC354">
        <v>5.25</v>
      </c>
      <c r="AD354">
        <v>28</v>
      </c>
      <c r="AE354" s="7"/>
      <c r="AF354" s="7"/>
      <c r="AG354" s="7"/>
      <c r="AH354" s="7"/>
      <c r="AI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</v>
      </c>
      <c r="AJ354" s="7"/>
      <c r="AK354" t="s">
        <v>286</v>
      </c>
      <c r="AN354">
        <f>IFERROR(INT(Table13[[#This Row],[reject_prod]]/Table13[[#This Row],[part_weight]] * 1000), 0)</f>
        <v>0</v>
      </c>
    </row>
    <row r="355" spans="1:40" hidden="1">
      <c r="A355" s="1">
        <v>46034</v>
      </c>
      <c r="B355">
        <v>1</v>
      </c>
      <c r="C355">
        <v>12</v>
      </c>
      <c r="D355" t="s">
        <v>112</v>
      </c>
      <c r="E355" t="s">
        <v>34</v>
      </c>
      <c r="F355">
        <v>620599</v>
      </c>
      <c r="G355" s="6">
        <v>0</v>
      </c>
      <c r="H355" t="s">
        <v>50</v>
      </c>
      <c r="I355">
        <v>10682929</v>
      </c>
      <c r="J355">
        <v>4</v>
      </c>
      <c r="K355">
        <v>55</v>
      </c>
      <c r="L355">
        <v>55</v>
      </c>
      <c r="M355">
        <v>490</v>
      </c>
      <c r="N355" s="2">
        <v>72000</v>
      </c>
      <c r="O355">
        <v>0</v>
      </c>
      <c r="P355">
        <v>0</v>
      </c>
      <c r="Q355" s="2">
        <v>1960</v>
      </c>
      <c r="R355" s="2">
        <v>1800</v>
      </c>
      <c r="S355">
        <v>99</v>
      </c>
      <c r="T355" s="2">
        <v>1800</v>
      </c>
      <c r="U355" s="2">
        <v>70200</v>
      </c>
      <c r="V355">
        <v>108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28</v>
      </c>
      <c r="AC355">
        <v>3.8111111110000002</v>
      </c>
      <c r="AD355">
        <v>28</v>
      </c>
      <c r="AE355" s="7"/>
      <c r="AF355" s="7"/>
      <c r="AG355" s="7"/>
      <c r="AH355" s="7"/>
      <c r="AI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8.1888888889999993</v>
      </c>
      <c r="AJ355" s="7"/>
      <c r="AK355" t="s">
        <v>270</v>
      </c>
      <c r="AN355">
        <f>IFERROR(INT(Table13[[#This Row],[reject_prod]]/Table13[[#This Row],[part_weight]] * 1000), 0)</f>
        <v>0</v>
      </c>
    </row>
    <row r="356" spans="1:40" hidden="1">
      <c r="A356" s="1">
        <v>46034</v>
      </c>
      <c r="B356">
        <v>1</v>
      </c>
      <c r="C356">
        <v>13</v>
      </c>
      <c r="D356" t="s">
        <v>61</v>
      </c>
      <c r="E356" t="s">
        <v>46</v>
      </c>
      <c r="F356">
        <v>586276</v>
      </c>
      <c r="G356" s="6">
        <v>0</v>
      </c>
      <c r="H356" t="s">
        <v>47</v>
      </c>
      <c r="I356">
        <v>10682930</v>
      </c>
      <c r="J356">
        <v>6</v>
      </c>
      <c r="K356">
        <v>12.3</v>
      </c>
      <c r="L356">
        <v>12.3</v>
      </c>
      <c r="M356">
        <v>1628</v>
      </c>
      <c r="N356" s="2">
        <v>162000</v>
      </c>
      <c r="O356" s="2">
        <v>2855</v>
      </c>
      <c r="P356" s="2">
        <v>4455</v>
      </c>
      <c r="Q356" s="2">
        <v>9768</v>
      </c>
      <c r="R356" s="2">
        <v>8100</v>
      </c>
      <c r="S356">
        <v>100</v>
      </c>
      <c r="T356" s="2">
        <v>158355</v>
      </c>
      <c r="U356" s="2">
        <v>3645</v>
      </c>
      <c r="V356">
        <v>120</v>
      </c>
      <c r="W356">
        <v>0</v>
      </c>
      <c r="X356">
        <v>0</v>
      </c>
      <c r="Y356">
        <v>0</v>
      </c>
      <c r="Z356">
        <v>2.5</v>
      </c>
      <c r="AA356">
        <v>2.0807948E-2</v>
      </c>
      <c r="AB356">
        <v>26.4</v>
      </c>
      <c r="AC356">
        <v>11.93866667</v>
      </c>
      <c r="AD356">
        <v>26</v>
      </c>
      <c r="AE356" s="7"/>
      <c r="AF356" s="7"/>
      <c r="AG356" s="7"/>
      <c r="AH356" s="7"/>
      <c r="AI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6.1333330000000075E-2</v>
      </c>
      <c r="AJ356" s="7"/>
      <c r="AK356" t="s">
        <v>51</v>
      </c>
      <c r="AN356">
        <f>IFERROR(INT(Table13[[#This Row],[reject_prod]]/Table13[[#This Row],[part_weight]] * 1000), 0)</f>
        <v>203</v>
      </c>
    </row>
    <row r="357" spans="1:40" hidden="1">
      <c r="A357" s="1">
        <v>46034</v>
      </c>
      <c r="B357">
        <v>1</v>
      </c>
      <c r="C357">
        <v>14</v>
      </c>
      <c r="D357" t="s">
        <v>287</v>
      </c>
      <c r="E357" t="s">
        <v>46</v>
      </c>
      <c r="F357">
        <v>555979</v>
      </c>
      <c r="G357" s="6">
        <v>1</v>
      </c>
      <c r="H357" t="s">
        <v>52</v>
      </c>
      <c r="I357">
        <v>10682932</v>
      </c>
      <c r="J357">
        <v>6</v>
      </c>
      <c r="K357">
        <v>28</v>
      </c>
      <c r="L357">
        <v>28</v>
      </c>
      <c r="M357">
        <v>948</v>
      </c>
      <c r="N357" s="2">
        <v>100800</v>
      </c>
      <c r="O357" s="2">
        <v>2688</v>
      </c>
      <c r="P357" s="2">
        <v>1680</v>
      </c>
      <c r="Q357" s="2">
        <v>5688</v>
      </c>
      <c r="R357" s="2">
        <v>6720</v>
      </c>
      <c r="S357">
        <v>188</v>
      </c>
      <c r="T357" s="2">
        <v>48720</v>
      </c>
      <c r="U357" s="2">
        <v>52080</v>
      </c>
      <c r="V357">
        <v>159</v>
      </c>
      <c r="W357">
        <v>0</v>
      </c>
      <c r="X357">
        <v>0</v>
      </c>
      <c r="Y357">
        <v>0</v>
      </c>
      <c r="Z357">
        <v>3.5</v>
      </c>
      <c r="AA357">
        <v>2.197609E-2</v>
      </c>
      <c r="AB357">
        <v>44.1</v>
      </c>
      <c r="AC357">
        <v>11.613</v>
      </c>
      <c r="AD357">
        <v>42</v>
      </c>
      <c r="AE357" s="7"/>
      <c r="AF357" s="7"/>
      <c r="AG357" s="7"/>
      <c r="AH357" s="7"/>
      <c r="AI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0.38700000000000045</v>
      </c>
      <c r="AJ357" s="7"/>
      <c r="AK357" t="s">
        <v>272</v>
      </c>
      <c r="AN357">
        <f>IFERROR(INT(Table13[[#This Row],[reject_prod]]/Table13[[#This Row],[part_weight]] * 1000), 0)</f>
        <v>125</v>
      </c>
    </row>
    <row r="358" spans="1:40" hidden="1">
      <c r="A358" s="1">
        <v>46034</v>
      </c>
      <c r="B358">
        <v>1</v>
      </c>
      <c r="C358">
        <v>15</v>
      </c>
      <c r="D358" t="s">
        <v>61</v>
      </c>
      <c r="E358" t="s">
        <v>46</v>
      </c>
      <c r="F358">
        <v>552181</v>
      </c>
      <c r="G358" s="6">
        <v>2</v>
      </c>
      <c r="H358" t="s">
        <v>49</v>
      </c>
      <c r="I358">
        <v>10682934</v>
      </c>
      <c r="J358">
        <v>6</v>
      </c>
      <c r="K358">
        <v>18.8</v>
      </c>
      <c r="L358">
        <v>18.8</v>
      </c>
      <c r="M358">
        <v>1363</v>
      </c>
      <c r="N358" s="2">
        <v>108000</v>
      </c>
      <c r="O358">
        <v>270</v>
      </c>
      <c r="P358" s="2">
        <v>2700</v>
      </c>
      <c r="Q358" s="2">
        <v>8178</v>
      </c>
      <c r="R358" s="2">
        <v>5400</v>
      </c>
      <c r="S358">
        <v>102</v>
      </c>
      <c r="T358" s="2">
        <v>83700</v>
      </c>
      <c r="U358" s="2">
        <v>24300</v>
      </c>
      <c r="V358">
        <v>154</v>
      </c>
      <c r="W358">
        <v>0</v>
      </c>
      <c r="X358">
        <v>0</v>
      </c>
      <c r="Y358">
        <v>0</v>
      </c>
      <c r="Z358">
        <v>3</v>
      </c>
      <c r="AA358">
        <v>1.9512651999999998E-2</v>
      </c>
      <c r="AB358">
        <v>31.3</v>
      </c>
      <c r="AC358">
        <v>11.85052778</v>
      </c>
      <c r="AD358">
        <v>27</v>
      </c>
      <c r="AE358" s="7"/>
      <c r="AF358" s="7"/>
      <c r="AG358" s="7"/>
      <c r="AH358" s="7"/>
      <c r="AI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0.14947221999999982</v>
      </c>
      <c r="AJ358" s="7"/>
      <c r="AK358" t="s">
        <v>51</v>
      </c>
      <c r="AN358">
        <f>IFERROR(INT(Table13[[#This Row],[reject_prod]]/Table13[[#This Row],[part_weight]] * 1000), 0)</f>
        <v>159</v>
      </c>
    </row>
    <row r="359" spans="1:40" s="4" customFormat="1" hidden="1">
      <c r="A359" s="3">
        <v>46034</v>
      </c>
      <c r="B359" s="4">
        <v>1</v>
      </c>
      <c r="C359" s="4">
        <v>16</v>
      </c>
      <c r="D359" s="4" t="s">
        <v>288</v>
      </c>
      <c r="E359" s="4" t="s">
        <v>46</v>
      </c>
      <c r="F359" s="4">
        <v>555979</v>
      </c>
      <c r="G359" s="9">
        <v>2</v>
      </c>
      <c r="H359" s="4" t="s">
        <v>52</v>
      </c>
      <c r="I359" s="4">
        <v>10682935</v>
      </c>
      <c r="J359" s="4">
        <v>6</v>
      </c>
      <c r="K359" s="4">
        <v>28</v>
      </c>
      <c r="L359" s="4">
        <v>28</v>
      </c>
      <c r="M359" s="4">
        <v>997</v>
      </c>
      <c r="N359" s="5">
        <v>100800</v>
      </c>
      <c r="O359" s="4">
        <v>672</v>
      </c>
      <c r="P359" s="4">
        <v>0</v>
      </c>
      <c r="Q359" s="5">
        <v>5982</v>
      </c>
      <c r="R359" s="5">
        <v>6720</v>
      </c>
      <c r="S359" s="4">
        <v>188</v>
      </c>
      <c r="T359" s="5">
        <v>94080</v>
      </c>
      <c r="U359" s="5">
        <v>6720</v>
      </c>
      <c r="V359" s="4">
        <v>167</v>
      </c>
      <c r="W359" s="4">
        <v>0</v>
      </c>
      <c r="X359" s="4">
        <v>0</v>
      </c>
      <c r="Y359" s="4">
        <v>0</v>
      </c>
      <c r="Z359" s="4">
        <v>2</v>
      </c>
      <c r="AA359" s="4">
        <v>1.1940584000000001E-2</v>
      </c>
      <c r="AB359" s="4">
        <v>43.7</v>
      </c>
      <c r="AC359" s="4">
        <v>12</v>
      </c>
      <c r="AD359" s="4">
        <v>42</v>
      </c>
      <c r="AE359" s="8"/>
      <c r="AF359" s="8"/>
      <c r="AG359" s="8"/>
      <c r="AH359" s="8"/>
      <c r="AI35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9" s="8"/>
      <c r="AK359" s="4" t="s">
        <v>51</v>
      </c>
      <c r="AN359">
        <f>IFERROR(INT(Table13[[#This Row],[reject_prod]]/Table13[[#This Row],[part_weight]] * 1000), 0)</f>
        <v>71</v>
      </c>
    </row>
    <row r="360" spans="1:40" hidden="1">
      <c r="A360" s="1">
        <v>46034</v>
      </c>
      <c r="B360">
        <v>2</v>
      </c>
      <c r="C360">
        <v>1</v>
      </c>
      <c r="D360" t="s">
        <v>53</v>
      </c>
      <c r="E360" t="s">
        <v>34</v>
      </c>
      <c r="F360">
        <v>365091</v>
      </c>
      <c r="G360" s="6">
        <v>0</v>
      </c>
      <c r="H360" t="s">
        <v>189</v>
      </c>
      <c r="I360">
        <v>10682753</v>
      </c>
      <c r="J360">
        <v>4</v>
      </c>
      <c r="K360">
        <v>44</v>
      </c>
      <c r="L360">
        <v>44</v>
      </c>
      <c r="M360">
        <v>1680</v>
      </c>
      <c r="N360" s="2">
        <v>66885</v>
      </c>
      <c r="O360">
        <v>315</v>
      </c>
      <c r="P360">
        <v>735</v>
      </c>
      <c r="Q360" s="2">
        <v>6720</v>
      </c>
      <c r="R360" s="2">
        <v>6300</v>
      </c>
      <c r="S360">
        <v>277</v>
      </c>
      <c r="T360" s="2">
        <v>41055</v>
      </c>
      <c r="U360" s="2">
        <v>25830</v>
      </c>
      <c r="V360">
        <v>296</v>
      </c>
      <c r="W360">
        <v>0</v>
      </c>
      <c r="X360">
        <v>0</v>
      </c>
      <c r="Y360">
        <v>0</v>
      </c>
      <c r="Z360">
        <v>2.4</v>
      </c>
      <c r="AA360">
        <v>8.1168830000000001E-3</v>
      </c>
      <c r="AB360">
        <v>25.8</v>
      </c>
      <c r="AC360">
        <v>12</v>
      </c>
      <c r="AD360">
        <v>28.64</v>
      </c>
      <c r="AE360" s="7"/>
      <c r="AF360" s="7"/>
      <c r="AG360" s="7"/>
      <c r="AH360" s="7"/>
      <c r="AI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0" s="7"/>
      <c r="AK360" t="s">
        <v>214</v>
      </c>
      <c r="AN360">
        <f>IFERROR(INT(Table13[[#This Row],[reject_prod]]/Table13[[#This Row],[part_weight]] * 1000), 0)</f>
        <v>54</v>
      </c>
    </row>
    <row r="361" spans="1:40" hidden="1">
      <c r="A361" s="1">
        <v>46034</v>
      </c>
      <c r="B361">
        <v>2</v>
      </c>
      <c r="C361">
        <v>2</v>
      </c>
      <c r="D361" t="s">
        <v>289</v>
      </c>
      <c r="E361" t="s">
        <v>34</v>
      </c>
      <c r="F361">
        <v>423215</v>
      </c>
      <c r="G361" s="6">
        <v>0</v>
      </c>
      <c r="H361" t="s">
        <v>156</v>
      </c>
      <c r="I361">
        <v>10682755</v>
      </c>
      <c r="J361">
        <v>4</v>
      </c>
      <c r="K361">
        <v>24</v>
      </c>
      <c r="L361">
        <v>24</v>
      </c>
      <c r="M361">
        <v>1621</v>
      </c>
      <c r="N361" s="2">
        <v>89112</v>
      </c>
      <c r="O361">
        <v>564</v>
      </c>
      <c r="P361">
        <v>282</v>
      </c>
      <c r="Q361" s="2">
        <v>6484</v>
      </c>
      <c r="R361" s="2">
        <v>6768</v>
      </c>
      <c r="S361">
        <v>162</v>
      </c>
      <c r="T361" s="2">
        <v>88266</v>
      </c>
      <c r="U361">
        <v>846</v>
      </c>
      <c r="V361">
        <v>156</v>
      </c>
      <c r="W361">
        <v>0</v>
      </c>
      <c r="X361">
        <v>0</v>
      </c>
      <c r="Y361">
        <v>0</v>
      </c>
      <c r="Z361">
        <v>1</v>
      </c>
      <c r="AA361">
        <v>6.4260740000000004E-3</v>
      </c>
      <c r="AB361">
        <v>26.33</v>
      </c>
      <c r="AC361">
        <v>11.85581389</v>
      </c>
      <c r="AD361">
        <v>22</v>
      </c>
      <c r="AE361" s="7"/>
      <c r="AF361" s="7"/>
      <c r="AG361" s="7"/>
      <c r="AH361" s="7"/>
      <c r="AI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0.1441861099999997</v>
      </c>
      <c r="AJ361" s="7"/>
      <c r="AK361" t="s">
        <v>214</v>
      </c>
      <c r="AN361">
        <f>IFERROR(INT(Table13[[#This Row],[reject_prod]]/Table13[[#This Row],[part_weight]] * 1000), 0)</f>
        <v>41</v>
      </c>
    </row>
    <row r="362" spans="1:40" hidden="1">
      <c r="A362" s="1">
        <v>46034</v>
      </c>
      <c r="B362">
        <v>2</v>
      </c>
      <c r="C362">
        <v>3</v>
      </c>
      <c r="D362" t="s">
        <v>54</v>
      </c>
      <c r="E362" t="s">
        <v>34</v>
      </c>
      <c r="F362">
        <v>442034</v>
      </c>
      <c r="G362" s="6">
        <v>0</v>
      </c>
      <c r="H362" t="s">
        <v>37</v>
      </c>
      <c r="I362">
        <v>10681183</v>
      </c>
      <c r="J362">
        <v>4</v>
      </c>
      <c r="K362">
        <v>23</v>
      </c>
      <c r="L362">
        <v>23</v>
      </c>
      <c r="M362">
        <v>1632</v>
      </c>
      <c r="N362" s="2">
        <v>139776</v>
      </c>
      <c r="O362">
        <v>384</v>
      </c>
      <c r="P362" s="2">
        <v>2304</v>
      </c>
      <c r="Q362" s="2">
        <v>6528</v>
      </c>
      <c r="R362" s="2">
        <v>4608</v>
      </c>
      <c r="S362">
        <v>106</v>
      </c>
      <c r="T362" s="2">
        <v>85248</v>
      </c>
      <c r="U362" s="2">
        <v>54528</v>
      </c>
      <c r="V362">
        <v>150</v>
      </c>
      <c r="W362">
        <v>0</v>
      </c>
      <c r="X362">
        <v>0</v>
      </c>
      <c r="Y362">
        <v>0</v>
      </c>
      <c r="Z362">
        <v>1.2</v>
      </c>
      <c r="AA362">
        <v>7.9923270000000005E-3</v>
      </c>
      <c r="AB362">
        <v>26.55</v>
      </c>
      <c r="AC362">
        <v>12</v>
      </c>
      <c r="AD362">
        <v>22</v>
      </c>
      <c r="AE362" s="7"/>
      <c r="AF362" s="7"/>
      <c r="AG362" s="7"/>
      <c r="AH362" s="7"/>
      <c r="AI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2" s="7"/>
      <c r="AK362" t="s">
        <v>75</v>
      </c>
      <c r="AN362">
        <f>IFERROR(INT(Table13[[#This Row],[reject_prod]]/Table13[[#This Row],[part_weight]] * 1000), 0)</f>
        <v>52</v>
      </c>
    </row>
    <row r="363" spans="1:40" hidden="1">
      <c r="A363" s="1">
        <v>46034</v>
      </c>
      <c r="B363">
        <v>2</v>
      </c>
      <c r="C363">
        <v>4</v>
      </c>
      <c r="F363">
        <v>123456</v>
      </c>
      <c r="G363" s="6">
        <v>0</v>
      </c>
      <c r="M363">
        <v>0</v>
      </c>
      <c r="N363">
        <v>0</v>
      </c>
      <c r="O363">
        <v>0</v>
      </c>
      <c r="P363">
        <v>0</v>
      </c>
      <c r="R363">
        <v>0</v>
      </c>
      <c r="T363">
        <v>0</v>
      </c>
      <c r="X363">
        <v>0</v>
      </c>
      <c r="Z363">
        <v>0</v>
      </c>
      <c r="AB363">
        <v>0</v>
      </c>
      <c r="AC363">
        <v>0</v>
      </c>
      <c r="AD363">
        <v>22.5</v>
      </c>
      <c r="AE363" s="7"/>
      <c r="AF363" s="7"/>
      <c r="AG363" s="7"/>
      <c r="AH363" s="7"/>
      <c r="AI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3" s="7">
        <v>12</v>
      </c>
      <c r="AK363" t="s">
        <v>116</v>
      </c>
      <c r="AN363">
        <f>IFERROR(INT(Table13[[#This Row],[reject_prod]]/Table13[[#This Row],[part_weight]] * 1000), 0)</f>
        <v>0</v>
      </c>
    </row>
    <row r="364" spans="1:40" hidden="1">
      <c r="A364" s="1">
        <v>46034</v>
      </c>
      <c r="B364">
        <v>2</v>
      </c>
      <c r="C364">
        <v>5</v>
      </c>
      <c r="D364" t="s">
        <v>33</v>
      </c>
      <c r="E364" t="s">
        <v>34</v>
      </c>
      <c r="F364">
        <v>597507</v>
      </c>
      <c r="G364" s="6">
        <v>0</v>
      </c>
      <c r="H364" t="s">
        <v>279</v>
      </c>
      <c r="I364">
        <v>10682757</v>
      </c>
      <c r="J364">
        <v>4</v>
      </c>
      <c r="K364">
        <v>23</v>
      </c>
      <c r="L364">
        <v>23</v>
      </c>
      <c r="M364">
        <v>140</v>
      </c>
      <c r="N364" s="2">
        <v>64680</v>
      </c>
      <c r="O364">
        <v>0</v>
      </c>
      <c r="P364">
        <v>308</v>
      </c>
      <c r="Q364">
        <v>560</v>
      </c>
      <c r="R364">
        <v>0</v>
      </c>
      <c r="S364">
        <v>0</v>
      </c>
      <c r="T364">
        <v>0</v>
      </c>
      <c r="U364" s="2">
        <v>64680</v>
      </c>
      <c r="V364">
        <v>13</v>
      </c>
      <c r="W364">
        <v>0</v>
      </c>
      <c r="X364">
        <v>27.5</v>
      </c>
      <c r="Y364">
        <v>2.135093168</v>
      </c>
      <c r="Z364">
        <v>0</v>
      </c>
      <c r="AA364">
        <v>0</v>
      </c>
      <c r="AB364">
        <v>26.9</v>
      </c>
      <c r="AC364">
        <v>1.0461111110000001</v>
      </c>
      <c r="AD364">
        <v>22</v>
      </c>
      <c r="AE364" s="7"/>
      <c r="AF364" s="7"/>
      <c r="AG364" s="7"/>
      <c r="AH364" s="7"/>
      <c r="AI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10.953888889</v>
      </c>
      <c r="AJ364" s="7"/>
      <c r="AK364" t="s">
        <v>290</v>
      </c>
      <c r="AN364">
        <f>IFERROR(INT(Table13[[#This Row],[reject_prod]]/Table13[[#This Row],[part_weight]] * 1000), 0)</f>
        <v>0</v>
      </c>
    </row>
    <row r="365" spans="1:40" hidden="1">
      <c r="A365" s="1">
        <v>46034</v>
      </c>
      <c r="B365">
        <v>2</v>
      </c>
      <c r="C365">
        <v>6</v>
      </c>
      <c r="D365" t="s">
        <v>291</v>
      </c>
      <c r="E365" t="s">
        <v>34</v>
      </c>
      <c r="F365">
        <v>532981</v>
      </c>
      <c r="G365" s="6">
        <v>0</v>
      </c>
      <c r="H365" t="s">
        <v>233</v>
      </c>
      <c r="I365">
        <v>10682758</v>
      </c>
      <c r="J365">
        <v>4</v>
      </c>
      <c r="K365">
        <v>24.45</v>
      </c>
      <c r="L365">
        <v>24</v>
      </c>
      <c r="M365">
        <v>1938</v>
      </c>
      <c r="N365" s="2">
        <v>87552</v>
      </c>
      <c r="O365" s="2">
        <v>4560</v>
      </c>
      <c r="P365" s="2">
        <v>1368</v>
      </c>
      <c r="Q365" s="2">
        <v>7752</v>
      </c>
      <c r="R365" s="2">
        <v>10944</v>
      </c>
      <c r="S365">
        <v>263</v>
      </c>
      <c r="T365" s="2">
        <v>56088</v>
      </c>
      <c r="U365" s="2">
        <v>31464</v>
      </c>
      <c r="V365">
        <v>186</v>
      </c>
      <c r="W365">
        <v>0</v>
      </c>
      <c r="X365">
        <v>0</v>
      </c>
      <c r="Y365">
        <v>0</v>
      </c>
      <c r="Z365">
        <v>1.6</v>
      </c>
      <c r="AA365">
        <v>8.5999309999999999E-3</v>
      </c>
      <c r="AB365">
        <v>21.87</v>
      </c>
      <c r="AC365">
        <v>11.773350000000001</v>
      </c>
      <c r="AD365">
        <v>20</v>
      </c>
      <c r="AE365" s="7"/>
      <c r="AF365" s="7"/>
      <c r="AG365" s="7"/>
      <c r="AH365" s="7"/>
      <c r="AI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0.22664999999999935</v>
      </c>
      <c r="AJ365" s="7"/>
      <c r="AK365" t="s">
        <v>103</v>
      </c>
      <c r="AN365">
        <f>IFERROR(INT(Table13[[#This Row],[reject_prod]]/Table13[[#This Row],[part_weight]] * 1000), 0)</f>
        <v>66</v>
      </c>
    </row>
    <row r="366" spans="1:40" hidden="1">
      <c r="A366" s="1">
        <v>46034</v>
      </c>
      <c r="B366">
        <v>2</v>
      </c>
      <c r="C366">
        <v>7</v>
      </c>
      <c r="D366" t="s">
        <v>33</v>
      </c>
      <c r="E366" t="s">
        <v>34</v>
      </c>
      <c r="F366">
        <v>324177</v>
      </c>
      <c r="G366" s="6">
        <v>0</v>
      </c>
      <c r="H366" t="s">
        <v>246</v>
      </c>
      <c r="I366">
        <v>10682801</v>
      </c>
      <c r="J366">
        <v>4</v>
      </c>
      <c r="K366">
        <v>34.5</v>
      </c>
      <c r="L366">
        <v>34.5</v>
      </c>
      <c r="M366">
        <v>0</v>
      </c>
      <c r="N366" s="2">
        <v>62400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v>21060</v>
      </c>
      <c r="U366" s="2">
        <v>41340</v>
      </c>
      <c r="V366">
        <v>0</v>
      </c>
      <c r="W366">
        <v>0</v>
      </c>
      <c r="X366">
        <v>11.3</v>
      </c>
      <c r="Y366" t="e">
        <v>#DIV/0!</v>
      </c>
      <c r="Z366">
        <v>0</v>
      </c>
      <c r="AA366" t="e">
        <v>#DIV/0!</v>
      </c>
      <c r="AB366">
        <v>0</v>
      </c>
      <c r="AC366">
        <v>0</v>
      </c>
      <c r="AD366">
        <v>22</v>
      </c>
      <c r="AE366" s="7"/>
      <c r="AF366" s="7"/>
      <c r="AG366" s="7"/>
      <c r="AH366" s="7"/>
      <c r="AI3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66" s="7"/>
      <c r="AK366" t="s">
        <v>292</v>
      </c>
      <c r="AN366">
        <f>IFERROR(INT(Table13[[#This Row],[reject_prod]]/Table13[[#This Row],[part_weight]] * 1000), 0)</f>
        <v>0</v>
      </c>
    </row>
    <row r="367" spans="1:40" hidden="1">
      <c r="A367" s="1">
        <v>46034</v>
      </c>
      <c r="B367">
        <v>2</v>
      </c>
      <c r="C367">
        <v>8</v>
      </c>
      <c r="D367" t="s">
        <v>124</v>
      </c>
      <c r="E367" t="s">
        <v>34</v>
      </c>
      <c r="F367">
        <v>323102</v>
      </c>
      <c r="G367" s="6">
        <v>0</v>
      </c>
      <c r="H367" t="s">
        <v>45</v>
      </c>
      <c r="I367">
        <v>10683894</v>
      </c>
      <c r="J367">
        <v>4</v>
      </c>
      <c r="K367">
        <v>56.9</v>
      </c>
      <c r="L367">
        <v>56.9</v>
      </c>
      <c r="M367">
        <v>1560</v>
      </c>
      <c r="N367" s="2">
        <v>38400</v>
      </c>
      <c r="O367">
        <v>0</v>
      </c>
      <c r="P367">
        <v>160</v>
      </c>
      <c r="Q367" s="2">
        <v>6240</v>
      </c>
      <c r="R367" s="2">
        <v>6080</v>
      </c>
      <c r="S367">
        <v>346</v>
      </c>
      <c r="T367" s="2">
        <v>36640</v>
      </c>
      <c r="U367" s="2">
        <v>1760</v>
      </c>
      <c r="V367">
        <v>355</v>
      </c>
      <c r="W367">
        <v>0</v>
      </c>
      <c r="X367">
        <v>0</v>
      </c>
      <c r="Y367">
        <v>0</v>
      </c>
      <c r="Z367">
        <v>4</v>
      </c>
      <c r="AA367">
        <v>1.1265828E-2</v>
      </c>
      <c r="AB367">
        <v>27.31</v>
      </c>
      <c r="AC367">
        <v>11.83433333</v>
      </c>
      <c r="AD367">
        <v>26</v>
      </c>
      <c r="AE367" s="7"/>
      <c r="AF367" s="7"/>
      <c r="AG367" s="7"/>
      <c r="AH367" s="7"/>
      <c r="AI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0.16566667000000024</v>
      </c>
      <c r="AJ367" s="7"/>
      <c r="AK367" t="s">
        <v>227</v>
      </c>
      <c r="AN367">
        <f>IFERROR(INT(Table13[[#This Row],[reject_prod]]/Table13[[#This Row],[part_weight]] * 1000), 0)</f>
        <v>70</v>
      </c>
    </row>
    <row r="368" spans="1:40" hidden="1">
      <c r="A368" s="1">
        <v>46034</v>
      </c>
      <c r="B368">
        <v>2</v>
      </c>
      <c r="C368">
        <v>9</v>
      </c>
      <c r="D368" t="s">
        <v>293</v>
      </c>
      <c r="E368" t="s">
        <v>46</v>
      </c>
      <c r="F368">
        <v>586276</v>
      </c>
      <c r="G368" s="6">
        <v>0</v>
      </c>
      <c r="H368" t="s">
        <v>47</v>
      </c>
      <c r="I368">
        <v>10682924</v>
      </c>
      <c r="J368">
        <v>6</v>
      </c>
      <c r="K368">
        <v>12.3</v>
      </c>
      <c r="L368">
        <v>12.3</v>
      </c>
      <c r="M368">
        <v>1620</v>
      </c>
      <c r="N368" s="2">
        <v>162000</v>
      </c>
      <c r="O368">
        <v>0</v>
      </c>
      <c r="P368" s="2">
        <v>1620</v>
      </c>
      <c r="Q368" s="2">
        <v>9720</v>
      </c>
      <c r="R368" s="2">
        <v>8100</v>
      </c>
      <c r="S368">
        <v>100</v>
      </c>
      <c r="T368" s="2">
        <v>103060</v>
      </c>
      <c r="U368" s="2">
        <v>58940</v>
      </c>
      <c r="V368">
        <v>120</v>
      </c>
      <c r="W368">
        <v>0</v>
      </c>
      <c r="X368">
        <v>0</v>
      </c>
      <c r="Y368">
        <v>0</v>
      </c>
      <c r="Z368">
        <v>1</v>
      </c>
      <c r="AA368">
        <v>8.3642809999999995E-3</v>
      </c>
      <c r="AB368">
        <v>26.2</v>
      </c>
      <c r="AC368">
        <v>11.79</v>
      </c>
      <c r="AD368">
        <v>26</v>
      </c>
      <c r="AE368" s="7"/>
      <c r="AF368" s="7"/>
      <c r="AG368" s="7"/>
      <c r="AH368" s="7"/>
      <c r="AI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68" s="7"/>
      <c r="AK368" t="s">
        <v>51</v>
      </c>
      <c r="AN368">
        <f>IFERROR(INT(Table13[[#This Row],[reject_prod]]/Table13[[#This Row],[part_weight]] * 1000), 0)</f>
        <v>81</v>
      </c>
    </row>
    <row r="369" spans="1:40" hidden="1">
      <c r="A369" s="1">
        <v>46034</v>
      </c>
      <c r="B369">
        <v>2</v>
      </c>
      <c r="C369">
        <v>10</v>
      </c>
      <c r="D369" t="s">
        <v>84</v>
      </c>
      <c r="E369" t="s">
        <v>41</v>
      </c>
      <c r="F369">
        <v>593537</v>
      </c>
      <c r="G369" s="6">
        <v>0</v>
      </c>
      <c r="H369" t="s">
        <v>48</v>
      </c>
      <c r="I369">
        <v>10682926</v>
      </c>
      <c r="J369">
        <v>4</v>
      </c>
      <c r="K369">
        <v>56.5</v>
      </c>
      <c r="L369">
        <v>56.8</v>
      </c>
      <c r="M369">
        <v>1330</v>
      </c>
      <c r="N369" s="2">
        <v>69000</v>
      </c>
      <c r="O369">
        <v>230</v>
      </c>
      <c r="P369">
        <v>345</v>
      </c>
      <c r="Q369" s="2">
        <v>5320</v>
      </c>
      <c r="R369" s="2">
        <v>5175</v>
      </c>
      <c r="S369">
        <v>294</v>
      </c>
      <c r="T369" s="2">
        <v>22770</v>
      </c>
      <c r="U369" s="2">
        <v>46230</v>
      </c>
      <c r="V369">
        <v>302</v>
      </c>
      <c r="W369">
        <v>0</v>
      </c>
      <c r="X369">
        <v>0</v>
      </c>
      <c r="Y369">
        <v>0</v>
      </c>
      <c r="Z369">
        <v>4.4000000000000004</v>
      </c>
      <c r="AA369">
        <v>1.4561051E-2</v>
      </c>
      <c r="AB369">
        <v>31.7</v>
      </c>
      <c r="AC369">
        <v>11.71138889</v>
      </c>
      <c r="AD369">
        <v>28.5</v>
      </c>
      <c r="AE369" s="7"/>
      <c r="AF369" s="7"/>
      <c r="AG369" s="7"/>
      <c r="AH369" s="7"/>
      <c r="AI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0.28861110999999973</v>
      </c>
      <c r="AJ369" s="7"/>
      <c r="AK369" t="s">
        <v>178</v>
      </c>
      <c r="AN369">
        <f>IFERROR(INT(Table13[[#This Row],[reject_prod]]/Table13[[#This Row],[part_weight]] * 1000), 0)</f>
        <v>77</v>
      </c>
    </row>
    <row r="370" spans="1:40" hidden="1">
      <c r="A370" s="1">
        <v>46034</v>
      </c>
      <c r="B370">
        <v>2</v>
      </c>
      <c r="C370">
        <v>11</v>
      </c>
      <c r="D370" t="s">
        <v>59</v>
      </c>
      <c r="E370" t="s">
        <v>46</v>
      </c>
      <c r="F370">
        <v>552181</v>
      </c>
      <c r="G370" s="6">
        <v>1</v>
      </c>
      <c r="H370" t="s">
        <v>49</v>
      </c>
      <c r="I370">
        <v>10682927</v>
      </c>
      <c r="J370">
        <v>6</v>
      </c>
      <c r="K370">
        <v>18.8</v>
      </c>
      <c r="L370">
        <v>18.8</v>
      </c>
      <c r="M370">
        <v>270</v>
      </c>
      <c r="N370" s="2">
        <v>108000</v>
      </c>
      <c r="O370" s="2">
        <v>4050</v>
      </c>
      <c r="P370">
        <v>0</v>
      </c>
      <c r="Q370" s="2">
        <v>1620</v>
      </c>
      <c r="R370" s="2">
        <v>5400</v>
      </c>
      <c r="S370">
        <v>102</v>
      </c>
      <c r="T370" s="2">
        <v>108000</v>
      </c>
      <c r="U370">
        <v>0</v>
      </c>
      <c r="V370">
        <v>30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27.6</v>
      </c>
      <c r="AC370">
        <v>2.0699999999999998</v>
      </c>
      <c r="AD370">
        <v>27</v>
      </c>
      <c r="AE370" s="7"/>
      <c r="AF370" s="7"/>
      <c r="AG370" s="7"/>
      <c r="AH370" s="7"/>
      <c r="AI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9.93</v>
      </c>
      <c r="AJ370" s="7"/>
      <c r="AK370" t="s">
        <v>102</v>
      </c>
      <c r="AN370">
        <f>IFERROR(INT(Table13[[#This Row],[reject_prod]]/Table13[[#This Row],[part_weight]] * 1000), 0)</f>
        <v>0</v>
      </c>
    </row>
    <row r="371" spans="1:40" hidden="1">
      <c r="A371" s="1">
        <v>46034</v>
      </c>
      <c r="B371">
        <v>2</v>
      </c>
      <c r="C371">
        <v>11</v>
      </c>
      <c r="D371" t="s">
        <v>59</v>
      </c>
      <c r="E371" t="s">
        <v>46</v>
      </c>
      <c r="F371">
        <v>552181</v>
      </c>
      <c r="G371" s="6">
        <v>1</v>
      </c>
      <c r="H371" t="s">
        <v>49</v>
      </c>
      <c r="I371">
        <v>10683782</v>
      </c>
      <c r="J371">
        <v>6</v>
      </c>
      <c r="K371">
        <v>18.8</v>
      </c>
      <c r="L371">
        <v>18.8</v>
      </c>
      <c r="M371">
        <v>1250</v>
      </c>
      <c r="N371" s="2">
        <v>108000</v>
      </c>
      <c r="O371">
        <v>0</v>
      </c>
      <c r="P371" s="2">
        <v>1890</v>
      </c>
      <c r="Q371" s="2">
        <v>7500</v>
      </c>
      <c r="R371" s="2">
        <v>5400</v>
      </c>
      <c r="S371">
        <v>102</v>
      </c>
      <c r="T371" s="2">
        <v>7290</v>
      </c>
      <c r="U371" s="2">
        <v>100710</v>
      </c>
      <c r="V371">
        <v>141</v>
      </c>
      <c r="W371">
        <v>0</v>
      </c>
      <c r="X371">
        <v>0</v>
      </c>
      <c r="Y371">
        <v>0</v>
      </c>
      <c r="Z371">
        <v>1</v>
      </c>
      <c r="AA371">
        <v>7.0921990000000004E-3</v>
      </c>
      <c r="AB371">
        <v>27.6</v>
      </c>
      <c r="AC371">
        <v>9.5833333330000006</v>
      </c>
      <c r="AD371">
        <v>27</v>
      </c>
      <c r="AE371" s="7"/>
      <c r="AF371" s="7"/>
      <c r="AG371" s="7"/>
      <c r="AH371" s="7"/>
      <c r="AI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2.4166666669999994</v>
      </c>
      <c r="AJ371" s="7"/>
      <c r="AK371" t="s">
        <v>51</v>
      </c>
      <c r="AN371">
        <f>IFERROR(INT(Table13[[#This Row],[reject_prod]]/Table13[[#This Row],[part_weight]] * 1000), 0)</f>
        <v>53</v>
      </c>
    </row>
    <row r="372" spans="1:40" hidden="1">
      <c r="A372" s="1">
        <v>46034</v>
      </c>
      <c r="B372">
        <v>2</v>
      </c>
      <c r="C372">
        <v>12</v>
      </c>
      <c r="D372" t="s">
        <v>56</v>
      </c>
      <c r="E372" t="s">
        <v>34</v>
      </c>
      <c r="F372">
        <v>620599</v>
      </c>
      <c r="G372" s="6">
        <v>0</v>
      </c>
      <c r="H372" t="s">
        <v>50</v>
      </c>
      <c r="I372">
        <v>10682929</v>
      </c>
      <c r="J372">
        <v>4</v>
      </c>
      <c r="K372">
        <v>55</v>
      </c>
      <c r="L372">
        <v>55</v>
      </c>
      <c r="M372">
        <v>1475</v>
      </c>
      <c r="N372" s="2">
        <v>72000</v>
      </c>
      <c r="O372">
        <v>0</v>
      </c>
      <c r="P372">
        <v>450</v>
      </c>
      <c r="Q372" s="2">
        <v>5900</v>
      </c>
      <c r="R372" s="2">
        <v>5400</v>
      </c>
      <c r="S372">
        <v>297</v>
      </c>
      <c r="T372" s="2">
        <v>7650</v>
      </c>
      <c r="U372" s="2">
        <v>64350</v>
      </c>
      <c r="V372">
        <v>325</v>
      </c>
      <c r="W372">
        <v>0</v>
      </c>
      <c r="X372">
        <v>0</v>
      </c>
      <c r="Y372">
        <v>0</v>
      </c>
      <c r="Z372">
        <v>12.3</v>
      </c>
      <c r="AA372">
        <v>3.7904467999999997E-2</v>
      </c>
      <c r="AB372">
        <v>28</v>
      </c>
      <c r="AC372">
        <v>11.472222220000001</v>
      </c>
      <c r="AD372">
        <v>28</v>
      </c>
      <c r="AE372" s="7"/>
      <c r="AF372" s="7"/>
      <c r="AG372" s="7"/>
      <c r="AH372" s="7"/>
      <c r="AI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0.5277777799999992</v>
      </c>
      <c r="AJ372" s="7"/>
      <c r="AK372" t="s">
        <v>294</v>
      </c>
      <c r="AN372">
        <f>IFERROR(INT(Table13[[#This Row],[reject_prod]]/Table13[[#This Row],[part_weight]] * 1000), 0)</f>
        <v>223</v>
      </c>
    </row>
    <row r="373" spans="1:40" hidden="1">
      <c r="A373" s="1">
        <v>46034</v>
      </c>
      <c r="B373">
        <v>2</v>
      </c>
      <c r="C373">
        <v>13</v>
      </c>
      <c r="D373" t="s">
        <v>59</v>
      </c>
      <c r="E373" t="s">
        <v>46</v>
      </c>
      <c r="F373">
        <v>586276</v>
      </c>
      <c r="G373" s="6">
        <v>0</v>
      </c>
      <c r="H373" t="s">
        <v>47</v>
      </c>
      <c r="I373">
        <v>10682930</v>
      </c>
      <c r="J373">
        <v>6</v>
      </c>
      <c r="K373">
        <v>12.3</v>
      </c>
      <c r="L373">
        <v>12.3</v>
      </c>
      <c r="M373">
        <v>607</v>
      </c>
      <c r="N373" s="2">
        <v>162000</v>
      </c>
      <c r="O373" s="2">
        <v>4455</v>
      </c>
      <c r="P373">
        <v>0</v>
      </c>
      <c r="Q373" s="2">
        <v>3642</v>
      </c>
      <c r="R373" s="2">
        <v>8100</v>
      </c>
      <c r="S373">
        <v>100</v>
      </c>
      <c r="T373" s="2">
        <v>162000</v>
      </c>
      <c r="U373">
        <v>0</v>
      </c>
      <c r="V373">
        <v>45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26.4</v>
      </c>
      <c r="AC373">
        <v>4.451333333</v>
      </c>
      <c r="AD373">
        <v>26</v>
      </c>
      <c r="AE373" s="7"/>
      <c r="AF373" s="7"/>
      <c r="AG373" s="7"/>
      <c r="AH373" s="7"/>
      <c r="AI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7.548666667</v>
      </c>
      <c r="AJ373" s="7"/>
      <c r="AK373" t="s">
        <v>102</v>
      </c>
      <c r="AN373">
        <f>IFERROR(INT(Table13[[#This Row],[reject_prod]]/Table13[[#This Row],[part_weight]] * 1000), 0)</f>
        <v>0</v>
      </c>
    </row>
    <row r="374" spans="1:40" hidden="1">
      <c r="A374" s="1">
        <v>46034</v>
      </c>
      <c r="B374">
        <v>2</v>
      </c>
      <c r="C374">
        <v>13</v>
      </c>
      <c r="D374" t="s">
        <v>59</v>
      </c>
      <c r="E374" t="s">
        <v>46</v>
      </c>
      <c r="F374">
        <v>586276</v>
      </c>
      <c r="G374" s="6">
        <v>0</v>
      </c>
      <c r="H374" t="s">
        <v>47</v>
      </c>
      <c r="I374">
        <v>10683784</v>
      </c>
      <c r="J374">
        <v>6</v>
      </c>
      <c r="K374">
        <v>12.3</v>
      </c>
      <c r="L374">
        <v>12.3</v>
      </c>
      <c r="M374">
        <v>1015</v>
      </c>
      <c r="N374" s="2">
        <v>162000</v>
      </c>
      <c r="O374">
        <v>0</v>
      </c>
      <c r="P374" s="2">
        <v>6075</v>
      </c>
      <c r="Q374" s="2">
        <v>6090</v>
      </c>
      <c r="R374">
        <v>0</v>
      </c>
      <c r="S374">
        <v>0</v>
      </c>
      <c r="T374" s="2">
        <v>6075</v>
      </c>
      <c r="U374" s="2">
        <v>155925</v>
      </c>
      <c r="V374">
        <v>75</v>
      </c>
      <c r="W374">
        <v>0</v>
      </c>
      <c r="X374">
        <v>0</v>
      </c>
      <c r="Y374">
        <v>0</v>
      </c>
      <c r="Z374">
        <v>1.3</v>
      </c>
      <c r="AA374">
        <v>1.7354853E-2</v>
      </c>
      <c r="AB374">
        <v>26.4</v>
      </c>
      <c r="AC374">
        <v>7.443333333</v>
      </c>
      <c r="AD374">
        <v>26</v>
      </c>
      <c r="AE374" s="7"/>
      <c r="AF374" s="7"/>
      <c r="AG374" s="7"/>
      <c r="AH374" s="7"/>
      <c r="AI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4.556666667</v>
      </c>
      <c r="AJ374" s="7"/>
      <c r="AK374" t="s">
        <v>51</v>
      </c>
      <c r="AN374">
        <f>IFERROR(INT(Table13[[#This Row],[reject_prod]]/Table13[[#This Row],[part_weight]] * 1000), 0)</f>
        <v>105</v>
      </c>
    </row>
    <row r="375" spans="1:40" hidden="1">
      <c r="A375" s="1">
        <v>46034</v>
      </c>
      <c r="B375">
        <v>2</v>
      </c>
      <c r="C375">
        <v>14</v>
      </c>
      <c r="D375" t="s">
        <v>167</v>
      </c>
      <c r="E375" t="s">
        <v>46</v>
      </c>
      <c r="F375">
        <v>555979</v>
      </c>
      <c r="G375" s="6">
        <v>1</v>
      </c>
      <c r="H375" t="s">
        <v>52</v>
      </c>
      <c r="I375">
        <v>10682932</v>
      </c>
      <c r="J375">
        <v>6</v>
      </c>
      <c r="K375">
        <v>28</v>
      </c>
      <c r="L375">
        <v>28</v>
      </c>
      <c r="M375">
        <v>980</v>
      </c>
      <c r="N375" s="2">
        <v>100800</v>
      </c>
      <c r="O375" s="2">
        <v>1680</v>
      </c>
      <c r="P375">
        <v>840</v>
      </c>
      <c r="Q375" s="2">
        <v>5880</v>
      </c>
      <c r="R375" s="2">
        <v>6720</v>
      </c>
      <c r="S375">
        <v>188</v>
      </c>
      <c r="T375" s="2">
        <v>54600</v>
      </c>
      <c r="U375" s="2">
        <v>46200</v>
      </c>
      <c r="V375">
        <v>165</v>
      </c>
      <c r="W375">
        <v>0</v>
      </c>
      <c r="X375">
        <v>0</v>
      </c>
      <c r="Y375">
        <v>0</v>
      </c>
      <c r="Z375">
        <v>2</v>
      </c>
      <c r="AA375">
        <v>1.2147715999999999E-2</v>
      </c>
      <c r="AB375">
        <v>44.1</v>
      </c>
      <c r="AC375">
        <v>12</v>
      </c>
      <c r="AD375">
        <v>42</v>
      </c>
      <c r="AE375" s="7"/>
      <c r="AF375" s="7"/>
      <c r="AG375" s="7"/>
      <c r="AH375" s="7"/>
      <c r="AI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5" s="7"/>
      <c r="AK375" t="s">
        <v>51</v>
      </c>
      <c r="AN375">
        <f>IFERROR(INT(Table13[[#This Row],[reject_prod]]/Table13[[#This Row],[part_weight]] * 1000), 0)</f>
        <v>71</v>
      </c>
    </row>
    <row r="376" spans="1:40" hidden="1">
      <c r="A376" s="1">
        <v>46034</v>
      </c>
      <c r="B376">
        <v>2</v>
      </c>
      <c r="C376">
        <v>15</v>
      </c>
      <c r="D376" t="s">
        <v>59</v>
      </c>
      <c r="E376" t="s">
        <v>46</v>
      </c>
      <c r="F376">
        <v>552181</v>
      </c>
      <c r="G376" s="6">
        <v>2</v>
      </c>
      <c r="H376" t="s">
        <v>49</v>
      </c>
      <c r="I376">
        <v>10682934</v>
      </c>
      <c r="J376">
        <v>6</v>
      </c>
      <c r="K376">
        <v>18.8</v>
      </c>
      <c r="L376">
        <v>18.8</v>
      </c>
      <c r="M376">
        <v>1395</v>
      </c>
      <c r="N376" s="2">
        <v>108000</v>
      </c>
      <c r="O376" s="2">
        <v>2700</v>
      </c>
      <c r="P376">
        <v>270</v>
      </c>
      <c r="Q376" s="2">
        <v>8370</v>
      </c>
      <c r="R376" s="2">
        <v>10800</v>
      </c>
      <c r="S376">
        <v>203</v>
      </c>
      <c r="T376" s="2">
        <v>92070</v>
      </c>
      <c r="U376" s="2">
        <v>15930</v>
      </c>
      <c r="V376">
        <v>157</v>
      </c>
      <c r="W376">
        <v>0</v>
      </c>
      <c r="X376">
        <v>0</v>
      </c>
      <c r="Y376">
        <v>0</v>
      </c>
      <c r="Z376">
        <v>1</v>
      </c>
      <c r="AA376">
        <v>6.3550170000000001E-3</v>
      </c>
      <c r="AB376">
        <v>31.3</v>
      </c>
      <c r="AC376">
        <v>12</v>
      </c>
      <c r="AD376">
        <v>27</v>
      </c>
      <c r="AE376" s="7"/>
      <c r="AF376" s="7"/>
      <c r="AG376" s="7"/>
      <c r="AH376" s="7"/>
      <c r="AI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6" s="7"/>
      <c r="AK376" t="s">
        <v>51</v>
      </c>
      <c r="AN376">
        <f>IFERROR(INT(Table13[[#This Row],[reject_prod]]/Table13[[#This Row],[part_weight]] * 1000), 0)</f>
        <v>53</v>
      </c>
    </row>
    <row r="377" spans="1:40" s="4" customFormat="1" hidden="1">
      <c r="A377" s="3">
        <v>46034</v>
      </c>
      <c r="B377" s="4">
        <v>2</v>
      </c>
      <c r="C377" s="4">
        <v>16</v>
      </c>
      <c r="D377" s="4" t="s">
        <v>295</v>
      </c>
      <c r="E377" s="4" t="s">
        <v>46</v>
      </c>
      <c r="F377" s="4">
        <v>555979</v>
      </c>
      <c r="G377" s="9">
        <v>2</v>
      </c>
      <c r="H377" s="4" t="s">
        <v>52</v>
      </c>
      <c r="I377" s="4">
        <v>10682935</v>
      </c>
      <c r="J377" s="4">
        <v>6</v>
      </c>
      <c r="K377" s="4">
        <v>28</v>
      </c>
      <c r="L377" s="4">
        <v>28</v>
      </c>
      <c r="M377" s="4">
        <v>970</v>
      </c>
      <c r="N377" s="5">
        <v>100800</v>
      </c>
      <c r="O377" s="4">
        <v>0</v>
      </c>
      <c r="P377" s="5">
        <v>2184</v>
      </c>
      <c r="Q377" s="5">
        <v>5820</v>
      </c>
      <c r="R377" s="5">
        <v>3360</v>
      </c>
      <c r="S377" s="4">
        <v>94</v>
      </c>
      <c r="T377" s="5">
        <v>99624</v>
      </c>
      <c r="U377" s="5">
        <v>1176</v>
      </c>
      <c r="V377" s="4">
        <v>163</v>
      </c>
      <c r="W377" s="4">
        <v>0</v>
      </c>
      <c r="X377" s="4">
        <v>0</v>
      </c>
      <c r="Y377" s="4">
        <v>0</v>
      </c>
      <c r="Z377" s="4">
        <v>1.2</v>
      </c>
      <c r="AA377" s="4">
        <v>7.3637700000000004E-3</v>
      </c>
      <c r="AB377" s="4">
        <v>43.7</v>
      </c>
      <c r="AC377" s="4">
        <v>11.774722219999999</v>
      </c>
      <c r="AD377" s="4">
        <v>42</v>
      </c>
      <c r="AE377" s="8"/>
      <c r="AF377" s="8"/>
      <c r="AG377" s="8"/>
      <c r="AH377" s="8"/>
      <c r="AI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0.22527778000000076</v>
      </c>
      <c r="AJ377" s="8"/>
      <c r="AK377" s="4" t="s">
        <v>51</v>
      </c>
      <c r="AN377">
        <f>IFERROR(INT(Table13[[#This Row],[reject_prod]]/Table13[[#This Row],[part_weight]] * 1000), 0)</f>
        <v>42</v>
      </c>
    </row>
    <row r="378" spans="1:40" hidden="1">
      <c r="A378" s="1">
        <v>46035</v>
      </c>
      <c r="B378">
        <v>1</v>
      </c>
      <c r="C378">
        <v>1</v>
      </c>
      <c r="D378" t="s">
        <v>284</v>
      </c>
      <c r="E378" t="s">
        <v>34</v>
      </c>
      <c r="F378">
        <v>365091</v>
      </c>
      <c r="G378" s="6">
        <v>0</v>
      </c>
      <c r="H378" t="s">
        <v>189</v>
      </c>
      <c r="I378">
        <v>10682753</v>
      </c>
      <c r="J378">
        <v>4</v>
      </c>
      <c r="K378">
        <v>44</v>
      </c>
      <c r="L378">
        <v>44</v>
      </c>
      <c r="M378">
        <v>1643</v>
      </c>
      <c r="N378" s="2">
        <v>66885</v>
      </c>
      <c r="O378" s="2">
        <v>735</v>
      </c>
      <c r="P378" s="2">
        <v>945</v>
      </c>
      <c r="Q378" s="2">
        <v>6572</v>
      </c>
      <c r="R378" s="2">
        <v>6300</v>
      </c>
      <c r="S378">
        <v>277.2</v>
      </c>
      <c r="T378" s="2">
        <v>47565</v>
      </c>
      <c r="U378" s="2">
        <v>19320</v>
      </c>
      <c r="V378">
        <v>289.16800000000001</v>
      </c>
      <c r="W378">
        <v>0</v>
      </c>
      <c r="X378">
        <v>0</v>
      </c>
      <c r="Y378">
        <v>0</v>
      </c>
      <c r="Z378">
        <v>2.5</v>
      </c>
      <c r="AA378">
        <v>8.6454932772644273E-3</v>
      </c>
      <c r="AB378">
        <v>25.8</v>
      </c>
      <c r="AC378">
        <v>11.774833333333333</v>
      </c>
      <c r="AD378">
        <v>28.64</v>
      </c>
      <c r="AE378" s="7"/>
      <c r="AF378" s="7"/>
      <c r="AG378" s="7"/>
      <c r="AH378" s="7"/>
      <c r="AI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0.22516666666666652</v>
      </c>
      <c r="AJ378" s="7"/>
      <c r="AK378" t="s">
        <v>214</v>
      </c>
      <c r="AN378">
        <f>IFERROR(INT(Table13[[#This Row],[reject_prod]]/Table13[[#This Row],[part_weight]] * 1000), 0)</f>
        <v>56</v>
      </c>
    </row>
    <row r="379" spans="1:40" hidden="1">
      <c r="A379" s="1">
        <v>46035</v>
      </c>
      <c r="B379">
        <v>1</v>
      </c>
      <c r="C379">
        <v>2</v>
      </c>
      <c r="D379" t="s">
        <v>33</v>
      </c>
      <c r="E379" t="s">
        <v>34</v>
      </c>
      <c r="F379">
        <v>423215</v>
      </c>
      <c r="G379" s="6">
        <v>0</v>
      </c>
      <c r="H379" t="s">
        <v>156</v>
      </c>
      <c r="I379">
        <v>10682755</v>
      </c>
      <c r="J379">
        <v>4</v>
      </c>
      <c r="K379">
        <v>24</v>
      </c>
      <c r="L379">
        <v>24</v>
      </c>
      <c r="M379">
        <v>0</v>
      </c>
      <c r="N379" s="2">
        <v>89112</v>
      </c>
      <c r="O379" s="2">
        <v>282</v>
      </c>
      <c r="P379" s="2">
        <v>0</v>
      </c>
      <c r="Q379" s="2">
        <v>0</v>
      </c>
      <c r="R379" s="2">
        <v>1128</v>
      </c>
      <c r="S379">
        <v>27.071999999999999</v>
      </c>
      <c r="T379" s="2">
        <v>89112</v>
      </c>
      <c r="U379" s="2">
        <v>0</v>
      </c>
      <c r="V379">
        <v>0</v>
      </c>
      <c r="W379">
        <v>0</v>
      </c>
      <c r="X379">
        <v>0</v>
      </c>
      <c r="Y379" t="e">
        <v>#DIV/0!</v>
      </c>
      <c r="Z379">
        <v>0</v>
      </c>
      <c r="AA379" t="e">
        <v>#DIV/0!</v>
      </c>
      <c r="AB379">
        <v>26.33</v>
      </c>
      <c r="AC379">
        <v>0</v>
      </c>
      <c r="AD379">
        <v>22</v>
      </c>
      <c r="AE379" s="7"/>
      <c r="AF379" s="7"/>
      <c r="AG379" s="7"/>
      <c r="AH379" s="7"/>
      <c r="AI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9" s="7"/>
      <c r="AK379" t="s">
        <v>310</v>
      </c>
      <c r="AN379">
        <f>IFERROR(INT(Table13[[#This Row],[reject_prod]]/Table13[[#This Row],[part_weight]] * 1000), 0)</f>
        <v>0</v>
      </c>
    </row>
    <row r="380" spans="1:40" hidden="1">
      <c r="A380" s="1">
        <v>46035</v>
      </c>
      <c r="B380">
        <v>1</v>
      </c>
      <c r="C380">
        <v>2</v>
      </c>
      <c r="D380" t="s">
        <v>33</v>
      </c>
      <c r="E380" t="s">
        <v>34</v>
      </c>
      <c r="F380">
        <v>416201</v>
      </c>
      <c r="G380" s="6">
        <v>0</v>
      </c>
      <c r="H380" t="s">
        <v>36</v>
      </c>
      <c r="I380">
        <v>10681779</v>
      </c>
      <c r="J380">
        <v>4</v>
      </c>
      <c r="K380">
        <v>20</v>
      </c>
      <c r="L380">
        <v>30</v>
      </c>
      <c r="M380">
        <v>0</v>
      </c>
      <c r="N380" s="2">
        <v>50400</v>
      </c>
      <c r="O380" s="2">
        <v>0</v>
      </c>
      <c r="P380" s="2">
        <v>0</v>
      </c>
      <c r="Q380" s="2">
        <v>0</v>
      </c>
      <c r="R380" s="2">
        <v>0</v>
      </c>
      <c r="S380">
        <v>0</v>
      </c>
      <c r="T380" s="2">
        <v>5040</v>
      </c>
      <c r="U380" s="2">
        <v>45360</v>
      </c>
      <c r="V380">
        <v>0</v>
      </c>
      <c r="W380">
        <v>0</v>
      </c>
      <c r="X380">
        <v>3.3</v>
      </c>
      <c r="Y380" t="e">
        <v>#DIV/0!</v>
      </c>
      <c r="Z380">
        <v>0</v>
      </c>
      <c r="AA380" t="e">
        <v>#DIV/0!</v>
      </c>
      <c r="AB380">
        <v>27.3</v>
      </c>
      <c r="AC380">
        <v>0</v>
      </c>
      <c r="AD380">
        <v>38.64</v>
      </c>
      <c r="AE380" s="7"/>
      <c r="AF380" s="7"/>
      <c r="AG380" s="7">
        <v>3</v>
      </c>
      <c r="AH380" s="7"/>
      <c r="AI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380" s="7"/>
      <c r="AK380" t="s">
        <v>311</v>
      </c>
      <c r="AN380">
        <f>IFERROR(INT(Table13[[#This Row],[reject_prod]]/Table13[[#This Row],[part_weight]] * 1000), 0)</f>
        <v>0</v>
      </c>
    </row>
    <row r="381" spans="1:40" hidden="1">
      <c r="A381" s="1">
        <v>46035</v>
      </c>
      <c r="B381">
        <v>1</v>
      </c>
      <c r="C381">
        <v>3</v>
      </c>
      <c r="D381" t="s">
        <v>141</v>
      </c>
      <c r="E381" t="s">
        <v>34</v>
      </c>
      <c r="F381">
        <v>442034</v>
      </c>
      <c r="G381" s="6">
        <v>0</v>
      </c>
      <c r="H381" t="s">
        <v>37</v>
      </c>
      <c r="I381">
        <v>10681183</v>
      </c>
      <c r="J381">
        <v>4</v>
      </c>
      <c r="K381">
        <v>23</v>
      </c>
      <c r="L381">
        <v>23</v>
      </c>
      <c r="M381">
        <v>1584</v>
      </c>
      <c r="N381" s="2">
        <v>139776</v>
      </c>
      <c r="O381" s="2">
        <v>2304</v>
      </c>
      <c r="P381" s="2">
        <v>3840</v>
      </c>
      <c r="Q381" s="2">
        <v>6336</v>
      </c>
      <c r="R381" s="2">
        <v>4608</v>
      </c>
      <c r="S381">
        <v>105.98399999999999</v>
      </c>
      <c r="T381" s="2">
        <v>91392</v>
      </c>
      <c r="U381" s="2">
        <v>48384</v>
      </c>
      <c r="V381">
        <v>145.72800000000001</v>
      </c>
      <c r="W381">
        <v>0</v>
      </c>
      <c r="X381">
        <v>0</v>
      </c>
      <c r="Y381">
        <v>0</v>
      </c>
      <c r="Z381">
        <v>4.5</v>
      </c>
      <c r="AA381">
        <v>3.0879446640316204E-2</v>
      </c>
      <c r="AB381">
        <v>26.9</v>
      </c>
      <c r="AC381">
        <v>11.836</v>
      </c>
      <c r="AD381">
        <v>22</v>
      </c>
      <c r="AE381" s="7"/>
      <c r="AF381" s="7"/>
      <c r="AG381" s="7"/>
      <c r="AH381" s="7"/>
      <c r="AI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0.1639999999999997</v>
      </c>
      <c r="AJ381" s="7"/>
      <c r="AK381" t="s">
        <v>75</v>
      </c>
      <c r="AN381">
        <f>IFERROR(INT(Table13[[#This Row],[reject_prod]]/Table13[[#This Row],[part_weight]] * 1000), 0)</f>
        <v>195</v>
      </c>
    </row>
    <row r="382" spans="1:40" hidden="1">
      <c r="A382" s="1">
        <v>46035</v>
      </c>
      <c r="B382">
        <v>1</v>
      </c>
      <c r="C382">
        <v>4</v>
      </c>
      <c r="F382">
        <v>123456</v>
      </c>
      <c r="G382" s="6">
        <v>0</v>
      </c>
      <c r="M382">
        <v>0</v>
      </c>
      <c r="N382">
        <v>0</v>
      </c>
      <c r="O382">
        <v>0</v>
      </c>
      <c r="P382">
        <v>0</v>
      </c>
      <c r="R382">
        <v>0</v>
      </c>
      <c r="T382">
        <v>0</v>
      </c>
      <c r="X382">
        <v>0</v>
      </c>
      <c r="Z382">
        <v>0</v>
      </c>
      <c r="AB382">
        <v>0</v>
      </c>
      <c r="AC382">
        <v>0</v>
      </c>
      <c r="AD382">
        <v>22.5</v>
      </c>
      <c r="AE382" s="7"/>
      <c r="AF382" s="7"/>
      <c r="AG382" s="7"/>
      <c r="AH382" s="7"/>
      <c r="AI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2" s="7">
        <v>12</v>
      </c>
      <c r="AK382" t="s">
        <v>116</v>
      </c>
      <c r="AN382">
        <f>IFERROR(INT(Table13[[#This Row],[reject_prod]]/Table13[[#This Row],[part_weight]] * 1000), 0)</f>
        <v>0</v>
      </c>
    </row>
    <row r="383" spans="1:40" hidden="1">
      <c r="A383" s="1">
        <v>46035</v>
      </c>
      <c r="B383">
        <v>1</v>
      </c>
      <c r="C383">
        <v>5</v>
      </c>
      <c r="D383" t="s">
        <v>40</v>
      </c>
      <c r="E383" t="s">
        <v>34</v>
      </c>
      <c r="F383">
        <v>597507</v>
      </c>
      <c r="G383" s="6">
        <v>0</v>
      </c>
      <c r="H383" t="s">
        <v>279</v>
      </c>
      <c r="I383">
        <v>10682757</v>
      </c>
      <c r="J383">
        <v>4</v>
      </c>
      <c r="K383">
        <v>23</v>
      </c>
      <c r="L383">
        <v>23</v>
      </c>
      <c r="M383">
        <v>1365</v>
      </c>
      <c r="N383" s="2">
        <v>64680</v>
      </c>
      <c r="O383" s="2">
        <v>308</v>
      </c>
      <c r="P383" s="2">
        <v>462</v>
      </c>
      <c r="Q383" s="2">
        <v>5460</v>
      </c>
      <c r="R383" s="2">
        <v>4312</v>
      </c>
      <c r="S383">
        <v>99.176000000000002</v>
      </c>
      <c r="T383" s="2">
        <v>4774</v>
      </c>
      <c r="U383" s="2">
        <v>59906</v>
      </c>
      <c r="V383">
        <v>125.58</v>
      </c>
      <c r="W383">
        <v>0</v>
      </c>
      <c r="X383">
        <v>0</v>
      </c>
      <c r="Y383">
        <v>0</v>
      </c>
      <c r="Z383">
        <v>14.6</v>
      </c>
      <c r="AA383">
        <v>0.11626055104315974</v>
      </c>
      <c r="AB383">
        <v>26.9</v>
      </c>
      <c r="AC383">
        <v>10.199583333333333</v>
      </c>
      <c r="AD383">
        <v>22</v>
      </c>
      <c r="AE383" s="7"/>
      <c r="AF383" s="7"/>
      <c r="AG383" s="7"/>
      <c r="AH383" s="7"/>
      <c r="AI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1.800416666666667</v>
      </c>
      <c r="AJ383" s="7"/>
      <c r="AK383" t="s">
        <v>312</v>
      </c>
      <c r="AN383">
        <f>IFERROR(INT(Table13[[#This Row],[reject_prod]]/Table13[[#This Row],[part_weight]] * 1000), 0)</f>
        <v>634</v>
      </c>
    </row>
    <row r="384" spans="1:40" hidden="1">
      <c r="A384" s="1">
        <v>46035</v>
      </c>
      <c r="B384">
        <v>1</v>
      </c>
      <c r="C384">
        <v>6</v>
      </c>
      <c r="D384" t="s">
        <v>303</v>
      </c>
      <c r="E384" t="s">
        <v>34</v>
      </c>
      <c r="F384">
        <v>532981</v>
      </c>
      <c r="G384" s="6">
        <v>0</v>
      </c>
      <c r="H384" t="s">
        <v>233</v>
      </c>
      <c r="I384">
        <v>10682758</v>
      </c>
      <c r="J384">
        <v>4</v>
      </c>
      <c r="K384">
        <v>24.45</v>
      </c>
      <c r="L384">
        <v>24</v>
      </c>
      <c r="M384">
        <v>1968</v>
      </c>
      <c r="N384" s="2">
        <v>87552</v>
      </c>
      <c r="O384" s="2">
        <v>1368</v>
      </c>
      <c r="P384" s="2">
        <v>3648</v>
      </c>
      <c r="Q384" s="2">
        <v>7872</v>
      </c>
      <c r="R384" s="2">
        <v>5472</v>
      </c>
      <c r="S384">
        <v>131.328</v>
      </c>
      <c r="T384" s="2">
        <v>63840</v>
      </c>
      <c r="U384" s="2">
        <v>23712</v>
      </c>
      <c r="V384">
        <v>188.928</v>
      </c>
      <c r="W384">
        <v>0</v>
      </c>
      <c r="X384">
        <v>0</v>
      </c>
      <c r="Y384">
        <v>0</v>
      </c>
      <c r="Z384">
        <v>2</v>
      </c>
      <c r="AA384">
        <v>1.0586043360433605E-2</v>
      </c>
      <c r="AB384">
        <v>21.7</v>
      </c>
      <c r="AC384">
        <v>11.862666666666666</v>
      </c>
      <c r="AD384">
        <v>20</v>
      </c>
      <c r="AE384" s="7"/>
      <c r="AF384" s="7"/>
      <c r="AG384" s="7"/>
      <c r="AH384" s="7"/>
      <c r="AI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0.1373333333333342</v>
      </c>
      <c r="AJ384" s="7"/>
      <c r="AK384" t="s">
        <v>103</v>
      </c>
      <c r="AN384">
        <f>IFERROR(INT(Table13[[#This Row],[reject_prod]]/Table13[[#This Row],[part_weight]] * 1000), 0)</f>
        <v>83</v>
      </c>
    </row>
    <row r="385" spans="1:40" hidden="1">
      <c r="A385" s="1">
        <v>46035</v>
      </c>
      <c r="B385">
        <v>1</v>
      </c>
      <c r="C385">
        <v>7</v>
      </c>
      <c r="D385" t="s">
        <v>304</v>
      </c>
      <c r="E385" t="s">
        <v>34</v>
      </c>
      <c r="F385">
        <v>324177</v>
      </c>
      <c r="G385" s="6">
        <v>0</v>
      </c>
      <c r="H385" t="s">
        <v>246</v>
      </c>
      <c r="I385">
        <v>10682801</v>
      </c>
      <c r="J385">
        <v>4</v>
      </c>
      <c r="K385">
        <v>34.5</v>
      </c>
      <c r="L385">
        <v>34.5</v>
      </c>
      <c r="M385">
        <v>813</v>
      </c>
      <c r="N385" s="2">
        <v>62400</v>
      </c>
      <c r="O385" s="2">
        <v>0</v>
      </c>
      <c r="P385" s="2">
        <v>312</v>
      </c>
      <c r="Q385" s="2">
        <v>3252</v>
      </c>
      <c r="R385" s="2">
        <v>2340</v>
      </c>
      <c r="S385">
        <v>80.73</v>
      </c>
      <c r="T385" s="2">
        <v>23712</v>
      </c>
      <c r="U385" s="2">
        <v>38688</v>
      </c>
      <c r="V385">
        <v>112.194</v>
      </c>
      <c r="W385">
        <v>0</v>
      </c>
      <c r="X385">
        <v>0</v>
      </c>
      <c r="Y385">
        <v>0</v>
      </c>
      <c r="Z385">
        <v>18.5</v>
      </c>
      <c r="AA385">
        <v>0.16489295327735887</v>
      </c>
      <c r="AB385">
        <v>21.43</v>
      </c>
      <c r="AC385">
        <v>4.8396083333333326</v>
      </c>
      <c r="AD385">
        <v>22</v>
      </c>
      <c r="AE385" s="7"/>
      <c r="AF385" s="7"/>
      <c r="AG385" s="7"/>
      <c r="AH385" s="7"/>
      <c r="AI3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7.1603916666666674</v>
      </c>
      <c r="AJ385" s="7"/>
      <c r="AK385" t="s">
        <v>313</v>
      </c>
      <c r="AN385">
        <f>IFERROR(INT(Table13[[#This Row],[reject_prod]]/Table13[[#This Row],[part_weight]] * 1000), 0)</f>
        <v>536</v>
      </c>
    </row>
    <row r="386" spans="1:40" hidden="1">
      <c r="A386" s="1">
        <v>46035</v>
      </c>
      <c r="B386">
        <v>1</v>
      </c>
      <c r="C386">
        <v>8</v>
      </c>
      <c r="D386" t="s">
        <v>115</v>
      </c>
      <c r="E386" t="s">
        <v>34</v>
      </c>
      <c r="F386">
        <v>323102</v>
      </c>
      <c r="G386" s="6">
        <v>0</v>
      </c>
      <c r="H386" t="s">
        <v>45</v>
      </c>
      <c r="I386">
        <v>10683894</v>
      </c>
      <c r="J386">
        <v>4</v>
      </c>
      <c r="K386">
        <v>56.9</v>
      </c>
      <c r="L386">
        <v>56.9</v>
      </c>
      <c r="M386">
        <v>466</v>
      </c>
      <c r="N386" s="2">
        <v>38400</v>
      </c>
      <c r="O386" s="2">
        <v>160</v>
      </c>
      <c r="P386" s="2">
        <v>0</v>
      </c>
      <c r="Q386" s="2">
        <v>1864</v>
      </c>
      <c r="R386" s="2">
        <v>1920</v>
      </c>
      <c r="S386">
        <v>109.248</v>
      </c>
      <c r="T386" s="2">
        <v>38400</v>
      </c>
      <c r="U386" s="2">
        <v>0</v>
      </c>
      <c r="V386">
        <v>106.06159999999998</v>
      </c>
      <c r="W386">
        <v>0</v>
      </c>
      <c r="X386">
        <v>0</v>
      </c>
      <c r="Y386">
        <v>0</v>
      </c>
      <c r="Z386">
        <v>6.7</v>
      </c>
      <c r="AA386">
        <v>6.3170836570445865E-2</v>
      </c>
      <c r="AB386">
        <v>27.8</v>
      </c>
      <c r="AC386">
        <v>3.5985555555555555</v>
      </c>
      <c r="AD386">
        <v>26</v>
      </c>
      <c r="AE386" s="7"/>
      <c r="AF386" s="7"/>
      <c r="AG386" s="7"/>
      <c r="AH386" s="7"/>
      <c r="AI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8.4014444444444436</v>
      </c>
      <c r="AJ386" s="7"/>
      <c r="AK386" t="s">
        <v>314</v>
      </c>
      <c r="AN386">
        <f>IFERROR(INT(Table13[[#This Row],[reject_prod]]/Table13[[#This Row],[part_weight]] * 1000), 0)</f>
        <v>117</v>
      </c>
    </row>
    <row r="387" spans="1:40" hidden="1">
      <c r="A387" s="1">
        <v>46035</v>
      </c>
      <c r="B387">
        <v>1</v>
      </c>
      <c r="C387">
        <v>8</v>
      </c>
      <c r="D387" t="s">
        <v>33</v>
      </c>
      <c r="E387" t="s">
        <v>34</v>
      </c>
      <c r="F387">
        <v>442310</v>
      </c>
      <c r="G387" s="6">
        <v>0</v>
      </c>
      <c r="H387" t="s">
        <v>315</v>
      </c>
      <c r="I387">
        <v>10684380</v>
      </c>
      <c r="J387">
        <v>4</v>
      </c>
      <c r="K387">
        <v>68.8</v>
      </c>
      <c r="L387">
        <v>68.8</v>
      </c>
      <c r="M387">
        <v>0</v>
      </c>
      <c r="N387" s="2">
        <v>69000</v>
      </c>
      <c r="O387" s="2">
        <v>0</v>
      </c>
      <c r="P387" s="2">
        <v>0</v>
      </c>
      <c r="Q387" s="2">
        <v>0</v>
      </c>
      <c r="R387" s="2">
        <v>0</v>
      </c>
      <c r="S387">
        <v>0</v>
      </c>
      <c r="T387" s="2">
        <v>24725</v>
      </c>
      <c r="U387" s="2">
        <v>44275</v>
      </c>
      <c r="V387">
        <v>0</v>
      </c>
      <c r="W387">
        <v>0</v>
      </c>
      <c r="X387">
        <v>0</v>
      </c>
      <c r="Y387" t="e">
        <v>#DIV/0!</v>
      </c>
      <c r="Z387">
        <v>0</v>
      </c>
      <c r="AA387" t="e">
        <v>#DIV/0!</v>
      </c>
      <c r="AB387">
        <v>31.7</v>
      </c>
      <c r="AC387">
        <v>0</v>
      </c>
      <c r="AD387">
        <v>33.840000000000003</v>
      </c>
      <c r="AE387" s="7"/>
      <c r="AF387" s="7"/>
      <c r="AG387" s="7"/>
      <c r="AH387" s="7"/>
      <c r="AI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7" s="7"/>
      <c r="AK387" t="s">
        <v>316</v>
      </c>
      <c r="AN387">
        <f>IFERROR(INT(Table13[[#This Row],[reject_prod]]/Table13[[#This Row],[part_weight]] * 1000), 0)</f>
        <v>0</v>
      </c>
    </row>
    <row r="388" spans="1:40" hidden="1">
      <c r="A388" s="1">
        <v>46035</v>
      </c>
      <c r="B388">
        <v>1</v>
      </c>
      <c r="C388">
        <v>9</v>
      </c>
      <c r="D388" t="s">
        <v>305</v>
      </c>
      <c r="E388" t="s">
        <v>46</v>
      </c>
      <c r="F388">
        <v>586276</v>
      </c>
      <c r="G388" s="6">
        <v>0</v>
      </c>
      <c r="H388" t="s">
        <v>47</v>
      </c>
      <c r="I388">
        <v>10682924</v>
      </c>
      <c r="J388">
        <v>6</v>
      </c>
      <c r="K388">
        <v>12.3</v>
      </c>
      <c r="L388">
        <v>12.3</v>
      </c>
      <c r="M388">
        <v>824</v>
      </c>
      <c r="N388" s="2">
        <v>162000</v>
      </c>
      <c r="O388" s="2">
        <v>0</v>
      </c>
      <c r="P388" s="2">
        <v>4860</v>
      </c>
      <c r="Q388" s="2">
        <v>4944</v>
      </c>
      <c r="R388" s="2">
        <v>0</v>
      </c>
      <c r="S388">
        <v>0</v>
      </c>
      <c r="T388" s="2">
        <v>69660</v>
      </c>
      <c r="U388" s="2">
        <v>92340</v>
      </c>
      <c r="V388">
        <v>60.811200000000007</v>
      </c>
      <c r="W388">
        <v>0</v>
      </c>
      <c r="X388">
        <v>0</v>
      </c>
      <c r="Y388">
        <v>0</v>
      </c>
      <c r="Z388">
        <v>1</v>
      </c>
      <c r="AA388">
        <v>1.644433920067356E-2</v>
      </c>
      <c r="AB388">
        <v>26.2</v>
      </c>
      <c r="AC388">
        <v>5.9968888888888889</v>
      </c>
      <c r="AD388">
        <v>26</v>
      </c>
      <c r="AE388" s="7"/>
      <c r="AF388" s="7"/>
      <c r="AG388" s="7"/>
      <c r="AH388" s="7">
        <v>6</v>
      </c>
      <c r="AI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3.1111111111110645E-3</v>
      </c>
      <c r="AJ388" s="7"/>
      <c r="AK388" t="s">
        <v>317</v>
      </c>
      <c r="AN388">
        <f>IFERROR(INT(Table13[[#This Row],[reject_prod]]/Table13[[#This Row],[part_weight]] * 1000), 0)</f>
        <v>81</v>
      </c>
    </row>
    <row r="389" spans="1:40" hidden="1">
      <c r="A389" s="1">
        <v>46035</v>
      </c>
      <c r="B389">
        <v>1</v>
      </c>
      <c r="C389">
        <v>10</v>
      </c>
      <c r="D389" t="s">
        <v>141</v>
      </c>
      <c r="E389" t="s">
        <v>41</v>
      </c>
      <c r="F389">
        <v>593537</v>
      </c>
      <c r="G389" s="6">
        <v>0</v>
      </c>
      <c r="H389" t="s">
        <v>48</v>
      </c>
      <c r="I389">
        <v>10682926</v>
      </c>
      <c r="J389">
        <v>4</v>
      </c>
      <c r="K389">
        <v>56.5</v>
      </c>
      <c r="L389">
        <v>56.8</v>
      </c>
      <c r="M389">
        <v>496</v>
      </c>
      <c r="N389" s="2">
        <v>69000</v>
      </c>
      <c r="O389" s="2">
        <v>0</v>
      </c>
      <c r="P389" s="2">
        <v>0</v>
      </c>
      <c r="Q389" s="2">
        <v>1984</v>
      </c>
      <c r="R389" s="2">
        <v>2300</v>
      </c>
      <c r="S389">
        <v>130.63999999999999</v>
      </c>
      <c r="T389" s="2">
        <v>24725</v>
      </c>
      <c r="U389" s="2">
        <v>44275</v>
      </c>
      <c r="V389">
        <v>112.69119999999999</v>
      </c>
      <c r="W389">
        <v>0</v>
      </c>
      <c r="X389">
        <v>0</v>
      </c>
      <c r="Y389">
        <v>0</v>
      </c>
      <c r="Z389">
        <v>1</v>
      </c>
      <c r="AA389">
        <v>8.8738073602907773E-3</v>
      </c>
      <c r="AB389">
        <v>31.7</v>
      </c>
      <c r="AC389">
        <v>4.3675555555555556</v>
      </c>
      <c r="AD389">
        <v>28.5</v>
      </c>
      <c r="AE389" s="7"/>
      <c r="AF389" s="7"/>
      <c r="AG389" s="7"/>
      <c r="AH389" s="7"/>
      <c r="AI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7.6324444444444444</v>
      </c>
      <c r="AJ389" s="7"/>
      <c r="AK389" t="s">
        <v>318</v>
      </c>
      <c r="AN389">
        <f>IFERROR(INT(Table13[[#This Row],[reject_prod]]/Table13[[#This Row],[part_weight]] * 1000), 0)</f>
        <v>17</v>
      </c>
    </row>
    <row r="390" spans="1:40" hidden="1">
      <c r="A390" s="1">
        <v>46035</v>
      </c>
      <c r="B390">
        <v>1</v>
      </c>
      <c r="C390">
        <v>10</v>
      </c>
      <c r="D390" t="s">
        <v>33</v>
      </c>
      <c r="E390" t="s">
        <v>41</v>
      </c>
      <c r="F390">
        <v>593537</v>
      </c>
      <c r="G390" s="6">
        <v>0</v>
      </c>
      <c r="H390" t="s">
        <v>48</v>
      </c>
      <c r="I390">
        <v>10682926</v>
      </c>
      <c r="J390">
        <v>4</v>
      </c>
      <c r="K390">
        <v>56.5</v>
      </c>
      <c r="L390">
        <v>56.8</v>
      </c>
      <c r="M390">
        <v>0</v>
      </c>
      <c r="N390" s="2">
        <v>8008</v>
      </c>
      <c r="O390" s="2">
        <v>0</v>
      </c>
      <c r="P390" s="2">
        <v>0</v>
      </c>
      <c r="Q390" s="2">
        <v>0</v>
      </c>
      <c r="R390" s="2">
        <v>0</v>
      </c>
      <c r="S390">
        <v>0</v>
      </c>
      <c r="T390" s="2">
        <v>0</v>
      </c>
      <c r="U390" s="2">
        <v>8008</v>
      </c>
      <c r="V390">
        <v>0</v>
      </c>
      <c r="W390">
        <v>0</v>
      </c>
      <c r="X390">
        <v>0</v>
      </c>
      <c r="Y390" t="e">
        <v>#DIV/0!</v>
      </c>
      <c r="Z390">
        <v>0</v>
      </c>
      <c r="AA390" t="e">
        <v>#DIV/0!</v>
      </c>
      <c r="AB390">
        <v>31.7</v>
      </c>
      <c r="AC390">
        <v>0</v>
      </c>
      <c r="AD390">
        <v>28.5</v>
      </c>
      <c r="AE390" s="7"/>
      <c r="AF390" s="7"/>
      <c r="AG390" s="7"/>
      <c r="AH390" s="7"/>
      <c r="AI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0" s="7"/>
      <c r="AK390" t="s">
        <v>73</v>
      </c>
      <c r="AN390">
        <f>IFERROR(INT(Table13[[#This Row],[reject_prod]]/Table13[[#This Row],[part_weight]] * 1000), 0)</f>
        <v>0</v>
      </c>
    </row>
    <row r="391" spans="1:40" hidden="1">
      <c r="A391" s="1">
        <v>46035</v>
      </c>
      <c r="B391">
        <v>1</v>
      </c>
      <c r="C391">
        <v>11</v>
      </c>
      <c r="D391" t="s">
        <v>112</v>
      </c>
      <c r="E391" t="s">
        <v>46</v>
      </c>
      <c r="F391">
        <v>552181</v>
      </c>
      <c r="G391" s="6">
        <v>1</v>
      </c>
      <c r="H391" t="s">
        <v>49</v>
      </c>
      <c r="I391">
        <v>10683782</v>
      </c>
      <c r="J391">
        <v>6</v>
      </c>
      <c r="K391">
        <v>18.8</v>
      </c>
      <c r="L391">
        <v>18.8</v>
      </c>
      <c r="M391">
        <v>1566</v>
      </c>
      <c r="N391" s="2">
        <v>108000</v>
      </c>
      <c r="O391" s="2">
        <v>345</v>
      </c>
      <c r="P391" s="2">
        <v>0</v>
      </c>
      <c r="Q391" s="2">
        <v>9396</v>
      </c>
      <c r="R391" s="2">
        <v>10800</v>
      </c>
      <c r="S391">
        <v>203.04</v>
      </c>
      <c r="T391" s="2">
        <v>16200</v>
      </c>
      <c r="U391" s="2">
        <v>91800</v>
      </c>
      <c r="V391">
        <v>176.6448</v>
      </c>
      <c r="W391">
        <v>0</v>
      </c>
      <c r="X391">
        <v>0</v>
      </c>
      <c r="Y391">
        <v>0</v>
      </c>
      <c r="Z391">
        <v>2.5</v>
      </c>
      <c r="AA391">
        <v>1.4152695126038242E-2</v>
      </c>
      <c r="AB391">
        <v>27.6</v>
      </c>
      <c r="AC391">
        <v>12</v>
      </c>
      <c r="AD391">
        <v>27</v>
      </c>
      <c r="AE391" s="7"/>
      <c r="AF391" s="7"/>
      <c r="AG391" s="7"/>
      <c r="AH391" s="7"/>
      <c r="AI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" s="7"/>
      <c r="AK391" t="s">
        <v>270</v>
      </c>
      <c r="AN391">
        <f>IFERROR(INT(Table13[[#This Row],[reject_prod]]/Table13[[#This Row],[part_weight]] * 1000), 0)</f>
        <v>132</v>
      </c>
    </row>
    <row r="392" spans="1:40" hidden="1">
      <c r="A392" s="1">
        <v>46035</v>
      </c>
      <c r="B392">
        <v>1</v>
      </c>
      <c r="C392">
        <v>12</v>
      </c>
      <c r="D392" t="s">
        <v>152</v>
      </c>
      <c r="E392" t="s">
        <v>34</v>
      </c>
      <c r="F392">
        <v>620599</v>
      </c>
      <c r="G392" s="6">
        <v>0</v>
      </c>
      <c r="H392" t="s">
        <v>50</v>
      </c>
      <c r="I392">
        <v>10682929</v>
      </c>
      <c r="J392">
        <v>4</v>
      </c>
      <c r="K392">
        <v>55</v>
      </c>
      <c r="L392">
        <v>55</v>
      </c>
      <c r="M392">
        <v>1473</v>
      </c>
      <c r="N392" s="2">
        <v>72000</v>
      </c>
      <c r="O392" s="2">
        <v>450</v>
      </c>
      <c r="P392" s="2">
        <v>675</v>
      </c>
      <c r="Q392" s="2">
        <v>5892</v>
      </c>
      <c r="R392" s="2">
        <v>5400</v>
      </c>
      <c r="S392">
        <v>297</v>
      </c>
      <c r="T392" s="2">
        <v>13275</v>
      </c>
      <c r="U392" s="2">
        <v>58725</v>
      </c>
      <c r="V392">
        <v>324.06</v>
      </c>
      <c r="W392">
        <v>0</v>
      </c>
      <c r="X392">
        <v>0</v>
      </c>
      <c r="Y392">
        <v>0</v>
      </c>
      <c r="Z392">
        <v>12.6</v>
      </c>
      <c r="AA392">
        <v>3.8881688576189594E-2</v>
      </c>
      <c r="AB392">
        <v>28</v>
      </c>
      <c r="AC392">
        <v>11.456666666666667</v>
      </c>
      <c r="AD392">
        <v>28</v>
      </c>
      <c r="AE392" s="7"/>
      <c r="AF392" s="7"/>
      <c r="AG392" s="7"/>
      <c r="AH392" s="7"/>
      <c r="AI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0.543333333333333</v>
      </c>
      <c r="AJ392" s="7"/>
      <c r="AK392" t="s">
        <v>270</v>
      </c>
      <c r="AN392">
        <f>IFERROR(INT(Table13[[#This Row],[reject_prod]]/Table13[[#This Row],[part_weight]] * 1000), 0)</f>
        <v>229</v>
      </c>
    </row>
    <row r="393" spans="1:40" hidden="1">
      <c r="A393" s="1">
        <v>46035</v>
      </c>
      <c r="B393">
        <v>1</v>
      </c>
      <c r="C393">
        <v>13</v>
      </c>
      <c r="D393" t="s">
        <v>112</v>
      </c>
      <c r="E393" t="s">
        <v>46</v>
      </c>
      <c r="F393">
        <v>586276</v>
      </c>
      <c r="G393" s="6">
        <v>0</v>
      </c>
      <c r="H393" t="s">
        <v>47</v>
      </c>
      <c r="I393">
        <v>10683784</v>
      </c>
      <c r="J393">
        <v>6</v>
      </c>
      <c r="K393">
        <v>12.3</v>
      </c>
      <c r="L393">
        <v>12.3</v>
      </c>
      <c r="M393">
        <v>1599</v>
      </c>
      <c r="N393" s="2">
        <v>162000</v>
      </c>
      <c r="O393" s="2">
        <v>6075</v>
      </c>
      <c r="P393" s="2">
        <v>7290</v>
      </c>
      <c r="Q393" s="2">
        <v>9594</v>
      </c>
      <c r="R393" s="2">
        <v>8100</v>
      </c>
      <c r="S393">
        <v>99.63</v>
      </c>
      <c r="T393" s="2">
        <v>15390</v>
      </c>
      <c r="U393" s="2">
        <v>146610</v>
      </c>
      <c r="V393">
        <v>118.00620000000001</v>
      </c>
      <c r="W393">
        <v>0</v>
      </c>
      <c r="X393">
        <v>0</v>
      </c>
      <c r="Y393">
        <v>0</v>
      </c>
      <c r="Z393">
        <v>1.5</v>
      </c>
      <c r="AA393">
        <v>1.2711196530351795E-2</v>
      </c>
      <c r="AB393">
        <v>26.4</v>
      </c>
      <c r="AC393">
        <v>11.725999999999999</v>
      </c>
      <c r="AD393">
        <v>26</v>
      </c>
      <c r="AE393" s="7"/>
      <c r="AF393" s="7"/>
      <c r="AG393" s="7"/>
      <c r="AH393" s="7"/>
      <c r="AI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0.27400000000000091</v>
      </c>
      <c r="AJ393" s="7"/>
      <c r="AK393" t="s">
        <v>51</v>
      </c>
      <c r="AN393">
        <f>IFERROR(INT(Table13[[#This Row],[reject_prod]]/Table13[[#This Row],[part_weight]] * 1000), 0)</f>
        <v>121</v>
      </c>
    </row>
    <row r="394" spans="1:40" hidden="1">
      <c r="A394" s="1">
        <v>46035</v>
      </c>
      <c r="B394">
        <v>1</v>
      </c>
      <c r="C394">
        <v>14</v>
      </c>
      <c r="D394" t="s">
        <v>67</v>
      </c>
      <c r="E394" t="s">
        <v>46</v>
      </c>
      <c r="F394">
        <v>555979</v>
      </c>
      <c r="G394" s="6">
        <v>1</v>
      </c>
      <c r="H394" t="s">
        <v>52</v>
      </c>
      <c r="I394">
        <v>10682932</v>
      </c>
      <c r="J394">
        <v>6</v>
      </c>
      <c r="K394">
        <v>28</v>
      </c>
      <c r="L394">
        <v>28</v>
      </c>
      <c r="M394">
        <v>982</v>
      </c>
      <c r="N394" s="2">
        <v>100800</v>
      </c>
      <c r="O394" s="2">
        <v>840</v>
      </c>
      <c r="P394" s="2">
        <v>0</v>
      </c>
      <c r="Q394" s="2">
        <v>5892</v>
      </c>
      <c r="R394" s="2">
        <v>6720</v>
      </c>
      <c r="S394">
        <v>188.16</v>
      </c>
      <c r="T394" s="2">
        <v>60480</v>
      </c>
      <c r="U394" s="2">
        <v>40320</v>
      </c>
      <c r="V394">
        <v>164.976</v>
      </c>
      <c r="W394">
        <v>0</v>
      </c>
      <c r="X394">
        <v>0</v>
      </c>
      <c r="Y394">
        <v>0</v>
      </c>
      <c r="Z394">
        <v>1.5</v>
      </c>
      <c r="AA394">
        <v>9.0922315973232474E-3</v>
      </c>
      <c r="AB394">
        <v>44.1</v>
      </c>
      <c r="AC394">
        <v>12</v>
      </c>
      <c r="AD394">
        <v>42</v>
      </c>
      <c r="AE394" s="7"/>
      <c r="AF394" s="7"/>
      <c r="AG394" s="7"/>
      <c r="AH394" s="7"/>
      <c r="AI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4" s="7"/>
      <c r="AK394" t="s">
        <v>272</v>
      </c>
      <c r="AN394">
        <f>IFERROR(INT(Table13[[#This Row],[reject_prod]]/Table13[[#This Row],[part_weight]] * 1000), 0)</f>
        <v>53</v>
      </c>
    </row>
    <row r="395" spans="1:40" hidden="1">
      <c r="A395" s="1">
        <v>46035</v>
      </c>
      <c r="B395">
        <v>1</v>
      </c>
      <c r="C395">
        <v>15</v>
      </c>
      <c r="D395" t="s">
        <v>112</v>
      </c>
      <c r="E395" t="s">
        <v>46</v>
      </c>
      <c r="F395">
        <v>552181</v>
      </c>
      <c r="G395" s="6">
        <v>2</v>
      </c>
      <c r="H395" t="s">
        <v>49</v>
      </c>
      <c r="I395">
        <v>10682934</v>
      </c>
      <c r="J395">
        <v>6</v>
      </c>
      <c r="K395">
        <v>18.8</v>
      </c>
      <c r="L395">
        <v>18.8</v>
      </c>
      <c r="M395">
        <v>1353</v>
      </c>
      <c r="N395" s="2">
        <v>108000</v>
      </c>
      <c r="O395" s="2">
        <v>270</v>
      </c>
      <c r="P395" s="2">
        <v>3240</v>
      </c>
      <c r="Q395" s="2">
        <v>8118</v>
      </c>
      <c r="R395" s="2">
        <v>5400</v>
      </c>
      <c r="S395">
        <v>101.52</v>
      </c>
      <c r="T395" s="2">
        <v>100440</v>
      </c>
      <c r="U395" s="2">
        <v>7560</v>
      </c>
      <c r="V395">
        <v>152.61840000000001</v>
      </c>
      <c r="W395">
        <v>0</v>
      </c>
      <c r="X395">
        <v>0</v>
      </c>
      <c r="Y395">
        <v>0</v>
      </c>
      <c r="Z395">
        <v>3.5</v>
      </c>
      <c r="AA395">
        <v>2.2933014629952876E-2</v>
      </c>
      <c r="AB395">
        <v>31.3</v>
      </c>
      <c r="AC395">
        <v>11.763583333333333</v>
      </c>
      <c r="AD395">
        <v>27</v>
      </c>
      <c r="AE395" s="7"/>
      <c r="AF395" s="7"/>
      <c r="AG395" s="7"/>
      <c r="AH395" s="7"/>
      <c r="AI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0.23641666666666694</v>
      </c>
      <c r="AJ395" s="7"/>
      <c r="AK395" t="s">
        <v>51</v>
      </c>
      <c r="AN395">
        <f>IFERROR(INT(Table13[[#This Row],[reject_prod]]/Table13[[#This Row],[part_weight]] * 1000), 0)</f>
        <v>186</v>
      </c>
    </row>
    <row r="396" spans="1:40" hidden="1">
      <c r="A396" s="1">
        <v>46035</v>
      </c>
      <c r="B396">
        <v>1</v>
      </c>
      <c r="C396">
        <v>16</v>
      </c>
      <c r="D396" t="s">
        <v>306</v>
      </c>
      <c r="E396" t="s">
        <v>46</v>
      </c>
      <c r="F396">
        <v>555979</v>
      </c>
      <c r="G396" s="6">
        <v>2</v>
      </c>
      <c r="H396" t="s">
        <v>52</v>
      </c>
      <c r="I396">
        <v>10682935</v>
      </c>
      <c r="J396">
        <v>6</v>
      </c>
      <c r="K396">
        <v>28</v>
      </c>
      <c r="L396">
        <v>28</v>
      </c>
      <c r="M396">
        <v>294</v>
      </c>
      <c r="N396" s="2">
        <v>100800</v>
      </c>
      <c r="O396" s="2">
        <v>2184</v>
      </c>
      <c r="P396" s="2">
        <v>0</v>
      </c>
      <c r="Q396" s="2">
        <v>1764</v>
      </c>
      <c r="R396" s="2">
        <v>3360</v>
      </c>
      <c r="S396">
        <v>94.08</v>
      </c>
      <c r="T396" s="2">
        <v>100800</v>
      </c>
      <c r="U396" s="2">
        <v>0</v>
      </c>
      <c r="V396">
        <v>49.392000000000003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43.7</v>
      </c>
      <c r="AC396">
        <v>3.5688333333333335</v>
      </c>
      <c r="AD396">
        <v>42</v>
      </c>
      <c r="AE396" s="7"/>
      <c r="AF396" s="7"/>
      <c r="AG396" s="7"/>
      <c r="AH396" s="7"/>
      <c r="AI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8.431166666666666</v>
      </c>
      <c r="AJ396" s="7"/>
      <c r="AK396" t="s">
        <v>319</v>
      </c>
      <c r="AN396">
        <f>IFERROR(INT(Table13[[#This Row],[reject_prod]]/Table13[[#This Row],[part_weight]] * 1000), 0)</f>
        <v>0</v>
      </c>
    </row>
    <row r="397" spans="1:40" s="4" customFormat="1" hidden="1">
      <c r="A397" s="3">
        <v>46035</v>
      </c>
      <c r="B397" s="4">
        <v>1</v>
      </c>
      <c r="C397" s="4">
        <v>16</v>
      </c>
      <c r="D397" s="4" t="s">
        <v>306</v>
      </c>
      <c r="E397" s="4" t="s">
        <v>46</v>
      </c>
      <c r="F397" s="4">
        <v>555979</v>
      </c>
      <c r="G397" s="9">
        <v>2</v>
      </c>
      <c r="H397" s="4" t="s">
        <v>52</v>
      </c>
      <c r="I397" s="4">
        <v>10683788</v>
      </c>
      <c r="J397" s="4">
        <v>6</v>
      </c>
      <c r="K397" s="4">
        <v>28</v>
      </c>
      <c r="L397" s="4">
        <v>28</v>
      </c>
      <c r="M397" s="4">
        <v>642</v>
      </c>
      <c r="N397" s="5">
        <v>100800</v>
      </c>
      <c r="O397" s="5">
        <v>0</v>
      </c>
      <c r="P397" s="5">
        <v>840</v>
      </c>
      <c r="Q397" s="5">
        <v>3852</v>
      </c>
      <c r="R397" s="5">
        <v>3360</v>
      </c>
      <c r="S397" s="4">
        <v>94.08</v>
      </c>
      <c r="T397" s="5">
        <v>4200</v>
      </c>
      <c r="U397" s="5">
        <v>96600</v>
      </c>
      <c r="V397" s="4">
        <v>107.85599999999999</v>
      </c>
      <c r="W397" s="4">
        <v>0</v>
      </c>
      <c r="X397" s="4">
        <v>0</v>
      </c>
      <c r="Y397" s="4">
        <v>0</v>
      </c>
      <c r="Z397" s="4">
        <v>2.5</v>
      </c>
      <c r="AA397" s="4">
        <v>2.3179053552885329E-2</v>
      </c>
      <c r="AB397" s="4">
        <v>43.7</v>
      </c>
      <c r="AC397" s="4">
        <v>7.793166666666667</v>
      </c>
      <c r="AD397" s="4">
        <v>42</v>
      </c>
      <c r="AE397" s="8"/>
      <c r="AF397" s="8"/>
      <c r="AG397" s="8"/>
      <c r="AH397" s="8"/>
      <c r="AI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4.206833333333333</v>
      </c>
      <c r="AJ397" s="8"/>
      <c r="AK397" s="4" t="s">
        <v>51</v>
      </c>
      <c r="AN397">
        <f>IFERROR(INT(Table13[[#This Row],[reject_prod]]/Table13[[#This Row],[part_weight]] * 1000), 0)</f>
        <v>89</v>
      </c>
    </row>
    <row r="398" spans="1:40" hidden="1">
      <c r="A398" s="1">
        <v>46035</v>
      </c>
      <c r="B398">
        <v>2</v>
      </c>
      <c r="C398">
        <v>1</v>
      </c>
      <c r="D398" t="s">
        <v>59</v>
      </c>
      <c r="E398" t="s">
        <v>34</v>
      </c>
      <c r="F398">
        <v>365091</v>
      </c>
      <c r="G398" s="6">
        <v>0</v>
      </c>
      <c r="H398" t="s">
        <v>189</v>
      </c>
      <c r="I398">
        <v>10682753</v>
      </c>
      <c r="J398">
        <v>4</v>
      </c>
      <c r="K398">
        <v>44</v>
      </c>
      <c r="L398">
        <v>44</v>
      </c>
      <c r="M398">
        <v>1680</v>
      </c>
      <c r="N398" s="2">
        <v>66885</v>
      </c>
      <c r="O398" s="2">
        <v>945</v>
      </c>
      <c r="P398" s="2">
        <v>105</v>
      </c>
      <c r="Q398" s="2">
        <v>6720</v>
      </c>
      <c r="R398" s="2">
        <v>7560</v>
      </c>
      <c r="S398">
        <v>332.64</v>
      </c>
      <c r="T398" s="2">
        <v>54285</v>
      </c>
      <c r="U398" s="2">
        <v>12600</v>
      </c>
      <c r="V398">
        <v>295.68</v>
      </c>
      <c r="W398">
        <v>0</v>
      </c>
      <c r="X398">
        <v>0</v>
      </c>
      <c r="Y398">
        <v>0</v>
      </c>
      <c r="Z398">
        <v>2.6</v>
      </c>
      <c r="AA398">
        <v>8.7932900432900439E-3</v>
      </c>
      <c r="AB398">
        <v>25.8</v>
      </c>
      <c r="AC398">
        <v>12</v>
      </c>
      <c r="AD398">
        <v>28.64</v>
      </c>
      <c r="AE398" s="7"/>
      <c r="AF398" s="7"/>
      <c r="AG398" s="7"/>
      <c r="AH398" s="7"/>
      <c r="AI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8" s="7"/>
      <c r="AK398" t="s">
        <v>214</v>
      </c>
      <c r="AN398">
        <f>IFERROR(INT(Table13[[#This Row],[reject_prod]]/Table13[[#This Row],[part_weight]] * 1000), 0)</f>
        <v>59</v>
      </c>
    </row>
    <row r="399" spans="1:40" hidden="1">
      <c r="A399" s="1">
        <v>46035</v>
      </c>
      <c r="B399">
        <v>2</v>
      </c>
      <c r="C399">
        <v>2</v>
      </c>
      <c r="D399" t="s">
        <v>124</v>
      </c>
      <c r="E399" t="s">
        <v>34</v>
      </c>
      <c r="F399">
        <v>463202</v>
      </c>
      <c r="G399" s="6">
        <v>0</v>
      </c>
      <c r="H399" t="s">
        <v>320</v>
      </c>
      <c r="I399">
        <v>10684540</v>
      </c>
      <c r="J399">
        <v>4</v>
      </c>
      <c r="K399">
        <v>23</v>
      </c>
      <c r="L399">
        <v>23</v>
      </c>
      <c r="M399">
        <v>830</v>
      </c>
      <c r="N399" s="2">
        <v>40920</v>
      </c>
      <c r="O399" s="2">
        <v>0</v>
      </c>
      <c r="P399" s="2">
        <v>3255</v>
      </c>
      <c r="Q399" s="2">
        <v>3320</v>
      </c>
      <c r="R399" s="2">
        <v>0</v>
      </c>
      <c r="S399">
        <v>0</v>
      </c>
      <c r="T399" s="2">
        <v>3255</v>
      </c>
      <c r="U399" s="2">
        <v>37665</v>
      </c>
      <c r="V399">
        <v>76.36</v>
      </c>
      <c r="W399">
        <v>0</v>
      </c>
      <c r="X399">
        <v>8.1999999999999993</v>
      </c>
      <c r="Y399">
        <v>0.107386066003143</v>
      </c>
      <c r="Z399">
        <v>0</v>
      </c>
      <c r="AA399">
        <v>0</v>
      </c>
      <c r="AB399">
        <v>23.27</v>
      </c>
      <c r="AC399">
        <v>5.3650277777777777</v>
      </c>
      <c r="AD399">
        <v>22.92</v>
      </c>
      <c r="AE399" s="7"/>
      <c r="AF399" s="7"/>
      <c r="AG399" s="7"/>
      <c r="AH399" s="7"/>
      <c r="AI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6.6349722222222223</v>
      </c>
      <c r="AJ399" s="7"/>
      <c r="AK399" t="s">
        <v>321</v>
      </c>
      <c r="AN399">
        <f>IFERROR(INT(Table13[[#This Row],[reject_prod]]/Table13[[#This Row],[part_weight]] * 1000), 0)</f>
        <v>0</v>
      </c>
    </row>
    <row r="400" spans="1:40" hidden="1">
      <c r="A400" s="1">
        <v>46035</v>
      </c>
      <c r="B400">
        <v>2</v>
      </c>
      <c r="C400">
        <v>3</v>
      </c>
      <c r="D400" t="s">
        <v>307</v>
      </c>
      <c r="E400" t="s">
        <v>34</v>
      </c>
      <c r="F400">
        <v>442034</v>
      </c>
      <c r="G400" s="6">
        <v>0</v>
      </c>
      <c r="H400" t="s">
        <v>37</v>
      </c>
      <c r="I400">
        <v>10681183</v>
      </c>
      <c r="J400">
        <v>4</v>
      </c>
      <c r="K400">
        <v>23</v>
      </c>
      <c r="L400">
        <v>23</v>
      </c>
      <c r="M400">
        <v>1632</v>
      </c>
      <c r="N400" s="2">
        <v>139776</v>
      </c>
      <c r="O400" s="2">
        <v>3840</v>
      </c>
      <c r="P400" s="2">
        <v>1152</v>
      </c>
      <c r="Q400" s="2">
        <v>6528</v>
      </c>
      <c r="R400" s="2">
        <v>9216</v>
      </c>
      <c r="S400">
        <v>211.96799999999999</v>
      </c>
      <c r="T400" s="2">
        <v>97920</v>
      </c>
      <c r="U400" s="2">
        <v>41856</v>
      </c>
      <c r="V400">
        <v>150.14400000000001</v>
      </c>
      <c r="W400">
        <v>0</v>
      </c>
      <c r="X400">
        <v>0</v>
      </c>
      <c r="Y400">
        <v>0</v>
      </c>
      <c r="Z400">
        <v>6.3</v>
      </c>
      <c r="AA400">
        <v>4.1959718670076723E-2</v>
      </c>
      <c r="AB400">
        <v>26.55</v>
      </c>
      <c r="AC400">
        <v>12</v>
      </c>
      <c r="AD400">
        <v>22</v>
      </c>
      <c r="AE400" s="7"/>
      <c r="AF400" s="7"/>
      <c r="AG400" s="7"/>
      <c r="AH400" s="7"/>
      <c r="AI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0" s="7"/>
      <c r="AK400" t="s">
        <v>75</v>
      </c>
      <c r="AN400">
        <f>IFERROR(INT(Table13[[#This Row],[reject_prod]]/Table13[[#This Row],[part_weight]] * 1000), 0)</f>
        <v>273</v>
      </c>
    </row>
    <row r="401" spans="1:40" hidden="1">
      <c r="A401" s="1">
        <v>46035</v>
      </c>
      <c r="B401">
        <v>2</v>
      </c>
      <c r="C401">
        <v>4</v>
      </c>
      <c r="F401">
        <v>123456</v>
      </c>
      <c r="G401" s="6">
        <v>0</v>
      </c>
      <c r="M401">
        <v>0</v>
      </c>
      <c r="N401">
        <v>0</v>
      </c>
      <c r="O401">
        <v>0</v>
      </c>
      <c r="P401">
        <v>0</v>
      </c>
      <c r="R401">
        <v>0</v>
      </c>
      <c r="T401">
        <v>0</v>
      </c>
      <c r="X401">
        <v>0</v>
      </c>
      <c r="Z401">
        <v>0</v>
      </c>
      <c r="AB401">
        <v>0</v>
      </c>
      <c r="AC401">
        <v>0</v>
      </c>
      <c r="AD401">
        <v>22.5</v>
      </c>
      <c r="AE401" s="7"/>
      <c r="AF401" s="7"/>
      <c r="AG401" s="7"/>
      <c r="AH401" s="7"/>
      <c r="AI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" s="7">
        <v>12</v>
      </c>
      <c r="AK401" t="s">
        <v>116</v>
      </c>
      <c r="AN401">
        <f>IFERROR(INT(Table13[[#This Row],[reject_prod]]/Table13[[#This Row],[part_weight]] * 1000), 0)</f>
        <v>0</v>
      </c>
    </row>
    <row r="402" spans="1:40" hidden="1">
      <c r="A402" s="1">
        <v>46035</v>
      </c>
      <c r="B402">
        <v>2</v>
      </c>
      <c r="C402">
        <v>5</v>
      </c>
      <c r="D402" t="s">
        <v>56</v>
      </c>
      <c r="E402" t="s">
        <v>34</v>
      </c>
      <c r="F402">
        <v>597507</v>
      </c>
      <c r="G402" s="6">
        <v>0</v>
      </c>
      <c r="H402" t="s">
        <v>279</v>
      </c>
      <c r="I402">
        <v>10682757</v>
      </c>
      <c r="J402">
        <v>4</v>
      </c>
      <c r="K402">
        <v>23</v>
      </c>
      <c r="L402">
        <v>23</v>
      </c>
      <c r="M402">
        <v>1865</v>
      </c>
      <c r="N402" s="2">
        <v>64680</v>
      </c>
      <c r="O402" s="2">
        <v>462</v>
      </c>
      <c r="P402" s="2">
        <v>308</v>
      </c>
      <c r="Q402" s="2">
        <v>7460</v>
      </c>
      <c r="R402" s="2">
        <v>7546</v>
      </c>
      <c r="S402">
        <v>173.55799999999999</v>
      </c>
      <c r="T402" s="2">
        <v>12166</v>
      </c>
      <c r="U402" s="2">
        <v>52514</v>
      </c>
      <c r="V402">
        <v>171.58</v>
      </c>
      <c r="W402">
        <v>0</v>
      </c>
      <c r="X402">
        <v>0</v>
      </c>
      <c r="Y402">
        <v>0</v>
      </c>
      <c r="Z402">
        <v>5.3</v>
      </c>
      <c r="AA402">
        <v>3.0889381046742041E-2</v>
      </c>
      <c r="AB402">
        <v>22.16</v>
      </c>
      <c r="AC402">
        <v>11.48011111111111</v>
      </c>
      <c r="AD402">
        <v>22</v>
      </c>
      <c r="AE402" s="7"/>
      <c r="AF402" s="7"/>
      <c r="AG402" s="7"/>
      <c r="AH402" s="7"/>
      <c r="AI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0.51988888888888951</v>
      </c>
      <c r="AJ402" s="7"/>
      <c r="AK402" t="s">
        <v>322</v>
      </c>
      <c r="AN402">
        <f>IFERROR(INT(Table13[[#This Row],[reject_prod]]/Table13[[#This Row],[part_weight]] * 1000), 0)</f>
        <v>230</v>
      </c>
    </row>
    <row r="403" spans="1:40" hidden="1">
      <c r="A403" s="1">
        <v>46035</v>
      </c>
      <c r="B403">
        <v>2</v>
      </c>
      <c r="C403">
        <v>6</v>
      </c>
      <c r="D403" t="s">
        <v>308</v>
      </c>
      <c r="E403" t="s">
        <v>34</v>
      </c>
      <c r="F403">
        <v>532981</v>
      </c>
      <c r="G403" s="6">
        <v>0</v>
      </c>
      <c r="H403" t="s">
        <v>233</v>
      </c>
      <c r="I403">
        <v>10682758</v>
      </c>
      <c r="J403">
        <v>4</v>
      </c>
      <c r="K403">
        <v>24.45</v>
      </c>
      <c r="L403">
        <v>24</v>
      </c>
      <c r="M403">
        <v>1940</v>
      </c>
      <c r="N403" s="2">
        <v>87552</v>
      </c>
      <c r="O403" s="2">
        <v>3648</v>
      </c>
      <c r="P403" s="2">
        <v>456</v>
      </c>
      <c r="Q403" s="2">
        <v>7760</v>
      </c>
      <c r="R403" s="2">
        <v>10944</v>
      </c>
      <c r="S403">
        <v>262.65600000000001</v>
      </c>
      <c r="T403" s="2">
        <v>71592</v>
      </c>
      <c r="U403" s="2">
        <v>15960</v>
      </c>
      <c r="V403">
        <v>186.24</v>
      </c>
      <c r="W403">
        <v>0</v>
      </c>
      <c r="X403">
        <v>0</v>
      </c>
      <c r="Y403">
        <v>0</v>
      </c>
      <c r="Z403">
        <v>1.2</v>
      </c>
      <c r="AA403">
        <v>6.4432989690721646E-3</v>
      </c>
      <c r="AB403">
        <v>21.87</v>
      </c>
      <c r="AC403">
        <v>11.785500000000001</v>
      </c>
      <c r="AD403">
        <v>20</v>
      </c>
      <c r="AE403" s="7"/>
      <c r="AF403" s="7"/>
      <c r="AG403" s="7"/>
      <c r="AH403" s="7"/>
      <c r="AI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0.21449999999999925</v>
      </c>
      <c r="AJ403" s="7"/>
      <c r="AK403" t="s">
        <v>103</v>
      </c>
      <c r="AN403">
        <f>IFERROR(INT(Table13[[#This Row],[reject_prod]]/Table13[[#This Row],[part_weight]] * 1000), 0)</f>
        <v>50</v>
      </c>
    </row>
    <row r="404" spans="1:40" hidden="1">
      <c r="A404" s="1">
        <v>46035</v>
      </c>
      <c r="B404">
        <v>2</v>
      </c>
      <c r="C404">
        <v>7</v>
      </c>
      <c r="D404" t="s">
        <v>53</v>
      </c>
      <c r="E404" t="s">
        <v>34</v>
      </c>
      <c r="F404">
        <v>324177</v>
      </c>
      <c r="G404" s="6">
        <v>0</v>
      </c>
      <c r="H404" t="s">
        <v>246</v>
      </c>
      <c r="I404">
        <v>10682801</v>
      </c>
      <c r="J404">
        <v>4</v>
      </c>
      <c r="K404">
        <v>34.5</v>
      </c>
      <c r="L404">
        <v>34.5</v>
      </c>
      <c r="M404">
        <v>1760</v>
      </c>
      <c r="N404" s="2">
        <v>62400</v>
      </c>
      <c r="O404" s="2">
        <v>312</v>
      </c>
      <c r="P404" s="2">
        <v>1092</v>
      </c>
      <c r="Q404" s="2">
        <v>7040</v>
      </c>
      <c r="R404" s="2">
        <v>6240</v>
      </c>
      <c r="S404">
        <v>215.28</v>
      </c>
      <c r="T404" s="2">
        <v>30732</v>
      </c>
      <c r="U404" s="2">
        <v>31668</v>
      </c>
      <c r="V404">
        <v>242.88</v>
      </c>
      <c r="W404">
        <v>0</v>
      </c>
      <c r="X404">
        <v>0</v>
      </c>
      <c r="Y404">
        <v>0</v>
      </c>
      <c r="Z404">
        <v>6</v>
      </c>
      <c r="AA404">
        <v>2.4703557312252964E-2</v>
      </c>
      <c r="AB404">
        <v>22.24</v>
      </c>
      <c r="AC404">
        <v>10.872888888888889</v>
      </c>
      <c r="AD404">
        <v>22</v>
      </c>
      <c r="AE404" s="7"/>
      <c r="AF404" s="7"/>
      <c r="AG404" s="7"/>
      <c r="AH404" s="7"/>
      <c r="AI4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1.1271111111111107</v>
      </c>
      <c r="AJ404" s="7"/>
      <c r="AK404" t="s">
        <v>323</v>
      </c>
      <c r="AN404">
        <f>IFERROR(INT(Table13[[#This Row],[reject_prod]]/Table13[[#This Row],[part_weight]] * 1000), 0)</f>
        <v>173</v>
      </c>
    </row>
    <row r="405" spans="1:40" hidden="1">
      <c r="A405" s="1">
        <v>46035</v>
      </c>
      <c r="B405">
        <v>2</v>
      </c>
      <c r="C405">
        <v>8</v>
      </c>
      <c r="D405" t="s">
        <v>33</v>
      </c>
      <c r="E405" t="s">
        <v>41</v>
      </c>
      <c r="F405">
        <v>593537</v>
      </c>
      <c r="G405" s="6">
        <v>0</v>
      </c>
      <c r="H405" t="s">
        <v>48</v>
      </c>
      <c r="I405">
        <v>10682926</v>
      </c>
      <c r="J405">
        <v>4</v>
      </c>
      <c r="K405">
        <v>56.5</v>
      </c>
      <c r="L405">
        <v>56.8</v>
      </c>
      <c r="M405">
        <v>0</v>
      </c>
      <c r="N405" s="2">
        <v>69000</v>
      </c>
      <c r="O405" s="2">
        <v>0</v>
      </c>
      <c r="P405" s="2">
        <v>0</v>
      </c>
      <c r="Q405" s="2">
        <v>0</v>
      </c>
      <c r="R405" s="2">
        <v>0</v>
      </c>
      <c r="S405">
        <v>0</v>
      </c>
      <c r="T405" s="2">
        <v>24725</v>
      </c>
      <c r="U405" s="2">
        <v>44275</v>
      </c>
      <c r="V405">
        <v>0</v>
      </c>
      <c r="W405">
        <v>0</v>
      </c>
      <c r="X405">
        <v>0</v>
      </c>
      <c r="Y405" t="e">
        <v>#DIV/0!</v>
      </c>
      <c r="Z405">
        <v>0</v>
      </c>
      <c r="AA405" t="e">
        <v>#DIV/0!</v>
      </c>
      <c r="AB405">
        <v>27.31</v>
      </c>
      <c r="AC405">
        <v>0</v>
      </c>
      <c r="AD405">
        <v>28.5</v>
      </c>
      <c r="AE405" s="7">
        <v>5.5</v>
      </c>
      <c r="AF405" s="7"/>
      <c r="AG405" s="7"/>
      <c r="AH405" s="7"/>
      <c r="AI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05" s="7"/>
      <c r="AK405" t="s">
        <v>161</v>
      </c>
      <c r="AN405">
        <f>IFERROR(INT(Table13[[#This Row],[reject_prod]]/Table13[[#This Row],[part_weight]] * 1000), 0)</f>
        <v>0</v>
      </c>
    </row>
    <row r="406" spans="1:40" hidden="1">
      <c r="A406" s="1">
        <v>46035</v>
      </c>
      <c r="B406">
        <v>2</v>
      </c>
      <c r="C406">
        <v>9</v>
      </c>
      <c r="D406" t="s">
        <v>54</v>
      </c>
      <c r="E406" t="s">
        <v>46</v>
      </c>
      <c r="F406">
        <v>586276</v>
      </c>
      <c r="G406" s="6">
        <v>0</v>
      </c>
      <c r="H406" t="s">
        <v>47</v>
      </c>
      <c r="I406">
        <v>10682924</v>
      </c>
      <c r="J406">
        <v>6</v>
      </c>
      <c r="K406">
        <v>12.3</v>
      </c>
      <c r="L406">
        <v>12.3</v>
      </c>
      <c r="M406">
        <v>1300</v>
      </c>
      <c r="N406" s="2">
        <v>162000</v>
      </c>
      <c r="O406" s="2">
        <v>4860</v>
      </c>
      <c r="P406" s="2">
        <v>4455</v>
      </c>
      <c r="Q406" s="2">
        <v>7800</v>
      </c>
      <c r="R406" s="2">
        <v>8100</v>
      </c>
      <c r="S406">
        <v>99.63</v>
      </c>
      <c r="T406" s="2">
        <v>77355</v>
      </c>
      <c r="U406" s="2">
        <v>84645</v>
      </c>
      <c r="V406">
        <v>95.94</v>
      </c>
      <c r="W406">
        <v>0</v>
      </c>
      <c r="X406">
        <v>1.8</v>
      </c>
      <c r="Y406">
        <v>1.8761726078799251E-2</v>
      </c>
      <c r="Z406">
        <v>0</v>
      </c>
      <c r="AA406">
        <v>0</v>
      </c>
      <c r="AB406">
        <v>26.2</v>
      </c>
      <c r="AC406">
        <v>9.4611111111111121</v>
      </c>
      <c r="AD406">
        <v>26</v>
      </c>
      <c r="AE406" s="7"/>
      <c r="AF406" s="7"/>
      <c r="AG406" s="7"/>
      <c r="AH406" s="7"/>
      <c r="AI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2.5388888888888879</v>
      </c>
      <c r="AJ406" s="7"/>
      <c r="AK406" t="s">
        <v>324</v>
      </c>
      <c r="AN406">
        <f>IFERROR(INT(Table13[[#This Row],[reject_prod]]/Table13[[#This Row],[part_weight]] * 1000), 0)</f>
        <v>0</v>
      </c>
    </row>
    <row r="407" spans="1:40" hidden="1">
      <c r="A407" s="1">
        <v>46035</v>
      </c>
      <c r="B407">
        <v>2</v>
      </c>
      <c r="C407">
        <v>10</v>
      </c>
      <c r="D407" t="s">
        <v>33</v>
      </c>
      <c r="E407" t="s">
        <v>34</v>
      </c>
      <c r="F407">
        <v>442310</v>
      </c>
      <c r="G407" s="6">
        <v>0</v>
      </c>
      <c r="H407" t="s">
        <v>315</v>
      </c>
      <c r="I407">
        <v>10684380</v>
      </c>
      <c r="J407">
        <v>4</v>
      </c>
      <c r="K407">
        <v>68.8</v>
      </c>
      <c r="L407">
        <v>68.8</v>
      </c>
      <c r="M407">
        <v>0</v>
      </c>
      <c r="N407" s="2">
        <v>8008</v>
      </c>
      <c r="O407" s="2">
        <v>0</v>
      </c>
      <c r="P407" s="2">
        <v>0</v>
      </c>
      <c r="Q407" s="2">
        <v>0</v>
      </c>
      <c r="R407" s="2">
        <v>0</v>
      </c>
      <c r="S407">
        <v>0</v>
      </c>
      <c r="T407" s="2">
        <v>0</v>
      </c>
      <c r="U407" s="2">
        <v>8008</v>
      </c>
      <c r="V407">
        <v>0</v>
      </c>
      <c r="W407">
        <v>0</v>
      </c>
      <c r="X407">
        <v>27.3</v>
      </c>
      <c r="Y407" t="e">
        <v>#DIV/0!</v>
      </c>
      <c r="Z407">
        <v>0</v>
      </c>
      <c r="AA407" t="e">
        <v>#DIV/0!</v>
      </c>
      <c r="AB407">
        <v>31.7</v>
      </c>
      <c r="AC407">
        <v>0</v>
      </c>
      <c r="AD407">
        <v>33.840000000000003</v>
      </c>
      <c r="AE407" s="7">
        <v>5.5</v>
      </c>
      <c r="AF407" s="7"/>
      <c r="AG407" s="7"/>
      <c r="AH407" s="7"/>
      <c r="AI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07" s="7"/>
      <c r="AK407" t="s">
        <v>325</v>
      </c>
      <c r="AN407">
        <f>IFERROR(INT(Table13[[#This Row],[reject_prod]]/Table13[[#This Row],[part_weight]] * 1000), 0)</f>
        <v>0</v>
      </c>
    </row>
    <row r="408" spans="1:40" hidden="1">
      <c r="A408" s="1">
        <v>46035</v>
      </c>
      <c r="B408">
        <v>2</v>
      </c>
      <c r="C408">
        <v>11</v>
      </c>
      <c r="D408" t="s">
        <v>139</v>
      </c>
      <c r="E408" t="s">
        <v>46</v>
      </c>
      <c r="F408">
        <v>552181</v>
      </c>
      <c r="G408" s="6">
        <v>1</v>
      </c>
      <c r="H408" t="s">
        <v>49</v>
      </c>
      <c r="I408">
        <v>10683782</v>
      </c>
      <c r="J408">
        <v>6</v>
      </c>
      <c r="K408">
        <v>18.8</v>
      </c>
      <c r="L408">
        <v>18.8</v>
      </c>
      <c r="M408">
        <v>1540</v>
      </c>
      <c r="N408" s="2">
        <v>108000</v>
      </c>
      <c r="O408" s="2">
        <v>0</v>
      </c>
      <c r="P408" s="2">
        <v>3780</v>
      </c>
      <c r="Q408" s="2">
        <v>9240</v>
      </c>
      <c r="R408" s="2">
        <v>5400</v>
      </c>
      <c r="S408">
        <v>101.52</v>
      </c>
      <c r="T408" s="2">
        <v>25380</v>
      </c>
      <c r="U408" s="2">
        <v>82620</v>
      </c>
      <c r="V408">
        <v>173.71199999999999</v>
      </c>
      <c r="W408">
        <v>0</v>
      </c>
      <c r="X408">
        <v>0</v>
      </c>
      <c r="Y408">
        <v>0</v>
      </c>
      <c r="Z408">
        <v>1.2</v>
      </c>
      <c r="AA408">
        <v>6.9079856313898867E-3</v>
      </c>
      <c r="AB408">
        <v>27.6</v>
      </c>
      <c r="AC408">
        <v>11.806666666666667</v>
      </c>
      <c r="AD408">
        <v>27</v>
      </c>
      <c r="AE408" s="7"/>
      <c r="AF408" s="7"/>
      <c r="AG408" s="7"/>
      <c r="AH408" s="7"/>
      <c r="AI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0.19333333333333336</v>
      </c>
      <c r="AJ408" s="7"/>
      <c r="AK408" t="s">
        <v>51</v>
      </c>
      <c r="AN408">
        <f>IFERROR(INT(Table13[[#This Row],[reject_prod]]/Table13[[#This Row],[part_weight]] * 1000), 0)</f>
        <v>63</v>
      </c>
    </row>
    <row r="409" spans="1:40" hidden="1">
      <c r="A409" s="1">
        <v>46035</v>
      </c>
      <c r="B409">
        <v>2</v>
      </c>
      <c r="C409">
        <v>12</v>
      </c>
      <c r="D409" t="s">
        <v>84</v>
      </c>
      <c r="E409" t="s">
        <v>34</v>
      </c>
      <c r="F409">
        <v>620599</v>
      </c>
      <c r="G409" s="6">
        <v>0</v>
      </c>
      <c r="H409" t="s">
        <v>50</v>
      </c>
      <c r="I409">
        <v>10682929</v>
      </c>
      <c r="J409">
        <v>4</v>
      </c>
      <c r="K409">
        <v>55</v>
      </c>
      <c r="L409">
        <v>55</v>
      </c>
      <c r="M409">
        <v>1480</v>
      </c>
      <c r="N409" s="2">
        <v>72000</v>
      </c>
      <c r="O409" s="2">
        <v>675</v>
      </c>
      <c r="P409" s="2">
        <v>1125</v>
      </c>
      <c r="Q409" s="2">
        <v>5920</v>
      </c>
      <c r="R409" s="2">
        <v>5400</v>
      </c>
      <c r="S409">
        <v>297</v>
      </c>
      <c r="T409" s="2">
        <v>20025</v>
      </c>
      <c r="U409" s="2">
        <v>51975</v>
      </c>
      <c r="V409">
        <v>325.60000000000002</v>
      </c>
      <c r="W409">
        <v>0</v>
      </c>
      <c r="X409">
        <v>0</v>
      </c>
      <c r="Y409">
        <v>0</v>
      </c>
      <c r="Z409">
        <v>9.3000000000000007</v>
      </c>
      <c r="AA409">
        <v>2.8562653562653563E-2</v>
      </c>
      <c r="AB409">
        <v>28</v>
      </c>
      <c r="AC409">
        <v>11.511111111111111</v>
      </c>
      <c r="AD409">
        <v>28</v>
      </c>
      <c r="AE409" s="7"/>
      <c r="AF409" s="7"/>
      <c r="AG409" s="7"/>
      <c r="AH409" s="7"/>
      <c r="AI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0.48888888888888893</v>
      </c>
      <c r="AJ409" s="7"/>
      <c r="AK409" t="s">
        <v>326</v>
      </c>
      <c r="AN409">
        <f>IFERROR(INT(Table13[[#This Row],[reject_prod]]/Table13[[#This Row],[part_weight]] * 1000), 0)</f>
        <v>169</v>
      </c>
    </row>
    <row r="410" spans="1:40" hidden="1">
      <c r="A410" s="1">
        <v>46035</v>
      </c>
      <c r="B410">
        <v>2</v>
      </c>
      <c r="C410">
        <v>13</v>
      </c>
      <c r="D410" t="s">
        <v>309</v>
      </c>
      <c r="E410" t="s">
        <v>46</v>
      </c>
      <c r="F410">
        <v>586276</v>
      </c>
      <c r="G410" s="6">
        <v>0</v>
      </c>
      <c r="H410" t="s">
        <v>47</v>
      </c>
      <c r="I410">
        <v>10683784</v>
      </c>
      <c r="J410">
        <v>6</v>
      </c>
      <c r="K410">
        <v>12.3</v>
      </c>
      <c r="L410">
        <v>12.3</v>
      </c>
      <c r="M410">
        <v>1620</v>
      </c>
      <c r="N410" s="2">
        <v>162000</v>
      </c>
      <c r="O410" s="2">
        <v>7290</v>
      </c>
      <c r="P410" s="2">
        <v>810</v>
      </c>
      <c r="Q410" s="2">
        <v>9720</v>
      </c>
      <c r="R410" s="2">
        <v>16200</v>
      </c>
      <c r="S410">
        <v>199.26</v>
      </c>
      <c r="T410" s="2">
        <v>25110</v>
      </c>
      <c r="U410" s="2">
        <v>136890</v>
      </c>
      <c r="V410">
        <v>119.556</v>
      </c>
      <c r="W410">
        <v>0</v>
      </c>
      <c r="X410">
        <v>0</v>
      </c>
      <c r="Y410">
        <v>0</v>
      </c>
      <c r="Z410">
        <v>1</v>
      </c>
      <c r="AA410">
        <v>8.3642811736759342E-3</v>
      </c>
      <c r="AB410">
        <v>26.4</v>
      </c>
      <c r="AC410">
        <v>11.879999999999999</v>
      </c>
      <c r="AD410">
        <v>26</v>
      </c>
      <c r="AE410" s="7"/>
      <c r="AF410" s="7"/>
      <c r="AG410" s="7"/>
      <c r="AH410" s="7"/>
      <c r="AI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410" s="7"/>
      <c r="AK410" t="s">
        <v>51</v>
      </c>
      <c r="AN410">
        <f>IFERROR(INT(Table13[[#This Row],[reject_prod]]/Table13[[#This Row],[part_weight]] * 1000), 0)</f>
        <v>81</v>
      </c>
    </row>
    <row r="411" spans="1:40" hidden="1">
      <c r="A411" s="1">
        <v>46035</v>
      </c>
      <c r="B411">
        <v>2</v>
      </c>
      <c r="C411">
        <v>14</v>
      </c>
      <c r="D411" t="s">
        <v>289</v>
      </c>
      <c r="E411" t="s">
        <v>46</v>
      </c>
      <c r="F411">
        <v>555979</v>
      </c>
      <c r="G411" s="6">
        <v>1</v>
      </c>
      <c r="H411" t="s">
        <v>52</v>
      </c>
      <c r="I411">
        <v>10682932</v>
      </c>
      <c r="J411">
        <v>6</v>
      </c>
      <c r="K411">
        <v>28</v>
      </c>
      <c r="L411">
        <v>28</v>
      </c>
      <c r="M411">
        <v>980</v>
      </c>
      <c r="N411" s="2">
        <v>100800</v>
      </c>
      <c r="O411" s="2">
        <v>0</v>
      </c>
      <c r="P411" s="2">
        <v>2520</v>
      </c>
      <c r="Q411" s="2">
        <v>5880</v>
      </c>
      <c r="R411" s="2">
        <v>3360</v>
      </c>
      <c r="S411">
        <v>94.08</v>
      </c>
      <c r="T411" s="2">
        <v>66360</v>
      </c>
      <c r="U411" s="2">
        <v>34440</v>
      </c>
      <c r="V411">
        <v>164.64</v>
      </c>
      <c r="W411">
        <v>0</v>
      </c>
      <c r="X411">
        <v>0</v>
      </c>
      <c r="Y411">
        <v>0</v>
      </c>
      <c r="Z411">
        <v>1</v>
      </c>
      <c r="AA411">
        <v>6.0738581146744415E-3</v>
      </c>
      <c r="AB411">
        <v>44.1</v>
      </c>
      <c r="AC411">
        <v>12</v>
      </c>
      <c r="AD411">
        <v>42</v>
      </c>
      <c r="AE411" s="7"/>
      <c r="AF411" s="7"/>
      <c r="AG411" s="7"/>
      <c r="AH411" s="7"/>
      <c r="AI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11" s="7"/>
      <c r="AK411" t="s">
        <v>51</v>
      </c>
      <c r="AN411">
        <f>IFERROR(INT(Table13[[#This Row],[reject_prod]]/Table13[[#This Row],[part_weight]] * 1000), 0)</f>
        <v>35</v>
      </c>
    </row>
    <row r="412" spans="1:40" hidden="1">
      <c r="A412" s="1">
        <v>46035</v>
      </c>
      <c r="B412">
        <v>2</v>
      </c>
      <c r="C412">
        <v>15</v>
      </c>
      <c r="D412" t="s">
        <v>139</v>
      </c>
      <c r="E412" t="s">
        <v>46</v>
      </c>
      <c r="F412">
        <v>552181</v>
      </c>
      <c r="G412" s="6">
        <v>2</v>
      </c>
      <c r="H412" t="s">
        <v>49</v>
      </c>
      <c r="I412">
        <v>10682934</v>
      </c>
      <c r="J412">
        <v>6</v>
      </c>
      <c r="K412">
        <v>18.8</v>
      </c>
      <c r="L412">
        <v>18.8</v>
      </c>
      <c r="M412">
        <v>1260</v>
      </c>
      <c r="N412" s="2">
        <v>108000</v>
      </c>
      <c r="O412" s="2">
        <v>3240</v>
      </c>
      <c r="P412" s="2">
        <v>0</v>
      </c>
      <c r="Q412" s="2">
        <v>7560</v>
      </c>
      <c r="R412" s="2">
        <v>10800</v>
      </c>
      <c r="S412">
        <v>203.04</v>
      </c>
      <c r="T412" s="2">
        <v>108000</v>
      </c>
      <c r="U412" s="2">
        <v>0</v>
      </c>
      <c r="V412">
        <v>142.12799999999999</v>
      </c>
      <c r="W412">
        <v>0</v>
      </c>
      <c r="X412">
        <v>0</v>
      </c>
      <c r="Y412">
        <v>0</v>
      </c>
      <c r="Z412">
        <v>1.2</v>
      </c>
      <c r="AA412">
        <v>8.443093549476529E-3</v>
      </c>
      <c r="AB412">
        <v>31.3</v>
      </c>
      <c r="AC412">
        <v>10.955</v>
      </c>
      <c r="AD412">
        <v>27</v>
      </c>
      <c r="AE412" s="7"/>
      <c r="AF412" s="7"/>
      <c r="AG412" s="7"/>
      <c r="AH412" s="7"/>
      <c r="AI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1.0449999999999999</v>
      </c>
      <c r="AJ412" s="7"/>
      <c r="AK412" t="s">
        <v>102</v>
      </c>
      <c r="AN412">
        <f>IFERROR(INT(Table13[[#This Row],[reject_prod]]/Table13[[#This Row],[part_weight]] * 1000), 0)</f>
        <v>63</v>
      </c>
    </row>
    <row r="413" spans="1:40" hidden="1">
      <c r="A413" s="1">
        <v>46035</v>
      </c>
      <c r="B413">
        <v>2</v>
      </c>
      <c r="C413">
        <v>15</v>
      </c>
      <c r="D413" t="s">
        <v>139</v>
      </c>
      <c r="E413" t="s">
        <v>46</v>
      </c>
      <c r="F413">
        <v>552181</v>
      </c>
      <c r="G413" s="6">
        <v>2</v>
      </c>
      <c r="H413" t="s">
        <v>49</v>
      </c>
      <c r="I413">
        <v>10683786</v>
      </c>
      <c r="J413">
        <v>6</v>
      </c>
      <c r="K413">
        <v>18.8</v>
      </c>
      <c r="L413">
        <v>18.8</v>
      </c>
      <c r="M413">
        <v>135</v>
      </c>
      <c r="N413" s="2">
        <v>108000</v>
      </c>
      <c r="O413" s="2">
        <v>0</v>
      </c>
      <c r="P413" s="2">
        <v>810</v>
      </c>
      <c r="Q413" s="2">
        <v>810</v>
      </c>
      <c r="R413" s="2">
        <v>0</v>
      </c>
      <c r="S413">
        <v>0</v>
      </c>
      <c r="T413" s="2">
        <v>810</v>
      </c>
      <c r="U413" s="2">
        <v>107190</v>
      </c>
      <c r="V413">
        <v>15.228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31.3</v>
      </c>
      <c r="AC413">
        <v>1.1737499999999998</v>
      </c>
      <c r="AD413">
        <v>27</v>
      </c>
      <c r="AE413" s="7"/>
      <c r="AF413" s="7"/>
      <c r="AG413" s="7"/>
      <c r="AH413" s="7"/>
      <c r="AI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10.82625</v>
      </c>
      <c r="AJ413" s="7"/>
      <c r="AK413" t="s">
        <v>51</v>
      </c>
      <c r="AN413">
        <f>IFERROR(INT(Table13[[#This Row],[reject_prod]]/Table13[[#This Row],[part_weight]] * 1000), 0)</f>
        <v>0</v>
      </c>
    </row>
    <row r="414" spans="1:40" s="4" customFormat="1" hidden="1">
      <c r="A414" s="3">
        <v>46035</v>
      </c>
      <c r="B414" s="4">
        <v>2</v>
      </c>
      <c r="C414" s="4">
        <v>16</v>
      </c>
      <c r="D414" s="4" t="s">
        <v>208</v>
      </c>
      <c r="E414" s="4" t="s">
        <v>46</v>
      </c>
      <c r="F414" s="4">
        <v>555979</v>
      </c>
      <c r="G414" s="9">
        <v>2</v>
      </c>
      <c r="H414" s="4" t="s">
        <v>52</v>
      </c>
      <c r="I414" s="4">
        <v>10683788</v>
      </c>
      <c r="J414" s="4">
        <v>6</v>
      </c>
      <c r="K414" s="4">
        <v>28</v>
      </c>
      <c r="L414" s="4">
        <v>28</v>
      </c>
      <c r="M414" s="4">
        <v>790</v>
      </c>
      <c r="N414" s="5">
        <v>100800</v>
      </c>
      <c r="O414" s="5">
        <v>840</v>
      </c>
      <c r="P414" s="5">
        <v>1680</v>
      </c>
      <c r="Q414" s="5">
        <v>4740</v>
      </c>
      <c r="R414" s="5">
        <v>3360</v>
      </c>
      <c r="S414" s="4">
        <v>94.08</v>
      </c>
      <c r="T414" s="5">
        <v>8400</v>
      </c>
      <c r="U414" s="5">
        <v>92400</v>
      </c>
      <c r="V414" s="4">
        <v>132.72</v>
      </c>
      <c r="W414" s="4">
        <v>0</v>
      </c>
      <c r="X414" s="4">
        <v>0</v>
      </c>
      <c r="Y414" s="4">
        <v>0</v>
      </c>
      <c r="Z414" s="4">
        <v>12.5</v>
      </c>
      <c r="AA414" s="4">
        <v>9.418324291742014E-2</v>
      </c>
      <c r="AB414" s="4">
        <v>43.7</v>
      </c>
      <c r="AC414" s="4">
        <v>9.5897222222222229</v>
      </c>
      <c r="AD414" s="4">
        <v>42</v>
      </c>
      <c r="AE414" s="8"/>
      <c r="AF414" s="8"/>
      <c r="AG414" s="8"/>
      <c r="AH414" s="8"/>
      <c r="AI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2.4102777777777771</v>
      </c>
      <c r="AJ414" s="8"/>
      <c r="AK414" s="4" t="s">
        <v>327</v>
      </c>
      <c r="AN414">
        <f>IFERROR(INT(Table13[[#This Row],[reject_prod]]/Table13[[#This Row],[part_weight]] * 1000), 0)</f>
        <v>446</v>
      </c>
    </row>
    <row r="415" spans="1:40" hidden="1">
      <c r="A415" s="1">
        <v>46036</v>
      </c>
      <c r="B415">
        <v>1</v>
      </c>
      <c r="C415">
        <v>1</v>
      </c>
      <c r="D415" t="s">
        <v>141</v>
      </c>
      <c r="E415" t="s">
        <v>34</v>
      </c>
      <c r="F415">
        <v>365091</v>
      </c>
      <c r="G415" s="6">
        <v>0</v>
      </c>
      <c r="H415" t="s">
        <v>189</v>
      </c>
      <c r="I415">
        <v>10682753</v>
      </c>
      <c r="J415">
        <v>4</v>
      </c>
      <c r="K415">
        <v>44</v>
      </c>
      <c r="L415">
        <v>44</v>
      </c>
      <c r="M415">
        <v>1643</v>
      </c>
      <c r="N415" s="2">
        <v>66885</v>
      </c>
      <c r="O415" s="2">
        <v>105</v>
      </c>
      <c r="P415" s="2">
        <v>315</v>
      </c>
      <c r="Q415" s="2">
        <v>6572</v>
      </c>
      <c r="R415" s="2">
        <v>6300</v>
      </c>
      <c r="S415">
        <v>277.2</v>
      </c>
      <c r="T415" s="2">
        <v>60795</v>
      </c>
      <c r="U415" s="2">
        <v>6090</v>
      </c>
      <c r="V415">
        <v>289.16800000000001</v>
      </c>
      <c r="W415">
        <v>0</v>
      </c>
      <c r="X415">
        <v>0</v>
      </c>
      <c r="Y415">
        <v>0</v>
      </c>
      <c r="Z415">
        <v>2.5</v>
      </c>
      <c r="AA415">
        <v>8.6454932772644273E-3</v>
      </c>
      <c r="AB415">
        <v>25.8</v>
      </c>
      <c r="AC415">
        <v>11.774833333333333</v>
      </c>
      <c r="AD415">
        <v>28.64</v>
      </c>
      <c r="AE415" s="7"/>
      <c r="AF415" s="7"/>
      <c r="AG415" s="7"/>
      <c r="AH415" s="7"/>
      <c r="AI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0.22516666666666652</v>
      </c>
      <c r="AJ415" s="7"/>
      <c r="AK415" t="s">
        <v>214</v>
      </c>
      <c r="AN415">
        <f>IFERROR(INT(Table13[[#This Row],[reject_prod]]/Table13[[#This Row],[part_weight]] * 1000), 0)</f>
        <v>56</v>
      </c>
    </row>
    <row r="416" spans="1:40" hidden="1">
      <c r="A416" s="1">
        <v>46036</v>
      </c>
      <c r="B416">
        <v>1</v>
      </c>
      <c r="C416">
        <v>2</v>
      </c>
      <c r="D416" t="s">
        <v>127</v>
      </c>
      <c r="E416" t="s">
        <v>34</v>
      </c>
      <c r="F416">
        <v>463202</v>
      </c>
      <c r="G416" s="6">
        <v>0</v>
      </c>
      <c r="H416" t="s">
        <v>320</v>
      </c>
      <c r="I416">
        <v>10684540</v>
      </c>
      <c r="J416">
        <v>4</v>
      </c>
      <c r="K416">
        <v>23</v>
      </c>
      <c r="L416">
        <v>23</v>
      </c>
      <c r="M416">
        <v>1761</v>
      </c>
      <c r="N416" s="2">
        <v>40920</v>
      </c>
      <c r="O416" s="2">
        <v>3255</v>
      </c>
      <c r="P416" s="2">
        <v>4650</v>
      </c>
      <c r="Q416" s="2">
        <v>7044</v>
      </c>
      <c r="R416" s="2">
        <v>5580</v>
      </c>
      <c r="S416">
        <v>128.34</v>
      </c>
      <c r="T416" s="2">
        <v>10230</v>
      </c>
      <c r="U416" s="2">
        <v>30690</v>
      </c>
      <c r="V416">
        <v>162.012</v>
      </c>
      <c r="W416">
        <v>0</v>
      </c>
      <c r="X416">
        <v>0</v>
      </c>
      <c r="Y416">
        <v>0</v>
      </c>
      <c r="Z416">
        <v>1.5</v>
      </c>
      <c r="AA416">
        <v>9.2585734390045176E-3</v>
      </c>
      <c r="AB416">
        <v>23.3</v>
      </c>
      <c r="AC416">
        <v>11.397583333333333</v>
      </c>
      <c r="AD416">
        <v>22.92</v>
      </c>
      <c r="AE416" s="7"/>
      <c r="AF416" s="7"/>
      <c r="AG416" s="7"/>
      <c r="AH416" s="7"/>
      <c r="AI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0.6024166666666666</v>
      </c>
      <c r="AJ416" s="7"/>
      <c r="AK416" t="s">
        <v>214</v>
      </c>
      <c r="AL416">
        <v>8</v>
      </c>
      <c r="AM416">
        <v>6</v>
      </c>
      <c r="AN416">
        <f>IFERROR(INT(Table13[[#This Row],[reject_prod]]/Table13[[#This Row],[part_weight]] * 1000), 0)</f>
        <v>65</v>
      </c>
    </row>
    <row r="417" spans="1:40" hidden="1">
      <c r="A417" s="1">
        <v>46036</v>
      </c>
      <c r="B417">
        <v>1</v>
      </c>
      <c r="C417">
        <v>3</v>
      </c>
      <c r="D417" t="s">
        <v>112</v>
      </c>
      <c r="E417" t="s">
        <v>34</v>
      </c>
      <c r="F417">
        <v>442034</v>
      </c>
      <c r="G417" s="6">
        <v>0</v>
      </c>
      <c r="H417" t="s">
        <v>37</v>
      </c>
      <c r="I417">
        <v>10681183</v>
      </c>
      <c r="J417">
        <v>4</v>
      </c>
      <c r="K417">
        <v>23</v>
      </c>
      <c r="L417">
        <v>23</v>
      </c>
      <c r="M417">
        <v>1574</v>
      </c>
      <c r="N417" s="2">
        <v>139776</v>
      </c>
      <c r="O417" s="2">
        <v>1152</v>
      </c>
      <c r="P417" s="2">
        <v>2688</v>
      </c>
      <c r="Q417" s="2">
        <v>6296</v>
      </c>
      <c r="R417" s="2">
        <v>4608</v>
      </c>
      <c r="S417">
        <v>105.98399999999999</v>
      </c>
      <c r="T417" s="2">
        <v>104064</v>
      </c>
      <c r="U417" s="2">
        <v>35712</v>
      </c>
      <c r="V417">
        <v>144.80799999999999</v>
      </c>
      <c r="W417">
        <v>0</v>
      </c>
      <c r="X417">
        <v>0</v>
      </c>
      <c r="Y417">
        <v>0</v>
      </c>
      <c r="Z417">
        <v>3.5</v>
      </c>
      <c r="AA417">
        <v>2.4169935362687144E-2</v>
      </c>
      <c r="AB417">
        <v>26.6</v>
      </c>
      <c r="AC417">
        <v>11.630111111111113</v>
      </c>
      <c r="AD417">
        <v>22</v>
      </c>
      <c r="AE417" s="7"/>
      <c r="AF417" s="7"/>
      <c r="AG417" s="7"/>
      <c r="AH417" s="7"/>
      <c r="AI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0.36988888888888738</v>
      </c>
      <c r="AJ417" s="7"/>
      <c r="AK417" t="s">
        <v>75</v>
      </c>
      <c r="AN417">
        <f>IFERROR(INT(Table13[[#This Row],[reject_prod]]/Table13[[#This Row],[part_weight]] * 1000), 0)</f>
        <v>152</v>
      </c>
    </row>
    <row r="418" spans="1:40" hidden="1">
      <c r="A418" s="1">
        <v>46036</v>
      </c>
      <c r="B418">
        <v>1</v>
      </c>
      <c r="C418">
        <v>4</v>
      </c>
      <c r="F418">
        <v>123456</v>
      </c>
      <c r="G418" s="6">
        <v>0</v>
      </c>
      <c r="M418">
        <v>0</v>
      </c>
      <c r="N418">
        <v>0</v>
      </c>
      <c r="O418">
        <v>0</v>
      </c>
      <c r="P418">
        <v>0</v>
      </c>
      <c r="R418">
        <v>0</v>
      </c>
      <c r="T418">
        <v>0</v>
      </c>
      <c r="X418">
        <v>0</v>
      </c>
      <c r="Z418">
        <v>0</v>
      </c>
      <c r="AB418">
        <v>0</v>
      </c>
      <c r="AC418">
        <v>0</v>
      </c>
      <c r="AD418">
        <v>22.5</v>
      </c>
      <c r="AE418" s="7"/>
      <c r="AF418" s="7"/>
      <c r="AG418" s="7"/>
      <c r="AH418" s="7"/>
      <c r="AI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18" s="7">
        <v>12</v>
      </c>
      <c r="AK418" t="s">
        <v>116</v>
      </c>
      <c r="AN418">
        <f>IFERROR(INT(Table13[[#This Row],[reject_prod]]/Table13[[#This Row],[part_weight]] * 1000), 0)</f>
        <v>0</v>
      </c>
    </row>
    <row r="419" spans="1:40" hidden="1">
      <c r="A419" s="1">
        <v>46036</v>
      </c>
      <c r="B419">
        <v>1</v>
      </c>
      <c r="C419">
        <v>5</v>
      </c>
      <c r="D419" t="s">
        <v>67</v>
      </c>
      <c r="E419" t="s">
        <v>34</v>
      </c>
      <c r="F419">
        <v>597507</v>
      </c>
      <c r="G419" s="6">
        <v>0</v>
      </c>
      <c r="H419" t="s">
        <v>279</v>
      </c>
      <c r="I419">
        <v>10682757</v>
      </c>
      <c r="J419">
        <v>4</v>
      </c>
      <c r="K419">
        <v>23</v>
      </c>
      <c r="L419">
        <v>23</v>
      </c>
      <c r="M419">
        <v>1870</v>
      </c>
      <c r="N419" s="2">
        <v>64680</v>
      </c>
      <c r="O419" s="2">
        <v>308</v>
      </c>
      <c r="P419" s="2">
        <v>0</v>
      </c>
      <c r="Q419" s="2">
        <v>7480</v>
      </c>
      <c r="R419" s="2">
        <v>7546</v>
      </c>
      <c r="S419">
        <v>173.55799999999999</v>
      </c>
      <c r="T419" s="2">
        <v>19404</v>
      </c>
      <c r="U419" s="2">
        <v>45276</v>
      </c>
      <c r="V419">
        <v>172.04</v>
      </c>
      <c r="W419">
        <v>0</v>
      </c>
      <c r="X419">
        <v>0</v>
      </c>
      <c r="Y419">
        <v>0</v>
      </c>
      <c r="Z419">
        <v>5.5</v>
      </c>
      <c r="AA419">
        <v>3.1969309462915603E-2</v>
      </c>
      <c r="AB419">
        <v>22.3</v>
      </c>
      <c r="AC419">
        <v>11.583611111111111</v>
      </c>
      <c r="AD419">
        <v>22</v>
      </c>
      <c r="AE419" s="7"/>
      <c r="AF419" s="7"/>
      <c r="AG419" s="7"/>
      <c r="AH419" s="7"/>
      <c r="AI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0.41638888888888914</v>
      </c>
      <c r="AJ419" s="7"/>
      <c r="AK419" t="s">
        <v>334</v>
      </c>
      <c r="AN419">
        <f>IFERROR(INT(Table13[[#This Row],[reject_prod]]/Table13[[#This Row],[part_weight]] * 1000), 0)</f>
        <v>239</v>
      </c>
    </row>
    <row r="420" spans="1:40" hidden="1">
      <c r="A420" s="1">
        <v>46036</v>
      </c>
      <c r="B420">
        <v>1</v>
      </c>
      <c r="C420">
        <v>6</v>
      </c>
      <c r="D420" t="s">
        <v>219</v>
      </c>
      <c r="E420" t="s">
        <v>34</v>
      </c>
      <c r="F420">
        <v>532981</v>
      </c>
      <c r="G420" s="6">
        <v>0</v>
      </c>
      <c r="H420" t="s">
        <v>233</v>
      </c>
      <c r="I420">
        <v>10682758</v>
      </c>
      <c r="J420">
        <v>4</v>
      </c>
      <c r="K420">
        <v>24.45</v>
      </c>
      <c r="L420">
        <v>24</v>
      </c>
      <c r="M420">
        <v>1954</v>
      </c>
      <c r="N420" s="2">
        <v>87552</v>
      </c>
      <c r="O420" s="2">
        <v>456</v>
      </c>
      <c r="P420" s="2">
        <v>2736</v>
      </c>
      <c r="Q420" s="2">
        <v>7816</v>
      </c>
      <c r="R420" s="2">
        <v>5472</v>
      </c>
      <c r="S420">
        <v>131.328</v>
      </c>
      <c r="T420" s="2">
        <v>79344</v>
      </c>
      <c r="U420" s="2">
        <v>8208</v>
      </c>
      <c r="V420">
        <v>187.584</v>
      </c>
      <c r="W420">
        <v>0</v>
      </c>
      <c r="X420">
        <v>0</v>
      </c>
      <c r="Y420">
        <v>0</v>
      </c>
      <c r="Z420">
        <v>1.5</v>
      </c>
      <c r="AA420">
        <v>7.9964176049129986E-3</v>
      </c>
      <c r="AB420">
        <v>21.9</v>
      </c>
      <c r="AC420">
        <v>11.886833333333332</v>
      </c>
      <c r="AD420">
        <v>20</v>
      </c>
      <c r="AE420" s="7"/>
      <c r="AF420" s="7"/>
      <c r="AG420" s="7"/>
      <c r="AH420" s="7"/>
      <c r="AI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0.11316666666666819</v>
      </c>
      <c r="AJ420" s="7"/>
      <c r="AK420" t="s">
        <v>103</v>
      </c>
      <c r="AN420">
        <f>IFERROR(INT(Table13[[#This Row],[reject_prod]]/Table13[[#This Row],[part_weight]] * 1000), 0)</f>
        <v>62</v>
      </c>
    </row>
    <row r="421" spans="1:40" hidden="1">
      <c r="A421" s="1">
        <v>46036</v>
      </c>
      <c r="B421">
        <v>1</v>
      </c>
      <c r="C421">
        <v>7</v>
      </c>
      <c r="D421" t="s">
        <v>40</v>
      </c>
      <c r="E421" t="s">
        <v>34</v>
      </c>
      <c r="F421">
        <v>324177</v>
      </c>
      <c r="G421" s="6">
        <v>0</v>
      </c>
      <c r="H421" t="s">
        <v>246</v>
      </c>
      <c r="I421">
        <v>10682801</v>
      </c>
      <c r="J421">
        <v>4</v>
      </c>
      <c r="K421">
        <v>34.5</v>
      </c>
      <c r="L421">
        <v>34.5</v>
      </c>
      <c r="M421">
        <v>1811</v>
      </c>
      <c r="N421" s="2">
        <v>62400</v>
      </c>
      <c r="O421" s="2">
        <v>1092</v>
      </c>
      <c r="P421" s="2">
        <v>312</v>
      </c>
      <c r="Q421" s="2">
        <v>7244</v>
      </c>
      <c r="R421" s="2">
        <v>7800</v>
      </c>
      <c r="S421">
        <v>269.10000000000002</v>
      </c>
      <c r="T421" s="2">
        <v>37440</v>
      </c>
      <c r="U421" s="2">
        <v>24960</v>
      </c>
      <c r="V421">
        <v>249.91800000000001</v>
      </c>
      <c r="W421">
        <v>0</v>
      </c>
      <c r="X421">
        <v>0</v>
      </c>
      <c r="Y421">
        <v>0</v>
      </c>
      <c r="Z421">
        <v>7.8</v>
      </c>
      <c r="AA421">
        <v>3.1210236957722133E-2</v>
      </c>
      <c r="AB421">
        <v>22.2</v>
      </c>
      <c r="AC421">
        <v>11.167833333333334</v>
      </c>
      <c r="AD421">
        <v>22</v>
      </c>
      <c r="AE421" s="7"/>
      <c r="AF421" s="7"/>
      <c r="AG421" s="7"/>
      <c r="AH421" s="7"/>
      <c r="AI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0.83216666666666583</v>
      </c>
      <c r="AJ421" s="7"/>
      <c r="AK421" t="s">
        <v>335</v>
      </c>
      <c r="AL421">
        <v>3</v>
      </c>
      <c r="AM421">
        <v>2</v>
      </c>
      <c r="AN421">
        <f>IFERROR(INT(Table13[[#This Row],[reject_prod]]/Table13[[#This Row],[part_weight]] * 1000), 0)</f>
        <v>226</v>
      </c>
    </row>
    <row r="422" spans="1:40" hidden="1">
      <c r="A422" s="1">
        <v>46036</v>
      </c>
      <c r="B422">
        <v>1</v>
      </c>
      <c r="C422">
        <v>8</v>
      </c>
      <c r="D422" t="s">
        <v>328</v>
      </c>
      <c r="E422" t="s">
        <v>41</v>
      </c>
      <c r="F422">
        <v>593537</v>
      </c>
      <c r="G422" s="6">
        <v>0</v>
      </c>
      <c r="H422" t="s">
        <v>48</v>
      </c>
      <c r="I422">
        <v>10682926</v>
      </c>
      <c r="J422">
        <v>4</v>
      </c>
      <c r="K422">
        <v>56.5</v>
      </c>
      <c r="L422">
        <v>56.8</v>
      </c>
      <c r="M422">
        <v>672</v>
      </c>
      <c r="N422" s="2">
        <v>69000</v>
      </c>
      <c r="O422" s="2">
        <v>0</v>
      </c>
      <c r="P422" s="2">
        <v>115</v>
      </c>
      <c r="Q422" s="2">
        <v>2688</v>
      </c>
      <c r="R422" s="2">
        <v>2300</v>
      </c>
      <c r="S422">
        <v>130.63999999999999</v>
      </c>
      <c r="T422" s="2">
        <v>27140</v>
      </c>
      <c r="U422" s="2">
        <v>41860</v>
      </c>
      <c r="V422">
        <v>152.67839999999998</v>
      </c>
      <c r="W422">
        <v>0</v>
      </c>
      <c r="X422">
        <v>14</v>
      </c>
      <c r="Y422">
        <v>9.1696009389671373E-2</v>
      </c>
      <c r="Z422">
        <v>1.5</v>
      </c>
      <c r="AA422">
        <v>9.8245724346076469E-3</v>
      </c>
      <c r="AB422">
        <v>31.2</v>
      </c>
      <c r="AC422">
        <v>5.8239999999999998</v>
      </c>
      <c r="AD422">
        <v>28.5</v>
      </c>
      <c r="AE422" s="7"/>
      <c r="AF422" s="7"/>
      <c r="AG422" s="7"/>
      <c r="AH422" s="7"/>
      <c r="AI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6.1760000000000002</v>
      </c>
      <c r="AJ422" s="7"/>
      <c r="AK422" t="s">
        <v>336</v>
      </c>
      <c r="AL422">
        <v>6</v>
      </c>
      <c r="AM422">
        <v>10</v>
      </c>
      <c r="AN422">
        <f>IFERROR(INT(Table13[[#This Row],[reject_prod]]/Table13[[#This Row],[part_weight]] * 1000), 0)</f>
        <v>26</v>
      </c>
    </row>
    <row r="423" spans="1:40" hidden="1">
      <c r="A423" s="1">
        <v>46036</v>
      </c>
      <c r="B423">
        <v>1</v>
      </c>
      <c r="C423">
        <v>9</v>
      </c>
      <c r="D423" t="s">
        <v>65</v>
      </c>
      <c r="E423" t="s">
        <v>46</v>
      </c>
      <c r="F423">
        <v>586276</v>
      </c>
      <c r="G423" s="6">
        <v>0</v>
      </c>
      <c r="H423" t="s">
        <v>47</v>
      </c>
      <c r="I423">
        <v>10682924</v>
      </c>
      <c r="J423">
        <v>6</v>
      </c>
      <c r="K423">
        <v>12.3</v>
      </c>
      <c r="L423">
        <v>12.3</v>
      </c>
      <c r="M423">
        <v>487</v>
      </c>
      <c r="N423" s="2">
        <v>162000</v>
      </c>
      <c r="O423" s="2">
        <v>4455</v>
      </c>
      <c r="P423" s="2">
        <v>7290</v>
      </c>
      <c r="Q423" s="2">
        <v>2922</v>
      </c>
      <c r="R423" s="2">
        <v>0</v>
      </c>
      <c r="S423">
        <v>0</v>
      </c>
      <c r="T423" s="2">
        <v>80190</v>
      </c>
      <c r="U423" s="2">
        <v>81810</v>
      </c>
      <c r="V423">
        <v>35.940599999999996</v>
      </c>
      <c r="W423">
        <v>0</v>
      </c>
      <c r="X423">
        <v>0</v>
      </c>
      <c r="Y423">
        <v>0</v>
      </c>
      <c r="Z423">
        <v>1</v>
      </c>
      <c r="AA423">
        <v>2.7823686861098592E-2</v>
      </c>
      <c r="AB423">
        <v>26.2</v>
      </c>
      <c r="AC423">
        <v>3.5</v>
      </c>
      <c r="AD423">
        <v>26</v>
      </c>
      <c r="AE423" s="7"/>
      <c r="AF423" s="7"/>
      <c r="AG423" s="7"/>
      <c r="AH423" s="7">
        <v>8.5</v>
      </c>
      <c r="AI4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23" s="7"/>
      <c r="AK423" t="s">
        <v>337</v>
      </c>
      <c r="AL423">
        <v>7</v>
      </c>
      <c r="AM423">
        <v>5</v>
      </c>
      <c r="AN423">
        <f>IFERROR(INT(Table13[[#This Row],[reject_prod]]/Table13[[#This Row],[part_weight]] * 1000), 0)</f>
        <v>81</v>
      </c>
    </row>
    <row r="424" spans="1:40" hidden="1">
      <c r="A424" s="1">
        <v>46036</v>
      </c>
      <c r="B424">
        <v>1</v>
      </c>
      <c r="C424">
        <v>10</v>
      </c>
      <c r="E424" t="s">
        <v>34</v>
      </c>
      <c r="F424">
        <v>442310</v>
      </c>
      <c r="G424" s="6">
        <v>0</v>
      </c>
      <c r="H424" t="s">
        <v>315</v>
      </c>
      <c r="I424">
        <v>10684380</v>
      </c>
      <c r="J424">
        <v>4</v>
      </c>
      <c r="K424">
        <v>68.8</v>
      </c>
      <c r="L424">
        <v>68.8</v>
      </c>
      <c r="M424">
        <v>0</v>
      </c>
      <c r="N424" s="2">
        <v>8008</v>
      </c>
      <c r="O424" s="2">
        <v>0</v>
      </c>
      <c r="P424" s="2">
        <v>0</v>
      </c>
      <c r="Q424" s="2">
        <v>0</v>
      </c>
      <c r="R424" s="2">
        <v>0</v>
      </c>
      <c r="S424">
        <v>0</v>
      </c>
      <c r="T424" s="2">
        <v>0</v>
      </c>
      <c r="U424" s="2">
        <v>8008</v>
      </c>
      <c r="V424">
        <v>0</v>
      </c>
      <c r="W424">
        <v>0</v>
      </c>
      <c r="X424">
        <v>36.6</v>
      </c>
      <c r="Y424" t="e">
        <v>#DIV/0!</v>
      </c>
      <c r="Z424">
        <v>0</v>
      </c>
      <c r="AA424" t="e">
        <v>#DIV/0!</v>
      </c>
      <c r="AB424">
        <v>31.7</v>
      </c>
      <c r="AC424">
        <v>0</v>
      </c>
      <c r="AD424">
        <v>33.840000000000003</v>
      </c>
      <c r="AE424" s="7"/>
      <c r="AF424" s="7"/>
      <c r="AG424" s="7"/>
      <c r="AH424" s="7"/>
      <c r="AI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24" s="7"/>
      <c r="AK424" t="s">
        <v>338</v>
      </c>
      <c r="AL424">
        <v>25</v>
      </c>
      <c r="AM424">
        <v>24</v>
      </c>
      <c r="AN424">
        <f>IFERROR(INT(Table13[[#This Row],[reject_prod]]/Table13[[#This Row],[part_weight]] * 1000), 0)</f>
        <v>0</v>
      </c>
    </row>
    <row r="425" spans="1:40" hidden="1">
      <c r="A425" s="1">
        <v>46036</v>
      </c>
      <c r="B425">
        <v>1</v>
      </c>
      <c r="C425">
        <v>11</v>
      </c>
      <c r="D425" t="s">
        <v>61</v>
      </c>
      <c r="E425" t="s">
        <v>46</v>
      </c>
      <c r="F425">
        <v>552181</v>
      </c>
      <c r="G425" s="6">
        <v>1</v>
      </c>
      <c r="H425" t="s">
        <v>49</v>
      </c>
      <c r="I425">
        <v>10683782</v>
      </c>
      <c r="J425">
        <v>6</v>
      </c>
      <c r="K425">
        <v>18.8</v>
      </c>
      <c r="L425">
        <v>18.8</v>
      </c>
      <c r="M425">
        <v>1499</v>
      </c>
      <c r="N425" s="2">
        <v>108000</v>
      </c>
      <c r="O425" s="2">
        <v>3780</v>
      </c>
      <c r="P425" s="2">
        <v>1890</v>
      </c>
      <c r="Q425" s="2">
        <v>8994</v>
      </c>
      <c r="R425" s="2">
        <v>10800</v>
      </c>
      <c r="S425">
        <v>203.04</v>
      </c>
      <c r="T425" s="2">
        <v>34290</v>
      </c>
      <c r="U425" s="2">
        <v>73710</v>
      </c>
      <c r="V425">
        <v>169.08720000000002</v>
      </c>
      <c r="W425">
        <v>0</v>
      </c>
      <c r="X425">
        <v>0</v>
      </c>
      <c r="Y425">
        <v>0</v>
      </c>
      <c r="Z425">
        <v>1.5</v>
      </c>
      <c r="AA425">
        <v>8.8711623351738021E-3</v>
      </c>
      <c r="AB425">
        <v>28.5</v>
      </c>
      <c r="AC425">
        <v>11.867083333333335</v>
      </c>
      <c r="AD425">
        <v>27</v>
      </c>
      <c r="AE425" s="7"/>
      <c r="AF425" s="7"/>
      <c r="AG425" s="7"/>
      <c r="AH425" s="7"/>
      <c r="AI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0.1329166666666648</v>
      </c>
      <c r="AJ425" s="7"/>
      <c r="AK425" t="s">
        <v>270</v>
      </c>
      <c r="AN425">
        <f>IFERROR(INT(Table13[[#This Row],[reject_prod]]/Table13[[#This Row],[part_weight]] * 1000), 0)</f>
        <v>79</v>
      </c>
    </row>
    <row r="426" spans="1:40" hidden="1">
      <c r="A426" s="1">
        <v>46036</v>
      </c>
      <c r="B426">
        <v>1</v>
      </c>
      <c r="C426">
        <v>12</v>
      </c>
      <c r="D426" t="s">
        <v>43</v>
      </c>
      <c r="E426" t="s">
        <v>34</v>
      </c>
      <c r="F426">
        <v>620599</v>
      </c>
      <c r="G426" s="6">
        <v>0</v>
      </c>
      <c r="H426" t="s">
        <v>50</v>
      </c>
      <c r="I426">
        <v>10682929</v>
      </c>
      <c r="J426">
        <v>4</v>
      </c>
      <c r="K426">
        <v>55</v>
      </c>
      <c r="L426">
        <v>55</v>
      </c>
      <c r="M426">
        <v>1493</v>
      </c>
      <c r="N426" s="2">
        <v>72000</v>
      </c>
      <c r="O426" s="2">
        <v>1125</v>
      </c>
      <c r="P426" s="2">
        <v>1575</v>
      </c>
      <c r="Q426" s="2">
        <v>5972</v>
      </c>
      <c r="R426" s="2">
        <v>5400</v>
      </c>
      <c r="S426">
        <v>297</v>
      </c>
      <c r="T426" s="2">
        <v>23400</v>
      </c>
      <c r="U426" s="2">
        <v>48600</v>
      </c>
      <c r="V426">
        <v>328.46</v>
      </c>
      <c r="W426">
        <v>0</v>
      </c>
      <c r="X426">
        <v>0</v>
      </c>
      <c r="Y426">
        <v>0</v>
      </c>
      <c r="Z426">
        <v>6.5</v>
      </c>
      <c r="AA426">
        <v>1.9789319856299094E-2</v>
      </c>
      <c r="AB426">
        <v>28.7</v>
      </c>
      <c r="AC426">
        <v>11.902527777777779</v>
      </c>
      <c r="AD426">
        <v>28</v>
      </c>
      <c r="AE426" s="7"/>
      <c r="AF426" s="7"/>
      <c r="AG426" s="7"/>
      <c r="AH426" s="7"/>
      <c r="AI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9.747222222222085E-2</v>
      </c>
      <c r="AJ426" s="7"/>
      <c r="AK426" t="s">
        <v>339</v>
      </c>
      <c r="AN426">
        <f>IFERROR(INT(Table13[[#This Row],[reject_prod]]/Table13[[#This Row],[part_weight]] * 1000), 0)</f>
        <v>118</v>
      </c>
    </row>
    <row r="427" spans="1:40" hidden="1">
      <c r="A427" s="1">
        <v>46036</v>
      </c>
      <c r="B427">
        <v>1</v>
      </c>
      <c r="C427">
        <v>13</v>
      </c>
      <c r="D427" t="s">
        <v>61</v>
      </c>
      <c r="E427" t="s">
        <v>46</v>
      </c>
      <c r="F427">
        <v>586276</v>
      </c>
      <c r="G427" s="6">
        <v>0</v>
      </c>
      <c r="H427" t="s">
        <v>47</v>
      </c>
      <c r="I427">
        <v>10683784</v>
      </c>
      <c r="J427">
        <v>6</v>
      </c>
      <c r="K427">
        <v>12.3</v>
      </c>
      <c r="L427">
        <v>12.3</v>
      </c>
      <c r="M427">
        <v>1634</v>
      </c>
      <c r="N427" s="2">
        <v>162000</v>
      </c>
      <c r="O427" s="2">
        <v>810</v>
      </c>
      <c r="P427" s="2">
        <v>2430</v>
      </c>
      <c r="Q427" s="2">
        <v>9804</v>
      </c>
      <c r="R427" s="2">
        <v>8100</v>
      </c>
      <c r="S427">
        <v>99.63</v>
      </c>
      <c r="T427" s="2">
        <v>34830</v>
      </c>
      <c r="U427" s="2">
        <v>127170</v>
      </c>
      <c r="V427">
        <v>120.58920000000001</v>
      </c>
      <c r="W427">
        <v>0</v>
      </c>
      <c r="X427">
        <v>0</v>
      </c>
      <c r="Y427">
        <v>0</v>
      </c>
      <c r="Z427">
        <v>1</v>
      </c>
      <c r="AA427">
        <v>8.2926165858965804E-3</v>
      </c>
      <c r="AB427">
        <v>26.4</v>
      </c>
      <c r="AC427">
        <v>11.982666666666667</v>
      </c>
      <c r="AD427">
        <v>26</v>
      </c>
      <c r="AE427" s="7"/>
      <c r="AF427" s="7"/>
      <c r="AG427" s="7"/>
      <c r="AH427" s="7"/>
      <c r="AI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1.7333333333333201E-2</v>
      </c>
      <c r="AJ427" s="7"/>
      <c r="AK427" t="s">
        <v>51</v>
      </c>
      <c r="AN427">
        <f>IFERROR(INT(Table13[[#This Row],[reject_prod]]/Table13[[#This Row],[part_weight]] * 1000), 0)</f>
        <v>81</v>
      </c>
    </row>
    <row r="428" spans="1:40" hidden="1">
      <c r="A428" s="1">
        <v>46036</v>
      </c>
      <c r="B428">
        <v>1</v>
      </c>
      <c r="C428">
        <v>14</v>
      </c>
      <c r="D428" t="s">
        <v>152</v>
      </c>
      <c r="E428" t="s">
        <v>46</v>
      </c>
      <c r="F428">
        <v>555979</v>
      </c>
      <c r="G428" s="6">
        <v>1</v>
      </c>
      <c r="H428" t="s">
        <v>52</v>
      </c>
      <c r="I428">
        <v>10682932</v>
      </c>
      <c r="J428">
        <v>6</v>
      </c>
      <c r="K428">
        <v>28</v>
      </c>
      <c r="L428">
        <v>28</v>
      </c>
      <c r="M428">
        <v>988</v>
      </c>
      <c r="N428" s="2">
        <v>100800</v>
      </c>
      <c r="O428" s="2">
        <v>2520</v>
      </c>
      <c r="P428" s="2">
        <v>1680</v>
      </c>
      <c r="Q428" s="2">
        <v>5928</v>
      </c>
      <c r="R428" s="2">
        <v>6720</v>
      </c>
      <c r="S428">
        <v>188.16</v>
      </c>
      <c r="T428" s="2">
        <v>72240</v>
      </c>
      <c r="U428" s="2">
        <v>28560</v>
      </c>
      <c r="V428">
        <v>165.98400000000001</v>
      </c>
      <c r="W428">
        <v>0</v>
      </c>
      <c r="X428">
        <v>0</v>
      </c>
      <c r="Y428">
        <v>0</v>
      </c>
      <c r="Z428">
        <v>1.5</v>
      </c>
      <c r="AA428">
        <v>9.0370156159629844E-3</v>
      </c>
      <c r="AB428">
        <v>42.7</v>
      </c>
      <c r="AC428">
        <v>11.718777777777779</v>
      </c>
      <c r="AD428">
        <v>42</v>
      </c>
      <c r="AE428" s="7"/>
      <c r="AF428" s="7"/>
      <c r="AG428" s="7"/>
      <c r="AH428" s="7"/>
      <c r="AI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0.28122222222222071</v>
      </c>
      <c r="AJ428" s="7"/>
      <c r="AK428" t="s">
        <v>51</v>
      </c>
      <c r="AN428">
        <f>IFERROR(INT(Table13[[#This Row],[reject_prod]]/Table13[[#This Row],[part_weight]] * 1000), 0)</f>
        <v>53</v>
      </c>
    </row>
    <row r="429" spans="1:40" hidden="1">
      <c r="A429" s="1">
        <v>46036</v>
      </c>
      <c r="B429">
        <v>1</v>
      </c>
      <c r="C429">
        <v>15</v>
      </c>
      <c r="D429" t="s">
        <v>61</v>
      </c>
      <c r="E429" t="s">
        <v>46</v>
      </c>
      <c r="F429">
        <v>552181</v>
      </c>
      <c r="G429" s="6">
        <v>2</v>
      </c>
      <c r="H429" t="s">
        <v>49</v>
      </c>
      <c r="I429">
        <v>10683786</v>
      </c>
      <c r="J429">
        <v>6</v>
      </c>
      <c r="K429">
        <v>18.8</v>
      </c>
      <c r="L429">
        <v>18.8</v>
      </c>
      <c r="M429">
        <v>1364</v>
      </c>
      <c r="N429" s="2">
        <v>108000</v>
      </c>
      <c r="O429" s="2">
        <v>0</v>
      </c>
      <c r="P429" s="2">
        <v>2700</v>
      </c>
      <c r="Q429" s="2">
        <v>8184</v>
      </c>
      <c r="R429" s="2">
        <v>5400</v>
      </c>
      <c r="S429">
        <v>101.52</v>
      </c>
      <c r="T429" s="2">
        <v>13500</v>
      </c>
      <c r="U429" s="2">
        <v>94500</v>
      </c>
      <c r="V429">
        <v>153.85920000000002</v>
      </c>
      <c r="W429">
        <v>0</v>
      </c>
      <c r="X429">
        <v>0</v>
      </c>
      <c r="Y429">
        <v>0</v>
      </c>
      <c r="Z429">
        <v>1.5</v>
      </c>
      <c r="AA429">
        <v>9.7491732701066938E-3</v>
      </c>
      <c r="AB429">
        <v>31.3</v>
      </c>
      <c r="AC429">
        <v>11.859222222222222</v>
      </c>
      <c r="AD429">
        <v>27</v>
      </c>
      <c r="AE429" s="7"/>
      <c r="AF429" s="7"/>
      <c r="AG429" s="7"/>
      <c r="AH429" s="7"/>
      <c r="AI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429" s="7"/>
      <c r="AK429" t="s">
        <v>51</v>
      </c>
      <c r="AN429">
        <f>IFERROR(INT(Table13[[#This Row],[reject_prod]]/Table13[[#This Row],[part_weight]] * 1000), 0)</f>
        <v>79</v>
      </c>
    </row>
    <row r="430" spans="1:40" s="4" customFormat="1" hidden="1">
      <c r="A430" s="3">
        <v>46036</v>
      </c>
      <c r="B430" s="4">
        <v>1</v>
      </c>
      <c r="C430" s="4">
        <v>16</v>
      </c>
      <c r="D430" s="4" t="s">
        <v>149</v>
      </c>
      <c r="E430" s="4" t="s">
        <v>46</v>
      </c>
      <c r="F430" s="4">
        <v>555979</v>
      </c>
      <c r="G430" s="9">
        <v>2</v>
      </c>
      <c r="H430" s="4" t="s">
        <v>52</v>
      </c>
      <c r="I430" s="4">
        <v>10683788</v>
      </c>
      <c r="J430" s="4">
        <v>6</v>
      </c>
      <c r="K430" s="4">
        <v>28</v>
      </c>
      <c r="L430" s="4">
        <v>28</v>
      </c>
      <c r="M430" s="4">
        <v>969</v>
      </c>
      <c r="N430" s="5">
        <v>100800</v>
      </c>
      <c r="O430" s="5">
        <v>1680</v>
      </c>
      <c r="P430" s="5">
        <v>672</v>
      </c>
      <c r="Q430" s="5">
        <v>5814</v>
      </c>
      <c r="R430" s="5">
        <v>6720</v>
      </c>
      <c r="S430" s="4">
        <v>188.16</v>
      </c>
      <c r="T430" s="5">
        <v>14112</v>
      </c>
      <c r="U430" s="5">
        <v>86688</v>
      </c>
      <c r="V430" s="4">
        <v>162.792</v>
      </c>
      <c r="W430" s="4">
        <v>0</v>
      </c>
      <c r="X430" s="4">
        <v>0</v>
      </c>
      <c r="Y430" s="4">
        <v>0</v>
      </c>
      <c r="Z430" s="4">
        <v>2.5</v>
      </c>
      <c r="AA430" s="4">
        <v>1.535702000098285E-2</v>
      </c>
      <c r="AB430" s="4">
        <v>43.7</v>
      </c>
      <c r="AC430" s="4">
        <v>11.762583333333334</v>
      </c>
      <c r="AD430" s="4">
        <v>42</v>
      </c>
      <c r="AE430" s="8"/>
      <c r="AF430" s="8"/>
      <c r="AG430" s="8"/>
      <c r="AH430" s="8"/>
      <c r="AI43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0.23741666666666639</v>
      </c>
      <c r="AJ430" s="8"/>
      <c r="AK430" s="4" t="s">
        <v>51</v>
      </c>
      <c r="AN430">
        <f>IFERROR(INT(Table13[[#This Row],[reject_prod]]/Table13[[#This Row],[part_weight]] * 1000), 0)</f>
        <v>89</v>
      </c>
    </row>
    <row r="431" spans="1:40" hidden="1">
      <c r="A431" s="1">
        <v>46036</v>
      </c>
      <c r="B431">
        <v>2</v>
      </c>
      <c r="C431">
        <v>1</v>
      </c>
      <c r="D431" t="s">
        <v>89</v>
      </c>
      <c r="E431" t="s">
        <v>34</v>
      </c>
      <c r="F431">
        <v>365091</v>
      </c>
      <c r="G431" s="6">
        <v>0</v>
      </c>
      <c r="H431" t="s">
        <v>189</v>
      </c>
      <c r="I431">
        <v>10682753</v>
      </c>
      <c r="J431">
        <v>4</v>
      </c>
      <c r="K431">
        <v>44</v>
      </c>
      <c r="L431">
        <v>44</v>
      </c>
      <c r="M431">
        <v>1525</v>
      </c>
      <c r="N431" s="2">
        <v>66885</v>
      </c>
      <c r="O431" s="2">
        <v>315</v>
      </c>
      <c r="P431" s="2">
        <v>0</v>
      </c>
      <c r="Q431" s="2">
        <v>6100</v>
      </c>
      <c r="R431" s="2">
        <v>6405</v>
      </c>
      <c r="S431">
        <v>281.82</v>
      </c>
      <c r="T431" s="2">
        <v>66885</v>
      </c>
      <c r="U431" s="2">
        <v>0</v>
      </c>
      <c r="V431">
        <v>268.39999999999998</v>
      </c>
      <c r="W431">
        <v>0</v>
      </c>
      <c r="X431">
        <v>0</v>
      </c>
      <c r="Y431">
        <v>0</v>
      </c>
      <c r="Z431">
        <v>3</v>
      </c>
      <c r="AA431">
        <v>1.1177347242921014E-2</v>
      </c>
      <c r="AB431">
        <v>25.8</v>
      </c>
      <c r="AC431">
        <v>10.929166666666667</v>
      </c>
      <c r="AD431">
        <v>28.64</v>
      </c>
      <c r="AE431" s="7"/>
      <c r="AF431" s="7"/>
      <c r="AG431" s="7"/>
      <c r="AH431" s="7"/>
      <c r="AI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1.0708333333333329</v>
      </c>
      <c r="AJ431" s="7"/>
      <c r="AK431" t="s">
        <v>340</v>
      </c>
      <c r="AN431">
        <f>IFERROR(INT(Table13[[#This Row],[reject_prod]]/Table13[[#This Row],[part_weight]] * 1000), 0)</f>
        <v>68</v>
      </c>
    </row>
    <row r="432" spans="1:40" hidden="1">
      <c r="A432" s="1">
        <v>46036</v>
      </c>
      <c r="B432">
        <v>2</v>
      </c>
      <c r="C432">
        <v>1</v>
      </c>
      <c r="D432" t="s">
        <v>33</v>
      </c>
      <c r="E432" t="s">
        <v>34</v>
      </c>
      <c r="F432">
        <v>577492</v>
      </c>
      <c r="G432" s="6">
        <v>0</v>
      </c>
      <c r="H432" t="s">
        <v>341</v>
      </c>
      <c r="I432">
        <v>10683850</v>
      </c>
      <c r="J432">
        <v>4</v>
      </c>
      <c r="K432">
        <v>35.6</v>
      </c>
      <c r="L432">
        <v>35.6</v>
      </c>
      <c r="M432">
        <v>0</v>
      </c>
      <c r="N432" s="2">
        <v>40480</v>
      </c>
      <c r="O432" s="2">
        <v>0</v>
      </c>
      <c r="P432" s="2">
        <v>0</v>
      </c>
      <c r="Q432" s="2">
        <v>0</v>
      </c>
      <c r="R432" s="2">
        <v>0</v>
      </c>
      <c r="S432">
        <v>0</v>
      </c>
      <c r="T432" s="2">
        <v>0</v>
      </c>
      <c r="U432" s="2">
        <v>40480</v>
      </c>
      <c r="V432">
        <v>0</v>
      </c>
      <c r="W432">
        <v>0</v>
      </c>
      <c r="X432">
        <v>0</v>
      </c>
      <c r="Y432" t="e">
        <v>#DIV/0!</v>
      </c>
      <c r="Z432">
        <v>0</v>
      </c>
      <c r="AA432" t="e">
        <v>#DIV/0!</v>
      </c>
      <c r="AB432">
        <v>27</v>
      </c>
      <c r="AC432">
        <v>0</v>
      </c>
      <c r="AD432">
        <v>27</v>
      </c>
      <c r="AE432" s="7"/>
      <c r="AF432" s="7">
        <v>1</v>
      </c>
      <c r="AG432" s="7"/>
      <c r="AH432" s="7"/>
      <c r="AI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</v>
      </c>
      <c r="AJ432" s="7"/>
      <c r="AK432" t="s">
        <v>342</v>
      </c>
      <c r="AN432">
        <f>IFERROR(INT(Table13[[#This Row],[reject_prod]]/Table13[[#This Row],[part_weight]] * 1000), 0)</f>
        <v>0</v>
      </c>
    </row>
    <row r="433" spans="1:40" hidden="1">
      <c r="A433" s="1">
        <v>46036</v>
      </c>
      <c r="B433">
        <v>2</v>
      </c>
      <c r="C433">
        <v>2</v>
      </c>
      <c r="D433" t="s">
        <v>329</v>
      </c>
      <c r="E433" t="s">
        <v>34</v>
      </c>
      <c r="F433">
        <v>463202</v>
      </c>
      <c r="G433" s="6">
        <v>0</v>
      </c>
      <c r="H433" t="s">
        <v>320</v>
      </c>
      <c r="I433">
        <v>10684540</v>
      </c>
      <c r="J433">
        <v>4</v>
      </c>
      <c r="K433">
        <v>23</v>
      </c>
      <c r="L433">
        <v>23</v>
      </c>
      <c r="M433">
        <v>1512</v>
      </c>
      <c r="N433" s="2">
        <v>40920</v>
      </c>
      <c r="O433" s="2">
        <v>4650</v>
      </c>
      <c r="P433" s="2">
        <v>5115</v>
      </c>
      <c r="Q433" s="2">
        <v>6048</v>
      </c>
      <c r="R433" s="2">
        <v>5580</v>
      </c>
      <c r="S433">
        <v>128.34</v>
      </c>
      <c r="T433" s="2">
        <v>16275</v>
      </c>
      <c r="U433" s="2">
        <v>24645</v>
      </c>
      <c r="V433">
        <v>139.10400000000001</v>
      </c>
      <c r="W433">
        <v>0</v>
      </c>
      <c r="X433">
        <v>0</v>
      </c>
      <c r="Y433">
        <v>0</v>
      </c>
      <c r="Z433">
        <v>1.2</v>
      </c>
      <c r="AA433">
        <v>8.6266390614216683E-3</v>
      </c>
      <c r="AB433">
        <v>23.27</v>
      </c>
      <c r="AC433">
        <v>9.7734000000000005</v>
      </c>
      <c r="AD433">
        <v>22.92</v>
      </c>
      <c r="AE433" s="7"/>
      <c r="AF433" s="7"/>
      <c r="AG433" s="7"/>
      <c r="AH433" s="7">
        <v>2.2000000000000002</v>
      </c>
      <c r="AI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2.6599999999999291E-2</v>
      </c>
      <c r="AJ433" s="7"/>
      <c r="AK433" t="s">
        <v>343</v>
      </c>
      <c r="AN433">
        <f>IFERROR(INT(Table13[[#This Row],[reject_prod]]/Table13[[#This Row],[part_weight]] * 1000), 0)</f>
        <v>52</v>
      </c>
    </row>
    <row r="434" spans="1:40" hidden="1">
      <c r="A434" s="1">
        <v>46036</v>
      </c>
      <c r="B434">
        <v>2</v>
      </c>
      <c r="C434">
        <v>3</v>
      </c>
      <c r="D434" t="s">
        <v>330</v>
      </c>
      <c r="E434" t="s">
        <v>34</v>
      </c>
      <c r="F434">
        <v>442034</v>
      </c>
      <c r="G434" s="6">
        <v>0</v>
      </c>
      <c r="H434" t="s">
        <v>37</v>
      </c>
      <c r="I434">
        <v>10681183</v>
      </c>
      <c r="J434">
        <v>4</v>
      </c>
      <c r="K434">
        <v>23</v>
      </c>
      <c r="L434">
        <v>23</v>
      </c>
      <c r="M434">
        <v>1632</v>
      </c>
      <c r="N434" s="2">
        <v>139776</v>
      </c>
      <c r="O434" s="2">
        <v>2688</v>
      </c>
      <c r="P434" s="2">
        <v>0</v>
      </c>
      <c r="Q434" s="2">
        <v>6528</v>
      </c>
      <c r="R434" s="2">
        <v>9216</v>
      </c>
      <c r="S434">
        <v>211.96799999999999</v>
      </c>
      <c r="T434" s="2">
        <v>110592</v>
      </c>
      <c r="U434" s="2">
        <v>29184</v>
      </c>
      <c r="V434">
        <v>150.14400000000001</v>
      </c>
      <c r="W434">
        <v>0</v>
      </c>
      <c r="X434">
        <v>0</v>
      </c>
      <c r="Y434">
        <v>0</v>
      </c>
      <c r="Z434">
        <v>1</v>
      </c>
      <c r="AA434">
        <v>6.6602728047740834E-3</v>
      </c>
      <c r="AB434">
        <v>26.55</v>
      </c>
      <c r="AC434">
        <v>12</v>
      </c>
      <c r="AD434">
        <v>22</v>
      </c>
      <c r="AE434" s="7"/>
      <c r="AF434" s="7"/>
      <c r="AG434" s="7"/>
      <c r="AH434" s="7"/>
      <c r="AI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4" s="7"/>
      <c r="AK434" t="s">
        <v>75</v>
      </c>
      <c r="AN434">
        <f>IFERROR(INT(Table13[[#This Row],[reject_prod]]/Table13[[#This Row],[part_weight]] * 1000), 0)</f>
        <v>43</v>
      </c>
    </row>
    <row r="435" spans="1:40" hidden="1">
      <c r="A435" s="1">
        <v>46036</v>
      </c>
      <c r="B435">
        <v>2</v>
      </c>
      <c r="C435">
        <v>4</v>
      </c>
      <c r="F435">
        <v>123456</v>
      </c>
      <c r="G435" s="6">
        <v>0</v>
      </c>
      <c r="M435">
        <v>0</v>
      </c>
      <c r="N435">
        <v>0</v>
      </c>
      <c r="O435">
        <v>0</v>
      </c>
      <c r="P435">
        <v>0</v>
      </c>
      <c r="R435">
        <v>0</v>
      </c>
      <c r="T435">
        <v>0</v>
      </c>
      <c r="X435">
        <v>0</v>
      </c>
      <c r="Z435">
        <v>0</v>
      </c>
      <c r="AB435">
        <v>0</v>
      </c>
      <c r="AC435">
        <v>0</v>
      </c>
      <c r="AD435">
        <v>22.5</v>
      </c>
      <c r="AE435" s="7"/>
      <c r="AF435" s="7"/>
      <c r="AG435" s="7"/>
      <c r="AH435" s="7"/>
      <c r="AI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5" s="7">
        <v>12</v>
      </c>
      <c r="AK435" t="s">
        <v>116</v>
      </c>
      <c r="AN435">
        <f>IFERROR(INT(Table13[[#This Row],[reject_prod]]/Table13[[#This Row],[part_weight]] * 1000), 0)</f>
        <v>0</v>
      </c>
    </row>
    <row r="436" spans="1:40" hidden="1">
      <c r="A436" s="1">
        <v>46036</v>
      </c>
      <c r="B436">
        <v>2</v>
      </c>
      <c r="C436">
        <v>5</v>
      </c>
      <c r="D436" t="s">
        <v>84</v>
      </c>
      <c r="E436" t="s">
        <v>34</v>
      </c>
      <c r="F436">
        <v>597507</v>
      </c>
      <c r="G436" s="6">
        <v>0</v>
      </c>
      <c r="H436" t="s">
        <v>279</v>
      </c>
      <c r="I436">
        <v>10682757</v>
      </c>
      <c r="J436">
        <v>4</v>
      </c>
      <c r="K436">
        <v>23</v>
      </c>
      <c r="L436">
        <v>23</v>
      </c>
      <c r="M436">
        <v>1925</v>
      </c>
      <c r="N436" s="2">
        <v>64680</v>
      </c>
      <c r="O436" s="2">
        <v>0</v>
      </c>
      <c r="P436" s="2">
        <v>154</v>
      </c>
      <c r="Q436" s="2">
        <v>7700</v>
      </c>
      <c r="R436" s="2">
        <v>7546</v>
      </c>
      <c r="S436">
        <v>173.55799999999999</v>
      </c>
      <c r="T436" s="2">
        <v>26950</v>
      </c>
      <c r="U436" s="2">
        <v>37730</v>
      </c>
      <c r="V436">
        <v>177.1</v>
      </c>
      <c r="W436">
        <v>0</v>
      </c>
      <c r="X436">
        <v>0</v>
      </c>
      <c r="Y436">
        <v>0</v>
      </c>
      <c r="Z436">
        <v>2.6</v>
      </c>
      <c r="AA436">
        <v>1.4680971202710334E-2</v>
      </c>
      <c r="AB436">
        <v>22.16</v>
      </c>
      <c r="AC436">
        <v>11.849444444444444</v>
      </c>
      <c r="AD436">
        <v>22</v>
      </c>
      <c r="AE436" s="7"/>
      <c r="AF436" s="7"/>
      <c r="AG436" s="7"/>
      <c r="AH436" s="7"/>
      <c r="AI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0.150555555555556</v>
      </c>
      <c r="AJ436" s="7"/>
      <c r="AK436" t="s">
        <v>322</v>
      </c>
      <c r="AN436">
        <f>IFERROR(INT(Table13[[#This Row],[reject_prod]]/Table13[[#This Row],[part_weight]] * 1000), 0)</f>
        <v>113</v>
      </c>
    </row>
    <row r="437" spans="1:40" hidden="1">
      <c r="A437" s="1">
        <v>46036</v>
      </c>
      <c r="B437">
        <v>2</v>
      </c>
      <c r="C437">
        <v>6</v>
      </c>
      <c r="D437" t="s">
        <v>331</v>
      </c>
      <c r="E437" t="s">
        <v>34</v>
      </c>
      <c r="F437">
        <v>532981</v>
      </c>
      <c r="G437" s="6">
        <v>0</v>
      </c>
      <c r="H437" t="s">
        <v>233</v>
      </c>
      <c r="I437">
        <v>10682758</v>
      </c>
      <c r="J437">
        <v>4</v>
      </c>
      <c r="K437">
        <v>24.45</v>
      </c>
      <c r="L437">
        <v>24</v>
      </c>
      <c r="M437">
        <v>2052</v>
      </c>
      <c r="N437" s="2">
        <v>87552</v>
      </c>
      <c r="O437" s="2">
        <v>2736</v>
      </c>
      <c r="P437" s="2">
        <v>0</v>
      </c>
      <c r="Q437" s="2">
        <v>8208</v>
      </c>
      <c r="R437" s="2">
        <v>10944</v>
      </c>
      <c r="S437">
        <v>262.65600000000001</v>
      </c>
      <c r="T437" s="2">
        <v>87552</v>
      </c>
      <c r="U437" s="2">
        <v>0</v>
      </c>
      <c r="V437">
        <v>196.99199999999999</v>
      </c>
      <c r="W437">
        <v>0</v>
      </c>
      <c r="X437">
        <v>0</v>
      </c>
      <c r="Y437">
        <v>0</v>
      </c>
      <c r="Z437">
        <v>1</v>
      </c>
      <c r="AA437">
        <v>5.0763482781026647E-3</v>
      </c>
      <c r="AB437">
        <v>21.87</v>
      </c>
      <c r="AC437">
        <v>12</v>
      </c>
      <c r="AD437">
        <v>20</v>
      </c>
      <c r="AE437" s="7"/>
      <c r="AF437" s="7"/>
      <c r="AG437" s="7"/>
      <c r="AH437" s="7"/>
      <c r="AI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7" s="7"/>
      <c r="AK437" t="s">
        <v>103</v>
      </c>
      <c r="AN437">
        <f>IFERROR(INT(Table13[[#This Row],[reject_prod]]/Table13[[#This Row],[part_weight]] * 1000), 0)</f>
        <v>41</v>
      </c>
    </row>
    <row r="438" spans="1:40" hidden="1">
      <c r="A438" s="1">
        <v>46036</v>
      </c>
      <c r="B438">
        <v>2</v>
      </c>
      <c r="C438">
        <v>7</v>
      </c>
      <c r="D438" t="s">
        <v>54</v>
      </c>
      <c r="E438" t="s">
        <v>34</v>
      </c>
      <c r="F438">
        <v>324177</v>
      </c>
      <c r="G438" s="6">
        <v>0</v>
      </c>
      <c r="H438" t="s">
        <v>246</v>
      </c>
      <c r="I438">
        <v>10682801</v>
      </c>
      <c r="J438">
        <v>4</v>
      </c>
      <c r="K438">
        <v>34.5</v>
      </c>
      <c r="L438">
        <v>34.5</v>
      </c>
      <c r="M438">
        <v>1875</v>
      </c>
      <c r="N438" s="2">
        <v>62400</v>
      </c>
      <c r="O438" s="2">
        <v>312</v>
      </c>
      <c r="P438" s="2">
        <v>0</v>
      </c>
      <c r="Q438" s="2">
        <v>7500</v>
      </c>
      <c r="R438" s="2">
        <v>7800</v>
      </c>
      <c r="S438">
        <v>269.10000000000002</v>
      </c>
      <c r="T438" s="2">
        <v>45240</v>
      </c>
      <c r="U438" s="2">
        <v>17160</v>
      </c>
      <c r="V438">
        <v>258.75</v>
      </c>
      <c r="W438">
        <v>0</v>
      </c>
      <c r="X438">
        <v>0</v>
      </c>
      <c r="Y438">
        <v>0</v>
      </c>
      <c r="Z438">
        <v>1</v>
      </c>
      <c r="AA438">
        <v>3.8647342995169081E-3</v>
      </c>
      <c r="AB438">
        <v>22.24</v>
      </c>
      <c r="AC438">
        <v>11.583333333333334</v>
      </c>
      <c r="AD438">
        <v>22</v>
      </c>
      <c r="AE438" s="7"/>
      <c r="AF438" s="7"/>
      <c r="AG438" s="7"/>
      <c r="AH438" s="7"/>
      <c r="AI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0.41666666666666607</v>
      </c>
      <c r="AJ438" s="7"/>
      <c r="AK438" t="s">
        <v>323</v>
      </c>
      <c r="AN438">
        <f>IFERROR(INT(Table13[[#This Row],[reject_prod]]/Table13[[#This Row],[part_weight]] * 1000), 0)</f>
        <v>28</v>
      </c>
    </row>
    <row r="439" spans="1:40" hidden="1">
      <c r="A439" s="1">
        <v>46036</v>
      </c>
      <c r="B439">
        <v>2</v>
      </c>
      <c r="C439">
        <v>8</v>
      </c>
      <c r="D439" t="s">
        <v>332</v>
      </c>
      <c r="E439" t="s">
        <v>41</v>
      </c>
      <c r="F439">
        <v>593537</v>
      </c>
      <c r="G439" s="6">
        <v>0</v>
      </c>
      <c r="H439" t="s">
        <v>48</v>
      </c>
      <c r="I439">
        <v>10682926</v>
      </c>
      <c r="J439">
        <v>4</v>
      </c>
      <c r="K439">
        <v>56.5</v>
      </c>
      <c r="L439">
        <v>56.8</v>
      </c>
      <c r="M439">
        <v>1410</v>
      </c>
      <c r="N439" s="2">
        <v>69000</v>
      </c>
      <c r="O439" s="2">
        <v>115</v>
      </c>
      <c r="P439" s="2">
        <v>0</v>
      </c>
      <c r="Q439" s="2">
        <v>5640</v>
      </c>
      <c r="R439" s="2">
        <v>5750</v>
      </c>
      <c r="S439">
        <v>326.60000000000002</v>
      </c>
      <c r="T439" s="2">
        <v>32775</v>
      </c>
      <c r="U439" s="2">
        <v>36225</v>
      </c>
      <c r="V439">
        <v>320.35199999999998</v>
      </c>
      <c r="W439">
        <v>0</v>
      </c>
      <c r="X439">
        <v>0</v>
      </c>
      <c r="Y439">
        <v>0</v>
      </c>
      <c r="Z439">
        <v>1.3</v>
      </c>
      <c r="AA439">
        <v>4.0580361602237545E-3</v>
      </c>
      <c r="AB439">
        <v>31.2</v>
      </c>
      <c r="AC439">
        <v>12</v>
      </c>
      <c r="AD439">
        <v>28.5</v>
      </c>
      <c r="AE439" s="7"/>
      <c r="AF439" s="7"/>
      <c r="AG439" s="7"/>
      <c r="AH439" s="7"/>
      <c r="AI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9" s="7"/>
      <c r="AK439" t="s">
        <v>161</v>
      </c>
      <c r="AN439">
        <f>IFERROR(INT(Table13[[#This Row],[reject_prod]]/Table13[[#This Row],[part_weight]] * 1000), 0)</f>
        <v>22</v>
      </c>
    </row>
    <row r="440" spans="1:40" hidden="1">
      <c r="A440" s="1">
        <v>46036</v>
      </c>
      <c r="B440">
        <v>2</v>
      </c>
      <c r="C440">
        <v>9</v>
      </c>
      <c r="D440" t="s">
        <v>33</v>
      </c>
      <c r="E440" t="s">
        <v>46</v>
      </c>
      <c r="F440">
        <v>586276</v>
      </c>
      <c r="G440" s="6">
        <v>0</v>
      </c>
      <c r="H440" t="s">
        <v>47</v>
      </c>
      <c r="I440">
        <v>10682924</v>
      </c>
      <c r="J440">
        <v>6</v>
      </c>
      <c r="K440">
        <v>12.3</v>
      </c>
      <c r="L440">
        <v>12.3</v>
      </c>
      <c r="M440">
        <v>0</v>
      </c>
      <c r="N440" s="2">
        <v>162000</v>
      </c>
      <c r="O440" s="2">
        <v>7290</v>
      </c>
      <c r="P440" s="2">
        <v>7290</v>
      </c>
      <c r="Q440" s="2">
        <v>0</v>
      </c>
      <c r="R440" s="2">
        <v>0</v>
      </c>
      <c r="S440">
        <v>0</v>
      </c>
      <c r="T440" s="2">
        <v>80190</v>
      </c>
      <c r="U440" s="2">
        <v>81810</v>
      </c>
      <c r="V440">
        <v>0</v>
      </c>
      <c r="W440">
        <v>0</v>
      </c>
      <c r="X440">
        <v>0</v>
      </c>
      <c r="Y440" t="e">
        <v>#DIV/0!</v>
      </c>
      <c r="Z440">
        <v>0</v>
      </c>
      <c r="AA440" t="e">
        <v>#DIV/0!</v>
      </c>
      <c r="AB440">
        <v>26.2</v>
      </c>
      <c r="AC440">
        <v>0</v>
      </c>
      <c r="AD440">
        <v>26</v>
      </c>
      <c r="AE440" s="7"/>
      <c r="AF440" s="7"/>
      <c r="AG440" s="7"/>
      <c r="AH440" s="7">
        <v>12</v>
      </c>
      <c r="AI4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0" s="7"/>
      <c r="AK440" t="s">
        <v>337</v>
      </c>
      <c r="AN440">
        <f>IFERROR(INT(Table13[[#This Row],[reject_prod]]/Table13[[#This Row],[part_weight]] * 1000), 0)</f>
        <v>0</v>
      </c>
    </row>
    <row r="441" spans="1:40" hidden="1">
      <c r="A441" s="1">
        <v>46036</v>
      </c>
      <c r="B441">
        <v>2</v>
      </c>
      <c r="C441">
        <v>10</v>
      </c>
      <c r="D441" t="s">
        <v>88</v>
      </c>
      <c r="E441" t="s">
        <v>34</v>
      </c>
      <c r="F441">
        <v>442310</v>
      </c>
      <c r="G441" s="6">
        <v>0</v>
      </c>
      <c r="H441" t="s">
        <v>315</v>
      </c>
      <c r="I441">
        <v>10684380</v>
      </c>
      <c r="J441">
        <v>4</v>
      </c>
      <c r="K441">
        <v>68.8</v>
      </c>
      <c r="L441">
        <v>68.8</v>
      </c>
      <c r="M441">
        <v>990</v>
      </c>
      <c r="N441" s="2">
        <v>8008</v>
      </c>
      <c r="O441" s="2">
        <v>0</v>
      </c>
      <c r="P441" s="2">
        <v>182</v>
      </c>
      <c r="Q441" s="2">
        <v>3960</v>
      </c>
      <c r="R441" s="2">
        <v>3640</v>
      </c>
      <c r="S441">
        <v>250.43199999999999</v>
      </c>
      <c r="T441" s="2">
        <v>3640</v>
      </c>
      <c r="U441" s="2">
        <v>4368</v>
      </c>
      <c r="V441">
        <v>272.44799999999998</v>
      </c>
      <c r="W441">
        <v>0</v>
      </c>
      <c r="X441">
        <v>0</v>
      </c>
      <c r="Y441">
        <v>0</v>
      </c>
      <c r="Z441">
        <v>26.3</v>
      </c>
      <c r="AA441">
        <v>9.6532182287996246E-2</v>
      </c>
      <c r="AB441">
        <v>33.24</v>
      </c>
      <c r="AC441">
        <v>9.1410000000000018</v>
      </c>
      <c r="AD441">
        <v>33.840000000000003</v>
      </c>
      <c r="AE441" s="7"/>
      <c r="AF441" s="7"/>
      <c r="AG441" s="7"/>
      <c r="AH441" s="7"/>
      <c r="AI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2.8589999999999982</v>
      </c>
      <c r="AJ441" s="7"/>
      <c r="AK441" t="s">
        <v>344</v>
      </c>
      <c r="AN441">
        <f>IFERROR(INT(Table13[[#This Row],[reject_prod]]/Table13[[#This Row],[part_weight]] * 1000), 0)</f>
        <v>382</v>
      </c>
    </row>
    <row r="442" spans="1:40" hidden="1">
      <c r="A442" s="1">
        <v>46036</v>
      </c>
      <c r="B442">
        <v>2</v>
      </c>
      <c r="C442">
        <v>11</v>
      </c>
      <c r="D442" t="s">
        <v>208</v>
      </c>
      <c r="E442" t="s">
        <v>46</v>
      </c>
      <c r="F442">
        <v>552181</v>
      </c>
      <c r="G442" s="6">
        <v>1</v>
      </c>
      <c r="H442" t="s">
        <v>49</v>
      </c>
      <c r="I442">
        <v>10683782</v>
      </c>
      <c r="J442">
        <v>6</v>
      </c>
      <c r="K442">
        <v>18.8</v>
      </c>
      <c r="L442">
        <v>18.8</v>
      </c>
      <c r="M442">
        <v>1500</v>
      </c>
      <c r="N442" s="2">
        <v>108000</v>
      </c>
      <c r="O442" s="2">
        <v>1890</v>
      </c>
      <c r="P442" s="2">
        <v>270</v>
      </c>
      <c r="Q442" s="2">
        <v>9000</v>
      </c>
      <c r="R442" s="2">
        <v>10800</v>
      </c>
      <c r="S442">
        <v>203.04</v>
      </c>
      <c r="T442" s="2">
        <v>43470</v>
      </c>
      <c r="U442" s="2">
        <v>64530</v>
      </c>
      <c r="V442">
        <v>169.2</v>
      </c>
      <c r="W442">
        <v>0</v>
      </c>
      <c r="X442">
        <v>0</v>
      </c>
      <c r="Y442">
        <v>0</v>
      </c>
      <c r="Z442">
        <v>1</v>
      </c>
      <c r="AA442">
        <v>5.9101654846335705E-3</v>
      </c>
      <c r="AB442">
        <v>27.6</v>
      </c>
      <c r="AC442">
        <v>11.5</v>
      </c>
      <c r="AD442">
        <v>27</v>
      </c>
      <c r="AE442" s="7"/>
      <c r="AF442" s="7"/>
      <c r="AG442" s="7"/>
      <c r="AH442" s="7"/>
      <c r="AI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</v>
      </c>
      <c r="AJ442" s="7"/>
      <c r="AK442" t="s">
        <v>51</v>
      </c>
      <c r="AN442">
        <f>IFERROR(INT(Table13[[#This Row],[reject_prod]]/Table13[[#This Row],[part_weight]] * 1000), 0)</f>
        <v>53</v>
      </c>
    </row>
    <row r="443" spans="1:40" hidden="1">
      <c r="A443" s="1">
        <v>46036</v>
      </c>
      <c r="B443">
        <v>2</v>
      </c>
      <c r="C443">
        <v>12</v>
      </c>
      <c r="D443" t="s">
        <v>56</v>
      </c>
      <c r="E443" t="s">
        <v>34</v>
      </c>
      <c r="F443">
        <v>620599</v>
      </c>
      <c r="G443" s="6">
        <v>0</v>
      </c>
      <c r="H443" t="s">
        <v>50</v>
      </c>
      <c r="I443">
        <v>10682929</v>
      </c>
      <c r="J443">
        <v>4</v>
      </c>
      <c r="K443">
        <v>55</v>
      </c>
      <c r="L443">
        <v>55</v>
      </c>
      <c r="M443">
        <v>1475</v>
      </c>
      <c r="N443" s="2">
        <v>72000</v>
      </c>
      <c r="O443" s="2">
        <v>1575</v>
      </c>
      <c r="P443" s="2">
        <v>225</v>
      </c>
      <c r="Q443" s="2">
        <v>5900</v>
      </c>
      <c r="R443" s="2">
        <v>7200</v>
      </c>
      <c r="S443">
        <v>396</v>
      </c>
      <c r="T443" s="2">
        <v>30825</v>
      </c>
      <c r="U443" s="2">
        <v>41175</v>
      </c>
      <c r="V443">
        <v>324.5</v>
      </c>
      <c r="W443">
        <v>0</v>
      </c>
      <c r="X443">
        <v>0</v>
      </c>
      <c r="Y443">
        <v>0</v>
      </c>
      <c r="Z443">
        <v>8</v>
      </c>
      <c r="AA443">
        <v>2.465331278890601E-2</v>
      </c>
      <c r="AB443">
        <v>28.7</v>
      </c>
      <c r="AC443">
        <v>11.759027777777778</v>
      </c>
      <c r="AD443">
        <v>28</v>
      </c>
      <c r="AE443" s="7"/>
      <c r="AF443" s="7"/>
      <c r="AG443" s="7"/>
      <c r="AH443" s="7"/>
      <c r="AI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0.24097222222222214</v>
      </c>
      <c r="AJ443" s="7"/>
      <c r="AK443" t="s">
        <v>326</v>
      </c>
      <c r="AN443">
        <f>IFERROR(INT(Table13[[#This Row],[reject_prod]]/Table13[[#This Row],[part_weight]] * 1000), 0)</f>
        <v>145</v>
      </c>
    </row>
    <row r="444" spans="1:40" hidden="1">
      <c r="A444" s="1">
        <v>46036</v>
      </c>
      <c r="B444">
        <v>2</v>
      </c>
      <c r="C444">
        <v>13</v>
      </c>
      <c r="D444" t="s">
        <v>208</v>
      </c>
      <c r="E444" t="s">
        <v>46</v>
      </c>
      <c r="F444">
        <v>586276</v>
      </c>
      <c r="G444" s="6">
        <v>0</v>
      </c>
      <c r="H444" t="s">
        <v>47</v>
      </c>
      <c r="I444">
        <v>10683784</v>
      </c>
      <c r="J444">
        <v>6</v>
      </c>
      <c r="K444">
        <v>12.3</v>
      </c>
      <c r="L444">
        <v>12.3</v>
      </c>
      <c r="M444">
        <v>1620</v>
      </c>
      <c r="N444" s="2">
        <v>162000</v>
      </c>
      <c r="O444" s="2">
        <v>2430</v>
      </c>
      <c r="P444" s="2">
        <v>4050</v>
      </c>
      <c r="Q444" s="2">
        <v>9720</v>
      </c>
      <c r="R444" s="2">
        <v>8100</v>
      </c>
      <c r="S444">
        <v>99.63</v>
      </c>
      <c r="T444" s="2">
        <v>44550</v>
      </c>
      <c r="U444" s="2">
        <v>117450</v>
      </c>
      <c r="V444">
        <v>119.556</v>
      </c>
      <c r="W444">
        <v>0</v>
      </c>
      <c r="X444">
        <v>0</v>
      </c>
      <c r="Y444">
        <v>0</v>
      </c>
      <c r="Z444">
        <v>1.1000000000000001</v>
      </c>
      <c r="AA444">
        <v>9.2007092910435292E-3</v>
      </c>
      <c r="AB444">
        <v>26.4</v>
      </c>
      <c r="AC444">
        <v>11.879999999999999</v>
      </c>
      <c r="AD444">
        <v>26</v>
      </c>
      <c r="AE444" s="7"/>
      <c r="AF444" s="7"/>
      <c r="AG444" s="7"/>
      <c r="AH444" s="7"/>
      <c r="AI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444" s="7"/>
      <c r="AK444" t="s">
        <v>51</v>
      </c>
      <c r="AN444">
        <f>IFERROR(INT(Table13[[#This Row],[reject_prod]]/Table13[[#This Row],[part_weight]] * 1000), 0)</f>
        <v>89</v>
      </c>
    </row>
    <row r="445" spans="1:40" hidden="1">
      <c r="A445" s="1">
        <v>46036</v>
      </c>
      <c r="B445">
        <v>2</v>
      </c>
      <c r="C445">
        <v>14</v>
      </c>
      <c r="D445" t="s">
        <v>60</v>
      </c>
      <c r="E445" t="s">
        <v>46</v>
      </c>
      <c r="F445">
        <v>555979</v>
      </c>
      <c r="G445" s="6">
        <v>1</v>
      </c>
      <c r="H445" t="s">
        <v>52</v>
      </c>
      <c r="I445">
        <v>10682932</v>
      </c>
      <c r="J445">
        <v>6</v>
      </c>
      <c r="K445">
        <v>28</v>
      </c>
      <c r="L445">
        <v>28</v>
      </c>
      <c r="M445">
        <v>1008</v>
      </c>
      <c r="N445" s="2">
        <v>100800</v>
      </c>
      <c r="O445" s="2">
        <v>1680</v>
      </c>
      <c r="P445" s="2">
        <v>1008</v>
      </c>
      <c r="Q445" s="2">
        <v>6048</v>
      </c>
      <c r="R445" s="2">
        <v>6720</v>
      </c>
      <c r="S445">
        <v>188.16</v>
      </c>
      <c r="T445" s="2">
        <v>78288</v>
      </c>
      <c r="U445" s="2">
        <v>22512</v>
      </c>
      <c r="V445">
        <v>169.34399999999999</v>
      </c>
      <c r="W445">
        <v>0</v>
      </c>
      <c r="X445">
        <v>0</v>
      </c>
      <c r="Y445">
        <v>0</v>
      </c>
      <c r="Z445">
        <v>1</v>
      </c>
      <c r="AA445">
        <v>5.9051398337112626E-3</v>
      </c>
      <c r="AB445">
        <v>42.7</v>
      </c>
      <c r="AC445">
        <v>11.956000000000001</v>
      </c>
      <c r="AD445">
        <v>42</v>
      </c>
      <c r="AE445" s="7"/>
      <c r="AF445" s="7"/>
      <c r="AG445" s="7"/>
      <c r="AH445" s="7"/>
      <c r="AI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4.3999999999998707E-2</v>
      </c>
      <c r="AJ445" s="7"/>
      <c r="AK445" t="s">
        <v>51</v>
      </c>
      <c r="AN445">
        <f>IFERROR(INT(Table13[[#This Row],[reject_prod]]/Table13[[#This Row],[part_weight]] * 1000), 0)</f>
        <v>35</v>
      </c>
    </row>
    <row r="446" spans="1:40" hidden="1">
      <c r="A446" s="1">
        <v>46036</v>
      </c>
      <c r="B446">
        <v>2</v>
      </c>
      <c r="C446">
        <v>15</v>
      </c>
      <c r="D446" t="s">
        <v>208</v>
      </c>
      <c r="E446" t="s">
        <v>46</v>
      </c>
      <c r="F446">
        <v>552181</v>
      </c>
      <c r="G446" s="6">
        <v>2</v>
      </c>
      <c r="H446" t="s">
        <v>49</v>
      </c>
      <c r="I446">
        <v>10683786</v>
      </c>
      <c r="J446">
        <v>6</v>
      </c>
      <c r="K446">
        <v>18.8</v>
      </c>
      <c r="L446">
        <v>18.8</v>
      </c>
      <c r="M446">
        <v>1400</v>
      </c>
      <c r="N446" s="2">
        <v>108000</v>
      </c>
      <c r="O446" s="2">
        <v>2700</v>
      </c>
      <c r="P446" s="2">
        <v>1080</v>
      </c>
      <c r="Q446" s="2">
        <v>8400</v>
      </c>
      <c r="R446" s="2">
        <v>10800</v>
      </c>
      <c r="S446">
        <v>203.04</v>
      </c>
      <c r="T446" s="2">
        <v>17280</v>
      </c>
      <c r="U446" s="2">
        <v>90720</v>
      </c>
      <c r="V446">
        <v>157.91999999999999</v>
      </c>
      <c r="W446">
        <v>0</v>
      </c>
      <c r="X446">
        <v>0</v>
      </c>
      <c r="Y446">
        <v>0</v>
      </c>
      <c r="Z446">
        <v>1</v>
      </c>
      <c r="AA446">
        <v>6.3323201621073967E-3</v>
      </c>
      <c r="AB446">
        <v>31.24</v>
      </c>
      <c r="AC446">
        <v>12</v>
      </c>
      <c r="AD446">
        <v>27</v>
      </c>
      <c r="AE446" s="7"/>
      <c r="AF446" s="7"/>
      <c r="AG446" s="7"/>
      <c r="AH446" s="7"/>
      <c r="AI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6" s="7"/>
      <c r="AK446" t="s">
        <v>51</v>
      </c>
      <c r="AN446">
        <f>IFERROR(INT(Table13[[#This Row],[reject_prod]]/Table13[[#This Row],[part_weight]] * 1000), 0)</f>
        <v>53</v>
      </c>
    </row>
    <row r="447" spans="1:40" s="4" customFormat="1" hidden="1">
      <c r="A447" s="3">
        <v>46036</v>
      </c>
      <c r="B447" s="4">
        <v>2</v>
      </c>
      <c r="C447" s="4">
        <v>16</v>
      </c>
      <c r="D447" s="4" t="s">
        <v>333</v>
      </c>
      <c r="E447" s="4" t="s">
        <v>46</v>
      </c>
      <c r="F447" s="4">
        <v>555979</v>
      </c>
      <c r="G447" s="9">
        <v>2</v>
      </c>
      <c r="H447" s="4" t="s">
        <v>52</v>
      </c>
      <c r="I447" s="4">
        <v>10683788</v>
      </c>
      <c r="J447" s="4">
        <v>6</v>
      </c>
      <c r="K447" s="4">
        <v>28</v>
      </c>
      <c r="L447" s="4">
        <v>28</v>
      </c>
      <c r="M447" s="4">
        <v>1000</v>
      </c>
      <c r="N447" s="5">
        <v>100800</v>
      </c>
      <c r="O447" s="5">
        <v>672</v>
      </c>
      <c r="P447" s="5">
        <v>0</v>
      </c>
      <c r="Q447" s="5">
        <v>6000</v>
      </c>
      <c r="R447" s="5">
        <v>6720</v>
      </c>
      <c r="S447" s="4">
        <v>188.16</v>
      </c>
      <c r="T447" s="5">
        <v>20160</v>
      </c>
      <c r="U447" s="5">
        <v>80640</v>
      </c>
      <c r="V447" s="4">
        <v>168</v>
      </c>
      <c r="W447" s="4">
        <v>0</v>
      </c>
      <c r="X447" s="4">
        <v>0</v>
      </c>
      <c r="Y447" s="4">
        <v>0</v>
      </c>
      <c r="Z447" s="4">
        <v>1</v>
      </c>
      <c r="AA447" s="4">
        <v>5.9523809523809521E-3</v>
      </c>
      <c r="AB447" s="4">
        <v>43.7</v>
      </c>
      <c r="AC447" s="4">
        <v>12</v>
      </c>
      <c r="AD447" s="4">
        <v>42</v>
      </c>
      <c r="AE447" s="8"/>
      <c r="AF447" s="8"/>
      <c r="AG447" s="8"/>
      <c r="AH447" s="8"/>
      <c r="AI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7" s="8"/>
      <c r="AK447" s="4" t="s">
        <v>51</v>
      </c>
      <c r="AN447">
        <f>IFERROR(INT(Table13[[#This Row],[reject_prod]]/Table13[[#This Row],[part_weight]] * 1000), 0)</f>
        <v>35</v>
      </c>
    </row>
    <row r="448" spans="1:40" hidden="1">
      <c r="A448" s="1">
        <v>46037</v>
      </c>
      <c r="B448">
        <v>1</v>
      </c>
      <c r="C448">
        <v>1</v>
      </c>
      <c r="E448" t="s">
        <v>34</v>
      </c>
      <c r="F448">
        <v>577492</v>
      </c>
      <c r="G448" s="6">
        <v>0</v>
      </c>
      <c r="H448" t="s">
        <v>341</v>
      </c>
      <c r="I448">
        <v>10683850</v>
      </c>
      <c r="J448">
        <v>4</v>
      </c>
      <c r="K448">
        <v>35.6</v>
      </c>
      <c r="L448">
        <v>35.6</v>
      </c>
      <c r="M448">
        <v>508</v>
      </c>
      <c r="N448" s="2">
        <v>40480</v>
      </c>
      <c r="O448" s="2">
        <v>0</v>
      </c>
      <c r="P448" s="2">
        <v>1104</v>
      </c>
      <c r="Q448" s="2">
        <v>2032</v>
      </c>
      <c r="R448" s="2">
        <v>0</v>
      </c>
      <c r="S448">
        <v>0</v>
      </c>
      <c r="T448" s="2">
        <v>1104</v>
      </c>
      <c r="U448" s="2">
        <v>39376</v>
      </c>
      <c r="V448">
        <v>72.339199999999991</v>
      </c>
      <c r="W448">
        <v>0</v>
      </c>
      <c r="X448">
        <v>13.5</v>
      </c>
      <c r="Y448">
        <v>0.18662080863487571</v>
      </c>
      <c r="Z448">
        <v>0</v>
      </c>
      <c r="AA448">
        <v>0</v>
      </c>
      <c r="AB448">
        <v>28.2</v>
      </c>
      <c r="AC448">
        <v>3.9793333333333329</v>
      </c>
      <c r="AD448">
        <v>27</v>
      </c>
      <c r="AE448" s="7">
        <v>4.5</v>
      </c>
      <c r="AF448" s="7"/>
      <c r="AG448" s="7"/>
      <c r="AH448" s="7"/>
      <c r="AI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3.5206666666666671</v>
      </c>
      <c r="AJ448" s="7"/>
      <c r="AK448" t="s">
        <v>351</v>
      </c>
      <c r="AL448">
        <v>12</v>
      </c>
      <c r="AM448">
        <v>6</v>
      </c>
      <c r="AN448">
        <f>IFERROR(INT(Table13[[#This Row],[reject_prod]]/Table13[[#This Row],[part_weight]] * 1000), 0)</f>
        <v>0</v>
      </c>
    </row>
    <row r="449" spans="1:40" hidden="1">
      <c r="A449" s="1">
        <v>46037</v>
      </c>
      <c r="B449">
        <v>1</v>
      </c>
      <c r="C449">
        <v>2</v>
      </c>
      <c r="D449" t="s">
        <v>345</v>
      </c>
      <c r="E449" t="s">
        <v>34</v>
      </c>
      <c r="F449">
        <v>463202</v>
      </c>
      <c r="G449" s="6">
        <v>0</v>
      </c>
      <c r="H449" t="s">
        <v>320</v>
      </c>
      <c r="I449">
        <v>10684540</v>
      </c>
      <c r="J449">
        <v>4</v>
      </c>
      <c r="K449">
        <v>23</v>
      </c>
      <c r="L449">
        <v>23</v>
      </c>
      <c r="M449">
        <v>1190</v>
      </c>
      <c r="N449" s="2">
        <v>40920</v>
      </c>
      <c r="O449" s="2">
        <v>5115</v>
      </c>
      <c r="P449" s="2">
        <v>4185</v>
      </c>
      <c r="Q449" s="2">
        <v>4760</v>
      </c>
      <c r="R449" s="2">
        <v>5580</v>
      </c>
      <c r="S449">
        <v>128.34</v>
      </c>
      <c r="T449" s="2">
        <v>20925</v>
      </c>
      <c r="U449" s="2">
        <v>19995</v>
      </c>
      <c r="V449">
        <v>109.48</v>
      </c>
      <c r="W449">
        <v>0</v>
      </c>
      <c r="X449">
        <v>0</v>
      </c>
      <c r="Y449">
        <v>0</v>
      </c>
      <c r="Z449">
        <v>2.5</v>
      </c>
      <c r="AA449">
        <v>2.2835221044939714E-2</v>
      </c>
      <c r="AB449">
        <v>23.3</v>
      </c>
      <c r="AC449">
        <v>7.701944444444444</v>
      </c>
      <c r="AD449">
        <v>22.92</v>
      </c>
      <c r="AE449" s="7"/>
      <c r="AF449" s="7"/>
      <c r="AG449" s="7"/>
      <c r="AH449" s="7"/>
      <c r="AI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4.298055555555556</v>
      </c>
      <c r="AJ449" s="7"/>
      <c r="AK449" t="s">
        <v>352</v>
      </c>
      <c r="AL449">
        <v>4</v>
      </c>
      <c r="AM449">
        <v>2</v>
      </c>
      <c r="AN449">
        <f>IFERROR(INT(Table13[[#This Row],[reject_prod]]/Table13[[#This Row],[part_weight]] * 1000), 0)</f>
        <v>108</v>
      </c>
    </row>
    <row r="450" spans="1:40" hidden="1">
      <c r="A450" s="1">
        <v>46037</v>
      </c>
      <c r="B450">
        <v>1</v>
      </c>
      <c r="C450">
        <v>3</v>
      </c>
      <c r="D450" t="s">
        <v>141</v>
      </c>
      <c r="E450" t="s">
        <v>34</v>
      </c>
      <c r="F450">
        <v>442034</v>
      </c>
      <c r="G450" s="6">
        <v>0</v>
      </c>
      <c r="H450" t="s">
        <v>37</v>
      </c>
      <c r="I450">
        <v>10681183</v>
      </c>
      <c r="J450">
        <v>4</v>
      </c>
      <c r="K450">
        <v>23</v>
      </c>
      <c r="L450">
        <v>23</v>
      </c>
      <c r="M450">
        <v>1613</v>
      </c>
      <c r="N450" s="2">
        <v>139776</v>
      </c>
      <c r="O450" s="2">
        <v>0</v>
      </c>
      <c r="P450" s="2">
        <v>1792</v>
      </c>
      <c r="Q450" s="2">
        <v>6452</v>
      </c>
      <c r="R450" s="2">
        <v>4608</v>
      </c>
      <c r="S450">
        <v>105.98399999999999</v>
      </c>
      <c r="T450" s="2">
        <v>78208</v>
      </c>
      <c r="U450" s="2">
        <v>61568</v>
      </c>
      <c r="V450">
        <v>148.39599999999999</v>
      </c>
      <c r="W450">
        <v>0</v>
      </c>
      <c r="X450">
        <v>0</v>
      </c>
      <c r="Y450">
        <v>0</v>
      </c>
      <c r="Z450">
        <v>1.5</v>
      </c>
      <c r="AA450">
        <v>1.0108089166823904E-2</v>
      </c>
      <c r="AB450">
        <v>26.6</v>
      </c>
      <c r="AC450">
        <v>12</v>
      </c>
      <c r="AD450">
        <v>22</v>
      </c>
      <c r="AE450" s="7"/>
      <c r="AF450" s="7"/>
      <c r="AG450" s="7"/>
      <c r="AH450" s="7"/>
      <c r="AI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50" s="7"/>
      <c r="AK450" t="s">
        <v>103</v>
      </c>
      <c r="AN450">
        <f>IFERROR(INT(Table13[[#This Row],[reject_prod]]/Table13[[#This Row],[part_weight]] * 1000), 0)</f>
        <v>65</v>
      </c>
    </row>
    <row r="451" spans="1:40" hidden="1">
      <c r="A451" s="1">
        <v>46037</v>
      </c>
      <c r="B451">
        <v>1</v>
      </c>
      <c r="C451">
        <v>4</v>
      </c>
      <c r="F451">
        <v>123456</v>
      </c>
      <c r="G451" s="6">
        <v>0</v>
      </c>
      <c r="M451">
        <v>0</v>
      </c>
      <c r="N451">
        <v>0</v>
      </c>
      <c r="O451">
        <v>0</v>
      </c>
      <c r="P451">
        <v>0</v>
      </c>
      <c r="R451">
        <v>0</v>
      </c>
      <c r="T451">
        <v>0</v>
      </c>
      <c r="X451">
        <v>0</v>
      </c>
      <c r="Z451">
        <v>0</v>
      </c>
      <c r="AB451">
        <v>0</v>
      </c>
      <c r="AC451">
        <v>0</v>
      </c>
      <c r="AD451">
        <v>22.5</v>
      </c>
      <c r="AE451" s="7"/>
      <c r="AF451" s="7"/>
      <c r="AG451" s="7"/>
      <c r="AH451" s="7"/>
      <c r="AI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51" s="7">
        <v>12</v>
      </c>
      <c r="AK451" t="s">
        <v>116</v>
      </c>
      <c r="AN451">
        <f>IFERROR(INT(Table13[[#This Row],[reject_prod]]/Table13[[#This Row],[part_weight]] * 1000), 0)</f>
        <v>0</v>
      </c>
    </row>
    <row r="452" spans="1:40" hidden="1">
      <c r="A452" s="1">
        <v>46037</v>
      </c>
      <c r="B452">
        <v>1</v>
      </c>
      <c r="C452">
        <v>5</v>
      </c>
      <c r="D452" t="s">
        <v>152</v>
      </c>
      <c r="E452" t="s">
        <v>34</v>
      </c>
      <c r="F452">
        <v>597507</v>
      </c>
      <c r="G452" s="6">
        <v>0</v>
      </c>
      <c r="H452" t="s">
        <v>279</v>
      </c>
      <c r="I452">
        <v>10682757</v>
      </c>
      <c r="J452">
        <v>4</v>
      </c>
      <c r="K452">
        <v>23</v>
      </c>
      <c r="L452">
        <v>23</v>
      </c>
      <c r="M452">
        <v>1929</v>
      </c>
      <c r="N452" s="2">
        <v>64680</v>
      </c>
      <c r="O452" s="2">
        <v>154</v>
      </c>
      <c r="P452" s="2">
        <v>154</v>
      </c>
      <c r="Q452" s="2">
        <v>7716</v>
      </c>
      <c r="R452" s="2">
        <v>7546</v>
      </c>
      <c r="S452">
        <v>173.55799999999999</v>
      </c>
      <c r="T452" s="2">
        <v>34650</v>
      </c>
      <c r="U452" s="2">
        <v>30030</v>
      </c>
      <c r="V452">
        <v>177.46799999999999</v>
      </c>
      <c r="W452">
        <v>0</v>
      </c>
      <c r="X452">
        <v>0</v>
      </c>
      <c r="Y452">
        <v>0</v>
      </c>
      <c r="Z452">
        <v>2.5</v>
      </c>
      <c r="AA452">
        <v>1.4087046678837875E-2</v>
      </c>
      <c r="AB452">
        <v>22.3</v>
      </c>
      <c r="AC452">
        <v>11.949083333333332</v>
      </c>
      <c r="AD452">
        <v>22</v>
      </c>
      <c r="AE452" s="7"/>
      <c r="AF452" s="7"/>
      <c r="AG452" s="7"/>
      <c r="AH452" s="7"/>
      <c r="AI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5.0916666666667609E-2</v>
      </c>
      <c r="AJ452" s="7"/>
      <c r="AK452" t="s">
        <v>353</v>
      </c>
      <c r="AM452">
        <v>2</v>
      </c>
      <c r="AN452">
        <f>IFERROR(INT(Table13[[#This Row],[reject_prod]]/Table13[[#This Row],[part_weight]] * 1000), 0)</f>
        <v>108</v>
      </c>
    </row>
    <row r="453" spans="1:40" hidden="1">
      <c r="A453" s="1">
        <v>46037</v>
      </c>
      <c r="B453">
        <v>1</v>
      </c>
      <c r="C453">
        <v>6</v>
      </c>
      <c r="D453" t="s">
        <v>346</v>
      </c>
      <c r="E453" t="s">
        <v>34</v>
      </c>
      <c r="F453">
        <v>322429</v>
      </c>
      <c r="G453" s="6">
        <v>0</v>
      </c>
      <c r="H453" t="s">
        <v>354</v>
      </c>
      <c r="I453">
        <v>10683853</v>
      </c>
      <c r="J453">
        <v>4</v>
      </c>
      <c r="K453">
        <v>24.93</v>
      </c>
      <c r="L453">
        <v>24</v>
      </c>
      <c r="M453">
        <v>1255</v>
      </c>
      <c r="N453" s="2">
        <v>40600</v>
      </c>
      <c r="O453" s="2">
        <v>0</v>
      </c>
      <c r="P453" s="2">
        <v>812</v>
      </c>
      <c r="Q453" s="2">
        <v>5020</v>
      </c>
      <c r="R453" s="2">
        <v>4060</v>
      </c>
      <c r="S453">
        <v>97.44</v>
      </c>
      <c r="T453" s="2">
        <v>4872</v>
      </c>
      <c r="U453" s="2">
        <v>35728</v>
      </c>
      <c r="V453">
        <v>120.48</v>
      </c>
      <c r="W453">
        <v>0</v>
      </c>
      <c r="X453">
        <v>3</v>
      </c>
      <c r="Y453">
        <v>2.4900398406374501E-2</v>
      </c>
      <c r="Z453">
        <v>0.5</v>
      </c>
      <c r="AA453">
        <v>4.1500664010624168E-3</v>
      </c>
      <c r="AB453">
        <v>21.4</v>
      </c>
      <c r="AC453">
        <v>7.4602777777777769</v>
      </c>
      <c r="AD453">
        <v>16.96</v>
      </c>
      <c r="AE453" s="7"/>
      <c r="AF453" s="7"/>
      <c r="AG453" s="7">
        <v>1.5</v>
      </c>
      <c r="AH453" s="7"/>
      <c r="AI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3.0397222222222231</v>
      </c>
      <c r="AJ453" s="7"/>
      <c r="AK453" t="s">
        <v>355</v>
      </c>
      <c r="AM453">
        <v>6</v>
      </c>
      <c r="AN453">
        <f>IFERROR(INT(Table13[[#This Row],[reject_prod]]/Table13[[#This Row],[part_weight]] * 1000), 0)</f>
        <v>20</v>
      </c>
    </row>
    <row r="454" spans="1:40" hidden="1">
      <c r="A454" s="1">
        <v>46037</v>
      </c>
      <c r="B454">
        <v>1</v>
      </c>
      <c r="C454">
        <v>7</v>
      </c>
      <c r="D454" t="s">
        <v>43</v>
      </c>
      <c r="E454" t="s">
        <v>34</v>
      </c>
      <c r="F454">
        <v>324177</v>
      </c>
      <c r="G454" s="6">
        <v>0</v>
      </c>
      <c r="H454" t="s">
        <v>246</v>
      </c>
      <c r="I454">
        <v>10682801</v>
      </c>
      <c r="J454">
        <v>4</v>
      </c>
      <c r="K454">
        <v>34.5</v>
      </c>
      <c r="L454">
        <v>34.5</v>
      </c>
      <c r="M454">
        <v>1886</v>
      </c>
      <c r="N454" s="2">
        <v>62400</v>
      </c>
      <c r="O454" s="2">
        <v>0</v>
      </c>
      <c r="P454" s="2">
        <v>1248</v>
      </c>
      <c r="Q454" s="2">
        <v>7544</v>
      </c>
      <c r="R454" s="2">
        <v>6240</v>
      </c>
      <c r="S454">
        <v>215.28</v>
      </c>
      <c r="T454" s="2">
        <v>52728</v>
      </c>
      <c r="U454" s="2">
        <v>9672</v>
      </c>
      <c r="V454">
        <v>260.26799999999997</v>
      </c>
      <c r="W454">
        <v>0</v>
      </c>
      <c r="X454">
        <v>0</v>
      </c>
      <c r="Y454">
        <v>0</v>
      </c>
      <c r="Z454">
        <v>1.6</v>
      </c>
      <c r="AA454">
        <v>6.1475094902177767E-3</v>
      </c>
      <c r="AB454">
        <v>22.2</v>
      </c>
      <c r="AC454">
        <v>11.630333333333333</v>
      </c>
      <c r="AD454">
        <v>22</v>
      </c>
      <c r="AE454" s="7"/>
      <c r="AF454" s="7"/>
      <c r="AG454" s="7"/>
      <c r="AH454" s="7"/>
      <c r="AI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0.36966666666666725</v>
      </c>
      <c r="AJ454" s="7"/>
      <c r="AK454" t="s">
        <v>356</v>
      </c>
      <c r="AN454">
        <f>IFERROR(INT(Table13[[#This Row],[reject_prod]]/Table13[[#This Row],[part_weight]] * 1000), 0)</f>
        <v>46</v>
      </c>
    </row>
    <row r="455" spans="1:40" hidden="1">
      <c r="A455" s="1">
        <v>46037</v>
      </c>
      <c r="B455">
        <v>1</v>
      </c>
      <c r="C455">
        <v>8</v>
      </c>
      <c r="D455" t="s">
        <v>346</v>
      </c>
      <c r="E455" t="s">
        <v>41</v>
      </c>
      <c r="F455">
        <v>593537</v>
      </c>
      <c r="G455" s="6">
        <v>0</v>
      </c>
      <c r="H455" t="s">
        <v>48</v>
      </c>
      <c r="I455">
        <v>10682926</v>
      </c>
      <c r="J455">
        <v>4</v>
      </c>
      <c r="K455">
        <v>56.5</v>
      </c>
      <c r="L455">
        <v>56.8</v>
      </c>
      <c r="M455">
        <v>1368</v>
      </c>
      <c r="N455" s="2">
        <v>69000</v>
      </c>
      <c r="O455" s="2">
        <v>0</v>
      </c>
      <c r="P455" s="2">
        <v>230</v>
      </c>
      <c r="Q455" s="2">
        <v>5472</v>
      </c>
      <c r="R455" s="2">
        <v>5175</v>
      </c>
      <c r="S455">
        <v>293.94</v>
      </c>
      <c r="T455" s="2">
        <v>38180</v>
      </c>
      <c r="U455" s="2">
        <v>30820</v>
      </c>
      <c r="V455">
        <v>310.80959999999999</v>
      </c>
      <c r="W455">
        <v>0</v>
      </c>
      <c r="X455">
        <v>0</v>
      </c>
      <c r="Y455">
        <v>0</v>
      </c>
      <c r="Z455">
        <v>3.5</v>
      </c>
      <c r="AA455">
        <v>1.126091343381929E-2</v>
      </c>
      <c r="AB455">
        <v>31.2</v>
      </c>
      <c r="AC455">
        <v>11.856</v>
      </c>
      <c r="AD455">
        <v>28.5</v>
      </c>
      <c r="AE455" s="7"/>
      <c r="AF455" s="7"/>
      <c r="AG455" s="7"/>
      <c r="AH455" s="7"/>
      <c r="AI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0.14400000000000013</v>
      </c>
      <c r="AJ455" s="7"/>
      <c r="AK455" t="s">
        <v>178</v>
      </c>
      <c r="AN455">
        <f>IFERROR(INT(Table13[[#This Row],[reject_prod]]/Table13[[#This Row],[part_weight]] * 1000), 0)</f>
        <v>61</v>
      </c>
    </row>
    <row r="456" spans="1:40" hidden="1">
      <c r="A456" s="1">
        <v>46037</v>
      </c>
      <c r="B456">
        <v>1</v>
      </c>
      <c r="C456">
        <v>9</v>
      </c>
      <c r="D456" t="s">
        <v>33</v>
      </c>
      <c r="E456" t="s">
        <v>46</v>
      </c>
      <c r="F456">
        <v>586276</v>
      </c>
      <c r="G456" s="6">
        <v>0</v>
      </c>
      <c r="H456" t="s">
        <v>47</v>
      </c>
      <c r="I456">
        <v>10682924</v>
      </c>
      <c r="J456">
        <v>6</v>
      </c>
      <c r="K456">
        <v>12.3</v>
      </c>
      <c r="L456">
        <v>12.3</v>
      </c>
      <c r="M456">
        <v>0</v>
      </c>
      <c r="N456" s="2">
        <v>162000</v>
      </c>
      <c r="O456" s="2">
        <v>7290</v>
      </c>
      <c r="P456" s="2">
        <v>7290</v>
      </c>
      <c r="Q456" s="2">
        <v>0</v>
      </c>
      <c r="R456" s="2">
        <v>0</v>
      </c>
      <c r="S456">
        <v>0</v>
      </c>
      <c r="T456" s="2">
        <v>80190</v>
      </c>
      <c r="U456" s="2">
        <v>81810</v>
      </c>
      <c r="V456">
        <v>0</v>
      </c>
      <c r="W456">
        <v>0</v>
      </c>
      <c r="X456">
        <v>0</v>
      </c>
      <c r="Y456" t="e">
        <v>#DIV/0!</v>
      </c>
      <c r="Z456">
        <v>0</v>
      </c>
      <c r="AA456" t="e">
        <v>#DIV/0!</v>
      </c>
      <c r="AB456">
        <v>26.2</v>
      </c>
      <c r="AC456">
        <v>0</v>
      </c>
      <c r="AD456">
        <v>26</v>
      </c>
      <c r="AE456" s="7"/>
      <c r="AF456" s="7"/>
      <c r="AG456" s="7"/>
      <c r="AH456" s="7"/>
      <c r="AI4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56" s="7"/>
      <c r="AK456" t="s">
        <v>357</v>
      </c>
      <c r="AN456">
        <f>IFERROR(INT(Table13[[#This Row],[reject_prod]]/Table13[[#This Row],[part_weight]] * 1000), 0)</f>
        <v>0</v>
      </c>
    </row>
    <row r="457" spans="1:40" hidden="1">
      <c r="A457" s="1">
        <v>46037</v>
      </c>
      <c r="B457">
        <v>1</v>
      </c>
      <c r="C457">
        <v>10</v>
      </c>
      <c r="D457" t="s">
        <v>108</v>
      </c>
      <c r="E457" t="s">
        <v>34</v>
      </c>
      <c r="F457">
        <v>442310</v>
      </c>
      <c r="G457" s="6">
        <v>0</v>
      </c>
      <c r="H457" t="s">
        <v>315</v>
      </c>
      <c r="I457">
        <v>10684380</v>
      </c>
      <c r="J457">
        <v>4</v>
      </c>
      <c r="K457">
        <v>68.8</v>
      </c>
      <c r="L457">
        <v>68.8</v>
      </c>
      <c r="M457">
        <v>1121</v>
      </c>
      <c r="N457" s="2">
        <v>8008</v>
      </c>
      <c r="O457" s="2">
        <v>182</v>
      </c>
      <c r="P457" s="2">
        <v>0</v>
      </c>
      <c r="Q457" s="2">
        <v>4484</v>
      </c>
      <c r="R457" s="2">
        <v>4368</v>
      </c>
      <c r="S457">
        <v>300.51839999999999</v>
      </c>
      <c r="T457" s="2">
        <v>8008</v>
      </c>
      <c r="U457" s="2">
        <v>0</v>
      </c>
      <c r="V457">
        <v>308.49920000000003</v>
      </c>
      <c r="W457">
        <v>0</v>
      </c>
      <c r="X457">
        <v>0</v>
      </c>
      <c r="Y457">
        <v>0</v>
      </c>
      <c r="Z457">
        <v>8.6</v>
      </c>
      <c r="AA457">
        <v>2.7876895628902762E-2</v>
      </c>
      <c r="AB457">
        <v>33.200000000000003</v>
      </c>
      <c r="AC457">
        <v>10.338111111111113</v>
      </c>
      <c r="AD457">
        <v>33.840000000000003</v>
      </c>
      <c r="AE457" s="7"/>
      <c r="AF457" s="7"/>
      <c r="AG457" s="7"/>
      <c r="AH457" s="7"/>
      <c r="AI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1.6618888888888872</v>
      </c>
      <c r="AJ457" s="7"/>
      <c r="AK457" t="s">
        <v>102</v>
      </c>
      <c r="AL457">
        <v>4</v>
      </c>
      <c r="AM457">
        <v>8</v>
      </c>
      <c r="AN457">
        <f>IFERROR(INT(Table13[[#This Row],[reject_prod]]/Table13[[#This Row],[part_weight]] * 1000), 0)</f>
        <v>125</v>
      </c>
    </row>
    <row r="458" spans="1:40" hidden="1">
      <c r="A458" s="1">
        <v>46037</v>
      </c>
      <c r="B458">
        <v>1</v>
      </c>
      <c r="C458">
        <v>10</v>
      </c>
      <c r="D458" t="s">
        <v>108</v>
      </c>
      <c r="E458" t="s">
        <v>34</v>
      </c>
      <c r="F458">
        <v>442310</v>
      </c>
      <c r="G458" s="6">
        <v>0</v>
      </c>
      <c r="H458" t="s">
        <v>315</v>
      </c>
      <c r="I458">
        <v>10684748</v>
      </c>
      <c r="J458">
        <v>4</v>
      </c>
      <c r="K458">
        <v>68.8</v>
      </c>
      <c r="L458">
        <v>68.8</v>
      </c>
      <c r="M458">
        <v>182</v>
      </c>
      <c r="N458" s="2">
        <v>8008</v>
      </c>
      <c r="O458" s="2">
        <v>0</v>
      </c>
      <c r="P458" s="2">
        <v>0</v>
      </c>
      <c r="Q458" s="2">
        <v>728</v>
      </c>
      <c r="R458" s="2">
        <v>728</v>
      </c>
      <c r="S458">
        <v>50.086400000000005</v>
      </c>
      <c r="T458" s="2">
        <v>728</v>
      </c>
      <c r="U458" s="2">
        <v>7280</v>
      </c>
      <c r="V458">
        <v>50.086400000000005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33.200000000000003</v>
      </c>
      <c r="AC458">
        <v>1.6784444444444446</v>
      </c>
      <c r="AD458">
        <v>33.840000000000003</v>
      </c>
      <c r="AE458" s="7"/>
      <c r="AF458" s="7"/>
      <c r="AG458" s="7"/>
      <c r="AH458" s="7"/>
      <c r="AI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10.321555555555555</v>
      </c>
      <c r="AJ458" s="7"/>
      <c r="AK458" t="s">
        <v>358</v>
      </c>
      <c r="AN458">
        <f>IFERROR(INT(Table13[[#This Row],[reject_prod]]/Table13[[#This Row],[part_weight]] * 1000), 0)</f>
        <v>0</v>
      </c>
    </row>
    <row r="459" spans="1:40" hidden="1">
      <c r="A459" s="1">
        <v>46037</v>
      </c>
      <c r="B459">
        <v>1</v>
      </c>
      <c r="C459">
        <v>11</v>
      </c>
      <c r="D459" t="s">
        <v>61</v>
      </c>
      <c r="E459" t="s">
        <v>46</v>
      </c>
      <c r="F459">
        <v>552181</v>
      </c>
      <c r="G459" s="6">
        <v>1</v>
      </c>
      <c r="H459" t="s">
        <v>49</v>
      </c>
      <c r="I459">
        <v>10683782</v>
      </c>
      <c r="J459">
        <v>6</v>
      </c>
      <c r="K459">
        <v>18.8</v>
      </c>
      <c r="L459">
        <v>18.8</v>
      </c>
      <c r="M459">
        <v>1493</v>
      </c>
      <c r="N459" s="2">
        <v>108000</v>
      </c>
      <c r="O459" s="2">
        <v>270</v>
      </c>
      <c r="P459" s="2">
        <v>3240</v>
      </c>
      <c r="Q459" s="2">
        <v>8958</v>
      </c>
      <c r="R459" s="2">
        <v>5400</v>
      </c>
      <c r="S459">
        <v>101.52</v>
      </c>
      <c r="T459" s="2">
        <v>51840</v>
      </c>
      <c r="U459" s="2">
        <v>56160</v>
      </c>
      <c r="V459">
        <v>168.41039999999998</v>
      </c>
      <c r="W459">
        <v>0</v>
      </c>
      <c r="X459">
        <v>0</v>
      </c>
      <c r="Y459">
        <v>0</v>
      </c>
      <c r="Z459">
        <v>4.5</v>
      </c>
      <c r="AA459">
        <v>2.6720440067834292E-2</v>
      </c>
      <c r="AB459">
        <v>28.5</v>
      </c>
      <c r="AC459">
        <v>11.819583333333334</v>
      </c>
      <c r="AD459">
        <v>27</v>
      </c>
      <c r="AE459" s="7"/>
      <c r="AF459" s="7"/>
      <c r="AG459" s="7"/>
      <c r="AH459" s="7"/>
      <c r="AI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0.180416666666666</v>
      </c>
      <c r="AJ459" s="7"/>
      <c r="AK459" t="s">
        <v>359</v>
      </c>
      <c r="AN459">
        <f>IFERROR(INT(Table13[[#This Row],[reject_prod]]/Table13[[#This Row],[part_weight]] * 1000), 0)</f>
        <v>239</v>
      </c>
    </row>
    <row r="460" spans="1:40" hidden="1">
      <c r="A460" s="1">
        <v>46037</v>
      </c>
      <c r="B460">
        <v>1</v>
      </c>
      <c r="C460">
        <v>12</v>
      </c>
      <c r="D460" t="s">
        <v>40</v>
      </c>
      <c r="E460" t="s">
        <v>34</v>
      </c>
      <c r="F460">
        <v>620599</v>
      </c>
      <c r="G460" s="6">
        <v>0</v>
      </c>
      <c r="H460" t="s">
        <v>50</v>
      </c>
      <c r="I460">
        <v>10682929</v>
      </c>
      <c r="J460">
        <v>4</v>
      </c>
      <c r="K460">
        <v>55</v>
      </c>
      <c r="L460">
        <v>55</v>
      </c>
      <c r="M460">
        <v>1506</v>
      </c>
      <c r="N460" s="2">
        <v>72000</v>
      </c>
      <c r="O460" s="2">
        <v>225</v>
      </c>
      <c r="P460" s="2">
        <v>675</v>
      </c>
      <c r="Q460" s="2">
        <v>6024</v>
      </c>
      <c r="R460" s="2">
        <v>5400</v>
      </c>
      <c r="S460">
        <v>297</v>
      </c>
      <c r="T460" s="2">
        <v>36675</v>
      </c>
      <c r="U460" s="2">
        <v>35325</v>
      </c>
      <c r="V460">
        <v>331.32</v>
      </c>
      <c r="W460">
        <v>0</v>
      </c>
      <c r="X460">
        <v>0</v>
      </c>
      <c r="Y460">
        <v>0</v>
      </c>
      <c r="Z460">
        <v>9.5</v>
      </c>
      <c r="AA460">
        <v>2.8673186043703974E-2</v>
      </c>
      <c r="AB460">
        <v>28.7</v>
      </c>
      <c r="AC460">
        <v>12</v>
      </c>
      <c r="AD460">
        <v>28</v>
      </c>
      <c r="AE460" s="7"/>
      <c r="AF460" s="7"/>
      <c r="AG460" s="7"/>
      <c r="AH460" s="7"/>
      <c r="AI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0" s="7"/>
      <c r="AK460" t="s">
        <v>360</v>
      </c>
      <c r="AN460">
        <f>IFERROR(INT(Table13[[#This Row],[reject_prod]]/Table13[[#This Row],[part_weight]] * 1000), 0)</f>
        <v>172</v>
      </c>
    </row>
    <row r="461" spans="1:40" hidden="1">
      <c r="A461" s="1">
        <v>46037</v>
      </c>
      <c r="B461">
        <v>1</v>
      </c>
      <c r="C461">
        <v>13</v>
      </c>
      <c r="D461" t="s">
        <v>61</v>
      </c>
      <c r="E461" t="s">
        <v>46</v>
      </c>
      <c r="F461">
        <v>586276</v>
      </c>
      <c r="G461" s="6">
        <v>0</v>
      </c>
      <c r="H461" t="s">
        <v>47</v>
      </c>
      <c r="I461">
        <v>10683784</v>
      </c>
      <c r="J461">
        <v>6</v>
      </c>
      <c r="K461">
        <v>12.3</v>
      </c>
      <c r="L461">
        <v>12.3</v>
      </c>
      <c r="M461">
        <v>1641</v>
      </c>
      <c r="N461" s="2">
        <v>162000</v>
      </c>
      <c r="O461" s="2">
        <v>4050</v>
      </c>
      <c r="P461" s="2">
        <v>5670</v>
      </c>
      <c r="Q461" s="2">
        <v>9846</v>
      </c>
      <c r="R461" s="2">
        <v>8100</v>
      </c>
      <c r="S461">
        <v>99.63</v>
      </c>
      <c r="T461" s="2">
        <v>54270</v>
      </c>
      <c r="U461" s="2">
        <v>107730</v>
      </c>
      <c r="V461">
        <v>121.1058</v>
      </c>
      <c r="W461">
        <v>0</v>
      </c>
      <c r="X461">
        <v>0</v>
      </c>
      <c r="Y461">
        <v>0</v>
      </c>
      <c r="Z461">
        <v>1.5</v>
      </c>
      <c r="AA461">
        <v>1.2385864260836392E-2</v>
      </c>
      <c r="AB461">
        <v>26.4</v>
      </c>
      <c r="AC461">
        <v>12</v>
      </c>
      <c r="AD461">
        <v>26</v>
      </c>
      <c r="AE461" s="7"/>
      <c r="AF461" s="7"/>
      <c r="AG461" s="7"/>
      <c r="AH461" s="7"/>
      <c r="AI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1" s="7"/>
      <c r="AK461" t="s">
        <v>51</v>
      </c>
      <c r="AN461">
        <f>IFERROR(INT(Table13[[#This Row],[reject_prod]]/Table13[[#This Row],[part_weight]] * 1000), 0)</f>
        <v>121</v>
      </c>
    </row>
    <row r="462" spans="1:40" hidden="1">
      <c r="A462" s="1">
        <v>46037</v>
      </c>
      <c r="B462">
        <v>1</v>
      </c>
      <c r="C462">
        <v>14</v>
      </c>
      <c r="D462" t="s">
        <v>67</v>
      </c>
      <c r="E462" t="s">
        <v>46</v>
      </c>
      <c r="F462">
        <v>555979</v>
      </c>
      <c r="G462" s="6">
        <v>1</v>
      </c>
      <c r="H462" t="s">
        <v>52</v>
      </c>
      <c r="I462">
        <v>10682932</v>
      </c>
      <c r="J462">
        <v>6</v>
      </c>
      <c r="K462">
        <v>28</v>
      </c>
      <c r="L462">
        <v>28</v>
      </c>
      <c r="M462">
        <v>938</v>
      </c>
      <c r="N462" s="2">
        <v>100800</v>
      </c>
      <c r="O462" s="2">
        <v>1008</v>
      </c>
      <c r="P462" s="2">
        <v>3192</v>
      </c>
      <c r="Q462" s="2">
        <v>5628</v>
      </c>
      <c r="R462" s="2">
        <v>3360</v>
      </c>
      <c r="S462">
        <v>94.08</v>
      </c>
      <c r="T462" s="2">
        <v>83832</v>
      </c>
      <c r="U462" s="2">
        <v>16968</v>
      </c>
      <c r="V462">
        <v>157.584</v>
      </c>
      <c r="W462">
        <v>0</v>
      </c>
      <c r="X462">
        <v>0</v>
      </c>
      <c r="Y462">
        <v>0</v>
      </c>
      <c r="Z462">
        <v>2.2999999999999998</v>
      </c>
      <c r="AA462">
        <v>1.4595390394963954E-2</v>
      </c>
      <c r="AB462">
        <v>42.7</v>
      </c>
      <c r="AC462">
        <v>11.125722222222223</v>
      </c>
      <c r="AD462">
        <v>42</v>
      </c>
      <c r="AE462" s="7"/>
      <c r="AF462" s="7"/>
      <c r="AG462" s="7"/>
      <c r="AH462" s="7"/>
      <c r="AI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0.87427777777777749</v>
      </c>
      <c r="AJ462" s="7"/>
      <c r="AK462" t="s">
        <v>361</v>
      </c>
      <c r="AM462">
        <v>4</v>
      </c>
      <c r="AN462">
        <f>IFERROR(INT(Table13[[#This Row],[reject_prod]]/Table13[[#This Row],[part_weight]] * 1000), 0)</f>
        <v>82</v>
      </c>
    </row>
    <row r="463" spans="1:40" hidden="1">
      <c r="A463" s="1">
        <v>46037</v>
      </c>
      <c r="B463">
        <v>1</v>
      </c>
      <c r="C463">
        <v>15</v>
      </c>
      <c r="D463" t="s">
        <v>61</v>
      </c>
      <c r="E463" t="s">
        <v>46</v>
      </c>
      <c r="F463">
        <v>552181</v>
      </c>
      <c r="G463" s="6">
        <v>2</v>
      </c>
      <c r="H463" t="s">
        <v>49</v>
      </c>
      <c r="I463">
        <v>10683786</v>
      </c>
      <c r="J463">
        <v>6</v>
      </c>
      <c r="K463">
        <v>18.8</v>
      </c>
      <c r="L463">
        <v>18.8</v>
      </c>
      <c r="M463">
        <v>1359</v>
      </c>
      <c r="N463" s="2">
        <v>108000</v>
      </c>
      <c r="O463" s="2">
        <v>1080</v>
      </c>
      <c r="P463" s="2">
        <v>3780</v>
      </c>
      <c r="Q463" s="2">
        <v>8154</v>
      </c>
      <c r="R463" s="2">
        <v>5400</v>
      </c>
      <c r="S463">
        <v>101.52</v>
      </c>
      <c r="T463" s="2">
        <v>25380</v>
      </c>
      <c r="U463" s="2">
        <v>82620</v>
      </c>
      <c r="V463">
        <v>153.29520000000002</v>
      </c>
      <c r="W463">
        <v>0</v>
      </c>
      <c r="X463">
        <v>0</v>
      </c>
      <c r="Y463">
        <v>0</v>
      </c>
      <c r="Z463">
        <v>1</v>
      </c>
      <c r="AA463">
        <v>6.5233614620679569E-3</v>
      </c>
      <c r="AB463">
        <v>31.3</v>
      </c>
      <c r="AC463">
        <v>11.81575</v>
      </c>
      <c r="AD463">
        <v>27</v>
      </c>
      <c r="AE463" s="7"/>
      <c r="AF463" s="7"/>
      <c r="AG463" s="7"/>
      <c r="AH463" s="7"/>
      <c r="AI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0.18425000000000047</v>
      </c>
      <c r="AJ463" s="7"/>
      <c r="AK463" t="s">
        <v>51</v>
      </c>
      <c r="AN463">
        <f>IFERROR(INT(Table13[[#This Row],[reject_prod]]/Table13[[#This Row],[part_weight]] * 1000), 0)</f>
        <v>53</v>
      </c>
    </row>
    <row r="464" spans="1:40" s="4" customFormat="1" hidden="1">
      <c r="A464" s="3">
        <v>46037</v>
      </c>
      <c r="B464" s="4">
        <v>1</v>
      </c>
      <c r="C464" s="4">
        <v>16</v>
      </c>
      <c r="D464" s="4" t="s">
        <v>347</v>
      </c>
      <c r="E464" s="4" t="s">
        <v>46</v>
      </c>
      <c r="F464" s="4">
        <v>555979</v>
      </c>
      <c r="G464" s="9">
        <v>2</v>
      </c>
      <c r="H464" s="4" t="s">
        <v>52</v>
      </c>
      <c r="I464" s="4">
        <v>10683788</v>
      </c>
      <c r="J464" s="4">
        <v>6</v>
      </c>
      <c r="K464" s="4">
        <v>28</v>
      </c>
      <c r="L464" s="4">
        <v>28</v>
      </c>
      <c r="M464" s="4">
        <v>961</v>
      </c>
      <c r="N464" s="5">
        <v>100800</v>
      </c>
      <c r="O464" s="5">
        <v>0</v>
      </c>
      <c r="P464" s="5">
        <v>2352</v>
      </c>
      <c r="Q464" s="5">
        <v>5766</v>
      </c>
      <c r="R464" s="5">
        <v>3360</v>
      </c>
      <c r="S464" s="4">
        <v>94.08</v>
      </c>
      <c r="T464" s="5">
        <v>25872</v>
      </c>
      <c r="U464" s="5">
        <v>74928</v>
      </c>
      <c r="V464" s="4">
        <v>161.44800000000001</v>
      </c>
      <c r="W464" s="4">
        <v>0</v>
      </c>
      <c r="X464" s="4">
        <v>0</v>
      </c>
      <c r="Y464" s="4">
        <v>0</v>
      </c>
      <c r="Z464" s="4">
        <v>1.5</v>
      </c>
      <c r="AA464" s="4">
        <v>9.2909171993459192E-3</v>
      </c>
      <c r="AB464" s="4">
        <v>43.7</v>
      </c>
      <c r="AC464" s="4">
        <v>11.665472222222224</v>
      </c>
      <c r="AD464" s="4">
        <v>42</v>
      </c>
      <c r="AE464" s="8"/>
      <c r="AF464" s="8"/>
      <c r="AG464" s="8"/>
      <c r="AH464" s="8"/>
      <c r="AI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0.33452777777777598</v>
      </c>
      <c r="AJ464" s="8"/>
      <c r="AK464" s="4" t="s">
        <v>51</v>
      </c>
      <c r="AN464">
        <f>IFERROR(INT(Table13[[#This Row],[reject_prod]]/Table13[[#This Row],[part_weight]] * 1000), 0)</f>
        <v>53</v>
      </c>
    </row>
    <row r="465" spans="1:40" hidden="1">
      <c r="A465" s="1">
        <v>46037</v>
      </c>
      <c r="B465">
        <v>2</v>
      </c>
      <c r="C465">
        <v>1</v>
      </c>
      <c r="D465" t="s">
        <v>84</v>
      </c>
      <c r="E465" t="s">
        <v>34</v>
      </c>
      <c r="F465">
        <v>577492</v>
      </c>
      <c r="G465" s="6">
        <v>0</v>
      </c>
      <c r="H465" t="s">
        <v>341</v>
      </c>
      <c r="I465">
        <v>10683850</v>
      </c>
      <c r="J465">
        <v>4</v>
      </c>
      <c r="K465">
        <v>35.6</v>
      </c>
      <c r="L465">
        <v>35.6</v>
      </c>
      <c r="M465">
        <v>1510</v>
      </c>
      <c r="N465" s="2">
        <v>40480</v>
      </c>
      <c r="O465" s="2">
        <v>1104</v>
      </c>
      <c r="P465" s="2">
        <v>1560</v>
      </c>
      <c r="Q465" s="2">
        <v>6040</v>
      </c>
      <c r="R465" s="2">
        <v>5520</v>
      </c>
      <c r="S465">
        <v>196.512</v>
      </c>
      <c r="T465" s="2">
        <v>6256</v>
      </c>
      <c r="U465" s="2">
        <v>34224</v>
      </c>
      <c r="V465">
        <v>215.024</v>
      </c>
      <c r="W465">
        <v>0</v>
      </c>
      <c r="X465">
        <v>0</v>
      </c>
      <c r="Y465">
        <v>0</v>
      </c>
      <c r="Z465">
        <v>4.5999999999999996</v>
      </c>
      <c r="AA465">
        <v>2.1392960785772748E-2</v>
      </c>
      <c r="AB465">
        <v>28.2</v>
      </c>
      <c r="AC465">
        <v>11.828333333333333</v>
      </c>
      <c r="AD465">
        <v>27</v>
      </c>
      <c r="AE465" s="7"/>
      <c r="AF465" s="7"/>
      <c r="AG465" s="7"/>
      <c r="AH465" s="7"/>
      <c r="AI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0.17166666666666686</v>
      </c>
      <c r="AJ465" s="7"/>
      <c r="AK465" t="s">
        <v>362</v>
      </c>
      <c r="AN465">
        <f>IFERROR(INT(Table13[[#This Row],[reject_prod]]/Table13[[#This Row],[part_weight]] * 1000), 0)</f>
        <v>129</v>
      </c>
    </row>
    <row r="466" spans="1:40" hidden="1">
      <c r="A466" s="1">
        <v>46037</v>
      </c>
      <c r="B466">
        <v>2</v>
      </c>
      <c r="C466">
        <v>2</v>
      </c>
      <c r="D466" t="s">
        <v>348</v>
      </c>
      <c r="E466" t="s">
        <v>34</v>
      </c>
      <c r="F466">
        <v>463202</v>
      </c>
      <c r="G466" s="6">
        <v>0</v>
      </c>
      <c r="H466" t="s">
        <v>320</v>
      </c>
      <c r="I466">
        <v>10684540</v>
      </c>
      <c r="J466">
        <v>4</v>
      </c>
      <c r="K466">
        <v>23</v>
      </c>
      <c r="L466">
        <v>23</v>
      </c>
      <c r="M466">
        <v>1775</v>
      </c>
      <c r="N466" s="2">
        <v>40920</v>
      </c>
      <c r="O466" s="2">
        <v>4185</v>
      </c>
      <c r="P466" s="2">
        <v>100</v>
      </c>
      <c r="Q466" s="2">
        <v>7100</v>
      </c>
      <c r="R466" s="2">
        <v>11160</v>
      </c>
      <c r="S466">
        <v>256.68</v>
      </c>
      <c r="T466" s="2">
        <v>28000</v>
      </c>
      <c r="U466" s="2">
        <v>12920</v>
      </c>
      <c r="V466">
        <v>163.30000000000001</v>
      </c>
      <c r="W466">
        <v>0</v>
      </c>
      <c r="X466">
        <v>0</v>
      </c>
      <c r="Y466">
        <v>0</v>
      </c>
      <c r="Z466">
        <v>1.5</v>
      </c>
      <c r="AA466">
        <v>9.1855480710349036E-3</v>
      </c>
      <c r="AB466">
        <v>23.27</v>
      </c>
      <c r="AC466">
        <v>11.473402777777778</v>
      </c>
      <c r="AD466">
        <v>22.92</v>
      </c>
      <c r="AE466" s="7"/>
      <c r="AF466" s="7"/>
      <c r="AG466" s="7"/>
      <c r="AH466" s="7"/>
      <c r="AI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0.52659722222222172</v>
      </c>
      <c r="AJ466" s="7"/>
      <c r="AK466" t="s">
        <v>214</v>
      </c>
      <c r="AN466">
        <f>IFERROR(INT(Table13[[#This Row],[reject_prod]]/Table13[[#This Row],[part_weight]] * 1000), 0)</f>
        <v>65</v>
      </c>
    </row>
    <row r="467" spans="1:40" hidden="1">
      <c r="A467" s="1">
        <v>46037</v>
      </c>
      <c r="B467">
        <v>2</v>
      </c>
      <c r="C467">
        <v>3</v>
      </c>
      <c r="D467" t="s">
        <v>124</v>
      </c>
      <c r="E467" t="s">
        <v>34</v>
      </c>
      <c r="F467">
        <v>442034</v>
      </c>
      <c r="G467" s="6">
        <v>0</v>
      </c>
      <c r="H467" t="s">
        <v>37</v>
      </c>
      <c r="I467">
        <v>10681183</v>
      </c>
      <c r="J467">
        <v>4</v>
      </c>
      <c r="K467">
        <v>23</v>
      </c>
      <c r="L467">
        <v>23</v>
      </c>
      <c r="M467">
        <v>1590</v>
      </c>
      <c r="N467" s="2">
        <v>139776</v>
      </c>
      <c r="O467" s="2">
        <v>1792</v>
      </c>
      <c r="P467" s="2">
        <v>3840</v>
      </c>
      <c r="Q467" s="2">
        <v>6360</v>
      </c>
      <c r="R467" s="2">
        <v>4608</v>
      </c>
      <c r="S467">
        <v>105.98399999999999</v>
      </c>
      <c r="T467" s="2">
        <v>77568</v>
      </c>
      <c r="U467" s="2">
        <v>62208</v>
      </c>
      <c r="V467">
        <v>146.28</v>
      </c>
      <c r="W467">
        <v>0</v>
      </c>
      <c r="X467">
        <v>0</v>
      </c>
      <c r="Y467">
        <v>0</v>
      </c>
      <c r="Z467">
        <v>4.5999999999999996</v>
      </c>
      <c r="AA467">
        <v>3.1446540880503145E-2</v>
      </c>
      <c r="AB467">
        <v>26.55</v>
      </c>
      <c r="AC467">
        <v>11.72625</v>
      </c>
      <c r="AD467">
        <v>22</v>
      </c>
      <c r="AE467" s="7"/>
      <c r="AF467" s="7"/>
      <c r="AG467" s="7"/>
      <c r="AH467" s="7"/>
      <c r="AI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0.27374999999999972</v>
      </c>
      <c r="AJ467" s="7"/>
      <c r="AK467" t="s">
        <v>103</v>
      </c>
      <c r="AN467">
        <f>IFERROR(INT(Table13[[#This Row],[reject_prod]]/Table13[[#This Row],[part_weight]] * 1000), 0)</f>
        <v>200</v>
      </c>
    </row>
    <row r="468" spans="1:40" hidden="1">
      <c r="A468" s="1">
        <v>46037</v>
      </c>
      <c r="B468">
        <v>2</v>
      </c>
      <c r="C468">
        <v>4</v>
      </c>
      <c r="F468">
        <v>123456</v>
      </c>
      <c r="G468" s="6">
        <v>0</v>
      </c>
      <c r="M468">
        <v>0</v>
      </c>
      <c r="N468">
        <v>0</v>
      </c>
      <c r="O468">
        <v>0</v>
      </c>
      <c r="P468">
        <v>0</v>
      </c>
      <c r="R468">
        <v>0</v>
      </c>
      <c r="T468">
        <v>0</v>
      </c>
      <c r="X468">
        <v>0</v>
      </c>
      <c r="Z468">
        <v>0</v>
      </c>
      <c r="AB468">
        <v>0</v>
      </c>
      <c r="AC468">
        <v>0</v>
      </c>
      <c r="AD468">
        <v>22.5</v>
      </c>
      <c r="AE468" s="7"/>
      <c r="AF468" s="7"/>
      <c r="AG468" s="7"/>
      <c r="AH468" s="7"/>
      <c r="AI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8" s="7">
        <v>12</v>
      </c>
      <c r="AK468" t="s">
        <v>116</v>
      </c>
      <c r="AN468">
        <f>IFERROR(INT(Table13[[#This Row],[reject_prod]]/Table13[[#This Row],[part_weight]] * 1000), 0)</f>
        <v>0</v>
      </c>
    </row>
    <row r="469" spans="1:40" hidden="1">
      <c r="A469" s="1">
        <v>46037</v>
      </c>
      <c r="B469">
        <v>2</v>
      </c>
      <c r="C469">
        <v>5</v>
      </c>
      <c r="D469" t="s">
        <v>139</v>
      </c>
      <c r="E469" t="s">
        <v>34</v>
      </c>
      <c r="F469">
        <v>597507</v>
      </c>
      <c r="G469" s="6">
        <v>0</v>
      </c>
      <c r="H469" t="s">
        <v>279</v>
      </c>
      <c r="I469">
        <v>10682757</v>
      </c>
      <c r="J469">
        <v>4</v>
      </c>
      <c r="K469">
        <v>23</v>
      </c>
      <c r="L469">
        <v>23</v>
      </c>
      <c r="M469">
        <v>1860</v>
      </c>
      <c r="N469" s="2">
        <v>64680</v>
      </c>
      <c r="O469" s="2">
        <v>154</v>
      </c>
      <c r="P469" s="2">
        <v>0</v>
      </c>
      <c r="Q469" s="2">
        <v>7440</v>
      </c>
      <c r="R469" s="2">
        <v>7546</v>
      </c>
      <c r="S469">
        <v>173.55799999999999</v>
      </c>
      <c r="T469" s="2">
        <v>42042</v>
      </c>
      <c r="U469" s="2">
        <v>22638</v>
      </c>
      <c r="V469">
        <v>171.12</v>
      </c>
      <c r="W469">
        <v>0</v>
      </c>
      <c r="X469">
        <v>0</v>
      </c>
      <c r="Y469">
        <v>0</v>
      </c>
      <c r="Z469">
        <v>5.8</v>
      </c>
      <c r="AA469">
        <v>3.3894343151005139E-2</v>
      </c>
      <c r="AB469">
        <v>22.3</v>
      </c>
      <c r="AC469">
        <v>11.521666666666667</v>
      </c>
      <c r="AD469">
        <v>22</v>
      </c>
      <c r="AE469" s="7"/>
      <c r="AF469" s="7"/>
      <c r="AG469" s="7"/>
      <c r="AH469" s="7"/>
      <c r="AI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0.4783333333333335</v>
      </c>
      <c r="AJ469" s="7"/>
      <c r="AK469" t="s">
        <v>363</v>
      </c>
      <c r="AN469">
        <f>IFERROR(INT(Table13[[#This Row],[reject_prod]]/Table13[[#This Row],[part_weight]] * 1000), 0)</f>
        <v>252</v>
      </c>
    </row>
    <row r="470" spans="1:40" hidden="1">
      <c r="A470" s="1">
        <v>46037</v>
      </c>
      <c r="B470">
        <v>2</v>
      </c>
      <c r="C470">
        <v>6</v>
      </c>
      <c r="D470" t="s">
        <v>349</v>
      </c>
      <c r="E470" t="s">
        <v>34</v>
      </c>
      <c r="F470">
        <v>322429</v>
      </c>
      <c r="G470" s="6">
        <v>0</v>
      </c>
      <c r="H470" t="s">
        <v>354</v>
      </c>
      <c r="I470">
        <v>10683853</v>
      </c>
      <c r="J470">
        <v>4</v>
      </c>
      <c r="K470">
        <v>24.93</v>
      </c>
      <c r="L470">
        <v>24</v>
      </c>
      <c r="M470">
        <v>2030</v>
      </c>
      <c r="N470" s="2">
        <v>40600</v>
      </c>
      <c r="O470" s="2">
        <v>812</v>
      </c>
      <c r="P470" s="2">
        <v>812</v>
      </c>
      <c r="Q470" s="2">
        <v>8120</v>
      </c>
      <c r="R470" s="2">
        <v>8120</v>
      </c>
      <c r="S470">
        <v>194.88</v>
      </c>
      <c r="T470" s="2">
        <v>12992</v>
      </c>
      <c r="U470" s="2">
        <v>27608</v>
      </c>
      <c r="V470">
        <v>194.88</v>
      </c>
      <c r="W470">
        <v>0</v>
      </c>
      <c r="X470">
        <v>0</v>
      </c>
      <c r="Y470">
        <v>0</v>
      </c>
      <c r="Z470">
        <v>1.6</v>
      </c>
      <c r="AA470">
        <v>8.2101806239737278E-3</v>
      </c>
      <c r="AB470">
        <v>21.44</v>
      </c>
      <c r="AC470">
        <v>12</v>
      </c>
      <c r="AD470">
        <v>16.96</v>
      </c>
      <c r="AE470" s="7"/>
      <c r="AF470" s="7"/>
      <c r="AG470" s="7"/>
      <c r="AH470" s="7"/>
      <c r="AI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70" s="7"/>
      <c r="AK470" t="s">
        <v>103</v>
      </c>
      <c r="AN470">
        <f>IFERROR(INT(Table13[[#This Row],[reject_prod]]/Table13[[#This Row],[part_weight]] * 1000), 0)</f>
        <v>66</v>
      </c>
    </row>
    <row r="471" spans="1:40" hidden="1">
      <c r="A471" s="1">
        <v>46037</v>
      </c>
      <c r="B471">
        <v>2</v>
      </c>
      <c r="C471">
        <v>7</v>
      </c>
      <c r="D471" t="s">
        <v>208</v>
      </c>
      <c r="E471" t="s">
        <v>34</v>
      </c>
      <c r="F471">
        <v>324177</v>
      </c>
      <c r="G471" s="6">
        <v>0</v>
      </c>
      <c r="H471" t="s">
        <v>246</v>
      </c>
      <c r="I471">
        <v>10682801</v>
      </c>
      <c r="J471">
        <v>4</v>
      </c>
      <c r="K471">
        <v>34.5</v>
      </c>
      <c r="L471">
        <v>34.5</v>
      </c>
      <c r="M471">
        <v>1860</v>
      </c>
      <c r="N471" s="2">
        <v>62400</v>
      </c>
      <c r="O471" s="2">
        <v>1248</v>
      </c>
      <c r="P471" s="2">
        <v>780</v>
      </c>
      <c r="Q471" s="2">
        <v>7440</v>
      </c>
      <c r="R471" s="2">
        <v>7800</v>
      </c>
      <c r="S471">
        <v>269.10000000000002</v>
      </c>
      <c r="T471" s="2">
        <v>60060</v>
      </c>
      <c r="U471" s="2">
        <v>2340</v>
      </c>
      <c r="V471">
        <v>256.68</v>
      </c>
      <c r="W471">
        <v>0</v>
      </c>
      <c r="X471">
        <v>0</v>
      </c>
      <c r="Y471">
        <v>0</v>
      </c>
      <c r="Z471">
        <v>6.8</v>
      </c>
      <c r="AA471">
        <v>2.6492130278946546E-2</v>
      </c>
      <c r="AB471">
        <v>22.24</v>
      </c>
      <c r="AC471">
        <v>11.490666666666666</v>
      </c>
      <c r="AD471">
        <v>22</v>
      </c>
      <c r="AE471" s="7"/>
      <c r="AF471" s="7"/>
      <c r="AG471" s="7"/>
      <c r="AH471" s="7"/>
      <c r="AI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0.50933333333333408</v>
      </c>
      <c r="AJ471" s="7"/>
      <c r="AK471" t="s">
        <v>356</v>
      </c>
      <c r="AN471">
        <f>IFERROR(INT(Table13[[#This Row],[reject_prod]]/Table13[[#This Row],[part_weight]] * 1000), 0)</f>
        <v>197</v>
      </c>
    </row>
    <row r="472" spans="1:40" hidden="1">
      <c r="A472" s="1">
        <v>46037</v>
      </c>
      <c r="B472">
        <v>2</v>
      </c>
      <c r="C472">
        <v>8</v>
      </c>
      <c r="D472" t="s">
        <v>56</v>
      </c>
      <c r="E472" t="s">
        <v>41</v>
      </c>
      <c r="F472">
        <v>593537</v>
      </c>
      <c r="G472" s="6">
        <v>0</v>
      </c>
      <c r="H472" t="s">
        <v>48</v>
      </c>
      <c r="I472">
        <v>10682926</v>
      </c>
      <c r="J472">
        <v>4</v>
      </c>
      <c r="K472">
        <v>56.5</v>
      </c>
      <c r="L472">
        <v>56.8</v>
      </c>
      <c r="M472">
        <v>1380</v>
      </c>
      <c r="N472" s="2">
        <v>69000</v>
      </c>
      <c r="O472" s="2">
        <v>230</v>
      </c>
      <c r="P472" s="2">
        <v>0</v>
      </c>
      <c r="Q472" s="2">
        <v>5520</v>
      </c>
      <c r="R472" s="2">
        <v>5750</v>
      </c>
      <c r="S472">
        <v>326.60000000000002</v>
      </c>
      <c r="T472" s="2">
        <v>43700</v>
      </c>
      <c r="U472" s="2">
        <v>25300</v>
      </c>
      <c r="V472">
        <v>313.536</v>
      </c>
      <c r="W472">
        <v>0</v>
      </c>
      <c r="X472">
        <v>0</v>
      </c>
      <c r="Y472">
        <v>0</v>
      </c>
      <c r="Z472">
        <v>1</v>
      </c>
      <c r="AA472">
        <v>3.1894264135537867E-3</v>
      </c>
      <c r="AB472">
        <v>31.2</v>
      </c>
      <c r="AC472">
        <v>11.959999999999999</v>
      </c>
      <c r="AD472">
        <v>28.5</v>
      </c>
      <c r="AE472" s="7"/>
      <c r="AF472" s="7"/>
      <c r="AG472" s="7"/>
      <c r="AH472" s="7"/>
      <c r="AI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4.0000000000000924E-2</v>
      </c>
      <c r="AJ472" s="7"/>
      <c r="AK472" t="s">
        <v>51</v>
      </c>
      <c r="AN472">
        <f>IFERROR(INT(Table13[[#This Row],[reject_prod]]/Table13[[#This Row],[part_weight]] * 1000), 0)</f>
        <v>17</v>
      </c>
    </row>
    <row r="473" spans="1:40" hidden="1">
      <c r="A473" s="1">
        <v>46037</v>
      </c>
      <c r="B473">
        <v>2</v>
      </c>
      <c r="C473">
        <v>9</v>
      </c>
      <c r="D473" t="s">
        <v>33</v>
      </c>
      <c r="E473" t="s">
        <v>46</v>
      </c>
      <c r="F473">
        <v>586276</v>
      </c>
      <c r="G473" s="6">
        <v>0</v>
      </c>
      <c r="H473" t="s">
        <v>47</v>
      </c>
      <c r="I473">
        <v>10682924</v>
      </c>
      <c r="J473">
        <v>6</v>
      </c>
      <c r="K473">
        <v>12.3</v>
      </c>
      <c r="L473">
        <v>12.3</v>
      </c>
      <c r="M473">
        <v>0</v>
      </c>
      <c r="N473" s="2">
        <v>162000</v>
      </c>
      <c r="O473" s="2">
        <v>7290</v>
      </c>
      <c r="P473" s="2">
        <v>7290</v>
      </c>
      <c r="Q473" s="2">
        <v>0</v>
      </c>
      <c r="R473" s="2">
        <v>0</v>
      </c>
      <c r="S473">
        <v>0</v>
      </c>
      <c r="T473" s="2">
        <v>80190</v>
      </c>
      <c r="U473" s="2">
        <v>81810</v>
      </c>
      <c r="V473">
        <v>0</v>
      </c>
      <c r="W473">
        <v>0</v>
      </c>
      <c r="X473">
        <v>0</v>
      </c>
      <c r="Y473" t="e">
        <v>#DIV/0!</v>
      </c>
      <c r="Z473">
        <v>0</v>
      </c>
      <c r="AA473" t="e">
        <v>#DIV/0!</v>
      </c>
      <c r="AB473">
        <v>26.2</v>
      </c>
      <c r="AC473">
        <v>0</v>
      </c>
      <c r="AD473">
        <v>26</v>
      </c>
      <c r="AE473" s="7"/>
      <c r="AF473" s="7"/>
      <c r="AG473" s="7"/>
      <c r="AH473" s="7"/>
      <c r="AI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73" s="7"/>
      <c r="AK473" t="s">
        <v>357</v>
      </c>
      <c r="AN473">
        <f>IFERROR(INT(Table13[[#This Row],[reject_prod]]/Table13[[#This Row],[part_weight]] * 1000), 0)</f>
        <v>0</v>
      </c>
    </row>
    <row r="474" spans="1:40" hidden="1">
      <c r="A474" s="1">
        <v>46037</v>
      </c>
      <c r="B474">
        <v>2</v>
      </c>
      <c r="C474">
        <v>10</v>
      </c>
      <c r="D474" t="s">
        <v>181</v>
      </c>
      <c r="E474" t="s">
        <v>34</v>
      </c>
      <c r="F474">
        <v>442310</v>
      </c>
      <c r="G474" s="6">
        <v>0</v>
      </c>
      <c r="H474" t="s">
        <v>315</v>
      </c>
      <c r="I474">
        <v>10684748</v>
      </c>
      <c r="J474">
        <v>4</v>
      </c>
      <c r="K474">
        <v>68.8</v>
      </c>
      <c r="L474">
        <v>68.8</v>
      </c>
      <c r="M474">
        <v>1250</v>
      </c>
      <c r="N474" s="2">
        <v>8008</v>
      </c>
      <c r="O474" s="2">
        <v>0</v>
      </c>
      <c r="P474" s="2">
        <v>546</v>
      </c>
      <c r="Q474" s="2">
        <v>5000</v>
      </c>
      <c r="R474" s="2">
        <v>4368</v>
      </c>
      <c r="S474">
        <v>300.51839999999999</v>
      </c>
      <c r="T474" s="2">
        <v>5642</v>
      </c>
      <c r="U474" s="2">
        <v>2366</v>
      </c>
      <c r="V474">
        <v>344</v>
      </c>
      <c r="W474">
        <v>0</v>
      </c>
      <c r="X474">
        <v>0</v>
      </c>
      <c r="Y474">
        <v>0</v>
      </c>
      <c r="Z474">
        <v>11.3</v>
      </c>
      <c r="AA474">
        <v>3.2848837209302324E-2</v>
      </c>
      <c r="AB474">
        <v>33.24</v>
      </c>
      <c r="AC474">
        <v>11.541666666666668</v>
      </c>
      <c r="AD474">
        <v>33.840000000000003</v>
      </c>
      <c r="AE474" s="7"/>
      <c r="AF474" s="7"/>
      <c r="AG474" s="7"/>
      <c r="AH474" s="7"/>
      <c r="AI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0.45833333333333215</v>
      </c>
      <c r="AJ474" s="7"/>
      <c r="AK474" t="s">
        <v>364</v>
      </c>
      <c r="AN474">
        <f>IFERROR(INT(Table13[[#This Row],[reject_prod]]/Table13[[#This Row],[part_weight]] * 1000), 0)</f>
        <v>164</v>
      </c>
    </row>
    <row r="475" spans="1:40" hidden="1">
      <c r="A475" s="1">
        <v>46037</v>
      </c>
      <c r="B475">
        <v>2</v>
      </c>
      <c r="C475">
        <v>11</v>
      </c>
      <c r="D475" t="s">
        <v>59</v>
      </c>
      <c r="E475" t="s">
        <v>46</v>
      </c>
      <c r="F475">
        <v>552181</v>
      </c>
      <c r="G475" s="6">
        <v>1</v>
      </c>
      <c r="H475" t="s">
        <v>49</v>
      </c>
      <c r="I475">
        <v>10683782</v>
      </c>
      <c r="J475">
        <v>6</v>
      </c>
      <c r="K475">
        <v>18.8</v>
      </c>
      <c r="L475">
        <v>18.8</v>
      </c>
      <c r="M475">
        <v>1480</v>
      </c>
      <c r="N475" s="2">
        <v>108000</v>
      </c>
      <c r="O475" s="2">
        <v>3240</v>
      </c>
      <c r="P475" s="2">
        <v>1080</v>
      </c>
      <c r="Q475" s="2">
        <v>8880</v>
      </c>
      <c r="R475" s="2">
        <v>10800</v>
      </c>
      <c r="S475">
        <v>203.04</v>
      </c>
      <c r="T475" s="2">
        <v>60480</v>
      </c>
      <c r="U475" s="2">
        <v>47520</v>
      </c>
      <c r="V475">
        <v>166.94399999999999</v>
      </c>
      <c r="W475">
        <v>0</v>
      </c>
      <c r="X475">
        <v>0</v>
      </c>
      <c r="Y475">
        <v>0</v>
      </c>
      <c r="Z475">
        <v>4.5999999999999996</v>
      </c>
      <c r="AA475">
        <v>2.7554149894575428E-2</v>
      </c>
      <c r="AB475">
        <v>28.5</v>
      </c>
      <c r="AC475">
        <v>11.716666666666667</v>
      </c>
      <c r="AD475">
        <v>27</v>
      </c>
      <c r="AE475" s="7"/>
      <c r="AF475" s="7"/>
      <c r="AG475" s="7"/>
      <c r="AH475" s="7"/>
      <c r="AI4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0.28333333333333321</v>
      </c>
      <c r="AJ475" s="7"/>
      <c r="AK475" t="s">
        <v>57</v>
      </c>
      <c r="AN475">
        <f>IFERROR(INT(Table13[[#This Row],[reject_prod]]/Table13[[#This Row],[part_weight]] * 1000), 0)</f>
        <v>244</v>
      </c>
    </row>
    <row r="476" spans="1:40" hidden="1">
      <c r="A476" s="1">
        <v>46037</v>
      </c>
      <c r="B476">
        <v>2</v>
      </c>
      <c r="C476">
        <v>12</v>
      </c>
      <c r="D476" t="s">
        <v>53</v>
      </c>
      <c r="E476" t="s">
        <v>34</v>
      </c>
      <c r="F476">
        <v>620599</v>
      </c>
      <c r="G476" s="6">
        <v>0</v>
      </c>
      <c r="H476" t="s">
        <v>50</v>
      </c>
      <c r="I476">
        <v>10682929</v>
      </c>
      <c r="J476">
        <v>4</v>
      </c>
      <c r="K476">
        <v>55</v>
      </c>
      <c r="L476">
        <v>55</v>
      </c>
      <c r="M476">
        <v>1465</v>
      </c>
      <c r="N476" s="2">
        <v>72000</v>
      </c>
      <c r="O476" s="2">
        <v>675</v>
      </c>
      <c r="P476" s="2">
        <v>1125</v>
      </c>
      <c r="Q476" s="2">
        <v>5860</v>
      </c>
      <c r="R476" s="2">
        <v>5400</v>
      </c>
      <c r="S476">
        <v>297</v>
      </c>
      <c r="T476" s="2">
        <v>42525</v>
      </c>
      <c r="U476" s="2">
        <v>29475</v>
      </c>
      <c r="V476">
        <v>322.3</v>
      </c>
      <c r="W476">
        <v>0</v>
      </c>
      <c r="X476">
        <v>0</v>
      </c>
      <c r="Y476">
        <v>0</v>
      </c>
      <c r="Z476">
        <v>2.6</v>
      </c>
      <c r="AA476">
        <v>8.0670183059261564E-3</v>
      </c>
      <c r="AB476">
        <v>28.7</v>
      </c>
      <c r="AC476">
        <v>11.679305555555556</v>
      </c>
      <c r="AD476">
        <v>28</v>
      </c>
      <c r="AE476" s="7"/>
      <c r="AF476" s="7"/>
      <c r="AG476" s="7"/>
      <c r="AH476" s="7"/>
      <c r="AI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0.3206944444444435</v>
      </c>
      <c r="AJ476" s="7"/>
      <c r="AK476" t="s">
        <v>326</v>
      </c>
      <c r="AN476">
        <f>IFERROR(INT(Table13[[#This Row],[reject_prod]]/Table13[[#This Row],[part_weight]] * 1000), 0)</f>
        <v>47</v>
      </c>
    </row>
    <row r="477" spans="1:40" hidden="1">
      <c r="A477" s="1">
        <v>46037</v>
      </c>
      <c r="B477">
        <v>2</v>
      </c>
      <c r="C477">
        <v>13</v>
      </c>
      <c r="D477" t="s">
        <v>59</v>
      </c>
      <c r="E477" t="s">
        <v>46</v>
      </c>
      <c r="F477">
        <v>586276</v>
      </c>
      <c r="G477" s="6">
        <v>0</v>
      </c>
      <c r="H477" t="s">
        <v>47</v>
      </c>
      <c r="I477">
        <v>10683784</v>
      </c>
      <c r="J477">
        <v>6</v>
      </c>
      <c r="K477">
        <v>12.3</v>
      </c>
      <c r="L477">
        <v>12.3</v>
      </c>
      <c r="M477">
        <v>1580</v>
      </c>
      <c r="N477" s="2">
        <v>162000</v>
      </c>
      <c r="O477" s="2">
        <v>5670</v>
      </c>
      <c r="P477" s="2">
        <v>6885</v>
      </c>
      <c r="Q477" s="2">
        <v>9480</v>
      </c>
      <c r="R477" s="2">
        <v>8100</v>
      </c>
      <c r="S477">
        <v>99.63</v>
      </c>
      <c r="T477" s="2">
        <v>63585</v>
      </c>
      <c r="U477" s="2">
        <v>98415</v>
      </c>
      <c r="V477">
        <v>116.604</v>
      </c>
      <c r="W477">
        <v>0</v>
      </c>
      <c r="X477">
        <v>0</v>
      </c>
      <c r="Y477">
        <v>0</v>
      </c>
      <c r="Z477">
        <v>1.2</v>
      </c>
      <c r="AA477">
        <v>1.0291242152927859E-2</v>
      </c>
      <c r="AB477">
        <v>26.4</v>
      </c>
      <c r="AC477">
        <v>11.586666666666666</v>
      </c>
      <c r="AD477">
        <v>26</v>
      </c>
      <c r="AE477" s="7"/>
      <c r="AF477" s="7"/>
      <c r="AG477" s="7"/>
      <c r="AH477" s="7"/>
      <c r="AI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0.413333333333334</v>
      </c>
      <c r="AJ477" s="7"/>
      <c r="AK477" t="s">
        <v>51</v>
      </c>
      <c r="AN477">
        <f>IFERROR(INT(Table13[[#This Row],[reject_prod]]/Table13[[#This Row],[part_weight]] * 1000), 0)</f>
        <v>97</v>
      </c>
    </row>
    <row r="478" spans="1:40" hidden="1">
      <c r="A478" s="1">
        <v>46037</v>
      </c>
      <c r="B478">
        <v>2</v>
      </c>
      <c r="C478">
        <v>14</v>
      </c>
      <c r="D478" t="s">
        <v>350</v>
      </c>
      <c r="E478" t="s">
        <v>46</v>
      </c>
      <c r="F478">
        <v>555979</v>
      </c>
      <c r="G478" s="6">
        <v>1</v>
      </c>
      <c r="H478" t="s">
        <v>52</v>
      </c>
      <c r="I478">
        <v>10682932</v>
      </c>
      <c r="J478">
        <v>6</v>
      </c>
      <c r="K478">
        <v>28</v>
      </c>
      <c r="L478">
        <v>28</v>
      </c>
      <c r="M478">
        <v>1008</v>
      </c>
      <c r="N478" s="2">
        <v>100800</v>
      </c>
      <c r="O478" s="2">
        <v>3192</v>
      </c>
      <c r="P478" s="2">
        <v>2520</v>
      </c>
      <c r="Q478" s="2">
        <v>6048</v>
      </c>
      <c r="R478" s="2">
        <v>6720</v>
      </c>
      <c r="S478">
        <v>188.16</v>
      </c>
      <c r="T478" s="2">
        <v>89880</v>
      </c>
      <c r="U478" s="2">
        <v>10920</v>
      </c>
      <c r="V478">
        <v>169.34399999999999</v>
      </c>
      <c r="W478">
        <v>0</v>
      </c>
      <c r="X478">
        <v>0</v>
      </c>
      <c r="Y478">
        <v>0</v>
      </c>
      <c r="Z478">
        <v>1</v>
      </c>
      <c r="AA478">
        <v>5.9051398337112626E-3</v>
      </c>
      <c r="AB478">
        <v>42.7</v>
      </c>
      <c r="AC478">
        <v>11.956000000000001</v>
      </c>
      <c r="AD478">
        <v>42</v>
      </c>
      <c r="AE478" s="7"/>
      <c r="AF478" s="7"/>
      <c r="AG478" s="7"/>
      <c r="AH478" s="7"/>
      <c r="AI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4.3999999999998707E-2</v>
      </c>
      <c r="AJ478" s="7"/>
      <c r="AK478" t="s">
        <v>51</v>
      </c>
      <c r="AN478">
        <f>IFERROR(INT(Table13[[#This Row],[reject_prod]]/Table13[[#This Row],[part_weight]] * 1000), 0)</f>
        <v>35</v>
      </c>
    </row>
    <row r="479" spans="1:40" hidden="1">
      <c r="A479" s="1">
        <v>46037</v>
      </c>
      <c r="B479">
        <v>2</v>
      </c>
      <c r="C479">
        <v>15</v>
      </c>
      <c r="D479" t="s">
        <v>59</v>
      </c>
      <c r="E479" t="s">
        <v>46</v>
      </c>
      <c r="F479">
        <v>552181</v>
      </c>
      <c r="G479" s="6">
        <v>2</v>
      </c>
      <c r="H479" t="s">
        <v>49</v>
      </c>
      <c r="I479">
        <v>10683786</v>
      </c>
      <c r="J479">
        <v>6</v>
      </c>
      <c r="K479">
        <v>18.8</v>
      </c>
      <c r="L479">
        <v>18.8</v>
      </c>
      <c r="M479">
        <v>1395</v>
      </c>
      <c r="N479" s="2">
        <v>108000</v>
      </c>
      <c r="O479" s="2">
        <v>3780</v>
      </c>
      <c r="P479" s="2">
        <v>1350</v>
      </c>
      <c r="Q479" s="2">
        <v>8370</v>
      </c>
      <c r="R479" s="2">
        <v>10800</v>
      </c>
      <c r="S479">
        <v>203.04</v>
      </c>
      <c r="T479" s="2">
        <v>33750</v>
      </c>
      <c r="U479" s="2">
        <v>74250</v>
      </c>
      <c r="V479">
        <v>157.35599999999999</v>
      </c>
      <c r="W479">
        <v>0</v>
      </c>
      <c r="X479">
        <v>0</v>
      </c>
      <c r="Y479">
        <v>0</v>
      </c>
      <c r="Z479">
        <v>1.2</v>
      </c>
      <c r="AA479">
        <v>7.6260199801723482E-3</v>
      </c>
      <c r="AB479">
        <v>31.24</v>
      </c>
      <c r="AC479">
        <v>12</v>
      </c>
      <c r="AD479">
        <v>27</v>
      </c>
      <c r="AE479" s="7"/>
      <c r="AF479" s="7"/>
      <c r="AG479" s="7"/>
      <c r="AH479" s="7"/>
      <c r="AI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79" s="7"/>
      <c r="AK479" t="s">
        <v>51</v>
      </c>
      <c r="AN479">
        <f>IFERROR(INT(Table13[[#This Row],[reject_prod]]/Table13[[#This Row],[part_weight]] * 1000), 0)</f>
        <v>63</v>
      </c>
    </row>
    <row r="480" spans="1:40" s="4" customFormat="1" hidden="1">
      <c r="A480" s="3">
        <v>46037</v>
      </c>
      <c r="B480" s="4">
        <v>2</v>
      </c>
      <c r="C480" s="4">
        <v>16</v>
      </c>
      <c r="D480" s="4" t="s">
        <v>275</v>
      </c>
      <c r="E480" s="4" t="s">
        <v>46</v>
      </c>
      <c r="F480" s="4">
        <v>555979</v>
      </c>
      <c r="G480" s="9">
        <v>2</v>
      </c>
      <c r="H480" s="4" t="s">
        <v>52</v>
      </c>
      <c r="I480" s="4">
        <v>10683788</v>
      </c>
      <c r="J480" s="4">
        <v>6</v>
      </c>
      <c r="K480" s="4">
        <v>28</v>
      </c>
      <c r="L480" s="4">
        <v>28</v>
      </c>
      <c r="M480" s="4">
        <v>985</v>
      </c>
      <c r="N480" s="5">
        <v>100800</v>
      </c>
      <c r="O480" s="5">
        <v>2352</v>
      </c>
      <c r="P480" s="5">
        <v>1344</v>
      </c>
      <c r="Q480" s="5">
        <v>5910</v>
      </c>
      <c r="R480" s="5">
        <v>6720</v>
      </c>
      <c r="S480" s="4">
        <v>188.16</v>
      </c>
      <c r="T480" s="5">
        <v>31584</v>
      </c>
      <c r="U480" s="5">
        <v>69216</v>
      </c>
      <c r="V480" s="4">
        <v>165.48</v>
      </c>
      <c r="W480" s="4">
        <v>0</v>
      </c>
      <c r="X480" s="4">
        <v>0</v>
      </c>
      <c r="Y480" s="4">
        <v>0</v>
      </c>
      <c r="Z480" s="4">
        <v>2</v>
      </c>
      <c r="AA480" s="4">
        <v>1.2086052695189751E-2</v>
      </c>
      <c r="AB480" s="4">
        <v>43.7</v>
      </c>
      <c r="AC480" s="4">
        <v>11.956805555555556</v>
      </c>
      <c r="AD480" s="4">
        <v>42</v>
      </c>
      <c r="AE480" s="8"/>
      <c r="AF480" s="8"/>
      <c r="AG480" s="8"/>
      <c r="AH480" s="8"/>
      <c r="AI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4.3194444444443647E-2</v>
      </c>
      <c r="AJ480" s="8"/>
      <c r="AK480" s="4" t="s">
        <v>51</v>
      </c>
      <c r="AN480">
        <f>IFERROR(INT(Table13[[#This Row],[reject_prod]]/Table13[[#This Row],[part_weight]] * 1000), 0)</f>
        <v>71</v>
      </c>
    </row>
    <row r="481" spans="1:40" hidden="1">
      <c r="A481" s="1">
        <v>46038</v>
      </c>
      <c r="B481">
        <v>1</v>
      </c>
      <c r="C481">
        <v>1</v>
      </c>
      <c r="D481" t="s">
        <v>65</v>
      </c>
      <c r="E481" t="s">
        <v>34</v>
      </c>
      <c r="F481">
        <v>577492</v>
      </c>
      <c r="G481" s="6">
        <v>0</v>
      </c>
      <c r="H481" t="s">
        <v>341</v>
      </c>
      <c r="I481">
        <v>10683850</v>
      </c>
      <c r="J481">
        <v>4</v>
      </c>
      <c r="K481">
        <v>35.6</v>
      </c>
      <c r="L481">
        <v>35.6</v>
      </c>
      <c r="M481">
        <v>1552</v>
      </c>
      <c r="N481" s="2">
        <v>40480</v>
      </c>
      <c r="O481" s="2">
        <v>1560</v>
      </c>
      <c r="P481" s="2">
        <v>368</v>
      </c>
      <c r="Q481" s="2">
        <v>6208</v>
      </c>
      <c r="R481" s="2">
        <v>7360</v>
      </c>
      <c r="S481">
        <v>262.01600000000002</v>
      </c>
      <c r="T481" s="2">
        <v>13248</v>
      </c>
      <c r="U481" s="2">
        <v>27232</v>
      </c>
      <c r="V481">
        <v>221.00480000000002</v>
      </c>
      <c r="W481">
        <v>0</v>
      </c>
      <c r="X481">
        <v>0</v>
      </c>
      <c r="Y481">
        <v>0</v>
      </c>
      <c r="Z481">
        <v>1.5</v>
      </c>
      <c r="AA481">
        <v>6.7871829028147796E-3</v>
      </c>
      <c r="AB481">
        <v>28.2</v>
      </c>
      <c r="AC481">
        <v>12</v>
      </c>
      <c r="AD481">
        <v>27</v>
      </c>
      <c r="AE481" s="7"/>
      <c r="AF481" s="7"/>
      <c r="AG481" s="7"/>
      <c r="AH481" s="7"/>
      <c r="AI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1" s="7"/>
      <c r="AK481" t="s">
        <v>370</v>
      </c>
      <c r="AN481">
        <f>IFERROR(INT(Table13[[#This Row],[reject_prod]]/Table13[[#This Row],[part_weight]] * 1000), 0)</f>
        <v>42</v>
      </c>
    </row>
    <row r="482" spans="1:40" hidden="1">
      <c r="A482" s="1">
        <v>46038</v>
      </c>
      <c r="B482">
        <v>1</v>
      </c>
      <c r="C482">
        <v>2</v>
      </c>
      <c r="D482" t="s">
        <v>67</v>
      </c>
      <c r="E482" t="s">
        <v>34</v>
      </c>
      <c r="F482">
        <v>463202</v>
      </c>
      <c r="G482" s="6">
        <v>0</v>
      </c>
      <c r="H482" t="s">
        <v>320</v>
      </c>
      <c r="I482">
        <v>10684540</v>
      </c>
      <c r="J482">
        <v>4</v>
      </c>
      <c r="K482">
        <v>23</v>
      </c>
      <c r="L482">
        <v>23</v>
      </c>
      <c r="M482">
        <v>1841</v>
      </c>
      <c r="N482" s="2">
        <v>40920</v>
      </c>
      <c r="O482" s="2">
        <v>100</v>
      </c>
      <c r="P482" s="2">
        <v>1860</v>
      </c>
      <c r="Q482" s="2">
        <v>7364</v>
      </c>
      <c r="R482" s="2">
        <v>5580</v>
      </c>
      <c r="S482">
        <v>128.34</v>
      </c>
      <c r="T482" s="2">
        <v>35340</v>
      </c>
      <c r="U482" s="2">
        <v>5580</v>
      </c>
      <c r="V482">
        <v>169.37200000000001</v>
      </c>
      <c r="W482">
        <v>0</v>
      </c>
      <c r="X482">
        <v>0</v>
      </c>
      <c r="Y482">
        <v>0</v>
      </c>
      <c r="Z482">
        <v>0.5</v>
      </c>
      <c r="AA482">
        <v>2.9520818080910655E-3</v>
      </c>
      <c r="AB482">
        <v>23.3</v>
      </c>
      <c r="AC482">
        <v>11.91536111111111</v>
      </c>
      <c r="AD482">
        <v>22.92</v>
      </c>
      <c r="AE482" s="7"/>
      <c r="AF482" s="7"/>
      <c r="AG482" s="7"/>
      <c r="AH482" s="7"/>
      <c r="AI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8.4638888888889596E-2</v>
      </c>
      <c r="AJ482" s="7"/>
      <c r="AK482" t="s">
        <v>214</v>
      </c>
      <c r="AN482">
        <f>IFERROR(INT(Table13[[#This Row],[reject_prod]]/Table13[[#This Row],[part_weight]] * 1000), 0)</f>
        <v>21</v>
      </c>
    </row>
    <row r="483" spans="1:40" hidden="1">
      <c r="A483" s="1">
        <v>46038</v>
      </c>
      <c r="B483">
        <v>1</v>
      </c>
      <c r="C483">
        <v>3</v>
      </c>
      <c r="D483" t="s">
        <v>40</v>
      </c>
      <c r="E483" t="s">
        <v>34</v>
      </c>
      <c r="F483">
        <v>442034</v>
      </c>
      <c r="G483" s="6">
        <v>0</v>
      </c>
      <c r="H483" t="s">
        <v>37</v>
      </c>
      <c r="I483">
        <v>10681183</v>
      </c>
      <c r="J483">
        <v>4</v>
      </c>
      <c r="K483">
        <v>23</v>
      </c>
      <c r="L483">
        <v>23</v>
      </c>
      <c r="M483">
        <v>1569</v>
      </c>
      <c r="N483" s="2">
        <v>139776</v>
      </c>
      <c r="O483" s="2">
        <v>3840</v>
      </c>
      <c r="P483" s="2">
        <v>768</v>
      </c>
      <c r="Q483" s="2">
        <v>6276</v>
      </c>
      <c r="R483" s="2">
        <v>9216</v>
      </c>
      <c r="S483">
        <v>211.96799999999999</v>
      </c>
      <c r="T483" s="2">
        <v>129792</v>
      </c>
      <c r="U483" s="2">
        <v>9984</v>
      </c>
      <c r="V483">
        <v>144.34800000000001</v>
      </c>
      <c r="W483">
        <v>0</v>
      </c>
      <c r="X483">
        <v>0</v>
      </c>
      <c r="Y483">
        <v>0</v>
      </c>
      <c r="Z483">
        <v>3</v>
      </c>
      <c r="AA483">
        <v>2.0783107490231937E-2</v>
      </c>
      <c r="AB483">
        <v>26.7</v>
      </c>
      <c r="AC483">
        <v>11.636750000000001</v>
      </c>
      <c r="AD483">
        <v>22</v>
      </c>
      <c r="AE483" s="7"/>
      <c r="AF483" s="7"/>
      <c r="AG483" s="7"/>
      <c r="AH483" s="7"/>
      <c r="AI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0.36324999999999896</v>
      </c>
      <c r="AJ483" s="7"/>
      <c r="AK483" t="s">
        <v>371</v>
      </c>
      <c r="AL483">
        <v>4</v>
      </c>
      <c r="AM483">
        <v>2</v>
      </c>
      <c r="AN483">
        <f>IFERROR(INT(Table13[[#This Row],[reject_prod]]/Table13[[#This Row],[part_weight]] * 1000), 0)</f>
        <v>130</v>
      </c>
    </row>
    <row r="484" spans="1:40" hidden="1">
      <c r="A484" s="1">
        <v>46038</v>
      </c>
      <c r="B484">
        <v>1</v>
      </c>
      <c r="C484">
        <v>4</v>
      </c>
      <c r="F484">
        <v>123456</v>
      </c>
      <c r="G484" s="6">
        <v>0</v>
      </c>
      <c r="M484">
        <v>0</v>
      </c>
      <c r="N484">
        <v>0</v>
      </c>
      <c r="O484">
        <v>0</v>
      </c>
      <c r="P484">
        <v>0</v>
      </c>
      <c r="R484">
        <v>0</v>
      </c>
      <c r="T484">
        <v>0</v>
      </c>
      <c r="X484">
        <v>0</v>
      </c>
      <c r="Z484">
        <v>0</v>
      </c>
      <c r="AB484">
        <v>0</v>
      </c>
      <c r="AC484">
        <v>0</v>
      </c>
      <c r="AD484">
        <v>22.5</v>
      </c>
      <c r="AE484" s="7"/>
      <c r="AF484" s="7"/>
      <c r="AG484" s="7"/>
      <c r="AH484" s="7"/>
      <c r="AI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4" s="7">
        <v>12</v>
      </c>
      <c r="AK484" t="s">
        <v>116</v>
      </c>
      <c r="AN484">
        <f>IFERROR(INT(Table13[[#This Row],[reject_prod]]/Table13[[#This Row],[part_weight]] * 1000), 0)</f>
        <v>0</v>
      </c>
    </row>
    <row r="485" spans="1:40" hidden="1">
      <c r="A485" s="1">
        <v>46038</v>
      </c>
      <c r="B485">
        <v>1</v>
      </c>
      <c r="C485">
        <v>5</v>
      </c>
      <c r="D485" t="s">
        <v>115</v>
      </c>
      <c r="E485" t="s">
        <v>34</v>
      </c>
      <c r="F485">
        <v>597507</v>
      </c>
      <c r="G485" s="6">
        <v>0</v>
      </c>
      <c r="H485" t="s">
        <v>279</v>
      </c>
      <c r="I485">
        <v>10682757</v>
      </c>
      <c r="J485">
        <v>4</v>
      </c>
      <c r="K485">
        <v>23</v>
      </c>
      <c r="L485">
        <v>23</v>
      </c>
      <c r="M485">
        <v>1712</v>
      </c>
      <c r="N485" s="2">
        <v>64680</v>
      </c>
      <c r="O485" s="2">
        <v>0</v>
      </c>
      <c r="P485" s="2">
        <v>0</v>
      </c>
      <c r="Q485" s="2">
        <v>6848</v>
      </c>
      <c r="R485" s="2">
        <v>6468</v>
      </c>
      <c r="S485">
        <v>148.76400000000001</v>
      </c>
      <c r="T485" s="2">
        <v>48510</v>
      </c>
      <c r="U485" s="2">
        <v>16170</v>
      </c>
      <c r="V485">
        <v>157.50399999999999</v>
      </c>
      <c r="W485">
        <v>0</v>
      </c>
      <c r="X485">
        <v>0</v>
      </c>
      <c r="Y485">
        <v>0</v>
      </c>
      <c r="Z485">
        <v>8.6999999999999993</v>
      </c>
      <c r="AA485">
        <v>5.5236692401462818E-2</v>
      </c>
      <c r="AB485">
        <v>22.1</v>
      </c>
      <c r="AC485">
        <v>10.509777777777778</v>
      </c>
      <c r="AD485">
        <v>22</v>
      </c>
      <c r="AE485" s="7"/>
      <c r="AF485" s="7"/>
      <c r="AG485" s="7"/>
      <c r="AH485" s="7"/>
      <c r="AI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1.4902222222222221</v>
      </c>
      <c r="AJ485" s="7"/>
      <c r="AK485" t="s">
        <v>372</v>
      </c>
      <c r="AL485">
        <v>4</v>
      </c>
      <c r="AM485">
        <v>2</v>
      </c>
      <c r="AN485">
        <f>IFERROR(INT(Table13[[#This Row],[reject_prod]]/Table13[[#This Row],[part_weight]] * 1000), 0)</f>
        <v>378</v>
      </c>
    </row>
    <row r="486" spans="1:40" hidden="1">
      <c r="A486" s="1">
        <v>46038</v>
      </c>
      <c r="B486">
        <v>1</v>
      </c>
      <c r="C486">
        <v>6</v>
      </c>
      <c r="D486" t="s">
        <v>365</v>
      </c>
      <c r="E486" t="s">
        <v>34</v>
      </c>
      <c r="F486">
        <v>322429</v>
      </c>
      <c r="G486" s="6">
        <v>0</v>
      </c>
      <c r="H486" t="s">
        <v>354</v>
      </c>
      <c r="I486">
        <v>10683853</v>
      </c>
      <c r="J486">
        <v>4</v>
      </c>
      <c r="K486">
        <v>24.93</v>
      </c>
      <c r="L486">
        <v>24</v>
      </c>
      <c r="M486">
        <v>1998</v>
      </c>
      <c r="N486" s="2">
        <v>40600</v>
      </c>
      <c r="O486" s="2">
        <v>812</v>
      </c>
      <c r="P486" s="2">
        <v>609</v>
      </c>
      <c r="Q486" s="2">
        <v>7992</v>
      </c>
      <c r="R486" s="2">
        <v>8120</v>
      </c>
      <c r="S486">
        <v>194.88</v>
      </c>
      <c r="T486" s="2">
        <v>20909</v>
      </c>
      <c r="U486" s="2">
        <v>19691</v>
      </c>
      <c r="V486">
        <v>191.80799999999999</v>
      </c>
      <c r="W486">
        <v>0</v>
      </c>
      <c r="X486">
        <v>0</v>
      </c>
      <c r="Y486">
        <v>0</v>
      </c>
      <c r="Z486">
        <v>1</v>
      </c>
      <c r="AA486">
        <v>5.2135468802135473E-3</v>
      </c>
      <c r="AB486">
        <v>21.4</v>
      </c>
      <c r="AC486">
        <v>11.876999999999999</v>
      </c>
      <c r="AD486">
        <v>16.96</v>
      </c>
      <c r="AE486" s="7"/>
      <c r="AF486" s="7"/>
      <c r="AG486" s="7"/>
      <c r="AH486" s="7"/>
      <c r="AI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0.12300000000000111</v>
      </c>
      <c r="AJ486" s="7"/>
      <c r="AK486" t="s">
        <v>214</v>
      </c>
      <c r="AM486">
        <v>1</v>
      </c>
      <c r="AN486">
        <f>IFERROR(INT(Table13[[#This Row],[reject_prod]]/Table13[[#This Row],[part_weight]] * 1000), 0)</f>
        <v>41</v>
      </c>
    </row>
    <row r="487" spans="1:40" hidden="1">
      <c r="A487" s="1">
        <v>46038</v>
      </c>
      <c r="B487">
        <v>1</v>
      </c>
      <c r="C487">
        <v>7</v>
      </c>
      <c r="D487" t="s">
        <v>366</v>
      </c>
      <c r="E487" t="s">
        <v>34</v>
      </c>
      <c r="F487">
        <v>324177</v>
      </c>
      <c r="G487" s="6">
        <v>0</v>
      </c>
      <c r="H487" t="s">
        <v>246</v>
      </c>
      <c r="I487">
        <v>10682801</v>
      </c>
      <c r="J487">
        <v>4</v>
      </c>
      <c r="K487">
        <v>34.5</v>
      </c>
      <c r="L487">
        <v>34.5</v>
      </c>
      <c r="M487">
        <v>592</v>
      </c>
      <c r="N487" s="2">
        <v>62400</v>
      </c>
      <c r="O487" s="2">
        <v>780</v>
      </c>
      <c r="P487" s="2">
        <v>0</v>
      </c>
      <c r="Q487" s="2">
        <v>2368</v>
      </c>
      <c r="R487" s="2">
        <v>3120</v>
      </c>
      <c r="S487">
        <v>107.64</v>
      </c>
      <c r="T487" s="2">
        <v>62400</v>
      </c>
      <c r="U487" s="2">
        <v>0</v>
      </c>
      <c r="V487">
        <v>81.695999999999998</v>
      </c>
      <c r="W487">
        <v>0</v>
      </c>
      <c r="X487">
        <v>0</v>
      </c>
      <c r="Y487">
        <v>0</v>
      </c>
      <c r="Z487">
        <v>1</v>
      </c>
      <c r="AA487">
        <v>1.2240501370936154E-2</v>
      </c>
      <c r="AB487">
        <v>22.2</v>
      </c>
      <c r="AC487">
        <v>3.6506666666666665</v>
      </c>
      <c r="AD487">
        <v>22</v>
      </c>
      <c r="AE487" s="7"/>
      <c r="AF487" s="7"/>
      <c r="AG487" s="7"/>
      <c r="AH487" s="7"/>
      <c r="AI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8.3493333333333339</v>
      </c>
      <c r="AJ487" s="7"/>
      <c r="AK487" t="s">
        <v>373</v>
      </c>
      <c r="AN487">
        <f>IFERROR(INT(Table13[[#This Row],[reject_prod]]/Table13[[#This Row],[part_weight]] * 1000), 0)</f>
        <v>28</v>
      </c>
    </row>
    <row r="488" spans="1:40" hidden="1">
      <c r="A488" s="1">
        <v>46038</v>
      </c>
      <c r="B488">
        <v>1</v>
      </c>
      <c r="C488">
        <v>7</v>
      </c>
      <c r="D488" t="s">
        <v>367</v>
      </c>
      <c r="E488" t="s">
        <v>34</v>
      </c>
      <c r="F488">
        <v>322452</v>
      </c>
      <c r="G488" s="6">
        <v>0</v>
      </c>
      <c r="H488" t="s">
        <v>374</v>
      </c>
      <c r="I488">
        <v>10683857</v>
      </c>
      <c r="J488">
        <v>4</v>
      </c>
      <c r="K488">
        <v>33.11</v>
      </c>
      <c r="L488">
        <v>34.5</v>
      </c>
      <c r="M488">
        <v>156</v>
      </c>
      <c r="N488" s="2">
        <v>44928</v>
      </c>
      <c r="O488" s="2">
        <v>0</v>
      </c>
      <c r="P488" s="2">
        <v>624</v>
      </c>
      <c r="Q488" s="2">
        <v>624</v>
      </c>
      <c r="R488" s="2">
        <v>0</v>
      </c>
      <c r="S488">
        <v>0</v>
      </c>
      <c r="T488" s="2">
        <v>624</v>
      </c>
      <c r="U488" s="2">
        <v>44304</v>
      </c>
      <c r="V488">
        <v>21.527999999999999</v>
      </c>
      <c r="W488">
        <v>0</v>
      </c>
      <c r="X488">
        <v>15</v>
      </c>
      <c r="Y488">
        <v>0.69676700111482726</v>
      </c>
      <c r="Z488">
        <v>3</v>
      </c>
      <c r="AA488">
        <v>0.13935340022296544</v>
      </c>
      <c r="AB488">
        <v>24.4</v>
      </c>
      <c r="AC488">
        <v>1.0573333333333332</v>
      </c>
      <c r="AD488">
        <v>18.04</v>
      </c>
      <c r="AE488" s="7"/>
      <c r="AF488" s="7"/>
      <c r="AG488" s="7">
        <v>1.5</v>
      </c>
      <c r="AH488" s="7"/>
      <c r="AI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9.4426666666666677</v>
      </c>
      <c r="AJ488" s="7"/>
      <c r="AK488" t="s">
        <v>375</v>
      </c>
      <c r="AL488">
        <v>6</v>
      </c>
      <c r="AM488">
        <v>12</v>
      </c>
      <c r="AN488">
        <f>IFERROR(INT(Table13[[#This Row],[reject_prod]]/Table13[[#This Row],[part_weight]] * 1000), 0)</f>
        <v>86</v>
      </c>
    </row>
    <row r="489" spans="1:40" hidden="1">
      <c r="A489" s="1">
        <v>46038</v>
      </c>
      <c r="B489">
        <v>1</v>
      </c>
      <c r="C489">
        <v>8</v>
      </c>
      <c r="D489" t="s">
        <v>43</v>
      </c>
      <c r="E489" t="s">
        <v>41</v>
      </c>
      <c r="F489">
        <v>593537</v>
      </c>
      <c r="G489" s="6">
        <v>0</v>
      </c>
      <c r="H489" t="s">
        <v>48</v>
      </c>
      <c r="I489">
        <v>10682926</v>
      </c>
      <c r="J489">
        <v>4</v>
      </c>
      <c r="K489">
        <v>56.5</v>
      </c>
      <c r="L489">
        <v>56.8</v>
      </c>
      <c r="M489">
        <v>1415</v>
      </c>
      <c r="N489" s="2">
        <v>69000</v>
      </c>
      <c r="O489" s="2">
        <v>0</v>
      </c>
      <c r="P489" s="2">
        <v>0</v>
      </c>
      <c r="Q489" s="2">
        <v>5660</v>
      </c>
      <c r="R489" s="2">
        <v>5750</v>
      </c>
      <c r="S489">
        <v>326.60000000000002</v>
      </c>
      <c r="T489" s="2">
        <v>49450</v>
      </c>
      <c r="U489" s="2">
        <v>19550</v>
      </c>
      <c r="V489">
        <v>321.488</v>
      </c>
      <c r="W489">
        <v>0</v>
      </c>
      <c r="X489">
        <v>0</v>
      </c>
      <c r="Y489">
        <v>0</v>
      </c>
      <c r="Z489">
        <v>1.8</v>
      </c>
      <c r="AA489">
        <v>5.5989648136166824E-3</v>
      </c>
      <c r="AB489">
        <v>30.6</v>
      </c>
      <c r="AC489">
        <v>12</v>
      </c>
      <c r="AD489">
        <v>28.5</v>
      </c>
      <c r="AE489" s="7"/>
      <c r="AF489" s="7"/>
      <c r="AG489" s="7"/>
      <c r="AH489" s="7"/>
      <c r="AI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9" s="7"/>
      <c r="AK489" t="s">
        <v>178</v>
      </c>
      <c r="AN489">
        <f>IFERROR(INT(Table13[[#This Row],[reject_prod]]/Table13[[#This Row],[part_weight]] * 1000), 0)</f>
        <v>31</v>
      </c>
    </row>
    <row r="490" spans="1:40" hidden="1">
      <c r="A490" s="1">
        <v>46038</v>
      </c>
      <c r="B490">
        <v>1</v>
      </c>
      <c r="C490">
        <v>9</v>
      </c>
      <c r="D490" t="s">
        <v>33</v>
      </c>
      <c r="E490" t="s">
        <v>46</v>
      </c>
      <c r="F490">
        <v>586276</v>
      </c>
      <c r="G490" s="6">
        <v>0</v>
      </c>
      <c r="H490" t="s">
        <v>47</v>
      </c>
      <c r="I490">
        <v>10682924</v>
      </c>
      <c r="J490">
        <v>6</v>
      </c>
      <c r="K490">
        <v>12.3</v>
      </c>
      <c r="L490">
        <v>12.3</v>
      </c>
      <c r="M490">
        <v>0</v>
      </c>
      <c r="N490" s="2">
        <v>162000</v>
      </c>
      <c r="O490" s="2">
        <v>7290</v>
      </c>
      <c r="P490" s="2">
        <v>7290</v>
      </c>
      <c r="Q490" s="2">
        <v>0</v>
      </c>
      <c r="R490" s="2">
        <v>0</v>
      </c>
      <c r="S490">
        <v>0</v>
      </c>
      <c r="T490" s="2">
        <v>80190</v>
      </c>
      <c r="U490" s="2">
        <v>81810</v>
      </c>
      <c r="V490">
        <v>0</v>
      </c>
      <c r="W490">
        <v>0</v>
      </c>
      <c r="X490">
        <v>0</v>
      </c>
      <c r="Y490" t="e">
        <v>#DIV/0!</v>
      </c>
      <c r="Z490">
        <v>0</v>
      </c>
      <c r="AA490" t="e">
        <v>#DIV/0!</v>
      </c>
      <c r="AB490">
        <v>26.2</v>
      </c>
      <c r="AC490">
        <v>0</v>
      </c>
      <c r="AD490">
        <v>26</v>
      </c>
      <c r="AE490" s="7"/>
      <c r="AF490" s="7"/>
      <c r="AG490" s="7"/>
      <c r="AH490" s="7"/>
      <c r="AI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90" s="7"/>
      <c r="AK490" t="s">
        <v>357</v>
      </c>
      <c r="AL490">
        <v>5</v>
      </c>
      <c r="AN490">
        <f>IFERROR(INT(Table13[[#This Row],[reject_prod]]/Table13[[#This Row],[part_weight]] * 1000), 0)</f>
        <v>0</v>
      </c>
    </row>
    <row r="491" spans="1:40" hidden="1">
      <c r="A491" s="1">
        <v>46038</v>
      </c>
      <c r="B491">
        <v>1</v>
      </c>
      <c r="C491">
        <v>10</v>
      </c>
      <c r="D491" t="s">
        <v>368</v>
      </c>
      <c r="E491" t="s">
        <v>34</v>
      </c>
      <c r="F491">
        <v>442310</v>
      </c>
      <c r="G491" s="6">
        <v>0</v>
      </c>
      <c r="H491" t="s">
        <v>315</v>
      </c>
      <c r="I491">
        <v>10684748</v>
      </c>
      <c r="J491">
        <v>4</v>
      </c>
      <c r="K491">
        <v>68.8</v>
      </c>
      <c r="L491">
        <v>68.8</v>
      </c>
      <c r="M491">
        <v>597</v>
      </c>
      <c r="N491" s="2">
        <v>8008</v>
      </c>
      <c r="O491" s="2">
        <v>546</v>
      </c>
      <c r="P491" s="2">
        <v>0</v>
      </c>
      <c r="Q491" s="2">
        <v>2388</v>
      </c>
      <c r="R491" s="2">
        <v>2912</v>
      </c>
      <c r="S491">
        <v>200.34560000000002</v>
      </c>
      <c r="T491" s="2">
        <v>8008</v>
      </c>
      <c r="U491" s="2">
        <v>0</v>
      </c>
      <c r="V491">
        <v>164.2944</v>
      </c>
      <c r="W491">
        <v>0</v>
      </c>
      <c r="X491">
        <v>0</v>
      </c>
      <c r="Y491">
        <v>0</v>
      </c>
      <c r="Z491">
        <v>1.2</v>
      </c>
      <c r="AA491">
        <v>7.303961668809162E-3</v>
      </c>
      <c r="AB491">
        <v>33.200000000000003</v>
      </c>
      <c r="AC491">
        <v>5.5056666666666674</v>
      </c>
      <c r="AD491">
        <v>33.840000000000003</v>
      </c>
      <c r="AE491" s="7"/>
      <c r="AF491" s="7"/>
      <c r="AG491" s="7"/>
      <c r="AH491" s="7"/>
      <c r="AI4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6.4943333333333326</v>
      </c>
      <c r="AJ491" s="7"/>
      <c r="AK491" t="s">
        <v>376</v>
      </c>
      <c r="AM491">
        <v>2</v>
      </c>
      <c r="AN491">
        <f>IFERROR(INT(Table13[[#This Row],[reject_prod]]/Table13[[#This Row],[part_weight]] * 1000), 0)</f>
        <v>17</v>
      </c>
    </row>
    <row r="492" spans="1:40" hidden="1">
      <c r="A492" s="1">
        <v>46038</v>
      </c>
      <c r="B492">
        <v>1</v>
      </c>
      <c r="C492">
        <v>10</v>
      </c>
      <c r="D492" t="s">
        <v>33</v>
      </c>
      <c r="E492" t="s">
        <v>34</v>
      </c>
      <c r="F492">
        <v>323092</v>
      </c>
      <c r="G492" s="6">
        <v>0</v>
      </c>
      <c r="H492" t="s">
        <v>377</v>
      </c>
      <c r="I492">
        <v>10684857</v>
      </c>
      <c r="J492">
        <v>4</v>
      </c>
      <c r="K492">
        <v>48.9</v>
      </c>
      <c r="L492">
        <v>48.9</v>
      </c>
      <c r="M492">
        <v>0</v>
      </c>
      <c r="N492" s="2">
        <v>37800</v>
      </c>
      <c r="O492" s="2">
        <v>0</v>
      </c>
      <c r="P492" s="2">
        <v>0</v>
      </c>
      <c r="Q492" s="2">
        <v>0</v>
      </c>
      <c r="R492" s="2">
        <v>0</v>
      </c>
      <c r="S492">
        <v>0</v>
      </c>
      <c r="T492" s="2">
        <v>0</v>
      </c>
      <c r="U492" s="2">
        <v>37800</v>
      </c>
      <c r="V492">
        <v>0</v>
      </c>
      <c r="W492">
        <v>0</v>
      </c>
      <c r="X492">
        <v>0</v>
      </c>
      <c r="Y492" t="e">
        <v>#DIV/0!</v>
      </c>
      <c r="Z492">
        <v>0</v>
      </c>
      <c r="AA492" t="e">
        <v>#DIV/0!</v>
      </c>
      <c r="AB492">
        <v>33.200000000000003</v>
      </c>
      <c r="AC492">
        <v>0</v>
      </c>
      <c r="AD492">
        <v>27.6</v>
      </c>
      <c r="AE492" s="7">
        <v>5.5</v>
      </c>
      <c r="AF492" s="7"/>
      <c r="AG492" s="7"/>
      <c r="AH492" s="7"/>
      <c r="AI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92" s="7"/>
      <c r="AK492" t="s">
        <v>378</v>
      </c>
      <c r="AN492">
        <f>IFERROR(INT(Table13[[#This Row],[reject_prod]]/Table13[[#This Row],[part_weight]] * 1000), 0)</f>
        <v>0</v>
      </c>
    </row>
    <row r="493" spans="1:40" hidden="1">
      <c r="A493" s="1">
        <v>46038</v>
      </c>
      <c r="B493">
        <v>1</v>
      </c>
      <c r="C493">
        <v>11</v>
      </c>
      <c r="D493" t="s">
        <v>112</v>
      </c>
      <c r="E493" t="s">
        <v>46</v>
      </c>
      <c r="F493">
        <v>552181</v>
      </c>
      <c r="G493" s="6">
        <v>1</v>
      </c>
      <c r="H493" t="s">
        <v>49</v>
      </c>
      <c r="I493">
        <v>10683782</v>
      </c>
      <c r="J493">
        <v>6</v>
      </c>
      <c r="K493">
        <v>18.8</v>
      </c>
      <c r="L493">
        <v>18.8</v>
      </c>
      <c r="M493">
        <v>1445</v>
      </c>
      <c r="N493" s="2">
        <v>108000</v>
      </c>
      <c r="O493" s="2">
        <v>1080</v>
      </c>
      <c r="P493" s="2">
        <v>4320</v>
      </c>
      <c r="Q493" s="2">
        <v>8670</v>
      </c>
      <c r="R493" s="2">
        <v>5400</v>
      </c>
      <c r="S493">
        <v>101.52</v>
      </c>
      <c r="T493" s="2">
        <v>69120</v>
      </c>
      <c r="U493" s="2">
        <v>38880</v>
      </c>
      <c r="V493">
        <v>162.99600000000001</v>
      </c>
      <c r="W493">
        <v>0</v>
      </c>
      <c r="X493">
        <v>0</v>
      </c>
      <c r="Y493">
        <v>0</v>
      </c>
      <c r="Z493">
        <v>0.5</v>
      </c>
      <c r="AA493">
        <v>3.0675599401212296E-3</v>
      </c>
      <c r="AB493">
        <v>29.1</v>
      </c>
      <c r="AC493">
        <v>11.680416666666666</v>
      </c>
      <c r="AD493">
        <v>27</v>
      </c>
      <c r="AE493" s="7"/>
      <c r="AF493" s="7"/>
      <c r="AG493" s="7"/>
      <c r="AH493" s="7"/>
      <c r="AI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493" s="7"/>
      <c r="AK493" t="s">
        <v>270</v>
      </c>
      <c r="AN493">
        <f>IFERROR(INT(Table13[[#This Row],[reject_prod]]/Table13[[#This Row],[part_weight]] * 1000), 0)</f>
        <v>26</v>
      </c>
    </row>
    <row r="494" spans="1:40" hidden="1">
      <c r="A494" s="1">
        <v>46038</v>
      </c>
      <c r="B494">
        <v>1</v>
      </c>
      <c r="C494">
        <v>12</v>
      </c>
      <c r="D494" t="s">
        <v>141</v>
      </c>
      <c r="E494" t="s">
        <v>34</v>
      </c>
      <c r="F494">
        <v>620599</v>
      </c>
      <c r="G494" s="6">
        <v>0</v>
      </c>
      <c r="H494" t="s">
        <v>50</v>
      </c>
      <c r="I494">
        <v>10682929</v>
      </c>
      <c r="J494">
        <v>4</v>
      </c>
      <c r="K494">
        <v>55</v>
      </c>
      <c r="L494">
        <v>55</v>
      </c>
      <c r="M494">
        <v>1487</v>
      </c>
      <c r="N494" s="2">
        <v>72000</v>
      </c>
      <c r="O494" s="2">
        <v>1125</v>
      </c>
      <c r="P494" s="2">
        <v>1575</v>
      </c>
      <c r="Q494" s="2">
        <v>5948</v>
      </c>
      <c r="R494" s="2">
        <v>5400</v>
      </c>
      <c r="S494">
        <v>297</v>
      </c>
      <c r="T494" s="2">
        <v>48375</v>
      </c>
      <c r="U494" s="2">
        <v>23625</v>
      </c>
      <c r="V494">
        <v>327.14</v>
      </c>
      <c r="W494">
        <v>0</v>
      </c>
      <c r="X494">
        <v>0</v>
      </c>
      <c r="Y494">
        <v>0</v>
      </c>
      <c r="Z494">
        <v>5.2</v>
      </c>
      <c r="AA494">
        <v>1.5895335330439568E-2</v>
      </c>
      <c r="AB494">
        <v>28.7</v>
      </c>
      <c r="AC494">
        <v>11.854694444444444</v>
      </c>
      <c r="AD494">
        <v>28</v>
      </c>
      <c r="AE494" s="7"/>
      <c r="AF494" s="7"/>
      <c r="AG494" s="7"/>
      <c r="AH494" s="7"/>
      <c r="AI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0.1453055555555558</v>
      </c>
      <c r="AJ494" s="7"/>
      <c r="AK494" t="s">
        <v>360</v>
      </c>
      <c r="AN494">
        <f>IFERROR(INT(Table13[[#This Row],[reject_prod]]/Table13[[#This Row],[part_weight]] * 1000), 0)</f>
        <v>94</v>
      </c>
    </row>
    <row r="495" spans="1:40" hidden="1">
      <c r="A495" s="1">
        <v>46038</v>
      </c>
      <c r="B495">
        <v>1</v>
      </c>
      <c r="C495">
        <v>13</v>
      </c>
      <c r="D495" t="s">
        <v>112</v>
      </c>
      <c r="E495" t="s">
        <v>46</v>
      </c>
      <c r="F495">
        <v>586276</v>
      </c>
      <c r="G495" s="6">
        <v>0</v>
      </c>
      <c r="H495" t="s">
        <v>47</v>
      </c>
      <c r="I495">
        <v>10683784</v>
      </c>
      <c r="J495">
        <v>6</v>
      </c>
      <c r="K495">
        <v>12.3</v>
      </c>
      <c r="L495">
        <v>12.3</v>
      </c>
      <c r="M495">
        <v>1637</v>
      </c>
      <c r="N495" s="2">
        <v>162000</v>
      </c>
      <c r="O495" s="2">
        <v>6885</v>
      </c>
      <c r="P495" s="2">
        <v>405</v>
      </c>
      <c r="Q495" s="2">
        <v>9822</v>
      </c>
      <c r="R495" s="2">
        <v>16200</v>
      </c>
      <c r="S495">
        <v>199.26</v>
      </c>
      <c r="T495" s="2">
        <v>73305</v>
      </c>
      <c r="U495" s="2">
        <v>88695</v>
      </c>
      <c r="V495">
        <v>120.81060000000001</v>
      </c>
      <c r="W495">
        <v>0</v>
      </c>
      <c r="X495">
        <v>0</v>
      </c>
      <c r="Y495">
        <v>0</v>
      </c>
      <c r="Z495">
        <v>1.2</v>
      </c>
      <c r="AA495">
        <v>9.9329032386231003E-3</v>
      </c>
      <c r="AB495">
        <v>26.4</v>
      </c>
      <c r="AC495">
        <v>12</v>
      </c>
      <c r="AD495">
        <v>26</v>
      </c>
      <c r="AE495" s="7"/>
      <c r="AF495" s="7"/>
      <c r="AG495" s="7"/>
      <c r="AH495" s="7"/>
      <c r="AI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5" s="7"/>
      <c r="AK495" t="s">
        <v>51</v>
      </c>
      <c r="AN495">
        <f>IFERROR(INT(Table13[[#This Row],[reject_prod]]/Table13[[#This Row],[part_weight]] * 1000), 0)</f>
        <v>97</v>
      </c>
    </row>
    <row r="496" spans="1:40" hidden="1">
      <c r="A496" s="1">
        <v>46038</v>
      </c>
      <c r="B496">
        <v>1</v>
      </c>
      <c r="C496">
        <v>14</v>
      </c>
      <c r="D496" t="s">
        <v>61</v>
      </c>
      <c r="E496" t="s">
        <v>46</v>
      </c>
      <c r="F496">
        <v>555979</v>
      </c>
      <c r="G496" s="6">
        <v>1</v>
      </c>
      <c r="H496" t="s">
        <v>52</v>
      </c>
      <c r="I496">
        <v>10682932</v>
      </c>
      <c r="J496">
        <v>6</v>
      </c>
      <c r="K496">
        <v>28</v>
      </c>
      <c r="L496">
        <v>28</v>
      </c>
      <c r="M496">
        <v>994</v>
      </c>
      <c r="N496" s="2">
        <v>100800</v>
      </c>
      <c r="O496" s="2">
        <v>2520</v>
      </c>
      <c r="P496" s="2">
        <v>1680</v>
      </c>
      <c r="Q496" s="2">
        <v>5964</v>
      </c>
      <c r="R496" s="2">
        <v>6720</v>
      </c>
      <c r="S496">
        <v>188.16</v>
      </c>
      <c r="T496" s="2">
        <v>95760</v>
      </c>
      <c r="U496" s="2">
        <v>5040</v>
      </c>
      <c r="V496">
        <v>166.99199999999999</v>
      </c>
      <c r="W496">
        <v>0</v>
      </c>
      <c r="X496">
        <v>0</v>
      </c>
      <c r="Y496">
        <v>0</v>
      </c>
      <c r="Z496">
        <v>2.2999999999999998</v>
      </c>
      <c r="AA496">
        <v>1.3773114879754718E-2</v>
      </c>
      <c r="AB496">
        <v>42.7</v>
      </c>
      <c r="AC496">
        <v>11.789944444444446</v>
      </c>
      <c r="AD496">
        <v>42</v>
      </c>
      <c r="AE496" s="7"/>
      <c r="AF496" s="7"/>
      <c r="AG496" s="7"/>
      <c r="AH496" s="7"/>
      <c r="AI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0.21005555555555411</v>
      </c>
      <c r="AJ496" s="7"/>
      <c r="AK496" t="s">
        <v>241</v>
      </c>
      <c r="AN496">
        <f>IFERROR(INT(Table13[[#This Row],[reject_prod]]/Table13[[#This Row],[part_weight]] * 1000), 0)</f>
        <v>82</v>
      </c>
    </row>
    <row r="497" spans="1:40" hidden="1">
      <c r="A497" s="1">
        <v>46038</v>
      </c>
      <c r="B497">
        <v>1</v>
      </c>
      <c r="C497">
        <v>15</v>
      </c>
      <c r="D497" t="s">
        <v>112</v>
      </c>
      <c r="E497" t="s">
        <v>46</v>
      </c>
      <c r="F497">
        <v>552181</v>
      </c>
      <c r="G497" s="6">
        <v>2</v>
      </c>
      <c r="H497" t="s">
        <v>49</v>
      </c>
      <c r="I497">
        <v>10683786</v>
      </c>
      <c r="J497">
        <v>6</v>
      </c>
      <c r="K497">
        <v>18.8</v>
      </c>
      <c r="L497">
        <v>18.8</v>
      </c>
      <c r="M497">
        <v>1364</v>
      </c>
      <c r="N497" s="2">
        <v>108000</v>
      </c>
      <c r="O497" s="2">
        <v>1350</v>
      </c>
      <c r="P497" s="2">
        <v>4050</v>
      </c>
      <c r="Q497" s="2">
        <v>8184</v>
      </c>
      <c r="R497" s="2">
        <v>5400</v>
      </c>
      <c r="S497">
        <v>101.52</v>
      </c>
      <c r="T497" s="2">
        <v>41850</v>
      </c>
      <c r="U497" s="2">
        <v>66150</v>
      </c>
      <c r="V497">
        <v>153.85920000000002</v>
      </c>
      <c r="W497">
        <v>0</v>
      </c>
      <c r="X497">
        <v>0</v>
      </c>
      <c r="Y497">
        <v>0</v>
      </c>
      <c r="Z497">
        <v>1.5</v>
      </c>
      <c r="AA497">
        <v>9.7491732701066938E-3</v>
      </c>
      <c r="AB497">
        <v>31.3</v>
      </c>
      <c r="AC497">
        <v>11.859222222222222</v>
      </c>
      <c r="AD497">
        <v>27</v>
      </c>
      <c r="AE497" s="7"/>
      <c r="AF497" s="7"/>
      <c r="AG497" s="7"/>
      <c r="AH497" s="7"/>
      <c r="AI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497" s="7"/>
      <c r="AK497" t="s">
        <v>51</v>
      </c>
      <c r="AN497">
        <f>IFERROR(INT(Table13[[#This Row],[reject_prod]]/Table13[[#This Row],[part_weight]] * 1000), 0)</f>
        <v>79</v>
      </c>
    </row>
    <row r="498" spans="1:40" s="4" customFormat="1" hidden="1">
      <c r="A498" s="3">
        <v>46038</v>
      </c>
      <c r="B498" s="4">
        <v>1</v>
      </c>
      <c r="C498" s="4">
        <v>16</v>
      </c>
      <c r="D498" s="4" t="s">
        <v>129</v>
      </c>
      <c r="E498" s="4" t="s">
        <v>46</v>
      </c>
      <c r="F498" s="4">
        <v>555979</v>
      </c>
      <c r="G498" s="9">
        <v>2</v>
      </c>
      <c r="H498" s="4" t="s">
        <v>52</v>
      </c>
      <c r="I498" s="4">
        <v>10683788</v>
      </c>
      <c r="J498" s="4">
        <v>6</v>
      </c>
      <c r="K498" s="4">
        <v>28</v>
      </c>
      <c r="L498" s="4">
        <v>28</v>
      </c>
      <c r="M498" s="4">
        <v>997</v>
      </c>
      <c r="N498" s="5">
        <v>100800</v>
      </c>
      <c r="O498" s="5">
        <v>1344</v>
      </c>
      <c r="P498" s="5">
        <v>504</v>
      </c>
      <c r="Q498" s="5">
        <v>5982</v>
      </c>
      <c r="R498" s="5">
        <v>6720</v>
      </c>
      <c r="S498" s="4">
        <v>188.16</v>
      </c>
      <c r="T498" s="5">
        <v>37464</v>
      </c>
      <c r="U498" s="5">
        <v>63336</v>
      </c>
      <c r="V498" s="4">
        <v>167.49600000000001</v>
      </c>
      <c r="W498" s="4">
        <v>0</v>
      </c>
      <c r="X498" s="4">
        <v>0</v>
      </c>
      <c r="Y498" s="4">
        <v>0</v>
      </c>
      <c r="Z498" s="4">
        <v>2.8</v>
      </c>
      <c r="AA498" s="4">
        <v>1.6716817118020727E-2</v>
      </c>
      <c r="AB498" s="4">
        <v>43.7</v>
      </c>
      <c r="AC498" s="4">
        <v>12</v>
      </c>
      <c r="AD498" s="4">
        <v>42</v>
      </c>
      <c r="AE498" s="8"/>
      <c r="AF498" s="8"/>
      <c r="AG498" s="8"/>
      <c r="AH498" s="8"/>
      <c r="AI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8" s="8"/>
      <c r="AK498" s="4" t="s">
        <v>51</v>
      </c>
      <c r="AM498" s="4">
        <v>3</v>
      </c>
      <c r="AN498">
        <f>IFERROR(INT(Table13[[#This Row],[reject_prod]]/Table13[[#This Row],[part_weight]] * 1000), 0)</f>
        <v>100</v>
      </c>
    </row>
    <row r="499" spans="1:40" hidden="1">
      <c r="A499" s="1">
        <v>46038</v>
      </c>
      <c r="B499">
        <v>2</v>
      </c>
      <c r="C499">
        <v>1</v>
      </c>
      <c r="D499" t="s">
        <v>167</v>
      </c>
      <c r="E499" t="s">
        <v>34</v>
      </c>
      <c r="F499">
        <v>577492</v>
      </c>
      <c r="G499" s="6">
        <v>0</v>
      </c>
      <c r="H499" t="s">
        <v>341</v>
      </c>
      <c r="I499">
        <v>10683850</v>
      </c>
      <c r="J499">
        <v>4</v>
      </c>
      <c r="K499">
        <v>35.6</v>
      </c>
      <c r="L499">
        <v>35.6</v>
      </c>
      <c r="M499">
        <v>1560</v>
      </c>
      <c r="N499" s="2">
        <v>40480</v>
      </c>
      <c r="O499" s="2">
        <v>368</v>
      </c>
      <c r="P499" s="2">
        <v>1104</v>
      </c>
      <c r="Q499" s="2">
        <v>6240</v>
      </c>
      <c r="R499" s="2">
        <v>5520</v>
      </c>
      <c r="S499">
        <v>196.512</v>
      </c>
      <c r="T499" s="2">
        <v>19504</v>
      </c>
      <c r="U499" s="2">
        <v>20976</v>
      </c>
      <c r="V499">
        <v>222.14400000000001</v>
      </c>
      <c r="W499">
        <v>0</v>
      </c>
      <c r="X499">
        <v>0</v>
      </c>
      <c r="Y499">
        <v>0</v>
      </c>
      <c r="Z499">
        <v>1.5</v>
      </c>
      <c r="AA499">
        <v>6.7523768366464995E-3</v>
      </c>
      <c r="AB499">
        <v>28.2</v>
      </c>
      <c r="AC499">
        <v>12</v>
      </c>
      <c r="AD499">
        <v>27</v>
      </c>
      <c r="AE499" s="7"/>
      <c r="AF499" s="7"/>
      <c r="AG499" s="7"/>
      <c r="AH499" s="7"/>
      <c r="AI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9" s="7"/>
      <c r="AK499" t="s">
        <v>379</v>
      </c>
      <c r="AN499">
        <f>IFERROR(INT(Table13[[#This Row],[reject_prod]]/Table13[[#This Row],[part_weight]] * 1000), 0)</f>
        <v>42</v>
      </c>
    </row>
    <row r="500" spans="1:40" hidden="1">
      <c r="A500" s="1">
        <v>46038</v>
      </c>
      <c r="B500">
        <v>2</v>
      </c>
      <c r="C500">
        <v>2</v>
      </c>
      <c r="D500" t="s">
        <v>181</v>
      </c>
      <c r="E500" t="s">
        <v>34</v>
      </c>
      <c r="F500">
        <v>463202</v>
      </c>
      <c r="G500" s="6">
        <v>0</v>
      </c>
      <c r="H500" t="s">
        <v>320</v>
      </c>
      <c r="I500">
        <v>10684540</v>
      </c>
      <c r="J500">
        <v>4</v>
      </c>
      <c r="K500">
        <v>23</v>
      </c>
      <c r="L500">
        <v>23</v>
      </c>
      <c r="M500">
        <v>1400</v>
      </c>
      <c r="N500" s="2">
        <v>40920</v>
      </c>
      <c r="O500" s="2">
        <v>1860</v>
      </c>
      <c r="P500" s="2">
        <v>0</v>
      </c>
      <c r="Q500" s="2">
        <v>5600</v>
      </c>
      <c r="R500" s="2">
        <v>7440</v>
      </c>
      <c r="S500">
        <v>171.12</v>
      </c>
      <c r="T500" s="2">
        <v>40920</v>
      </c>
      <c r="U500" s="2">
        <v>0</v>
      </c>
      <c r="V500">
        <v>128.80000000000001</v>
      </c>
      <c r="W500">
        <v>0</v>
      </c>
      <c r="X500">
        <v>0</v>
      </c>
      <c r="Y500">
        <v>0</v>
      </c>
      <c r="Z500">
        <v>1</v>
      </c>
      <c r="AA500">
        <v>7.7639751552795021E-3</v>
      </c>
      <c r="AB500">
        <v>23.27</v>
      </c>
      <c r="AC500">
        <v>9.0494444444444451</v>
      </c>
      <c r="AD500">
        <v>22.92</v>
      </c>
      <c r="AE500" s="7"/>
      <c r="AF500" s="7"/>
      <c r="AG500" s="7"/>
      <c r="AH500" s="7"/>
      <c r="AI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2.9505555555555549</v>
      </c>
      <c r="AJ500" s="7"/>
      <c r="AK500" t="s">
        <v>380</v>
      </c>
      <c r="AN500">
        <f>IFERROR(INT(Table13[[#This Row],[reject_prod]]/Table13[[#This Row],[part_weight]] * 1000), 0)</f>
        <v>43</v>
      </c>
    </row>
    <row r="501" spans="1:40" hidden="1">
      <c r="A501" s="1">
        <v>46038</v>
      </c>
      <c r="B501">
        <v>2</v>
      </c>
      <c r="C501">
        <v>2</v>
      </c>
      <c r="D501" t="s">
        <v>33</v>
      </c>
      <c r="E501" t="s">
        <v>34</v>
      </c>
      <c r="F501">
        <v>416201</v>
      </c>
      <c r="G501" s="6">
        <v>0</v>
      </c>
      <c r="H501" t="s">
        <v>36</v>
      </c>
      <c r="I501">
        <v>10681779</v>
      </c>
      <c r="J501">
        <v>4</v>
      </c>
      <c r="K501">
        <v>20</v>
      </c>
      <c r="L501">
        <v>30</v>
      </c>
      <c r="M501">
        <v>0</v>
      </c>
      <c r="N501" s="2">
        <v>50400</v>
      </c>
      <c r="O501" s="2">
        <v>0</v>
      </c>
      <c r="P501" s="2">
        <v>0</v>
      </c>
      <c r="Q501" s="2">
        <v>0</v>
      </c>
      <c r="R501" s="2">
        <v>0</v>
      </c>
      <c r="S501">
        <v>0</v>
      </c>
      <c r="T501" s="2">
        <v>0</v>
      </c>
      <c r="U501" s="2">
        <v>50400</v>
      </c>
      <c r="V501">
        <v>0</v>
      </c>
      <c r="W501">
        <v>0</v>
      </c>
      <c r="X501">
        <v>0</v>
      </c>
      <c r="Y501" t="e">
        <v>#DIV/0!</v>
      </c>
      <c r="Z501">
        <v>0</v>
      </c>
      <c r="AA501" t="e">
        <v>#DIV/0!</v>
      </c>
      <c r="AB501">
        <v>23.27</v>
      </c>
      <c r="AC501">
        <v>0</v>
      </c>
      <c r="AD501">
        <v>38.64</v>
      </c>
      <c r="AE501" s="7"/>
      <c r="AF501" s="7"/>
      <c r="AG501" s="7">
        <v>1.5</v>
      </c>
      <c r="AH501" s="7"/>
      <c r="AI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501" s="7"/>
      <c r="AK501" t="s">
        <v>381</v>
      </c>
      <c r="AN501">
        <f>IFERROR(INT(Table13[[#This Row],[reject_prod]]/Table13[[#This Row],[part_weight]] * 1000), 0)</f>
        <v>0</v>
      </c>
    </row>
    <row r="502" spans="1:40" hidden="1">
      <c r="A502" s="1">
        <v>46038</v>
      </c>
      <c r="B502">
        <v>2</v>
      </c>
      <c r="C502">
        <v>3</v>
      </c>
      <c r="D502" t="s">
        <v>56</v>
      </c>
      <c r="E502" t="s">
        <v>34</v>
      </c>
      <c r="F502">
        <v>442034</v>
      </c>
      <c r="G502" s="6">
        <v>0</v>
      </c>
      <c r="H502" t="s">
        <v>37</v>
      </c>
      <c r="I502">
        <v>10681183</v>
      </c>
      <c r="J502">
        <v>4</v>
      </c>
      <c r="K502">
        <v>23</v>
      </c>
      <c r="L502">
        <v>23</v>
      </c>
      <c r="M502">
        <v>1560</v>
      </c>
      <c r="N502" s="2">
        <v>139776</v>
      </c>
      <c r="O502" s="2">
        <v>768</v>
      </c>
      <c r="P502" s="2">
        <v>2304</v>
      </c>
      <c r="Q502" s="2">
        <v>6240</v>
      </c>
      <c r="R502" s="2">
        <v>4608</v>
      </c>
      <c r="S502">
        <v>105.98399999999999</v>
      </c>
      <c r="T502" s="2">
        <v>135936</v>
      </c>
      <c r="U502" s="2">
        <v>3840</v>
      </c>
      <c r="V502">
        <v>143.52000000000001</v>
      </c>
      <c r="W502">
        <v>0</v>
      </c>
      <c r="X502">
        <v>0</v>
      </c>
      <c r="Y502">
        <v>0</v>
      </c>
      <c r="Z502">
        <v>4.2</v>
      </c>
      <c r="AA502">
        <v>2.926421404682274E-2</v>
      </c>
      <c r="AB502">
        <v>26.55</v>
      </c>
      <c r="AC502">
        <v>11.505000000000001</v>
      </c>
      <c r="AD502">
        <v>22</v>
      </c>
      <c r="AE502" s="7"/>
      <c r="AF502" s="7"/>
      <c r="AG502" s="7"/>
      <c r="AH502" s="7"/>
      <c r="AI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0.49499999999999922</v>
      </c>
      <c r="AJ502" s="7"/>
      <c r="AK502" t="s">
        <v>103</v>
      </c>
      <c r="AN502">
        <f>IFERROR(INT(Table13[[#This Row],[reject_prod]]/Table13[[#This Row],[part_weight]] * 1000), 0)</f>
        <v>182</v>
      </c>
    </row>
    <row r="503" spans="1:40" hidden="1">
      <c r="A503" s="1">
        <v>46038</v>
      </c>
      <c r="B503">
        <v>2</v>
      </c>
      <c r="C503">
        <v>4</v>
      </c>
      <c r="F503">
        <v>123456</v>
      </c>
      <c r="G503" s="6">
        <v>0</v>
      </c>
      <c r="M503">
        <v>0</v>
      </c>
      <c r="N503">
        <v>0</v>
      </c>
      <c r="O503">
        <v>0</v>
      </c>
      <c r="P503">
        <v>0</v>
      </c>
      <c r="R503">
        <v>0</v>
      </c>
      <c r="T503">
        <v>0</v>
      </c>
      <c r="X503">
        <v>0</v>
      </c>
      <c r="Z503">
        <v>0</v>
      </c>
      <c r="AB503">
        <v>0</v>
      </c>
      <c r="AC503">
        <v>0</v>
      </c>
      <c r="AD503">
        <v>22.5</v>
      </c>
      <c r="AE503" s="7"/>
      <c r="AF503" s="7"/>
      <c r="AG503" s="7"/>
      <c r="AH503" s="7"/>
      <c r="AI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3" s="7">
        <v>12</v>
      </c>
      <c r="AK503" t="s">
        <v>116</v>
      </c>
      <c r="AN503">
        <f>IFERROR(INT(Table13[[#This Row],[reject_prod]]/Table13[[#This Row],[part_weight]] * 1000), 0)</f>
        <v>0</v>
      </c>
    </row>
    <row r="504" spans="1:40" hidden="1">
      <c r="A504" s="1">
        <v>46038</v>
      </c>
      <c r="B504">
        <v>2</v>
      </c>
      <c r="C504">
        <v>5</v>
      </c>
      <c r="D504" t="s">
        <v>88</v>
      </c>
      <c r="E504" t="s">
        <v>34</v>
      </c>
      <c r="F504">
        <v>597507</v>
      </c>
      <c r="G504" s="6">
        <v>0</v>
      </c>
      <c r="H504" t="s">
        <v>279</v>
      </c>
      <c r="I504">
        <v>10682757</v>
      </c>
      <c r="J504">
        <v>4</v>
      </c>
      <c r="K504">
        <v>23</v>
      </c>
      <c r="L504">
        <v>23</v>
      </c>
      <c r="M504">
        <v>1925</v>
      </c>
      <c r="N504" s="2">
        <v>64680</v>
      </c>
      <c r="O504" s="2">
        <v>0</v>
      </c>
      <c r="P504" s="2">
        <v>154</v>
      </c>
      <c r="Q504" s="2">
        <v>7700</v>
      </c>
      <c r="R504" s="2">
        <v>7546</v>
      </c>
      <c r="S504">
        <v>173.55799999999999</v>
      </c>
      <c r="T504" s="2">
        <v>56210</v>
      </c>
      <c r="U504" s="2">
        <v>8470</v>
      </c>
      <c r="V504">
        <v>177.1</v>
      </c>
      <c r="W504">
        <v>0</v>
      </c>
      <c r="X504">
        <v>0</v>
      </c>
      <c r="Y504">
        <v>0</v>
      </c>
      <c r="Z504">
        <v>4.5</v>
      </c>
      <c r="AA504">
        <v>2.5409373235460192E-2</v>
      </c>
      <c r="AB504">
        <v>22.3</v>
      </c>
      <c r="AC504">
        <v>11.924305555555556</v>
      </c>
      <c r="AD504">
        <v>22</v>
      </c>
      <c r="AE504" s="7"/>
      <c r="AF504" s="7"/>
      <c r="AG504" s="7"/>
      <c r="AH504" s="7"/>
      <c r="AI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7.5694444444444287E-2</v>
      </c>
      <c r="AJ504" s="7"/>
      <c r="AK504" t="s">
        <v>382</v>
      </c>
      <c r="AN504">
        <f>IFERROR(INT(Table13[[#This Row],[reject_prod]]/Table13[[#This Row],[part_weight]] * 1000), 0)</f>
        <v>195</v>
      </c>
    </row>
    <row r="505" spans="1:40" hidden="1">
      <c r="A505" s="1">
        <v>46038</v>
      </c>
      <c r="B505">
        <v>2</v>
      </c>
      <c r="C505">
        <v>6</v>
      </c>
      <c r="D505" t="s">
        <v>369</v>
      </c>
      <c r="E505" t="s">
        <v>34</v>
      </c>
      <c r="F505">
        <v>322429</v>
      </c>
      <c r="G505" s="6">
        <v>0</v>
      </c>
      <c r="H505" t="s">
        <v>354</v>
      </c>
      <c r="I505">
        <v>10683853</v>
      </c>
      <c r="J505">
        <v>4</v>
      </c>
      <c r="K505">
        <v>24.93</v>
      </c>
      <c r="L505">
        <v>24</v>
      </c>
      <c r="M505">
        <v>2030</v>
      </c>
      <c r="N505" s="2">
        <v>40600</v>
      </c>
      <c r="O505" s="2">
        <v>609</v>
      </c>
      <c r="P505" s="2">
        <v>609</v>
      </c>
      <c r="Q505" s="2">
        <v>8120</v>
      </c>
      <c r="R505" s="2">
        <v>8120</v>
      </c>
      <c r="S505">
        <v>194.88</v>
      </c>
      <c r="T505" s="2">
        <v>29029</v>
      </c>
      <c r="U505" s="2">
        <v>11571</v>
      </c>
      <c r="V505">
        <v>194.88</v>
      </c>
      <c r="W505">
        <v>0</v>
      </c>
      <c r="X505">
        <v>0</v>
      </c>
      <c r="Y505">
        <v>0</v>
      </c>
      <c r="Z505">
        <v>1.2</v>
      </c>
      <c r="AA505">
        <v>6.1576354679802959E-3</v>
      </c>
      <c r="AB505">
        <v>21.44</v>
      </c>
      <c r="AC505">
        <v>12</v>
      </c>
      <c r="AD505">
        <v>16.96</v>
      </c>
      <c r="AE505" s="7"/>
      <c r="AF505" s="7"/>
      <c r="AG505" s="7"/>
      <c r="AH505" s="7"/>
      <c r="AI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5" s="7"/>
      <c r="AK505" t="s">
        <v>103</v>
      </c>
      <c r="AN505">
        <f>IFERROR(INT(Table13[[#This Row],[reject_prod]]/Table13[[#This Row],[part_weight]] * 1000), 0)</f>
        <v>50</v>
      </c>
    </row>
    <row r="506" spans="1:40" hidden="1">
      <c r="A506" s="1">
        <v>46038</v>
      </c>
      <c r="B506">
        <v>2</v>
      </c>
      <c r="C506">
        <v>7</v>
      </c>
      <c r="D506" t="s">
        <v>33</v>
      </c>
      <c r="E506" t="s">
        <v>34</v>
      </c>
      <c r="F506">
        <v>322452</v>
      </c>
      <c r="G506" s="6">
        <v>0</v>
      </c>
      <c r="H506" t="s">
        <v>374</v>
      </c>
      <c r="I506">
        <v>10683857</v>
      </c>
      <c r="J506">
        <v>4</v>
      </c>
      <c r="K506">
        <v>33.11</v>
      </c>
      <c r="L506">
        <v>34.5</v>
      </c>
      <c r="M506">
        <v>0</v>
      </c>
      <c r="N506" s="2">
        <v>44928</v>
      </c>
      <c r="O506" s="2">
        <v>624</v>
      </c>
      <c r="P506" s="2">
        <v>624</v>
      </c>
      <c r="Q506" s="2">
        <v>0</v>
      </c>
      <c r="R506" s="2">
        <v>0</v>
      </c>
      <c r="S506">
        <v>0</v>
      </c>
      <c r="T506" s="2">
        <v>624</v>
      </c>
      <c r="U506" s="2">
        <v>44304</v>
      </c>
      <c r="V506">
        <v>0</v>
      </c>
      <c r="W506">
        <v>0</v>
      </c>
      <c r="X506">
        <v>0</v>
      </c>
      <c r="Y506" t="e">
        <v>#DIV/0!</v>
      </c>
      <c r="Z506">
        <v>0</v>
      </c>
      <c r="AA506" t="e">
        <v>#DIV/0!</v>
      </c>
      <c r="AB506">
        <v>22.24</v>
      </c>
      <c r="AC506">
        <v>0</v>
      </c>
      <c r="AD506">
        <v>18.04</v>
      </c>
      <c r="AE506" s="7"/>
      <c r="AF506" s="7"/>
      <c r="AG506" s="7"/>
      <c r="AH506" s="7"/>
      <c r="AI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06" s="7"/>
      <c r="AK506" t="s">
        <v>383</v>
      </c>
      <c r="AN506">
        <f>IFERROR(INT(Table13[[#This Row],[reject_prod]]/Table13[[#This Row],[part_weight]] * 1000), 0)</f>
        <v>0</v>
      </c>
    </row>
    <row r="507" spans="1:40" hidden="1">
      <c r="A507" s="1">
        <v>46038</v>
      </c>
      <c r="B507">
        <v>2</v>
      </c>
      <c r="C507">
        <v>8</v>
      </c>
      <c r="D507" t="s">
        <v>54</v>
      </c>
      <c r="E507" t="s">
        <v>41</v>
      </c>
      <c r="F507">
        <v>593537</v>
      </c>
      <c r="G507" s="6">
        <v>0</v>
      </c>
      <c r="H507" t="s">
        <v>48</v>
      </c>
      <c r="I507">
        <v>10682926</v>
      </c>
      <c r="J507">
        <v>4</v>
      </c>
      <c r="K507">
        <v>56.5</v>
      </c>
      <c r="L507">
        <v>56.8</v>
      </c>
      <c r="M507">
        <v>1440</v>
      </c>
      <c r="N507" s="2">
        <v>69000</v>
      </c>
      <c r="O507" s="2">
        <v>0</v>
      </c>
      <c r="P507" s="2">
        <v>0</v>
      </c>
      <c r="Q507" s="2">
        <v>5760</v>
      </c>
      <c r="R507" s="2">
        <v>5750</v>
      </c>
      <c r="S507">
        <v>326.60000000000002</v>
      </c>
      <c r="T507" s="2">
        <v>55200</v>
      </c>
      <c r="U507" s="2">
        <v>13800</v>
      </c>
      <c r="V507">
        <v>327.16800000000001</v>
      </c>
      <c r="W507">
        <v>0</v>
      </c>
      <c r="X507">
        <v>0</v>
      </c>
      <c r="Y507">
        <v>0</v>
      </c>
      <c r="Z507">
        <v>3.5</v>
      </c>
      <c r="AA507">
        <v>1.0697867762128326E-2</v>
      </c>
      <c r="AB507">
        <v>30.6</v>
      </c>
      <c r="AC507">
        <v>12</v>
      </c>
      <c r="AD507">
        <v>28.5</v>
      </c>
      <c r="AE507" s="7"/>
      <c r="AF507" s="7"/>
      <c r="AG507" s="7"/>
      <c r="AH507" s="7"/>
      <c r="AI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7" s="7"/>
      <c r="AK507" t="s">
        <v>51</v>
      </c>
      <c r="AN507">
        <f>IFERROR(INT(Table13[[#This Row],[reject_prod]]/Table13[[#This Row],[part_weight]] * 1000), 0)</f>
        <v>61</v>
      </c>
    </row>
    <row r="508" spans="1:40" hidden="1">
      <c r="A508" s="1">
        <v>46038</v>
      </c>
      <c r="B508">
        <v>2</v>
      </c>
      <c r="C508">
        <v>9</v>
      </c>
      <c r="D508" t="s">
        <v>33</v>
      </c>
      <c r="E508" t="s">
        <v>46</v>
      </c>
      <c r="F508">
        <v>586276</v>
      </c>
      <c r="G508" s="6">
        <v>0</v>
      </c>
      <c r="H508" t="s">
        <v>47</v>
      </c>
      <c r="I508">
        <v>10682924</v>
      </c>
      <c r="J508">
        <v>6</v>
      </c>
      <c r="K508">
        <v>12.3</v>
      </c>
      <c r="L508">
        <v>12.3</v>
      </c>
      <c r="M508">
        <v>0</v>
      </c>
      <c r="N508" s="2">
        <v>162000</v>
      </c>
      <c r="O508" s="2">
        <v>7290</v>
      </c>
      <c r="P508" s="2">
        <v>7290</v>
      </c>
      <c r="Q508" s="2">
        <v>0</v>
      </c>
      <c r="R508" s="2">
        <v>0</v>
      </c>
      <c r="S508">
        <v>0</v>
      </c>
      <c r="T508" s="2">
        <v>80190</v>
      </c>
      <c r="U508" s="2">
        <v>81810</v>
      </c>
      <c r="V508">
        <v>0</v>
      </c>
      <c r="W508">
        <v>0</v>
      </c>
      <c r="X508">
        <v>0</v>
      </c>
      <c r="Y508" t="e">
        <v>#DIV/0!</v>
      </c>
      <c r="Z508">
        <v>0</v>
      </c>
      <c r="AA508" t="e">
        <v>#DIV/0!</v>
      </c>
      <c r="AB508">
        <v>26.2</v>
      </c>
      <c r="AC508">
        <v>0</v>
      </c>
      <c r="AD508">
        <v>26</v>
      </c>
      <c r="AE508" s="7"/>
      <c r="AF508" s="7"/>
      <c r="AG508" s="7"/>
      <c r="AH508" s="7"/>
      <c r="AI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08" s="7"/>
      <c r="AK508" t="s">
        <v>357</v>
      </c>
      <c r="AN508">
        <f>IFERROR(INT(Table13[[#This Row],[reject_prod]]/Table13[[#This Row],[part_weight]] * 1000), 0)</f>
        <v>0</v>
      </c>
    </row>
    <row r="509" spans="1:40" hidden="1">
      <c r="A509" s="1">
        <v>46038</v>
      </c>
      <c r="B509">
        <v>2</v>
      </c>
      <c r="C509">
        <v>10</v>
      </c>
      <c r="D509" t="s">
        <v>88</v>
      </c>
      <c r="E509" t="s">
        <v>34</v>
      </c>
      <c r="F509">
        <v>323092</v>
      </c>
      <c r="G509" s="6">
        <v>0</v>
      </c>
      <c r="H509" t="s">
        <v>377</v>
      </c>
      <c r="I509">
        <v>10684857</v>
      </c>
      <c r="J509">
        <v>4</v>
      </c>
      <c r="K509">
        <v>48.9</v>
      </c>
      <c r="L509">
        <v>48.9</v>
      </c>
      <c r="M509">
        <v>580</v>
      </c>
      <c r="N509" s="2">
        <v>37800</v>
      </c>
      <c r="O509" s="2">
        <v>0</v>
      </c>
      <c r="P509" s="2">
        <v>2310</v>
      </c>
      <c r="Q509" s="2">
        <v>2320</v>
      </c>
      <c r="R509" s="2">
        <v>0</v>
      </c>
      <c r="S509">
        <v>0</v>
      </c>
      <c r="T509" s="2">
        <v>2310</v>
      </c>
      <c r="U509" s="2">
        <v>35490</v>
      </c>
      <c r="V509">
        <v>113.44799999999999</v>
      </c>
      <c r="W509">
        <v>0</v>
      </c>
      <c r="X509">
        <v>12</v>
      </c>
      <c r="Y509">
        <v>0.10577533319229956</v>
      </c>
      <c r="Z509">
        <v>1.2</v>
      </c>
      <c r="AA509">
        <v>1.0577533319229955E-2</v>
      </c>
      <c r="AB509">
        <v>28.4</v>
      </c>
      <c r="AC509">
        <v>4.5755555555555549</v>
      </c>
      <c r="AD509">
        <v>27.6</v>
      </c>
      <c r="AE509" s="7">
        <v>2.5</v>
      </c>
      <c r="AF509" s="7"/>
      <c r="AG509" s="7"/>
      <c r="AH509" s="7"/>
      <c r="AI5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4.9244444444444451</v>
      </c>
      <c r="AJ509" s="7"/>
      <c r="AK509" t="s">
        <v>384</v>
      </c>
      <c r="AN509">
        <f>IFERROR(INT(Table13[[#This Row],[reject_prod]]/Table13[[#This Row],[part_weight]] * 1000), 0)</f>
        <v>24</v>
      </c>
    </row>
    <row r="510" spans="1:40" hidden="1">
      <c r="A510" s="1">
        <v>46038</v>
      </c>
      <c r="B510">
        <v>2</v>
      </c>
      <c r="C510">
        <v>11</v>
      </c>
      <c r="D510" t="s">
        <v>59</v>
      </c>
      <c r="E510" t="s">
        <v>46</v>
      </c>
      <c r="F510">
        <v>552181</v>
      </c>
      <c r="G510" s="6">
        <v>1</v>
      </c>
      <c r="H510" t="s">
        <v>49</v>
      </c>
      <c r="I510">
        <v>10683782</v>
      </c>
      <c r="J510">
        <v>6</v>
      </c>
      <c r="K510">
        <v>18.8</v>
      </c>
      <c r="L510">
        <v>18.8</v>
      </c>
      <c r="M510">
        <v>1430</v>
      </c>
      <c r="N510" s="2">
        <v>108000</v>
      </c>
      <c r="O510" s="2">
        <v>4320</v>
      </c>
      <c r="P510" s="2">
        <v>1890</v>
      </c>
      <c r="Q510" s="2">
        <v>8580</v>
      </c>
      <c r="R510" s="2">
        <v>10800</v>
      </c>
      <c r="S510">
        <v>203.04</v>
      </c>
      <c r="T510" s="2">
        <v>77490</v>
      </c>
      <c r="U510" s="2">
        <v>30510</v>
      </c>
      <c r="V510">
        <v>161.304</v>
      </c>
      <c r="W510">
        <v>0</v>
      </c>
      <c r="X510">
        <v>0</v>
      </c>
      <c r="Y510">
        <v>0</v>
      </c>
      <c r="Z510">
        <v>1</v>
      </c>
      <c r="AA510">
        <v>6.1994742845806671E-3</v>
      </c>
      <c r="AB510">
        <v>29.1</v>
      </c>
      <c r="AC510">
        <v>11.559166666666666</v>
      </c>
      <c r="AD510">
        <v>27</v>
      </c>
      <c r="AE510" s="7"/>
      <c r="AF510" s="7"/>
      <c r="AG510" s="7"/>
      <c r="AH510" s="7"/>
      <c r="AI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0.44083333333333385</v>
      </c>
      <c r="AJ510" s="7"/>
      <c r="AK510" t="s">
        <v>51</v>
      </c>
      <c r="AN510">
        <f>IFERROR(INT(Table13[[#This Row],[reject_prod]]/Table13[[#This Row],[part_weight]] * 1000), 0)</f>
        <v>53</v>
      </c>
    </row>
    <row r="511" spans="1:40" hidden="1">
      <c r="A511" s="1">
        <v>46038</v>
      </c>
      <c r="B511">
        <v>2</v>
      </c>
      <c r="C511">
        <v>12</v>
      </c>
      <c r="D511" t="s">
        <v>289</v>
      </c>
      <c r="E511" t="s">
        <v>34</v>
      </c>
      <c r="F511">
        <v>620599</v>
      </c>
      <c r="G511" s="6">
        <v>0</v>
      </c>
      <c r="H511" t="s">
        <v>50</v>
      </c>
      <c r="I511">
        <v>10682929</v>
      </c>
      <c r="J511">
        <v>4</v>
      </c>
      <c r="K511">
        <v>55</v>
      </c>
      <c r="L511">
        <v>55</v>
      </c>
      <c r="M511">
        <v>1465</v>
      </c>
      <c r="N511" s="2">
        <v>72000</v>
      </c>
      <c r="O511" s="2">
        <v>1575</v>
      </c>
      <c r="P511" s="2">
        <v>225</v>
      </c>
      <c r="Q511" s="2">
        <v>5860</v>
      </c>
      <c r="R511" s="2">
        <v>7200</v>
      </c>
      <c r="S511">
        <v>396</v>
      </c>
      <c r="T511" s="2">
        <v>54225</v>
      </c>
      <c r="U511" s="2">
        <v>17775</v>
      </c>
      <c r="V511">
        <v>322.3</v>
      </c>
      <c r="W511">
        <v>0</v>
      </c>
      <c r="X511">
        <v>0</v>
      </c>
      <c r="Y511">
        <v>0</v>
      </c>
      <c r="Z511">
        <v>8.1999999999999993</v>
      </c>
      <c r="AA511">
        <v>2.544213465715172E-2</v>
      </c>
      <c r="AB511">
        <v>28.7</v>
      </c>
      <c r="AC511">
        <v>11.679305555555556</v>
      </c>
      <c r="AD511">
        <v>28</v>
      </c>
      <c r="AE511" s="7"/>
      <c r="AF511" s="7"/>
      <c r="AG511" s="7"/>
      <c r="AH511" s="7"/>
      <c r="AI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0.3206944444444435</v>
      </c>
      <c r="AJ511" s="7"/>
      <c r="AK511" t="s">
        <v>51</v>
      </c>
      <c r="AN511">
        <f>IFERROR(INT(Table13[[#This Row],[reject_prod]]/Table13[[#This Row],[part_weight]] * 1000), 0)</f>
        <v>149</v>
      </c>
    </row>
    <row r="512" spans="1:40" hidden="1">
      <c r="A512" s="1">
        <v>46038</v>
      </c>
      <c r="B512">
        <v>2</v>
      </c>
      <c r="C512">
        <v>13</v>
      </c>
      <c r="D512" t="s">
        <v>59</v>
      </c>
      <c r="E512" t="s">
        <v>46</v>
      </c>
      <c r="F512">
        <v>586276</v>
      </c>
      <c r="G512" s="6">
        <v>0</v>
      </c>
      <c r="H512" t="s">
        <v>47</v>
      </c>
      <c r="I512">
        <v>10683784</v>
      </c>
      <c r="J512">
        <v>6</v>
      </c>
      <c r="K512">
        <v>12.3</v>
      </c>
      <c r="L512">
        <v>12.3</v>
      </c>
      <c r="M512">
        <v>1620</v>
      </c>
      <c r="N512" s="2">
        <v>162000</v>
      </c>
      <c r="O512" s="2">
        <v>405</v>
      </c>
      <c r="P512" s="2">
        <v>2025</v>
      </c>
      <c r="Q512" s="2">
        <v>9720</v>
      </c>
      <c r="R512" s="2">
        <v>8100</v>
      </c>
      <c r="S512">
        <v>99.63</v>
      </c>
      <c r="T512" s="2">
        <v>83025</v>
      </c>
      <c r="U512" s="2">
        <v>78975</v>
      </c>
      <c r="V512">
        <v>119.556</v>
      </c>
      <c r="W512">
        <v>0</v>
      </c>
      <c r="X512">
        <v>0</v>
      </c>
      <c r="Y512">
        <v>0</v>
      </c>
      <c r="Z512">
        <v>1.2</v>
      </c>
      <c r="AA512">
        <v>1.0037137408411121E-2</v>
      </c>
      <c r="AB512">
        <v>26.4</v>
      </c>
      <c r="AC512">
        <v>11.879999999999999</v>
      </c>
      <c r="AD512">
        <v>26</v>
      </c>
      <c r="AE512" s="7"/>
      <c r="AF512" s="7"/>
      <c r="AG512" s="7"/>
      <c r="AH512" s="7"/>
      <c r="AI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512" s="7"/>
      <c r="AK512" t="s">
        <v>51</v>
      </c>
      <c r="AN512">
        <f>IFERROR(INT(Table13[[#This Row],[reject_prod]]/Table13[[#This Row],[part_weight]] * 1000), 0)</f>
        <v>97</v>
      </c>
    </row>
    <row r="513" spans="1:40" hidden="1">
      <c r="A513" s="1">
        <v>46038</v>
      </c>
      <c r="B513">
        <v>2</v>
      </c>
      <c r="C513">
        <v>14</v>
      </c>
      <c r="D513" t="s">
        <v>309</v>
      </c>
      <c r="E513" t="s">
        <v>46</v>
      </c>
      <c r="F513">
        <v>555979</v>
      </c>
      <c r="G513" s="6">
        <v>1</v>
      </c>
      <c r="H513" t="s">
        <v>52</v>
      </c>
      <c r="I513">
        <v>10682932</v>
      </c>
      <c r="J513">
        <v>6</v>
      </c>
      <c r="K513">
        <v>28</v>
      </c>
      <c r="L513">
        <v>28</v>
      </c>
      <c r="M513">
        <v>845</v>
      </c>
      <c r="N513" s="2">
        <v>100800</v>
      </c>
      <c r="O513" s="2">
        <v>1680</v>
      </c>
      <c r="P513" s="2">
        <v>0</v>
      </c>
      <c r="Q513" s="2">
        <v>5070</v>
      </c>
      <c r="R513" s="2">
        <v>6720</v>
      </c>
      <c r="S513">
        <v>188.16</v>
      </c>
      <c r="T513" s="2">
        <v>100800</v>
      </c>
      <c r="U513" s="2">
        <v>0</v>
      </c>
      <c r="V513">
        <v>141.96</v>
      </c>
      <c r="W513">
        <v>0</v>
      </c>
      <c r="X513">
        <v>0</v>
      </c>
      <c r="Y513">
        <v>0</v>
      </c>
      <c r="Z513">
        <v>1</v>
      </c>
      <c r="AA513">
        <v>7.0442378134685825E-3</v>
      </c>
      <c r="AB513">
        <v>42.7</v>
      </c>
      <c r="AC513">
        <v>10.02263888888889</v>
      </c>
      <c r="AD513">
        <v>42</v>
      </c>
      <c r="AE513" s="7"/>
      <c r="AF513" s="7"/>
      <c r="AG513" s="7"/>
      <c r="AH513" s="7"/>
      <c r="AI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1.9773611111111098</v>
      </c>
      <c r="AJ513" s="7"/>
      <c r="AK513" t="s">
        <v>102</v>
      </c>
      <c r="AN513">
        <f>IFERROR(INT(Table13[[#This Row],[reject_prod]]/Table13[[#This Row],[part_weight]] * 1000), 0)</f>
        <v>35</v>
      </c>
    </row>
    <row r="514" spans="1:40" hidden="1">
      <c r="A514" s="1">
        <v>46038</v>
      </c>
      <c r="B514">
        <v>2</v>
      </c>
      <c r="C514">
        <v>14</v>
      </c>
      <c r="D514" t="s">
        <v>309</v>
      </c>
      <c r="E514" t="s">
        <v>46</v>
      </c>
      <c r="F514">
        <v>555979</v>
      </c>
      <c r="G514" s="6">
        <v>1</v>
      </c>
      <c r="H514" t="s">
        <v>52</v>
      </c>
      <c r="I514">
        <v>10683785</v>
      </c>
      <c r="J514">
        <v>6</v>
      </c>
      <c r="K514">
        <v>28</v>
      </c>
      <c r="L514">
        <v>28</v>
      </c>
      <c r="M514">
        <v>168</v>
      </c>
      <c r="N514" s="2">
        <v>100800</v>
      </c>
      <c r="O514" s="2">
        <v>0</v>
      </c>
      <c r="P514" s="2">
        <v>1008</v>
      </c>
      <c r="Q514" s="2">
        <v>1008</v>
      </c>
      <c r="R514" s="2">
        <v>0</v>
      </c>
      <c r="S514">
        <v>0</v>
      </c>
      <c r="T514" s="2">
        <v>1008</v>
      </c>
      <c r="U514" s="2">
        <v>99792</v>
      </c>
      <c r="V514">
        <v>28.224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42.7</v>
      </c>
      <c r="AC514">
        <v>1.9926666666666668</v>
      </c>
      <c r="AD514">
        <v>42</v>
      </c>
      <c r="AE514" s="7"/>
      <c r="AF514" s="7"/>
      <c r="AG514" s="7"/>
      <c r="AH514" s="7"/>
      <c r="AI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10.007333333333333</v>
      </c>
      <c r="AJ514" s="7"/>
      <c r="AK514" t="s">
        <v>51</v>
      </c>
      <c r="AN514">
        <f>IFERROR(INT(Table13[[#This Row],[reject_prod]]/Table13[[#This Row],[part_weight]] * 1000), 0)</f>
        <v>0</v>
      </c>
    </row>
    <row r="515" spans="1:40" hidden="1">
      <c r="A515" s="1">
        <v>46038</v>
      </c>
      <c r="B515">
        <v>2</v>
      </c>
      <c r="C515">
        <v>15</v>
      </c>
      <c r="D515" t="s">
        <v>59</v>
      </c>
      <c r="E515" t="s">
        <v>46</v>
      </c>
      <c r="F515">
        <v>552181</v>
      </c>
      <c r="G515" s="6">
        <v>2</v>
      </c>
      <c r="H515" t="s">
        <v>49</v>
      </c>
      <c r="I515">
        <v>10683786</v>
      </c>
      <c r="J515">
        <v>6</v>
      </c>
      <c r="K515">
        <v>18.8</v>
      </c>
      <c r="L515">
        <v>18.8</v>
      </c>
      <c r="M515">
        <v>1395</v>
      </c>
      <c r="N515" s="2">
        <v>108000</v>
      </c>
      <c r="O515" s="2">
        <v>4050</v>
      </c>
      <c r="P515" s="2">
        <v>1620</v>
      </c>
      <c r="Q515" s="2">
        <v>8370</v>
      </c>
      <c r="R515" s="2">
        <v>10800</v>
      </c>
      <c r="S515">
        <v>203.04</v>
      </c>
      <c r="T515" s="2">
        <v>50220</v>
      </c>
      <c r="U515" s="2">
        <v>57780</v>
      </c>
      <c r="V515">
        <v>157.35599999999999</v>
      </c>
      <c r="W515">
        <v>0</v>
      </c>
      <c r="X515">
        <v>0</v>
      </c>
      <c r="Y515">
        <v>0</v>
      </c>
      <c r="Z515">
        <v>1</v>
      </c>
      <c r="AA515">
        <v>6.3550166501436236E-3</v>
      </c>
      <c r="AB515">
        <v>31.24</v>
      </c>
      <c r="AC515">
        <v>12</v>
      </c>
      <c r="AD515">
        <v>27</v>
      </c>
      <c r="AE515" s="7"/>
      <c r="AF515" s="7"/>
      <c r="AG515" s="7"/>
      <c r="AH515" s="7"/>
      <c r="AI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15" s="7"/>
      <c r="AK515" t="s">
        <v>51</v>
      </c>
      <c r="AN515">
        <f>IFERROR(INT(Table13[[#This Row],[reject_prod]]/Table13[[#This Row],[part_weight]] * 1000), 0)</f>
        <v>53</v>
      </c>
    </row>
    <row r="516" spans="1:40" s="4" customFormat="1" hidden="1">
      <c r="A516" s="3">
        <v>46038</v>
      </c>
      <c r="B516" s="4">
        <v>2</v>
      </c>
      <c r="C516" s="4">
        <v>16</v>
      </c>
      <c r="D516" s="4" t="s">
        <v>84</v>
      </c>
      <c r="E516" s="4" t="s">
        <v>46</v>
      </c>
      <c r="F516" s="4">
        <v>555979</v>
      </c>
      <c r="G516" s="9">
        <v>2</v>
      </c>
      <c r="H516" s="4" t="s">
        <v>52</v>
      </c>
      <c r="I516" s="4">
        <v>10683788</v>
      </c>
      <c r="J516" s="4">
        <v>6</v>
      </c>
      <c r="K516" s="4">
        <v>28</v>
      </c>
      <c r="L516" s="4">
        <v>28</v>
      </c>
      <c r="M516" s="4">
        <v>990</v>
      </c>
      <c r="N516" s="5">
        <v>100800</v>
      </c>
      <c r="O516" s="5">
        <v>504</v>
      </c>
      <c r="P516" s="5">
        <v>2856</v>
      </c>
      <c r="Q516" s="5">
        <v>5940</v>
      </c>
      <c r="R516" s="5">
        <v>3360</v>
      </c>
      <c r="S516" s="4">
        <v>94.08</v>
      </c>
      <c r="T516" s="5">
        <v>43176</v>
      </c>
      <c r="U516" s="5">
        <v>57624</v>
      </c>
      <c r="V516" s="4">
        <v>166.32</v>
      </c>
      <c r="W516" s="4">
        <v>0</v>
      </c>
      <c r="X516" s="4">
        <v>0</v>
      </c>
      <c r="Y516" s="4">
        <v>0</v>
      </c>
      <c r="Z516" s="4">
        <v>1.2</v>
      </c>
      <c r="AA516" s="4">
        <v>7.215007215007215E-3</v>
      </c>
      <c r="AB516" s="4">
        <v>43.7</v>
      </c>
      <c r="AC516" s="4">
        <v>12</v>
      </c>
      <c r="AD516" s="4">
        <v>42</v>
      </c>
      <c r="AE516" s="8"/>
      <c r="AF516" s="8"/>
      <c r="AG516" s="8"/>
      <c r="AH516" s="8"/>
      <c r="AI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16" s="8"/>
      <c r="AK516" s="4" t="s">
        <v>51</v>
      </c>
      <c r="AN516">
        <f>IFERROR(INT(Table13[[#This Row],[reject_prod]]/Table13[[#This Row],[part_weight]] * 1000), 0)</f>
        <v>42</v>
      </c>
    </row>
    <row r="517" spans="1:40" hidden="1">
      <c r="A517" s="1">
        <v>46039</v>
      </c>
      <c r="B517">
        <v>1</v>
      </c>
      <c r="C517">
        <v>1</v>
      </c>
      <c r="D517" t="s">
        <v>43</v>
      </c>
      <c r="E517" t="s">
        <v>34</v>
      </c>
      <c r="F517">
        <v>577492</v>
      </c>
      <c r="G517" s="6">
        <v>0</v>
      </c>
      <c r="H517" t="s">
        <v>341</v>
      </c>
      <c r="I517">
        <v>10683850</v>
      </c>
      <c r="J517">
        <v>4</v>
      </c>
      <c r="K517">
        <v>35.6</v>
      </c>
      <c r="L517">
        <v>35.6</v>
      </c>
      <c r="M517">
        <v>1348</v>
      </c>
      <c r="N517" s="2">
        <v>40480</v>
      </c>
      <c r="O517" s="2">
        <v>1104</v>
      </c>
      <c r="P517" s="2">
        <v>920</v>
      </c>
      <c r="Q517" s="2">
        <v>5392</v>
      </c>
      <c r="R517" s="2">
        <v>5520</v>
      </c>
      <c r="S517">
        <v>196.512</v>
      </c>
      <c r="T517" s="2">
        <v>24840</v>
      </c>
      <c r="U517" s="2">
        <v>15640</v>
      </c>
      <c r="V517">
        <v>191.95520000000002</v>
      </c>
      <c r="W517">
        <v>0</v>
      </c>
      <c r="X517">
        <v>0</v>
      </c>
      <c r="Y517">
        <v>0</v>
      </c>
      <c r="Z517">
        <v>2</v>
      </c>
      <c r="AA517">
        <v>1.0419097789484213E-2</v>
      </c>
      <c r="AB517">
        <v>27.1</v>
      </c>
      <c r="AC517">
        <v>10.147444444444446</v>
      </c>
      <c r="AD517">
        <v>27</v>
      </c>
      <c r="AE517" s="7"/>
      <c r="AF517" s="7"/>
      <c r="AG517" s="7"/>
      <c r="AH517" s="7"/>
      <c r="AI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1.8525555555555542</v>
      </c>
      <c r="AJ517" s="7"/>
      <c r="AK517" t="s">
        <v>370</v>
      </c>
      <c r="AN517">
        <f>IFERROR(INT(Table13[[#This Row],[reject_prod]]/Table13[[#This Row],[part_weight]] * 1000), 0)</f>
        <v>56</v>
      </c>
    </row>
    <row r="518" spans="1:40" hidden="1">
      <c r="A518" s="1">
        <v>46039</v>
      </c>
      <c r="B518">
        <v>1</v>
      </c>
      <c r="C518">
        <v>2</v>
      </c>
      <c r="D518" t="s">
        <v>33</v>
      </c>
      <c r="E518" t="s">
        <v>34</v>
      </c>
      <c r="F518">
        <v>416201</v>
      </c>
      <c r="G518" s="6">
        <v>0</v>
      </c>
      <c r="H518" t="s">
        <v>36</v>
      </c>
      <c r="I518">
        <v>10681779</v>
      </c>
      <c r="J518">
        <v>4</v>
      </c>
      <c r="K518">
        <v>20</v>
      </c>
      <c r="L518">
        <v>30</v>
      </c>
      <c r="M518">
        <v>0</v>
      </c>
      <c r="N518" s="2">
        <v>50400</v>
      </c>
      <c r="O518" s="2">
        <v>0</v>
      </c>
      <c r="P518" s="2">
        <v>0</v>
      </c>
      <c r="Q518" s="2">
        <v>0</v>
      </c>
      <c r="R518" s="2">
        <v>0</v>
      </c>
      <c r="S518">
        <v>0</v>
      </c>
      <c r="T518" s="2">
        <v>0</v>
      </c>
      <c r="U518" s="2">
        <v>50400</v>
      </c>
      <c r="V518">
        <v>0</v>
      </c>
      <c r="W518">
        <v>0</v>
      </c>
      <c r="X518">
        <v>0</v>
      </c>
      <c r="Y518" t="e">
        <v>#DIV/0!</v>
      </c>
      <c r="Z518">
        <v>0</v>
      </c>
      <c r="AA518" t="e">
        <v>#DIV/0!</v>
      </c>
      <c r="AB518">
        <v>23.3</v>
      </c>
      <c r="AC518">
        <v>0</v>
      </c>
      <c r="AD518">
        <v>38.64</v>
      </c>
      <c r="AE518" s="7"/>
      <c r="AF518" s="7">
        <v>3.5</v>
      </c>
      <c r="AG518" s="7"/>
      <c r="AH518" s="7"/>
      <c r="AI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518" s="7"/>
      <c r="AK518" t="s">
        <v>387</v>
      </c>
      <c r="AN518">
        <f>IFERROR(INT(Table13[[#This Row],[reject_prod]]/Table13[[#This Row],[part_weight]] * 1000), 0)</f>
        <v>0</v>
      </c>
    </row>
    <row r="519" spans="1:40" hidden="1">
      <c r="A519" s="1">
        <v>46039</v>
      </c>
      <c r="B519">
        <v>1</v>
      </c>
      <c r="C519">
        <v>3</v>
      </c>
      <c r="D519" t="s">
        <v>65</v>
      </c>
      <c r="E519" t="s">
        <v>34</v>
      </c>
      <c r="F519">
        <v>442034</v>
      </c>
      <c r="G519" s="6">
        <v>0</v>
      </c>
      <c r="H519" t="s">
        <v>37</v>
      </c>
      <c r="I519">
        <v>10681183</v>
      </c>
      <c r="J519">
        <v>4</v>
      </c>
      <c r="K519">
        <v>23</v>
      </c>
      <c r="L519">
        <v>23</v>
      </c>
      <c r="M519">
        <v>1068</v>
      </c>
      <c r="N519" s="2">
        <v>139776</v>
      </c>
      <c r="O519" s="2">
        <v>2304</v>
      </c>
      <c r="P519" s="2">
        <v>0</v>
      </c>
      <c r="Q519" s="2">
        <v>4272</v>
      </c>
      <c r="R519" s="2">
        <v>6468</v>
      </c>
      <c r="S519">
        <v>148.76400000000001</v>
      </c>
      <c r="T519" s="2">
        <v>139776</v>
      </c>
      <c r="U519" s="2">
        <v>0</v>
      </c>
      <c r="V519">
        <v>98.256</v>
      </c>
      <c r="W519">
        <v>0</v>
      </c>
      <c r="X519">
        <v>0</v>
      </c>
      <c r="Y519">
        <v>0</v>
      </c>
      <c r="Z519">
        <v>2.5</v>
      </c>
      <c r="AA519">
        <v>2.5443738804754926E-2</v>
      </c>
      <c r="AB519">
        <v>26.7</v>
      </c>
      <c r="AC519">
        <v>7.9210000000000003</v>
      </c>
      <c r="AD519">
        <v>22</v>
      </c>
      <c r="AE519" s="7"/>
      <c r="AF519" s="7"/>
      <c r="AG519" s="7"/>
      <c r="AH519" s="7"/>
      <c r="AI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4.0789999999999997</v>
      </c>
      <c r="AJ519" s="7"/>
      <c r="AK519" t="s">
        <v>102</v>
      </c>
      <c r="AN519">
        <f>IFERROR(INT(Table13[[#This Row],[reject_prod]]/Table13[[#This Row],[part_weight]] * 1000), 0)</f>
        <v>108</v>
      </c>
    </row>
    <row r="520" spans="1:40" hidden="1">
      <c r="A520" s="1">
        <v>46039</v>
      </c>
      <c r="B520">
        <v>1</v>
      </c>
      <c r="C520">
        <v>3</v>
      </c>
      <c r="D520" t="s">
        <v>65</v>
      </c>
      <c r="E520" t="s">
        <v>34</v>
      </c>
      <c r="F520">
        <v>442034</v>
      </c>
      <c r="G520" s="6">
        <v>0</v>
      </c>
      <c r="H520" t="s">
        <v>37</v>
      </c>
      <c r="I520">
        <v>10681184</v>
      </c>
      <c r="J520">
        <v>4</v>
      </c>
      <c r="K520">
        <v>23</v>
      </c>
      <c r="L520">
        <v>23</v>
      </c>
      <c r="M520">
        <v>352</v>
      </c>
      <c r="N520" s="2">
        <v>139776</v>
      </c>
      <c r="O520" s="2">
        <v>0</v>
      </c>
      <c r="P520" s="2">
        <v>1408</v>
      </c>
      <c r="Q520" s="2">
        <v>1408</v>
      </c>
      <c r="R520" s="2">
        <v>0</v>
      </c>
      <c r="S520">
        <v>0</v>
      </c>
      <c r="T520" s="2">
        <v>1408</v>
      </c>
      <c r="U520" s="2">
        <v>138368</v>
      </c>
      <c r="V520">
        <v>32.384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26.7</v>
      </c>
      <c r="AC520">
        <v>2.6106666666666669</v>
      </c>
      <c r="AD520">
        <v>22</v>
      </c>
      <c r="AE520" s="7"/>
      <c r="AF520" s="7"/>
      <c r="AG520" s="7"/>
      <c r="AH520" s="7"/>
      <c r="AI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9.3893333333333331</v>
      </c>
      <c r="AJ520" s="7"/>
      <c r="AK520" t="s">
        <v>103</v>
      </c>
      <c r="AN520">
        <f>IFERROR(INT(Table13[[#This Row],[reject_prod]]/Table13[[#This Row],[part_weight]] * 1000), 0)</f>
        <v>0</v>
      </c>
    </row>
    <row r="521" spans="1:40" hidden="1">
      <c r="A521" s="1">
        <v>46039</v>
      </c>
      <c r="B521">
        <v>1</v>
      </c>
      <c r="C521">
        <v>4</v>
      </c>
      <c r="F521">
        <v>123456</v>
      </c>
      <c r="G521" s="6">
        <v>0</v>
      </c>
      <c r="M521">
        <v>0</v>
      </c>
      <c r="N521">
        <v>0</v>
      </c>
      <c r="O521">
        <v>0</v>
      </c>
      <c r="P521">
        <v>0</v>
      </c>
      <c r="R521">
        <v>0</v>
      </c>
      <c r="T521">
        <v>0</v>
      </c>
      <c r="X521">
        <v>0</v>
      </c>
      <c r="Z521">
        <v>0</v>
      </c>
      <c r="AB521">
        <v>0</v>
      </c>
      <c r="AC521">
        <v>0</v>
      </c>
      <c r="AD521">
        <v>22.5</v>
      </c>
      <c r="AE521" s="7"/>
      <c r="AF521" s="7"/>
      <c r="AG521" s="7"/>
      <c r="AH521" s="7"/>
      <c r="AI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21" s="7">
        <v>12</v>
      </c>
      <c r="AK521" t="s">
        <v>116</v>
      </c>
      <c r="AN521">
        <f>IFERROR(INT(Table13[[#This Row],[reject_prod]]/Table13[[#This Row],[part_weight]] * 1000), 0)</f>
        <v>0</v>
      </c>
    </row>
    <row r="522" spans="1:40" hidden="1">
      <c r="A522" s="1">
        <v>46039</v>
      </c>
      <c r="B522">
        <v>1</v>
      </c>
      <c r="C522">
        <v>5</v>
      </c>
      <c r="D522" t="s">
        <v>141</v>
      </c>
      <c r="E522" t="s">
        <v>34</v>
      </c>
      <c r="F522">
        <v>597507</v>
      </c>
      <c r="G522" s="6">
        <v>0</v>
      </c>
      <c r="H522" t="s">
        <v>279</v>
      </c>
      <c r="I522">
        <v>10682757</v>
      </c>
      <c r="J522">
        <v>4</v>
      </c>
      <c r="K522">
        <v>23</v>
      </c>
      <c r="L522">
        <v>23</v>
      </c>
      <c r="M522">
        <v>1689</v>
      </c>
      <c r="N522" s="2">
        <v>64680</v>
      </c>
      <c r="O522" s="2">
        <v>154</v>
      </c>
      <c r="P522" s="2">
        <v>308</v>
      </c>
      <c r="Q522" s="2">
        <v>6756</v>
      </c>
      <c r="R522" s="2">
        <v>6468</v>
      </c>
      <c r="S522">
        <v>148.76400000000001</v>
      </c>
      <c r="T522" s="2">
        <v>62832</v>
      </c>
      <c r="U522" s="2">
        <v>1848</v>
      </c>
      <c r="V522">
        <v>155.38800000000001</v>
      </c>
      <c r="W522">
        <v>0</v>
      </c>
      <c r="X522">
        <v>0</v>
      </c>
      <c r="Y522">
        <v>0</v>
      </c>
      <c r="Z522">
        <v>3</v>
      </c>
      <c r="AA522">
        <v>1.9306510155224339E-2</v>
      </c>
      <c r="AB522">
        <v>22.1</v>
      </c>
      <c r="AC522">
        <v>10.368583333333333</v>
      </c>
      <c r="AD522">
        <v>22</v>
      </c>
      <c r="AE522" s="7"/>
      <c r="AF522" s="7"/>
      <c r="AG522" s="7"/>
      <c r="AH522" s="7"/>
      <c r="AI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1.6314166666666665</v>
      </c>
      <c r="AJ522" s="7"/>
      <c r="AK522" t="s">
        <v>388</v>
      </c>
      <c r="AN522">
        <f>IFERROR(INT(Table13[[#This Row],[reject_prod]]/Table13[[#This Row],[part_weight]] * 1000), 0)</f>
        <v>130</v>
      </c>
    </row>
    <row r="523" spans="1:40" hidden="1">
      <c r="A523" s="1">
        <v>46039</v>
      </c>
      <c r="B523">
        <v>1</v>
      </c>
      <c r="C523">
        <v>6</v>
      </c>
      <c r="D523" t="s">
        <v>385</v>
      </c>
      <c r="E523" t="s">
        <v>34</v>
      </c>
      <c r="F523">
        <v>322429</v>
      </c>
      <c r="G523" s="6">
        <v>0</v>
      </c>
      <c r="H523" t="s">
        <v>354</v>
      </c>
      <c r="I523">
        <v>10683853</v>
      </c>
      <c r="J523">
        <v>4</v>
      </c>
      <c r="K523">
        <v>24.93</v>
      </c>
      <c r="L523">
        <v>24</v>
      </c>
      <c r="M523">
        <v>1686</v>
      </c>
      <c r="N523" s="2">
        <v>40600</v>
      </c>
      <c r="O523" s="2">
        <v>609</v>
      </c>
      <c r="P523" s="2">
        <v>203</v>
      </c>
      <c r="Q523" s="2">
        <v>6744</v>
      </c>
      <c r="R523" s="2">
        <v>7105</v>
      </c>
      <c r="S523">
        <v>170.52</v>
      </c>
      <c r="T523" s="2">
        <v>35728</v>
      </c>
      <c r="U523" s="2">
        <v>4872</v>
      </c>
      <c r="V523">
        <v>161.85599999999999</v>
      </c>
      <c r="W523">
        <v>0</v>
      </c>
      <c r="X523">
        <v>0</v>
      </c>
      <c r="Y523">
        <v>0</v>
      </c>
      <c r="Z523">
        <v>1</v>
      </c>
      <c r="AA523">
        <v>6.1783313562673E-3</v>
      </c>
      <c r="AB523">
        <v>21.5</v>
      </c>
      <c r="AC523">
        <v>10.069166666666668</v>
      </c>
      <c r="AD523">
        <v>16.96</v>
      </c>
      <c r="AE523" s="7"/>
      <c r="AF523" s="7"/>
      <c r="AG523" s="7"/>
      <c r="AH523" s="7"/>
      <c r="AI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1.9308333333333323</v>
      </c>
      <c r="AJ523" s="7"/>
      <c r="AK523" t="s">
        <v>214</v>
      </c>
      <c r="AN523">
        <f>IFERROR(INT(Table13[[#This Row],[reject_prod]]/Table13[[#This Row],[part_weight]] * 1000), 0)</f>
        <v>41</v>
      </c>
    </row>
    <row r="524" spans="1:40" hidden="1">
      <c r="A524" s="1">
        <v>46039</v>
      </c>
      <c r="B524">
        <v>1</v>
      </c>
      <c r="C524">
        <v>7</v>
      </c>
      <c r="D524" t="s">
        <v>33</v>
      </c>
      <c r="E524" t="s">
        <v>34</v>
      </c>
      <c r="F524">
        <v>322452</v>
      </c>
      <c r="G524" s="6">
        <v>0</v>
      </c>
      <c r="H524" t="s">
        <v>374</v>
      </c>
      <c r="I524">
        <v>10683857</v>
      </c>
      <c r="J524">
        <v>4</v>
      </c>
      <c r="K524">
        <v>33.11</v>
      </c>
      <c r="L524">
        <v>34.5</v>
      </c>
      <c r="M524">
        <v>0</v>
      </c>
      <c r="N524" s="2">
        <v>44928</v>
      </c>
      <c r="O524" s="2">
        <v>624</v>
      </c>
      <c r="P524" s="2">
        <v>624</v>
      </c>
      <c r="Q524" s="2">
        <v>0</v>
      </c>
      <c r="R524" s="2">
        <v>0</v>
      </c>
      <c r="S524">
        <v>0</v>
      </c>
      <c r="T524" s="2">
        <v>624</v>
      </c>
      <c r="U524" s="2">
        <v>44304</v>
      </c>
      <c r="V524">
        <v>0</v>
      </c>
      <c r="W524">
        <v>0</v>
      </c>
      <c r="X524">
        <v>7</v>
      </c>
      <c r="Y524" t="e">
        <v>#DIV/0!</v>
      </c>
      <c r="Z524">
        <v>0</v>
      </c>
      <c r="AA524" t="e">
        <v>#DIV/0!</v>
      </c>
      <c r="AB524">
        <v>24.4</v>
      </c>
      <c r="AC524">
        <v>0</v>
      </c>
      <c r="AD524">
        <v>18.04</v>
      </c>
      <c r="AE524" s="7"/>
      <c r="AF524" s="7"/>
      <c r="AG524" s="7"/>
      <c r="AH524" s="7"/>
      <c r="AI5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24" s="7"/>
      <c r="AK524" t="s">
        <v>389</v>
      </c>
      <c r="AN524">
        <f>IFERROR(INT(Table13[[#This Row],[reject_prod]]/Table13[[#This Row],[part_weight]] * 1000), 0)</f>
        <v>0</v>
      </c>
    </row>
    <row r="525" spans="1:40" hidden="1">
      <c r="A525" s="1">
        <v>46039</v>
      </c>
      <c r="B525">
        <v>1</v>
      </c>
      <c r="C525">
        <v>8</v>
      </c>
      <c r="D525" t="s">
        <v>61</v>
      </c>
      <c r="E525" t="s">
        <v>41</v>
      </c>
      <c r="F525">
        <v>593537</v>
      </c>
      <c r="G525" s="6">
        <v>0</v>
      </c>
      <c r="H525" t="s">
        <v>48</v>
      </c>
      <c r="I525">
        <v>10682926</v>
      </c>
      <c r="J525">
        <v>4</v>
      </c>
      <c r="K525">
        <v>56.5</v>
      </c>
      <c r="L525">
        <v>56.8</v>
      </c>
      <c r="M525">
        <v>1157</v>
      </c>
      <c r="N525" s="2">
        <v>69000</v>
      </c>
      <c r="O525" s="2">
        <v>0</v>
      </c>
      <c r="P525" s="2">
        <v>0</v>
      </c>
      <c r="Q525" s="2">
        <v>4628</v>
      </c>
      <c r="R525" s="2">
        <v>4600</v>
      </c>
      <c r="S525">
        <v>261.27999999999997</v>
      </c>
      <c r="T525" s="2">
        <v>59800</v>
      </c>
      <c r="U525" s="2">
        <v>9200</v>
      </c>
      <c r="V525">
        <v>262.87039999999996</v>
      </c>
      <c r="W525">
        <v>0</v>
      </c>
      <c r="X525">
        <v>0</v>
      </c>
      <c r="Y525">
        <v>0</v>
      </c>
      <c r="Z525">
        <v>1.5</v>
      </c>
      <c r="AA525">
        <v>5.7062339464618314E-3</v>
      </c>
      <c r="AB525">
        <v>30.6</v>
      </c>
      <c r="AC525">
        <v>9.8345000000000002</v>
      </c>
      <c r="AD525">
        <v>28.5</v>
      </c>
      <c r="AE525" s="7"/>
      <c r="AF525" s="7"/>
      <c r="AG525" s="7"/>
      <c r="AH525" s="7"/>
      <c r="AI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2.1654999999999998</v>
      </c>
      <c r="AJ525" s="7"/>
      <c r="AK525" t="s">
        <v>178</v>
      </c>
      <c r="AN525">
        <f>IFERROR(INT(Table13[[#This Row],[reject_prod]]/Table13[[#This Row],[part_weight]] * 1000), 0)</f>
        <v>26</v>
      </c>
    </row>
    <row r="526" spans="1:40" hidden="1">
      <c r="A526" s="1">
        <v>46039</v>
      </c>
      <c r="B526">
        <v>1</v>
      </c>
      <c r="C526">
        <v>9</v>
      </c>
      <c r="D526" t="s">
        <v>33</v>
      </c>
      <c r="E526" t="s">
        <v>46</v>
      </c>
      <c r="F526">
        <v>586276</v>
      </c>
      <c r="G526" s="6">
        <v>0</v>
      </c>
      <c r="H526" t="s">
        <v>47</v>
      </c>
      <c r="I526">
        <v>10682924</v>
      </c>
      <c r="J526">
        <v>6</v>
      </c>
      <c r="K526">
        <v>12.3</v>
      </c>
      <c r="L526">
        <v>12.3</v>
      </c>
      <c r="M526">
        <v>0</v>
      </c>
      <c r="N526" s="2">
        <v>162000</v>
      </c>
      <c r="O526" s="2">
        <v>7290</v>
      </c>
      <c r="P526" s="2">
        <v>7290</v>
      </c>
      <c r="Q526" s="2">
        <v>0</v>
      </c>
      <c r="R526" s="2">
        <v>0</v>
      </c>
      <c r="S526">
        <v>0</v>
      </c>
      <c r="T526" s="2">
        <v>80190</v>
      </c>
      <c r="U526" s="2">
        <v>81810</v>
      </c>
      <c r="V526">
        <v>0</v>
      </c>
      <c r="W526">
        <v>0</v>
      </c>
      <c r="X526">
        <v>0</v>
      </c>
      <c r="Y526" t="e">
        <v>#DIV/0!</v>
      </c>
      <c r="Z526">
        <v>0</v>
      </c>
      <c r="AA526" t="e">
        <v>#DIV/0!</v>
      </c>
      <c r="AB526">
        <v>26.2</v>
      </c>
      <c r="AC526">
        <v>0</v>
      </c>
      <c r="AD526">
        <v>26</v>
      </c>
      <c r="AE526" s="7"/>
      <c r="AF526" s="7"/>
      <c r="AG526" s="7"/>
      <c r="AH526" s="7"/>
      <c r="AI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26" s="7"/>
      <c r="AK526" t="s">
        <v>357</v>
      </c>
      <c r="AN526">
        <f>IFERROR(INT(Table13[[#This Row],[reject_prod]]/Table13[[#This Row],[part_weight]] * 1000), 0)</f>
        <v>0</v>
      </c>
    </row>
    <row r="527" spans="1:40" hidden="1">
      <c r="A527" s="1">
        <v>46039</v>
      </c>
      <c r="B527">
        <v>1</v>
      </c>
      <c r="C527">
        <v>10</v>
      </c>
      <c r="D527" t="s">
        <v>40</v>
      </c>
      <c r="E527" t="s">
        <v>34</v>
      </c>
      <c r="F527">
        <v>323092</v>
      </c>
      <c r="G527" s="6">
        <v>0</v>
      </c>
      <c r="H527" t="s">
        <v>377</v>
      </c>
      <c r="I527">
        <v>10684857</v>
      </c>
      <c r="J527">
        <v>4</v>
      </c>
      <c r="K527">
        <v>48.9</v>
      </c>
      <c r="L527">
        <v>48.9</v>
      </c>
      <c r="M527">
        <v>1268</v>
      </c>
      <c r="N527" s="2">
        <v>37800</v>
      </c>
      <c r="O527" s="2">
        <v>2310</v>
      </c>
      <c r="P527" s="2">
        <v>0</v>
      </c>
      <c r="Q527" s="2">
        <v>5072</v>
      </c>
      <c r="R527" s="2">
        <v>7350</v>
      </c>
      <c r="S527">
        <v>359.41500000000002</v>
      </c>
      <c r="T527" s="2">
        <v>7350</v>
      </c>
      <c r="U527" s="2">
        <v>30450</v>
      </c>
      <c r="V527">
        <v>248.02079999999998</v>
      </c>
      <c r="W527">
        <v>0</v>
      </c>
      <c r="X527">
        <v>0</v>
      </c>
      <c r="Y527">
        <v>0</v>
      </c>
      <c r="Z527">
        <v>1.5</v>
      </c>
      <c r="AA527">
        <v>6.0478798552379481E-3</v>
      </c>
      <c r="AB527">
        <v>28</v>
      </c>
      <c r="AC527">
        <v>9.862222222222222</v>
      </c>
      <c r="AD527">
        <v>27.6</v>
      </c>
      <c r="AE527" s="7"/>
      <c r="AF527" s="7"/>
      <c r="AG527" s="7"/>
      <c r="AH527" s="7"/>
      <c r="AI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2.137777777777778</v>
      </c>
      <c r="AJ527" s="7"/>
      <c r="AK527" t="s">
        <v>243</v>
      </c>
      <c r="AN527">
        <f>IFERROR(INT(Table13[[#This Row],[reject_prod]]/Table13[[#This Row],[part_weight]] * 1000), 0)</f>
        <v>30</v>
      </c>
    </row>
    <row r="528" spans="1:40" hidden="1">
      <c r="A528" s="1">
        <v>46039</v>
      </c>
      <c r="B528">
        <v>1</v>
      </c>
      <c r="C528">
        <v>11</v>
      </c>
      <c r="D528" t="s">
        <v>112</v>
      </c>
      <c r="E528" t="s">
        <v>46</v>
      </c>
      <c r="F528">
        <v>552181</v>
      </c>
      <c r="G528" s="6">
        <v>1</v>
      </c>
      <c r="H528" t="s">
        <v>49</v>
      </c>
      <c r="I528">
        <v>10683782</v>
      </c>
      <c r="J528">
        <v>6</v>
      </c>
      <c r="K528">
        <v>18.8</v>
      </c>
      <c r="L528">
        <v>18.8</v>
      </c>
      <c r="M528">
        <v>929</v>
      </c>
      <c r="N528" s="2">
        <v>108000</v>
      </c>
      <c r="O528" s="2">
        <v>1890</v>
      </c>
      <c r="P528" s="2">
        <v>1890</v>
      </c>
      <c r="Q528" s="2">
        <v>5574</v>
      </c>
      <c r="R528" s="2">
        <v>5400</v>
      </c>
      <c r="S528">
        <v>101.52</v>
      </c>
      <c r="T528" s="2">
        <v>82890</v>
      </c>
      <c r="U528" s="2">
        <v>25110</v>
      </c>
      <c r="V528">
        <v>104.7912</v>
      </c>
      <c r="W528">
        <v>0</v>
      </c>
      <c r="X528">
        <v>0</v>
      </c>
      <c r="Y528">
        <v>0</v>
      </c>
      <c r="Z528">
        <v>1.5</v>
      </c>
      <c r="AA528">
        <v>1.431417905320294E-2</v>
      </c>
      <c r="AB528">
        <v>29.1</v>
      </c>
      <c r="AC528">
        <v>7.5094166666666666</v>
      </c>
      <c r="AD528">
        <v>27</v>
      </c>
      <c r="AE528" s="7"/>
      <c r="AF528" s="7"/>
      <c r="AG528" s="7"/>
      <c r="AH528" s="7">
        <v>3</v>
      </c>
      <c r="AI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1.4905833333333334</v>
      </c>
      <c r="AJ528" s="7"/>
      <c r="AK528" t="s">
        <v>390</v>
      </c>
      <c r="AN528">
        <f>IFERROR(INT(Table13[[#This Row],[reject_prod]]/Table13[[#This Row],[part_weight]] * 1000), 0)</f>
        <v>79</v>
      </c>
    </row>
    <row r="529" spans="1:40" hidden="1">
      <c r="A529" s="1">
        <v>46039</v>
      </c>
      <c r="B529">
        <v>1</v>
      </c>
      <c r="C529">
        <v>12</v>
      </c>
      <c r="D529" t="s">
        <v>110</v>
      </c>
      <c r="E529" t="s">
        <v>34</v>
      </c>
      <c r="F529">
        <v>620599</v>
      </c>
      <c r="G529" s="6">
        <v>0</v>
      </c>
      <c r="H529" t="s">
        <v>50</v>
      </c>
      <c r="I529">
        <v>10682929</v>
      </c>
      <c r="J529">
        <v>4</v>
      </c>
      <c r="K529">
        <v>55</v>
      </c>
      <c r="L529">
        <v>55</v>
      </c>
      <c r="M529">
        <v>1271</v>
      </c>
      <c r="N529" s="2">
        <v>72000</v>
      </c>
      <c r="O529" s="2">
        <v>225</v>
      </c>
      <c r="P529" s="2">
        <v>1575</v>
      </c>
      <c r="Q529" s="2">
        <v>5084</v>
      </c>
      <c r="R529" s="2">
        <v>3600</v>
      </c>
      <c r="S529">
        <v>198</v>
      </c>
      <c r="T529" s="2">
        <v>59175</v>
      </c>
      <c r="U529" s="2">
        <v>12825</v>
      </c>
      <c r="V529">
        <v>279.62</v>
      </c>
      <c r="W529">
        <v>0</v>
      </c>
      <c r="X529">
        <v>0</v>
      </c>
      <c r="Y529">
        <v>0</v>
      </c>
      <c r="Z529">
        <v>7.5</v>
      </c>
      <c r="AA529">
        <v>2.6822115728488662E-2</v>
      </c>
      <c r="AB529">
        <v>29.1</v>
      </c>
      <c r="AC529">
        <v>10.273916666666667</v>
      </c>
      <c r="AD529">
        <v>28</v>
      </c>
      <c r="AE529" s="7"/>
      <c r="AF529" s="7"/>
      <c r="AG529" s="7"/>
      <c r="AH529" s="7"/>
      <c r="AI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1.7260833333333334</v>
      </c>
      <c r="AJ529" s="7"/>
      <c r="AK529" t="s">
        <v>360</v>
      </c>
      <c r="AN529">
        <f>IFERROR(INT(Table13[[#This Row],[reject_prod]]/Table13[[#This Row],[part_weight]] * 1000), 0)</f>
        <v>136</v>
      </c>
    </row>
    <row r="530" spans="1:40" hidden="1">
      <c r="A530" s="1">
        <v>46039</v>
      </c>
      <c r="B530">
        <v>1</v>
      </c>
      <c r="C530">
        <v>13</v>
      </c>
      <c r="D530" t="s">
        <v>112</v>
      </c>
      <c r="E530" t="s">
        <v>46</v>
      </c>
      <c r="F530">
        <v>586276</v>
      </c>
      <c r="G530" s="6">
        <v>0</v>
      </c>
      <c r="H530" t="s">
        <v>47</v>
      </c>
      <c r="I530">
        <v>10683784</v>
      </c>
      <c r="J530">
        <v>6</v>
      </c>
      <c r="K530">
        <v>12.3</v>
      </c>
      <c r="L530">
        <v>12.3</v>
      </c>
      <c r="M530">
        <v>1456</v>
      </c>
      <c r="N530" s="2">
        <v>162000</v>
      </c>
      <c r="O530" s="2">
        <v>2025</v>
      </c>
      <c r="P530" s="2">
        <v>2430</v>
      </c>
      <c r="Q530" s="2">
        <v>8736</v>
      </c>
      <c r="R530" s="2">
        <v>8100</v>
      </c>
      <c r="S530">
        <v>99.63</v>
      </c>
      <c r="T530" s="2">
        <v>91530</v>
      </c>
      <c r="U530" s="2">
        <v>70470</v>
      </c>
      <c r="V530">
        <v>107.4528</v>
      </c>
      <c r="W530">
        <v>0</v>
      </c>
      <c r="X530">
        <v>0</v>
      </c>
      <c r="Y530">
        <v>0</v>
      </c>
      <c r="Z530">
        <v>2</v>
      </c>
      <c r="AA530">
        <v>1.861282349087227E-2</v>
      </c>
      <c r="AB530">
        <v>26.4</v>
      </c>
      <c r="AC530">
        <v>10.677333333333333</v>
      </c>
      <c r="AD530">
        <v>26</v>
      </c>
      <c r="AE530" s="7"/>
      <c r="AF530" s="7"/>
      <c r="AG530" s="7"/>
      <c r="AH530" s="7"/>
      <c r="AI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1.3226666666666667</v>
      </c>
      <c r="AJ530" s="7"/>
      <c r="AK530" t="s">
        <v>51</v>
      </c>
      <c r="AN530">
        <f>IFERROR(INT(Table13[[#This Row],[reject_prod]]/Table13[[#This Row],[part_weight]] * 1000), 0)</f>
        <v>162</v>
      </c>
    </row>
    <row r="531" spans="1:40" hidden="1">
      <c r="A531" s="1">
        <v>46039</v>
      </c>
      <c r="B531">
        <v>1</v>
      </c>
      <c r="C531">
        <v>14</v>
      </c>
      <c r="D531" t="s">
        <v>259</v>
      </c>
      <c r="E531" t="s">
        <v>46</v>
      </c>
      <c r="F531">
        <v>555979</v>
      </c>
      <c r="G531" s="6">
        <v>1</v>
      </c>
      <c r="H531" t="s">
        <v>52</v>
      </c>
      <c r="I531">
        <v>10683785</v>
      </c>
      <c r="J531">
        <v>6</v>
      </c>
      <c r="K531">
        <v>28</v>
      </c>
      <c r="L531">
        <v>28</v>
      </c>
      <c r="M531">
        <v>863</v>
      </c>
      <c r="N531" s="2">
        <v>100800</v>
      </c>
      <c r="O531" s="2">
        <v>1008</v>
      </c>
      <c r="P531" s="2">
        <v>2688</v>
      </c>
      <c r="Q531" s="2">
        <v>5178</v>
      </c>
      <c r="R531" s="2">
        <v>3360</v>
      </c>
      <c r="S531">
        <v>94.08</v>
      </c>
      <c r="T531" s="2">
        <v>6048</v>
      </c>
      <c r="U531" s="2">
        <v>94752</v>
      </c>
      <c r="V531">
        <v>144.98400000000001</v>
      </c>
      <c r="W531">
        <v>0</v>
      </c>
      <c r="X531">
        <v>0</v>
      </c>
      <c r="Y531">
        <v>0</v>
      </c>
      <c r="Z531">
        <v>2.5</v>
      </c>
      <c r="AA531">
        <v>1.7243282017326049E-2</v>
      </c>
      <c r="AB531">
        <v>42.7</v>
      </c>
      <c r="AC531">
        <v>10.23613888888889</v>
      </c>
      <c r="AD531">
        <v>42</v>
      </c>
      <c r="AE531" s="7"/>
      <c r="AF531" s="7"/>
      <c r="AG531" s="7"/>
      <c r="AH531" s="7"/>
      <c r="AI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1.76386111111111</v>
      </c>
      <c r="AJ531" s="7"/>
      <c r="AK531" t="s">
        <v>241</v>
      </c>
      <c r="AN531">
        <f>IFERROR(INT(Table13[[#This Row],[reject_prod]]/Table13[[#This Row],[part_weight]] * 1000), 0)</f>
        <v>89</v>
      </c>
    </row>
    <row r="532" spans="1:40" hidden="1">
      <c r="A532" s="1">
        <v>46039</v>
      </c>
      <c r="B532">
        <v>1</v>
      </c>
      <c r="C532">
        <v>15</v>
      </c>
      <c r="D532" t="s">
        <v>112</v>
      </c>
      <c r="E532" t="s">
        <v>46</v>
      </c>
      <c r="F532">
        <v>552181</v>
      </c>
      <c r="G532" s="6">
        <v>2</v>
      </c>
      <c r="H532" t="s">
        <v>49</v>
      </c>
      <c r="I532">
        <v>10683786</v>
      </c>
      <c r="J532">
        <v>6</v>
      </c>
      <c r="K532">
        <v>18.8</v>
      </c>
      <c r="L532">
        <v>18.8</v>
      </c>
      <c r="M532">
        <v>1137</v>
      </c>
      <c r="N532" s="2">
        <v>108000</v>
      </c>
      <c r="O532" s="2">
        <v>1620</v>
      </c>
      <c r="P532" s="2">
        <v>2970</v>
      </c>
      <c r="Q532" s="2">
        <v>6822</v>
      </c>
      <c r="R532" s="2">
        <v>5400</v>
      </c>
      <c r="S532">
        <v>101.52</v>
      </c>
      <c r="T532" s="2">
        <v>56970</v>
      </c>
      <c r="U532" s="2">
        <v>51030</v>
      </c>
      <c r="V532">
        <v>128.25360000000001</v>
      </c>
      <c r="W532">
        <v>0</v>
      </c>
      <c r="X532">
        <v>0</v>
      </c>
      <c r="Y532">
        <v>0</v>
      </c>
      <c r="Z532">
        <v>1.3</v>
      </c>
      <c r="AA532">
        <v>1.0136167717709288E-2</v>
      </c>
      <c r="AB532">
        <v>31.3</v>
      </c>
      <c r="AC532">
        <v>9.8855833333333329</v>
      </c>
      <c r="AD532">
        <v>27</v>
      </c>
      <c r="AE532" s="7"/>
      <c r="AF532" s="7"/>
      <c r="AG532" s="7"/>
      <c r="AH532" s="7"/>
      <c r="AI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2.1144166666666671</v>
      </c>
      <c r="AJ532" s="7"/>
      <c r="AK532" t="s">
        <v>51</v>
      </c>
      <c r="AN532">
        <f>IFERROR(INT(Table13[[#This Row],[reject_prod]]/Table13[[#This Row],[part_weight]] * 1000), 0)</f>
        <v>69</v>
      </c>
    </row>
    <row r="533" spans="1:40" s="4" customFormat="1" hidden="1">
      <c r="A533" s="3">
        <v>46039</v>
      </c>
      <c r="B533" s="4">
        <v>1</v>
      </c>
      <c r="C533" s="4">
        <v>16</v>
      </c>
      <c r="D533" s="4" t="s">
        <v>386</v>
      </c>
      <c r="E533" s="4" t="s">
        <v>46</v>
      </c>
      <c r="F533" s="4">
        <v>555979</v>
      </c>
      <c r="G533" s="9">
        <v>2</v>
      </c>
      <c r="H533" s="4" t="s">
        <v>52</v>
      </c>
      <c r="I533" s="4">
        <v>10683788</v>
      </c>
      <c r="J533" s="4">
        <v>6</v>
      </c>
      <c r="K533" s="4">
        <v>28</v>
      </c>
      <c r="L533" s="4">
        <v>28</v>
      </c>
      <c r="M533" s="4">
        <v>852</v>
      </c>
      <c r="N533" s="5">
        <v>100800</v>
      </c>
      <c r="O533" s="5">
        <v>2856</v>
      </c>
      <c r="P533" s="5">
        <v>1176</v>
      </c>
      <c r="Q533" s="5">
        <v>5112</v>
      </c>
      <c r="R533" s="5">
        <v>6720</v>
      </c>
      <c r="S533" s="4">
        <v>188.16</v>
      </c>
      <c r="T533" s="5">
        <v>48216</v>
      </c>
      <c r="U533" s="5">
        <v>52584</v>
      </c>
      <c r="V533" s="4">
        <v>143.136</v>
      </c>
      <c r="W533" s="4">
        <v>0</v>
      </c>
      <c r="X533" s="4">
        <v>0</v>
      </c>
      <c r="Y533" s="4">
        <v>0</v>
      </c>
      <c r="Z533" s="4">
        <v>2</v>
      </c>
      <c r="AA533" s="4">
        <v>1.3972725240330875E-2</v>
      </c>
      <c r="AB533" s="4">
        <v>43.7</v>
      </c>
      <c r="AC533" s="4">
        <v>10.342333333333334</v>
      </c>
      <c r="AD533" s="4">
        <v>42</v>
      </c>
      <c r="AE533" s="8"/>
      <c r="AF533" s="8"/>
      <c r="AG533" s="8"/>
      <c r="AH533" s="8"/>
      <c r="AI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1.6576666666666657</v>
      </c>
      <c r="AJ533" s="8"/>
      <c r="AK533" s="4" t="s">
        <v>51</v>
      </c>
      <c r="AN533">
        <f>IFERROR(INT(Table13[[#This Row],[reject_prod]]/Table13[[#This Row],[part_weight]] * 1000), 0)</f>
        <v>71</v>
      </c>
    </row>
    <row r="534" spans="1:40" hidden="1">
      <c r="A534" s="1">
        <v>46039</v>
      </c>
      <c r="B534">
        <v>2</v>
      </c>
      <c r="C534">
        <v>1</v>
      </c>
      <c r="F534">
        <v>123456</v>
      </c>
      <c r="G534" s="6">
        <v>0</v>
      </c>
      <c r="M534">
        <v>0</v>
      </c>
      <c r="N534">
        <v>0</v>
      </c>
      <c r="O534">
        <v>0</v>
      </c>
      <c r="P534">
        <v>0</v>
      </c>
      <c r="R534">
        <v>0</v>
      </c>
      <c r="T534">
        <v>0</v>
      </c>
      <c r="X534">
        <v>0</v>
      </c>
      <c r="Z534">
        <v>0</v>
      </c>
      <c r="AB534">
        <v>0</v>
      </c>
      <c r="AC534">
        <v>0</v>
      </c>
      <c r="AD534">
        <v>0</v>
      </c>
      <c r="AE534" s="7"/>
      <c r="AF534" s="7"/>
      <c r="AG534" s="7"/>
      <c r="AH534" s="7"/>
      <c r="AI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4" s="7">
        <v>12</v>
      </c>
      <c r="AK534" t="s">
        <v>116</v>
      </c>
      <c r="AN534">
        <f>IFERROR(INT(Table13[[#This Row],[reject_prod]]/Table13[[#This Row],[part_weight]] * 1000), 0)</f>
        <v>0</v>
      </c>
    </row>
    <row r="535" spans="1:40" hidden="1">
      <c r="A535" s="1">
        <v>46039</v>
      </c>
      <c r="B535">
        <v>2</v>
      </c>
      <c r="C535">
        <v>2</v>
      </c>
      <c r="F535">
        <v>123456</v>
      </c>
      <c r="G535" s="6">
        <v>0</v>
      </c>
      <c r="M535">
        <v>0</v>
      </c>
      <c r="N535">
        <v>0</v>
      </c>
      <c r="O535">
        <v>0</v>
      </c>
      <c r="P535">
        <v>0</v>
      </c>
      <c r="R535">
        <v>0</v>
      </c>
      <c r="T535">
        <v>0</v>
      </c>
      <c r="X535">
        <v>0</v>
      </c>
      <c r="Z535">
        <v>0</v>
      </c>
      <c r="AB535">
        <v>0</v>
      </c>
      <c r="AC535">
        <v>0</v>
      </c>
      <c r="AD535">
        <v>0</v>
      </c>
      <c r="AE535" s="7"/>
      <c r="AF535" s="7"/>
      <c r="AG535" s="7"/>
      <c r="AH535" s="7"/>
      <c r="AI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5" s="7">
        <v>12</v>
      </c>
      <c r="AK535" t="s">
        <v>116</v>
      </c>
      <c r="AN535">
        <f>IFERROR(INT(Table13[[#This Row],[reject_prod]]/Table13[[#This Row],[part_weight]] * 1000), 0)</f>
        <v>0</v>
      </c>
    </row>
    <row r="536" spans="1:40" hidden="1">
      <c r="A536" s="1">
        <v>46039</v>
      </c>
      <c r="B536">
        <v>2</v>
      </c>
      <c r="C536">
        <v>3</v>
      </c>
      <c r="F536">
        <v>123456</v>
      </c>
      <c r="G536" s="6">
        <v>0</v>
      </c>
      <c r="M536">
        <v>0</v>
      </c>
      <c r="N536" s="2">
        <v>0</v>
      </c>
      <c r="O536" s="2">
        <v>0</v>
      </c>
      <c r="P536" s="2">
        <v>0</v>
      </c>
      <c r="Q536" s="2"/>
      <c r="R536" s="2">
        <v>0</v>
      </c>
      <c r="T536" s="2">
        <v>0</v>
      </c>
      <c r="U536" s="2"/>
      <c r="X536">
        <v>0</v>
      </c>
      <c r="Z536">
        <v>0</v>
      </c>
      <c r="AB536">
        <v>0</v>
      </c>
      <c r="AC536">
        <v>0</v>
      </c>
      <c r="AD536">
        <v>0</v>
      </c>
      <c r="AE536" s="7"/>
      <c r="AF536" s="7"/>
      <c r="AG536" s="7"/>
      <c r="AH536" s="7"/>
      <c r="AI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6" s="7">
        <v>12</v>
      </c>
      <c r="AK536" t="s">
        <v>116</v>
      </c>
      <c r="AN536">
        <f>IFERROR(INT(Table13[[#This Row],[reject_prod]]/Table13[[#This Row],[part_weight]] * 1000), 0)</f>
        <v>0</v>
      </c>
    </row>
    <row r="537" spans="1:40" hidden="1">
      <c r="A537" s="1">
        <v>46039</v>
      </c>
      <c r="B537">
        <v>2</v>
      </c>
      <c r="C537">
        <v>4</v>
      </c>
      <c r="F537">
        <v>123456</v>
      </c>
      <c r="G537" s="6">
        <v>0</v>
      </c>
      <c r="M537">
        <v>0</v>
      </c>
      <c r="N537" s="2">
        <v>0</v>
      </c>
      <c r="O537" s="2">
        <v>0</v>
      </c>
      <c r="P537" s="2">
        <v>0</v>
      </c>
      <c r="Q537" s="2"/>
      <c r="R537" s="2">
        <v>0</v>
      </c>
      <c r="T537" s="2">
        <v>0</v>
      </c>
      <c r="U537" s="2"/>
      <c r="X537">
        <v>0</v>
      </c>
      <c r="Z537">
        <v>0</v>
      </c>
      <c r="AB537">
        <v>0</v>
      </c>
      <c r="AC537">
        <v>0</v>
      </c>
      <c r="AD537">
        <v>0</v>
      </c>
      <c r="AE537" s="7"/>
      <c r="AF537" s="7"/>
      <c r="AG537" s="7"/>
      <c r="AH537" s="7"/>
      <c r="AI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7" s="7">
        <v>12</v>
      </c>
      <c r="AK537" t="s">
        <v>116</v>
      </c>
      <c r="AN537">
        <f>IFERROR(INT(Table13[[#This Row],[reject_prod]]/Table13[[#This Row],[part_weight]] * 1000), 0)</f>
        <v>0</v>
      </c>
    </row>
    <row r="538" spans="1:40" hidden="1">
      <c r="A538" s="1">
        <v>46039</v>
      </c>
      <c r="B538">
        <v>2</v>
      </c>
      <c r="C538">
        <v>5</v>
      </c>
      <c r="F538">
        <v>123456</v>
      </c>
      <c r="G538" s="6">
        <v>0</v>
      </c>
      <c r="M538">
        <v>0</v>
      </c>
      <c r="N538" s="2">
        <v>0</v>
      </c>
      <c r="O538" s="2">
        <v>0</v>
      </c>
      <c r="P538" s="2">
        <v>0</v>
      </c>
      <c r="Q538" s="2"/>
      <c r="R538" s="2">
        <v>0</v>
      </c>
      <c r="T538" s="2">
        <v>0</v>
      </c>
      <c r="U538" s="2"/>
      <c r="X538">
        <v>0</v>
      </c>
      <c r="Z538">
        <v>0</v>
      </c>
      <c r="AB538">
        <v>0</v>
      </c>
      <c r="AC538">
        <v>0</v>
      </c>
      <c r="AD538">
        <v>0</v>
      </c>
      <c r="AE538" s="7"/>
      <c r="AF538" s="7"/>
      <c r="AG538" s="7"/>
      <c r="AH538" s="7"/>
      <c r="AI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8" s="7">
        <v>12</v>
      </c>
      <c r="AK538" t="s">
        <v>116</v>
      </c>
      <c r="AN538">
        <f>IFERROR(INT(Table13[[#This Row],[reject_prod]]/Table13[[#This Row],[part_weight]] * 1000), 0)</f>
        <v>0</v>
      </c>
    </row>
    <row r="539" spans="1:40" hidden="1">
      <c r="A539" s="1">
        <v>46039</v>
      </c>
      <c r="B539">
        <v>2</v>
      </c>
      <c r="C539">
        <v>6</v>
      </c>
      <c r="F539">
        <v>123456</v>
      </c>
      <c r="G539" s="6">
        <v>0</v>
      </c>
      <c r="M539">
        <v>0</v>
      </c>
      <c r="N539" s="2">
        <v>0</v>
      </c>
      <c r="O539" s="2">
        <v>0</v>
      </c>
      <c r="P539" s="2">
        <v>0</v>
      </c>
      <c r="Q539" s="2"/>
      <c r="R539" s="2">
        <v>0</v>
      </c>
      <c r="T539" s="2">
        <v>0</v>
      </c>
      <c r="U539" s="2"/>
      <c r="X539">
        <v>0</v>
      </c>
      <c r="Z539">
        <v>0</v>
      </c>
      <c r="AB539">
        <v>0</v>
      </c>
      <c r="AC539">
        <v>0</v>
      </c>
      <c r="AD539">
        <v>0</v>
      </c>
      <c r="AE539" s="7"/>
      <c r="AF539" s="7"/>
      <c r="AG539" s="7"/>
      <c r="AH539" s="7"/>
      <c r="AI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9" s="7">
        <v>12</v>
      </c>
      <c r="AK539" t="s">
        <v>116</v>
      </c>
      <c r="AN539">
        <f>IFERROR(INT(Table13[[#This Row],[reject_prod]]/Table13[[#This Row],[part_weight]] * 1000), 0)</f>
        <v>0</v>
      </c>
    </row>
    <row r="540" spans="1:40" hidden="1">
      <c r="A540" s="1">
        <v>46039</v>
      </c>
      <c r="B540">
        <v>2</v>
      </c>
      <c r="C540">
        <v>7</v>
      </c>
      <c r="F540">
        <v>123456</v>
      </c>
      <c r="G540" s="6">
        <v>0</v>
      </c>
      <c r="M540">
        <v>0</v>
      </c>
      <c r="N540" s="2">
        <v>0</v>
      </c>
      <c r="O540" s="2">
        <v>0</v>
      </c>
      <c r="P540" s="2">
        <v>0</v>
      </c>
      <c r="Q540" s="2"/>
      <c r="R540" s="2">
        <v>0</v>
      </c>
      <c r="T540" s="2">
        <v>0</v>
      </c>
      <c r="U540" s="2"/>
      <c r="X540">
        <v>0</v>
      </c>
      <c r="Z540">
        <v>0</v>
      </c>
      <c r="AB540">
        <v>0</v>
      </c>
      <c r="AC540">
        <v>0</v>
      </c>
      <c r="AD540">
        <v>0</v>
      </c>
      <c r="AE540" s="7"/>
      <c r="AF540" s="7"/>
      <c r="AG540" s="7"/>
      <c r="AH540" s="7"/>
      <c r="AI5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0" s="7">
        <v>12</v>
      </c>
      <c r="AK540" t="s">
        <v>116</v>
      </c>
      <c r="AN540">
        <f>IFERROR(INT(Table13[[#This Row],[reject_prod]]/Table13[[#This Row],[part_weight]] * 1000), 0)</f>
        <v>0</v>
      </c>
    </row>
    <row r="541" spans="1:40" hidden="1">
      <c r="A541" s="1">
        <v>46039</v>
      </c>
      <c r="B541">
        <v>2</v>
      </c>
      <c r="C541">
        <v>8</v>
      </c>
      <c r="F541">
        <v>123456</v>
      </c>
      <c r="G541" s="6">
        <v>0</v>
      </c>
      <c r="M541">
        <v>0</v>
      </c>
      <c r="N541" s="2">
        <v>0</v>
      </c>
      <c r="O541" s="2">
        <v>0</v>
      </c>
      <c r="P541" s="2">
        <v>0</v>
      </c>
      <c r="Q541" s="2"/>
      <c r="R541" s="2">
        <v>0</v>
      </c>
      <c r="T541" s="2">
        <v>0</v>
      </c>
      <c r="U541" s="2"/>
      <c r="X541">
        <v>0</v>
      </c>
      <c r="Z541">
        <v>0</v>
      </c>
      <c r="AB541">
        <v>0</v>
      </c>
      <c r="AC541">
        <v>0</v>
      </c>
      <c r="AD541">
        <v>0</v>
      </c>
      <c r="AE541" s="7"/>
      <c r="AF541" s="7"/>
      <c r="AG541" s="7"/>
      <c r="AH541" s="7"/>
      <c r="AI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1" s="7">
        <v>12</v>
      </c>
      <c r="AK541" t="s">
        <v>116</v>
      </c>
      <c r="AN541">
        <f>IFERROR(INT(Table13[[#This Row],[reject_prod]]/Table13[[#This Row],[part_weight]] * 1000), 0)</f>
        <v>0</v>
      </c>
    </row>
    <row r="542" spans="1:40" hidden="1">
      <c r="A542" s="1">
        <v>46039</v>
      </c>
      <c r="B542">
        <v>2</v>
      </c>
      <c r="C542">
        <v>9</v>
      </c>
      <c r="F542">
        <v>123456</v>
      </c>
      <c r="G542" s="6">
        <v>0</v>
      </c>
      <c r="M542">
        <v>0</v>
      </c>
      <c r="N542" s="2">
        <v>0</v>
      </c>
      <c r="O542" s="2">
        <v>0</v>
      </c>
      <c r="P542" s="2">
        <v>0</v>
      </c>
      <c r="Q542" s="2"/>
      <c r="R542" s="2">
        <v>0</v>
      </c>
      <c r="T542" s="2">
        <v>0</v>
      </c>
      <c r="U542" s="2"/>
      <c r="X542">
        <v>0</v>
      </c>
      <c r="Z542">
        <v>0</v>
      </c>
      <c r="AB542">
        <v>0</v>
      </c>
      <c r="AC542">
        <v>0</v>
      </c>
      <c r="AD542">
        <v>0</v>
      </c>
      <c r="AE542" s="7"/>
      <c r="AF542" s="7"/>
      <c r="AG542" s="7"/>
      <c r="AH542" s="7"/>
      <c r="AI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2" s="7">
        <v>12</v>
      </c>
      <c r="AK542" t="s">
        <v>116</v>
      </c>
      <c r="AN542">
        <f>IFERROR(INT(Table13[[#This Row],[reject_prod]]/Table13[[#This Row],[part_weight]] * 1000), 0)</f>
        <v>0</v>
      </c>
    </row>
    <row r="543" spans="1:40" hidden="1">
      <c r="A543" s="1">
        <v>46039</v>
      </c>
      <c r="B543">
        <v>2</v>
      </c>
      <c r="C543">
        <v>10</v>
      </c>
      <c r="F543">
        <v>123456</v>
      </c>
      <c r="G543" s="6">
        <v>0</v>
      </c>
      <c r="M543">
        <v>0</v>
      </c>
      <c r="N543" s="2">
        <v>0</v>
      </c>
      <c r="O543" s="2">
        <v>0</v>
      </c>
      <c r="P543" s="2">
        <v>0</v>
      </c>
      <c r="Q543" s="2"/>
      <c r="R543" s="2">
        <v>0</v>
      </c>
      <c r="T543" s="2">
        <v>0</v>
      </c>
      <c r="U543" s="2"/>
      <c r="X543">
        <v>0</v>
      </c>
      <c r="Z543">
        <v>0</v>
      </c>
      <c r="AB543">
        <v>0</v>
      </c>
      <c r="AC543">
        <v>0</v>
      </c>
      <c r="AD543">
        <v>0</v>
      </c>
      <c r="AE543" s="7"/>
      <c r="AF543" s="7"/>
      <c r="AG543" s="7"/>
      <c r="AH543" s="7"/>
      <c r="AI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3" s="7">
        <v>12</v>
      </c>
      <c r="AK543" t="s">
        <v>116</v>
      </c>
      <c r="AN543">
        <f>IFERROR(INT(Table13[[#This Row],[reject_prod]]/Table13[[#This Row],[part_weight]] * 1000), 0)</f>
        <v>0</v>
      </c>
    </row>
    <row r="544" spans="1:40" hidden="1">
      <c r="A544" s="1">
        <v>46039</v>
      </c>
      <c r="B544">
        <v>2</v>
      </c>
      <c r="C544">
        <v>11</v>
      </c>
      <c r="F544">
        <v>123456</v>
      </c>
      <c r="G544" s="6">
        <v>0</v>
      </c>
      <c r="M544">
        <v>0</v>
      </c>
      <c r="N544" s="2">
        <v>0</v>
      </c>
      <c r="O544" s="2">
        <v>0</v>
      </c>
      <c r="P544" s="2">
        <v>0</v>
      </c>
      <c r="Q544" s="2"/>
      <c r="R544" s="2">
        <v>0</v>
      </c>
      <c r="T544" s="2">
        <v>0</v>
      </c>
      <c r="U544" s="2"/>
      <c r="X544">
        <v>0</v>
      </c>
      <c r="Z544">
        <v>0</v>
      </c>
      <c r="AB544">
        <v>0</v>
      </c>
      <c r="AC544">
        <v>0</v>
      </c>
      <c r="AD544">
        <v>0</v>
      </c>
      <c r="AE544" s="7"/>
      <c r="AF544" s="7"/>
      <c r="AG544" s="7"/>
      <c r="AH544" s="7"/>
      <c r="AI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4" s="7">
        <v>12</v>
      </c>
      <c r="AK544" t="s">
        <v>116</v>
      </c>
      <c r="AN544">
        <f>IFERROR(INT(Table13[[#This Row],[reject_prod]]/Table13[[#This Row],[part_weight]] * 1000), 0)</f>
        <v>0</v>
      </c>
    </row>
    <row r="545" spans="1:40" hidden="1">
      <c r="A545" s="1">
        <v>46039</v>
      </c>
      <c r="B545">
        <v>2</v>
      </c>
      <c r="C545">
        <v>12</v>
      </c>
      <c r="F545">
        <v>123456</v>
      </c>
      <c r="G545" s="6">
        <v>0</v>
      </c>
      <c r="M545">
        <v>0</v>
      </c>
      <c r="N545" s="2">
        <v>0</v>
      </c>
      <c r="O545" s="2">
        <v>0</v>
      </c>
      <c r="P545" s="2">
        <v>0</v>
      </c>
      <c r="Q545" s="2"/>
      <c r="R545" s="2">
        <v>0</v>
      </c>
      <c r="T545" s="2">
        <v>0</v>
      </c>
      <c r="U545" s="2"/>
      <c r="X545">
        <v>0</v>
      </c>
      <c r="Z545">
        <v>0</v>
      </c>
      <c r="AB545">
        <v>0</v>
      </c>
      <c r="AC545">
        <v>0</v>
      </c>
      <c r="AD545">
        <v>0</v>
      </c>
      <c r="AE545" s="7"/>
      <c r="AF545" s="7"/>
      <c r="AG545" s="7"/>
      <c r="AH545" s="7"/>
      <c r="AI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5" s="7">
        <v>12</v>
      </c>
      <c r="AK545" t="s">
        <v>116</v>
      </c>
      <c r="AN545">
        <f>IFERROR(INT(Table13[[#This Row],[reject_prod]]/Table13[[#This Row],[part_weight]] * 1000), 0)</f>
        <v>0</v>
      </c>
    </row>
    <row r="546" spans="1:40" hidden="1">
      <c r="A546" s="1">
        <v>46039</v>
      </c>
      <c r="B546">
        <v>2</v>
      </c>
      <c r="C546">
        <v>13</v>
      </c>
      <c r="F546">
        <v>123456</v>
      </c>
      <c r="G546" s="6">
        <v>0</v>
      </c>
      <c r="M546">
        <v>0</v>
      </c>
      <c r="N546" s="2">
        <v>0</v>
      </c>
      <c r="O546" s="2">
        <v>0</v>
      </c>
      <c r="P546" s="2">
        <v>0</v>
      </c>
      <c r="Q546" s="2"/>
      <c r="R546" s="2">
        <v>0</v>
      </c>
      <c r="T546" s="2">
        <v>0</v>
      </c>
      <c r="U546" s="2"/>
      <c r="X546">
        <v>0</v>
      </c>
      <c r="Z546">
        <v>0</v>
      </c>
      <c r="AB546">
        <v>0</v>
      </c>
      <c r="AC546">
        <v>0</v>
      </c>
      <c r="AD546">
        <v>0</v>
      </c>
      <c r="AE546" s="7"/>
      <c r="AF546" s="7"/>
      <c r="AG546" s="7"/>
      <c r="AH546" s="7"/>
      <c r="AI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6" s="7">
        <v>12</v>
      </c>
      <c r="AK546" t="s">
        <v>116</v>
      </c>
      <c r="AN546">
        <f>IFERROR(INT(Table13[[#This Row],[reject_prod]]/Table13[[#This Row],[part_weight]] * 1000), 0)</f>
        <v>0</v>
      </c>
    </row>
    <row r="547" spans="1:40" hidden="1">
      <c r="A547" s="1">
        <v>46039</v>
      </c>
      <c r="B547">
        <v>2</v>
      </c>
      <c r="C547">
        <v>14</v>
      </c>
      <c r="F547">
        <v>123456</v>
      </c>
      <c r="G547" s="6">
        <v>0</v>
      </c>
      <c r="M547">
        <v>0</v>
      </c>
      <c r="N547" s="2">
        <v>0</v>
      </c>
      <c r="O547" s="2">
        <v>0</v>
      </c>
      <c r="P547" s="2">
        <v>0</v>
      </c>
      <c r="Q547" s="2"/>
      <c r="R547" s="2">
        <v>0</v>
      </c>
      <c r="T547" s="2">
        <v>0</v>
      </c>
      <c r="U547" s="2"/>
      <c r="X547">
        <v>0</v>
      </c>
      <c r="Z547">
        <v>0</v>
      </c>
      <c r="AB547">
        <v>0</v>
      </c>
      <c r="AC547">
        <v>0</v>
      </c>
      <c r="AD547">
        <v>0</v>
      </c>
      <c r="AE547" s="7"/>
      <c r="AF547" s="7"/>
      <c r="AG547" s="7"/>
      <c r="AH547" s="7"/>
      <c r="AI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7" s="7">
        <v>12</v>
      </c>
      <c r="AK547" t="s">
        <v>116</v>
      </c>
      <c r="AN547">
        <f>IFERROR(INT(Table13[[#This Row],[reject_prod]]/Table13[[#This Row],[part_weight]] * 1000), 0)</f>
        <v>0</v>
      </c>
    </row>
    <row r="548" spans="1:40" hidden="1">
      <c r="A548" s="1">
        <v>46039</v>
      </c>
      <c r="B548">
        <v>2</v>
      </c>
      <c r="C548">
        <v>15</v>
      </c>
      <c r="F548">
        <v>123456</v>
      </c>
      <c r="G548" s="6">
        <v>0</v>
      </c>
      <c r="M548">
        <v>0</v>
      </c>
      <c r="N548" s="2">
        <v>0</v>
      </c>
      <c r="O548" s="2">
        <v>0</v>
      </c>
      <c r="P548" s="2">
        <v>0</v>
      </c>
      <c r="Q548" s="2"/>
      <c r="R548" s="2">
        <v>0</v>
      </c>
      <c r="T548" s="2">
        <v>0</v>
      </c>
      <c r="U548" s="2"/>
      <c r="X548">
        <v>0</v>
      </c>
      <c r="Z548">
        <v>0</v>
      </c>
      <c r="AB548">
        <v>0</v>
      </c>
      <c r="AC548">
        <v>0</v>
      </c>
      <c r="AD548">
        <v>0</v>
      </c>
      <c r="AE548" s="7"/>
      <c r="AF548" s="7"/>
      <c r="AG548" s="7"/>
      <c r="AH548" s="7"/>
      <c r="AI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8" s="7">
        <v>12</v>
      </c>
      <c r="AK548" t="s">
        <v>116</v>
      </c>
      <c r="AN548">
        <f>IFERROR(INT(Table13[[#This Row],[reject_prod]]/Table13[[#This Row],[part_weight]] * 1000), 0)</f>
        <v>0</v>
      </c>
    </row>
    <row r="549" spans="1:40" s="4" customFormat="1" hidden="1">
      <c r="A549" s="3">
        <v>46039</v>
      </c>
      <c r="B549" s="4">
        <v>2</v>
      </c>
      <c r="C549" s="4">
        <v>16</v>
      </c>
      <c r="F549" s="4">
        <v>123456</v>
      </c>
      <c r="G549" s="9">
        <v>0</v>
      </c>
      <c r="M549" s="4">
        <v>0</v>
      </c>
      <c r="N549" s="5">
        <v>0</v>
      </c>
      <c r="O549" s="5">
        <v>0</v>
      </c>
      <c r="P549" s="5">
        <v>0</v>
      </c>
      <c r="Q549" s="5"/>
      <c r="R549" s="5">
        <v>0</v>
      </c>
      <c r="T549" s="5">
        <v>0</v>
      </c>
      <c r="U549" s="5"/>
      <c r="X549" s="4">
        <v>0</v>
      </c>
      <c r="Z549" s="4">
        <v>0</v>
      </c>
      <c r="AB549" s="4">
        <v>0</v>
      </c>
      <c r="AC549" s="4">
        <v>0</v>
      </c>
      <c r="AD549" s="4">
        <v>0</v>
      </c>
      <c r="AE549" s="8"/>
      <c r="AF549" s="8"/>
      <c r="AG549" s="8"/>
      <c r="AH549" s="8"/>
      <c r="AI54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9" s="8">
        <v>12</v>
      </c>
      <c r="AK549" s="4" t="s">
        <v>116</v>
      </c>
      <c r="AN549">
        <f>IFERROR(INT(Table13[[#This Row],[reject_prod]]/Table13[[#This Row],[part_weight]] * 1000), 0)</f>
        <v>0</v>
      </c>
    </row>
    <row r="550" spans="1:40" hidden="1">
      <c r="A550" s="1">
        <v>46040</v>
      </c>
      <c r="B550">
        <v>1</v>
      </c>
      <c r="C550">
        <v>1</v>
      </c>
      <c r="F550">
        <v>123456</v>
      </c>
      <c r="G550" s="6">
        <v>0</v>
      </c>
      <c r="M550">
        <v>0</v>
      </c>
      <c r="N550" s="2">
        <v>0</v>
      </c>
      <c r="O550" s="2">
        <v>0</v>
      </c>
      <c r="P550" s="2">
        <v>0</v>
      </c>
      <c r="Q550" s="2"/>
      <c r="R550" s="2">
        <v>0</v>
      </c>
      <c r="T550" s="2">
        <v>0</v>
      </c>
      <c r="U550" s="2"/>
      <c r="X550">
        <v>0</v>
      </c>
      <c r="Z550">
        <v>0</v>
      </c>
      <c r="AB550">
        <v>0</v>
      </c>
      <c r="AC550">
        <v>0</v>
      </c>
      <c r="AD550">
        <v>0</v>
      </c>
      <c r="AE550" s="7"/>
      <c r="AF550" s="7"/>
      <c r="AG550" s="7"/>
      <c r="AH550" s="7"/>
      <c r="AI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0" s="7">
        <v>12</v>
      </c>
      <c r="AK550" t="s">
        <v>116</v>
      </c>
      <c r="AN550">
        <f>IFERROR(INT(Table13[[#This Row],[reject_prod]]/Table13[[#This Row],[part_weight]] * 1000), 0)</f>
        <v>0</v>
      </c>
    </row>
    <row r="551" spans="1:40" hidden="1">
      <c r="A551" s="1">
        <v>46040</v>
      </c>
      <c r="B551">
        <v>1</v>
      </c>
      <c r="C551">
        <v>2</v>
      </c>
      <c r="F551">
        <v>123456</v>
      </c>
      <c r="G551" s="6">
        <v>0</v>
      </c>
      <c r="M551">
        <v>0</v>
      </c>
      <c r="N551" s="2">
        <v>0</v>
      </c>
      <c r="O551" s="2">
        <v>0</v>
      </c>
      <c r="P551" s="2">
        <v>0</v>
      </c>
      <c r="Q551" s="2"/>
      <c r="R551" s="2">
        <v>0</v>
      </c>
      <c r="T551" s="2">
        <v>0</v>
      </c>
      <c r="U551" s="2"/>
      <c r="X551">
        <v>0</v>
      </c>
      <c r="Z551">
        <v>0</v>
      </c>
      <c r="AB551">
        <v>0</v>
      </c>
      <c r="AC551">
        <v>0</v>
      </c>
      <c r="AD551">
        <v>0</v>
      </c>
      <c r="AE551" s="7"/>
      <c r="AF551" s="7"/>
      <c r="AG551" s="7"/>
      <c r="AH551" s="7"/>
      <c r="AI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1" s="7">
        <v>12</v>
      </c>
      <c r="AK551" t="s">
        <v>116</v>
      </c>
      <c r="AN551">
        <f>IFERROR(INT(Table13[[#This Row],[reject_prod]]/Table13[[#This Row],[part_weight]] * 1000), 0)</f>
        <v>0</v>
      </c>
    </row>
    <row r="552" spans="1:40" hidden="1">
      <c r="A552" s="1">
        <v>46040</v>
      </c>
      <c r="B552">
        <v>1</v>
      </c>
      <c r="C552">
        <v>3</v>
      </c>
      <c r="F552">
        <v>123456</v>
      </c>
      <c r="G552" s="6">
        <v>0</v>
      </c>
      <c r="M552">
        <v>0</v>
      </c>
      <c r="N552" s="2">
        <v>0</v>
      </c>
      <c r="O552" s="2">
        <v>0</v>
      </c>
      <c r="P552" s="2">
        <v>0</v>
      </c>
      <c r="Q552" s="2"/>
      <c r="R552" s="2">
        <v>0</v>
      </c>
      <c r="T552" s="2">
        <v>0</v>
      </c>
      <c r="U552" s="2"/>
      <c r="X552">
        <v>0</v>
      </c>
      <c r="Z552">
        <v>0</v>
      </c>
      <c r="AB552">
        <v>0</v>
      </c>
      <c r="AC552">
        <v>0</v>
      </c>
      <c r="AD552">
        <v>0</v>
      </c>
      <c r="AE552" s="7"/>
      <c r="AF552" s="7"/>
      <c r="AG552" s="7"/>
      <c r="AH552" s="7"/>
      <c r="AI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2" s="7">
        <v>12</v>
      </c>
      <c r="AK552" t="s">
        <v>116</v>
      </c>
      <c r="AN552">
        <f>IFERROR(INT(Table13[[#This Row],[reject_prod]]/Table13[[#This Row],[part_weight]] * 1000), 0)</f>
        <v>0</v>
      </c>
    </row>
    <row r="553" spans="1:40" hidden="1">
      <c r="A553" s="1">
        <v>46040</v>
      </c>
      <c r="B553">
        <v>1</v>
      </c>
      <c r="C553">
        <v>4</v>
      </c>
      <c r="F553">
        <v>123456</v>
      </c>
      <c r="G553" s="6">
        <v>0</v>
      </c>
      <c r="M553">
        <v>0</v>
      </c>
      <c r="N553" s="2">
        <v>0</v>
      </c>
      <c r="O553" s="2">
        <v>0</v>
      </c>
      <c r="P553" s="2">
        <v>0</v>
      </c>
      <c r="Q553" s="2"/>
      <c r="R553" s="2">
        <v>0</v>
      </c>
      <c r="T553" s="2">
        <v>0</v>
      </c>
      <c r="U553" s="2"/>
      <c r="X553">
        <v>0</v>
      </c>
      <c r="Z553">
        <v>0</v>
      </c>
      <c r="AB553">
        <v>0</v>
      </c>
      <c r="AC553">
        <v>0</v>
      </c>
      <c r="AD553">
        <v>0</v>
      </c>
      <c r="AE553" s="7"/>
      <c r="AF553" s="7"/>
      <c r="AG553" s="7"/>
      <c r="AH553" s="7"/>
      <c r="AI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3" s="7">
        <v>12</v>
      </c>
      <c r="AK553" t="s">
        <v>116</v>
      </c>
      <c r="AN553">
        <f>IFERROR(INT(Table13[[#This Row],[reject_prod]]/Table13[[#This Row],[part_weight]] * 1000), 0)</f>
        <v>0</v>
      </c>
    </row>
    <row r="554" spans="1:40" hidden="1">
      <c r="A554" s="1">
        <v>46040</v>
      </c>
      <c r="B554">
        <v>1</v>
      </c>
      <c r="C554">
        <v>5</v>
      </c>
      <c r="F554">
        <v>123456</v>
      </c>
      <c r="G554" s="6">
        <v>0</v>
      </c>
      <c r="M554">
        <v>0</v>
      </c>
      <c r="N554" s="2">
        <v>0</v>
      </c>
      <c r="O554" s="2">
        <v>0</v>
      </c>
      <c r="P554" s="2">
        <v>0</v>
      </c>
      <c r="Q554" s="2"/>
      <c r="R554" s="2">
        <v>0</v>
      </c>
      <c r="T554" s="2">
        <v>0</v>
      </c>
      <c r="U554" s="2"/>
      <c r="X554">
        <v>0</v>
      </c>
      <c r="Z554">
        <v>0</v>
      </c>
      <c r="AB554">
        <v>0</v>
      </c>
      <c r="AC554">
        <v>0</v>
      </c>
      <c r="AD554">
        <v>0</v>
      </c>
      <c r="AE554" s="7"/>
      <c r="AF554" s="7"/>
      <c r="AG554" s="7"/>
      <c r="AH554" s="7"/>
      <c r="AI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4" s="7">
        <v>12</v>
      </c>
      <c r="AK554" t="s">
        <v>116</v>
      </c>
      <c r="AN554">
        <f>IFERROR(INT(Table13[[#This Row],[reject_prod]]/Table13[[#This Row],[part_weight]] * 1000), 0)</f>
        <v>0</v>
      </c>
    </row>
    <row r="555" spans="1:40" hidden="1">
      <c r="A555" s="1">
        <v>46040</v>
      </c>
      <c r="B555">
        <v>1</v>
      </c>
      <c r="C555">
        <v>6</v>
      </c>
      <c r="F555">
        <v>123456</v>
      </c>
      <c r="G555" s="6">
        <v>0</v>
      </c>
      <c r="M555">
        <v>0</v>
      </c>
      <c r="N555" s="2">
        <v>0</v>
      </c>
      <c r="O555" s="2">
        <v>0</v>
      </c>
      <c r="P555" s="2">
        <v>0</v>
      </c>
      <c r="Q555" s="2"/>
      <c r="R555" s="2">
        <v>0</v>
      </c>
      <c r="T555" s="2">
        <v>0</v>
      </c>
      <c r="U555" s="2"/>
      <c r="X555">
        <v>0</v>
      </c>
      <c r="Z555">
        <v>0</v>
      </c>
      <c r="AB555">
        <v>0</v>
      </c>
      <c r="AC555">
        <v>0</v>
      </c>
      <c r="AD555">
        <v>0</v>
      </c>
      <c r="AE555" s="7"/>
      <c r="AF555" s="7"/>
      <c r="AG555" s="7"/>
      <c r="AH555" s="7"/>
      <c r="AI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5" s="7">
        <v>12</v>
      </c>
      <c r="AK555" t="s">
        <v>116</v>
      </c>
      <c r="AN555">
        <f>IFERROR(INT(Table13[[#This Row],[reject_prod]]/Table13[[#This Row],[part_weight]] * 1000), 0)</f>
        <v>0</v>
      </c>
    </row>
    <row r="556" spans="1:40" hidden="1">
      <c r="A556" s="1">
        <v>46040</v>
      </c>
      <c r="B556">
        <v>1</v>
      </c>
      <c r="C556">
        <v>7</v>
      </c>
      <c r="F556">
        <v>123456</v>
      </c>
      <c r="G556" s="6">
        <v>0</v>
      </c>
      <c r="M556">
        <v>0</v>
      </c>
      <c r="N556" s="2">
        <v>0</v>
      </c>
      <c r="O556" s="2">
        <v>0</v>
      </c>
      <c r="P556" s="2">
        <v>0</v>
      </c>
      <c r="Q556" s="2"/>
      <c r="R556" s="2">
        <v>0</v>
      </c>
      <c r="T556" s="2">
        <v>0</v>
      </c>
      <c r="U556" s="2"/>
      <c r="X556">
        <v>0</v>
      </c>
      <c r="Z556">
        <v>0</v>
      </c>
      <c r="AB556">
        <v>0</v>
      </c>
      <c r="AC556">
        <v>0</v>
      </c>
      <c r="AD556">
        <v>0</v>
      </c>
      <c r="AE556" s="7"/>
      <c r="AF556" s="7"/>
      <c r="AG556" s="7"/>
      <c r="AH556" s="7"/>
      <c r="AI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6" s="7">
        <v>12</v>
      </c>
      <c r="AK556" t="s">
        <v>116</v>
      </c>
      <c r="AN556">
        <f>IFERROR(INT(Table13[[#This Row],[reject_prod]]/Table13[[#This Row],[part_weight]] * 1000), 0)</f>
        <v>0</v>
      </c>
    </row>
    <row r="557" spans="1:40" hidden="1">
      <c r="A557" s="1">
        <v>46040</v>
      </c>
      <c r="B557">
        <v>1</v>
      </c>
      <c r="C557">
        <v>8</v>
      </c>
      <c r="F557">
        <v>123456</v>
      </c>
      <c r="G557" s="6">
        <v>0</v>
      </c>
      <c r="M557">
        <v>0</v>
      </c>
      <c r="N557" s="2">
        <v>0</v>
      </c>
      <c r="O557" s="2">
        <v>0</v>
      </c>
      <c r="P557" s="2">
        <v>0</v>
      </c>
      <c r="Q557" s="2"/>
      <c r="R557" s="2">
        <v>0</v>
      </c>
      <c r="T557" s="2">
        <v>0</v>
      </c>
      <c r="U557" s="2"/>
      <c r="X557">
        <v>0</v>
      </c>
      <c r="Z557">
        <v>0</v>
      </c>
      <c r="AB557">
        <v>0</v>
      </c>
      <c r="AC557">
        <v>0</v>
      </c>
      <c r="AD557">
        <v>0</v>
      </c>
      <c r="AE557" s="7"/>
      <c r="AF557" s="7"/>
      <c r="AG557" s="7"/>
      <c r="AH557" s="7"/>
      <c r="AI5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7" s="7">
        <v>12</v>
      </c>
      <c r="AK557" t="s">
        <v>116</v>
      </c>
      <c r="AN557">
        <f>IFERROR(INT(Table13[[#This Row],[reject_prod]]/Table13[[#This Row],[part_weight]] * 1000), 0)</f>
        <v>0</v>
      </c>
    </row>
    <row r="558" spans="1:40" hidden="1">
      <c r="A558" s="1">
        <v>46040</v>
      </c>
      <c r="B558">
        <v>1</v>
      </c>
      <c r="C558">
        <v>9</v>
      </c>
      <c r="F558">
        <v>123456</v>
      </c>
      <c r="G558" s="6">
        <v>0</v>
      </c>
      <c r="M558">
        <v>0</v>
      </c>
      <c r="N558" s="2">
        <v>0</v>
      </c>
      <c r="O558" s="2">
        <v>0</v>
      </c>
      <c r="P558" s="2">
        <v>0</v>
      </c>
      <c r="Q558" s="2"/>
      <c r="R558" s="2">
        <v>0</v>
      </c>
      <c r="T558" s="2">
        <v>0</v>
      </c>
      <c r="U558" s="2"/>
      <c r="X558">
        <v>0</v>
      </c>
      <c r="Z558">
        <v>0</v>
      </c>
      <c r="AB558">
        <v>0</v>
      </c>
      <c r="AC558">
        <v>0</v>
      </c>
      <c r="AD558">
        <v>0</v>
      </c>
      <c r="AE558" s="7"/>
      <c r="AF558" s="7"/>
      <c r="AG558" s="7"/>
      <c r="AH558" s="7"/>
      <c r="AI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8" s="7">
        <v>12</v>
      </c>
      <c r="AK558" t="s">
        <v>116</v>
      </c>
      <c r="AN558">
        <f>IFERROR(INT(Table13[[#This Row],[reject_prod]]/Table13[[#This Row],[part_weight]] * 1000), 0)</f>
        <v>0</v>
      </c>
    </row>
    <row r="559" spans="1:40" hidden="1">
      <c r="A559" s="1">
        <v>46040</v>
      </c>
      <c r="B559">
        <v>1</v>
      </c>
      <c r="C559">
        <v>10</v>
      </c>
      <c r="F559">
        <v>123456</v>
      </c>
      <c r="G559" s="6">
        <v>0</v>
      </c>
      <c r="M559">
        <v>0</v>
      </c>
      <c r="N559" s="2">
        <v>0</v>
      </c>
      <c r="O559" s="2">
        <v>0</v>
      </c>
      <c r="P559" s="2">
        <v>0</v>
      </c>
      <c r="Q559" s="2"/>
      <c r="R559" s="2">
        <v>0</v>
      </c>
      <c r="T559" s="2">
        <v>0</v>
      </c>
      <c r="U559" s="2"/>
      <c r="X559">
        <v>0</v>
      </c>
      <c r="Z559">
        <v>0</v>
      </c>
      <c r="AB559">
        <v>0</v>
      </c>
      <c r="AC559">
        <v>0</v>
      </c>
      <c r="AD559">
        <v>0</v>
      </c>
      <c r="AE559" s="7"/>
      <c r="AF559" s="7"/>
      <c r="AG559" s="7"/>
      <c r="AH559" s="7"/>
      <c r="AI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9" s="7">
        <v>12</v>
      </c>
      <c r="AK559" t="s">
        <v>116</v>
      </c>
      <c r="AN559">
        <f>IFERROR(INT(Table13[[#This Row],[reject_prod]]/Table13[[#This Row],[part_weight]] * 1000), 0)</f>
        <v>0</v>
      </c>
    </row>
    <row r="560" spans="1:40" hidden="1">
      <c r="A560" s="1">
        <v>46040</v>
      </c>
      <c r="B560">
        <v>1</v>
      </c>
      <c r="C560">
        <v>11</v>
      </c>
      <c r="F560">
        <v>123456</v>
      </c>
      <c r="G560" s="6">
        <v>0</v>
      </c>
      <c r="M560">
        <v>0</v>
      </c>
      <c r="N560" s="2">
        <v>0</v>
      </c>
      <c r="O560" s="2">
        <v>0</v>
      </c>
      <c r="P560" s="2">
        <v>0</v>
      </c>
      <c r="Q560" s="2"/>
      <c r="R560" s="2">
        <v>0</v>
      </c>
      <c r="T560" s="2">
        <v>0</v>
      </c>
      <c r="U560" s="2"/>
      <c r="X560">
        <v>0</v>
      </c>
      <c r="Z560">
        <v>0</v>
      </c>
      <c r="AB560">
        <v>0</v>
      </c>
      <c r="AC560">
        <v>0</v>
      </c>
      <c r="AD560">
        <v>0</v>
      </c>
      <c r="AE560" s="7"/>
      <c r="AF560" s="7"/>
      <c r="AG560" s="7"/>
      <c r="AH560" s="7"/>
      <c r="AI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0" s="7">
        <v>12</v>
      </c>
      <c r="AK560" t="s">
        <v>116</v>
      </c>
      <c r="AN560">
        <f>IFERROR(INT(Table13[[#This Row],[reject_prod]]/Table13[[#This Row],[part_weight]] * 1000), 0)</f>
        <v>0</v>
      </c>
    </row>
    <row r="561" spans="1:40" hidden="1">
      <c r="A561" s="1">
        <v>46040</v>
      </c>
      <c r="B561">
        <v>1</v>
      </c>
      <c r="C561">
        <v>12</v>
      </c>
      <c r="F561">
        <v>123456</v>
      </c>
      <c r="G561" s="6">
        <v>0</v>
      </c>
      <c r="M561">
        <v>0</v>
      </c>
      <c r="N561" s="2">
        <v>0</v>
      </c>
      <c r="O561" s="2">
        <v>0</v>
      </c>
      <c r="P561" s="2">
        <v>0</v>
      </c>
      <c r="Q561" s="2"/>
      <c r="R561" s="2">
        <v>0</v>
      </c>
      <c r="T561" s="2">
        <v>0</v>
      </c>
      <c r="U561" s="2"/>
      <c r="X561">
        <v>0</v>
      </c>
      <c r="Z561">
        <v>0</v>
      </c>
      <c r="AB561">
        <v>0</v>
      </c>
      <c r="AC561">
        <v>0</v>
      </c>
      <c r="AD561">
        <v>0</v>
      </c>
      <c r="AE561" s="7"/>
      <c r="AF561" s="7"/>
      <c r="AG561" s="7"/>
      <c r="AH561" s="7"/>
      <c r="AI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1" s="7">
        <v>12</v>
      </c>
      <c r="AK561" t="s">
        <v>116</v>
      </c>
      <c r="AN561">
        <f>IFERROR(INT(Table13[[#This Row],[reject_prod]]/Table13[[#This Row],[part_weight]] * 1000), 0)</f>
        <v>0</v>
      </c>
    </row>
    <row r="562" spans="1:40" hidden="1">
      <c r="A562" s="1">
        <v>46040</v>
      </c>
      <c r="B562">
        <v>1</v>
      </c>
      <c r="C562">
        <v>13</v>
      </c>
      <c r="F562">
        <v>123456</v>
      </c>
      <c r="G562" s="6">
        <v>0</v>
      </c>
      <c r="M562">
        <v>0</v>
      </c>
      <c r="N562" s="2">
        <v>0</v>
      </c>
      <c r="O562" s="2">
        <v>0</v>
      </c>
      <c r="P562" s="2">
        <v>0</v>
      </c>
      <c r="Q562" s="2"/>
      <c r="R562" s="2">
        <v>0</v>
      </c>
      <c r="T562" s="2">
        <v>0</v>
      </c>
      <c r="U562" s="2"/>
      <c r="X562">
        <v>0</v>
      </c>
      <c r="Z562">
        <v>0</v>
      </c>
      <c r="AB562">
        <v>0</v>
      </c>
      <c r="AC562">
        <v>0</v>
      </c>
      <c r="AD562">
        <v>0</v>
      </c>
      <c r="AE562" s="7"/>
      <c r="AF562" s="7"/>
      <c r="AG562" s="7"/>
      <c r="AH562" s="7"/>
      <c r="AI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2" s="7">
        <v>12</v>
      </c>
      <c r="AK562" t="s">
        <v>116</v>
      </c>
      <c r="AN562">
        <f>IFERROR(INT(Table13[[#This Row],[reject_prod]]/Table13[[#This Row],[part_weight]] * 1000), 0)</f>
        <v>0</v>
      </c>
    </row>
    <row r="563" spans="1:40" hidden="1">
      <c r="A563" s="1">
        <v>46040</v>
      </c>
      <c r="B563">
        <v>1</v>
      </c>
      <c r="C563">
        <v>14</v>
      </c>
      <c r="F563">
        <v>123456</v>
      </c>
      <c r="G563" s="6">
        <v>0</v>
      </c>
      <c r="M563">
        <v>0</v>
      </c>
      <c r="N563" s="2">
        <v>0</v>
      </c>
      <c r="O563" s="2">
        <v>0</v>
      </c>
      <c r="P563" s="2">
        <v>0</v>
      </c>
      <c r="Q563" s="2"/>
      <c r="R563" s="2">
        <v>0</v>
      </c>
      <c r="T563" s="2">
        <v>0</v>
      </c>
      <c r="U563" s="2"/>
      <c r="X563">
        <v>0</v>
      </c>
      <c r="Z563">
        <v>0</v>
      </c>
      <c r="AB563">
        <v>0</v>
      </c>
      <c r="AC563">
        <v>0</v>
      </c>
      <c r="AD563">
        <v>0</v>
      </c>
      <c r="AE563" s="7"/>
      <c r="AF563" s="7"/>
      <c r="AG563" s="7"/>
      <c r="AH563" s="7"/>
      <c r="AI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3" s="7">
        <v>12</v>
      </c>
      <c r="AK563" t="s">
        <v>116</v>
      </c>
      <c r="AN563">
        <f>IFERROR(INT(Table13[[#This Row],[reject_prod]]/Table13[[#This Row],[part_weight]] * 1000), 0)</f>
        <v>0</v>
      </c>
    </row>
    <row r="564" spans="1:40" hidden="1">
      <c r="A564" s="1">
        <v>46040</v>
      </c>
      <c r="B564">
        <v>1</v>
      </c>
      <c r="C564">
        <v>15</v>
      </c>
      <c r="F564">
        <v>123456</v>
      </c>
      <c r="G564" s="6">
        <v>0</v>
      </c>
      <c r="M564">
        <v>0</v>
      </c>
      <c r="N564" s="2">
        <v>0</v>
      </c>
      <c r="O564" s="2">
        <v>0</v>
      </c>
      <c r="P564" s="2">
        <v>0</v>
      </c>
      <c r="Q564" s="2"/>
      <c r="R564" s="2">
        <v>0</v>
      </c>
      <c r="T564" s="2">
        <v>0</v>
      </c>
      <c r="U564" s="2"/>
      <c r="X564">
        <v>0</v>
      </c>
      <c r="Z564">
        <v>0</v>
      </c>
      <c r="AB564">
        <v>0</v>
      </c>
      <c r="AC564">
        <v>0</v>
      </c>
      <c r="AD564">
        <v>0</v>
      </c>
      <c r="AE564" s="7"/>
      <c r="AF564" s="7"/>
      <c r="AG564" s="7"/>
      <c r="AH564" s="7"/>
      <c r="AI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4" s="7">
        <v>12</v>
      </c>
      <c r="AK564" t="s">
        <v>116</v>
      </c>
      <c r="AN564">
        <f>IFERROR(INT(Table13[[#This Row],[reject_prod]]/Table13[[#This Row],[part_weight]] * 1000), 0)</f>
        <v>0</v>
      </c>
    </row>
    <row r="565" spans="1:40" s="4" customFormat="1" hidden="1">
      <c r="A565" s="3">
        <v>46040</v>
      </c>
      <c r="B565" s="4">
        <v>1</v>
      </c>
      <c r="C565" s="4">
        <v>16</v>
      </c>
      <c r="F565" s="4">
        <v>123456</v>
      </c>
      <c r="G565" s="9">
        <v>0</v>
      </c>
      <c r="M565" s="4">
        <v>0</v>
      </c>
      <c r="N565" s="5">
        <v>0</v>
      </c>
      <c r="O565" s="5">
        <v>0</v>
      </c>
      <c r="P565" s="5">
        <v>0</v>
      </c>
      <c r="Q565" s="5"/>
      <c r="R565" s="5">
        <v>0</v>
      </c>
      <c r="T565" s="5">
        <v>0</v>
      </c>
      <c r="U565" s="5"/>
      <c r="X565" s="4">
        <v>0</v>
      </c>
      <c r="Z565" s="4">
        <v>0</v>
      </c>
      <c r="AB565" s="4">
        <v>0</v>
      </c>
      <c r="AC565" s="4">
        <v>0</v>
      </c>
      <c r="AD565" s="4">
        <v>0</v>
      </c>
      <c r="AE565" s="8"/>
      <c r="AF565" s="8"/>
      <c r="AG565" s="8"/>
      <c r="AH565" s="8"/>
      <c r="AI56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5" s="8">
        <v>12</v>
      </c>
      <c r="AK565" s="4" t="s">
        <v>116</v>
      </c>
      <c r="AN565">
        <f>IFERROR(INT(Table13[[#This Row],[reject_prod]]/Table13[[#This Row],[part_weight]] * 1000), 0)</f>
        <v>0</v>
      </c>
    </row>
    <row r="566" spans="1:40" hidden="1">
      <c r="A566" s="1">
        <v>46040</v>
      </c>
      <c r="B566">
        <v>2</v>
      </c>
      <c r="C566">
        <v>1</v>
      </c>
      <c r="F566">
        <v>123456</v>
      </c>
      <c r="G566" s="6">
        <v>0</v>
      </c>
      <c r="M566">
        <v>0</v>
      </c>
      <c r="N566" s="2">
        <v>0</v>
      </c>
      <c r="O566" s="2">
        <v>0</v>
      </c>
      <c r="P566" s="2">
        <v>0</v>
      </c>
      <c r="Q566" s="2"/>
      <c r="R566" s="2">
        <v>0</v>
      </c>
      <c r="T566" s="2">
        <v>0</v>
      </c>
      <c r="U566" s="2"/>
      <c r="X566">
        <v>0</v>
      </c>
      <c r="Z566">
        <v>0</v>
      </c>
      <c r="AB566">
        <v>0</v>
      </c>
      <c r="AC566">
        <v>0</v>
      </c>
      <c r="AD566">
        <v>0</v>
      </c>
      <c r="AE566" s="7"/>
      <c r="AF566" s="7"/>
      <c r="AG566" s="7"/>
      <c r="AH566" s="7"/>
      <c r="AI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6" s="7">
        <v>12</v>
      </c>
      <c r="AK566" t="s">
        <v>116</v>
      </c>
      <c r="AN566">
        <f>IFERROR(INT(Table13[[#This Row],[reject_prod]]/Table13[[#This Row],[part_weight]] * 1000), 0)</f>
        <v>0</v>
      </c>
    </row>
    <row r="567" spans="1:40" hidden="1">
      <c r="A567" s="1">
        <v>46040</v>
      </c>
      <c r="B567">
        <v>2</v>
      </c>
      <c r="C567">
        <v>2</v>
      </c>
      <c r="F567">
        <v>123456</v>
      </c>
      <c r="G567" s="6">
        <v>0</v>
      </c>
      <c r="M567">
        <v>0</v>
      </c>
      <c r="N567" s="2">
        <v>0</v>
      </c>
      <c r="O567" s="2">
        <v>0</v>
      </c>
      <c r="P567" s="2">
        <v>0</v>
      </c>
      <c r="Q567" s="2"/>
      <c r="R567" s="2">
        <v>0</v>
      </c>
      <c r="T567" s="2">
        <v>0</v>
      </c>
      <c r="U567" s="2"/>
      <c r="X567">
        <v>0</v>
      </c>
      <c r="Z567">
        <v>0</v>
      </c>
      <c r="AB567">
        <v>0</v>
      </c>
      <c r="AC567">
        <v>0</v>
      </c>
      <c r="AD567">
        <v>0</v>
      </c>
      <c r="AE567" s="7"/>
      <c r="AF567" s="7"/>
      <c r="AG567" s="7"/>
      <c r="AH567" s="7"/>
      <c r="AI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7" s="7">
        <v>12</v>
      </c>
      <c r="AK567" t="s">
        <v>116</v>
      </c>
      <c r="AN567">
        <f>IFERROR(INT(Table13[[#This Row],[reject_prod]]/Table13[[#This Row],[part_weight]] * 1000), 0)</f>
        <v>0</v>
      </c>
    </row>
    <row r="568" spans="1:40" hidden="1">
      <c r="A568" s="1">
        <v>46040</v>
      </c>
      <c r="B568">
        <v>2</v>
      </c>
      <c r="C568">
        <v>3</v>
      </c>
      <c r="F568">
        <v>123456</v>
      </c>
      <c r="G568" s="6">
        <v>0</v>
      </c>
      <c r="M568">
        <v>0</v>
      </c>
      <c r="N568" s="2">
        <v>0</v>
      </c>
      <c r="O568" s="2">
        <v>0</v>
      </c>
      <c r="P568" s="2">
        <v>0</v>
      </c>
      <c r="Q568" s="2"/>
      <c r="R568" s="2">
        <v>0</v>
      </c>
      <c r="T568" s="2">
        <v>0</v>
      </c>
      <c r="U568" s="2"/>
      <c r="X568">
        <v>0</v>
      </c>
      <c r="Z568">
        <v>0</v>
      </c>
      <c r="AB568">
        <v>0</v>
      </c>
      <c r="AC568">
        <v>0</v>
      </c>
      <c r="AD568">
        <v>0</v>
      </c>
      <c r="AE568" s="7"/>
      <c r="AF568" s="7"/>
      <c r="AG568" s="7"/>
      <c r="AH568" s="7"/>
      <c r="AI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8" s="7">
        <v>12</v>
      </c>
      <c r="AK568" t="s">
        <v>116</v>
      </c>
      <c r="AN568">
        <f>IFERROR(INT(Table13[[#This Row],[reject_prod]]/Table13[[#This Row],[part_weight]] * 1000), 0)</f>
        <v>0</v>
      </c>
    </row>
    <row r="569" spans="1:40" hidden="1">
      <c r="A569" s="1">
        <v>46040</v>
      </c>
      <c r="B569">
        <v>2</v>
      </c>
      <c r="C569">
        <v>4</v>
      </c>
      <c r="F569">
        <v>123456</v>
      </c>
      <c r="G569" s="6">
        <v>0</v>
      </c>
      <c r="M569">
        <v>0</v>
      </c>
      <c r="N569" s="2">
        <v>0</v>
      </c>
      <c r="O569" s="2">
        <v>0</v>
      </c>
      <c r="P569" s="2">
        <v>0</v>
      </c>
      <c r="Q569" s="2"/>
      <c r="R569" s="2">
        <v>0</v>
      </c>
      <c r="T569" s="2">
        <v>0</v>
      </c>
      <c r="U569" s="2"/>
      <c r="X569">
        <v>0</v>
      </c>
      <c r="Z569">
        <v>0</v>
      </c>
      <c r="AB569">
        <v>0</v>
      </c>
      <c r="AC569">
        <v>0</v>
      </c>
      <c r="AD569">
        <v>0</v>
      </c>
      <c r="AE569" s="7"/>
      <c r="AF569" s="7"/>
      <c r="AG569" s="7"/>
      <c r="AH569" s="7"/>
      <c r="AI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9" s="7">
        <v>12</v>
      </c>
      <c r="AK569" t="s">
        <v>116</v>
      </c>
      <c r="AN569">
        <f>IFERROR(INT(Table13[[#This Row],[reject_prod]]/Table13[[#This Row],[part_weight]] * 1000), 0)</f>
        <v>0</v>
      </c>
    </row>
    <row r="570" spans="1:40" hidden="1">
      <c r="A570" s="1">
        <v>46040</v>
      </c>
      <c r="B570">
        <v>2</v>
      </c>
      <c r="C570">
        <v>5</v>
      </c>
      <c r="F570">
        <v>123456</v>
      </c>
      <c r="G570" s="6">
        <v>0</v>
      </c>
      <c r="M570">
        <v>0</v>
      </c>
      <c r="N570" s="2">
        <v>0</v>
      </c>
      <c r="O570" s="2">
        <v>0</v>
      </c>
      <c r="P570" s="2">
        <v>0</v>
      </c>
      <c r="Q570" s="2"/>
      <c r="R570" s="2">
        <v>0</v>
      </c>
      <c r="T570" s="2">
        <v>0</v>
      </c>
      <c r="U570" s="2"/>
      <c r="X570">
        <v>0</v>
      </c>
      <c r="Z570">
        <v>0</v>
      </c>
      <c r="AB570">
        <v>0</v>
      </c>
      <c r="AC570">
        <v>0</v>
      </c>
      <c r="AD570">
        <v>0</v>
      </c>
      <c r="AE570" s="7"/>
      <c r="AF570" s="7"/>
      <c r="AG570" s="7"/>
      <c r="AH570" s="7"/>
      <c r="AI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0" s="7">
        <v>12</v>
      </c>
      <c r="AK570" t="s">
        <v>116</v>
      </c>
      <c r="AN570">
        <f>IFERROR(INT(Table13[[#This Row],[reject_prod]]/Table13[[#This Row],[part_weight]] * 1000), 0)</f>
        <v>0</v>
      </c>
    </row>
    <row r="571" spans="1:40" hidden="1">
      <c r="A571" s="1">
        <v>46040</v>
      </c>
      <c r="B571">
        <v>2</v>
      </c>
      <c r="C571">
        <v>6</v>
      </c>
      <c r="F571">
        <v>123456</v>
      </c>
      <c r="G571" s="6">
        <v>0</v>
      </c>
      <c r="M571">
        <v>0</v>
      </c>
      <c r="N571" s="2">
        <v>0</v>
      </c>
      <c r="O571" s="2">
        <v>0</v>
      </c>
      <c r="P571" s="2">
        <v>0</v>
      </c>
      <c r="Q571" s="2"/>
      <c r="R571" s="2">
        <v>0</v>
      </c>
      <c r="T571" s="2">
        <v>0</v>
      </c>
      <c r="U571" s="2"/>
      <c r="X571">
        <v>0</v>
      </c>
      <c r="Z571">
        <v>0</v>
      </c>
      <c r="AB571">
        <v>0</v>
      </c>
      <c r="AC571">
        <v>0</v>
      </c>
      <c r="AD571">
        <v>0</v>
      </c>
      <c r="AE571" s="7"/>
      <c r="AF571" s="7"/>
      <c r="AG571" s="7"/>
      <c r="AH571" s="7"/>
      <c r="AI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1" s="7">
        <v>12</v>
      </c>
      <c r="AK571" t="s">
        <v>116</v>
      </c>
      <c r="AN571">
        <f>IFERROR(INT(Table13[[#This Row],[reject_prod]]/Table13[[#This Row],[part_weight]] * 1000), 0)</f>
        <v>0</v>
      </c>
    </row>
    <row r="572" spans="1:40" hidden="1">
      <c r="A572" s="1">
        <v>46040</v>
      </c>
      <c r="B572">
        <v>2</v>
      </c>
      <c r="C572">
        <v>7</v>
      </c>
      <c r="F572">
        <v>123456</v>
      </c>
      <c r="G572" s="6">
        <v>0</v>
      </c>
      <c r="M572">
        <v>0</v>
      </c>
      <c r="N572" s="2">
        <v>0</v>
      </c>
      <c r="O572" s="2">
        <v>0</v>
      </c>
      <c r="P572" s="2">
        <v>0</v>
      </c>
      <c r="Q572" s="2"/>
      <c r="R572" s="2">
        <v>0</v>
      </c>
      <c r="T572" s="2">
        <v>0</v>
      </c>
      <c r="U572" s="2"/>
      <c r="X572">
        <v>0</v>
      </c>
      <c r="Z572">
        <v>0</v>
      </c>
      <c r="AB572">
        <v>0</v>
      </c>
      <c r="AC572">
        <v>0</v>
      </c>
      <c r="AD572">
        <v>0</v>
      </c>
      <c r="AE572" s="7"/>
      <c r="AF572" s="7"/>
      <c r="AG572" s="7"/>
      <c r="AH572" s="7"/>
      <c r="AI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2" s="7">
        <v>12</v>
      </c>
      <c r="AK572" t="s">
        <v>116</v>
      </c>
      <c r="AN572">
        <f>IFERROR(INT(Table13[[#This Row],[reject_prod]]/Table13[[#This Row],[part_weight]] * 1000), 0)</f>
        <v>0</v>
      </c>
    </row>
    <row r="573" spans="1:40" hidden="1">
      <c r="A573" s="1">
        <v>46040</v>
      </c>
      <c r="B573">
        <v>2</v>
      </c>
      <c r="C573">
        <v>8</v>
      </c>
      <c r="F573">
        <v>123456</v>
      </c>
      <c r="G573" s="6">
        <v>0</v>
      </c>
      <c r="M573">
        <v>0</v>
      </c>
      <c r="N573" s="2">
        <v>0</v>
      </c>
      <c r="O573" s="2">
        <v>0</v>
      </c>
      <c r="P573" s="2">
        <v>0</v>
      </c>
      <c r="Q573" s="2"/>
      <c r="R573" s="2">
        <v>0</v>
      </c>
      <c r="T573" s="2">
        <v>0</v>
      </c>
      <c r="U573" s="2"/>
      <c r="X573">
        <v>0</v>
      </c>
      <c r="Z573">
        <v>0</v>
      </c>
      <c r="AB573">
        <v>0</v>
      </c>
      <c r="AC573">
        <v>0</v>
      </c>
      <c r="AD573">
        <v>0</v>
      </c>
      <c r="AE573" s="7"/>
      <c r="AF573" s="7"/>
      <c r="AG573" s="7"/>
      <c r="AH573" s="7"/>
      <c r="AI5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3" s="7">
        <v>12</v>
      </c>
      <c r="AK573" t="s">
        <v>116</v>
      </c>
      <c r="AN573">
        <f>IFERROR(INT(Table13[[#This Row],[reject_prod]]/Table13[[#This Row],[part_weight]] * 1000), 0)</f>
        <v>0</v>
      </c>
    </row>
    <row r="574" spans="1:40" hidden="1">
      <c r="A574" s="1">
        <v>46040</v>
      </c>
      <c r="B574">
        <v>2</v>
      </c>
      <c r="C574">
        <v>9</v>
      </c>
      <c r="F574">
        <v>123456</v>
      </c>
      <c r="G574" s="6">
        <v>0</v>
      </c>
      <c r="M574">
        <v>0</v>
      </c>
      <c r="N574" s="2">
        <v>0</v>
      </c>
      <c r="O574" s="2">
        <v>0</v>
      </c>
      <c r="P574" s="2">
        <v>0</v>
      </c>
      <c r="Q574" s="2"/>
      <c r="R574" s="2">
        <v>0</v>
      </c>
      <c r="T574" s="2">
        <v>0</v>
      </c>
      <c r="U574" s="2"/>
      <c r="X574">
        <v>0</v>
      </c>
      <c r="Z574">
        <v>0</v>
      </c>
      <c r="AB574">
        <v>0</v>
      </c>
      <c r="AC574">
        <v>0</v>
      </c>
      <c r="AD574">
        <v>0</v>
      </c>
      <c r="AE574" s="7"/>
      <c r="AF574" s="7"/>
      <c r="AG574" s="7"/>
      <c r="AH574" s="7"/>
      <c r="AI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4" s="7">
        <v>12</v>
      </c>
      <c r="AK574" t="s">
        <v>116</v>
      </c>
      <c r="AN574">
        <f>IFERROR(INT(Table13[[#This Row],[reject_prod]]/Table13[[#This Row],[part_weight]] * 1000), 0)</f>
        <v>0</v>
      </c>
    </row>
    <row r="575" spans="1:40" hidden="1">
      <c r="A575" s="1">
        <v>46040</v>
      </c>
      <c r="B575">
        <v>2</v>
      </c>
      <c r="C575">
        <v>10</v>
      </c>
      <c r="F575">
        <v>123456</v>
      </c>
      <c r="G575" s="6">
        <v>0</v>
      </c>
      <c r="M575">
        <v>0</v>
      </c>
      <c r="N575" s="2">
        <v>0</v>
      </c>
      <c r="O575" s="2">
        <v>0</v>
      </c>
      <c r="P575" s="2">
        <v>0</v>
      </c>
      <c r="Q575" s="2"/>
      <c r="R575" s="2">
        <v>0</v>
      </c>
      <c r="T575" s="2">
        <v>0</v>
      </c>
      <c r="U575" s="2"/>
      <c r="X575">
        <v>0</v>
      </c>
      <c r="Z575">
        <v>0</v>
      </c>
      <c r="AB575">
        <v>0</v>
      </c>
      <c r="AC575">
        <v>0</v>
      </c>
      <c r="AD575">
        <v>0</v>
      </c>
      <c r="AE575" s="7"/>
      <c r="AF575" s="7"/>
      <c r="AG575" s="7"/>
      <c r="AH575" s="7"/>
      <c r="AI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5" s="7">
        <v>12</v>
      </c>
      <c r="AK575" t="s">
        <v>116</v>
      </c>
      <c r="AN575">
        <f>IFERROR(INT(Table13[[#This Row],[reject_prod]]/Table13[[#This Row],[part_weight]] * 1000), 0)</f>
        <v>0</v>
      </c>
    </row>
    <row r="576" spans="1:40" hidden="1">
      <c r="A576" s="1">
        <v>46040</v>
      </c>
      <c r="B576">
        <v>2</v>
      </c>
      <c r="C576">
        <v>11</v>
      </c>
      <c r="F576">
        <v>123456</v>
      </c>
      <c r="G576" s="6">
        <v>0</v>
      </c>
      <c r="M576">
        <v>0</v>
      </c>
      <c r="N576" s="2">
        <v>0</v>
      </c>
      <c r="O576" s="2">
        <v>0</v>
      </c>
      <c r="P576" s="2">
        <v>0</v>
      </c>
      <c r="Q576" s="2"/>
      <c r="R576" s="2">
        <v>0</v>
      </c>
      <c r="T576" s="2">
        <v>0</v>
      </c>
      <c r="U576" s="2"/>
      <c r="X576">
        <v>0</v>
      </c>
      <c r="Z576">
        <v>0</v>
      </c>
      <c r="AB576">
        <v>0</v>
      </c>
      <c r="AC576">
        <v>0</v>
      </c>
      <c r="AD576">
        <v>0</v>
      </c>
      <c r="AE576" s="7"/>
      <c r="AF576" s="7"/>
      <c r="AG576" s="7"/>
      <c r="AH576" s="7"/>
      <c r="AI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6" s="7">
        <v>12</v>
      </c>
      <c r="AK576" t="s">
        <v>116</v>
      </c>
      <c r="AN576">
        <f>IFERROR(INT(Table13[[#This Row],[reject_prod]]/Table13[[#This Row],[part_weight]] * 1000), 0)</f>
        <v>0</v>
      </c>
    </row>
    <row r="577" spans="1:40" hidden="1">
      <c r="A577" s="1">
        <v>46040</v>
      </c>
      <c r="B577">
        <v>2</v>
      </c>
      <c r="C577">
        <v>12</v>
      </c>
      <c r="F577">
        <v>123456</v>
      </c>
      <c r="G577" s="6">
        <v>0</v>
      </c>
      <c r="M577">
        <v>0</v>
      </c>
      <c r="N577" s="2">
        <v>0</v>
      </c>
      <c r="O577" s="2">
        <v>0</v>
      </c>
      <c r="P577" s="2">
        <v>0</v>
      </c>
      <c r="Q577" s="2"/>
      <c r="R577" s="2">
        <v>0</v>
      </c>
      <c r="T577" s="2">
        <v>0</v>
      </c>
      <c r="U577" s="2"/>
      <c r="X577">
        <v>0</v>
      </c>
      <c r="Z577">
        <v>0</v>
      </c>
      <c r="AB577">
        <v>0</v>
      </c>
      <c r="AC577">
        <v>0</v>
      </c>
      <c r="AD577">
        <v>0</v>
      </c>
      <c r="AE577" s="7"/>
      <c r="AF577" s="7"/>
      <c r="AG577" s="7"/>
      <c r="AH577" s="7"/>
      <c r="AI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7" s="7">
        <v>12</v>
      </c>
      <c r="AK577" t="s">
        <v>116</v>
      </c>
      <c r="AN577">
        <f>IFERROR(INT(Table13[[#This Row],[reject_prod]]/Table13[[#This Row],[part_weight]] * 1000), 0)</f>
        <v>0</v>
      </c>
    </row>
    <row r="578" spans="1:40" hidden="1">
      <c r="A578" s="1">
        <v>46040</v>
      </c>
      <c r="B578">
        <v>2</v>
      </c>
      <c r="C578">
        <v>13</v>
      </c>
      <c r="F578">
        <v>123456</v>
      </c>
      <c r="G578" s="6">
        <v>0</v>
      </c>
      <c r="M578">
        <v>0</v>
      </c>
      <c r="N578" s="2">
        <v>0</v>
      </c>
      <c r="O578" s="2">
        <v>0</v>
      </c>
      <c r="P578" s="2">
        <v>0</v>
      </c>
      <c r="Q578" s="2"/>
      <c r="R578" s="2">
        <v>0</v>
      </c>
      <c r="T578" s="2">
        <v>0</v>
      </c>
      <c r="U578" s="2"/>
      <c r="X578">
        <v>0</v>
      </c>
      <c r="Z578">
        <v>0</v>
      </c>
      <c r="AB578">
        <v>0</v>
      </c>
      <c r="AC578">
        <v>0</v>
      </c>
      <c r="AD578">
        <v>0</v>
      </c>
      <c r="AE578" s="7"/>
      <c r="AF578" s="7"/>
      <c r="AG578" s="7"/>
      <c r="AH578" s="7"/>
      <c r="AI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8" s="7">
        <v>12</v>
      </c>
      <c r="AK578" t="s">
        <v>116</v>
      </c>
      <c r="AN578">
        <f>IFERROR(INT(Table13[[#This Row],[reject_prod]]/Table13[[#This Row],[part_weight]] * 1000), 0)</f>
        <v>0</v>
      </c>
    </row>
    <row r="579" spans="1:40" hidden="1">
      <c r="A579" s="1">
        <v>46040</v>
      </c>
      <c r="B579">
        <v>2</v>
      </c>
      <c r="C579">
        <v>14</v>
      </c>
      <c r="F579">
        <v>123456</v>
      </c>
      <c r="G579" s="6">
        <v>0</v>
      </c>
      <c r="M579">
        <v>0</v>
      </c>
      <c r="N579" s="2">
        <v>0</v>
      </c>
      <c r="O579" s="2">
        <v>0</v>
      </c>
      <c r="P579" s="2">
        <v>0</v>
      </c>
      <c r="Q579" s="2"/>
      <c r="R579" s="2">
        <v>0</v>
      </c>
      <c r="T579" s="2">
        <v>0</v>
      </c>
      <c r="U579" s="2"/>
      <c r="X579">
        <v>0</v>
      </c>
      <c r="Z579">
        <v>0</v>
      </c>
      <c r="AB579">
        <v>0</v>
      </c>
      <c r="AC579">
        <v>0</v>
      </c>
      <c r="AD579">
        <v>0</v>
      </c>
      <c r="AE579" s="7"/>
      <c r="AF579" s="7"/>
      <c r="AG579" s="7"/>
      <c r="AH579" s="7"/>
      <c r="AI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9" s="7">
        <v>12</v>
      </c>
      <c r="AK579" t="s">
        <v>116</v>
      </c>
      <c r="AN579">
        <f>IFERROR(INT(Table13[[#This Row],[reject_prod]]/Table13[[#This Row],[part_weight]] * 1000), 0)</f>
        <v>0</v>
      </c>
    </row>
    <row r="580" spans="1:40" hidden="1">
      <c r="A580" s="1">
        <v>46040</v>
      </c>
      <c r="B580">
        <v>2</v>
      </c>
      <c r="C580">
        <v>15</v>
      </c>
      <c r="F580">
        <v>123456</v>
      </c>
      <c r="G580" s="6">
        <v>0</v>
      </c>
      <c r="M580">
        <v>0</v>
      </c>
      <c r="N580" s="2">
        <v>0</v>
      </c>
      <c r="O580" s="2">
        <v>0</v>
      </c>
      <c r="P580" s="2">
        <v>0</v>
      </c>
      <c r="Q580" s="2"/>
      <c r="R580" s="2">
        <v>0</v>
      </c>
      <c r="T580" s="2">
        <v>0</v>
      </c>
      <c r="U580" s="2"/>
      <c r="X580">
        <v>0</v>
      </c>
      <c r="Z580">
        <v>0</v>
      </c>
      <c r="AB580">
        <v>0</v>
      </c>
      <c r="AC580">
        <v>0</v>
      </c>
      <c r="AD580">
        <v>0</v>
      </c>
      <c r="AE580" s="7"/>
      <c r="AF580" s="7"/>
      <c r="AG580" s="7"/>
      <c r="AH580" s="7"/>
      <c r="AI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0" s="7">
        <v>12</v>
      </c>
      <c r="AK580" t="s">
        <v>116</v>
      </c>
      <c r="AN580">
        <f>IFERROR(INT(Table13[[#This Row],[reject_prod]]/Table13[[#This Row],[part_weight]] * 1000), 0)</f>
        <v>0</v>
      </c>
    </row>
    <row r="581" spans="1:40" s="4" customFormat="1" hidden="1">
      <c r="A581" s="3">
        <v>46040</v>
      </c>
      <c r="B581" s="4">
        <v>2</v>
      </c>
      <c r="C581" s="4">
        <v>16</v>
      </c>
      <c r="F581" s="4">
        <v>123456</v>
      </c>
      <c r="G581" s="9">
        <v>0</v>
      </c>
      <c r="M581" s="4">
        <v>0</v>
      </c>
      <c r="N581" s="5">
        <v>0</v>
      </c>
      <c r="O581" s="5">
        <v>0</v>
      </c>
      <c r="P581" s="5">
        <v>0</v>
      </c>
      <c r="Q581" s="5"/>
      <c r="R581" s="5">
        <v>0</v>
      </c>
      <c r="T581" s="5">
        <v>0</v>
      </c>
      <c r="U581" s="5"/>
      <c r="X581" s="4">
        <v>0</v>
      </c>
      <c r="Z581" s="4">
        <v>0</v>
      </c>
      <c r="AB581" s="4">
        <v>0</v>
      </c>
      <c r="AC581" s="4">
        <v>0</v>
      </c>
      <c r="AD581" s="4">
        <v>0</v>
      </c>
      <c r="AE581" s="8"/>
      <c r="AF581" s="8"/>
      <c r="AG581" s="8"/>
      <c r="AH581" s="8"/>
      <c r="AI58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1" s="8">
        <v>12</v>
      </c>
      <c r="AK581" s="4" t="s">
        <v>116</v>
      </c>
      <c r="AN581">
        <f>IFERROR(INT(Table13[[#This Row],[reject_prod]]/Table13[[#This Row],[part_weight]] * 1000), 0)</f>
        <v>0</v>
      </c>
    </row>
    <row r="582" spans="1:40" hidden="1">
      <c r="A582" s="1">
        <v>46041</v>
      </c>
      <c r="B582">
        <v>1</v>
      </c>
      <c r="C582">
        <v>1</v>
      </c>
      <c r="D582" t="s">
        <v>56</v>
      </c>
      <c r="E582" t="s">
        <v>34</v>
      </c>
      <c r="F582">
        <v>577492</v>
      </c>
      <c r="G582" s="6">
        <v>0</v>
      </c>
      <c r="H582" t="s">
        <v>341</v>
      </c>
      <c r="I582">
        <v>10683850</v>
      </c>
      <c r="J582">
        <v>4</v>
      </c>
      <c r="K582">
        <v>35.6</v>
      </c>
      <c r="L582">
        <v>35.6</v>
      </c>
      <c r="M582">
        <v>1250</v>
      </c>
      <c r="N582" s="2">
        <v>40480</v>
      </c>
      <c r="O582" s="2">
        <v>920</v>
      </c>
      <c r="P582" s="2">
        <v>368</v>
      </c>
      <c r="Q582" s="2">
        <v>5000</v>
      </c>
      <c r="R582" s="2">
        <v>5520</v>
      </c>
      <c r="S582">
        <v>196.512</v>
      </c>
      <c r="T582" s="2">
        <v>29808</v>
      </c>
      <c r="U582" s="2">
        <v>10672</v>
      </c>
      <c r="V582">
        <v>178</v>
      </c>
      <c r="W582">
        <v>0</v>
      </c>
      <c r="X582">
        <v>2</v>
      </c>
      <c r="Y582">
        <v>1.1235955056179775E-2</v>
      </c>
      <c r="Z582">
        <v>0</v>
      </c>
      <c r="AA582">
        <v>0</v>
      </c>
      <c r="AB582">
        <v>27.4</v>
      </c>
      <c r="AC582">
        <v>9.5138888888888893</v>
      </c>
      <c r="AD582">
        <v>27</v>
      </c>
      <c r="AE582" s="7"/>
      <c r="AF582" s="7"/>
      <c r="AG582" s="7"/>
      <c r="AH582" s="7"/>
      <c r="AI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2.4861111111111107</v>
      </c>
      <c r="AJ582" s="7"/>
      <c r="AK582" t="s">
        <v>51</v>
      </c>
      <c r="AL582">
        <v>3</v>
      </c>
      <c r="AM582">
        <v>2</v>
      </c>
      <c r="AN582">
        <f>IFERROR(INT(Table13[[#This Row],[reject_prod]]/Table13[[#This Row],[part_weight]] * 1000), 0)</f>
        <v>0</v>
      </c>
    </row>
    <row r="583" spans="1:40" hidden="1">
      <c r="A583" s="1">
        <v>46041</v>
      </c>
      <c r="B583">
        <v>1</v>
      </c>
      <c r="C583">
        <v>2</v>
      </c>
      <c r="D583" t="s">
        <v>33</v>
      </c>
      <c r="E583" t="s">
        <v>34</v>
      </c>
      <c r="F583">
        <v>416201</v>
      </c>
      <c r="G583" s="6">
        <v>0</v>
      </c>
      <c r="H583" t="s">
        <v>36</v>
      </c>
      <c r="I583">
        <v>10681779</v>
      </c>
      <c r="J583">
        <v>4</v>
      </c>
      <c r="K583">
        <v>20</v>
      </c>
      <c r="L583">
        <v>30</v>
      </c>
      <c r="M583">
        <v>0</v>
      </c>
      <c r="N583" s="2">
        <v>50400</v>
      </c>
      <c r="O583" s="2">
        <v>0</v>
      </c>
      <c r="P583" s="2">
        <v>0</v>
      </c>
      <c r="Q583" s="2">
        <v>0</v>
      </c>
      <c r="R583" s="2">
        <v>0</v>
      </c>
      <c r="S583">
        <v>0</v>
      </c>
      <c r="T583" s="2">
        <v>0</v>
      </c>
      <c r="U583" s="2">
        <v>50400</v>
      </c>
      <c r="V583">
        <v>0</v>
      </c>
      <c r="W583">
        <v>0</v>
      </c>
      <c r="X583">
        <v>0</v>
      </c>
      <c r="Y583" t="e">
        <v>#DIV/0!</v>
      </c>
      <c r="Z583">
        <v>0</v>
      </c>
      <c r="AA583" t="e">
        <v>#DIV/0!</v>
      </c>
      <c r="AB583">
        <v>23.3</v>
      </c>
      <c r="AC583">
        <v>0</v>
      </c>
      <c r="AD583">
        <v>38.64</v>
      </c>
      <c r="AE583" s="7"/>
      <c r="AF583" s="7"/>
      <c r="AG583" s="7"/>
      <c r="AH583" s="7"/>
      <c r="AI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3" s="7"/>
      <c r="AK583" t="s">
        <v>387</v>
      </c>
      <c r="AN583">
        <f>IFERROR(INT(Table13[[#This Row],[reject_prod]]/Table13[[#This Row],[part_weight]] * 1000), 0)</f>
        <v>0</v>
      </c>
    </row>
    <row r="584" spans="1:40" hidden="1">
      <c r="A584" s="1">
        <v>46041</v>
      </c>
      <c r="B584">
        <v>1</v>
      </c>
      <c r="C584">
        <v>3</v>
      </c>
      <c r="D584" t="s">
        <v>289</v>
      </c>
      <c r="E584" t="s">
        <v>34</v>
      </c>
      <c r="F584">
        <v>442034</v>
      </c>
      <c r="G584" s="6">
        <v>0</v>
      </c>
      <c r="H584" t="s">
        <v>37</v>
      </c>
      <c r="I584">
        <v>10681184</v>
      </c>
      <c r="J584">
        <v>4</v>
      </c>
      <c r="K584">
        <v>23</v>
      </c>
      <c r="L584">
        <v>23</v>
      </c>
      <c r="M584">
        <v>70</v>
      </c>
      <c r="N584" s="2">
        <v>139776</v>
      </c>
      <c r="O584" s="2">
        <v>1408</v>
      </c>
      <c r="P584" s="2">
        <v>1650</v>
      </c>
      <c r="Q584" s="2">
        <v>280</v>
      </c>
      <c r="R584" s="2">
        <v>0</v>
      </c>
      <c r="S584">
        <v>0</v>
      </c>
      <c r="T584" s="2">
        <v>1650</v>
      </c>
      <c r="U584" s="2">
        <v>138126</v>
      </c>
      <c r="V584">
        <v>6.44</v>
      </c>
      <c r="W584">
        <v>0</v>
      </c>
      <c r="X584">
        <v>3.6</v>
      </c>
      <c r="Y584">
        <v>0.55900621118012417</v>
      </c>
      <c r="Z584">
        <v>0</v>
      </c>
      <c r="AA584">
        <v>0</v>
      </c>
      <c r="AB584">
        <v>26.7</v>
      </c>
      <c r="AC584">
        <v>0.51916666666666667</v>
      </c>
      <c r="AD584">
        <v>22</v>
      </c>
      <c r="AE584" s="7"/>
      <c r="AF584" s="7"/>
      <c r="AG584" s="7"/>
      <c r="AH584" s="7">
        <v>7</v>
      </c>
      <c r="AI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4.480833333333333</v>
      </c>
      <c r="AJ584" s="7"/>
      <c r="AK584" t="s">
        <v>394</v>
      </c>
      <c r="AL584">
        <v>3</v>
      </c>
      <c r="AM584">
        <v>2</v>
      </c>
      <c r="AN584">
        <f>IFERROR(INT(Table13[[#This Row],[reject_prod]]/Table13[[#This Row],[part_weight]] * 1000), 0)</f>
        <v>0</v>
      </c>
    </row>
    <row r="585" spans="1:40" hidden="1">
      <c r="A585" s="1">
        <v>46041</v>
      </c>
      <c r="B585">
        <v>1</v>
      </c>
      <c r="C585">
        <v>4</v>
      </c>
      <c r="D585" t="s">
        <v>33</v>
      </c>
      <c r="E585" t="s">
        <v>34</v>
      </c>
      <c r="F585">
        <v>402305</v>
      </c>
      <c r="G585" s="6">
        <v>0</v>
      </c>
      <c r="H585" t="s">
        <v>395</v>
      </c>
      <c r="I585">
        <v>10684852</v>
      </c>
      <c r="J585">
        <v>4</v>
      </c>
      <c r="K585">
        <v>29</v>
      </c>
      <c r="L585">
        <v>29</v>
      </c>
      <c r="M585">
        <v>0</v>
      </c>
      <c r="N585" s="2">
        <v>64896</v>
      </c>
      <c r="O585" s="2">
        <v>0</v>
      </c>
      <c r="P585" s="2">
        <v>0</v>
      </c>
      <c r="Q585" s="2">
        <v>0</v>
      </c>
      <c r="R585" s="2">
        <v>0</v>
      </c>
      <c r="S585">
        <v>0</v>
      </c>
      <c r="T585" s="2">
        <v>0</v>
      </c>
      <c r="U585" s="2">
        <v>64896</v>
      </c>
      <c r="V585">
        <v>0</v>
      </c>
      <c r="W585">
        <v>0</v>
      </c>
      <c r="X585">
        <v>0</v>
      </c>
      <c r="Y585" t="e">
        <v>#DIV/0!</v>
      </c>
      <c r="Z585">
        <v>0</v>
      </c>
      <c r="AA585" t="e">
        <v>#DIV/0!</v>
      </c>
      <c r="AB585">
        <v>0</v>
      </c>
      <c r="AC585">
        <v>0</v>
      </c>
      <c r="AD585">
        <v>22</v>
      </c>
      <c r="AE585" s="7"/>
      <c r="AF585" s="7"/>
      <c r="AG585" s="7"/>
      <c r="AH585" s="7"/>
      <c r="AI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5" s="7"/>
      <c r="AK585" t="s">
        <v>396</v>
      </c>
      <c r="AN585">
        <f>IFERROR(INT(Table13[[#This Row],[reject_prod]]/Table13[[#This Row],[part_weight]] * 1000), 0)</f>
        <v>0</v>
      </c>
    </row>
    <row r="586" spans="1:40" hidden="1">
      <c r="A586" s="1">
        <v>46041</v>
      </c>
      <c r="B586">
        <v>1</v>
      </c>
      <c r="C586">
        <v>5</v>
      </c>
      <c r="D586" t="s">
        <v>53</v>
      </c>
      <c r="E586" t="s">
        <v>34</v>
      </c>
      <c r="F586">
        <v>597507</v>
      </c>
      <c r="G586" s="6">
        <v>0</v>
      </c>
      <c r="H586" t="s">
        <v>279</v>
      </c>
      <c r="I586">
        <v>10682757</v>
      </c>
      <c r="J586">
        <v>4</v>
      </c>
      <c r="K586">
        <v>23</v>
      </c>
      <c r="L586">
        <v>23</v>
      </c>
      <c r="M586">
        <v>500</v>
      </c>
      <c r="N586" s="2">
        <v>64680</v>
      </c>
      <c r="O586" s="2">
        <v>308</v>
      </c>
      <c r="P586" s="2">
        <v>0</v>
      </c>
      <c r="Q586" s="2">
        <v>2000</v>
      </c>
      <c r="R586" s="2">
        <v>2156</v>
      </c>
      <c r="S586">
        <v>49.588000000000001</v>
      </c>
      <c r="T586" s="2">
        <v>64680</v>
      </c>
      <c r="U586" s="2">
        <v>0</v>
      </c>
      <c r="V586">
        <v>46</v>
      </c>
      <c r="W586">
        <v>0</v>
      </c>
      <c r="X586">
        <v>4.2</v>
      </c>
      <c r="Y586">
        <v>9.1304347826086957E-2</v>
      </c>
      <c r="Z586">
        <v>0</v>
      </c>
      <c r="AA586">
        <v>0</v>
      </c>
      <c r="AB586">
        <v>22.1</v>
      </c>
      <c r="AC586">
        <v>3.0694444444444446</v>
      </c>
      <c r="AD586">
        <v>22</v>
      </c>
      <c r="AE586" s="7"/>
      <c r="AF586" s="7"/>
      <c r="AG586" s="7"/>
      <c r="AH586" s="7"/>
      <c r="AI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8.9305555555555554</v>
      </c>
      <c r="AJ586" s="7"/>
      <c r="AK586" t="s">
        <v>397</v>
      </c>
      <c r="AL586">
        <v>3</v>
      </c>
      <c r="AM586">
        <v>3</v>
      </c>
      <c r="AN586">
        <f>IFERROR(INT(Table13[[#This Row],[reject_prod]]/Table13[[#This Row],[part_weight]] * 1000), 0)</f>
        <v>0</v>
      </c>
    </row>
    <row r="587" spans="1:40" hidden="1">
      <c r="A587" s="1">
        <v>46041</v>
      </c>
      <c r="B587">
        <v>1</v>
      </c>
      <c r="C587">
        <v>5</v>
      </c>
      <c r="D587" t="s">
        <v>53</v>
      </c>
      <c r="E587" t="s">
        <v>34</v>
      </c>
      <c r="F587">
        <v>322383</v>
      </c>
      <c r="G587" s="6">
        <v>0</v>
      </c>
      <c r="H587" t="s">
        <v>71</v>
      </c>
      <c r="I587">
        <v>10682756</v>
      </c>
      <c r="J587">
        <v>4</v>
      </c>
      <c r="K587">
        <v>12.5</v>
      </c>
      <c r="L587">
        <v>12.5</v>
      </c>
      <c r="M587">
        <v>0</v>
      </c>
      <c r="N587" s="2">
        <v>66000</v>
      </c>
      <c r="O587" s="2">
        <v>0</v>
      </c>
      <c r="P587" s="2">
        <v>0</v>
      </c>
      <c r="Q587" s="2">
        <v>0</v>
      </c>
      <c r="R587" s="2">
        <v>0</v>
      </c>
      <c r="S587">
        <v>0</v>
      </c>
      <c r="T587" s="2">
        <v>0</v>
      </c>
      <c r="U587" s="2">
        <v>66000</v>
      </c>
      <c r="V587">
        <v>0</v>
      </c>
      <c r="W587">
        <v>0</v>
      </c>
      <c r="X587">
        <v>0</v>
      </c>
      <c r="Y587" t="e">
        <v>#DIV/0!</v>
      </c>
      <c r="Z587">
        <v>0</v>
      </c>
      <c r="AA587" t="e">
        <v>#DIV/0!</v>
      </c>
      <c r="AB587">
        <v>22.1</v>
      </c>
      <c r="AC587">
        <v>0</v>
      </c>
      <c r="AD587">
        <v>17.920000000000002</v>
      </c>
      <c r="AE587" s="7"/>
      <c r="AF587" s="7"/>
      <c r="AG587" s="7"/>
      <c r="AH587" s="7"/>
      <c r="AI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7" s="7"/>
      <c r="AK587" t="s">
        <v>398</v>
      </c>
      <c r="AL587">
        <v>3</v>
      </c>
      <c r="AM587">
        <v>2</v>
      </c>
      <c r="AN587">
        <f>IFERROR(INT(Table13[[#This Row],[reject_prod]]/Table13[[#This Row],[part_weight]] * 1000), 0)</f>
        <v>0</v>
      </c>
    </row>
    <row r="588" spans="1:40" hidden="1">
      <c r="A588" s="1">
        <v>46041</v>
      </c>
      <c r="B588">
        <v>1</v>
      </c>
      <c r="C588">
        <v>6</v>
      </c>
      <c r="D588" t="s">
        <v>391</v>
      </c>
      <c r="E588" t="s">
        <v>34</v>
      </c>
      <c r="F588">
        <v>322429</v>
      </c>
      <c r="G588" s="6">
        <v>0</v>
      </c>
      <c r="H588" t="s">
        <v>354</v>
      </c>
      <c r="I588">
        <v>10683853</v>
      </c>
      <c r="J588">
        <v>4</v>
      </c>
      <c r="K588">
        <v>24.93</v>
      </c>
      <c r="L588">
        <v>24</v>
      </c>
      <c r="M588">
        <v>1335</v>
      </c>
      <c r="N588" s="2">
        <v>40600</v>
      </c>
      <c r="O588" s="2">
        <v>203</v>
      </c>
      <c r="P588" s="2">
        <v>0</v>
      </c>
      <c r="Q588" s="2">
        <v>5340</v>
      </c>
      <c r="R588" s="2">
        <v>5075</v>
      </c>
      <c r="S588">
        <v>121.8</v>
      </c>
      <c r="T588" s="2">
        <v>40600</v>
      </c>
      <c r="U588" s="2">
        <v>0</v>
      </c>
      <c r="V588">
        <v>128.16</v>
      </c>
      <c r="W588">
        <v>0</v>
      </c>
      <c r="X588">
        <v>3.6</v>
      </c>
      <c r="Y588">
        <v>2.8089887640449441E-2</v>
      </c>
      <c r="Z588">
        <v>0</v>
      </c>
      <c r="AA588">
        <v>0</v>
      </c>
      <c r="AB588">
        <v>21.5</v>
      </c>
      <c r="AC588">
        <v>7.9729166666666673</v>
      </c>
      <c r="AD588">
        <v>16.96</v>
      </c>
      <c r="AE588" s="7"/>
      <c r="AF588" s="7"/>
      <c r="AG588" s="7"/>
      <c r="AH588" s="7"/>
      <c r="AI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4.0270833333333327</v>
      </c>
      <c r="AJ588" s="7"/>
      <c r="AK588" t="s">
        <v>399</v>
      </c>
      <c r="AL588">
        <v>3</v>
      </c>
      <c r="AM588">
        <v>2</v>
      </c>
      <c r="AN588">
        <f>IFERROR(INT(Table13[[#This Row],[reject_prod]]/Table13[[#This Row],[part_weight]] * 1000), 0)</f>
        <v>0</v>
      </c>
    </row>
    <row r="589" spans="1:40" hidden="1">
      <c r="A589" s="1">
        <v>46041</v>
      </c>
      <c r="B589">
        <v>1</v>
      </c>
      <c r="C589">
        <v>6</v>
      </c>
      <c r="D589" t="s">
        <v>391</v>
      </c>
      <c r="E589" t="s">
        <v>34</v>
      </c>
      <c r="F589">
        <v>322409</v>
      </c>
      <c r="G589" s="6">
        <v>0</v>
      </c>
      <c r="H589" t="s">
        <v>400</v>
      </c>
      <c r="I589">
        <v>10683854</v>
      </c>
      <c r="J589">
        <v>4</v>
      </c>
      <c r="K589">
        <v>24</v>
      </c>
      <c r="L589">
        <v>24</v>
      </c>
      <c r="M589">
        <v>0</v>
      </c>
      <c r="N589" s="2">
        <v>70200</v>
      </c>
      <c r="O589" s="2">
        <v>0</v>
      </c>
      <c r="P589" s="2">
        <v>0</v>
      </c>
      <c r="Q589" s="2">
        <v>0</v>
      </c>
      <c r="R589" s="2">
        <v>0</v>
      </c>
      <c r="S589">
        <v>0</v>
      </c>
      <c r="T589" s="2">
        <v>0</v>
      </c>
      <c r="U589" s="2">
        <v>70200</v>
      </c>
      <c r="V589">
        <v>0</v>
      </c>
      <c r="W589">
        <v>0</v>
      </c>
      <c r="X589">
        <v>0</v>
      </c>
      <c r="Y589" t="e">
        <v>#DIV/0!</v>
      </c>
      <c r="Z589">
        <v>0</v>
      </c>
      <c r="AA589" t="e">
        <v>#DIV/0!</v>
      </c>
      <c r="AB589">
        <v>21.5</v>
      </c>
      <c r="AC589">
        <v>0</v>
      </c>
      <c r="AD589">
        <v>20</v>
      </c>
      <c r="AE589" s="7"/>
      <c r="AF589" s="7"/>
      <c r="AG589" s="7">
        <v>1.5</v>
      </c>
      <c r="AH589" s="7"/>
      <c r="AI5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589" s="7"/>
      <c r="AK589" t="s">
        <v>401</v>
      </c>
      <c r="AN589">
        <f>IFERROR(INT(Table13[[#This Row],[reject_prod]]/Table13[[#This Row],[part_weight]] * 1000), 0)</f>
        <v>0</v>
      </c>
    </row>
    <row r="590" spans="1:40" hidden="1">
      <c r="A590" s="1">
        <v>46041</v>
      </c>
      <c r="B590">
        <v>1</v>
      </c>
      <c r="C590">
        <v>7</v>
      </c>
      <c r="D590" t="s">
        <v>33</v>
      </c>
      <c r="E590" t="s">
        <v>34</v>
      </c>
      <c r="F590">
        <v>322452</v>
      </c>
      <c r="G590" s="6">
        <v>0</v>
      </c>
      <c r="H590" t="s">
        <v>374</v>
      </c>
      <c r="I590">
        <v>10683857</v>
      </c>
      <c r="J590">
        <v>4</v>
      </c>
      <c r="K590">
        <v>33.11</v>
      </c>
      <c r="L590">
        <v>34.5</v>
      </c>
      <c r="M590">
        <v>1200</v>
      </c>
      <c r="N590" s="2">
        <v>44928</v>
      </c>
      <c r="O590" s="2">
        <v>624</v>
      </c>
      <c r="P590" s="2">
        <v>416</v>
      </c>
      <c r="Q590" s="2">
        <v>4800</v>
      </c>
      <c r="R590" s="2">
        <v>4992</v>
      </c>
      <c r="S590">
        <v>172.22399999999999</v>
      </c>
      <c r="T590" s="2">
        <v>5452</v>
      </c>
      <c r="U590" s="2">
        <v>39476</v>
      </c>
      <c r="V590">
        <v>165.6</v>
      </c>
      <c r="W590">
        <v>0</v>
      </c>
      <c r="X590">
        <v>3.2</v>
      </c>
      <c r="Y590">
        <v>1.9323671497584544E-2</v>
      </c>
      <c r="Z590">
        <v>0</v>
      </c>
      <c r="AA590">
        <v>0</v>
      </c>
      <c r="AB590">
        <v>23.57</v>
      </c>
      <c r="AC590">
        <v>7.8566666666666674</v>
      </c>
      <c r="AD590">
        <v>18.04</v>
      </c>
      <c r="AE590" s="7"/>
      <c r="AF590" s="7"/>
      <c r="AG590" s="7"/>
      <c r="AH590" s="7"/>
      <c r="AI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4.1433333333333326</v>
      </c>
      <c r="AJ590" s="7"/>
      <c r="AK590" t="s">
        <v>402</v>
      </c>
      <c r="AL590">
        <v>3</v>
      </c>
      <c r="AM590">
        <v>3</v>
      </c>
      <c r="AN590">
        <f>IFERROR(INT(Table13[[#This Row],[reject_prod]]/Table13[[#This Row],[part_weight]] * 1000), 0)</f>
        <v>0</v>
      </c>
    </row>
    <row r="591" spans="1:40" hidden="1">
      <c r="A591" s="1">
        <v>46041</v>
      </c>
      <c r="B591">
        <v>1</v>
      </c>
      <c r="C591">
        <v>8</v>
      </c>
      <c r="D591" t="s">
        <v>60</v>
      </c>
      <c r="E591" t="s">
        <v>41</v>
      </c>
      <c r="F591">
        <v>593537</v>
      </c>
      <c r="G591" s="6">
        <v>0</v>
      </c>
      <c r="H591" t="s">
        <v>48</v>
      </c>
      <c r="I591">
        <v>10682926</v>
      </c>
      <c r="J591">
        <v>4</v>
      </c>
      <c r="K591">
        <v>56.5</v>
      </c>
      <c r="L591">
        <v>56.8</v>
      </c>
      <c r="M591">
        <v>1125</v>
      </c>
      <c r="N591" s="2">
        <v>69000</v>
      </c>
      <c r="O591" s="2">
        <v>0</v>
      </c>
      <c r="P591" s="2">
        <v>460</v>
      </c>
      <c r="Q591" s="2">
        <v>4500</v>
      </c>
      <c r="R591" s="2">
        <v>4025</v>
      </c>
      <c r="S591">
        <v>228.62</v>
      </c>
      <c r="T591" s="2">
        <v>63825</v>
      </c>
      <c r="U591" s="2">
        <v>5175</v>
      </c>
      <c r="V591">
        <v>255.6</v>
      </c>
      <c r="W591">
        <v>0</v>
      </c>
      <c r="X591">
        <v>2.2999999999999998</v>
      </c>
      <c r="Y591">
        <v>8.9984350547730827E-3</v>
      </c>
      <c r="Z591">
        <v>0</v>
      </c>
      <c r="AA591">
        <v>0</v>
      </c>
      <c r="AB591">
        <v>30.4</v>
      </c>
      <c r="AC591">
        <v>9.5</v>
      </c>
      <c r="AD591">
        <v>28.5</v>
      </c>
      <c r="AE591" s="7"/>
      <c r="AF591" s="7"/>
      <c r="AG591" s="7"/>
      <c r="AH591" s="7"/>
      <c r="AI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</v>
      </c>
      <c r="AJ591" s="7"/>
      <c r="AK591" t="s">
        <v>51</v>
      </c>
      <c r="AL591">
        <v>4</v>
      </c>
      <c r="AM591">
        <v>4</v>
      </c>
      <c r="AN591">
        <f>IFERROR(INT(Table13[[#This Row],[reject_prod]]/Table13[[#This Row],[part_weight]] * 1000), 0)</f>
        <v>0</v>
      </c>
    </row>
    <row r="592" spans="1:40" hidden="1">
      <c r="A592" s="1">
        <v>46041</v>
      </c>
      <c r="B592">
        <v>1</v>
      </c>
      <c r="C592">
        <v>9</v>
      </c>
      <c r="D592" t="s">
        <v>33</v>
      </c>
      <c r="E592" t="s">
        <v>46</v>
      </c>
      <c r="F592">
        <v>586276</v>
      </c>
      <c r="G592" s="6">
        <v>0</v>
      </c>
      <c r="H592" t="s">
        <v>47</v>
      </c>
      <c r="I592">
        <v>10682924</v>
      </c>
      <c r="J592">
        <v>6</v>
      </c>
      <c r="K592">
        <v>12.3</v>
      </c>
      <c r="L592">
        <v>12.3</v>
      </c>
      <c r="M592">
        <v>0</v>
      </c>
      <c r="N592" s="2">
        <v>162000</v>
      </c>
      <c r="O592" s="2">
        <v>7290</v>
      </c>
      <c r="P592" s="2">
        <v>7290</v>
      </c>
      <c r="Q592" s="2">
        <v>0</v>
      </c>
      <c r="R592" s="2">
        <v>0</v>
      </c>
      <c r="S592">
        <v>0</v>
      </c>
      <c r="T592" s="2">
        <v>80190</v>
      </c>
      <c r="U592" s="2">
        <v>81810</v>
      </c>
      <c r="V592">
        <v>0</v>
      </c>
      <c r="W592">
        <v>0</v>
      </c>
      <c r="X592">
        <v>0</v>
      </c>
      <c r="Y592" t="e">
        <v>#DIV/0!</v>
      </c>
      <c r="Z592">
        <v>0</v>
      </c>
      <c r="AA592" t="e">
        <v>#DIV/0!</v>
      </c>
      <c r="AB592">
        <v>26.2</v>
      </c>
      <c r="AC592">
        <v>0</v>
      </c>
      <c r="AD592">
        <v>26</v>
      </c>
      <c r="AE592" s="7"/>
      <c r="AF592" s="7"/>
      <c r="AG592" s="7"/>
      <c r="AH592" s="7"/>
      <c r="AI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92" s="7"/>
      <c r="AK592" t="s">
        <v>357</v>
      </c>
      <c r="AN592">
        <f>IFERROR(INT(Table13[[#This Row],[reject_prod]]/Table13[[#This Row],[part_weight]] * 1000), 0)</f>
        <v>0</v>
      </c>
    </row>
    <row r="593" spans="1:40" hidden="1">
      <c r="A593" s="1">
        <v>46041</v>
      </c>
      <c r="B593">
        <v>1</v>
      </c>
      <c r="C593">
        <v>10</v>
      </c>
      <c r="D593" t="s">
        <v>84</v>
      </c>
      <c r="E593" t="s">
        <v>34</v>
      </c>
      <c r="F593">
        <v>323092</v>
      </c>
      <c r="G593" s="6">
        <v>0</v>
      </c>
      <c r="H593" t="s">
        <v>377</v>
      </c>
      <c r="I593">
        <v>10684857</v>
      </c>
      <c r="J593">
        <v>4</v>
      </c>
      <c r="K593">
        <v>48.9</v>
      </c>
      <c r="L593">
        <v>48.9</v>
      </c>
      <c r="M593">
        <v>1210</v>
      </c>
      <c r="N593" s="2">
        <v>37800</v>
      </c>
      <c r="O593" s="2">
        <v>0</v>
      </c>
      <c r="P593" s="2">
        <v>105</v>
      </c>
      <c r="Q593" s="2">
        <v>4840</v>
      </c>
      <c r="R593" s="2">
        <v>4725</v>
      </c>
      <c r="S593">
        <v>231.05250000000001</v>
      </c>
      <c r="T593" s="2">
        <v>12180</v>
      </c>
      <c r="U593" s="2">
        <v>25620</v>
      </c>
      <c r="V593">
        <v>236.67599999999999</v>
      </c>
      <c r="W593">
        <v>0</v>
      </c>
      <c r="X593">
        <v>2.8</v>
      </c>
      <c r="Y593">
        <v>1.1830519359799896E-2</v>
      </c>
      <c r="Z593">
        <v>2</v>
      </c>
      <c r="AA593">
        <v>8.4503709712856392E-3</v>
      </c>
      <c r="AB593">
        <v>27.4</v>
      </c>
      <c r="AC593">
        <v>9.2094444444444452</v>
      </c>
      <c r="AD593">
        <v>27.6</v>
      </c>
      <c r="AE593" s="7"/>
      <c r="AF593" s="7"/>
      <c r="AG593" s="7"/>
      <c r="AH593" s="7"/>
      <c r="AI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2.7905555555555548</v>
      </c>
      <c r="AJ593" s="7"/>
      <c r="AK593" t="s">
        <v>403</v>
      </c>
      <c r="AL593">
        <v>4</v>
      </c>
      <c r="AM593">
        <v>2</v>
      </c>
      <c r="AN593">
        <f>IFERROR(INT(Table13[[#This Row],[reject_prod]]/Table13[[#This Row],[part_weight]] * 1000), 0)</f>
        <v>40</v>
      </c>
    </row>
    <row r="594" spans="1:40" hidden="1">
      <c r="A594" s="1">
        <v>46041</v>
      </c>
      <c r="B594">
        <v>1</v>
      </c>
      <c r="C594">
        <v>11</v>
      </c>
      <c r="D594" t="s">
        <v>59</v>
      </c>
      <c r="E594" t="s">
        <v>46</v>
      </c>
      <c r="F594">
        <v>552181</v>
      </c>
      <c r="G594" s="6">
        <v>1</v>
      </c>
      <c r="H594" t="s">
        <v>49</v>
      </c>
      <c r="I594">
        <v>10683782</v>
      </c>
      <c r="J594">
        <v>6</v>
      </c>
      <c r="K594">
        <v>18.8</v>
      </c>
      <c r="L594">
        <v>18.8</v>
      </c>
      <c r="M594">
        <v>1030</v>
      </c>
      <c r="N594" s="2">
        <v>108000</v>
      </c>
      <c r="O594" s="2">
        <v>1890</v>
      </c>
      <c r="P594" s="2">
        <v>7830</v>
      </c>
      <c r="Q594" s="2">
        <v>6180</v>
      </c>
      <c r="R594" s="2">
        <v>0</v>
      </c>
      <c r="S594">
        <v>0</v>
      </c>
      <c r="T594" s="2">
        <v>94230</v>
      </c>
      <c r="U594" s="2">
        <v>13770</v>
      </c>
      <c r="V594">
        <v>116.184</v>
      </c>
      <c r="W594">
        <v>0</v>
      </c>
      <c r="X594">
        <v>2.6</v>
      </c>
      <c r="Y594">
        <v>2.237829649521449E-2</v>
      </c>
      <c r="Z594">
        <v>2</v>
      </c>
      <c r="AA594">
        <v>1.7214074227088066E-2</v>
      </c>
      <c r="AB594">
        <v>30.5</v>
      </c>
      <c r="AC594">
        <v>8.7263888888888896</v>
      </c>
      <c r="AD594">
        <v>27</v>
      </c>
      <c r="AE594" s="7"/>
      <c r="AF594" s="7"/>
      <c r="AG594" s="7"/>
      <c r="AH594" s="7"/>
      <c r="AI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3.2736111111111104</v>
      </c>
      <c r="AJ594" s="7"/>
      <c r="AK594" t="s">
        <v>404</v>
      </c>
      <c r="AL594">
        <v>1</v>
      </c>
      <c r="AM594">
        <v>1</v>
      </c>
      <c r="AN594">
        <f>IFERROR(INT(Table13[[#This Row],[reject_prod]]/Table13[[#This Row],[part_weight]] * 1000), 0)</f>
        <v>106</v>
      </c>
    </row>
    <row r="595" spans="1:40" hidden="1">
      <c r="A595" s="1">
        <v>46041</v>
      </c>
      <c r="B595">
        <v>1</v>
      </c>
      <c r="C595">
        <v>12</v>
      </c>
      <c r="D595" t="s">
        <v>54</v>
      </c>
      <c r="E595" t="s">
        <v>34</v>
      </c>
      <c r="F595">
        <v>620599</v>
      </c>
      <c r="G595" s="6">
        <v>0</v>
      </c>
      <c r="H595" t="s">
        <v>50</v>
      </c>
      <c r="I595">
        <v>10682929</v>
      </c>
      <c r="J595">
        <v>4</v>
      </c>
      <c r="K595">
        <v>55</v>
      </c>
      <c r="L595">
        <v>55</v>
      </c>
      <c r="M595">
        <v>1185</v>
      </c>
      <c r="N595" s="2">
        <v>72000</v>
      </c>
      <c r="O595" s="2">
        <v>1575</v>
      </c>
      <c r="P595" s="2">
        <v>900</v>
      </c>
      <c r="Q595" s="2">
        <v>4740</v>
      </c>
      <c r="R595" s="2">
        <v>5400</v>
      </c>
      <c r="S595">
        <v>297</v>
      </c>
      <c r="T595" s="2">
        <v>63900</v>
      </c>
      <c r="U595" s="2">
        <v>8100</v>
      </c>
      <c r="V595">
        <v>260.7</v>
      </c>
      <c r="W595">
        <v>0</v>
      </c>
      <c r="X595">
        <v>5.6</v>
      </c>
      <c r="Y595">
        <v>2.1480629075565784E-2</v>
      </c>
      <c r="Z595">
        <v>0</v>
      </c>
      <c r="AA595">
        <v>0</v>
      </c>
      <c r="AB595">
        <v>29.3</v>
      </c>
      <c r="AC595">
        <v>9.6445833333333351</v>
      </c>
      <c r="AD595">
        <v>28</v>
      </c>
      <c r="AE595" s="7"/>
      <c r="AF595" s="7"/>
      <c r="AG595" s="7"/>
      <c r="AH595" s="7"/>
      <c r="AI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2.3554166666666649</v>
      </c>
      <c r="AJ595" s="7"/>
      <c r="AK595" t="s">
        <v>405</v>
      </c>
      <c r="AL595">
        <v>2</v>
      </c>
      <c r="AM595">
        <v>3</v>
      </c>
      <c r="AN595">
        <f>IFERROR(INT(Table13[[#This Row],[reject_prod]]/Table13[[#This Row],[part_weight]] * 1000), 0)</f>
        <v>0</v>
      </c>
    </row>
    <row r="596" spans="1:40" hidden="1">
      <c r="A596" s="1">
        <v>46041</v>
      </c>
      <c r="B596">
        <v>1</v>
      </c>
      <c r="C596">
        <v>13</v>
      </c>
      <c r="D596" t="s">
        <v>59</v>
      </c>
      <c r="E596" t="s">
        <v>46</v>
      </c>
      <c r="F596">
        <v>586276</v>
      </c>
      <c r="G596" s="6">
        <v>0</v>
      </c>
      <c r="H596" t="s">
        <v>47</v>
      </c>
      <c r="I596">
        <v>10683784</v>
      </c>
      <c r="J596">
        <v>6</v>
      </c>
      <c r="K596">
        <v>12.3</v>
      </c>
      <c r="L596">
        <v>12.3</v>
      </c>
      <c r="M596">
        <v>1230</v>
      </c>
      <c r="N596" s="2">
        <v>162000</v>
      </c>
      <c r="O596" s="2">
        <v>2430</v>
      </c>
      <c r="P596" s="2">
        <v>1620</v>
      </c>
      <c r="Q596" s="2">
        <v>7380</v>
      </c>
      <c r="R596" s="2">
        <v>8100</v>
      </c>
      <c r="S596">
        <v>99.63</v>
      </c>
      <c r="T596" s="2">
        <v>98820</v>
      </c>
      <c r="U596" s="2">
        <v>63180</v>
      </c>
      <c r="V596">
        <v>90.774000000000001</v>
      </c>
      <c r="W596">
        <v>0</v>
      </c>
      <c r="X596">
        <v>2.8</v>
      </c>
      <c r="Y596">
        <v>3.0845836913653685E-2</v>
      </c>
      <c r="Z596">
        <v>0</v>
      </c>
      <c r="AA596">
        <v>0</v>
      </c>
      <c r="AB596">
        <v>26.2</v>
      </c>
      <c r="AC596">
        <v>8.9516666666666662</v>
      </c>
      <c r="AD596">
        <v>26</v>
      </c>
      <c r="AE596" s="7"/>
      <c r="AF596" s="7"/>
      <c r="AG596" s="7"/>
      <c r="AH596" s="7"/>
      <c r="AI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3.0483333333333338</v>
      </c>
      <c r="AJ596" s="7"/>
      <c r="AK596" t="s">
        <v>51</v>
      </c>
      <c r="AL596">
        <v>1</v>
      </c>
      <c r="AM596">
        <v>1</v>
      </c>
      <c r="AN596">
        <f>IFERROR(INT(Table13[[#This Row],[reject_prod]]/Table13[[#This Row],[part_weight]] * 1000), 0)</f>
        <v>0</v>
      </c>
    </row>
    <row r="597" spans="1:40" hidden="1">
      <c r="A597" s="1">
        <v>46041</v>
      </c>
      <c r="B597">
        <v>1</v>
      </c>
      <c r="C597">
        <v>14</v>
      </c>
      <c r="D597" t="s">
        <v>392</v>
      </c>
      <c r="E597" t="s">
        <v>46</v>
      </c>
      <c r="F597">
        <v>555979</v>
      </c>
      <c r="G597" s="6">
        <v>1</v>
      </c>
      <c r="H597" t="s">
        <v>52</v>
      </c>
      <c r="I597">
        <v>10683785</v>
      </c>
      <c r="J597">
        <v>6</v>
      </c>
      <c r="K597">
        <v>28</v>
      </c>
      <c r="L597">
        <v>28</v>
      </c>
      <c r="M597">
        <v>740</v>
      </c>
      <c r="N597" s="2">
        <v>100800</v>
      </c>
      <c r="O597" s="2">
        <v>2688</v>
      </c>
      <c r="P597" s="2">
        <v>336</v>
      </c>
      <c r="Q597" s="2">
        <v>4440</v>
      </c>
      <c r="R597" s="2">
        <v>6720</v>
      </c>
      <c r="S597">
        <v>188.16</v>
      </c>
      <c r="T597" s="2">
        <v>10416</v>
      </c>
      <c r="U597" s="2">
        <v>90384</v>
      </c>
      <c r="V597">
        <v>124.32</v>
      </c>
      <c r="W597">
        <v>0</v>
      </c>
      <c r="X597">
        <v>2</v>
      </c>
      <c r="Y597">
        <v>1.6087516087516088E-2</v>
      </c>
      <c r="Z597">
        <v>0</v>
      </c>
      <c r="AA597">
        <v>0</v>
      </c>
      <c r="AB597">
        <v>43</v>
      </c>
      <c r="AC597">
        <v>8.8388888888888886</v>
      </c>
      <c r="AD597">
        <v>42</v>
      </c>
      <c r="AE597" s="7"/>
      <c r="AF597" s="7"/>
      <c r="AG597" s="7"/>
      <c r="AH597" s="7"/>
      <c r="AI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3.1611111111111114</v>
      </c>
      <c r="AJ597" s="7"/>
      <c r="AK597" t="s">
        <v>51</v>
      </c>
      <c r="AL597">
        <v>1</v>
      </c>
      <c r="AM597">
        <v>1</v>
      </c>
      <c r="AN597">
        <f>IFERROR(INT(Table13[[#This Row],[reject_prod]]/Table13[[#This Row],[part_weight]] * 1000), 0)</f>
        <v>0</v>
      </c>
    </row>
    <row r="598" spans="1:40" hidden="1">
      <c r="A598" s="1">
        <v>46041</v>
      </c>
      <c r="B598">
        <v>1</v>
      </c>
      <c r="C598">
        <v>15</v>
      </c>
      <c r="D598" t="s">
        <v>59</v>
      </c>
      <c r="E598" t="s">
        <v>46</v>
      </c>
      <c r="F598">
        <v>552181</v>
      </c>
      <c r="G598" s="6">
        <v>2</v>
      </c>
      <c r="H598" t="s">
        <v>49</v>
      </c>
      <c r="I598">
        <v>10683786</v>
      </c>
      <c r="J598">
        <v>6</v>
      </c>
      <c r="K598">
        <v>18.8</v>
      </c>
      <c r="L598">
        <v>18.8</v>
      </c>
      <c r="M598">
        <v>1190</v>
      </c>
      <c r="N598" s="2">
        <v>108000</v>
      </c>
      <c r="O598" s="2">
        <v>2970</v>
      </c>
      <c r="P598" s="2">
        <v>0</v>
      </c>
      <c r="Q598" s="2">
        <v>7140</v>
      </c>
      <c r="R598" s="2">
        <v>10800</v>
      </c>
      <c r="S598">
        <v>203.04</v>
      </c>
      <c r="T598" s="2">
        <v>65070</v>
      </c>
      <c r="U598" s="2">
        <v>42930</v>
      </c>
      <c r="V598">
        <v>134.232</v>
      </c>
      <c r="W598">
        <v>0</v>
      </c>
      <c r="X598">
        <v>1.2</v>
      </c>
      <c r="Y598">
        <v>8.939746111210442E-3</v>
      </c>
      <c r="Z598">
        <v>0</v>
      </c>
      <c r="AA598">
        <v>0</v>
      </c>
      <c r="AB598">
        <v>31.2</v>
      </c>
      <c r="AC598">
        <v>10.313333333333333</v>
      </c>
      <c r="AD598">
        <v>27</v>
      </c>
      <c r="AE598" s="7"/>
      <c r="AF598" s="7"/>
      <c r="AG598" s="7"/>
      <c r="AH598" s="7"/>
      <c r="AI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1.6866666666666674</v>
      </c>
      <c r="AJ598" s="7"/>
      <c r="AK598" t="s">
        <v>51</v>
      </c>
      <c r="AL598">
        <v>1</v>
      </c>
      <c r="AM598">
        <v>1</v>
      </c>
      <c r="AN598">
        <f>IFERROR(INT(Table13[[#This Row],[reject_prod]]/Table13[[#This Row],[part_weight]] * 1000), 0)</f>
        <v>0</v>
      </c>
    </row>
    <row r="599" spans="1:40" s="4" customFormat="1" hidden="1">
      <c r="A599" s="3">
        <v>46041</v>
      </c>
      <c r="B599" s="4">
        <v>1</v>
      </c>
      <c r="C599" s="4">
        <v>16</v>
      </c>
      <c r="D599" s="4" t="s">
        <v>117</v>
      </c>
      <c r="E599" s="4" t="s">
        <v>46</v>
      </c>
      <c r="F599" s="4">
        <v>555979</v>
      </c>
      <c r="G599" s="9">
        <v>2</v>
      </c>
      <c r="H599" s="4" t="s">
        <v>52</v>
      </c>
      <c r="I599" s="4">
        <v>10683788</v>
      </c>
      <c r="J599" s="4">
        <v>6</v>
      </c>
      <c r="K599" s="4">
        <v>28</v>
      </c>
      <c r="L599" s="4">
        <v>28</v>
      </c>
      <c r="M599" s="4">
        <v>730</v>
      </c>
      <c r="N599" s="5">
        <v>100800</v>
      </c>
      <c r="O599" s="5">
        <v>1176</v>
      </c>
      <c r="P599" s="5">
        <v>2184</v>
      </c>
      <c r="Q599" s="5">
        <v>4380</v>
      </c>
      <c r="R599" s="5">
        <v>3360</v>
      </c>
      <c r="S599" s="4">
        <v>94.08</v>
      </c>
      <c r="T599" s="5">
        <v>50400</v>
      </c>
      <c r="U599" s="5">
        <v>50400</v>
      </c>
      <c r="V599" s="4">
        <v>122.64</v>
      </c>
      <c r="W599" s="4">
        <v>0</v>
      </c>
      <c r="X599" s="4">
        <v>1.8</v>
      </c>
      <c r="Y599" s="4">
        <v>1.467710371819961E-2</v>
      </c>
      <c r="Z599" s="4">
        <v>0</v>
      </c>
      <c r="AA599" s="4">
        <v>0</v>
      </c>
      <c r="AB599" s="4">
        <v>43.7</v>
      </c>
      <c r="AC599" s="4">
        <v>8.8613888888888894</v>
      </c>
      <c r="AD599" s="4">
        <v>42</v>
      </c>
      <c r="AE599" s="8"/>
      <c r="AF599" s="8"/>
      <c r="AG599" s="8"/>
      <c r="AH599" s="8"/>
      <c r="AI59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3.1386111111111106</v>
      </c>
      <c r="AJ599" s="8"/>
      <c r="AK599" s="4" t="s">
        <v>51</v>
      </c>
      <c r="AL599" s="4">
        <v>2</v>
      </c>
      <c r="AM599" s="4">
        <v>1</v>
      </c>
      <c r="AN599">
        <f>IFERROR(INT(Table13[[#This Row],[reject_prod]]/Table13[[#This Row],[part_weight]] * 1000), 0)</f>
        <v>0</v>
      </c>
    </row>
    <row r="600" spans="1:40" hidden="1">
      <c r="A600" s="1">
        <v>46041</v>
      </c>
      <c r="B600">
        <v>2</v>
      </c>
      <c r="C600">
        <v>1</v>
      </c>
      <c r="D600" t="s">
        <v>152</v>
      </c>
      <c r="E600" t="s">
        <v>34</v>
      </c>
      <c r="F600">
        <v>577492</v>
      </c>
      <c r="G600" s="6">
        <v>0</v>
      </c>
      <c r="H600" t="s">
        <v>341</v>
      </c>
      <c r="I600">
        <v>10683850</v>
      </c>
      <c r="J600">
        <v>4</v>
      </c>
      <c r="K600">
        <v>35.6</v>
      </c>
      <c r="L600">
        <v>35.6</v>
      </c>
      <c r="M600">
        <v>1574</v>
      </c>
      <c r="N600" s="2">
        <v>40480</v>
      </c>
      <c r="O600" s="2">
        <v>368</v>
      </c>
      <c r="P600" s="2">
        <v>1104</v>
      </c>
      <c r="Q600" s="2">
        <v>6296</v>
      </c>
      <c r="R600" s="2">
        <v>5520</v>
      </c>
      <c r="S600">
        <v>196.512</v>
      </c>
      <c r="T600" s="2">
        <v>36064</v>
      </c>
      <c r="U600" s="2">
        <v>4416</v>
      </c>
      <c r="V600">
        <v>224.13759999999999</v>
      </c>
      <c r="W600">
        <v>0</v>
      </c>
      <c r="X600">
        <v>0</v>
      </c>
      <c r="Y600">
        <v>0</v>
      </c>
      <c r="Z600">
        <v>1.4</v>
      </c>
      <c r="AA600">
        <v>6.2461630712562282E-3</v>
      </c>
      <c r="AB600">
        <v>27.4</v>
      </c>
      <c r="AC600">
        <v>11.979888888888889</v>
      </c>
      <c r="AD600">
        <v>27</v>
      </c>
      <c r="AE600" s="7"/>
      <c r="AF600" s="7"/>
      <c r="AG600" s="7"/>
      <c r="AH600" s="7"/>
      <c r="AI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2.0111111111111413E-2</v>
      </c>
      <c r="AJ600" s="7"/>
      <c r="AK600" t="s">
        <v>406</v>
      </c>
      <c r="AN600">
        <f>IFERROR(INT(Table13[[#This Row],[reject_prod]]/Table13[[#This Row],[part_weight]] * 1000), 0)</f>
        <v>39</v>
      </c>
    </row>
    <row r="601" spans="1:40" hidden="1">
      <c r="A601" s="1">
        <v>46041</v>
      </c>
      <c r="B601">
        <v>2</v>
      </c>
      <c r="C601">
        <v>2</v>
      </c>
      <c r="D601" t="s">
        <v>33</v>
      </c>
      <c r="E601" t="s">
        <v>34</v>
      </c>
      <c r="F601">
        <v>416201</v>
      </c>
      <c r="G601" s="6">
        <v>0</v>
      </c>
      <c r="H601" t="s">
        <v>36</v>
      </c>
      <c r="I601">
        <v>10681779</v>
      </c>
      <c r="J601">
        <v>4</v>
      </c>
      <c r="K601">
        <v>20</v>
      </c>
      <c r="L601">
        <v>30</v>
      </c>
      <c r="M601">
        <v>0</v>
      </c>
      <c r="N601" s="2">
        <v>50400</v>
      </c>
      <c r="O601" s="2">
        <v>0</v>
      </c>
      <c r="P601" s="2">
        <v>0</v>
      </c>
      <c r="Q601" s="2">
        <v>0</v>
      </c>
      <c r="R601" s="2">
        <v>0</v>
      </c>
      <c r="S601">
        <v>0</v>
      </c>
      <c r="T601" s="2">
        <v>0</v>
      </c>
      <c r="U601" s="2">
        <v>50400</v>
      </c>
      <c r="V601">
        <v>0</v>
      </c>
      <c r="W601">
        <v>0</v>
      </c>
      <c r="X601">
        <v>0</v>
      </c>
      <c r="Y601" t="e">
        <v>#DIV/0!</v>
      </c>
      <c r="Z601">
        <v>0</v>
      </c>
      <c r="AA601" t="e">
        <v>#DIV/0!</v>
      </c>
      <c r="AB601">
        <v>38.6</v>
      </c>
      <c r="AC601">
        <v>0</v>
      </c>
      <c r="AD601">
        <v>38.64</v>
      </c>
      <c r="AE601" s="7"/>
      <c r="AF601" s="7"/>
      <c r="AG601" s="7"/>
      <c r="AH601" s="7"/>
      <c r="AI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1" s="7"/>
      <c r="AK601" t="s">
        <v>387</v>
      </c>
      <c r="AN601">
        <f>IFERROR(INT(Table13[[#This Row],[reject_prod]]/Table13[[#This Row],[part_weight]] * 1000), 0)</f>
        <v>0</v>
      </c>
    </row>
    <row r="602" spans="1:40" hidden="1">
      <c r="A602" s="1">
        <v>46041</v>
      </c>
      <c r="B602">
        <v>2</v>
      </c>
      <c r="C602">
        <v>3</v>
      </c>
      <c r="D602" t="s">
        <v>33</v>
      </c>
      <c r="E602" t="s">
        <v>34</v>
      </c>
      <c r="F602">
        <v>442034</v>
      </c>
      <c r="G602" s="6">
        <v>0</v>
      </c>
      <c r="H602" t="s">
        <v>37</v>
      </c>
      <c r="I602">
        <v>10681184</v>
      </c>
      <c r="J602">
        <v>4</v>
      </c>
      <c r="K602">
        <v>23</v>
      </c>
      <c r="L602">
        <v>23</v>
      </c>
      <c r="M602">
        <v>0</v>
      </c>
      <c r="N602" s="2">
        <v>139776</v>
      </c>
      <c r="O602" s="2">
        <v>1650</v>
      </c>
      <c r="P602" s="2">
        <v>1650</v>
      </c>
      <c r="Q602" s="2">
        <v>0</v>
      </c>
      <c r="R602" s="2">
        <v>0</v>
      </c>
      <c r="S602">
        <v>0</v>
      </c>
      <c r="T602" s="2">
        <v>1650</v>
      </c>
      <c r="U602" s="2">
        <v>138126</v>
      </c>
      <c r="V602">
        <v>0</v>
      </c>
      <c r="W602">
        <v>0</v>
      </c>
      <c r="X602">
        <v>0</v>
      </c>
      <c r="Y602" t="e">
        <v>#DIV/0!</v>
      </c>
      <c r="Z602">
        <v>0</v>
      </c>
      <c r="AA602" t="e">
        <v>#DIV/0!</v>
      </c>
      <c r="AB602">
        <v>26.7</v>
      </c>
      <c r="AC602">
        <v>0</v>
      </c>
      <c r="AD602">
        <v>22</v>
      </c>
      <c r="AE602" s="7"/>
      <c r="AF602" s="7"/>
      <c r="AG602" s="7"/>
      <c r="AH602" s="7"/>
      <c r="AI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2" s="7"/>
      <c r="AK602" t="s">
        <v>407</v>
      </c>
      <c r="AN602">
        <f>IFERROR(INT(Table13[[#This Row],[reject_prod]]/Table13[[#This Row],[part_weight]] * 1000), 0)</f>
        <v>0</v>
      </c>
    </row>
    <row r="603" spans="1:40" hidden="1">
      <c r="A603" s="1">
        <v>46041</v>
      </c>
      <c r="B603">
        <v>2</v>
      </c>
      <c r="C603">
        <v>4</v>
      </c>
      <c r="D603" t="s">
        <v>40</v>
      </c>
      <c r="E603" t="s">
        <v>34</v>
      </c>
      <c r="F603">
        <v>402305</v>
      </c>
      <c r="G603" s="6">
        <v>0</v>
      </c>
      <c r="H603" t="s">
        <v>395</v>
      </c>
      <c r="I603">
        <v>10684852</v>
      </c>
      <c r="J603">
        <v>4</v>
      </c>
      <c r="K603">
        <v>29</v>
      </c>
      <c r="L603">
        <v>29</v>
      </c>
      <c r="M603">
        <v>585</v>
      </c>
      <c r="N603" s="2">
        <v>64896</v>
      </c>
      <c r="O603" s="2">
        <v>0</v>
      </c>
      <c r="P603" s="2">
        <v>832</v>
      </c>
      <c r="Q603" s="2">
        <v>2340</v>
      </c>
      <c r="R603" s="2">
        <v>1248</v>
      </c>
      <c r="S603">
        <v>36.192</v>
      </c>
      <c r="T603" s="2">
        <v>2080</v>
      </c>
      <c r="U603" s="2">
        <v>62816</v>
      </c>
      <c r="V603">
        <v>67.86</v>
      </c>
      <c r="W603">
        <v>0</v>
      </c>
      <c r="X603">
        <v>7</v>
      </c>
      <c r="Y603">
        <v>0.1031535514294135</v>
      </c>
      <c r="Z603">
        <v>0.5</v>
      </c>
      <c r="AA603">
        <v>7.3681108163866785E-3</v>
      </c>
      <c r="AB603">
        <v>24.4</v>
      </c>
      <c r="AC603">
        <v>3.9649999999999999</v>
      </c>
      <c r="AD603">
        <v>22</v>
      </c>
      <c r="AE603" s="7"/>
      <c r="AF603" s="7"/>
      <c r="AG603" s="7"/>
      <c r="AH603" s="7"/>
      <c r="AI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8.0350000000000001</v>
      </c>
      <c r="AJ603" s="7"/>
      <c r="AK603" t="s">
        <v>408</v>
      </c>
      <c r="AN603">
        <f>IFERROR(INT(Table13[[#This Row],[reject_prod]]/Table13[[#This Row],[part_weight]] * 1000), 0)</f>
        <v>17</v>
      </c>
    </row>
    <row r="604" spans="1:40" hidden="1">
      <c r="A604" s="1">
        <v>46041</v>
      </c>
      <c r="B604">
        <v>2</v>
      </c>
      <c r="C604">
        <v>5</v>
      </c>
      <c r="D604" t="s">
        <v>393</v>
      </c>
      <c r="E604" t="s">
        <v>34</v>
      </c>
      <c r="F604">
        <v>322383</v>
      </c>
      <c r="G604" s="6">
        <v>0</v>
      </c>
      <c r="H604" t="s">
        <v>71</v>
      </c>
      <c r="I604">
        <v>10682756</v>
      </c>
      <c r="J604">
        <v>4</v>
      </c>
      <c r="K604">
        <v>12.5</v>
      </c>
      <c r="L604">
        <v>12.5</v>
      </c>
      <c r="M604">
        <v>512</v>
      </c>
      <c r="N604" s="2">
        <v>66000</v>
      </c>
      <c r="O604" s="2">
        <v>0</v>
      </c>
      <c r="P604" s="2">
        <v>1700</v>
      </c>
      <c r="Q604" s="2">
        <v>2048</v>
      </c>
      <c r="R604" s="2">
        <v>0</v>
      </c>
      <c r="S604">
        <v>0</v>
      </c>
      <c r="T604" s="2">
        <v>1700</v>
      </c>
      <c r="U604" s="2">
        <v>64300</v>
      </c>
      <c r="V604">
        <v>25.6</v>
      </c>
      <c r="W604">
        <v>0</v>
      </c>
      <c r="X604">
        <v>4</v>
      </c>
      <c r="Y604">
        <v>0.15625</v>
      </c>
      <c r="Z604">
        <v>0.5</v>
      </c>
      <c r="AA604">
        <v>1.953125E-2</v>
      </c>
      <c r="AB604">
        <v>20.9</v>
      </c>
      <c r="AC604">
        <v>2.9724444444444442</v>
      </c>
      <c r="AD604">
        <v>17.920000000000002</v>
      </c>
      <c r="AE604" s="7"/>
      <c r="AF604" s="7"/>
      <c r="AG604" s="7"/>
      <c r="AH604" s="7"/>
      <c r="AI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9.0275555555555549</v>
      </c>
      <c r="AJ604" s="7"/>
      <c r="AK604" t="s">
        <v>409</v>
      </c>
      <c r="AN604">
        <f>IFERROR(INT(Table13[[#This Row],[reject_prod]]/Table13[[#This Row],[part_weight]] * 1000), 0)</f>
        <v>40</v>
      </c>
    </row>
    <row r="605" spans="1:40" hidden="1">
      <c r="A605" s="1">
        <v>46041</v>
      </c>
      <c r="B605">
        <v>2</v>
      </c>
      <c r="C605">
        <v>6</v>
      </c>
      <c r="D605" t="s">
        <v>65</v>
      </c>
      <c r="E605" t="s">
        <v>34</v>
      </c>
      <c r="F605">
        <v>322409</v>
      </c>
      <c r="G605" s="6">
        <v>0</v>
      </c>
      <c r="H605" t="s">
        <v>400</v>
      </c>
      <c r="I605">
        <v>10683854</v>
      </c>
      <c r="J605">
        <v>4</v>
      </c>
      <c r="K605">
        <v>24</v>
      </c>
      <c r="L605">
        <v>24</v>
      </c>
      <c r="M605">
        <v>1050</v>
      </c>
      <c r="N605" s="2">
        <v>70200</v>
      </c>
      <c r="O605" s="2">
        <v>0</v>
      </c>
      <c r="P605" s="2">
        <v>0</v>
      </c>
      <c r="Q605" s="2">
        <v>4200</v>
      </c>
      <c r="R605" s="2">
        <v>3510</v>
      </c>
      <c r="S605">
        <v>84.24</v>
      </c>
      <c r="T605" s="2">
        <v>3510</v>
      </c>
      <c r="U605" s="2">
        <v>66690</v>
      </c>
      <c r="V605">
        <v>100.8</v>
      </c>
      <c r="W605">
        <v>0</v>
      </c>
      <c r="X605">
        <v>15</v>
      </c>
      <c r="Y605">
        <v>0.14880952380952381</v>
      </c>
      <c r="Z605">
        <v>1.5</v>
      </c>
      <c r="AA605">
        <v>1.4880952380952382E-2</v>
      </c>
      <c r="AB605">
        <v>20</v>
      </c>
      <c r="AC605">
        <v>5.8333333333333339</v>
      </c>
      <c r="AD605">
        <v>20</v>
      </c>
      <c r="AE605" s="7"/>
      <c r="AF605" s="7"/>
      <c r="AG605" s="7">
        <v>1.5</v>
      </c>
      <c r="AH605" s="7"/>
      <c r="AI6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4.6666666666666661</v>
      </c>
      <c r="AJ605" s="7"/>
      <c r="AK605" t="s">
        <v>410</v>
      </c>
      <c r="AN605">
        <f>IFERROR(INT(Table13[[#This Row],[reject_prod]]/Table13[[#This Row],[part_weight]] * 1000), 0)</f>
        <v>62</v>
      </c>
    </row>
    <row r="606" spans="1:40" hidden="1">
      <c r="A606" s="1">
        <v>46041</v>
      </c>
      <c r="B606">
        <v>2</v>
      </c>
      <c r="C606">
        <v>7</v>
      </c>
      <c r="D606" t="s">
        <v>141</v>
      </c>
      <c r="E606" t="s">
        <v>34</v>
      </c>
      <c r="F606">
        <v>322452</v>
      </c>
      <c r="G606" s="6">
        <v>0</v>
      </c>
      <c r="H606" t="s">
        <v>374</v>
      </c>
      <c r="I606">
        <v>10683857</v>
      </c>
      <c r="J606">
        <v>4</v>
      </c>
      <c r="K606">
        <v>33.11</v>
      </c>
      <c r="L606">
        <v>34.5</v>
      </c>
      <c r="M606">
        <v>1816</v>
      </c>
      <c r="N606" s="2">
        <v>44928</v>
      </c>
      <c r="O606" s="2">
        <v>416</v>
      </c>
      <c r="P606" s="2">
        <v>0</v>
      </c>
      <c r="Q606" s="2">
        <v>7264</v>
      </c>
      <c r="R606" s="2">
        <v>7488</v>
      </c>
      <c r="S606">
        <v>258.33600000000001</v>
      </c>
      <c r="T606" s="2">
        <v>12480</v>
      </c>
      <c r="U606" s="2">
        <v>32448</v>
      </c>
      <c r="V606">
        <v>250.608</v>
      </c>
      <c r="W606">
        <v>0</v>
      </c>
      <c r="X606">
        <v>0</v>
      </c>
      <c r="Y606">
        <v>0</v>
      </c>
      <c r="Z606">
        <v>6.7</v>
      </c>
      <c r="AA606">
        <v>2.6734980527357465E-2</v>
      </c>
      <c r="AB606">
        <v>23.6</v>
      </c>
      <c r="AC606">
        <v>11.904888888888889</v>
      </c>
      <c r="AD606">
        <v>18.04</v>
      </c>
      <c r="AE606" s="7"/>
      <c r="AF606" s="7"/>
      <c r="AG606" s="7"/>
      <c r="AH606" s="7"/>
      <c r="AI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9.5111111111110702E-2</v>
      </c>
      <c r="AJ606" s="7"/>
      <c r="AK606" t="s">
        <v>411</v>
      </c>
      <c r="AN606">
        <f>IFERROR(INT(Table13[[#This Row],[reject_prod]]/Table13[[#This Row],[part_weight]] * 1000), 0)</f>
        <v>194</v>
      </c>
    </row>
    <row r="607" spans="1:40" hidden="1">
      <c r="A607" s="1">
        <v>46041</v>
      </c>
      <c r="B607">
        <v>2</v>
      </c>
      <c r="C607">
        <v>8</v>
      </c>
      <c r="D607" t="s">
        <v>67</v>
      </c>
      <c r="E607" t="s">
        <v>41</v>
      </c>
      <c r="F607">
        <v>593537</v>
      </c>
      <c r="G607" s="6">
        <v>0</v>
      </c>
      <c r="H607" t="s">
        <v>48</v>
      </c>
      <c r="I607">
        <v>10682926</v>
      </c>
      <c r="J607">
        <v>4</v>
      </c>
      <c r="K607">
        <v>56.5</v>
      </c>
      <c r="L607">
        <v>56.8</v>
      </c>
      <c r="M607">
        <v>1190</v>
      </c>
      <c r="N607" s="2">
        <v>69000</v>
      </c>
      <c r="O607" s="2">
        <v>460</v>
      </c>
      <c r="P607" s="2">
        <v>0</v>
      </c>
      <c r="Q607" s="2">
        <v>4760</v>
      </c>
      <c r="R607" s="2">
        <v>5175</v>
      </c>
      <c r="S607">
        <v>293.94</v>
      </c>
      <c r="T607" s="2">
        <v>69000</v>
      </c>
      <c r="U607" s="2">
        <v>0</v>
      </c>
      <c r="V607">
        <v>270.36799999999999</v>
      </c>
      <c r="W607">
        <v>0</v>
      </c>
      <c r="X607">
        <v>0</v>
      </c>
      <c r="Y607">
        <v>0</v>
      </c>
      <c r="Z607">
        <v>2.5</v>
      </c>
      <c r="AA607">
        <v>9.2466564090424898E-3</v>
      </c>
      <c r="AB607">
        <v>30.4</v>
      </c>
      <c r="AC607">
        <v>10.048888888888888</v>
      </c>
      <c r="AD607">
        <v>28.5</v>
      </c>
      <c r="AE607" s="7"/>
      <c r="AF607" s="7"/>
      <c r="AG607" s="7"/>
      <c r="AH607" s="7"/>
      <c r="AI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1.9511111111111124</v>
      </c>
      <c r="AJ607" s="7"/>
      <c r="AK607" t="s">
        <v>102</v>
      </c>
      <c r="AN607">
        <f>IFERROR(INT(Table13[[#This Row],[reject_prod]]/Table13[[#This Row],[part_weight]] * 1000), 0)</f>
        <v>44</v>
      </c>
    </row>
    <row r="608" spans="1:40" hidden="1">
      <c r="A608" s="1">
        <v>46041</v>
      </c>
      <c r="B608">
        <v>2</v>
      </c>
      <c r="C608">
        <v>8</v>
      </c>
      <c r="D608" t="s">
        <v>67</v>
      </c>
      <c r="E608" t="s">
        <v>41</v>
      </c>
      <c r="F608">
        <v>593537</v>
      </c>
      <c r="G608" s="6">
        <v>0</v>
      </c>
      <c r="H608" t="s">
        <v>48</v>
      </c>
      <c r="I608">
        <v>10685022</v>
      </c>
      <c r="J608">
        <v>4</v>
      </c>
      <c r="K608">
        <v>56.5</v>
      </c>
      <c r="L608">
        <v>56.8</v>
      </c>
      <c r="M608">
        <v>230</v>
      </c>
      <c r="N608" s="2">
        <v>69000</v>
      </c>
      <c r="O608" s="2">
        <v>0</v>
      </c>
      <c r="P608" s="2">
        <v>345</v>
      </c>
      <c r="Q608" s="2">
        <v>920</v>
      </c>
      <c r="R608" s="2">
        <v>575</v>
      </c>
      <c r="S608">
        <v>32.659999999999997</v>
      </c>
      <c r="T608" s="2">
        <v>920</v>
      </c>
      <c r="U608" s="2">
        <v>68080</v>
      </c>
      <c r="V608">
        <v>52.256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30.4</v>
      </c>
      <c r="AC608">
        <v>1.9422222222222221</v>
      </c>
      <c r="AD608">
        <v>28.5</v>
      </c>
      <c r="AE608" s="7"/>
      <c r="AF608" s="7"/>
      <c r="AG608" s="7"/>
      <c r="AH608" s="7"/>
      <c r="AI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10.057777777777778</v>
      </c>
      <c r="AJ608" s="7"/>
      <c r="AK608" t="s">
        <v>406</v>
      </c>
      <c r="AN608">
        <f>IFERROR(INT(Table13[[#This Row],[reject_prod]]/Table13[[#This Row],[part_weight]] * 1000), 0)</f>
        <v>0</v>
      </c>
    </row>
    <row r="609" spans="1:40" hidden="1">
      <c r="A609" s="1">
        <v>46041</v>
      </c>
      <c r="B609">
        <v>2</v>
      </c>
      <c r="C609">
        <v>9</v>
      </c>
      <c r="D609" t="s">
        <v>33</v>
      </c>
      <c r="E609" t="s">
        <v>46</v>
      </c>
      <c r="F609">
        <v>586276</v>
      </c>
      <c r="G609" s="6">
        <v>0</v>
      </c>
      <c r="H609" t="s">
        <v>47</v>
      </c>
      <c r="I609">
        <v>10682924</v>
      </c>
      <c r="J609">
        <v>6</v>
      </c>
      <c r="K609">
        <v>12.3</v>
      </c>
      <c r="L609">
        <v>12.3</v>
      </c>
      <c r="M609">
        <v>0</v>
      </c>
      <c r="N609" s="2">
        <v>162000</v>
      </c>
      <c r="O609" s="2">
        <v>7290</v>
      </c>
      <c r="P609" s="2">
        <v>7290</v>
      </c>
      <c r="Q609" s="2">
        <v>0</v>
      </c>
      <c r="R609" s="2">
        <v>0</v>
      </c>
      <c r="S609">
        <v>0</v>
      </c>
      <c r="T609" s="2">
        <v>80190</v>
      </c>
      <c r="U609" s="2">
        <v>81810</v>
      </c>
      <c r="V609">
        <v>0</v>
      </c>
      <c r="W609">
        <v>0</v>
      </c>
      <c r="X609">
        <v>0</v>
      </c>
      <c r="Y609" t="e">
        <v>#DIV/0!</v>
      </c>
      <c r="Z609">
        <v>0</v>
      </c>
      <c r="AA609" t="e">
        <v>#DIV/0!</v>
      </c>
      <c r="AB609">
        <v>26</v>
      </c>
      <c r="AC609">
        <v>0</v>
      </c>
      <c r="AD609">
        <v>26</v>
      </c>
      <c r="AE609" s="7"/>
      <c r="AF609" s="7"/>
      <c r="AG609" s="7"/>
      <c r="AH609" s="7"/>
      <c r="AI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9" s="7"/>
      <c r="AK609" t="s">
        <v>407</v>
      </c>
      <c r="AN609">
        <f>IFERROR(INT(Table13[[#This Row],[reject_prod]]/Table13[[#This Row],[part_weight]] * 1000), 0)</f>
        <v>0</v>
      </c>
    </row>
    <row r="610" spans="1:40" hidden="1">
      <c r="A610" s="1">
        <v>46041</v>
      </c>
      <c r="B610">
        <v>2</v>
      </c>
      <c r="C610">
        <v>10</v>
      </c>
      <c r="D610" t="s">
        <v>112</v>
      </c>
      <c r="E610" t="s">
        <v>34</v>
      </c>
      <c r="F610">
        <v>323092</v>
      </c>
      <c r="G610" s="6">
        <v>0</v>
      </c>
      <c r="H610" t="s">
        <v>377</v>
      </c>
      <c r="I610">
        <v>10684857</v>
      </c>
      <c r="J610">
        <v>4</v>
      </c>
      <c r="K610">
        <v>48.9</v>
      </c>
      <c r="L610">
        <v>48.9</v>
      </c>
      <c r="M610">
        <v>1562</v>
      </c>
      <c r="N610" s="2">
        <v>37800</v>
      </c>
      <c r="O610" s="2">
        <v>105</v>
      </c>
      <c r="P610" s="2">
        <v>0</v>
      </c>
      <c r="Q610" s="2">
        <v>6248</v>
      </c>
      <c r="R610" s="2">
        <v>6300</v>
      </c>
      <c r="S610">
        <v>308.07</v>
      </c>
      <c r="T610" s="2">
        <v>18375</v>
      </c>
      <c r="U610" s="2">
        <v>19425</v>
      </c>
      <c r="V610">
        <v>305.52719999999999</v>
      </c>
      <c r="W610">
        <v>0</v>
      </c>
      <c r="X610">
        <v>0</v>
      </c>
      <c r="Y610">
        <v>0</v>
      </c>
      <c r="Z610">
        <v>2.6</v>
      </c>
      <c r="AA610">
        <v>8.5098806260130028E-3</v>
      </c>
      <c r="AB610">
        <v>27.4</v>
      </c>
      <c r="AC610">
        <v>11.888555555555556</v>
      </c>
      <c r="AD610">
        <v>27.6</v>
      </c>
      <c r="AE610" s="7"/>
      <c r="AF610" s="7"/>
      <c r="AG610" s="7"/>
      <c r="AH610" s="7"/>
      <c r="AI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0.11144444444444446</v>
      </c>
      <c r="AJ610" s="7"/>
      <c r="AK610" t="s">
        <v>214</v>
      </c>
      <c r="AN610">
        <f>IFERROR(INT(Table13[[#This Row],[reject_prod]]/Table13[[#This Row],[part_weight]] * 1000), 0)</f>
        <v>53</v>
      </c>
    </row>
    <row r="611" spans="1:40" hidden="1">
      <c r="A611" s="1">
        <v>46041</v>
      </c>
      <c r="B611">
        <v>2</v>
      </c>
      <c r="C611">
        <v>11</v>
      </c>
      <c r="D611" t="s">
        <v>61</v>
      </c>
      <c r="E611" t="s">
        <v>46</v>
      </c>
      <c r="F611">
        <v>552181</v>
      </c>
      <c r="G611" s="6">
        <v>1</v>
      </c>
      <c r="H611" t="s">
        <v>49</v>
      </c>
      <c r="I611">
        <v>10683782</v>
      </c>
      <c r="J611">
        <v>6</v>
      </c>
      <c r="K611">
        <v>18.8</v>
      </c>
      <c r="L611">
        <v>18.8</v>
      </c>
      <c r="M611">
        <v>1417</v>
      </c>
      <c r="N611" s="2">
        <v>108000</v>
      </c>
      <c r="O611" s="2">
        <v>7830</v>
      </c>
      <c r="P611" s="2">
        <v>10800</v>
      </c>
      <c r="Q611" s="2">
        <v>8502</v>
      </c>
      <c r="R611" s="2">
        <v>5400</v>
      </c>
      <c r="S611">
        <v>101.52</v>
      </c>
      <c r="T611" s="2">
        <v>102600</v>
      </c>
      <c r="U611" s="2">
        <v>5400</v>
      </c>
      <c r="V611">
        <v>159.83760000000001</v>
      </c>
      <c r="W611">
        <v>0</v>
      </c>
      <c r="X611">
        <v>0</v>
      </c>
      <c r="Y611">
        <v>0</v>
      </c>
      <c r="Z611">
        <v>2.5</v>
      </c>
      <c r="AA611">
        <v>1.5640875488620948E-2</v>
      </c>
      <c r="AB611">
        <v>30.5</v>
      </c>
      <c r="AC611">
        <v>12</v>
      </c>
      <c r="AD611">
        <v>27</v>
      </c>
      <c r="AE611" s="7"/>
      <c r="AF611" s="7"/>
      <c r="AG611" s="7"/>
      <c r="AH611" s="7"/>
      <c r="AI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11" s="7"/>
      <c r="AK611" t="s">
        <v>412</v>
      </c>
      <c r="AN611">
        <f>IFERROR(INT(Table13[[#This Row],[reject_prod]]/Table13[[#This Row],[part_weight]] * 1000), 0)</f>
        <v>132</v>
      </c>
    </row>
    <row r="612" spans="1:40" hidden="1">
      <c r="A612" s="1">
        <v>46041</v>
      </c>
      <c r="B612">
        <v>2</v>
      </c>
      <c r="C612">
        <v>12</v>
      </c>
      <c r="D612" t="s">
        <v>65</v>
      </c>
      <c r="E612" t="s">
        <v>34</v>
      </c>
      <c r="F612">
        <v>620599</v>
      </c>
      <c r="G612" s="6">
        <v>0</v>
      </c>
      <c r="H612" t="s">
        <v>50</v>
      </c>
      <c r="I612">
        <v>10682929</v>
      </c>
      <c r="J612">
        <v>4</v>
      </c>
      <c r="K612">
        <v>55</v>
      </c>
      <c r="L612">
        <v>55</v>
      </c>
      <c r="M612">
        <v>1030</v>
      </c>
      <c r="N612" s="2">
        <v>72000</v>
      </c>
      <c r="O612" s="2">
        <v>900</v>
      </c>
      <c r="P612" s="2">
        <v>1350</v>
      </c>
      <c r="Q612" s="2">
        <v>4120</v>
      </c>
      <c r="R612" s="2">
        <v>3600</v>
      </c>
      <c r="S612">
        <v>198</v>
      </c>
      <c r="T612" s="2">
        <v>67950</v>
      </c>
      <c r="U612" s="2">
        <v>4050</v>
      </c>
      <c r="V612">
        <v>226.6</v>
      </c>
      <c r="W612">
        <v>0</v>
      </c>
      <c r="X612">
        <v>0</v>
      </c>
      <c r="Y612">
        <v>0</v>
      </c>
      <c r="Z612">
        <v>3.7</v>
      </c>
      <c r="AA612">
        <v>1.6328331862312445E-2</v>
      </c>
      <c r="AB612">
        <v>29.3</v>
      </c>
      <c r="AC612">
        <v>8.3830555555555559</v>
      </c>
      <c r="AD612">
        <v>28</v>
      </c>
      <c r="AE612" s="7"/>
      <c r="AF612" s="7"/>
      <c r="AG612" s="7"/>
      <c r="AH612" s="7"/>
      <c r="AI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3.6169444444444441</v>
      </c>
      <c r="AJ612" s="7"/>
      <c r="AK612" t="s">
        <v>413</v>
      </c>
      <c r="AN612">
        <f>IFERROR(INT(Table13[[#This Row],[reject_prod]]/Table13[[#This Row],[part_weight]] * 1000), 0)</f>
        <v>67</v>
      </c>
    </row>
    <row r="613" spans="1:40" hidden="1">
      <c r="A613" s="1">
        <v>46041</v>
      </c>
      <c r="B613">
        <v>2</v>
      </c>
      <c r="C613">
        <v>13</v>
      </c>
      <c r="D613" t="s">
        <v>61</v>
      </c>
      <c r="E613" t="s">
        <v>46</v>
      </c>
      <c r="F613">
        <v>586276</v>
      </c>
      <c r="G613" s="6">
        <v>0</v>
      </c>
      <c r="H613" t="s">
        <v>47</v>
      </c>
      <c r="I613">
        <v>10683784</v>
      </c>
      <c r="J613">
        <v>6</v>
      </c>
      <c r="K613">
        <v>12.3</v>
      </c>
      <c r="L613">
        <v>12.3</v>
      </c>
      <c r="M613">
        <v>1635</v>
      </c>
      <c r="N613" s="2">
        <v>162000</v>
      </c>
      <c r="O613" s="2">
        <v>1620</v>
      </c>
      <c r="P613" s="2">
        <v>3240</v>
      </c>
      <c r="Q613" s="2">
        <v>9810</v>
      </c>
      <c r="R613" s="2">
        <v>8100</v>
      </c>
      <c r="S613">
        <v>99.63</v>
      </c>
      <c r="T613" s="2">
        <v>108540</v>
      </c>
      <c r="U613" s="2">
        <v>53460</v>
      </c>
      <c r="V613">
        <v>120.663</v>
      </c>
      <c r="W613">
        <v>0</v>
      </c>
      <c r="X613">
        <v>0</v>
      </c>
      <c r="Y613">
        <v>0</v>
      </c>
      <c r="Z613">
        <v>1.1000000000000001</v>
      </c>
      <c r="AA613">
        <v>9.1162991140614786E-3</v>
      </c>
      <c r="AB613">
        <v>26.2</v>
      </c>
      <c r="AC613">
        <v>11.899166666666668</v>
      </c>
      <c r="AD613">
        <v>26</v>
      </c>
      <c r="AE613" s="7"/>
      <c r="AF613" s="7"/>
      <c r="AG613" s="7"/>
      <c r="AH613" s="7"/>
      <c r="AI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0.10083333333333222</v>
      </c>
      <c r="AJ613" s="7"/>
      <c r="AK613" t="s">
        <v>406</v>
      </c>
      <c r="AN613">
        <f>IFERROR(INT(Table13[[#This Row],[reject_prod]]/Table13[[#This Row],[part_weight]] * 1000), 0)</f>
        <v>89</v>
      </c>
    </row>
    <row r="614" spans="1:40" hidden="1">
      <c r="A614" s="1">
        <v>46041</v>
      </c>
      <c r="B614">
        <v>2</v>
      </c>
      <c r="C614">
        <v>14</v>
      </c>
      <c r="D614" t="s">
        <v>213</v>
      </c>
      <c r="E614" t="s">
        <v>46</v>
      </c>
      <c r="F614">
        <v>555979</v>
      </c>
      <c r="G614" s="6">
        <v>1</v>
      </c>
      <c r="H614" t="s">
        <v>52</v>
      </c>
      <c r="I614">
        <v>10683785</v>
      </c>
      <c r="J614">
        <v>6</v>
      </c>
      <c r="K614">
        <v>28</v>
      </c>
      <c r="L614">
        <v>28</v>
      </c>
      <c r="M614">
        <v>988</v>
      </c>
      <c r="N614" s="2">
        <v>100800</v>
      </c>
      <c r="O614" s="2">
        <v>336</v>
      </c>
      <c r="P614" s="2">
        <v>2856</v>
      </c>
      <c r="Q614" s="2">
        <v>5928</v>
      </c>
      <c r="R614" s="2">
        <v>3360</v>
      </c>
      <c r="S614">
        <v>94.08</v>
      </c>
      <c r="T614" s="2">
        <v>16296</v>
      </c>
      <c r="U614" s="2">
        <v>84504</v>
      </c>
      <c r="V614">
        <v>165.98400000000001</v>
      </c>
      <c r="W614">
        <v>0</v>
      </c>
      <c r="X614">
        <v>0</v>
      </c>
      <c r="Y614">
        <v>0</v>
      </c>
      <c r="Z614">
        <v>0.6</v>
      </c>
      <c r="AA614">
        <v>3.6148062463851934E-3</v>
      </c>
      <c r="AB614">
        <v>43</v>
      </c>
      <c r="AC614">
        <v>11.801111111111112</v>
      </c>
      <c r="AD614">
        <v>42</v>
      </c>
      <c r="AE614" s="7"/>
      <c r="AF614" s="7"/>
      <c r="AG614" s="7"/>
      <c r="AH614" s="7"/>
      <c r="AI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0.198888888888888</v>
      </c>
      <c r="AJ614" s="7"/>
      <c r="AK614" t="s">
        <v>406</v>
      </c>
      <c r="AN614">
        <f>IFERROR(INT(Table13[[#This Row],[reject_prod]]/Table13[[#This Row],[part_weight]] * 1000), 0)</f>
        <v>21</v>
      </c>
    </row>
    <row r="615" spans="1:40" hidden="1">
      <c r="A615" s="1">
        <v>46041</v>
      </c>
      <c r="B615">
        <v>2</v>
      </c>
      <c r="C615">
        <v>15</v>
      </c>
      <c r="D615" t="s">
        <v>61</v>
      </c>
      <c r="E615" t="s">
        <v>46</v>
      </c>
      <c r="F615">
        <v>552181</v>
      </c>
      <c r="G615" s="6">
        <v>2</v>
      </c>
      <c r="H615" t="s">
        <v>49</v>
      </c>
      <c r="I615">
        <v>10683786</v>
      </c>
      <c r="J615">
        <v>6</v>
      </c>
      <c r="K615">
        <v>18.8</v>
      </c>
      <c r="L615">
        <v>18.8</v>
      </c>
      <c r="M615">
        <v>1359</v>
      </c>
      <c r="N615" s="2">
        <v>108000</v>
      </c>
      <c r="O615" s="2">
        <v>0</v>
      </c>
      <c r="P615" s="2">
        <v>2700</v>
      </c>
      <c r="Q615" s="2">
        <v>8154</v>
      </c>
      <c r="R615" s="2">
        <v>5400</v>
      </c>
      <c r="S615">
        <v>101.52</v>
      </c>
      <c r="T615" s="2">
        <v>72900</v>
      </c>
      <c r="U615" s="2">
        <v>35100</v>
      </c>
      <c r="V615">
        <v>153.29520000000002</v>
      </c>
      <c r="W615">
        <v>0</v>
      </c>
      <c r="X615">
        <v>0</v>
      </c>
      <c r="Y615">
        <v>0</v>
      </c>
      <c r="Z615">
        <v>1</v>
      </c>
      <c r="AA615">
        <v>6.5233614620679569E-3</v>
      </c>
      <c r="AB615">
        <v>31.2</v>
      </c>
      <c r="AC615">
        <v>11.777999999999999</v>
      </c>
      <c r="AD615">
        <v>27</v>
      </c>
      <c r="AE615" s="7"/>
      <c r="AF615" s="7"/>
      <c r="AG615" s="7"/>
      <c r="AH615" s="7"/>
      <c r="AI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0.22200000000000131</v>
      </c>
      <c r="AJ615" s="7"/>
      <c r="AK615" t="s">
        <v>406</v>
      </c>
      <c r="AN615">
        <f>IFERROR(INT(Table13[[#This Row],[reject_prod]]/Table13[[#This Row],[part_weight]] * 1000), 0)</f>
        <v>53</v>
      </c>
    </row>
    <row r="616" spans="1:40" s="4" customFormat="1" hidden="1">
      <c r="A616" s="3">
        <v>46041</v>
      </c>
      <c r="B616" s="4">
        <v>2</v>
      </c>
      <c r="C616" s="4">
        <v>16</v>
      </c>
      <c r="D616" s="4" t="s">
        <v>149</v>
      </c>
      <c r="E616" s="4" t="s">
        <v>46</v>
      </c>
      <c r="F616" s="4">
        <v>555979</v>
      </c>
      <c r="G616" s="9">
        <v>2</v>
      </c>
      <c r="H616" s="4" t="s">
        <v>52</v>
      </c>
      <c r="I616" s="4">
        <v>10683788</v>
      </c>
      <c r="J616" s="4">
        <v>6</v>
      </c>
      <c r="K616" s="4">
        <v>28</v>
      </c>
      <c r="L616" s="4">
        <v>28</v>
      </c>
      <c r="M616" s="4">
        <v>995</v>
      </c>
      <c r="N616" s="5">
        <v>100800</v>
      </c>
      <c r="O616" s="5">
        <v>2184</v>
      </c>
      <c r="P616" s="5">
        <v>1344</v>
      </c>
      <c r="Q616" s="5">
        <v>5970</v>
      </c>
      <c r="R616" s="5">
        <v>6720</v>
      </c>
      <c r="S616" s="4">
        <v>188.16</v>
      </c>
      <c r="T616" s="5">
        <v>58464</v>
      </c>
      <c r="U616" s="5">
        <v>42336</v>
      </c>
      <c r="V616" s="4">
        <v>167.16</v>
      </c>
      <c r="W616" s="4">
        <v>0</v>
      </c>
      <c r="X616" s="4">
        <v>0</v>
      </c>
      <c r="Y616" s="4">
        <v>0</v>
      </c>
      <c r="Z616" s="4">
        <v>2.5</v>
      </c>
      <c r="AA616" s="4">
        <v>1.4955731036133046E-2</v>
      </c>
      <c r="AB616" s="4">
        <v>43.4</v>
      </c>
      <c r="AC616" s="4">
        <v>11.995277777777778</v>
      </c>
      <c r="AD616" s="4">
        <v>42</v>
      </c>
      <c r="AE616" s="8"/>
      <c r="AF616" s="8"/>
      <c r="AG616" s="8"/>
      <c r="AH616" s="8"/>
      <c r="AI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4.7222222222220722E-3</v>
      </c>
      <c r="AJ616" s="8"/>
      <c r="AK616" s="4" t="s">
        <v>406</v>
      </c>
      <c r="AN616">
        <f>IFERROR(INT(Table13[[#This Row],[reject_prod]]/Table13[[#This Row],[part_weight]] * 1000), 0)</f>
        <v>89</v>
      </c>
    </row>
    <row r="617" spans="1:40" hidden="1">
      <c r="A617" s="1">
        <v>46042</v>
      </c>
      <c r="B617">
        <v>1</v>
      </c>
      <c r="C617">
        <v>1</v>
      </c>
      <c r="D617" t="s">
        <v>54</v>
      </c>
      <c r="E617" t="s">
        <v>34</v>
      </c>
      <c r="F617">
        <v>577492</v>
      </c>
      <c r="G617" s="6">
        <v>0</v>
      </c>
      <c r="H617" t="s">
        <v>341</v>
      </c>
      <c r="I617">
        <v>10683850</v>
      </c>
      <c r="J617">
        <v>4</v>
      </c>
      <c r="K617">
        <v>35.6</v>
      </c>
      <c r="L617">
        <v>35.6</v>
      </c>
      <c r="M617">
        <v>1104</v>
      </c>
      <c r="N617" s="2">
        <v>40480</v>
      </c>
      <c r="O617" s="2">
        <v>1104</v>
      </c>
      <c r="P617" s="2">
        <v>0</v>
      </c>
      <c r="Q617" s="2">
        <v>4416</v>
      </c>
      <c r="R617" s="2">
        <v>5520</v>
      </c>
      <c r="S617">
        <v>196.512</v>
      </c>
      <c r="T617" s="2">
        <v>40480</v>
      </c>
      <c r="U617" s="2">
        <v>0</v>
      </c>
      <c r="V617">
        <v>157.20959999999999</v>
      </c>
      <c r="W617">
        <v>0</v>
      </c>
      <c r="X617">
        <v>0</v>
      </c>
      <c r="Y617">
        <v>0</v>
      </c>
      <c r="Z617">
        <v>2</v>
      </c>
      <c r="AA617">
        <v>1.2721869402377463E-2</v>
      </c>
      <c r="AB617">
        <v>27.4</v>
      </c>
      <c r="AC617">
        <v>8.4026666666666667</v>
      </c>
      <c r="AD617">
        <v>27</v>
      </c>
      <c r="AE617" s="7"/>
      <c r="AF617" s="7"/>
      <c r="AG617" s="7"/>
      <c r="AH617" s="7"/>
      <c r="AI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3.5973333333333333</v>
      </c>
      <c r="AJ617" s="7"/>
      <c r="AK617" t="s">
        <v>248</v>
      </c>
      <c r="AN617">
        <f>IFERROR(INT(Table13[[#This Row],[reject_prod]]/Table13[[#This Row],[part_weight]] * 1000), 0)</f>
        <v>56</v>
      </c>
    </row>
    <row r="618" spans="1:40" hidden="1">
      <c r="A618" s="1">
        <v>46042</v>
      </c>
      <c r="B618">
        <v>1</v>
      </c>
      <c r="C618">
        <v>1</v>
      </c>
      <c r="D618" t="s">
        <v>54</v>
      </c>
      <c r="E618" t="s">
        <v>34</v>
      </c>
      <c r="F618">
        <v>577492</v>
      </c>
      <c r="G618" s="6">
        <v>0</v>
      </c>
      <c r="H618" t="s">
        <v>341</v>
      </c>
      <c r="I618">
        <v>10684028</v>
      </c>
      <c r="J618">
        <v>4</v>
      </c>
      <c r="K618">
        <v>35.6</v>
      </c>
      <c r="L618">
        <v>35.6</v>
      </c>
      <c r="M618">
        <v>460</v>
      </c>
      <c r="N618" s="2">
        <v>101200</v>
      </c>
      <c r="O618" s="2">
        <v>0</v>
      </c>
      <c r="P618" s="2">
        <v>0</v>
      </c>
      <c r="Q618" s="2">
        <v>1840</v>
      </c>
      <c r="R618" s="2">
        <v>1840</v>
      </c>
      <c r="S618">
        <v>65.504000000000005</v>
      </c>
      <c r="T618" s="2">
        <v>1840</v>
      </c>
      <c r="U618" s="2">
        <v>99360</v>
      </c>
      <c r="V618">
        <v>65.504000000000005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27.4</v>
      </c>
      <c r="AC618">
        <v>3.5011111111111113</v>
      </c>
      <c r="AD618">
        <v>27</v>
      </c>
      <c r="AE618" s="7"/>
      <c r="AF618" s="7"/>
      <c r="AG618" s="7"/>
      <c r="AH618" s="7"/>
      <c r="AI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8.4988888888888887</v>
      </c>
      <c r="AJ618" s="7"/>
      <c r="AK618" t="s">
        <v>51</v>
      </c>
      <c r="AN618">
        <f>IFERROR(INT(Table13[[#This Row],[reject_prod]]/Table13[[#This Row],[part_weight]] * 1000), 0)</f>
        <v>0</v>
      </c>
    </row>
    <row r="619" spans="1:40" hidden="1">
      <c r="A619" s="1">
        <v>46042</v>
      </c>
      <c r="B619">
        <v>1</v>
      </c>
      <c r="C619">
        <v>2</v>
      </c>
      <c r="D619" t="s">
        <v>33</v>
      </c>
      <c r="E619" t="s">
        <v>34</v>
      </c>
      <c r="F619">
        <v>416201</v>
      </c>
      <c r="G619" s="6">
        <v>0</v>
      </c>
      <c r="H619" t="s">
        <v>36</v>
      </c>
      <c r="I619">
        <v>10681779</v>
      </c>
      <c r="J619">
        <v>4</v>
      </c>
      <c r="K619">
        <v>20</v>
      </c>
      <c r="L619">
        <v>30</v>
      </c>
      <c r="M619">
        <v>0</v>
      </c>
      <c r="N619" s="2">
        <v>50400</v>
      </c>
      <c r="O619" s="2">
        <v>0</v>
      </c>
      <c r="P619" s="2">
        <v>0</v>
      </c>
      <c r="Q619" s="2">
        <v>0</v>
      </c>
      <c r="R619" s="2">
        <v>0</v>
      </c>
      <c r="S619">
        <v>0</v>
      </c>
      <c r="T619" s="2">
        <v>0</v>
      </c>
      <c r="U619" s="2">
        <v>50400</v>
      </c>
      <c r="V619">
        <v>0</v>
      </c>
      <c r="W619">
        <v>0</v>
      </c>
      <c r="X619">
        <v>0</v>
      </c>
      <c r="Y619" t="e">
        <v>#DIV/0!</v>
      </c>
      <c r="Z619">
        <v>0</v>
      </c>
      <c r="AA619" t="e">
        <v>#DIV/0!</v>
      </c>
      <c r="AB619">
        <v>23.3</v>
      </c>
      <c r="AC619">
        <v>0</v>
      </c>
      <c r="AD619">
        <v>38.64</v>
      </c>
      <c r="AE619" s="7"/>
      <c r="AF619" s="7"/>
      <c r="AG619" s="7"/>
      <c r="AH619" s="7"/>
      <c r="AI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19" s="7"/>
      <c r="AK619" t="s">
        <v>387</v>
      </c>
      <c r="AN619">
        <f>IFERROR(INT(Table13[[#This Row],[reject_prod]]/Table13[[#This Row],[part_weight]] * 1000), 0)</f>
        <v>0</v>
      </c>
    </row>
    <row r="620" spans="1:40" hidden="1">
      <c r="A620" s="1">
        <v>46042</v>
      </c>
      <c r="B620">
        <v>1</v>
      </c>
      <c r="C620">
        <v>3</v>
      </c>
      <c r="D620" t="s">
        <v>33</v>
      </c>
      <c r="E620" t="s">
        <v>34</v>
      </c>
      <c r="F620">
        <v>442034</v>
      </c>
      <c r="G620" s="6">
        <v>0</v>
      </c>
      <c r="H620" t="s">
        <v>37</v>
      </c>
      <c r="I620">
        <v>10681184</v>
      </c>
      <c r="J620">
        <v>4</v>
      </c>
      <c r="K620">
        <v>23</v>
      </c>
      <c r="L620">
        <v>23</v>
      </c>
      <c r="M620">
        <v>200</v>
      </c>
      <c r="N620" s="2">
        <v>139776</v>
      </c>
      <c r="O620" s="2">
        <v>1650</v>
      </c>
      <c r="P620" s="2">
        <v>2304</v>
      </c>
      <c r="Q620" s="2">
        <v>800</v>
      </c>
      <c r="R620" s="2">
        <v>0</v>
      </c>
      <c r="S620">
        <v>0</v>
      </c>
      <c r="T620" s="2">
        <v>2304</v>
      </c>
      <c r="U620" s="2">
        <v>137472</v>
      </c>
      <c r="V620">
        <v>18.399999999999999</v>
      </c>
      <c r="W620">
        <v>0</v>
      </c>
      <c r="X620">
        <v>6</v>
      </c>
      <c r="Y620">
        <v>0.32608695652173914</v>
      </c>
      <c r="Z620">
        <v>3.3</v>
      </c>
      <c r="AA620">
        <v>0.17934782608695651</v>
      </c>
      <c r="AB620">
        <v>26.7</v>
      </c>
      <c r="AC620">
        <v>1.4833333333333334</v>
      </c>
      <c r="AD620">
        <v>22</v>
      </c>
      <c r="AE620" s="7"/>
      <c r="AF620" s="7"/>
      <c r="AG620" s="7"/>
      <c r="AH620" s="7"/>
      <c r="AI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10.516666666666666</v>
      </c>
      <c r="AJ620" s="7"/>
      <c r="AK620" t="s">
        <v>420</v>
      </c>
      <c r="AL620">
        <v>7</v>
      </c>
      <c r="AM620">
        <v>4</v>
      </c>
      <c r="AN620">
        <f>IFERROR(INT(Table13[[#This Row],[reject_prod]]/Table13[[#This Row],[part_weight]] * 1000), 0)</f>
        <v>143</v>
      </c>
    </row>
    <row r="621" spans="1:40" hidden="1">
      <c r="A621" s="1">
        <v>46042</v>
      </c>
      <c r="B621">
        <v>1</v>
      </c>
      <c r="C621">
        <v>4</v>
      </c>
      <c r="D621" t="s">
        <v>84</v>
      </c>
      <c r="E621" t="s">
        <v>34</v>
      </c>
      <c r="F621">
        <v>402305</v>
      </c>
      <c r="G621" s="6">
        <v>0</v>
      </c>
      <c r="H621" t="s">
        <v>395</v>
      </c>
      <c r="I621">
        <v>10684852</v>
      </c>
      <c r="J621">
        <v>4</v>
      </c>
      <c r="K621">
        <v>29</v>
      </c>
      <c r="L621">
        <v>29</v>
      </c>
      <c r="M621">
        <v>1780</v>
      </c>
      <c r="N621" s="2">
        <v>64896</v>
      </c>
      <c r="O621" s="2">
        <v>832</v>
      </c>
      <c r="P621" s="2">
        <v>416</v>
      </c>
      <c r="Q621" s="2">
        <v>7120</v>
      </c>
      <c r="R621" s="2">
        <v>7488</v>
      </c>
      <c r="S621">
        <v>217.15199999999999</v>
      </c>
      <c r="T621" s="2">
        <v>9152</v>
      </c>
      <c r="U621" s="2">
        <v>55744</v>
      </c>
      <c r="V621">
        <v>206.48</v>
      </c>
      <c r="W621">
        <v>0</v>
      </c>
      <c r="X621">
        <v>0</v>
      </c>
      <c r="Y621">
        <v>0</v>
      </c>
      <c r="Z621">
        <v>1</v>
      </c>
      <c r="AA621">
        <v>4.8430840759395586E-3</v>
      </c>
      <c r="AB621">
        <v>24.4</v>
      </c>
      <c r="AC621">
        <v>12</v>
      </c>
      <c r="AD621">
        <v>22</v>
      </c>
      <c r="AE621" s="7"/>
      <c r="AF621" s="7"/>
      <c r="AG621" s="7"/>
      <c r="AH621" s="7"/>
      <c r="AI6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21" s="7"/>
      <c r="AK621" t="s">
        <v>214</v>
      </c>
      <c r="AL621">
        <v>5</v>
      </c>
      <c r="AM621">
        <v>5</v>
      </c>
      <c r="AN621">
        <f>IFERROR(INT(Table13[[#This Row],[reject_prod]]/Table13[[#This Row],[part_weight]] * 1000), 0)</f>
        <v>34</v>
      </c>
    </row>
    <row r="622" spans="1:40" hidden="1">
      <c r="A622" s="1">
        <v>46042</v>
      </c>
      <c r="B622">
        <v>1</v>
      </c>
      <c r="C622">
        <v>5</v>
      </c>
      <c r="D622" t="s">
        <v>84</v>
      </c>
      <c r="E622" t="s">
        <v>34</v>
      </c>
      <c r="F622">
        <v>322383</v>
      </c>
      <c r="G622" s="6">
        <v>0</v>
      </c>
      <c r="H622" t="s">
        <v>71</v>
      </c>
      <c r="I622">
        <v>10682756</v>
      </c>
      <c r="J622">
        <v>4</v>
      </c>
      <c r="K622">
        <v>12.5</v>
      </c>
      <c r="L622">
        <v>12.5</v>
      </c>
      <c r="M622">
        <v>2050</v>
      </c>
      <c r="N622" s="2">
        <v>66000</v>
      </c>
      <c r="O622" s="2">
        <v>1700</v>
      </c>
      <c r="P622" s="2">
        <v>9900</v>
      </c>
      <c r="Q622" s="2">
        <v>8200</v>
      </c>
      <c r="R622" s="2">
        <v>0</v>
      </c>
      <c r="S622">
        <v>0</v>
      </c>
      <c r="T622" s="2">
        <v>9900</v>
      </c>
      <c r="U622" s="2">
        <v>56100</v>
      </c>
      <c r="V622">
        <v>102.5</v>
      </c>
      <c r="W622">
        <v>0</v>
      </c>
      <c r="X622">
        <v>0</v>
      </c>
      <c r="Y622">
        <v>0</v>
      </c>
      <c r="Z622">
        <v>1</v>
      </c>
      <c r="AA622">
        <v>9.7560975609756097E-3</v>
      </c>
      <c r="AB622">
        <v>20.9</v>
      </c>
      <c r="AC622">
        <v>11.901388888888889</v>
      </c>
      <c r="AD622">
        <v>17.920000000000002</v>
      </c>
      <c r="AE622" s="7"/>
      <c r="AF622" s="7"/>
      <c r="AG622" s="7"/>
      <c r="AH622" s="7"/>
      <c r="AI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9.8611111111111427E-2</v>
      </c>
      <c r="AJ622" s="7"/>
      <c r="AK622" t="s">
        <v>214</v>
      </c>
      <c r="AL622">
        <v>4</v>
      </c>
      <c r="AM622">
        <v>5</v>
      </c>
      <c r="AN622">
        <f>IFERROR(INT(Table13[[#This Row],[reject_prod]]/Table13[[#This Row],[part_weight]] * 1000), 0)</f>
        <v>80</v>
      </c>
    </row>
    <row r="623" spans="1:40" hidden="1">
      <c r="A623" s="1">
        <v>46042</v>
      </c>
      <c r="B623">
        <v>1</v>
      </c>
      <c r="C623">
        <v>6</v>
      </c>
      <c r="D623" t="s">
        <v>414</v>
      </c>
      <c r="E623" t="s">
        <v>34</v>
      </c>
      <c r="F623">
        <v>322409</v>
      </c>
      <c r="G623" s="6">
        <v>0</v>
      </c>
      <c r="H623" t="s">
        <v>400</v>
      </c>
      <c r="I623">
        <v>10683854</v>
      </c>
      <c r="J623">
        <v>4</v>
      </c>
      <c r="K623">
        <v>24</v>
      </c>
      <c r="L623">
        <v>24</v>
      </c>
      <c r="M623">
        <v>2000</v>
      </c>
      <c r="N623" s="2">
        <v>70200</v>
      </c>
      <c r="O623" s="2">
        <v>0</v>
      </c>
      <c r="P623" s="2">
        <v>3042</v>
      </c>
      <c r="Q623" s="2">
        <v>8000</v>
      </c>
      <c r="R623" s="2">
        <v>4680</v>
      </c>
      <c r="S623">
        <v>112.32</v>
      </c>
      <c r="T623" s="2">
        <v>11232</v>
      </c>
      <c r="U623" s="2">
        <v>58968</v>
      </c>
      <c r="V623">
        <v>192</v>
      </c>
      <c r="W623">
        <v>0</v>
      </c>
      <c r="X623">
        <v>0</v>
      </c>
      <c r="Y623">
        <v>0</v>
      </c>
      <c r="Z623">
        <v>12.8</v>
      </c>
      <c r="AA623">
        <v>6.6666666666666666E-2</v>
      </c>
      <c r="AB623">
        <v>20</v>
      </c>
      <c r="AC623">
        <v>11.111111111111111</v>
      </c>
      <c r="AD623">
        <v>20</v>
      </c>
      <c r="AE623" s="7"/>
      <c r="AF623" s="7"/>
      <c r="AG623" s="7"/>
      <c r="AH623" s="7"/>
      <c r="AI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0.88888888888888928</v>
      </c>
      <c r="AJ623" s="7"/>
      <c r="AK623" t="s">
        <v>421</v>
      </c>
      <c r="AL623">
        <v>7</v>
      </c>
      <c r="AM623">
        <v>4</v>
      </c>
      <c r="AN623">
        <f>IFERROR(INT(Table13[[#This Row],[reject_prod]]/Table13[[#This Row],[part_weight]] * 1000), 0)</f>
        <v>533</v>
      </c>
    </row>
    <row r="624" spans="1:40" hidden="1">
      <c r="A624" s="1">
        <v>46042</v>
      </c>
      <c r="B624">
        <v>1</v>
      </c>
      <c r="C624">
        <v>7</v>
      </c>
      <c r="D624" t="s">
        <v>415</v>
      </c>
      <c r="E624" t="s">
        <v>34</v>
      </c>
      <c r="F624">
        <v>322452</v>
      </c>
      <c r="G624" s="6">
        <v>0</v>
      </c>
      <c r="H624" t="s">
        <v>374</v>
      </c>
      <c r="I624">
        <v>10683857</v>
      </c>
      <c r="J624">
        <v>4</v>
      </c>
      <c r="K624">
        <v>33.11</v>
      </c>
      <c r="L624">
        <v>34.5</v>
      </c>
      <c r="M624">
        <v>1825</v>
      </c>
      <c r="N624" s="2">
        <v>44928</v>
      </c>
      <c r="O624" s="2">
        <v>0</v>
      </c>
      <c r="P624" s="2">
        <v>1048</v>
      </c>
      <c r="Q624" s="2">
        <v>7300</v>
      </c>
      <c r="R624" s="2">
        <v>6240</v>
      </c>
      <c r="S624">
        <v>215.28</v>
      </c>
      <c r="T624" s="2">
        <v>19768</v>
      </c>
      <c r="U624" s="2">
        <v>25160</v>
      </c>
      <c r="V624">
        <v>251.85</v>
      </c>
      <c r="W624">
        <v>0</v>
      </c>
      <c r="X624">
        <v>0</v>
      </c>
      <c r="Y624">
        <v>0</v>
      </c>
      <c r="Z624">
        <v>1.3</v>
      </c>
      <c r="AA624">
        <v>5.1618026603136788E-3</v>
      </c>
      <c r="AB624">
        <v>23.57</v>
      </c>
      <c r="AC624">
        <v>11.948680555555557</v>
      </c>
      <c r="AD624">
        <v>18.04</v>
      </c>
      <c r="AE624" s="7"/>
      <c r="AF624" s="7"/>
      <c r="AG624" s="7"/>
      <c r="AH624" s="7"/>
      <c r="AI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5.1319444444443363E-2</v>
      </c>
      <c r="AJ624" s="7"/>
      <c r="AK624" t="s">
        <v>103</v>
      </c>
      <c r="AM624">
        <v>3</v>
      </c>
      <c r="AN624">
        <f>IFERROR(INT(Table13[[#This Row],[reject_prod]]/Table13[[#This Row],[part_weight]] * 1000), 0)</f>
        <v>37</v>
      </c>
    </row>
    <row r="625" spans="1:40" hidden="1">
      <c r="A625" s="1">
        <v>46042</v>
      </c>
      <c r="B625">
        <v>1</v>
      </c>
      <c r="C625">
        <v>8</v>
      </c>
      <c r="D625" t="s">
        <v>416</v>
      </c>
      <c r="E625" t="s">
        <v>41</v>
      </c>
      <c r="F625">
        <v>593537</v>
      </c>
      <c r="G625" s="6">
        <v>0</v>
      </c>
      <c r="H625" t="s">
        <v>48</v>
      </c>
      <c r="I625">
        <v>10685022</v>
      </c>
      <c r="J625">
        <v>4</v>
      </c>
      <c r="K625">
        <v>56.5</v>
      </c>
      <c r="L625">
        <v>56.8</v>
      </c>
      <c r="M625">
        <v>1410</v>
      </c>
      <c r="N625" s="2">
        <v>69000</v>
      </c>
      <c r="O625" s="2">
        <v>345</v>
      </c>
      <c r="P625" s="2">
        <v>230</v>
      </c>
      <c r="Q625" s="2">
        <v>5640</v>
      </c>
      <c r="R625" s="2">
        <v>5750</v>
      </c>
      <c r="S625">
        <v>326.60000000000002</v>
      </c>
      <c r="T625" s="2">
        <v>6555</v>
      </c>
      <c r="U625" s="2">
        <v>62445</v>
      </c>
      <c r="V625">
        <v>320.35199999999998</v>
      </c>
      <c r="W625">
        <v>0</v>
      </c>
      <c r="X625">
        <v>0</v>
      </c>
      <c r="Y625">
        <v>0</v>
      </c>
      <c r="Z625">
        <v>1.1000000000000001</v>
      </c>
      <c r="AA625">
        <v>3.4337229048047153E-3</v>
      </c>
      <c r="AB625">
        <v>30.4</v>
      </c>
      <c r="AC625">
        <v>11.906666666666666</v>
      </c>
      <c r="AD625">
        <v>28.5</v>
      </c>
      <c r="AE625" s="7"/>
      <c r="AF625" s="7"/>
      <c r="AG625" s="7"/>
      <c r="AH625" s="7"/>
      <c r="AI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625" s="7"/>
      <c r="AK625" t="s">
        <v>51</v>
      </c>
      <c r="AN625">
        <f>IFERROR(INT(Table13[[#This Row],[reject_prod]]/Table13[[#This Row],[part_weight]] * 1000), 0)</f>
        <v>19</v>
      </c>
    </row>
    <row r="626" spans="1:40" hidden="1">
      <c r="A626" s="1">
        <v>46042</v>
      </c>
      <c r="B626">
        <v>1</v>
      </c>
      <c r="C626">
        <v>9</v>
      </c>
      <c r="D626" t="s">
        <v>33</v>
      </c>
      <c r="E626" t="s">
        <v>46</v>
      </c>
      <c r="F626">
        <v>586276</v>
      </c>
      <c r="G626" s="6">
        <v>0</v>
      </c>
      <c r="H626" t="s">
        <v>47</v>
      </c>
      <c r="I626">
        <v>10682924</v>
      </c>
      <c r="J626">
        <v>6</v>
      </c>
      <c r="K626">
        <v>12.3</v>
      </c>
      <c r="L626">
        <v>12.3</v>
      </c>
      <c r="M626">
        <v>0</v>
      </c>
      <c r="N626" s="2">
        <v>162000</v>
      </c>
      <c r="O626" s="2">
        <v>7290</v>
      </c>
      <c r="P626" s="2">
        <v>7290</v>
      </c>
      <c r="Q626" s="2">
        <v>0</v>
      </c>
      <c r="R626" s="2">
        <v>0</v>
      </c>
      <c r="S626">
        <v>0</v>
      </c>
      <c r="T626" s="2">
        <v>80190</v>
      </c>
      <c r="U626" s="2">
        <v>81810</v>
      </c>
      <c r="V626">
        <v>0</v>
      </c>
      <c r="W626">
        <v>0</v>
      </c>
      <c r="X626">
        <v>0</v>
      </c>
      <c r="Y626" t="e">
        <v>#DIV/0!</v>
      </c>
      <c r="Z626">
        <v>0</v>
      </c>
      <c r="AA626" t="e">
        <v>#DIV/0!</v>
      </c>
      <c r="AB626">
        <v>26.2</v>
      </c>
      <c r="AC626">
        <v>0</v>
      </c>
      <c r="AD626">
        <v>26</v>
      </c>
      <c r="AE626" s="7"/>
      <c r="AF626" s="7"/>
      <c r="AG626" s="7"/>
      <c r="AH626" s="7"/>
      <c r="AI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26" s="7"/>
      <c r="AK626" t="s">
        <v>357</v>
      </c>
      <c r="AN626">
        <f>IFERROR(INT(Table13[[#This Row],[reject_prod]]/Table13[[#This Row],[part_weight]] * 1000), 0)</f>
        <v>0</v>
      </c>
    </row>
    <row r="627" spans="1:40" hidden="1">
      <c r="A627" s="1">
        <v>46042</v>
      </c>
      <c r="B627">
        <v>1</v>
      </c>
      <c r="C627">
        <v>10</v>
      </c>
      <c r="D627" t="s">
        <v>53</v>
      </c>
      <c r="E627" t="s">
        <v>34</v>
      </c>
      <c r="F627">
        <v>323092</v>
      </c>
      <c r="G627" s="6">
        <v>0</v>
      </c>
      <c r="H627" t="s">
        <v>377</v>
      </c>
      <c r="I627">
        <v>10684857</v>
      </c>
      <c r="J627">
        <v>4</v>
      </c>
      <c r="K627">
        <v>48.9</v>
      </c>
      <c r="L627">
        <v>48.9</v>
      </c>
      <c r="M627">
        <v>1550</v>
      </c>
      <c r="N627" s="2">
        <v>37800</v>
      </c>
      <c r="O627" s="2">
        <v>0</v>
      </c>
      <c r="P627" s="2">
        <v>420</v>
      </c>
      <c r="Q627" s="2">
        <v>6200</v>
      </c>
      <c r="R627" s="2">
        <v>5775</v>
      </c>
      <c r="S627">
        <v>282.39749999999998</v>
      </c>
      <c r="T627" s="2">
        <v>24570</v>
      </c>
      <c r="U627" s="2">
        <v>13230</v>
      </c>
      <c r="V627">
        <v>303.18</v>
      </c>
      <c r="W627">
        <v>0</v>
      </c>
      <c r="X627">
        <v>0</v>
      </c>
      <c r="Y627">
        <v>0</v>
      </c>
      <c r="Z627">
        <v>1</v>
      </c>
      <c r="AA627">
        <v>3.2983706049211688E-3</v>
      </c>
      <c r="AB627">
        <v>27.4</v>
      </c>
      <c r="AC627">
        <v>11.797222222222222</v>
      </c>
      <c r="AD627">
        <v>27.6</v>
      </c>
      <c r="AE627" s="7"/>
      <c r="AF627" s="7"/>
      <c r="AG627" s="7"/>
      <c r="AH627" s="7"/>
      <c r="AI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0.2027777777777775</v>
      </c>
      <c r="AJ627" s="7"/>
      <c r="AK627" t="s">
        <v>214</v>
      </c>
      <c r="AN627">
        <f>IFERROR(INT(Table13[[#This Row],[reject_prod]]/Table13[[#This Row],[part_weight]] * 1000), 0)</f>
        <v>20</v>
      </c>
    </row>
    <row r="628" spans="1:40" hidden="1">
      <c r="A628" s="1">
        <v>46042</v>
      </c>
      <c r="B628">
        <v>1</v>
      </c>
      <c r="C628">
        <v>11</v>
      </c>
      <c r="D628" t="s">
        <v>59</v>
      </c>
      <c r="E628" t="s">
        <v>46</v>
      </c>
      <c r="F628">
        <v>552181</v>
      </c>
      <c r="G628" s="6">
        <v>1</v>
      </c>
      <c r="H628" t="s">
        <v>49</v>
      </c>
      <c r="I628">
        <v>10683782</v>
      </c>
      <c r="J628">
        <v>6</v>
      </c>
      <c r="K628">
        <v>18.8</v>
      </c>
      <c r="L628">
        <v>18.8</v>
      </c>
      <c r="M628">
        <v>1395</v>
      </c>
      <c r="N628" s="2">
        <v>108000</v>
      </c>
      <c r="O628" s="2">
        <v>10800</v>
      </c>
      <c r="P628" s="2">
        <v>13770</v>
      </c>
      <c r="Q628" s="2">
        <v>8370</v>
      </c>
      <c r="R628" s="2">
        <v>5400</v>
      </c>
      <c r="S628">
        <v>101.52</v>
      </c>
      <c r="T628" s="2">
        <v>105570</v>
      </c>
      <c r="U628" s="2">
        <v>2430</v>
      </c>
      <c r="V628">
        <v>157.35599999999999</v>
      </c>
      <c r="W628">
        <v>0</v>
      </c>
      <c r="X628">
        <v>0</v>
      </c>
      <c r="Y628">
        <v>0</v>
      </c>
      <c r="Z628">
        <v>7.5</v>
      </c>
      <c r="AA628">
        <v>4.7662624876077177E-2</v>
      </c>
      <c r="AB628">
        <v>30.5</v>
      </c>
      <c r="AC628">
        <v>11.818750000000001</v>
      </c>
      <c r="AD628">
        <v>27</v>
      </c>
      <c r="AE628" s="7"/>
      <c r="AF628" s="7"/>
      <c r="AG628" s="7"/>
      <c r="AH628" s="7"/>
      <c r="AI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0.18124999999999858</v>
      </c>
      <c r="AJ628" s="7"/>
      <c r="AK628" t="s">
        <v>57</v>
      </c>
      <c r="AN628">
        <f>IFERROR(INT(Table13[[#This Row],[reject_prod]]/Table13[[#This Row],[part_weight]] * 1000), 0)</f>
        <v>398</v>
      </c>
    </row>
    <row r="629" spans="1:40" hidden="1">
      <c r="A629" s="1">
        <v>46042</v>
      </c>
      <c r="B629">
        <v>1</v>
      </c>
      <c r="C629">
        <v>12</v>
      </c>
      <c r="D629" t="s">
        <v>289</v>
      </c>
      <c r="E629" t="s">
        <v>34</v>
      </c>
      <c r="F629">
        <v>620599</v>
      </c>
      <c r="G629" s="6">
        <v>0</v>
      </c>
      <c r="H629" t="s">
        <v>50</v>
      </c>
      <c r="I629">
        <v>10682929</v>
      </c>
      <c r="J629">
        <v>4</v>
      </c>
      <c r="K629">
        <v>55</v>
      </c>
      <c r="L629">
        <v>55</v>
      </c>
      <c r="M629">
        <v>620</v>
      </c>
      <c r="N629" s="2">
        <v>72000</v>
      </c>
      <c r="O629" s="2">
        <v>1350</v>
      </c>
      <c r="P629" s="2">
        <v>225</v>
      </c>
      <c r="Q629" s="2">
        <v>2480</v>
      </c>
      <c r="R629" s="2">
        <v>3600</v>
      </c>
      <c r="S629">
        <v>198</v>
      </c>
      <c r="T629" s="2">
        <v>70425</v>
      </c>
      <c r="U629" s="2">
        <v>1575</v>
      </c>
      <c r="V629">
        <v>136.4</v>
      </c>
      <c r="W629">
        <v>0</v>
      </c>
      <c r="X629">
        <v>6</v>
      </c>
      <c r="Y629">
        <v>4.3988269794721403E-2</v>
      </c>
      <c r="Z629">
        <v>2.8</v>
      </c>
      <c r="AA629">
        <v>2.0527859237536656E-2</v>
      </c>
      <c r="AB629">
        <v>29.1</v>
      </c>
      <c r="AC629">
        <v>5</v>
      </c>
      <c r="AD629">
        <v>28</v>
      </c>
      <c r="AE629" s="7"/>
      <c r="AF629" s="7"/>
      <c r="AG629" s="7"/>
      <c r="AH629" s="7">
        <v>7</v>
      </c>
      <c r="AI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29" s="7"/>
      <c r="AK629" t="s">
        <v>422</v>
      </c>
      <c r="AL629">
        <v>4</v>
      </c>
      <c r="AM629">
        <v>4</v>
      </c>
      <c r="AN629">
        <f>IFERROR(INT(Table13[[#This Row],[reject_prod]]/Table13[[#This Row],[part_weight]] * 1000), 0)</f>
        <v>50</v>
      </c>
    </row>
    <row r="630" spans="1:40" hidden="1">
      <c r="A630" s="1">
        <v>46042</v>
      </c>
      <c r="B630">
        <v>1</v>
      </c>
      <c r="C630">
        <v>13</v>
      </c>
      <c r="D630" t="s">
        <v>59</v>
      </c>
      <c r="E630" t="s">
        <v>46</v>
      </c>
      <c r="F630">
        <v>586276</v>
      </c>
      <c r="G630" s="6">
        <v>0</v>
      </c>
      <c r="H630" t="s">
        <v>47</v>
      </c>
      <c r="I630">
        <v>10683784</v>
      </c>
      <c r="J630">
        <v>6</v>
      </c>
      <c r="K630">
        <v>12.3</v>
      </c>
      <c r="L630">
        <v>12.3</v>
      </c>
      <c r="M630">
        <v>1620</v>
      </c>
      <c r="N630" s="2">
        <v>162000</v>
      </c>
      <c r="O630" s="2">
        <v>3240</v>
      </c>
      <c r="P630" s="2">
        <v>4860</v>
      </c>
      <c r="Q630" s="2">
        <v>9720</v>
      </c>
      <c r="R630" s="2">
        <v>8100</v>
      </c>
      <c r="S630">
        <v>99.63</v>
      </c>
      <c r="T630" s="2">
        <v>118260</v>
      </c>
      <c r="U630" s="2">
        <v>43740</v>
      </c>
      <c r="V630">
        <v>119.556</v>
      </c>
      <c r="W630">
        <v>0</v>
      </c>
      <c r="X630">
        <v>0</v>
      </c>
      <c r="Y630">
        <v>0</v>
      </c>
      <c r="Z630">
        <v>1.4</v>
      </c>
      <c r="AA630">
        <v>1.1709993643146307E-2</v>
      </c>
      <c r="AB630">
        <v>26.2</v>
      </c>
      <c r="AC630">
        <v>11.790000000000001</v>
      </c>
      <c r="AD630">
        <v>26</v>
      </c>
      <c r="AE630" s="7"/>
      <c r="AF630" s="7"/>
      <c r="AG630" s="7"/>
      <c r="AH630" s="7"/>
      <c r="AI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630" s="7"/>
      <c r="AK630" t="s">
        <v>51</v>
      </c>
      <c r="AN630">
        <f>IFERROR(INT(Table13[[#This Row],[reject_prod]]/Table13[[#This Row],[part_weight]] * 1000), 0)</f>
        <v>113</v>
      </c>
    </row>
    <row r="631" spans="1:40" hidden="1">
      <c r="A631" s="1">
        <v>46042</v>
      </c>
      <c r="B631">
        <v>1</v>
      </c>
      <c r="C631">
        <v>14</v>
      </c>
      <c r="D631" t="s">
        <v>417</v>
      </c>
      <c r="E631" t="s">
        <v>46</v>
      </c>
      <c r="F631">
        <v>555979</v>
      </c>
      <c r="G631" s="6">
        <v>1</v>
      </c>
      <c r="H631" t="s">
        <v>52</v>
      </c>
      <c r="I631">
        <v>10683785</v>
      </c>
      <c r="J631">
        <v>6</v>
      </c>
      <c r="K631">
        <v>28</v>
      </c>
      <c r="L631">
        <v>28</v>
      </c>
      <c r="M631">
        <v>1008</v>
      </c>
      <c r="N631" s="2">
        <v>100800</v>
      </c>
      <c r="O631" s="2">
        <v>2856</v>
      </c>
      <c r="P631" s="2">
        <v>2184</v>
      </c>
      <c r="Q631" s="2">
        <v>6048</v>
      </c>
      <c r="R631" s="2">
        <v>6720</v>
      </c>
      <c r="S631">
        <v>188.16</v>
      </c>
      <c r="T631" s="2">
        <v>22344</v>
      </c>
      <c r="U631" s="2">
        <v>78456</v>
      </c>
      <c r="V631">
        <v>169.34399999999999</v>
      </c>
      <c r="W631">
        <v>0</v>
      </c>
      <c r="X631">
        <v>0</v>
      </c>
      <c r="Y631">
        <v>0</v>
      </c>
      <c r="Z631">
        <v>2.1</v>
      </c>
      <c r="AA631">
        <v>1.2400793650793652E-2</v>
      </c>
      <c r="AB631">
        <v>43</v>
      </c>
      <c r="AC631">
        <v>12</v>
      </c>
      <c r="AD631">
        <v>42</v>
      </c>
      <c r="AE631" s="7"/>
      <c r="AF631" s="7"/>
      <c r="AG631" s="7"/>
      <c r="AH631" s="7"/>
      <c r="AI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31" s="7"/>
      <c r="AK631" t="s">
        <v>51</v>
      </c>
      <c r="AN631">
        <f>IFERROR(INT(Table13[[#This Row],[reject_prod]]/Table13[[#This Row],[part_weight]] * 1000), 0)</f>
        <v>75</v>
      </c>
    </row>
    <row r="632" spans="1:40" hidden="1">
      <c r="A632" s="1">
        <v>46042</v>
      </c>
      <c r="B632">
        <v>1</v>
      </c>
      <c r="C632">
        <v>15</v>
      </c>
      <c r="D632" t="s">
        <v>59</v>
      </c>
      <c r="E632" t="s">
        <v>46</v>
      </c>
      <c r="F632">
        <v>552181</v>
      </c>
      <c r="G632" s="6">
        <v>2</v>
      </c>
      <c r="H632" t="s">
        <v>49</v>
      </c>
      <c r="I632">
        <v>10683786</v>
      </c>
      <c r="J632">
        <v>6</v>
      </c>
      <c r="K632">
        <v>18.8</v>
      </c>
      <c r="L632">
        <v>18.8</v>
      </c>
      <c r="M632">
        <v>1395</v>
      </c>
      <c r="N632" s="2">
        <v>108000</v>
      </c>
      <c r="O632" s="2">
        <v>2700</v>
      </c>
      <c r="P632" s="2">
        <v>270</v>
      </c>
      <c r="Q632" s="2">
        <v>8370</v>
      </c>
      <c r="R632" s="2">
        <v>10800</v>
      </c>
      <c r="S632">
        <v>203.04</v>
      </c>
      <c r="T632" s="2">
        <v>81270</v>
      </c>
      <c r="U632" s="2">
        <v>26730</v>
      </c>
      <c r="V632">
        <v>157.35599999999999</v>
      </c>
      <c r="W632">
        <v>0</v>
      </c>
      <c r="X632">
        <v>0</v>
      </c>
      <c r="Y632">
        <v>0</v>
      </c>
      <c r="Z632">
        <v>1</v>
      </c>
      <c r="AA632">
        <v>6.3550166501436236E-3</v>
      </c>
      <c r="AB632">
        <v>31.2</v>
      </c>
      <c r="AC632">
        <v>12</v>
      </c>
      <c r="AD632">
        <v>27</v>
      </c>
      <c r="AE632" s="7"/>
      <c r="AF632" s="7"/>
      <c r="AG632" s="7"/>
      <c r="AH632" s="7"/>
      <c r="AI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32" s="7"/>
      <c r="AK632" t="s">
        <v>51</v>
      </c>
      <c r="AN632">
        <f>IFERROR(INT(Table13[[#This Row],[reject_prod]]/Table13[[#This Row],[part_weight]] * 1000), 0)</f>
        <v>53</v>
      </c>
    </row>
    <row r="633" spans="1:40" s="4" customFormat="1" hidden="1">
      <c r="A633" s="3">
        <v>46042</v>
      </c>
      <c r="B633" s="4">
        <v>1</v>
      </c>
      <c r="C633" s="4">
        <v>16</v>
      </c>
      <c r="D633" s="4" t="s">
        <v>209</v>
      </c>
      <c r="E633" s="4" t="s">
        <v>46</v>
      </c>
      <c r="F633" s="4">
        <v>555979</v>
      </c>
      <c r="G633" s="9">
        <v>2</v>
      </c>
      <c r="H633" s="4" t="s">
        <v>52</v>
      </c>
      <c r="I633" s="4">
        <v>10683788</v>
      </c>
      <c r="J633" s="4">
        <v>6</v>
      </c>
      <c r="K633" s="4">
        <v>28</v>
      </c>
      <c r="L633" s="4">
        <v>28</v>
      </c>
      <c r="M633" s="4">
        <v>950</v>
      </c>
      <c r="N633" s="5">
        <v>100800</v>
      </c>
      <c r="O633" s="5">
        <v>1344</v>
      </c>
      <c r="P633" s="5">
        <v>168</v>
      </c>
      <c r="Q633" s="5">
        <v>5700</v>
      </c>
      <c r="R633" s="5">
        <v>6720</v>
      </c>
      <c r="S633" s="4">
        <v>188.16</v>
      </c>
      <c r="T633" s="5">
        <v>64008</v>
      </c>
      <c r="U633" s="5">
        <v>36792</v>
      </c>
      <c r="V633" s="4">
        <v>159.6</v>
      </c>
      <c r="W633" s="4">
        <v>0</v>
      </c>
      <c r="X633" s="4">
        <v>0</v>
      </c>
      <c r="Y633" s="4">
        <v>0</v>
      </c>
      <c r="Z633" s="4">
        <v>1.3</v>
      </c>
      <c r="AA633" s="4">
        <v>8.1453634085213045E-3</v>
      </c>
      <c r="AB633" s="4">
        <v>43.7</v>
      </c>
      <c r="AC633" s="4">
        <v>11.531944444444445</v>
      </c>
      <c r="AD633" s="4">
        <v>42</v>
      </c>
      <c r="AE633" s="8"/>
      <c r="AF633" s="8"/>
      <c r="AG633" s="8"/>
      <c r="AH633" s="8"/>
      <c r="AI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0.468055555555555</v>
      </c>
      <c r="AJ633" s="8"/>
      <c r="AK633" s="4" t="s">
        <v>51</v>
      </c>
      <c r="AN633">
        <f>IFERROR(INT(Table13[[#This Row],[reject_prod]]/Table13[[#This Row],[part_weight]] * 1000), 0)</f>
        <v>46</v>
      </c>
    </row>
    <row r="634" spans="1:40" hidden="1">
      <c r="A634" s="1">
        <v>46042</v>
      </c>
      <c r="B634">
        <v>2</v>
      </c>
      <c r="C634">
        <v>1</v>
      </c>
      <c r="D634" t="s">
        <v>40</v>
      </c>
      <c r="E634" t="s">
        <v>34</v>
      </c>
      <c r="F634">
        <v>577492</v>
      </c>
      <c r="G634" s="6">
        <v>0</v>
      </c>
      <c r="H634" t="s">
        <v>341</v>
      </c>
      <c r="I634">
        <v>10684028</v>
      </c>
      <c r="J634">
        <v>4</v>
      </c>
      <c r="K634">
        <v>35.6</v>
      </c>
      <c r="L634">
        <v>35.6</v>
      </c>
      <c r="M634">
        <v>1578</v>
      </c>
      <c r="N634" s="2">
        <v>101200</v>
      </c>
      <c r="O634" s="2">
        <v>0</v>
      </c>
      <c r="P634" s="2">
        <v>736</v>
      </c>
      <c r="Q634" s="2">
        <v>6312</v>
      </c>
      <c r="R634" s="2">
        <v>5520</v>
      </c>
      <c r="S634">
        <v>196.512</v>
      </c>
      <c r="T634" s="2">
        <v>8096</v>
      </c>
      <c r="U634" s="2">
        <v>93104</v>
      </c>
      <c r="V634">
        <v>224.7072</v>
      </c>
      <c r="W634">
        <v>0</v>
      </c>
      <c r="X634">
        <v>0</v>
      </c>
      <c r="Y634">
        <v>0</v>
      </c>
      <c r="Z634">
        <v>2</v>
      </c>
      <c r="AA634">
        <v>8.9004713689636999E-3</v>
      </c>
      <c r="AB634">
        <v>27.1</v>
      </c>
      <c r="AC634">
        <v>11.878833333333334</v>
      </c>
      <c r="AD634">
        <v>27</v>
      </c>
      <c r="AE634" s="7"/>
      <c r="AF634" s="7"/>
      <c r="AG634" s="7"/>
      <c r="AH634" s="7"/>
      <c r="AI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0.12116666666666553</v>
      </c>
      <c r="AJ634" s="7"/>
      <c r="AK634" t="s">
        <v>406</v>
      </c>
      <c r="AN634">
        <f>IFERROR(INT(Table13[[#This Row],[reject_prod]]/Table13[[#This Row],[part_weight]] * 1000), 0)</f>
        <v>56</v>
      </c>
    </row>
    <row r="635" spans="1:40" hidden="1">
      <c r="A635" s="1">
        <v>46042</v>
      </c>
      <c r="B635">
        <v>2</v>
      </c>
      <c r="C635">
        <v>2</v>
      </c>
      <c r="D635" t="s">
        <v>33</v>
      </c>
      <c r="E635" t="s">
        <v>34</v>
      </c>
      <c r="F635">
        <v>416201</v>
      </c>
      <c r="G635" s="6">
        <v>0</v>
      </c>
      <c r="H635" t="s">
        <v>36</v>
      </c>
      <c r="I635">
        <v>10681779</v>
      </c>
      <c r="J635">
        <v>4</v>
      </c>
      <c r="K635">
        <v>20</v>
      </c>
      <c r="L635">
        <v>30</v>
      </c>
      <c r="M635">
        <v>0</v>
      </c>
      <c r="N635" s="2">
        <v>50400</v>
      </c>
      <c r="O635" s="2">
        <v>0</v>
      </c>
      <c r="P635" s="2">
        <v>0</v>
      </c>
      <c r="Q635" s="2">
        <v>0</v>
      </c>
      <c r="R635" s="2">
        <v>0</v>
      </c>
      <c r="S635">
        <v>0</v>
      </c>
      <c r="T635" s="2">
        <v>0</v>
      </c>
      <c r="U635" s="2">
        <v>50400</v>
      </c>
      <c r="V635">
        <v>0</v>
      </c>
      <c r="W635">
        <v>0</v>
      </c>
      <c r="X635">
        <v>0</v>
      </c>
      <c r="Y635" t="e">
        <v>#DIV/0!</v>
      </c>
      <c r="Z635">
        <v>0</v>
      </c>
      <c r="AA635" t="e">
        <v>#DIV/0!</v>
      </c>
      <c r="AB635">
        <v>38.6</v>
      </c>
      <c r="AC635">
        <v>0</v>
      </c>
      <c r="AD635">
        <v>38.64</v>
      </c>
      <c r="AE635" s="7"/>
      <c r="AF635" s="7"/>
      <c r="AG635" s="7"/>
      <c r="AH635" s="7"/>
      <c r="AI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35" s="7"/>
      <c r="AK635" t="s">
        <v>387</v>
      </c>
      <c r="AN635">
        <f>IFERROR(INT(Table13[[#This Row],[reject_prod]]/Table13[[#This Row],[part_weight]] * 1000), 0)</f>
        <v>0</v>
      </c>
    </row>
    <row r="636" spans="1:40" hidden="1">
      <c r="A636" s="1">
        <v>46042</v>
      </c>
      <c r="B636">
        <v>2</v>
      </c>
      <c r="C636">
        <v>3</v>
      </c>
      <c r="D636" t="s">
        <v>141</v>
      </c>
      <c r="E636" t="s">
        <v>34</v>
      </c>
      <c r="F636">
        <v>442034</v>
      </c>
      <c r="G636" s="6">
        <v>0</v>
      </c>
      <c r="H636" t="s">
        <v>37</v>
      </c>
      <c r="I636">
        <v>10681184</v>
      </c>
      <c r="J636">
        <v>4</v>
      </c>
      <c r="K636">
        <v>23</v>
      </c>
      <c r="L636">
        <v>23</v>
      </c>
      <c r="M636">
        <v>1670</v>
      </c>
      <c r="N636" s="2">
        <v>139776</v>
      </c>
      <c r="O636" s="2">
        <v>2304</v>
      </c>
      <c r="P636" s="2">
        <v>4224</v>
      </c>
      <c r="Q636" s="2">
        <v>6680</v>
      </c>
      <c r="R636" s="2">
        <v>4608</v>
      </c>
      <c r="S636">
        <v>105.98399999999999</v>
      </c>
      <c r="T636" s="2">
        <v>8832</v>
      </c>
      <c r="U636" s="2">
        <v>130944</v>
      </c>
      <c r="V636">
        <v>153.63999999999999</v>
      </c>
      <c r="W636">
        <v>0</v>
      </c>
      <c r="X636">
        <v>0</v>
      </c>
      <c r="Y636">
        <v>0</v>
      </c>
      <c r="Z636">
        <v>3.5</v>
      </c>
      <c r="AA636">
        <v>2.2780525904712315E-2</v>
      </c>
      <c r="AB636">
        <v>23.5</v>
      </c>
      <c r="AC636">
        <v>10.90138888888889</v>
      </c>
      <c r="AD636">
        <v>22</v>
      </c>
      <c r="AE636" s="7"/>
      <c r="AF636" s="7"/>
      <c r="AG636" s="7"/>
      <c r="AH636" s="7"/>
      <c r="AI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1.0986111111111097</v>
      </c>
      <c r="AJ636" s="7"/>
      <c r="AK636" t="s">
        <v>423</v>
      </c>
      <c r="AN636">
        <f>IFERROR(INT(Table13[[#This Row],[reject_prod]]/Table13[[#This Row],[part_weight]] * 1000), 0)</f>
        <v>152</v>
      </c>
    </row>
    <row r="637" spans="1:40" hidden="1">
      <c r="A637" s="1">
        <v>46042</v>
      </c>
      <c r="B637">
        <v>2</v>
      </c>
      <c r="C637">
        <v>4</v>
      </c>
      <c r="D637" t="s">
        <v>143</v>
      </c>
      <c r="E637" t="s">
        <v>34</v>
      </c>
      <c r="F637">
        <v>402305</v>
      </c>
      <c r="G637" s="6">
        <v>0</v>
      </c>
      <c r="H637" t="s">
        <v>395</v>
      </c>
      <c r="I637">
        <v>10684852</v>
      </c>
      <c r="J637">
        <v>4</v>
      </c>
      <c r="K637">
        <v>29</v>
      </c>
      <c r="L637">
        <v>29</v>
      </c>
      <c r="M637">
        <v>1707</v>
      </c>
      <c r="N637" s="2">
        <v>64896</v>
      </c>
      <c r="O637" s="2">
        <v>416</v>
      </c>
      <c r="P637" s="2">
        <v>936</v>
      </c>
      <c r="Q637" s="2">
        <v>6828</v>
      </c>
      <c r="R637" s="2">
        <v>6240</v>
      </c>
      <c r="S637">
        <v>180.96</v>
      </c>
      <c r="T637" s="2">
        <v>15912</v>
      </c>
      <c r="U637" s="2">
        <v>48984</v>
      </c>
      <c r="V637">
        <v>198.012</v>
      </c>
      <c r="W637">
        <v>0</v>
      </c>
      <c r="X637">
        <v>0</v>
      </c>
      <c r="Y637">
        <v>0</v>
      </c>
      <c r="Z637">
        <v>1.7</v>
      </c>
      <c r="AA637">
        <v>8.5853382623275361E-3</v>
      </c>
      <c r="AB637">
        <v>24.4</v>
      </c>
      <c r="AC637">
        <v>11.569666666666667</v>
      </c>
      <c r="AD637">
        <v>22</v>
      </c>
      <c r="AE637" s="7"/>
      <c r="AF637" s="7"/>
      <c r="AG637" s="7"/>
      <c r="AH637" s="7"/>
      <c r="AI6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0.43033333333333346</v>
      </c>
      <c r="AJ637" s="7"/>
      <c r="AK637" t="s">
        <v>214</v>
      </c>
      <c r="AN637">
        <f>IFERROR(INT(Table13[[#This Row],[reject_prod]]/Table13[[#This Row],[part_weight]] * 1000), 0)</f>
        <v>58</v>
      </c>
    </row>
    <row r="638" spans="1:40" hidden="1">
      <c r="A638" s="1">
        <v>46042</v>
      </c>
      <c r="B638">
        <v>2</v>
      </c>
      <c r="C638">
        <v>5</v>
      </c>
      <c r="D638" t="s">
        <v>418</v>
      </c>
      <c r="E638" t="s">
        <v>34</v>
      </c>
      <c r="F638">
        <v>322383</v>
      </c>
      <c r="G638" s="6">
        <v>0</v>
      </c>
      <c r="H638" t="s">
        <v>71</v>
      </c>
      <c r="I638">
        <v>10682756</v>
      </c>
      <c r="J638">
        <v>4</v>
      </c>
      <c r="K638">
        <v>12.5</v>
      </c>
      <c r="L638">
        <v>12.5</v>
      </c>
      <c r="M638">
        <v>2021</v>
      </c>
      <c r="N638" s="2">
        <v>66000</v>
      </c>
      <c r="O638" s="2">
        <v>9900</v>
      </c>
      <c r="P638" s="2">
        <v>4700</v>
      </c>
      <c r="Q638" s="2">
        <v>8084</v>
      </c>
      <c r="R638" s="2">
        <v>13200</v>
      </c>
      <c r="S638">
        <v>165</v>
      </c>
      <c r="T638" s="2">
        <v>17900</v>
      </c>
      <c r="U638" s="2">
        <v>48100</v>
      </c>
      <c r="V638">
        <v>101.05</v>
      </c>
      <c r="W638">
        <v>0</v>
      </c>
      <c r="X638">
        <v>0</v>
      </c>
      <c r="Y638">
        <v>0</v>
      </c>
      <c r="Z638">
        <v>1</v>
      </c>
      <c r="AA638">
        <v>9.8960910440376061E-3</v>
      </c>
      <c r="AB638">
        <v>20.9</v>
      </c>
      <c r="AC638">
        <v>11.733027777777776</v>
      </c>
      <c r="AD638">
        <v>17.920000000000002</v>
      </c>
      <c r="AE638" s="7"/>
      <c r="AF638" s="7"/>
      <c r="AG638" s="7"/>
      <c r="AH638" s="7"/>
      <c r="AI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0.26697222222222372</v>
      </c>
      <c r="AJ638" s="7"/>
      <c r="AK638" t="s">
        <v>214</v>
      </c>
      <c r="AN638">
        <f>IFERROR(INT(Table13[[#This Row],[reject_prod]]/Table13[[#This Row],[part_weight]] * 1000), 0)</f>
        <v>80</v>
      </c>
    </row>
    <row r="639" spans="1:40" hidden="1">
      <c r="A639" s="1">
        <v>46042</v>
      </c>
      <c r="B639">
        <v>2</v>
      </c>
      <c r="C639">
        <v>6</v>
      </c>
      <c r="D639" t="s">
        <v>419</v>
      </c>
      <c r="E639" t="s">
        <v>34</v>
      </c>
      <c r="F639">
        <v>322409</v>
      </c>
      <c r="G639" s="6">
        <v>0</v>
      </c>
      <c r="H639" t="s">
        <v>400</v>
      </c>
      <c r="I639">
        <v>10683854</v>
      </c>
      <c r="J639">
        <v>4</v>
      </c>
      <c r="K639">
        <v>24</v>
      </c>
      <c r="L639">
        <v>24</v>
      </c>
      <c r="M639">
        <v>1930</v>
      </c>
      <c r="N639" s="2">
        <v>70200</v>
      </c>
      <c r="O639" s="2">
        <v>3042</v>
      </c>
      <c r="P639" s="2">
        <v>1170</v>
      </c>
      <c r="Q639" s="2">
        <v>7720</v>
      </c>
      <c r="R639" s="2">
        <v>9360</v>
      </c>
      <c r="S639">
        <v>224.64</v>
      </c>
      <c r="T639" s="2">
        <v>18720</v>
      </c>
      <c r="U639" s="2">
        <v>51480</v>
      </c>
      <c r="V639">
        <v>185.28</v>
      </c>
      <c r="W639">
        <v>0</v>
      </c>
      <c r="X639">
        <v>0</v>
      </c>
      <c r="Y639">
        <v>0</v>
      </c>
      <c r="Z639">
        <v>5.5</v>
      </c>
      <c r="AA639">
        <v>2.9684801381692574E-2</v>
      </c>
      <c r="AB639">
        <v>21.4</v>
      </c>
      <c r="AC639">
        <v>11.472777777777777</v>
      </c>
      <c r="AD639">
        <v>20</v>
      </c>
      <c r="AE639" s="7"/>
      <c r="AF639" s="7"/>
      <c r="AG639" s="7"/>
      <c r="AH639" s="7"/>
      <c r="AI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0.52722222222222292</v>
      </c>
      <c r="AJ639" s="7"/>
      <c r="AK639" t="s">
        <v>424</v>
      </c>
      <c r="AN639">
        <f>IFERROR(INT(Table13[[#This Row],[reject_prod]]/Table13[[#This Row],[part_weight]] * 1000), 0)</f>
        <v>229</v>
      </c>
    </row>
    <row r="640" spans="1:40" hidden="1">
      <c r="A640" s="1">
        <v>46042</v>
      </c>
      <c r="B640">
        <v>2</v>
      </c>
      <c r="C640">
        <v>7</v>
      </c>
      <c r="D640" t="s">
        <v>43</v>
      </c>
      <c r="E640" t="s">
        <v>34</v>
      </c>
      <c r="F640">
        <v>322452</v>
      </c>
      <c r="G640" s="6">
        <v>0</v>
      </c>
      <c r="H640" t="s">
        <v>374</v>
      </c>
      <c r="I640">
        <v>10683857</v>
      </c>
      <c r="J640">
        <v>4</v>
      </c>
      <c r="K640">
        <v>33.11</v>
      </c>
      <c r="L640">
        <v>34.5</v>
      </c>
      <c r="M640">
        <v>1779</v>
      </c>
      <c r="N640" s="2">
        <v>44928</v>
      </c>
      <c r="O640" s="2">
        <v>1048</v>
      </c>
      <c r="P640" s="2">
        <v>624</v>
      </c>
      <c r="Q640" s="2">
        <v>7116</v>
      </c>
      <c r="R640" s="2">
        <v>7488</v>
      </c>
      <c r="S640">
        <v>258.33600000000001</v>
      </c>
      <c r="T640" s="2">
        <v>26832</v>
      </c>
      <c r="U640" s="2">
        <v>18096</v>
      </c>
      <c r="V640">
        <v>245.50200000000001</v>
      </c>
      <c r="W640">
        <v>0</v>
      </c>
      <c r="X640">
        <v>0</v>
      </c>
      <c r="Y640">
        <v>0</v>
      </c>
      <c r="Z640">
        <v>1.8</v>
      </c>
      <c r="AA640">
        <v>7.3319158296062757E-3</v>
      </c>
      <c r="AB640">
        <v>23.6</v>
      </c>
      <c r="AC640">
        <v>11.662333333333335</v>
      </c>
      <c r="AD640">
        <v>18.04</v>
      </c>
      <c r="AE640" s="7"/>
      <c r="AF640" s="7"/>
      <c r="AG640" s="7"/>
      <c r="AH640" s="7"/>
      <c r="AI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0.33766666666666545</v>
      </c>
      <c r="AJ640" s="7"/>
      <c r="AK640" t="s">
        <v>214</v>
      </c>
      <c r="AN640">
        <f>IFERROR(INT(Table13[[#This Row],[reject_prod]]/Table13[[#This Row],[part_weight]] * 1000), 0)</f>
        <v>52</v>
      </c>
    </row>
    <row r="641" spans="1:40" hidden="1">
      <c r="A641" s="1">
        <v>46042</v>
      </c>
      <c r="B641">
        <v>2</v>
      </c>
      <c r="C641">
        <v>8</v>
      </c>
      <c r="D641" t="s">
        <v>65</v>
      </c>
      <c r="E641" t="s">
        <v>41</v>
      </c>
      <c r="F641">
        <v>593537</v>
      </c>
      <c r="G641" s="6">
        <v>0</v>
      </c>
      <c r="H641" t="s">
        <v>48</v>
      </c>
      <c r="I641">
        <v>10685022</v>
      </c>
      <c r="J641">
        <v>4</v>
      </c>
      <c r="K641">
        <v>56.5</v>
      </c>
      <c r="L641">
        <v>56.8</v>
      </c>
      <c r="M641">
        <v>1388</v>
      </c>
      <c r="N641" s="2">
        <v>69000</v>
      </c>
      <c r="O641" s="2">
        <v>230</v>
      </c>
      <c r="P641" s="2">
        <v>0</v>
      </c>
      <c r="Q641" s="2">
        <v>5552</v>
      </c>
      <c r="R641" s="2">
        <v>5750</v>
      </c>
      <c r="S641">
        <v>326.60000000000002</v>
      </c>
      <c r="T641" s="2">
        <v>12075</v>
      </c>
      <c r="U641" s="2">
        <v>56925</v>
      </c>
      <c r="V641">
        <v>315.35359999999997</v>
      </c>
      <c r="W641">
        <v>0</v>
      </c>
      <c r="X641">
        <v>0</v>
      </c>
      <c r="Y641">
        <v>0</v>
      </c>
      <c r="Z641">
        <v>1.7</v>
      </c>
      <c r="AA641">
        <v>5.3907740390469619E-3</v>
      </c>
      <c r="AB641">
        <v>30.4</v>
      </c>
      <c r="AC641">
        <v>11.720888888888888</v>
      </c>
      <c r="AD641">
        <v>28.5</v>
      </c>
      <c r="AE641" s="7"/>
      <c r="AF641" s="7"/>
      <c r="AG641" s="7"/>
      <c r="AH641" s="7"/>
      <c r="AI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0.27911111111111175</v>
      </c>
      <c r="AJ641" s="7"/>
      <c r="AK641" t="s">
        <v>406</v>
      </c>
      <c r="AN641">
        <f>IFERROR(INT(Table13[[#This Row],[reject_prod]]/Table13[[#This Row],[part_weight]] * 1000), 0)</f>
        <v>29</v>
      </c>
    </row>
    <row r="642" spans="1:40" hidden="1">
      <c r="A642" s="1">
        <v>46042</v>
      </c>
      <c r="B642">
        <v>2</v>
      </c>
      <c r="C642">
        <v>9</v>
      </c>
      <c r="D642" t="s">
        <v>33</v>
      </c>
      <c r="E642" t="s">
        <v>46</v>
      </c>
      <c r="F642">
        <v>586276</v>
      </c>
      <c r="G642" s="6">
        <v>0</v>
      </c>
      <c r="H642" t="s">
        <v>47</v>
      </c>
      <c r="I642">
        <v>10682924</v>
      </c>
      <c r="J642">
        <v>6</v>
      </c>
      <c r="K642">
        <v>12.3</v>
      </c>
      <c r="L642">
        <v>12.3</v>
      </c>
      <c r="M642">
        <v>0</v>
      </c>
      <c r="N642" s="2">
        <v>162000</v>
      </c>
      <c r="O642" s="2">
        <v>7290</v>
      </c>
      <c r="P642" s="2">
        <v>7290</v>
      </c>
      <c r="Q642" s="2">
        <v>0</v>
      </c>
      <c r="R642" s="2">
        <v>0</v>
      </c>
      <c r="S642">
        <v>0</v>
      </c>
      <c r="T642" s="2">
        <v>80190</v>
      </c>
      <c r="U642" s="2">
        <v>81810</v>
      </c>
      <c r="V642">
        <v>0</v>
      </c>
      <c r="W642">
        <v>0</v>
      </c>
      <c r="X642">
        <v>0</v>
      </c>
      <c r="Y642" t="e">
        <v>#DIV/0!</v>
      </c>
      <c r="Z642">
        <v>0</v>
      </c>
      <c r="AA642" t="e">
        <v>#DIV/0!</v>
      </c>
      <c r="AB642">
        <v>26</v>
      </c>
      <c r="AC642">
        <v>0</v>
      </c>
      <c r="AD642">
        <v>26</v>
      </c>
      <c r="AE642" s="7"/>
      <c r="AF642" s="7"/>
      <c r="AG642" s="7"/>
      <c r="AH642" s="7"/>
      <c r="AI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42" s="7"/>
      <c r="AK642" t="s">
        <v>407</v>
      </c>
      <c r="AN642">
        <f>IFERROR(INT(Table13[[#This Row],[reject_prod]]/Table13[[#This Row],[part_weight]] * 1000), 0)</f>
        <v>0</v>
      </c>
    </row>
    <row r="643" spans="1:40" hidden="1">
      <c r="A643" s="1">
        <v>46042</v>
      </c>
      <c r="B643">
        <v>2</v>
      </c>
      <c r="C643">
        <v>10</v>
      </c>
      <c r="D643" t="s">
        <v>61</v>
      </c>
      <c r="E643" t="s">
        <v>34</v>
      </c>
      <c r="F643">
        <v>323092</v>
      </c>
      <c r="G643" s="6">
        <v>0</v>
      </c>
      <c r="H643" t="s">
        <v>377</v>
      </c>
      <c r="I643">
        <v>10684857</v>
      </c>
      <c r="J643">
        <v>4</v>
      </c>
      <c r="K643">
        <v>48.9</v>
      </c>
      <c r="L643">
        <v>48.9</v>
      </c>
      <c r="M643">
        <v>1547</v>
      </c>
      <c r="N643" s="2">
        <v>37800</v>
      </c>
      <c r="O643" s="2">
        <v>420</v>
      </c>
      <c r="P643" s="2">
        <v>210</v>
      </c>
      <c r="Q643" s="2">
        <v>6188</v>
      </c>
      <c r="R643" s="2">
        <v>6300</v>
      </c>
      <c r="S643">
        <v>308.07</v>
      </c>
      <c r="T643" s="2">
        <v>30660</v>
      </c>
      <c r="U643" s="2">
        <v>7140</v>
      </c>
      <c r="V643">
        <v>302.59320000000002</v>
      </c>
      <c r="W643">
        <v>0</v>
      </c>
      <c r="X643">
        <v>0</v>
      </c>
      <c r="Y643">
        <v>0</v>
      </c>
      <c r="Z643">
        <v>4.5999999999999996</v>
      </c>
      <c r="AA643">
        <v>1.5201927868835121E-2</v>
      </c>
      <c r="AB643">
        <v>27.4</v>
      </c>
      <c r="AC643">
        <v>11.774388888888888</v>
      </c>
      <c r="AD643">
        <v>27.6</v>
      </c>
      <c r="AE643" s="7"/>
      <c r="AF643" s="7"/>
      <c r="AG643" s="7"/>
      <c r="AH643" s="7"/>
      <c r="AI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0.22561111111111209</v>
      </c>
      <c r="AJ643" s="7"/>
      <c r="AK643" t="s">
        <v>75</v>
      </c>
      <c r="AN643">
        <f>IFERROR(INT(Table13[[#This Row],[reject_prod]]/Table13[[#This Row],[part_weight]] * 1000), 0)</f>
        <v>94</v>
      </c>
    </row>
    <row r="644" spans="1:40" hidden="1">
      <c r="A644" s="1">
        <v>46042</v>
      </c>
      <c r="B644">
        <v>2</v>
      </c>
      <c r="C644">
        <v>11</v>
      </c>
      <c r="D644" t="s">
        <v>112</v>
      </c>
      <c r="E644" t="s">
        <v>46</v>
      </c>
      <c r="F644">
        <v>552181</v>
      </c>
      <c r="G644" s="6">
        <v>1</v>
      </c>
      <c r="H644" t="s">
        <v>49</v>
      </c>
      <c r="I644">
        <v>10683782</v>
      </c>
      <c r="J644">
        <v>6</v>
      </c>
      <c r="K644">
        <v>18.8</v>
      </c>
      <c r="L644">
        <v>18.8</v>
      </c>
      <c r="M644">
        <v>1422</v>
      </c>
      <c r="N644" s="2">
        <v>108000</v>
      </c>
      <c r="O644" s="2">
        <v>13770</v>
      </c>
      <c r="P644" s="2">
        <v>5130</v>
      </c>
      <c r="Q644" s="2">
        <v>8532</v>
      </c>
      <c r="R644" s="2">
        <v>10800</v>
      </c>
      <c r="S644">
        <v>203.04</v>
      </c>
      <c r="T644" s="2">
        <v>107730</v>
      </c>
      <c r="U644" s="2">
        <v>270</v>
      </c>
      <c r="V644">
        <v>160.4016</v>
      </c>
      <c r="W644">
        <v>0</v>
      </c>
      <c r="X644">
        <v>0</v>
      </c>
      <c r="Y644">
        <v>0</v>
      </c>
      <c r="Z644">
        <v>9.8000000000000007</v>
      </c>
      <c r="AA644">
        <v>6.1096647414988381E-2</v>
      </c>
      <c r="AB644">
        <v>28.7</v>
      </c>
      <c r="AC644">
        <v>11.336500000000001</v>
      </c>
      <c r="AD644">
        <v>27</v>
      </c>
      <c r="AE644" s="7"/>
      <c r="AF644" s="7"/>
      <c r="AG644" s="7"/>
      <c r="AH644" s="7"/>
      <c r="AI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0.66349999999999909</v>
      </c>
      <c r="AJ644" s="7"/>
      <c r="AK644" t="s">
        <v>425</v>
      </c>
      <c r="AN644">
        <f>IFERROR(INT(Table13[[#This Row],[reject_prod]]/Table13[[#This Row],[part_weight]] * 1000), 0)</f>
        <v>521</v>
      </c>
    </row>
    <row r="645" spans="1:40" hidden="1">
      <c r="A645" s="1">
        <v>46042</v>
      </c>
      <c r="B645">
        <v>2</v>
      </c>
      <c r="C645">
        <v>12</v>
      </c>
      <c r="D645" t="s">
        <v>67</v>
      </c>
      <c r="E645" t="s">
        <v>34</v>
      </c>
      <c r="F645">
        <v>620599</v>
      </c>
      <c r="G645" s="6">
        <v>0</v>
      </c>
      <c r="H645" t="s">
        <v>50</v>
      </c>
      <c r="I645">
        <v>10682929</v>
      </c>
      <c r="J645">
        <v>4</v>
      </c>
      <c r="K645">
        <v>55</v>
      </c>
      <c r="L645">
        <v>55</v>
      </c>
      <c r="M645">
        <v>394</v>
      </c>
      <c r="N645" s="2">
        <v>72000</v>
      </c>
      <c r="O645" s="2">
        <v>225</v>
      </c>
      <c r="P645" s="2">
        <v>0</v>
      </c>
      <c r="Q645" s="2">
        <v>1576</v>
      </c>
      <c r="R645" s="2">
        <v>1800</v>
      </c>
      <c r="S645">
        <v>99</v>
      </c>
      <c r="T645" s="2">
        <v>72000</v>
      </c>
      <c r="U645" s="2">
        <v>0</v>
      </c>
      <c r="V645">
        <v>86.68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29.1</v>
      </c>
      <c r="AC645">
        <v>3.1848333333333332</v>
      </c>
      <c r="AD645">
        <v>28</v>
      </c>
      <c r="AE645" s="7"/>
      <c r="AF645" s="7"/>
      <c r="AG645" s="7"/>
      <c r="AH645" s="7"/>
      <c r="AI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8.8151666666666664</v>
      </c>
      <c r="AJ645" s="7"/>
      <c r="AK645" t="s">
        <v>102</v>
      </c>
      <c r="AN645">
        <f>IFERROR(INT(Table13[[#This Row],[reject_prod]]/Table13[[#This Row],[part_weight]] * 1000), 0)</f>
        <v>0</v>
      </c>
    </row>
    <row r="646" spans="1:40" hidden="1">
      <c r="A646" s="1">
        <v>46042</v>
      </c>
      <c r="B646">
        <v>2</v>
      </c>
      <c r="C646">
        <v>12</v>
      </c>
      <c r="D646" t="s">
        <v>67</v>
      </c>
      <c r="E646" t="s">
        <v>34</v>
      </c>
      <c r="F646">
        <v>620599</v>
      </c>
      <c r="G646" s="6">
        <v>0</v>
      </c>
      <c r="H646" t="s">
        <v>50</v>
      </c>
      <c r="I646">
        <v>10684839</v>
      </c>
      <c r="J646">
        <v>4</v>
      </c>
      <c r="K646">
        <v>55</v>
      </c>
      <c r="L646">
        <v>55</v>
      </c>
      <c r="M646">
        <v>1100</v>
      </c>
      <c r="N646" s="2">
        <v>72000</v>
      </c>
      <c r="O646" s="2">
        <v>0</v>
      </c>
      <c r="P646" s="2">
        <v>675</v>
      </c>
      <c r="Q646" s="2">
        <v>4400</v>
      </c>
      <c r="R646" s="2">
        <v>3600</v>
      </c>
      <c r="S646">
        <v>198</v>
      </c>
      <c r="T646" s="2">
        <v>4275</v>
      </c>
      <c r="U646" s="2">
        <v>67725</v>
      </c>
      <c r="V646">
        <v>242</v>
      </c>
      <c r="W646">
        <v>0</v>
      </c>
      <c r="X646">
        <v>0</v>
      </c>
      <c r="Y646">
        <v>0</v>
      </c>
      <c r="Z646">
        <v>6.5</v>
      </c>
      <c r="AA646">
        <v>2.6859504132231406E-2</v>
      </c>
      <c r="AB646">
        <v>29.1</v>
      </c>
      <c r="AC646">
        <v>8.8916666666666657</v>
      </c>
      <c r="AD646">
        <v>28</v>
      </c>
      <c r="AE646" s="7"/>
      <c r="AF646" s="7"/>
      <c r="AG646" s="7"/>
      <c r="AH646" s="7"/>
      <c r="AI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3.1083333333333343</v>
      </c>
      <c r="AJ646" s="7"/>
      <c r="AK646" t="s">
        <v>426</v>
      </c>
      <c r="AN646">
        <f>IFERROR(INT(Table13[[#This Row],[reject_prod]]/Table13[[#This Row],[part_weight]] * 1000), 0)</f>
        <v>118</v>
      </c>
    </row>
    <row r="647" spans="1:40" hidden="1">
      <c r="A647" s="1">
        <v>46042</v>
      </c>
      <c r="B647">
        <v>2</v>
      </c>
      <c r="C647">
        <v>13</v>
      </c>
      <c r="D647" t="s">
        <v>112</v>
      </c>
      <c r="E647" t="s">
        <v>46</v>
      </c>
      <c r="F647">
        <v>586276</v>
      </c>
      <c r="G647" s="6">
        <v>0</v>
      </c>
      <c r="H647" t="s">
        <v>47</v>
      </c>
      <c r="I647">
        <v>10683784</v>
      </c>
      <c r="J647">
        <v>6</v>
      </c>
      <c r="K647">
        <v>12.3</v>
      </c>
      <c r="L647">
        <v>12.3</v>
      </c>
      <c r="M647">
        <v>1641</v>
      </c>
      <c r="N647" s="2">
        <v>162000</v>
      </c>
      <c r="O647" s="2">
        <v>4860</v>
      </c>
      <c r="P647" s="2">
        <v>6480</v>
      </c>
      <c r="Q647" s="2">
        <v>9846</v>
      </c>
      <c r="R647" s="2">
        <v>8100</v>
      </c>
      <c r="S647">
        <v>99.63</v>
      </c>
      <c r="T647" s="2">
        <v>127900</v>
      </c>
      <c r="U647" s="2">
        <v>34100</v>
      </c>
      <c r="V647">
        <v>121.1058</v>
      </c>
      <c r="W647">
        <v>0</v>
      </c>
      <c r="X647">
        <v>0</v>
      </c>
      <c r="Y647">
        <v>0</v>
      </c>
      <c r="Z647">
        <v>1.5</v>
      </c>
      <c r="AA647">
        <v>1.2385864260836392E-2</v>
      </c>
      <c r="AB647">
        <v>26.2</v>
      </c>
      <c r="AC647">
        <v>11.942833333333335</v>
      </c>
      <c r="AD647">
        <v>26</v>
      </c>
      <c r="AE647" s="7"/>
      <c r="AF647" s="7"/>
      <c r="AG647" s="7"/>
      <c r="AH647" s="7"/>
      <c r="AI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5.7166666666665478E-2</v>
      </c>
      <c r="AJ647" s="7"/>
      <c r="AK647" t="s">
        <v>406</v>
      </c>
      <c r="AN647">
        <f>IFERROR(INT(Table13[[#This Row],[reject_prod]]/Table13[[#This Row],[part_weight]] * 1000), 0)</f>
        <v>121</v>
      </c>
    </row>
    <row r="648" spans="1:40" hidden="1">
      <c r="A648" s="1">
        <v>46042</v>
      </c>
      <c r="B648">
        <v>2</v>
      </c>
      <c r="C648">
        <v>14</v>
      </c>
      <c r="D648" t="s">
        <v>305</v>
      </c>
      <c r="E648" t="s">
        <v>46</v>
      </c>
      <c r="F648">
        <v>555979</v>
      </c>
      <c r="G648" s="6">
        <v>1</v>
      </c>
      <c r="H648" t="s">
        <v>52</v>
      </c>
      <c r="I648">
        <v>10683785</v>
      </c>
      <c r="J648">
        <v>6</v>
      </c>
      <c r="K648">
        <v>28</v>
      </c>
      <c r="L648">
        <v>28</v>
      </c>
      <c r="M648">
        <v>985</v>
      </c>
      <c r="N648" s="2">
        <v>100800</v>
      </c>
      <c r="O648" s="2">
        <v>2184</v>
      </c>
      <c r="P648" s="2">
        <v>1344</v>
      </c>
      <c r="Q648" s="2">
        <v>5910</v>
      </c>
      <c r="R648" s="2">
        <v>6720</v>
      </c>
      <c r="S648">
        <v>188.16</v>
      </c>
      <c r="T648" s="2">
        <v>28224</v>
      </c>
      <c r="U648" s="2">
        <v>72576</v>
      </c>
      <c r="V648">
        <v>165.48</v>
      </c>
      <c r="W648">
        <v>0</v>
      </c>
      <c r="X648">
        <v>0</v>
      </c>
      <c r="Y648">
        <v>0</v>
      </c>
      <c r="Z648">
        <v>0.8</v>
      </c>
      <c r="AA648">
        <v>4.834421078075901E-3</v>
      </c>
      <c r="AB648">
        <v>43</v>
      </c>
      <c r="AC648">
        <v>11.765277777777778</v>
      </c>
      <c r="AD648">
        <v>42</v>
      </c>
      <c r="AE648" s="7"/>
      <c r="AF648" s="7"/>
      <c r="AG648" s="7"/>
      <c r="AH648" s="7"/>
      <c r="AI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0.2347222222222225</v>
      </c>
      <c r="AJ648" s="7"/>
      <c r="AK648" t="s">
        <v>406</v>
      </c>
      <c r="AN648">
        <f>IFERROR(INT(Table13[[#This Row],[reject_prod]]/Table13[[#This Row],[part_weight]] * 1000), 0)</f>
        <v>28</v>
      </c>
    </row>
    <row r="649" spans="1:40" hidden="1">
      <c r="A649" s="1">
        <v>46042</v>
      </c>
      <c r="B649">
        <v>2</v>
      </c>
      <c r="C649">
        <v>15</v>
      </c>
      <c r="D649" t="s">
        <v>112</v>
      </c>
      <c r="E649" t="s">
        <v>46</v>
      </c>
      <c r="F649">
        <v>552181</v>
      </c>
      <c r="G649" s="6">
        <v>2</v>
      </c>
      <c r="H649" t="s">
        <v>49</v>
      </c>
      <c r="I649">
        <v>10683786</v>
      </c>
      <c r="J649">
        <v>6</v>
      </c>
      <c r="K649">
        <v>18.8</v>
      </c>
      <c r="L649">
        <v>18.8</v>
      </c>
      <c r="M649">
        <v>1363</v>
      </c>
      <c r="N649" s="2">
        <v>108000</v>
      </c>
      <c r="O649" s="2">
        <v>270</v>
      </c>
      <c r="P649" s="2">
        <v>2970</v>
      </c>
      <c r="Q649" s="2">
        <v>8178</v>
      </c>
      <c r="R649" s="2">
        <v>5400</v>
      </c>
      <c r="S649">
        <v>101.52</v>
      </c>
      <c r="T649" s="2">
        <v>89370</v>
      </c>
      <c r="U649" s="2">
        <v>18630</v>
      </c>
      <c r="V649">
        <v>153.74639999999999</v>
      </c>
      <c r="W649">
        <v>0</v>
      </c>
      <c r="X649">
        <v>0</v>
      </c>
      <c r="Y649">
        <v>0</v>
      </c>
      <c r="Z649">
        <v>1.5</v>
      </c>
      <c r="AA649">
        <v>9.7563260017795549E-3</v>
      </c>
      <c r="AB649">
        <v>31.2</v>
      </c>
      <c r="AC649">
        <v>11.812666666666667</v>
      </c>
      <c r="AD649">
        <v>27</v>
      </c>
      <c r="AE649" s="7"/>
      <c r="AF649" s="7"/>
      <c r="AG649" s="7"/>
      <c r="AH649" s="7"/>
      <c r="AI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649" s="7"/>
      <c r="AK649" t="s">
        <v>406</v>
      </c>
      <c r="AN649">
        <f>IFERROR(INT(Table13[[#This Row],[reject_prod]]/Table13[[#This Row],[part_weight]] * 1000), 0)</f>
        <v>79</v>
      </c>
    </row>
    <row r="650" spans="1:40" s="4" customFormat="1" hidden="1">
      <c r="A650" s="3">
        <v>46042</v>
      </c>
      <c r="B650" s="4">
        <v>2</v>
      </c>
      <c r="C650" s="4">
        <v>16</v>
      </c>
      <c r="D650" s="4" t="s">
        <v>69</v>
      </c>
      <c r="E650" s="4" t="s">
        <v>46</v>
      </c>
      <c r="F650" s="4">
        <v>555979</v>
      </c>
      <c r="G650" s="9">
        <v>2</v>
      </c>
      <c r="H650" s="4" t="s">
        <v>52</v>
      </c>
      <c r="I650" s="4">
        <v>10683788</v>
      </c>
      <c r="J650" s="4">
        <v>6</v>
      </c>
      <c r="K650" s="4">
        <v>28</v>
      </c>
      <c r="L650" s="4">
        <v>28</v>
      </c>
      <c r="M650" s="4">
        <v>991</v>
      </c>
      <c r="N650" s="5">
        <v>100800</v>
      </c>
      <c r="O650" s="5">
        <v>168</v>
      </c>
      <c r="P650" s="5">
        <v>2688</v>
      </c>
      <c r="Q650" s="5">
        <v>5946</v>
      </c>
      <c r="R650" s="5">
        <v>3360</v>
      </c>
      <c r="S650" s="4">
        <v>94.08</v>
      </c>
      <c r="T650" s="5">
        <v>69888</v>
      </c>
      <c r="U650" s="5">
        <v>30912</v>
      </c>
      <c r="V650" s="4">
        <v>166.488</v>
      </c>
      <c r="W650" s="4">
        <v>0</v>
      </c>
      <c r="X650" s="4">
        <v>0</v>
      </c>
      <c r="Y650" s="4">
        <v>0</v>
      </c>
      <c r="Z650" s="4">
        <v>1.6</v>
      </c>
      <c r="AA650" s="4">
        <v>9.6103022440055738E-3</v>
      </c>
      <c r="AB650" s="4">
        <v>43.4</v>
      </c>
      <c r="AC650" s="4">
        <v>11.947055555555556</v>
      </c>
      <c r="AD650" s="4">
        <v>42</v>
      </c>
      <c r="AE650" s="8"/>
      <c r="AF650" s="8"/>
      <c r="AG650" s="8"/>
      <c r="AH650" s="8"/>
      <c r="AI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5.2944444444444017E-2</v>
      </c>
      <c r="AJ650" s="8"/>
      <c r="AK650" s="4" t="s">
        <v>406</v>
      </c>
      <c r="AN650">
        <f>IFERROR(INT(Table13[[#This Row],[reject_prod]]/Table13[[#This Row],[part_weight]] * 1000), 0)</f>
        <v>57</v>
      </c>
    </row>
    <row r="651" spans="1:40" hidden="1">
      <c r="A651" s="1">
        <v>46043</v>
      </c>
      <c r="B651">
        <v>1</v>
      </c>
      <c r="C651">
        <v>1</v>
      </c>
      <c r="D651" t="s">
        <v>53</v>
      </c>
      <c r="E651" t="s">
        <v>34</v>
      </c>
      <c r="F651">
        <v>577492</v>
      </c>
      <c r="G651" s="6">
        <v>0</v>
      </c>
      <c r="H651" t="s">
        <v>341</v>
      </c>
      <c r="I651">
        <v>10684028</v>
      </c>
      <c r="J651">
        <v>4</v>
      </c>
      <c r="K651">
        <v>35.6</v>
      </c>
      <c r="L651">
        <v>35.6</v>
      </c>
      <c r="M651">
        <v>1390</v>
      </c>
      <c r="N651" s="2">
        <v>101200</v>
      </c>
      <c r="O651" s="2">
        <v>736</v>
      </c>
      <c r="P651" s="2">
        <v>736</v>
      </c>
      <c r="Q651" s="2">
        <v>5560</v>
      </c>
      <c r="R651" s="2">
        <v>5520</v>
      </c>
      <c r="S651">
        <v>196.512</v>
      </c>
      <c r="T651" s="2">
        <v>13616</v>
      </c>
      <c r="U651" s="2">
        <v>87584</v>
      </c>
      <c r="V651">
        <v>197.93600000000001</v>
      </c>
      <c r="W651">
        <v>0</v>
      </c>
      <c r="X651">
        <v>0</v>
      </c>
      <c r="Y651">
        <v>0</v>
      </c>
      <c r="Z651">
        <v>1.3</v>
      </c>
      <c r="AA651">
        <v>6.5677794842777465E-3</v>
      </c>
      <c r="AB651">
        <v>27.1</v>
      </c>
      <c r="AC651">
        <v>10.463611111111112</v>
      </c>
      <c r="AD651">
        <v>27</v>
      </c>
      <c r="AE651" s="7"/>
      <c r="AF651" s="7"/>
      <c r="AG651" s="7"/>
      <c r="AH651" s="7">
        <v>1.5</v>
      </c>
      <c r="AI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3.638888888888836E-2</v>
      </c>
      <c r="AJ651" s="7"/>
      <c r="AK651" t="s">
        <v>433</v>
      </c>
      <c r="AN651">
        <f>IFERROR(INT(Table13[[#This Row],[reject_prod]]/Table13[[#This Row],[part_weight]] * 1000), 0)</f>
        <v>36</v>
      </c>
    </row>
    <row r="652" spans="1:40" hidden="1">
      <c r="A652" s="1">
        <v>46043</v>
      </c>
      <c r="B652">
        <v>1</v>
      </c>
      <c r="C652">
        <v>2</v>
      </c>
      <c r="D652" t="s">
        <v>33</v>
      </c>
      <c r="E652" t="s">
        <v>34</v>
      </c>
      <c r="F652">
        <v>416201</v>
      </c>
      <c r="G652" s="6">
        <v>0</v>
      </c>
      <c r="H652" t="s">
        <v>36</v>
      </c>
      <c r="I652">
        <v>10681779</v>
      </c>
      <c r="J652">
        <v>4</v>
      </c>
      <c r="K652">
        <v>20</v>
      </c>
      <c r="L652">
        <v>30</v>
      </c>
      <c r="M652">
        <v>0</v>
      </c>
      <c r="N652" s="2">
        <v>50400</v>
      </c>
      <c r="O652" s="2">
        <v>0</v>
      </c>
      <c r="P652" s="2">
        <v>0</v>
      </c>
      <c r="Q652" s="2">
        <v>0</v>
      </c>
      <c r="R652" s="2">
        <v>0</v>
      </c>
      <c r="S652">
        <v>0</v>
      </c>
      <c r="T652" s="2">
        <v>0</v>
      </c>
      <c r="U652" s="2">
        <v>50400</v>
      </c>
      <c r="V652">
        <v>0</v>
      </c>
      <c r="W652">
        <v>0</v>
      </c>
      <c r="X652">
        <v>0</v>
      </c>
      <c r="Y652" t="e">
        <v>#DIV/0!</v>
      </c>
      <c r="Z652">
        <v>0</v>
      </c>
      <c r="AA652" t="e">
        <v>#DIV/0!</v>
      </c>
      <c r="AB652">
        <v>38.6</v>
      </c>
      <c r="AC652">
        <v>0</v>
      </c>
      <c r="AD652">
        <v>38.64</v>
      </c>
      <c r="AE652" s="7"/>
      <c r="AF652" s="7"/>
      <c r="AG652" s="7"/>
      <c r="AH652" s="7"/>
      <c r="AI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52" s="7"/>
      <c r="AK652" t="s">
        <v>387</v>
      </c>
      <c r="AN652">
        <f>IFERROR(INT(Table13[[#This Row],[reject_prod]]/Table13[[#This Row],[part_weight]] * 1000), 0)</f>
        <v>0</v>
      </c>
    </row>
    <row r="653" spans="1:40" hidden="1">
      <c r="A653" s="1">
        <v>46043</v>
      </c>
      <c r="B653">
        <v>1</v>
      </c>
      <c r="C653">
        <v>3</v>
      </c>
      <c r="D653" t="s">
        <v>54</v>
      </c>
      <c r="E653" t="s">
        <v>34</v>
      </c>
      <c r="F653">
        <v>442034</v>
      </c>
      <c r="G653" s="6">
        <v>0</v>
      </c>
      <c r="H653" t="s">
        <v>37</v>
      </c>
      <c r="I653">
        <v>10681184</v>
      </c>
      <c r="J653">
        <v>4</v>
      </c>
      <c r="K653">
        <v>23</v>
      </c>
      <c r="L653">
        <v>23</v>
      </c>
      <c r="M653">
        <v>1000</v>
      </c>
      <c r="N653" s="2">
        <v>139776</v>
      </c>
      <c r="O653" s="2">
        <v>4224</v>
      </c>
      <c r="P653" s="2">
        <v>3456</v>
      </c>
      <c r="Q653" s="2">
        <v>4000</v>
      </c>
      <c r="R653" s="2">
        <v>4608</v>
      </c>
      <c r="S653">
        <v>105.98399999999999</v>
      </c>
      <c r="T653" s="2">
        <v>12672</v>
      </c>
      <c r="U653" s="2">
        <v>127104</v>
      </c>
      <c r="V653">
        <v>92</v>
      </c>
      <c r="W653">
        <v>0</v>
      </c>
      <c r="X653">
        <v>0</v>
      </c>
      <c r="Y653">
        <v>0</v>
      </c>
      <c r="Z653">
        <v>14.5</v>
      </c>
      <c r="AA653">
        <v>0.15760869565217392</v>
      </c>
      <c r="AB653">
        <v>23.5</v>
      </c>
      <c r="AC653">
        <v>6.5277777777777786</v>
      </c>
      <c r="AD653">
        <v>22</v>
      </c>
      <c r="AE653" s="7"/>
      <c r="AF653" s="7"/>
      <c r="AG653" s="7"/>
      <c r="AH653" s="7"/>
      <c r="AI6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3.4722222222222214</v>
      </c>
      <c r="AJ653" s="7">
        <v>2</v>
      </c>
      <c r="AK653" t="s">
        <v>434</v>
      </c>
      <c r="AN653">
        <f>IFERROR(INT(Table13[[#This Row],[reject_prod]]/Table13[[#This Row],[part_weight]] * 1000), 0)</f>
        <v>630</v>
      </c>
    </row>
    <row r="654" spans="1:40" hidden="1">
      <c r="A654" s="1">
        <v>46043</v>
      </c>
      <c r="B654">
        <v>1</v>
      </c>
      <c r="C654">
        <v>4</v>
      </c>
      <c r="D654" t="s">
        <v>289</v>
      </c>
      <c r="E654" t="s">
        <v>34</v>
      </c>
      <c r="F654">
        <v>402305</v>
      </c>
      <c r="G654" s="6">
        <v>0</v>
      </c>
      <c r="H654" t="s">
        <v>395</v>
      </c>
      <c r="I654">
        <v>10684852</v>
      </c>
      <c r="J654">
        <v>4</v>
      </c>
      <c r="K654">
        <v>29</v>
      </c>
      <c r="L654">
        <v>29</v>
      </c>
      <c r="M654">
        <v>1745</v>
      </c>
      <c r="N654" s="2">
        <v>64896</v>
      </c>
      <c r="O654" s="2">
        <v>936</v>
      </c>
      <c r="P654" s="2">
        <v>416</v>
      </c>
      <c r="Q654" s="2">
        <v>6980</v>
      </c>
      <c r="R654" s="2">
        <v>7488</v>
      </c>
      <c r="S654">
        <v>217.15199999999999</v>
      </c>
      <c r="T654" s="2">
        <v>22880</v>
      </c>
      <c r="U654" s="2">
        <v>42016</v>
      </c>
      <c r="V654">
        <v>202.42</v>
      </c>
      <c r="W654">
        <v>0</v>
      </c>
      <c r="X654">
        <v>0</v>
      </c>
      <c r="Y654">
        <v>0</v>
      </c>
      <c r="Z654">
        <v>1</v>
      </c>
      <c r="AA654">
        <v>4.9402232980930742E-3</v>
      </c>
      <c r="AB654">
        <v>24.4</v>
      </c>
      <c r="AC654">
        <v>11.827222222222222</v>
      </c>
      <c r="AD654">
        <v>22</v>
      </c>
      <c r="AE654" s="7"/>
      <c r="AF654" s="7"/>
      <c r="AG654" s="7"/>
      <c r="AH654" s="7"/>
      <c r="AI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0.17277777777777814</v>
      </c>
      <c r="AJ654" s="7"/>
      <c r="AK654" t="s">
        <v>214</v>
      </c>
      <c r="AN654">
        <f>IFERROR(INT(Table13[[#This Row],[reject_prod]]/Table13[[#This Row],[part_weight]] * 1000), 0)</f>
        <v>34</v>
      </c>
    </row>
    <row r="655" spans="1:40" hidden="1">
      <c r="A655" s="1">
        <v>46043</v>
      </c>
      <c r="B655">
        <v>1</v>
      </c>
      <c r="C655">
        <v>5</v>
      </c>
      <c r="D655" t="s">
        <v>427</v>
      </c>
      <c r="E655" t="s">
        <v>34</v>
      </c>
      <c r="F655">
        <v>322383</v>
      </c>
      <c r="G655" s="6">
        <v>0</v>
      </c>
      <c r="H655" t="s">
        <v>71</v>
      </c>
      <c r="I655">
        <v>10682756</v>
      </c>
      <c r="J655">
        <v>4</v>
      </c>
      <c r="K655">
        <v>12.5</v>
      </c>
      <c r="L655">
        <v>12.5</v>
      </c>
      <c r="M655">
        <v>1980</v>
      </c>
      <c r="N655" s="2">
        <v>66000</v>
      </c>
      <c r="O655" s="2">
        <v>4700</v>
      </c>
      <c r="P655" s="2">
        <v>12100</v>
      </c>
      <c r="Q655" s="2">
        <v>7920</v>
      </c>
      <c r="R655" s="2">
        <v>0</v>
      </c>
      <c r="S655">
        <v>0</v>
      </c>
      <c r="T655" s="2">
        <v>37400</v>
      </c>
      <c r="U655" s="2">
        <v>28600</v>
      </c>
      <c r="V655">
        <v>99</v>
      </c>
      <c r="W655">
        <v>0</v>
      </c>
      <c r="X655">
        <v>0</v>
      </c>
      <c r="Y655">
        <v>0</v>
      </c>
      <c r="Z655">
        <v>1.2</v>
      </c>
      <c r="AA655">
        <v>1.2121212121212121E-2</v>
      </c>
      <c r="AB655">
        <v>21</v>
      </c>
      <c r="AC655">
        <v>11.55</v>
      </c>
      <c r="AD655">
        <v>17.920000000000002</v>
      </c>
      <c r="AE655" s="7"/>
      <c r="AF655" s="7"/>
      <c r="AG655" s="7"/>
      <c r="AH655" s="7"/>
      <c r="AI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655" s="7"/>
      <c r="AK655" t="s">
        <v>214</v>
      </c>
      <c r="AN655">
        <f>IFERROR(INT(Table13[[#This Row],[reject_prod]]/Table13[[#This Row],[part_weight]] * 1000), 0)</f>
        <v>96</v>
      </c>
    </row>
    <row r="656" spans="1:40" hidden="1">
      <c r="A656" s="1">
        <v>46043</v>
      </c>
      <c r="B656">
        <v>1</v>
      </c>
      <c r="C656">
        <v>6</v>
      </c>
      <c r="D656" t="s">
        <v>349</v>
      </c>
      <c r="E656" t="s">
        <v>34</v>
      </c>
      <c r="F656">
        <v>322409</v>
      </c>
      <c r="G656" s="6">
        <v>0</v>
      </c>
      <c r="H656" t="s">
        <v>400</v>
      </c>
      <c r="I656">
        <v>10683854</v>
      </c>
      <c r="J656">
        <v>4</v>
      </c>
      <c r="K656">
        <v>24</v>
      </c>
      <c r="L656">
        <v>24</v>
      </c>
      <c r="M656">
        <v>2050</v>
      </c>
      <c r="N656" s="2">
        <v>70200</v>
      </c>
      <c r="O656" s="2">
        <v>1170</v>
      </c>
      <c r="P656" s="2">
        <v>0</v>
      </c>
      <c r="Q656" s="2">
        <v>8200</v>
      </c>
      <c r="R656" s="2">
        <v>9360</v>
      </c>
      <c r="S656">
        <v>224.64</v>
      </c>
      <c r="T656" s="2">
        <v>26910</v>
      </c>
      <c r="U656" s="2">
        <v>43290</v>
      </c>
      <c r="V656">
        <v>196.8</v>
      </c>
      <c r="W656">
        <v>0</v>
      </c>
      <c r="X656">
        <v>0</v>
      </c>
      <c r="Y656">
        <v>0</v>
      </c>
      <c r="Z656">
        <v>1</v>
      </c>
      <c r="AA656">
        <v>5.08130081300813E-3</v>
      </c>
      <c r="AB656">
        <v>21</v>
      </c>
      <c r="AC656">
        <v>11.958333333333334</v>
      </c>
      <c r="AD656">
        <v>20</v>
      </c>
      <c r="AE656" s="7"/>
      <c r="AF656" s="7"/>
      <c r="AG656" s="7"/>
      <c r="AH656" s="7"/>
      <c r="AI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4.1666666666666075E-2</v>
      </c>
      <c r="AJ656" s="7"/>
      <c r="AK656" t="s">
        <v>214</v>
      </c>
      <c r="AN656">
        <f>IFERROR(INT(Table13[[#This Row],[reject_prod]]/Table13[[#This Row],[part_weight]] * 1000), 0)</f>
        <v>41</v>
      </c>
    </row>
    <row r="657" spans="1:40" hidden="1">
      <c r="A657" s="1">
        <v>46043</v>
      </c>
      <c r="B657">
        <v>1</v>
      </c>
      <c r="C657">
        <v>7</v>
      </c>
      <c r="D657" t="s">
        <v>56</v>
      </c>
      <c r="E657" t="s">
        <v>34</v>
      </c>
      <c r="F657">
        <v>322452</v>
      </c>
      <c r="G657" s="6">
        <v>0</v>
      </c>
      <c r="H657" t="s">
        <v>374</v>
      </c>
      <c r="I657">
        <v>10683857</v>
      </c>
      <c r="J657">
        <v>4</v>
      </c>
      <c r="K657">
        <v>33.11</v>
      </c>
      <c r="L657">
        <v>34.5</v>
      </c>
      <c r="M657">
        <v>1835</v>
      </c>
      <c r="N657" s="2">
        <v>44928</v>
      </c>
      <c r="O657" s="2">
        <v>624</v>
      </c>
      <c r="P657" s="2">
        <v>462</v>
      </c>
      <c r="Q657" s="2">
        <v>7340</v>
      </c>
      <c r="R657" s="2">
        <v>7488</v>
      </c>
      <c r="S657">
        <v>258.33600000000001</v>
      </c>
      <c r="T657" s="2">
        <v>34158</v>
      </c>
      <c r="U657" s="2">
        <v>10770</v>
      </c>
      <c r="V657">
        <v>253.23</v>
      </c>
      <c r="W657">
        <v>-10.202600000000004</v>
      </c>
      <c r="X657">
        <v>0</v>
      </c>
      <c r="Y657">
        <v>0</v>
      </c>
      <c r="Z657">
        <v>1.2</v>
      </c>
      <c r="AA657">
        <v>4.7387750266556098E-3</v>
      </c>
      <c r="AB657">
        <v>23.6</v>
      </c>
      <c r="AC657">
        <v>12</v>
      </c>
      <c r="AD657">
        <v>18.04</v>
      </c>
      <c r="AE657" s="7"/>
      <c r="AF657" s="7"/>
      <c r="AG657" s="7"/>
      <c r="AH657" s="7"/>
      <c r="AI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57" s="7"/>
      <c r="AK657" t="s">
        <v>51</v>
      </c>
      <c r="AN657">
        <f>IFERROR(INT(Table13[[#This Row],[reject_prod]]/Table13[[#This Row],[part_weight]] * 1000), 0)</f>
        <v>34</v>
      </c>
    </row>
    <row r="658" spans="1:40" hidden="1">
      <c r="A658" s="1">
        <v>46043</v>
      </c>
      <c r="B658">
        <v>1</v>
      </c>
      <c r="C658">
        <v>8</v>
      </c>
      <c r="D658" t="s">
        <v>84</v>
      </c>
      <c r="E658" t="s">
        <v>41</v>
      </c>
      <c r="F658">
        <v>593537</v>
      </c>
      <c r="G658" s="6">
        <v>0</v>
      </c>
      <c r="H658" t="s">
        <v>48</v>
      </c>
      <c r="I658">
        <v>10685022</v>
      </c>
      <c r="J658">
        <v>4</v>
      </c>
      <c r="K658">
        <v>56.5</v>
      </c>
      <c r="L658">
        <v>56.8</v>
      </c>
      <c r="M658">
        <v>1438</v>
      </c>
      <c r="N658" s="2">
        <v>69000</v>
      </c>
      <c r="O658" s="2">
        <v>0</v>
      </c>
      <c r="P658" s="2">
        <v>0</v>
      </c>
      <c r="Q658" s="2">
        <v>5752</v>
      </c>
      <c r="R658" s="2">
        <v>5750</v>
      </c>
      <c r="S658">
        <v>326.60000000000002</v>
      </c>
      <c r="T658" s="2">
        <v>17825</v>
      </c>
      <c r="U658" s="2">
        <v>51175</v>
      </c>
      <c r="V658">
        <v>326.71359999999999</v>
      </c>
      <c r="W658">
        <v>-1.7255999999999836</v>
      </c>
      <c r="X658">
        <v>0</v>
      </c>
      <c r="Y658">
        <v>0</v>
      </c>
      <c r="Z658">
        <v>0.5</v>
      </c>
      <c r="AA658">
        <v>1.5303923681169074E-3</v>
      </c>
      <c r="AB658">
        <v>30</v>
      </c>
      <c r="AC658">
        <v>11.983333333333333</v>
      </c>
      <c r="AD658">
        <v>28.5</v>
      </c>
      <c r="AE658" s="7"/>
      <c r="AF658" s="7"/>
      <c r="AG658" s="7"/>
      <c r="AH658" s="7"/>
      <c r="AI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1.6666666666667496E-2</v>
      </c>
      <c r="AJ658" s="7"/>
      <c r="AK658" t="s">
        <v>51</v>
      </c>
      <c r="AN658">
        <f>IFERROR(INT(Table13[[#This Row],[reject_prod]]/Table13[[#This Row],[part_weight]] * 1000), 0)</f>
        <v>8</v>
      </c>
    </row>
    <row r="659" spans="1:40" hidden="1">
      <c r="A659" s="1">
        <v>46043</v>
      </c>
      <c r="B659">
        <v>1</v>
      </c>
      <c r="C659">
        <v>9</v>
      </c>
      <c r="D659" t="s">
        <v>33</v>
      </c>
      <c r="E659" t="s">
        <v>46</v>
      </c>
      <c r="F659">
        <v>586276</v>
      </c>
      <c r="G659" s="6">
        <v>0</v>
      </c>
      <c r="H659" t="s">
        <v>47</v>
      </c>
      <c r="I659">
        <v>10682924</v>
      </c>
      <c r="J659">
        <v>6</v>
      </c>
      <c r="K659">
        <v>12.3</v>
      </c>
      <c r="L659">
        <v>12.3</v>
      </c>
      <c r="M659">
        <v>0</v>
      </c>
      <c r="N659" s="2">
        <v>162000</v>
      </c>
      <c r="O659" s="2">
        <v>7290</v>
      </c>
      <c r="P659" s="2">
        <v>0</v>
      </c>
      <c r="Q659" s="2">
        <v>0</v>
      </c>
      <c r="R659" s="2">
        <v>0</v>
      </c>
      <c r="S659">
        <v>0</v>
      </c>
      <c r="T659" s="2">
        <v>80190</v>
      </c>
      <c r="U659" s="2">
        <v>81810</v>
      </c>
      <c r="V659">
        <v>0</v>
      </c>
      <c r="W659">
        <v>0</v>
      </c>
      <c r="X659">
        <v>0</v>
      </c>
      <c r="Y659" t="e">
        <v>#DIV/0!</v>
      </c>
      <c r="Z659">
        <v>0</v>
      </c>
      <c r="AA659" t="e">
        <v>#DIV/0!</v>
      </c>
      <c r="AB659">
        <v>26</v>
      </c>
      <c r="AC659">
        <v>0</v>
      </c>
      <c r="AD659">
        <v>26</v>
      </c>
      <c r="AE659" s="7"/>
      <c r="AF659" s="7"/>
      <c r="AG659" s="7"/>
      <c r="AH659" s="7"/>
      <c r="AI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59" s="7"/>
      <c r="AK659" t="s">
        <v>407</v>
      </c>
      <c r="AN659">
        <f>IFERROR(INT(Table13[[#This Row],[reject_prod]]/Table13[[#This Row],[part_weight]] * 1000), 0)</f>
        <v>0</v>
      </c>
    </row>
    <row r="660" spans="1:40" hidden="1">
      <c r="A660" s="1">
        <v>46043</v>
      </c>
      <c r="B660">
        <v>1</v>
      </c>
      <c r="C660">
        <v>10</v>
      </c>
      <c r="D660" t="s">
        <v>59</v>
      </c>
      <c r="E660" t="s">
        <v>34</v>
      </c>
      <c r="F660">
        <v>323092</v>
      </c>
      <c r="G660" s="6">
        <v>0</v>
      </c>
      <c r="H660" t="s">
        <v>377</v>
      </c>
      <c r="I660">
        <v>10684857</v>
      </c>
      <c r="J660">
        <v>4</v>
      </c>
      <c r="K660">
        <v>48.9</v>
      </c>
      <c r="L660">
        <v>48.9</v>
      </c>
      <c r="M660">
        <v>1575</v>
      </c>
      <c r="N660" s="2">
        <v>37800</v>
      </c>
      <c r="O660" s="2">
        <v>210</v>
      </c>
      <c r="P660" s="2">
        <v>210</v>
      </c>
      <c r="Q660" s="2">
        <v>6300</v>
      </c>
      <c r="R660" s="2">
        <v>6300</v>
      </c>
      <c r="S660">
        <v>308.07</v>
      </c>
      <c r="T660" s="2">
        <v>36960</v>
      </c>
      <c r="U660" s="2">
        <v>840</v>
      </c>
      <c r="V660">
        <v>308.07</v>
      </c>
      <c r="W660">
        <v>0</v>
      </c>
      <c r="X660">
        <v>0</v>
      </c>
      <c r="Y660">
        <v>0</v>
      </c>
      <c r="Z660">
        <v>3.6</v>
      </c>
      <c r="AA660">
        <v>1.1685655857434999E-2</v>
      </c>
      <c r="AB660">
        <v>27.4</v>
      </c>
      <c r="AC660">
        <v>11.987500000000001</v>
      </c>
      <c r="AD660">
        <v>27.6</v>
      </c>
      <c r="AE660" s="7"/>
      <c r="AF660" s="7"/>
      <c r="AG660" s="7"/>
      <c r="AH660" s="7"/>
      <c r="AI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1.2499999999999289E-2</v>
      </c>
      <c r="AJ660" s="7"/>
      <c r="AK660" t="s">
        <v>214</v>
      </c>
      <c r="AN660">
        <f>IFERROR(INT(Table13[[#This Row],[reject_prod]]/Table13[[#This Row],[part_weight]] * 1000), 0)</f>
        <v>73</v>
      </c>
    </row>
    <row r="661" spans="1:40" hidden="1">
      <c r="A661" s="1">
        <v>46043</v>
      </c>
      <c r="B661">
        <v>1</v>
      </c>
      <c r="C661">
        <v>11</v>
      </c>
      <c r="D661" t="s">
        <v>139</v>
      </c>
      <c r="E661" t="s">
        <v>46</v>
      </c>
      <c r="F661">
        <v>552181</v>
      </c>
      <c r="G661" s="6">
        <v>0</v>
      </c>
      <c r="H661" t="s">
        <v>49</v>
      </c>
      <c r="I661">
        <v>10683782</v>
      </c>
      <c r="J661">
        <v>6</v>
      </c>
      <c r="K661">
        <v>18.8</v>
      </c>
      <c r="L661">
        <v>18.8</v>
      </c>
      <c r="M661">
        <v>45</v>
      </c>
      <c r="N661" s="2">
        <v>108000</v>
      </c>
      <c r="O661" s="2">
        <v>5130</v>
      </c>
      <c r="P661" s="2"/>
      <c r="Q661" s="2">
        <v>270</v>
      </c>
      <c r="R661" s="2">
        <v>5400</v>
      </c>
      <c r="S661">
        <v>101.52</v>
      </c>
      <c r="T661" s="2">
        <v>108000</v>
      </c>
      <c r="U661" s="2">
        <v>0</v>
      </c>
      <c r="V661">
        <v>5.0759999999999996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28.7</v>
      </c>
      <c r="AC661">
        <v>0.35875000000000001</v>
      </c>
      <c r="AD661">
        <v>27</v>
      </c>
      <c r="AE661" s="7"/>
      <c r="AF661" s="7"/>
      <c r="AG661" s="7"/>
      <c r="AH661" s="7"/>
      <c r="AI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11.641249999999999</v>
      </c>
      <c r="AJ661" s="7"/>
      <c r="AK661" t="s">
        <v>248</v>
      </c>
      <c r="AN661">
        <f>IFERROR(INT(Table13[[#This Row],[reject_prod]]/Table13[[#This Row],[part_weight]] * 1000), 0)</f>
        <v>0</v>
      </c>
    </row>
    <row r="662" spans="1:40" hidden="1">
      <c r="A662" s="1">
        <v>46043</v>
      </c>
      <c r="B662">
        <v>1</v>
      </c>
      <c r="C662">
        <v>11</v>
      </c>
      <c r="D662" t="s">
        <v>139</v>
      </c>
      <c r="E662" t="s">
        <v>46</v>
      </c>
      <c r="F662">
        <v>552181</v>
      </c>
      <c r="G662" s="6">
        <v>1</v>
      </c>
      <c r="H662" t="s">
        <v>49</v>
      </c>
      <c r="I662">
        <v>10683783</v>
      </c>
      <c r="J662">
        <v>6</v>
      </c>
      <c r="K662">
        <v>18.8</v>
      </c>
      <c r="L662">
        <v>18.8</v>
      </c>
      <c r="M662">
        <v>1395</v>
      </c>
      <c r="N662" s="2">
        <v>108000</v>
      </c>
      <c r="O662" s="2">
        <v>0</v>
      </c>
      <c r="P662" s="2">
        <v>8370</v>
      </c>
      <c r="Q662" s="2">
        <v>8370</v>
      </c>
      <c r="R662" s="2">
        <v>0</v>
      </c>
      <c r="S662">
        <v>0</v>
      </c>
      <c r="T662" s="2">
        <v>8370</v>
      </c>
      <c r="U662" s="2">
        <v>99630</v>
      </c>
      <c r="V662">
        <v>157.35599999999999</v>
      </c>
      <c r="W662">
        <v>0</v>
      </c>
      <c r="X662">
        <v>0</v>
      </c>
      <c r="Y662">
        <v>0</v>
      </c>
      <c r="Z662">
        <v>1</v>
      </c>
      <c r="AA662">
        <v>6.3550166501436236E-3</v>
      </c>
      <c r="AB662">
        <v>28.7</v>
      </c>
      <c r="AC662">
        <v>11.12125</v>
      </c>
      <c r="AD662">
        <v>27</v>
      </c>
      <c r="AE662" s="7"/>
      <c r="AF662" s="7"/>
      <c r="AG662" s="7"/>
      <c r="AH662" s="7"/>
      <c r="AI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0.87875000000000014</v>
      </c>
      <c r="AJ662" s="7"/>
      <c r="AK662" t="s">
        <v>51</v>
      </c>
      <c r="AN662">
        <f>IFERROR(INT(Table13[[#This Row],[reject_prod]]/Table13[[#This Row],[part_weight]] * 1000), 0)</f>
        <v>53</v>
      </c>
    </row>
    <row r="663" spans="1:40" hidden="1">
      <c r="A663" s="1">
        <v>46043</v>
      </c>
      <c r="B663">
        <v>1</v>
      </c>
      <c r="C663">
        <v>12</v>
      </c>
      <c r="D663" t="s">
        <v>208</v>
      </c>
      <c r="E663" t="s">
        <v>34</v>
      </c>
      <c r="F663">
        <v>620599</v>
      </c>
      <c r="G663" s="6">
        <v>0</v>
      </c>
      <c r="H663" t="s">
        <v>50</v>
      </c>
      <c r="I663">
        <v>10684839</v>
      </c>
      <c r="J663">
        <v>4</v>
      </c>
      <c r="K663">
        <v>55</v>
      </c>
      <c r="L663">
        <v>55</v>
      </c>
      <c r="M663">
        <v>1240</v>
      </c>
      <c r="N663" s="2">
        <v>72000</v>
      </c>
      <c r="O663" s="2">
        <v>675</v>
      </c>
      <c r="P663" s="2">
        <v>225</v>
      </c>
      <c r="Q663" s="2">
        <v>4960</v>
      </c>
      <c r="R663" s="2">
        <v>5400</v>
      </c>
      <c r="S663">
        <v>297</v>
      </c>
      <c r="T663" s="2">
        <v>9225</v>
      </c>
      <c r="U663" s="2">
        <v>62775</v>
      </c>
      <c r="V663">
        <v>272.8</v>
      </c>
      <c r="W663">
        <v>0</v>
      </c>
      <c r="X663">
        <v>8</v>
      </c>
      <c r="Y663">
        <v>2.9325513196480937E-2</v>
      </c>
      <c r="Z663">
        <v>2</v>
      </c>
      <c r="AA663">
        <v>7.3313782991202342E-3</v>
      </c>
      <c r="AB663">
        <v>29.1</v>
      </c>
      <c r="AC663">
        <v>10</v>
      </c>
      <c r="AD663">
        <v>28</v>
      </c>
      <c r="AE663" s="7"/>
      <c r="AF663" s="7"/>
      <c r="AG663" s="7"/>
      <c r="AH663" s="7">
        <v>2</v>
      </c>
      <c r="AI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3" s="7"/>
      <c r="AK663" t="s">
        <v>435</v>
      </c>
      <c r="AN663">
        <f>IFERROR(INT(Table13[[#This Row],[reject_prod]]/Table13[[#This Row],[part_weight]] * 1000), 0)</f>
        <v>36</v>
      </c>
    </row>
    <row r="664" spans="1:40" hidden="1">
      <c r="A664" s="1">
        <v>46043</v>
      </c>
      <c r="B664">
        <v>1</v>
      </c>
      <c r="C664">
        <v>13</v>
      </c>
      <c r="D664" t="s">
        <v>139</v>
      </c>
      <c r="E664" t="s">
        <v>46</v>
      </c>
      <c r="F664">
        <v>586276</v>
      </c>
      <c r="G664" s="6">
        <v>0</v>
      </c>
      <c r="H664" t="s">
        <v>47</v>
      </c>
      <c r="I664">
        <v>10683784</v>
      </c>
      <c r="J664">
        <v>6</v>
      </c>
      <c r="K664">
        <v>12.3</v>
      </c>
      <c r="L664">
        <v>12.3</v>
      </c>
      <c r="M664">
        <v>1660</v>
      </c>
      <c r="N664" s="2">
        <v>162000</v>
      </c>
      <c r="O664" s="2">
        <v>6480</v>
      </c>
      <c r="P664" s="2">
        <v>405</v>
      </c>
      <c r="Q664" s="2">
        <v>9960</v>
      </c>
      <c r="R664" s="2">
        <v>16200</v>
      </c>
      <c r="S664">
        <v>199.26</v>
      </c>
      <c r="T664" s="2">
        <v>138105</v>
      </c>
      <c r="U664" s="2">
        <v>23895</v>
      </c>
      <c r="V664">
        <v>122.508</v>
      </c>
      <c r="W664">
        <v>0</v>
      </c>
      <c r="X664">
        <v>0</v>
      </c>
      <c r="Y664">
        <v>0</v>
      </c>
      <c r="Z664">
        <v>1</v>
      </c>
      <c r="AA664">
        <v>8.1627322297319355E-3</v>
      </c>
      <c r="AB664">
        <v>26.2</v>
      </c>
      <c r="AC664">
        <v>12</v>
      </c>
      <c r="AD664">
        <v>26</v>
      </c>
      <c r="AE664" s="7"/>
      <c r="AF664" s="7"/>
      <c r="AG664" s="7"/>
      <c r="AH664" s="7"/>
      <c r="AI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4" s="7"/>
      <c r="AK664" t="s">
        <v>51</v>
      </c>
      <c r="AN664">
        <f>IFERROR(INT(Table13[[#This Row],[reject_prod]]/Table13[[#This Row],[part_weight]] * 1000), 0)</f>
        <v>81</v>
      </c>
    </row>
    <row r="665" spans="1:40" hidden="1">
      <c r="A665" s="1">
        <v>46043</v>
      </c>
      <c r="B665">
        <v>1</v>
      </c>
      <c r="C665">
        <v>14</v>
      </c>
      <c r="D665" t="s">
        <v>428</v>
      </c>
      <c r="E665" t="s">
        <v>46</v>
      </c>
      <c r="F665">
        <v>555979</v>
      </c>
      <c r="G665" s="6">
        <v>1</v>
      </c>
      <c r="H665" t="s">
        <v>52</v>
      </c>
      <c r="I665">
        <v>10683785</v>
      </c>
      <c r="J665">
        <v>6</v>
      </c>
      <c r="K665">
        <v>28</v>
      </c>
      <c r="L665">
        <v>28</v>
      </c>
      <c r="M665">
        <v>336</v>
      </c>
      <c r="N665" s="2">
        <v>100800</v>
      </c>
      <c r="O665" s="2">
        <v>1344</v>
      </c>
      <c r="P665" s="2">
        <v>0</v>
      </c>
      <c r="Q665" s="2">
        <v>2016</v>
      </c>
      <c r="R665" s="2">
        <v>3360</v>
      </c>
      <c r="S665">
        <v>94.08</v>
      </c>
      <c r="T665" s="2">
        <v>30240</v>
      </c>
      <c r="U665" s="2">
        <v>70560</v>
      </c>
      <c r="V665">
        <v>56.448</v>
      </c>
      <c r="W665">
        <v>0</v>
      </c>
      <c r="X665">
        <v>0</v>
      </c>
      <c r="Y665">
        <v>0</v>
      </c>
      <c r="Z665">
        <v>2</v>
      </c>
      <c r="AA665">
        <v>3.5430839002267574E-2</v>
      </c>
      <c r="AB665">
        <v>43</v>
      </c>
      <c r="AC665">
        <v>4.0133333333333336</v>
      </c>
      <c r="AD665">
        <v>42</v>
      </c>
      <c r="AE665" s="7"/>
      <c r="AF665" s="7"/>
      <c r="AG665" s="7"/>
      <c r="AH665" s="7"/>
      <c r="AI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7.9866666666666664</v>
      </c>
      <c r="AJ665" s="7"/>
      <c r="AK665" t="s">
        <v>436</v>
      </c>
      <c r="AN665">
        <f>IFERROR(INT(Table13[[#This Row],[reject_prod]]/Table13[[#This Row],[part_weight]] * 1000), 0)</f>
        <v>71</v>
      </c>
    </row>
    <row r="666" spans="1:40" hidden="1">
      <c r="A666" s="1">
        <v>46043</v>
      </c>
      <c r="B666">
        <v>1</v>
      </c>
      <c r="C666">
        <v>14</v>
      </c>
      <c r="D666" t="s">
        <v>33</v>
      </c>
      <c r="E666" t="s">
        <v>46</v>
      </c>
      <c r="F666">
        <v>555979</v>
      </c>
      <c r="G666" s="6">
        <v>1</v>
      </c>
      <c r="H666" t="s">
        <v>52</v>
      </c>
      <c r="I666" t="s">
        <v>437</v>
      </c>
      <c r="J666">
        <v>6</v>
      </c>
      <c r="K666">
        <v>28</v>
      </c>
      <c r="L666">
        <v>28</v>
      </c>
      <c r="M666">
        <v>0</v>
      </c>
      <c r="N666" s="2">
        <v>2000</v>
      </c>
      <c r="O666" s="2">
        <v>0</v>
      </c>
      <c r="P666" s="2">
        <v>0</v>
      </c>
      <c r="Q666" s="2">
        <v>0</v>
      </c>
      <c r="R666" s="2">
        <v>0</v>
      </c>
      <c r="S666">
        <v>0</v>
      </c>
      <c r="T666" s="2">
        <v>0</v>
      </c>
      <c r="U666" s="2">
        <v>2000</v>
      </c>
      <c r="V666">
        <v>0</v>
      </c>
      <c r="W666">
        <v>0</v>
      </c>
      <c r="X666">
        <v>0</v>
      </c>
      <c r="Y666" t="e">
        <v>#DIV/0!</v>
      </c>
      <c r="Z666">
        <v>0</v>
      </c>
      <c r="AA666" t="e">
        <v>#DIV/0!</v>
      </c>
      <c r="AB666">
        <v>43</v>
      </c>
      <c r="AC666">
        <v>0</v>
      </c>
      <c r="AD666">
        <v>42</v>
      </c>
      <c r="AE666" s="7"/>
      <c r="AF666" s="7"/>
      <c r="AG666" s="7"/>
      <c r="AH666" s="7"/>
      <c r="AI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66" s="7"/>
      <c r="AK666" t="s">
        <v>438</v>
      </c>
      <c r="AN666">
        <f>IFERROR(INT(Table13[[#This Row],[reject_prod]]/Table13[[#This Row],[part_weight]] * 1000), 0)</f>
        <v>0</v>
      </c>
    </row>
    <row r="667" spans="1:40" hidden="1">
      <c r="A667" s="1">
        <v>46043</v>
      </c>
      <c r="B667">
        <v>1</v>
      </c>
      <c r="C667">
        <v>15</v>
      </c>
      <c r="D667" t="s">
        <v>139</v>
      </c>
      <c r="E667" t="s">
        <v>46</v>
      </c>
      <c r="F667">
        <v>552181</v>
      </c>
      <c r="G667" s="6">
        <v>2</v>
      </c>
      <c r="H667" t="s">
        <v>49</v>
      </c>
      <c r="I667">
        <v>10683786</v>
      </c>
      <c r="J667">
        <v>6</v>
      </c>
      <c r="K667">
        <v>18.8</v>
      </c>
      <c r="L667">
        <v>18.8</v>
      </c>
      <c r="M667">
        <v>1395</v>
      </c>
      <c r="N667" s="2">
        <v>108000</v>
      </c>
      <c r="O667" s="2">
        <v>2970</v>
      </c>
      <c r="P667" s="2">
        <v>540</v>
      </c>
      <c r="Q667" s="2">
        <v>8370</v>
      </c>
      <c r="R667" s="2">
        <v>10800</v>
      </c>
      <c r="S667">
        <v>203.04</v>
      </c>
      <c r="T667" s="2">
        <v>97740</v>
      </c>
      <c r="U667" s="2">
        <v>10260</v>
      </c>
      <c r="V667">
        <v>157.35599999999999</v>
      </c>
      <c r="W667">
        <v>0</v>
      </c>
      <c r="X667">
        <v>0</v>
      </c>
      <c r="Y667">
        <v>0</v>
      </c>
      <c r="Z667">
        <v>1</v>
      </c>
      <c r="AA667">
        <v>6.3550166501436236E-3</v>
      </c>
      <c r="AB667">
        <v>31.2</v>
      </c>
      <c r="AC667">
        <v>12</v>
      </c>
      <c r="AD667">
        <v>27</v>
      </c>
      <c r="AE667" s="7"/>
      <c r="AF667" s="7"/>
      <c r="AG667" s="7"/>
      <c r="AH667" s="7"/>
      <c r="AI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7" s="7"/>
      <c r="AK667" t="s">
        <v>51</v>
      </c>
      <c r="AN667">
        <f>IFERROR(INT(Table13[[#This Row],[reject_prod]]/Table13[[#This Row],[part_weight]] * 1000), 0)</f>
        <v>53</v>
      </c>
    </row>
    <row r="668" spans="1:40" s="4" customFormat="1" hidden="1">
      <c r="A668" s="3">
        <v>46043</v>
      </c>
      <c r="B668" s="4">
        <v>1</v>
      </c>
      <c r="C668" s="4">
        <v>16</v>
      </c>
      <c r="D668" s="4" t="s">
        <v>429</v>
      </c>
      <c r="E668" s="4" t="s">
        <v>46</v>
      </c>
      <c r="F668" s="4">
        <v>555979</v>
      </c>
      <c r="G668" s="9">
        <v>2</v>
      </c>
      <c r="H668" s="4" t="s">
        <v>52</v>
      </c>
      <c r="I668" s="4">
        <v>10683788</v>
      </c>
      <c r="J668" s="4">
        <v>6</v>
      </c>
      <c r="K668" s="4">
        <v>28</v>
      </c>
      <c r="L668" s="4">
        <v>28</v>
      </c>
      <c r="M668" s="4">
        <v>920</v>
      </c>
      <c r="N668" s="5">
        <v>100800</v>
      </c>
      <c r="O668" s="5">
        <v>2688</v>
      </c>
      <c r="P668" s="5">
        <v>1008</v>
      </c>
      <c r="Q668" s="5">
        <v>5520</v>
      </c>
      <c r="R668" s="5">
        <v>6720</v>
      </c>
      <c r="S668" s="4">
        <v>188.16</v>
      </c>
      <c r="T668" s="5">
        <v>74928</v>
      </c>
      <c r="U668" s="5">
        <v>25872</v>
      </c>
      <c r="V668" s="4">
        <v>154.56</v>
      </c>
      <c r="W668" s="4">
        <v>0</v>
      </c>
      <c r="X668" s="4">
        <v>0</v>
      </c>
      <c r="Y668" s="4">
        <v>0</v>
      </c>
      <c r="Z668" s="4">
        <v>1.2</v>
      </c>
      <c r="AA668" s="4">
        <v>7.763975155279503E-3</v>
      </c>
      <c r="AB668" s="4">
        <v>43.4</v>
      </c>
      <c r="AC668" s="4">
        <v>11.091111111111111</v>
      </c>
      <c r="AD668" s="4">
        <v>42</v>
      </c>
      <c r="AE668" s="8"/>
      <c r="AF668" s="8"/>
      <c r="AG668" s="8"/>
      <c r="AH668" s="8"/>
      <c r="AI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0.90888888888888886</v>
      </c>
      <c r="AJ668" s="8"/>
      <c r="AK668" s="4" t="s">
        <v>439</v>
      </c>
      <c r="AN668">
        <f>IFERROR(INT(Table13[[#This Row],[reject_prod]]/Table13[[#This Row],[part_weight]] * 1000), 0)</f>
        <v>42</v>
      </c>
    </row>
    <row r="669" spans="1:40" hidden="1">
      <c r="A669" s="1">
        <v>46043</v>
      </c>
      <c r="B669">
        <v>2</v>
      </c>
      <c r="C669">
        <v>1</v>
      </c>
      <c r="D669" t="s">
        <v>43</v>
      </c>
      <c r="E669" t="s">
        <v>34</v>
      </c>
      <c r="F669">
        <v>577492</v>
      </c>
      <c r="G669" s="6">
        <v>0</v>
      </c>
      <c r="H669" t="s">
        <v>341</v>
      </c>
      <c r="I669">
        <v>10684028</v>
      </c>
      <c r="J669">
        <v>4</v>
      </c>
      <c r="K669">
        <v>35.6</v>
      </c>
      <c r="L669">
        <v>35.6</v>
      </c>
      <c r="M669">
        <v>1570</v>
      </c>
      <c r="N669" s="2">
        <v>101200</v>
      </c>
      <c r="O669" s="2">
        <v>736</v>
      </c>
      <c r="P669" s="2">
        <v>1472</v>
      </c>
      <c r="Q669" s="2">
        <v>6280</v>
      </c>
      <c r="R669" s="2">
        <v>5520</v>
      </c>
      <c r="S669">
        <v>196.512</v>
      </c>
      <c r="T669" s="2">
        <v>19872</v>
      </c>
      <c r="U669" s="2">
        <v>81328</v>
      </c>
      <c r="V669">
        <v>223.56800000000001</v>
      </c>
      <c r="W669">
        <v>0</v>
      </c>
      <c r="X669">
        <v>0</v>
      </c>
      <c r="Y669">
        <v>0</v>
      </c>
      <c r="Z669">
        <v>0.8</v>
      </c>
      <c r="AA669">
        <v>3.5783296357260429E-3</v>
      </c>
      <c r="AB669">
        <v>27.1</v>
      </c>
      <c r="AC669">
        <v>11.818611111111112</v>
      </c>
      <c r="AD669">
        <v>27</v>
      </c>
      <c r="AE669" s="7"/>
      <c r="AF669" s="7"/>
      <c r="AG669" s="7"/>
      <c r="AH669" s="7"/>
      <c r="AI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0.18138888888888793</v>
      </c>
      <c r="AJ669" s="7"/>
      <c r="AK669" t="s">
        <v>51</v>
      </c>
      <c r="AN669">
        <f>IFERROR(INT(Table13[[#This Row],[reject_prod]]/Table13[[#This Row],[part_weight]] * 1000), 0)</f>
        <v>22</v>
      </c>
    </row>
    <row r="670" spans="1:40" hidden="1">
      <c r="A670" s="1">
        <v>46043</v>
      </c>
      <c r="B670">
        <v>2</v>
      </c>
      <c r="C670">
        <v>2</v>
      </c>
      <c r="D670" t="s">
        <v>33</v>
      </c>
      <c r="E670" t="s">
        <v>34</v>
      </c>
      <c r="F670">
        <v>416201</v>
      </c>
      <c r="G670" s="6">
        <v>0</v>
      </c>
      <c r="H670" t="s">
        <v>36</v>
      </c>
      <c r="I670">
        <v>10681779</v>
      </c>
      <c r="J670">
        <v>4</v>
      </c>
      <c r="K670">
        <v>20</v>
      </c>
      <c r="L670">
        <v>30</v>
      </c>
      <c r="M670">
        <v>0</v>
      </c>
      <c r="N670" s="2">
        <v>50400</v>
      </c>
      <c r="O670" s="2">
        <v>0</v>
      </c>
      <c r="P670" s="2">
        <v>0</v>
      </c>
      <c r="Q670" s="2">
        <v>0</v>
      </c>
      <c r="R670" s="2">
        <v>0</v>
      </c>
      <c r="S670">
        <v>0</v>
      </c>
      <c r="T670" s="2">
        <v>0</v>
      </c>
      <c r="U670" s="2">
        <v>50400</v>
      </c>
      <c r="V670">
        <v>0</v>
      </c>
      <c r="W670">
        <v>0</v>
      </c>
      <c r="X670">
        <v>0</v>
      </c>
      <c r="Y670" t="e">
        <v>#DIV/0!</v>
      </c>
      <c r="Z670">
        <v>0</v>
      </c>
      <c r="AA670" t="e">
        <v>#DIV/0!</v>
      </c>
      <c r="AB670">
        <v>38.6</v>
      </c>
      <c r="AC670">
        <v>0</v>
      </c>
      <c r="AD670">
        <v>38.64</v>
      </c>
      <c r="AE670" s="7"/>
      <c r="AF670" s="7"/>
      <c r="AG670" s="7"/>
      <c r="AH670" s="7"/>
      <c r="AI6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70" s="7"/>
      <c r="AK670" t="s">
        <v>387</v>
      </c>
      <c r="AN670">
        <f>IFERROR(INT(Table13[[#This Row],[reject_prod]]/Table13[[#This Row],[part_weight]] * 1000), 0)</f>
        <v>0</v>
      </c>
    </row>
    <row r="671" spans="1:40" hidden="1">
      <c r="A671" s="1">
        <v>46043</v>
      </c>
      <c r="B671">
        <v>2</v>
      </c>
      <c r="C671">
        <v>3</v>
      </c>
      <c r="D671" t="s">
        <v>65</v>
      </c>
      <c r="E671" t="s">
        <v>34</v>
      </c>
      <c r="F671">
        <v>442034</v>
      </c>
      <c r="G671" s="6">
        <v>0</v>
      </c>
      <c r="H671" t="s">
        <v>37</v>
      </c>
      <c r="I671">
        <v>10681184</v>
      </c>
      <c r="J671">
        <v>4</v>
      </c>
      <c r="K671">
        <v>23</v>
      </c>
      <c r="L671">
        <v>23</v>
      </c>
      <c r="M671">
        <v>903</v>
      </c>
      <c r="N671" s="2">
        <v>139776</v>
      </c>
      <c r="O671" s="2">
        <v>3456</v>
      </c>
      <c r="P671" s="2">
        <v>2176</v>
      </c>
      <c r="Q671" s="2">
        <v>3612</v>
      </c>
      <c r="R671" s="2">
        <v>4608</v>
      </c>
      <c r="S671">
        <v>105.98399999999999</v>
      </c>
      <c r="T671" s="2">
        <v>16000</v>
      </c>
      <c r="U671" s="2">
        <v>123776</v>
      </c>
      <c r="V671">
        <v>83.075999999999993</v>
      </c>
      <c r="W671">
        <v>0</v>
      </c>
      <c r="X671">
        <v>0</v>
      </c>
      <c r="Y671">
        <v>0</v>
      </c>
      <c r="Z671">
        <v>6.5</v>
      </c>
      <c r="AA671">
        <v>7.8241610091963995E-2</v>
      </c>
      <c r="AB671">
        <v>26.2</v>
      </c>
      <c r="AC671">
        <v>6.5718333333333332</v>
      </c>
      <c r="AD671">
        <v>22</v>
      </c>
      <c r="AE671" s="7"/>
      <c r="AF671" s="7"/>
      <c r="AG671" s="7"/>
      <c r="AH671" s="7"/>
      <c r="AI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5.4281666666666668</v>
      </c>
      <c r="AJ671" s="7"/>
      <c r="AK671" t="s">
        <v>440</v>
      </c>
      <c r="AN671">
        <f>IFERROR(INT(Table13[[#This Row],[reject_prod]]/Table13[[#This Row],[part_weight]] * 1000), 0)</f>
        <v>282</v>
      </c>
    </row>
    <row r="672" spans="1:40" hidden="1">
      <c r="A672" s="1">
        <v>46043</v>
      </c>
      <c r="B672">
        <v>2</v>
      </c>
      <c r="C672">
        <v>4</v>
      </c>
      <c r="D672" t="s">
        <v>141</v>
      </c>
      <c r="E672" t="s">
        <v>34</v>
      </c>
      <c r="F672">
        <v>402305</v>
      </c>
      <c r="G672" s="6">
        <v>0</v>
      </c>
      <c r="H672" t="s">
        <v>395</v>
      </c>
      <c r="I672">
        <v>10684852</v>
      </c>
      <c r="J672">
        <v>4</v>
      </c>
      <c r="K672">
        <v>29</v>
      </c>
      <c r="L672">
        <v>29</v>
      </c>
      <c r="M672">
        <v>1347</v>
      </c>
      <c r="N672" s="2">
        <v>64896</v>
      </c>
      <c r="O672" s="2">
        <v>416</v>
      </c>
      <c r="P672" s="2">
        <v>520</v>
      </c>
      <c r="Q672" s="2">
        <v>5388</v>
      </c>
      <c r="R672" s="2">
        <v>4992</v>
      </c>
      <c r="S672">
        <v>144.768</v>
      </c>
      <c r="T672" s="2">
        <v>27976</v>
      </c>
      <c r="U672" s="2">
        <v>36920</v>
      </c>
      <c r="V672">
        <v>156.25200000000001</v>
      </c>
      <c r="W672">
        <v>0</v>
      </c>
      <c r="X672">
        <v>0</v>
      </c>
      <c r="Y672">
        <v>0</v>
      </c>
      <c r="Z672">
        <v>8.5</v>
      </c>
      <c r="AA672">
        <v>5.4399303688912777E-2</v>
      </c>
      <c r="AB672">
        <v>24.4</v>
      </c>
      <c r="AC672">
        <v>9.129666666666667</v>
      </c>
      <c r="AD672">
        <v>22</v>
      </c>
      <c r="AE672" s="7"/>
      <c r="AF672" s="7"/>
      <c r="AG672" s="7"/>
      <c r="AH672" s="7"/>
      <c r="AI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2.870333333333333</v>
      </c>
      <c r="AJ672" s="7"/>
      <c r="AK672" t="s">
        <v>441</v>
      </c>
      <c r="AN672">
        <f>IFERROR(INT(Table13[[#This Row],[reject_prod]]/Table13[[#This Row],[part_weight]] * 1000), 0)</f>
        <v>293</v>
      </c>
    </row>
    <row r="673" spans="1:40" hidden="1">
      <c r="A673" s="1">
        <v>46043</v>
      </c>
      <c r="B673">
        <v>2</v>
      </c>
      <c r="C673">
        <v>5</v>
      </c>
      <c r="D673" t="s">
        <v>430</v>
      </c>
      <c r="E673" t="s">
        <v>34</v>
      </c>
      <c r="F673">
        <v>322383</v>
      </c>
      <c r="G673" s="6">
        <v>0</v>
      </c>
      <c r="H673" t="s">
        <v>71</v>
      </c>
      <c r="I673">
        <v>10682756</v>
      </c>
      <c r="J673">
        <v>4</v>
      </c>
      <c r="K673">
        <v>12.5</v>
      </c>
      <c r="L673">
        <v>12.5</v>
      </c>
      <c r="M673">
        <v>1946</v>
      </c>
      <c r="N673" s="2">
        <v>66000</v>
      </c>
      <c r="O673" s="2">
        <v>12100</v>
      </c>
      <c r="P673" s="2">
        <v>6600</v>
      </c>
      <c r="Q673" s="2">
        <v>7784</v>
      </c>
      <c r="R673" s="2">
        <v>13200</v>
      </c>
      <c r="S673">
        <v>165</v>
      </c>
      <c r="T673" s="2">
        <v>33000</v>
      </c>
      <c r="U673" s="2">
        <v>33000</v>
      </c>
      <c r="V673">
        <v>97.3</v>
      </c>
      <c r="W673">
        <v>0</v>
      </c>
      <c r="X673">
        <v>0</v>
      </c>
      <c r="Y673">
        <v>0</v>
      </c>
      <c r="Z673">
        <v>1</v>
      </c>
      <c r="AA673">
        <v>1.0277492291880781E-2</v>
      </c>
      <c r="AB673">
        <v>20.9</v>
      </c>
      <c r="AC673">
        <v>11.297611111111109</v>
      </c>
      <c r="AD673">
        <v>17.920000000000002</v>
      </c>
      <c r="AE673" s="7"/>
      <c r="AF673" s="7"/>
      <c r="AG673" s="7"/>
      <c r="AH673" s="7"/>
      <c r="AI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0.70238888888889051</v>
      </c>
      <c r="AJ673" s="7"/>
      <c r="AK673" t="s">
        <v>442</v>
      </c>
      <c r="AN673">
        <f>IFERROR(INT(Table13[[#This Row],[reject_prod]]/Table13[[#This Row],[part_weight]] * 1000), 0)</f>
        <v>80</v>
      </c>
    </row>
    <row r="674" spans="1:40" hidden="1">
      <c r="A674" s="1">
        <v>46043</v>
      </c>
      <c r="B674">
        <v>2</v>
      </c>
      <c r="C674">
        <v>6</v>
      </c>
      <c r="D674" t="s">
        <v>431</v>
      </c>
      <c r="E674" t="s">
        <v>34</v>
      </c>
      <c r="F674">
        <v>322409</v>
      </c>
      <c r="G674" s="6">
        <v>0</v>
      </c>
      <c r="H674" t="s">
        <v>400</v>
      </c>
      <c r="I674">
        <v>10683854</v>
      </c>
      <c r="J674">
        <v>4</v>
      </c>
      <c r="K674">
        <v>24</v>
      </c>
      <c r="L674">
        <v>24</v>
      </c>
      <c r="M674">
        <v>2059</v>
      </c>
      <c r="N674" s="2">
        <v>70200</v>
      </c>
      <c r="O674" s="2">
        <v>0</v>
      </c>
      <c r="P674" s="2">
        <v>0</v>
      </c>
      <c r="Q674" s="2">
        <v>8236</v>
      </c>
      <c r="R674" s="2">
        <v>8190</v>
      </c>
      <c r="S674">
        <v>196.56</v>
      </c>
      <c r="T674" s="2">
        <v>35100</v>
      </c>
      <c r="U674" s="2">
        <v>35100</v>
      </c>
      <c r="V674">
        <v>197.66399999999999</v>
      </c>
      <c r="W674">
        <v>0</v>
      </c>
      <c r="X674">
        <v>0</v>
      </c>
      <c r="Y674">
        <v>0</v>
      </c>
      <c r="Z674">
        <v>1.7</v>
      </c>
      <c r="AA674">
        <v>8.6004532944795216E-3</v>
      </c>
      <c r="AB674">
        <v>21</v>
      </c>
      <c r="AC674">
        <v>12</v>
      </c>
      <c r="AD674">
        <v>20</v>
      </c>
      <c r="AE674" s="7"/>
      <c r="AF674" s="7"/>
      <c r="AG674" s="7"/>
      <c r="AH674" s="7"/>
      <c r="AI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74" s="7"/>
      <c r="AK674" t="s">
        <v>214</v>
      </c>
      <c r="AN674">
        <f>IFERROR(INT(Table13[[#This Row],[reject_prod]]/Table13[[#This Row],[part_weight]] * 1000), 0)</f>
        <v>70</v>
      </c>
    </row>
    <row r="675" spans="1:40" hidden="1">
      <c r="A675" s="1">
        <v>46043</v>
      </c>
      <c r="B675">
        <v>2</v>
      </c>
      <c r="C675">
        <v>7</v>
      </c>
      <c r="D675" t="s">
        <v>432</v>
      </c>
      <c r="E675" t="s">
        <v>34</v>
      </c>
      <c r="F675">
        <v>322452</v>
      </c>
      <c r="G675" s="6">
        <v>0</v>
      </c>
      <c r="H675" t="s">
        <v>374</v>
      </c>
      <c r="I675">
        <v>10683857</v>
      </c>
      <c r="J675">
        <v>4</v>
      </c>
      <c r="K675">
        <v>33.11</v>
      </c>
      <c r="L675">
        <v>34.5</v>
      </c>
      <c r="M675">
        <v>1765</v>
      </c>
      <c r="N675" s="2">
        <v>44928</v>
      </c>
      <c r="O675" s="2">
        <v>462</v>
      </c>
      <c r="P675" s="2">
        <v>0</v>
      </c>
      <c r="Q675" s="2">
        <v>7060</v>
      </c>
      <c r="R675" s="2">
        <v>7488</v>
      </c>
      <c r="S675">
        <v>258.33600000000001</v>
      </c>
      <c r="T675" s="2">
        <v>41184</v>
      </c>
      <c r="U675" s="2">
        <v>3744</v>
      </c>
      <c r="V675">
        <v>243.57</v>
      </c>
      <c r="W675">
        <v>0</v>
      </c>
      <c r="X675">
        <v>0</v>
      </c>
      <c r="Y675">
        <v>0</v>
      </c>
      <c r="Z675">
        <v>1.1000000000000001</v>
      </c>
      <c r="AA675">
        <v>4.5161555199737247E-3</v>
      </c>
      <c r="AB675">
        <v>23.8</v>
      </c>
      <c r="AC675">
        <v>11.668611111111112</v>
      </c>
      <c r="AD675">
        <v>18.04</v>
      </c>
      <c r="AE675" s="7"/>
      <c r="AF675" s="7"/>
      <c r="AG675" s="7"/>
      <c r="AH675" s="7"/>
      <c r="AI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0.33138888888888829</v>
      </c>
      <c r="AJ675" s="7"/>
      <c r="AK675" t="s">
        <v>214</v>
      </c>
      <c r="AN675">
        <f>IFERROR(INT(Table13[[#This Row],[reject_prod]]/Table13[[#This Row],[part_weight]] * 1000), 0)</f>
        <v>31</v>
      </c>
    </row>
    <row r="676" spans="1:40" hidden="1">
      <c r="A676" s="1">
        <v>46043</v>
      </c>
      <c r="B676">
        <v>2</v>
      </c>
      <c r="C676">
        <v>8</v>
      </c>
      <c r="D676" t="s">
        <v>67</v>
      </c>
      <c r="E676" t="s">
        <v>41</v>
      </c>
      <c r="F676">
        <v>593537</v>
      </c>
      <c r="G676" s="6">
        <v>0</v>
      </c>
      <c r="H676" t="s">
        <v>48</v>
      </c>
      <c r="I676">
        <v>10685022</v>
      </c>
      <c r="J676">
        <v>4</v>
      </c>
      <c r="K676">
        <v>56.5</v>
      </c>
      <c r="L676">
        <v>56.8</v>
      </c>
      <c r="M676">
        <v>1442</v>
      </c>
      <c r="N676" s="2">
        <v>69000</v>
      </c>
      <c r="O676" s="2">
        <v>0</v>
      </c>
      <c r="P676" s="2">
        <v>0</v>
      </c>
      <c r="Q676" s="2">
        <v>5768</v>
      </c>
      <c r="R676" s="2">
        <v>5750</v>
      </c>
      <c r="S676">
        <v>326.60000000000002</v>
      </c>
      <c r="T676" s="2">
        <v>23575</v>
      </c>
      <c r="U676" s="2">
        <v>45425</v>
      </c>
      <c r="V676">
        <v>327.62239999999997</v>
      </c>
      <c r="W676">
        <v>0</v>
      </c>
      <c r="X676">
        <v>0</v>
      </c>
      <c r="Y676">
        <v>0</v>
      </c>
      <c r="Z676">
        <v>0.8</v>
      </c>
      <c r="AA676">
        <v>2.4418354788927747E-3</v>
      </c>
      <c r="AB676">
        <v>30</v>
      </c>
      <c r="AC676">
        <v>12</v>
      </c>
      <c r="AD676">
        <v>28.5</v>
      </c>
      <c r="AE676" s="7"/>
      <c r="AF676" s="7"/>
      <c r="AG676" s="7"/>
      <c r="AH676" s="7"/>
      <c r="AI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76" s="7"/>
      <c r="AK676" t="s">
        <v>51</v>
      </c>
      <c r="AN676">
        <f>IFERROR(INT(Table13[[#This Row],[reject_prod]]/Table13[[#This Row],[part_weight]] * 1000), 0)</f>
        <v>14</v>
      </c>
    </row>
    <row r="677" spans="1:40" hidden="1">
      <c r="A677" s="1">
        <v>46043</v>
      </c>
      <c r="B677">
        <v>2</v>
      </c>
      <c r="C677">
        <v>9</v>
      </c>
      <c r="D677" t="s">
        <v>33</v>
      </c>
      <c r="E677" t="s">
        <v>46</v>
      </c>
      <c r="F677">
        <v>586276</v>
      </c>
      <c r="G677" s="6">
        <v>0</v>
      </c>
      <c r="H677" t="s">
        <v>47</v>
      </c>
      <c r="I677">
        <v>10682924</v>
      </c>
      <c r="J677">
        <v>6</v>
      </c>
      <c r="K677">
        <v>12.3</v>
      </c>
      <c r="L677">
        <v>12.3</v>
      </c>
      <c r="M677">
        <v>0</v>
      </c>
      <c r="N677" s="2">
        <v>162000</v>
      </c>
      <c r="O677" s="2">
        <v>7290</v>
      </c>
      <c r="P677" s="2">
        <v>7290</v>
      </c>
      <c r="Q677" s="2">
        <v>0</v>
      </c>
      <c r="R677" s="2">
        <v>0</v>
      </c>
      <c r="S677">
        <v>0</v>
      </c>
      <c r="T677" s="2">
        <v>80190</v>
      </c>
      <c r="U677" s="2">
        <v>81810</v>
      </c>
      <c r="V677">
        <v>0</v>
      </c>
      <c r="W677">
        <v>0</v>
      </c>
      <c r="X677">
        <v>0</v>
      </c>
      <c r="Y677" t="e">
        <v>#DIV/0!</v>
      </c>
      <c r="Z677">
        <v>0</v>
      </c>
      <c r="AA677" t="e">
        <v>#DIV/0!</v>
      </c>
      <c r="AB677">
        <v>26</v>
      </c>
      <c r="AC677">
        <v>0</v>
      </c>
      <c r="AD677">
        <v>26</v>
      </c>
      <c r="AE677" s="7"/>
      <c r="AF677" s="7"/>
      <c r="AG677" s="7"/>
      <c r="AH677" s="7"/>
      <c r="AI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77" s="7"/>
      <c r="AK677" t="s">
        <v>443</v>
      </c>
      <c r="AN677">
        <f>IFERROR(INT(Table13[[#This Row],[reject_prod]]/Table13[[#This Row],[part_weight]] * 1000), 0)</f>
        <v>0</v>
      </c>
    </row>
    <row r="678" spans="1:40" hidden="1">
      <c r="A678" s="1">
        <v>46043</v>
      </c>
      <c r="B678">
        <v>2</v>
      </c>
      <c r="C678">
        <v>10</v>
      </c>
      <c r="D678" t="s">
        <v>33</v>
      </c>
      <c r="E678" t="s">
        <v>34</v>
      </c>
      <c r="F678">
        <v>323092</v>
      </c>
      <c r="G678" s="6">
        <v>0</v>
      </c>
      <c r="H678" t="s">
        <v>377</v>
      </c>
      <c r="I678">
        <v>10684857</v>
      </c>
      <c r="J678">
        <v>4</v>
      </c>
      <c r="K678">
        <v>48.9</v>
      </c>
      <c r="L678">
        <v>48.9</v>
      </c>
      <c r="M678">
        <v>214</v>
      </c>
      <c r="N678" s="2">
        <v>37800</v>
      </c>
      <c r="O678" s="2">
        <v>210</v>
      </c>
      <c r="P678" s="2">
        <v>0</v>
      </c>
      <c r="Q678" s="2">
        <v>856</v>
      </c>
      <c r="R678" s="2">
        <v>1050</v>
      </c>
      <c r="S678">
        <v>51.344999999999999</v>
      </c>
      <c r="T678" s="2">
        <v>37800</v>
      </c>
      <c r="U678" s="2">
        <v>0</v>
      </c>
      <c r="V678">
        <v>41.858400000000003</v>
      </c>
      <c r="W678">
        <v>0</v>
      </c>
      <c r="X678">
        <v>0</v>
      </c>
      <c r="Y678">
        <v>0</v>
      </c>
      <c r="Z678">
        <v>0.7</v>
      </c>
      <c r="AA678">
        <v>1.6723047225885364E-2</v>
      </c>
      <c r="AB678">
        <v>27.4</v>
      </c>
      <c r="AC678">
        <v>1.6287777777777777</v>
      </c>
      <c r="AD678">
        <v>27.6</v>
      </c>
      <c r="AE678" s="7"/>
      <c r="AF678" s="7"/>
      <c r="AG678" s="7"/>
      <c r="AH678" s="7"/>
      <c r="AI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10.371222222222222</v>
      </c>
      <c r="AJ678" s="7"/>
      <c r="AK678" t="s">
        <v>102</v>
      </c>
      <c r="AN678">
        <f>IFERROR(INT(Table13[[#This Row],[reject_prod]]/Table13[[#This Row],[part_weight]] * 1000), 0)</f>
        <v>14</v>
      </c>
    </row>
    <row r="679" spans="1:40" hidden="1">
      <c r="A679" s="1">
        <v>46043</v>
      </c>
      <c r="B679">
        <v>2</v>
      </c>
      <c r="C679">
        <v>10</v>
      </c>
      <c r="D679" t="s">
        <v>143</v>
      </c>
      <c r="E679" t="s">
        <v>34</v>
      </c>
      <c r="F679">
        <v>323091</v>
      </c>
      <c r="G679" s="6">
        <v>0</v>
      </c>
      <c r="H679" t="s">
        <v>444</v>
      </c>
      <c r="I679">
        <v>10684858</v>
      </c>
      <c r="J679">
        <v>4</v>
      </c>
      <c r="K679">
        <v>48.71</v>
      </c>
      <c r="L679">
        <v>48.71</v>
      </c>
      <c r="M679">
        <v>1103</v>
      </c>
      <c r="N679" s="2">
        <v>25200</v>
      </c>
      <c r="O679" s="2">
        <v>0</v>
      </c>
      <c r="P679" s="2">
        <v>210</v>
      </c>
      <c r="Q679" s="2">
        <v>4412</v>
      </c>
      <c r="R679" s="2">
        <v>4200</v>
      </c>
      <c r="S679">
        <v>204.58199999999999</v>
      </c>
      <c r="T679" s="2">
        <v>4410</v>
      </c>
      <c r="U679" s="2">
        <v>20790</v>
      </c>
      <c r="V679">
        <v>214.90851999999998</v>
      </c>
      <c r="W679">
        <v>0</v>
      </c>
      <c r="X679">
        <v>5</v>
      </c>
      <c r="Y679">
        <v>2.3265713243942124E-2</v>
      </c>
      <c r="Z679">
        <v>0</v>
      </c>
      <c r="AA679">
        <v>0</v>
      </c>
      <c r="AB679">
        <v>27</v>
      </c>
      <c r="AC679">
        <v>8.2724999999999991</v>
      </c>
      <c r="AD679">
        <v>26.4</v>
      </c>
      <c r="AE679" s="7"/>
      <c r="AF679" s="7"/>
      <c r="AG679" s="7">
        <v>2</v>
      </c>
      <c r="AH679" s="7"/>
      <c r="AI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1.7275000000000009</v>
      </c>
      <c r="AJ679" s="7"/>
      <c r="AK679" t="s">
        <v>445</v>
      </c>
      <c r="AN679">
        <f>IFERROR(INT(Table13[[#This Row],[reject_prod]]/Table13[[#This Row],[part_weight]] * 1000), 0)</f>
        <v>0</v>
      </c>
    </row>
    <row r="680" spans="1:40" hidden="1">
      <c r="A680" s="1">
        <v>46043</v>
      </c>
      <c r="B680">
        <v>2</v>
      </c>
      <c r="C680">
        <v>11</v>
      </c>
      <c r="D680" t="s">
        <v>61</v>
      </c>
      <c r="E680" t="s">
        <v>46</v>
      </c>
      <c r="F680">
        <v>552181</v>
      </c>
      <c r="G680" s="6">
        <v>1</v>
      </c>
      <c r="H680" t="s">
        <v>49</v>
      </c>
      <c r="I680">
        <v>10683783</v>
      </c>
      <c r="J680">
        <v>6</v>
      </c>
      <c r="K680">
        <v>18.8</v>
      </c>
      <c r="L680">
        <v>18.8</v>
      </c>
      <c r="M680">
        <v>1480</v>
      </c>
      <c r="N680" s="2">
        <v>108000</v>
      </c>
      <c r="O680" s="2">
        <v>8370</v>
      </c>
      <c r="P680" s="2">
        <v>6210</v>
      </c>
      <c r="Q680" s="2">
        <v>8880</v>
      </c>
      <c r="R680" s="2">
        <v>10800</v>
      </c>
      <c r="S680">
        <v>203.04</v>
      </c>
      <c r="T680" s="2">
        <v>17010</v>
      </c>
      <c r="U680" s="2">
        <v>90990</v>
      </c>
      <c r="V680">
        <v>166.94399999999999</v>
      </c>
      <c r="W680">
        <v>0</v>
      </c>
      <c r="X680">
        <v>0</v>
      </c>
      <c r="Y680">
        <v>0</v>
      </c>
      <c r="Z680">
        <v>4.5</v>
      </c>
      <c r="AA680">
        <v>2.6955146635997702E-2</v>
      </c>
      <c r="AB680">
        <v>28.7</v>
      </c>
      <c r="AC680">
        <v>11.798888888888889</v>
      </c>
      <c r="AD680">
        <v>27</v>
      </c>
      <c r="AE680" s="7"/>
      <c r="AF680" s="7"/>
      <c r="AG680" s="7"/>
      <c r="AH680" s="7"/>
      <c r="AI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0.20111111111111057</v>
      </c>
      <c r="AJ680" s="7"/>
      <c r="AK680" t="s">
        <v>51</v>
      </c>
      <c r="AN680">
        <f>IFERROR(INT(Table13[[#This Row],[reject_prod]]/Table13[[#This Row],[part_weight]] * 1000), 0)</f>
        <v>239</v>
      </c>
    </row>
    <row r="681" spans="1:40" hidden="1">
      <c r="A681" s="1">
        <v>46043</v>
      </c>
      <c r="B681">
        <v>2</v>
      </c>
      <c r="C681">
        <v>12</v>
      </c>
      <c r="D681" t="s">
        <v>152</v>
      </c>
      <c r="E681" t="s">
        <v>34</v>
      </c>
      <c r="F681">
        <v>620599</v>
      </c>
      <c r="G681" s="6">
        <v>0</v>
      </c>
      <c r="H681" t="s">
        <v>50</v>
      </c>
      <c r="I681">
        <v>10684839</v>
      </c>
      <c r="J681">
        <v>4</v>
      </c>
      <c r="K681">
        <v>55</v>
      </c>
      <c r="L681">
        <v>55</v>
      </c>
      <c r="M681">
        <v>1468</v>
      </c>
      <c r="N681" s="2">
        <v>72000</v>
      </c>
      <c r="O681" s="2">
        <v>225</v>
      </c>
      <c r="P681" s="2">
        <v>570</v>
      </c>
      <c r="Q681" s="2">
        <v>5872</v>
      </c>
      <c r="R681" s="2">
        <v>5400</v>
      </c>
      <c r="S681">
        <v>297</v>
      </c>
      <c r="T681" s="2">
        <v>14970</v>
      </c>
      <c r="U681" s="2">
        <v>57030</v>
      </c>
      <c r="V681">
        <v>322.95999999999998</v>
      </c>
      <c r="W681">
        <v>0</v>
      </c>
      <c r="X681">
        <v>0</v>
      </c>
      <c r="Y681">
        <v>0</v>
      </c>
      <c r="Z681">
        <v>6.8</v>
      </c>
      <c r="AA681">
        <v>2.1055239038890266E-2</v>
      </c>
      <c r="AB681">
        <v>29.1</v>
      </c>
      <c r="AC681">
        <v>11.866333333333333</v>
      </c>
      <c r="AD681">
        <v>28</v>
      </c>
      <c r="AE681" s="7"/>
      <c r="AF681" s="7"/>
      <c r="AG681" s="7"/>
      <c r="AH681" s="7"/>
      <c r="AI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0.1336666666666666</v>
      </c>
      <c r="AJ681" s="7"/>
      <c r="AK681" t="s">
        <v>237</v>
      </c>
      <c r="AN681">
        <f>IFERROR(INT(Table13[[#This Row],[reject_prod]]/Table13[[#This Row],[part_weight]] * 1000), 0)</f>
        <v>123</v>
      </c>
    </row>
    <row r="682" spans="1:40" hidden="1">
      <c r="A682" s="1">
        <v>46043</v>
      </c>
      <c r="B682">
        <v>2</v>
      </c>
      <c r="C682">
        <v>13</v>
      </c>
      <c r="D682" t="s">
        <v>61</v>
      </c>
      <c r="E682" t="s">
        <v>46</v>
      </c>
      <c r="F682">
        <v>586276</v>
      </c>
      <c r="G682" s="6">
        <v>0</v>
      </c>
      <c r="H682" t="s">
        <v>47</v>
      </c>
      <c r="I682">
        <v>10683784</v>
      </c>
      <c r="J682">
        <v>6</v>
      </c>
      <c r="K682">
        <v>12.3</v>
      </c>
      <c r="L682">
        <v>12.3</v>
      </c>
      <c r="M682">
        <v>1631</v>
      </c>
      <c r="N682" s="2">
        <v>162000</v>
      </c>
      <c r="O682" s="2">
        <v>405</v>
      </c>
      <c r="P682" s="2">
        <v>2025</v>
      </c>
      <c r="Q682" s="2">
        <v>9786</v>
      </c>
      <c r="R682" s="2">
        <v>8100</v>
      </c>
      <c r="S682">
        <v>99.63</v>
      </c>
      <c r="T682" s="2">
        <v>147825</v>
      </c>
      <c r="U682" s="2">
        <v>14175</v>
      </c>
      <c r="V682">
        <v>120.3678</v>
      </c>
      <c r="W682">
        <v>0</v>
      </c>
      <c r="X682">
        <v>0</v>
      </c>
      <c r="Y682">
        <v>0</v>
      </c>
      <c r="Z682">
        <v>0.8</v>
      </c>
      <c r="AA682">
        <v>6.6462957701312149E-3</v>
      </c>
      <c r="AB682">
        <v>26.2</v>
      </c>
      <c r="AC682">
        <v>11.870055555555556</v>
      </c>
      <c r="AD682">
        <v>26</v>
      </c>
      <c r="AE682" s="7"/>
      <c r="AF682" s="7"/>
      <c r="AG682" s="7"/>
      <c r="AH682" s="7"/>
      <c r="AI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682" s="7"/>
      <c r="AK682" t="s">
        <v>51</v>
      </c>
      <c r="AN682">
        <f>IFERROR(INT(Table13[[#This Row],[reject_prod]]/Table13[[#This Row],[part_weight]] * 1000), 0)</f>
        <v>65</v>
      </c>
    </row>
    <row r="683" spans="1:40" hidden="1">
      <c r="A683" s="1">
        <v>46043</v>
      </c>
      <c r="B683">
        <v>2</v>
      </c>
      <c r="C683">
        <v>14</v>
      </c>
      <c r="F683">
        <v>123456</v>
      </c>
      <c r="G683" s="6">
        <v>0</v>
      </c>
      <c r="M683">
        <v>0</v>
      </c>
      <c r="N683" s="2">
        <v>0</v>
      </c>
      <c r="O683" s="2">
        <v>0</v>
      </c>
      <c r="P683" s="2">
        <v>0</v>
      </c>
      <c r="Q683" s="2"/>
      <c r="R683" s="2">
        <v>0</v>
      </c>
      <c r="T683" s="2">
        <v>0</v>
      </c>
      <c r="U683" s="2"/>
      <c r="X683">
        <v>0</v>
      </c>
      <c r="Z683">
        <v>0</v>
      </c>
      <c r="AB683">
        <v>0</v>
      </c>
      <c r="AC683">
        <v>0</v>
      </c>
      <c r="AD683">
        <v>0</v>
      </c>
      <c r="AE683" s="7"/>
      <c r="AF683" s="7"/>
      <c r="AG683" s="7"/>
      <c r="AH683" s="7"/>
      <c r="AI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83" s="7">
        <v>12</v>
      </c>
      <c r="AK683" t="s">
        <v>116</v>
      </c>
      <c r="AN683">
        <f>IFERROR(INT(Table13[[#This Row],[reject_prod]]/Table13[[#This Row],[part_weight]] * 1000), 0)</f>
        <v>0</v>
      </c>
    </row>
    <row r="684" spans="1:40" hidden="1">
      <c r="A684" s="1">
        <v>46043</v>
      </c>
      <c r="B684">
        <v>2</v>
      </c>
      <c r="C684">
        <v>15</v>
      </c>
      <c r="D684" t="s">
        <v>61</v>
      </c>
      <c r="E684" t="s">
        <v>46</v>
      </c>
      <c r="F684">
        <v>552181</v>
      </c>
      <c r="G684" s="6">
        <v>2</v>
      </c>
      <c r="H684" t="s">
        <v>49</v>
      </c>
      <c r="I684">
        <v>10683786</v>
      </c>
      <c r="J684">
        <v>6</v>
      </c>
      <c r="K684">
        <v>18.8</v>
      </c>
      <c r="L684">
        <v>18.8</v>
      </c>
      <c r="M684">
        <v>1361</v>
      </c>
      <c r="N684" s="2">
        <v>108000</v>
      </c>
      <c r="O684" s="2">
        <v>540</v>
      </c>
      <c r="P684" s="2">
        <v>3240</v>
      </c>
      <c r="Q684" s="2">
        <v>8166</v>
      </c>
      <c r="R684" s="2">
        <v>5400</v>
      </c>
      <c r="S684">
        <v>101.52</v>
      </c>
      <c r="T684" s="2">
        <v>105840</v>
      </c>
      <c r="U684" s="2">
        <v>2160</v>
      </c>
      <c r="V684">
        <v>153.52080000000001</v>
      </c>
      <c r="W684">
        <v>0</v>
      </c>
      <c r="X684">
        <v>0</v>
      </c>
      <c r="Y684">
        <v>0</v>
      </c>
      <c r="Z684">
        <v>1.1000000000000001</v>
      </c>
      <c r="AA684">
        <v>7.1651528652794932E-3</v>
      </c>
      <c r="AB684">
        <v>31.2</v>
      </c>
      <c r="AC684">
        <v>11.795333333333334</v>
      </c>
      <c r="AD684">
        <v>27</v>
      </c>
      <c r="AE684" s="7"/>
      <c r="AF684" s="7"/>
      <c r="AG684" s="7"/>
      <c r="AH684" s="7"/>
      <c r="AI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684" s="7"/>
      <c r="AK684" t="s">
        <v>51</v>
      </c>
      <c r="AN684">
        <f>IFERROR(INT(Table13[[#This Row],[reject_prod]]/Table13[[#This Row],[part_weight]] * 1000), 0)</f>
        <v>58</v>
      </c>
    </row>
    <row r="685" spans="1:40" s="4" customFormat="1" hidden="1">
      <c r="A685" s="3">
        <v>46043</v>
      </c>
      <c r="B685" s="4">
        <v>2</v>
      </c>
      <c r="C685" s="4">
        <v>16</v>
      </c>
      <c r="D685" s="4" t="s">
        <v>115</v>
      </c>
      <c r="E685" s="4" t="s">
        <v>46</v>
      </c>
      <c r="F685" s="4">
        <v>555979</v>
      </c>
      <c r="G685" s="9">
        <v>2</v>
      </c>
      <c r="H685" s="4" t="s">
        <v>52</v>
      </c>
      <c r="I685" s="4">
        <v>10683788</v>
      </c>
      <c r="J685" s="4">
        <v>6</v>
      </c>
      <c r="K685" s="4">
        <v>28</v>
      </c>
      <c r="L685" s="4">
        <v>28</v>
      </c>
      <c r="M685" s="4">
        <v>893</v>
      </c>
      <c r="N685" s="5">
        <v>100800</v>
      </c>
      <c r="O685" s="5">
        <v>1008</v>
      </c>
      <c r="P685" s="5">
        <v>2856</v>
      </c>
      <c r="Q685" s="5">
        <v>5358</v>
      </c>
      <c r="R685" s="5">
        <v>3360</v>
      </c>
      <c r="S685" s="4">
        <v>94.08</v>
      </c>
      <c r="T685" s="5">
        <v>77280</v>
      </c>
      <c r="U685" s="5">
        <v>23520</v>
      </c>
      <c r="V685" s="4">
        <v>150.024</v>
      </c>
      <c r="W685" s="4">
        <v>0</v>
      </c>
      <c r="X685" s="4">
        <v>0</v>
      </c>
      <c r="Y685" s="4">
        <v>0</v>
      </c>
      <c r="Z685" s="4">
        <v>4.5999999999999996</v>
      </c>
      <c r="AA685" s="4">
        <v>3.0661760784941074E-2</v>
      </c>
      <c r="AB685" s="4">
        <v>43.4</v>
      </c>
      <c r="AC685" s="4">
        <v>10.765611111111111</v>
      </c>
      <c r="AD685" s="4">
        <v>42</v>
      </c>
      <c r="AE685" s="8"/>
      <c r="AF685" s="8"/>
      <c r="AG685" s="8"/>
      <c r="AH685" s="8"/>
      <c r="AI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1.2343888888888888</v>
      </c>
      <c r="AJ685" s="8"/>
      <c r="AK685" s="4" t="s">
        <v>446</v>
      </c>
      <c r="AN685">
        <f>IFERROR(INT(Table13[[#This Row],[reject_prod]]/Table13[[#This Row],[part_weight]] * 1000), 0)</f>
        <v>164</v>
      </c>
    </row>
    <row r="686" spans="1:40" hidden="1">
      <c r="A686" s="1">
        <v>46044</v>
      </c>
      <c r="B686">
        <v>1</v>
      </c>
      <c r="C686">
        <v>1</v>
      </c>
      <c r="D686" t="s">
        <v>289</v>
      </c>
      <c r="E686" t="s">
        <v>34</v>
      </c>
      <c r="F686">
        <v>577492</v>
      </c>
      <c r="G686" s="6">
        <v>0</v>
      </c>
      <c r="H686" t="s">
        <v>341</v>
      </c>
      <c r="I686">
        <v>10684028</v>
      </c>
      <c r="J686">
        <v>4</v>
      </c>
      <c r="K686">
        <v>35.6</v>
      </c>
      <c r="L686">
        <v>35.6</v>
      </c>
      <c r="M686">
        <v>1564</v>
      </c>
      <c r="N686" s="2">
        <v>101200</v>
      </c>
      <c r="O686" s="2">
        <v>1472</v>
      </c>
      <c r="P686" s="2">
        <v>368</v>
      </c>
      <c r="Q686" s="2">
        <v>6256</v>
      </c>
      <c r="R686" s="2">
        <v>7360</v>
      </c>
      <c r="S686">
        <v>262.01600000000002</v>
      </c>
      <c r="T686" s="2">
        <v>26128</v>
      </c>
      <c r="U686" s="2">
        <v>75072</v>
      </c>
      <c r="V686">
        <v>222.71360000000001</v>
      </c>
      <c r="W686">
        <v>0</v>
      </c>
      <c r="X686">
        <v>0</v>
      </c>
      <c r="Y686">
        <v>0</v>
      </c>
      <c r="Z686">
        <v>2.5</v>
      </c>
      <c r="AA686">
        <v>1.1225178884450702E-2</v>
      </c>
      <c r="AB686">
        <v>27.1</v>
      </c>
      <c r="AC686">
        <v>11.773444444444445</v>
      </c>
      <c r="AD686">
        <v>27</v>
      </c>
      <c r="AE686" s="7"/>
      <c r="AF686" s="7"/>
      <c r="AG686" s="7"/>
      <c r="AH686" s="7"/>
      <c r="AI6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686" s="7"/>
      <c r="AK686" t="s">
        <v>51</v>
      </c>
      <c r="AL686">
        <v>3</v>
      </c>
      <c r="AM686">
        <v>2</v>
      </c>
      <c r="AN686">
        <f>IFERROR(INT(Table13[[#This Row],[reject_prod]]/Table13[[#This Row],[part_weight]] * 1000), 0)</f>
        <v>70</v>
      </c>
    </row>
    <row r="687" spans="1:40" hidden="1">
      <c r="A687" s="1">
        <v>46044</v>
      </c>
      <c r="B687">
        <v>1</v>
      </c>
      <c r="C687">
        <v>2</v>
      </c>
      <c r="D687" t="s">
        <v>33</v>
      </c>
      <c r="E687" t="s">
        <v>34</v>
      </c>
      <c r="F687">
        <v>416201</v>
      </c>
      <c r="G687" s="6">
        <v>0</v>
      </c>
      <c r="H687" t="s">
        <v>36</v>
      </c>
      <c r="I687">
        <v>10681779</v>
      </c>
      <c r="J687">
        <v>4</v>
      </c>
      <c r="K687">
        <v>20</v>
      </c>
      <c r="L687">
        <v>30</v>
      </c>
      <c r="M687">
        <v>0</v>
      </c>
      <c r="N687" s="2">
        <v>50400</v>
      </c>
      <c r="O687" s="2">
        <v>0</v>
      </c>
      <c r="P687" s="2">
        <v>0</v>
      </c>
      <c r="Q687" s="2">
        <v>0</v>
      </c>
      <c r="R687" s="2">
        <v>0</v>
      </c>
      <c r="S687">
        <v>0</v>
      </c>
      <c r="T687" s="2">
        <v>0</v>
      </c>
      <c r="U687" s="2">
        <v>50400</v>
      </c>
      <c r="V687">
        <v>0</v>
      </c>
      <c r="W687">
        <v>0</v>
      </c>
      <c r="X687">
        <v>0</v>
      </c>
      <c r="Y687" t="e">
        <v>#DIV/0!</v>
      </c>
      <c r="Z687">
        <v>0</v>
      </c>
      <c r="AA687" t="e">
        <v>#DIV/0!</v>
      </c>
      <c r="AB687">
        <v>38.6</v>
      </c>
      <c r="AC687">
        <v>0</v>
      </c>
      <c r="AD687">
        <v>38.64</v>
      </c>
      <c r="AE687" s="7"/>
      <c r="AF687" s="7"/>
      <c r="AG687" s="7"/>
      <c r="AH687" s="7"/>
      <c r="AI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87" s="7"/>
      <c r="AK687" t="s">
        <v>387</v>
      </c>
      <c r="AN687">
        <f>IFERROR(INT(Table13[[#This Row],[reject_prod]]/Table13[[#This Row],[part_weight]] * 1000), 0)</f>
        <v>0</v>
      </c>
    </row>
    <row r="688" spans="1:40" hidden="1">
      <c r="A688" s="1">
        <v>46044</v>
      </c>
      <c r="B688">
        <v>1</v>
      </c>
      <c r="C688">
        <v>3</v>
      </c>
      <c r="D688" t="s">
        <v>59</v>
      </c>
      <c r="E688" t="s">
        <v>34</v>
      </c>
      <c r="F688">
        <v>442034</v>
      </c>
      <c r="G688" s="6">
        <v>0</v>
      </c>
      <c r="H688" t="s">
        <v>37</v>
      </c>
      <c r="I688">
        <v>10681184</v>
      </c>
      <c r="J688">
        <v>4</v>
      </c>
      <c r="K688">
        <v>23</v>
      </c>
      <c r="L688">
        <v>23</v>
      </c>
      <c r="M688">
        <v>1580</v>
      </c>
      <c r="N688" s="2">
        <v>139776</v>
      </c>
      <c r="O688" s="2">
        <v>2176</v>
      </c>
      <c r="P688" s="2">
        <v>3840</v>
      </c>
      <c r="Q688" s="2">
        <v>6320</v>
      </c>
      <c r="R688" s="2">
        <v>4608</v>
      </c>
      <c r="S688">
        <v>105.98399999999999</v>
      </c>
      <c r="T688" s="2">
        <v>22272</v>
      </c>
      <c r="U688" s="2">
        <v>117504</v>
      </c>
      <c r="V688">
        <v>145.36000000000001</v>
      </c>
      <c r="W688">
        <v>0</v>
      </c>
      <c r="X688">
        <v>0</v>
      </c>
      <c r="Y688">
        <v>0</v>
      </c>
      <c r="Z688">
        <v>3.2</v>
      </c>
      <c r="AA688">
        <v>2.2014309301045677E-2</v>
      </c>
      <c r="AB688">
        <v>26.2</v>
      </c>
      <c r="AC688">
        <v>11.498888888888889</v>
      </c>
      <c r="AD688">
        <v>22</v>
      </c>
      <c r="AE688" s="7"/>
      <c r="AF688" s="7"/>
      <c r="AG688" s="7"/>
      <c r="AH688" s="7"/>
      <c r="AI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688" s="7"/>
      <c r="AK688" t="s">
        <v>103</v>
      </c>
      <c r="AL688">
        <v>3</v>
      </c>
      <c r="AM688">
        <v>5</v>
      </c>
      <c r="AN688">
        <f>IFERROR(INT(Table13[[#This Row],[reject_prod]]/Table13[[#This Row],[part_weight]] * 1000), 0)</f>
        <v>139</v>
      </c>
    </row>
    <row r="689" spans="1:40" hidden="1">
      <c r="A689" s="1">
        <v>46044</v>
      </c>
      <c r="B689">
        <v>1</v>
      </c>
      <c r="C689">
        <v>4</v>
      </c>
      <c r="D689" t="s">
        <v>54</v>
      </c>
      <c r="E689" t="s">
        <v>34</v>
      </c>
      <c r="F689">
        <v>402305</v>
      </c>
      <c r="G689" s="6">
        <v>0</v>
      </c>
      <c r="H689" t="s">
        <v>395</v>
      </c>
      <c r="I689">
        <v>10684852</v>
      </c>
      <c r="J689">
        <v>4</v>
      </c>
      <c r="K689">
        <v>29</v>
      </c>
      <c r="L689">
        <v>29</v>
      </c>
      <c r="M689">
        <v>1745</v>
      </c>
      <c r="N689" s="2">
        <v>64896</v>
      </c>
      <c r="O689" s="2">
        <v>520</v>
      </c>
      <c r="P689" s="2">
        <v>0</v>
      </c>
      <c r="Q689" s="2">
        <v>6980</v>
      </c>
      <c r="R689" s="2">
        <v>7488</v>
      </c>
      <c r="S689">
        <v>217.15199999999999</v>
      </c>
      <c r="T689" s="2">
        <v>34944</v>
      </c>
      <c r="U689" s="2">
        <v>29952</v>
      </c>
      <c r="V689">
        <v>202.42</v>
      </c>
      <c r="W689">
        <v>0</v>
      </c>
      <c r="X689">
        <v>0</v>
      </c>
      <c r="Y689">
        <v>0</v>
      </c>
      <c r="Z689">
        <v>1.8</v>
      </c>
      <c r="AA689">
        <v>8.892401936567533E-3</v>
      </c>
      <c r="AB689">
        <v>24.4</v>
      </c>
      <c r="AC689">
        <v>11.827222222222222</v>
      </c>
      <c r="AD689">
        <v>22</v>
      </c>
      <c r="AE689" s="7"/>
      <c r="AF689" s="7"/>
      <c r="AG689" s="7"/>
      <c r="AH689" s="7"/>
      <c r="AI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0.17277777777777814</v>
      </c>
      <c r="AJ689" s="7"/>
      <c r="AK689" t="s">
        <v>214</v>
      </c>
      <c r="AL689">
        <v>2</v>
      </c>
      <c r="AM689">
        <v>4</v>
      </c>
      <c r="AN689">
        <f>IFERROR(INT(Table13[[#This Row],[reject_prod]]/Table13[[#This Row],[part_weight]] * 1000), 0)</f>
        <v>62</v>
      </c>
    </row>
    <row r="690" spans="1:40" hidden="1">
      <c r="A690" s="1">
        <v>46044</v>
      </c>
      <c r="B690">
        <v>1</v>
      </c>
      <c r="C690">
        <v>5</v>
      </c>
      <c r="D690" t="s">
        <v>447</v>
      </c>
      <c r="E690" t="s">
        <v>34</v>
      </c>
      <c r="F690">
        <v>322383</v>
      </c>
      <c r="G690" s="6">
        <v>0</v>
      </c>
      <c r="H690" t="s">
        <v>71</v>
      </c>
      <c r="I690">
        <v>10682756</v>
      </c>
      <c r="J690">
        <v>4</v>
      </c>
      <c r="K690">
        <v>12.5</v>
      </c>
      <c r="L690">
        <v>12.5</v>
      </c>
      <c r="M690">
        <v>1925</v>
      </c>
      <c r="N690" s="2">
        <v>66000</v>
      </c>
      <c r="O690" s="2">
        <v>6600</v>
      </c>
      <c r="P690" s="2">
        <v>1100</v>
      </c>
      <c r="Q690" s="2">
        <v>7700</v>
      </c>
      <c r="R690" s="2">
        <v>13200</v>
      </c>
      <c r="S690">
        <v>165</v>
      </c>
      <c r="T690" s="2">
        <v>40700</v>
      </c>
      <c r="U690" s="2">
        <v>25300</v>
      </c>
      <c r="V690">
        <v>96.25</v>
      </c>
      <c r="W690">
        <v>0</v>
      </c>
      <c r="X690">
        <v>0</v>
      </c>
      <c r="Y690">
        <v>0</v>
      </c>
      <c r="Z690">
        <v>6.2</v>
      </c>
      <c r="AA690">
        <v>6.4415584415584412E-2</v>
      </c>
      <c r="AB690">
        <v>20.9</v>
      </c>
      <c r="AC690">
        <v>11.175694444444444</v>
      </c>
      <c r="AD690">
        <v>17.920000000000002</v>
      </c>
      <c r="AE690" s="7"/>
      <c r="AF690" s="7"/>
      <c r="AG690" s="7"/>
      <c r="AH690" s="7"/>
      <c r="AI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0.82430555555555607</v>
      </c>
      <c r="AJ690" s="7"/>
      <c r="AK690" t="s">
        <v>456</v>
      </c>
      <c r="AL690">
        <v>2</v>
      </c>
      <c r="AM690">
        <v>2</v>
      </c>
      <c r="AN690">
        <f>IFERROR(INT(Table13[[#This Row],[reject_prod]]/Table13[[#This Row],[part_weight]] * 1000), 0)</f>
        <v>496</v>
      </c>
    </row>
    <row r="691" spans="1:40" hidden="1">
      <c r="A691" s="1">
        <v>46044</v>
      </c>
      <c r="B691">
        <v>1</v>
      </c>
      <c r="C691">
        <v>6</v>
      </c>
      <c r="D691" t="s">
        <v>448</v>
      </c>
      <c r="E691" t="s">
        <v>34</v>
      </c>
      <c r="F691">
        <v>322409</v>
      </c>
      <c r="G691" s="6">
        <v>0</v>
      </c>
      <c r="H691" t="s">
        <v>400</v>
      </c>
      <c r="I691">
        <v>10683854</v>
      </c>
      <c r="J691">
        <v>4</v>
      </c>
      <c r="K691">
        <v>24</v>
      </c>
      <c r="L691">
        <v>24</v>
      </c>
      <c r="M691">
        <v>1980</v>
      </c>
      <c r="N691" s="2">
        <v>70200</v>
      </c>
      <c r="O691" s="2">
        <v>0</v>
      </c>
      <c r="P691" s="2">
        <v>780</v>
      </c>
      <c r="Q691" s="2">
        <v>7920</v>
      </c>
      <c r="R691" s="2">
        <v>7020</v>
      </c>
      <c r="S691">
        <v>168.48</v>
      </c>
      <c r="T691" s="2">
        <v>42900</v>
      </c>
      <c r="U691" s="2">
        <v>27300</v>
      </c>
      <c r="V691">
        <v>190.08</v>
      </c>
      <c r="W691">
        <v>0</v>
      </c>
      <c r="X691">
        <v>0</v>
      </c>
      <c r="Y691">
        <v>0</v>
      </c>
      <c r="Z691">
        <v>1</v>
      </c>
      <c r="AA691">
        <v>5.2609427609427604E-3</v>
      </c>
      <c r="AB691">
        <v>21.5</v>
      </c>
      <c r="AC691">
        <v>11.825000000000001</v>
      </c>
      <c r="AD691">
        <v>20</v>
      </c>
      <c r="AE691" s="7"/>
      <c r="AF691" s="7"/>
      <c r="AG691" s="7"/>
      <c r="AH691" s="7"/>
      <c r="AI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0.17499999999999893</v>
      </c>
      <c r="AJ691" s="7"/>
      <c r="AK691" t="s">
        <v>214</v>
      </c>
      <c r="AL691">
        <v>3</v>
      </c>
      <c r="AM691">
        <v>2</v>
      </c>
      <c r="AN691">
        <f>IFERROR(INT(Table13[[#This Row],[reject_prod]]/Table13[[#This Row],[part_weight]] * 1000), 0)</f>
        <v>41</v>
      </c>
    </row>
    <row r="692" spans="1:40" hidden="1">
      <c r="A692" s="1">
        <v>46044</v>
      </c>
      <c r="B692">
        <v>1</v>
      </c>
      <c r="C692">
        <v>7</v>
      </c>
      <c r="D692" t="s">
        <v>449</v>
      </c>
      <c r="E692" t="s">
        <v>34</v>
      </c>
      <c r="F692">
        <v>322452</v>
      </c>
      <c r="G692" s="6">
        <v>0</v>
      </c>
      <c r="H692" t="s">
        <v>374</v>
      </c>
      <c r="I692">
        <v>10683857</v>
      </c>
      <c r="J692">
        <v>4</v>
      </c>
      <c r="K692">
        <v>33.11</v>
      </c>
      <c r="L692">
        <v>34.5</v>
      </c>
      <c r="M692">
        <v>940</v>
      </c>
      <c r="N692" s="2">
        <v>44928</v>
      </c>
      <c r="O692" s="2">
        <v>0</v>
      </c>
      <c r="P692" s="2">
        <v>0</v>
      </c>
      <c r="Q692" s="2">
        <v>3760</v>
      </c>
      <c r="R692" s="2">
        <v>3744</v>
      </c>
      <c r="S692">
        <v>129.16800000000001</v>
      </c>
      <c r="T692" s="2">
        <v>44928</v>
      </c>
      <c r="U692" s="2">
        <v>0</v>
      </c>
      <c r="V692">
        <v>129.72</v>
      </c>
      <c r="W692">
        <v>-5.2264000000000026</v>
      </c>
      <c r="X692">
        <v>0</v>
      </c>
      <c r="Y692">
        <v>0</v>
      </c>
      <c r="Z692">
        <v>1</v>
      </c>
      <c r="AA692">
        <v>7.7089115016959605E-3</v>
      </c>
      <c r="AB692">
        <v>23.8</v>
      </c>
      <c r="AC692">
        <v>6.2144444444444442</v>
      </c>
      <c r="AD692">
        <v>18.04</v>
      </c>
      <c r="AE692" s="7"/>
      <c r="AF692" s="7"/>
      <c r="AG692" s="7"/>
      <c r="AH692" s="7"/>
      <c r="AI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5.7855555555555558</v>
      </c>
      <c r="AJ692" s="7"/>
      <c r="AK692" t="s">
        <v>457</v>
      </c>
      <c r="AL692">
        <v>4</v>
      </c>
      <c r="AM692">
        <v>6</v>
      </c>
      <c r="AN692">
        <f>IFERROR(INT(Table13[[#This Row],[reject_prod]]/Table13[[#This Row],[part_weight]] * 1000), 0)</f>
        <v>28</v>
      </c>
    </row>
    <row r="693" spans="1:40" hidden="1">
      <c r="A693" s="1">
        <v>46044</v>
      </c>
      <c r="B693">
        <v>1</v>
      </c>
      <c r="C693">
        <v>7</v>
      </c>
      <c r="D693" t="s">
        <v>449</v>
      </c>
      <c r="E693" t="s">
        <v>34</v>
      </c>
      <c r="F693">
        <v>322452</v>
      </c>
      <c r="G693" s="6">
        <v>0</v>
      </c>
      <c r="H693" t="s">
        <v>374</v>
      </c>
      <c r="I693">
        <v>10685079</v>
      </c>
      <c r="J693">
        <v>4</v>
      </c>
      <c r="K693">
        <v>33.11</v>
      </c>
      <c r="L693">
        <v>34.5</v>
      </c>
      <c r="M693">
        <v>150</v>
      </c>
      <c r="N693" s="2">
        <v>588</v>
      </c>
      <c r="O693" s="2">
        <v>0</v>
      </c>
      <c r="P693" s="2">
        <v>0</v>
      </c>
      <c r="Q693" s="2">
        <v>600</v>
      </c>
      <c r="R693" s="2">
        <v>588</v>
      </c>
      <c r="S693">
        <v>20.286000000000001</v>
      </c>
      <c r="T693" s="2">
        <v>588</v>
      </c>
      <c r="U693" s="2">
        <v>0</v>
      </c>
      <c r="V693">
        <v>20.7</v>
      </c>
      <c r="W693">
        <v>-0.8340000000000003</v>
      </c>
      <c r="X693">
        <v>0</v>
      </c>
      <c r="Y693">
        <v>0</v>
      </c>
      <c r="Z693">
        <v>0</v>
      </c>
      <c r="AA693">
        <v>0</v>
      </c>
      <c r="AB693">
        <v>23.8</v>
      </c>
      <c r="AC693">
        <v>0.9916666666666667</v>
      </c>
      <c r="AD693">
        <v>18.04</v>
      </c>
      <c r="AE693" s="7"/>
      <c r="AF693" s="7"/>
      <c r="AG693" s="7"/>
      <c r="AH693" s="7"/>
      <c r="AI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11.008333333333333</v>
      </c>
      <c r="AJ693" s="7"/>
      <c r="AK693" t="s">
        <v>457</v>
      </c>
      <c r="AN693">
        <f>IFERROR(INT(Table13[[#This Row],[reject_prod]]/Table13[[#This Row],[part_weight]] * 1000), 0)</f>
        <v>0</v>
      </c>
    </row>
    <row r="694" spans="1:40" hidden="1">
      <c r="A694" s="1">
        <v>46044</v>
      </c>
      <c r="B694">
        <v>1</v>
      </c>
      <c r="C694">
        <v>7</v>
      </c>
      <c r="D694" t="s">
        <v>449</v>
      </c>
      <c r="E694" t="s">
        <v>34</v>
      </c>
      <c r="F694">
        <v>647556</v>
      </c>
      <c r="G694" s="6">
        <v>0</v>
      </c>
      <c r="H694" t="s">
        <v>458</v>
      </c>
      <c r="I694">
        <v>10683858</v>
      </c>
      <c r="J694">
        <v>4</v>
      </c>
      <c r="K694">
        <v>35</v>
      </c>
      <c r="L694">
        <v>34.5</v>
      </c>
      <c r="M694">
        <v>80</v>
      </c>
      <c r="N694" s="2">
        <v>27720</v>
      </c>
      <c r="O694" s="2">
        <v>0</v>
      </c>
      <c r="P694" s="2">
        <v>308</v>
      </c>
      <c r="Q694" s="2">
        <v>320</v>
      </c>
      <c r="R694" s="2">
        <v>0</v>
      </c>
      <c r="S694">
        <v>0</v>
      </c>
      <c r="T694" s="2">
        <v>308</v>
      </c>
      <c r="U694" s="2">
        <v>27412</v>
      </c>
      <c r="V694">
        <v>11.04</v>
      </c>
      <c r="W694">
        <v>0.16</v>
      </c>
      <c r="X694">
        <v>11.8</v>
      </c>
      <c r="Y694">
        <v>1.068840579710145</v>
      </c>
      <c r="Z694">
        <v>0</v>
      </c>
      <c r="AA694">
        <v>0</v>
      </c>
      <c r="AB694">
        <v>21</v>
      </c>
      <c r="AC694">
        <v>0.46666666666666667</v>
      </c>
      <c r="AD694">
        <v>20.399999999999999</v>
      </c>
      <c r="AE694" s="7"/>
      <c r="AF694" s="7"/>
      <c r="AG694" s="7">
        <v>1.5</v>
      </c>
      <c r="AH694" s="7"/>
      <c r="AI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10.033333333333333</v>
      </c>
      <c r="AJ694" s="7"/>
      <c r="AK694" t="s">
        <v>459</v>
      </c>
      <c r="AN694">
        <f>IFERROR(INT(Table13[[#This Row],[reject_prod]]/Table13[[#This Row],[part_weight]] * 1000), 0)</f>
        <v>0</v>
      </c>
    </row>
    <row r="695" spans="1:40" hidden="1">
      <c r="A695" s="1">
        <v>46044</v>
      </c>
      <c r="B695">
        <v>1</v>
      </c>
      <c r="C695">
        <v>8</v>
      </c>
      <c r="D695" t="s">
        <v>56</v>
      </c>
      <c r="E695" t="s">
        <v>41</v>
      </c>
      <c r="F695">
        <v>593537</v>
      </c>
      <c r="G695" s="6">
        <v>0</v>
      </c>
      <c r="H695" t="s">
        <v>48</v>
      </c>
      <c r="I695">
        <v>10685022</v>
      </c>
      <c r="J695">
        <v>4</v>
      </c>
      <c r="K695">
        <v>56.5</v>
      </c>
      <c r="L695">
        <v>56.8</v>
      </c>
      <c r="M695">
        <v>1440</v>
      </c>
      <c r="N695" s="2">
        <v>69000</v>
      </c>
      <c r="O695" s="2">
        <v>0</v>
      </c>
      <c r="P695" s="2">
        <v>0</v>
      </c>
      <c r="Q695" s="2">
        <v>5760</v>
      </c>
      <c r="R695" s="2">
        <v>5750</v>
      </c>
      <c r="S695">
        <v>326.60000000000002</v>
      </c>
      <c r="T695" s="2">
        <v>29325</v>
      </c>
      <c r="U695" s="2">
        <v>39675</v>
      </c>
      <c r="V695">
        <v>327.16800000000001</v>
      </c>
      <c r="W695">
        <v>-1.7279999999999835</v>
      </c>
      <c r="X695">
        <v>0</v>
      </c>
      <c r="Y695">
        <v>0</v>
      </c>
      <c r="Z695">
        <v>1</v>
      </c>
      <c r="AA695">
        <v>3.0565336463223786E-3</v>
      </c>
      <c r="AB695">
        <v>30.4</v>
      </c>
      <c r="AC695">
        <v>12</v>
      </c>
      <c r="AD695">
        <v>28.5</v>
      </c>
      <c r="AE695" s="7"/>
      <c r="AF695" s="7"/>
      <c r="AG695" s="7"/>
      <c r="AH695" s="7"/>
      <c r="AI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95" s="7"/>
      <c r="AK695" t="s">
        <v>51</v>
      </c>
      <c r="AL695">
        <v>2</v>
      </c>
      <c r="AM695">
        <v>3</v>
      </c>
      <c r="AN695">
        <f>IFERROR(INT(Table13[[#This Row],[reject_prod]]/Table13[[#This Row],[part_weight]] * 1000), 0)</f>
        <v>17</v>
      </c>
    </row>
    <row r="696" spans="1:40" hidden="1">
      <c r="A696" s="1">
        <v>46044</v>
      </c>
      <c r="B696">
        <v>1</v>
      </c>
      <c r="C696">
        <v>9</v>
      </c>
      <c r="D696" t="s">
        <v>33</v>
      </c>
      <c r="E696" t="s">
        <v>46</v>
      </c>
      <c r="F696">
        <v>586276</v>
      </c>
      <c r="G696" s="6">
        <v>0</v>
      </c>
      <c r="H696" t="s">
        <v>47</v>
      </c>
      <c r="I696">
        <v>10682924</v>
      </c>
      <c r="J696">
        <v>6</v>
      </c>
      <c r="K696">
        <v>12.3</v>
      </c>
      <c r="L696">
        <v>12.3</v>
      </c>
      <c r="M696">
        <v>0</v>
      </c>
      <c r="N696" s="2">
        <v>162000</v>
      </c>
      <c r="O696" s="2">
        <v>7290</v>
      </c>
      <c r="P696" s="2">
        <v>7290</v>
      </c>
      <c r="Q696" s="2">
        <v>0</v>
      </c>
      <c r="R696" s="2">
        <v>0</v>
      </c>
      <c r="S696">
        <v>0</v>
      </c>
      <c r="T696" s="2">
        <v>80190</v>
      </c>
      <c r="U696" s="2">
        <v>81810</v>
      </c>
      <c r="V696">
        <v>0</v>
      </c>
      <c r="W696">
        <v>0</v>
      </c>
      <c r="X696">
        <v>0</v>
      </c>
      <c r="Y696" t="e">
        <v>#DIV/0!</v>
      </c>
      <c r="Z696">
        <v>0</v>
      </c>
      <c r="AA696" t="e">
        <v>#DIV/0!</v>
      </c>
      <c r="AB696">
        <v>26</v>
      </c>
      <c r="AC696">
        <v>0</v>
      </c>
      <c r="AD696">
        <v>26</v>
      </c>
      <c r="AE696" s="7"/>
      <c r="AF696" s="7"/>
      <c r="AG696" s="7"/>
      <c r="AH696" s="7"/>
      <c r="AI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96" s="7"/>
      <c r="AK696" t="s">
        <v>443</v>
      </c>
      <c r="AN696">
        <f>IFERROR(INT(Table13[[#This Row],[reject_prod]]/Table13[[#This Row],[part_weight]] * 1000), 0)</f>
        <v>0</v>
      </c>
    </row>
    <row r="697" spans="1:40" hidden="1">
      <c r="A697" s="1">
        <v>46044</v>
      </c>
      <c r="B697">
        <v>1</v>
      </c>
      <c r="C697">
        <v>10</v>
      </c>
      <c r="D697" t="s">
        <v>117</v>
      </c>
      <c r="E697" t="s">
        <v>34</v>
      </c>
      <c r="F697">
        <v>323091</v>
      </c>
      <c r="G697" s="6">
        <v>0</v>
      </c>
      <c r="H697" t="s">
        <v>444</v>
      </c>
      <c r="I697">
        <v>10684858</v>
      </c>
      <c r="J697">
        <v>4</v>
      </c>
      <c r="K697">
        <v>48.71</v>
      </c>
      <c r="L697">
        <v>48.71</v>
      </c>
      <c r="M697">
        <v>1575</v>
      </c>
      <c r="N697" s="2">
        <v>25200</v>
      </c>
      <c r="O697" s="2">
        <v>210</v>
      </c>
      <c r="P697" s="2">
        <v>210</v>
      </c>
      <c r="Q697" s="2">
        <v>6300</v>
      </c>
      <c r="R697" s="2">
        <v>6300</v>
      </c>
      <c r="S697">
        <v>306.87299999999999</v>
      </c>
      <c r="T697" s="2">
        <v>10710</v>
      </c>
      <c r="U697" s="2">
        <v>14490</v>
      </c>
      <c r="V697">
        <v>306.87299999999999</v>
      </c>
      <c r="W697">
        <v>0</v>
      </c>
      <c r="X697">
        <v>0</v>
      </c>
      <c r="Y697">
        <v>0</v>
      </c>
      <c r="Z697">
        <v>1.2</v>
      </c>
      <c r="AA697">
        <v>3.9104124507532432E-3</v>
      </c>
      <c r="AB697">
        <v>27</v>
      </c>
      <c r="AC697">
        <v>11.8125</v>
      </c>
      <c r="AD697">
        <v>26.4</v>
      </c>
      <c r="AE697" s="7"/>
      <c r="AF697" s="7"/>
      <c r="AG697" s="7"/>
      <c r="AH697" s="7"/>
      <c r="AI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697" s="7"/>
      <c r="AK697" t="s">
        <v>214</v>
      </c>
      <c r="AL697">
        <v>4</v>
      </c>
      <c r="AM697">
        <v>3</v>
      </c>
      <c r="AN697">
        <f>IFERROR(INT(Table13[[#This Row],[reject_prod]]/Table13[[#This Row],[part_weight]] * 1000), 0)</f>
        <v>24</v>
      </c>
    </row>
    <row r="698" spans="1:40" hidden="1">
      <c r="A698" s="1">
        <v>46044</v>
      </c>
      <c r="B698">
        <v>1</v>
      </c>
      <c r="C698">
        <v>11</v>
      </c>
      <c r="D698" t="s">
        <v>208</v>
      </c>
      <c r="E698" t="s">
        <v>46</v>
      </c>
      <c r="F698">
        <v>552181</v>
      </c>
      <c r="G698" s="6">
        <v>1</v>
      </c>
      <c r="H698" t="s">
        <v>49</v>
      </c>
      <c r="I698">
        <v>10683783</v>
      </c>
      <c r="J698">
        <v>6</v>
      </c>
      <c r="K698">
        <v>18.8</v>
      </c>
      <c r="L698">
        <v>18.8</v>
      </c>
      <c r="M698">
        <v>1510</v>
      </c>
      <c r="N698" s="2">
        <v>108000</v>
      </c>
      <c r="O698" s="2">
        <v>6210</v>
      </c>
      <c r="P698" s="2">
        <v>4590</v>
      </c>
      <c r="Q698" s="2">
        <v>9060</v>
      </c>
      <c r="R698" s="2">
        <v>10800</v>
      </c>
      <c r="S698">
        <v>203.04</v>
      </c>
      <c r="T698" s="2">
        <v>21600</v>
      </c>
      <c r="U698" s="2">
        <v>86400</v>
      </c>
      <c r="V698">
        <v>170.328</v>
      </c>
      <c r="W698">
        <v>0</v>
      </c>
      <c r="X698">
        <v>0</v>
      </c>
      <c r="Y698">
        <v>0</v>
      </c>
      <c r="Z698">
        <v>1</v>
      </c>
      <c r="AA698">
        <v>5.8710253158611621E-3</v>
      </c>
      <c r="AB698">
        <v>28.7</v>
      </c>
      <c r="AC698">
        <v>12</v>
      </c>
      <c r="AD698">
        <v>27</v>
      </c>
      <c r="AE698" s="7"/>
      <c r="AF698" s="7"/>
      <c r="AG698" s="7"/>
      <c r="AH698" s="7"/>
      <c r="AI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98" s="7"/>
      <c r="AK698" t="s">
        <v>51</v>
      </c>
      <c r="AN698">
        <f>IFERROR(INT(Table13[[#This Row],[reject_prod]]/Table13[[#This Row],[part_weight]] * 1000), 0)</f>
        <v>53</v>
      </c>
    </row>
    <row r="699" spans="1:40" hidden="1">
      <c r="A699" s="1">
        <v>46044</v>
      </c>
      <c r="B699">
        <v>1</v>
      </c>
      <c r="C699">
        <v>12</v>
      </c>
      <c r="D699" t="s">
        <v>84</v>
      </c>
      <c r="E699" t="s">
        <v>34</v>
      </c>
      <c r="F699">
        <v>620599</v>
      </c>
      <c r="G699" s="6">
        <v>0</v>
      </c>
      <c r="H699" t="s">
        <v>50</v>
      </c>
      <c r="I699">
        <v>10684839</v>
      </c>
      <c r="J699">
        <v>4</v>
      </c>
      <c r="K699">
        <v>55</v>
      </c>
      <c r="L699">
        <v>55</v>
      </c>
      <c r="M699">
        <v>1432</v>
      </c>
      <c r="N699" s="2">
        <v>72000</v>
      </c>
      <c r="O699" s="2">
        <v>570</v>
      </c>
      <c r="P699" s="2">
        <v>900</v>
      </c>
      <c r="Q699" s="2">
        <v>5728</v>
      </c>
      <c r="R699" s="2">
        <v>5400</v>
      </c>
      <c r="S699">
        <v>297</v>
      </c>
      <c r="T699" s="2">
        <v>20700</v>
      </c>
      <c r="U699" s="2">
        <v>51300</v>
      </c>
      <c r="V699">
        <v>315.04000000000002</v>
      </c>
      <c r="W699">
        <v>0</v>
      </c>
      <c r="X699">
        <v>0</v>
      </c>
      <c r="Y699">
        <v>0</v>
      </c>
      <c r="Z699">
        <v>11.3</v>
      </c>
      <c r="AA699">
        <v>3.5868461147790756E-2</v>
      </c>
      <c r="AB699">
        <v>29.1</v>
      </c>
      <c r="AC699">
        <v>11.575333333333333</v>
      </c>
      <c r="AD699">
        <v>28</v>
      </c>
      <c r="AE699" s="7"/>
      <c r="AF699" s="7"/>
      <c r="AG699" s="7"/>
      <c r="AH699" s="7"/>
      <c r="AI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0.42466666666666697</v>
      </c>
      <c r="AJ699" s="7"/>
      <c r="AK699" t="s">
        <v>460</v>
      </c>
      <c r="AL699">
        <v>5</v>
      </c>
      <c r="AM699">
        <v>5</v>
      </c>
      <c r="AN699">
        <f>IFERROR(INT(Table13[[#This Row],[reject_prod]]/Table13[[#This Row],[part_weight]] * 1000), 0)</f>
        <v>205</v>
      </c>
    </row>
    <row r="700" spans="1:40" hidden="1">
      <c r="A700" s="1">
        <v>46044</v>
      </c>
      <c r="B700">
        <v>1</v>
      </c>
      <c r="C700">
        <v>13</v>
      </c>
      <c r="D700" t="s">
        <v>208</v>
      </c>
      <c r="E700" t="s">
        <v>46</v>
      </c>
      <c r="F700">
        <v>586276</v>
      </c>
      <c r="G700" s="6">
        <v>0</v>
      </c>
      <c r="H700" t="s">
        <v>47</v>
      </c>
      <c r="I700">
        <v>10683784</v>
      </c>
      <c r="J700">
        <v>6</v>
      </c>
      <c r="K700">
        <v>12.3</v>
      </c>
      <c r="L700">
        <v>12.3</v>
      </c>
      <c r="M700">
        <v>1635</v>
      </c>
      <c r="N700" s="2">
        <v>162000</v>
      </c>
      <c r="O700" s="2">
        <v>2025</v>
      </c>
      <c r="P700" s="2">
        <v>3645</v>
      </c>
      <c r="Q700" s="2">
        <v>9810</v>
      </c>
      <c r="R700" s="2">
        <v>8100</v>
      </c>
      <c r="S700">
        <v>99.63</v>
      </c>
      <c r="T700" s="2">
        <v>157545</v>
      </c>
      <c r="U700" s="2">
        <v>4455</v>
      </c>
      <c r="V700">
        <v>120.663</v>
      </c>
      <c r="W700">
        <v>0</v>
      </c>
      <c r="X700">
        <v>0</v>
      </c>
      <c r="Y700">
        <v>0</v>
      </c>
      <c r="Z700">
        <v>1</v>
      </c>
      <c r="AA700">
        <v>8.2875446491467979E-3</v>
      </c>
      <c r="AB700">
        <v>26.2</v>
      </c>
      <c r="AC700">
        <v>11.899166666666668</v>
      </c>
      <c r="AD700">
        <v>26</v>
      </c>
      <c r="AE700" s="7"/>
      <c r="AF700" s="7"/>
      <c r="AG700" s="7"/>
      <c r="AH700" s="7"/>
      <c r="AI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0.10083333333333222</v>
      </c>
      <c r="AJ700" s="7"/>
      <c r="AK700" t="s">
        <v>51</v>
      </c>
      <c r="AN700">
        <f>IFERROR(INT(Table13[[#This Row],[reject_prod]]/Table13[[#This Row],[part_weight]] * 1000), 0)</f>
        <v>81</v>
      </c>
    </row>
    <row r="701" spans="1:40" hidden="1">
      <c r="A701" s="1">
        <v>46044</v>
      </c>
      <c r="B701">
        <v>1</v>
      </c>
      <c r="C701">
        <v>14</v>
      </c>
      <c r="F701">
        <v>123456</v>
      </c>
      <c r="G701" s="6">
        <v>0</v>
      </c>
      <c r="M701">
        <v>0</v>
      </c>
      <c r="N701" s="2">
        <v>0</v>
      </c>
      <c r="O701" s="2">
        <v>0</v>
      </c>
      <c r="P701" s="2">
        <v>0</v>
      </c>
      <c r="Q701" s="2"/>
      <c r="R701" s="2">
        <v>0</v>
      </c>
      <c r="T701" s="2">
        <v>0</v>
      </c>
      <c r="U701" s="2"/>
      <c r="X701">
        <v>0</v>
      </c>
      <c r="Z701">
        <v>0</v>
      </c>
      <c r="AB701">
        <v>0</v>
      </c>
      <c r="AC701">
        <v>0</v>
      </c>
      <c r="AD701">
        <v>0</v>
      </c>
      <c r="AE701" s="7"/>
      <c r="AF701" s="7"/>
      <c r="AG701" s="7"/>
      <c r="AH701" s="7"/>
      <c r="AI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01" s="7">
        <v>12</v>
      </c>
      <c r="AK701" t="s">
        <v>116</v>
      </c>
      <c r="AN701">
        <f>IFERROR(INT(Table13[[#This Row],[reject_prod]]/Table13[[#This Row],[part_weight]] * 1000), 0)</f>
        <v>0</v>
      </c>
    </row>
    <row r="702" spans="1:40" hidden="1">
      <c r="A702" s="1">
        <v>46044</v>
      </c>
      <c r="B702">
        <v>1</v>
      </c>
      <c r="C702">
        <v>15</v>
      </c>
      <c r="D702" t="s">
        <v>208</v>
      </c>
      <c r="E702" t="s">
        <v>46</v>
      </c>
      <c r="F702">
        <v>552181</v>
      </c>
      <c r="G702" s="6">
        <v>2</v>
      </c>
      <c r="H702" t="s">
        <v>49</v>
      </c>
      <c r="I702">
        <v>10683786</v>
      </c>
      <c r="J702">
        <v>6</v>
      </c>
      <c r="K702">
        <v>18.8</v>
      </c>
      <c r="L702">
        <v>18.8</v>
      </c>
      <c r="M702">
        <v>400</v>
      </c>
      <c r="N702" s="2">
        <v>108000</v>
      </c>
      <c r="O702" s="2">
        <v>3240</v>
      </c>
      <c r="P702" s="2">
        <v>0</v>
      </c>
      <c r="Q702" s="2">
        <v>2400</v>
      </c>
      <c r="R702" s="2">
        <v>5400</v>
      </c>
      <c r="S702">
        <v>101.52</v>
      </c>
      <c r="T702" s="2">
        <v>108000</v>
      </c>
      <c r="U702" s="2">
        <v>0</v>
      </c>
      <c r="V702">
        <v>45.12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31.2</v>
      </c>
      <c r="AC702">
        <v>3.4666666666666663</v>
      </c>
      <c r="AD702">
        <v>27</v>
      </c>
      <c r="AE702" s="7"/>
      <c r="AF702" s="7"/>
      <c r="AG702" s="7"/>
      <c r="AH702" s="7"/>
      <c r="AI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8.5333333333333332</v>
      </c>
      <c r="AJ702" s="7"/>
      <c r="AK702" t="s">
        <v>457</v>
      </c>
      <c r="AN702">
        <f>IFERROR(INT(Table13[[#This Row],[reject_prod]]/Table13[[#This Row],[part_weight]] * 1000), 0)</f>
        <v>0</v>
      </c>
    </row>
    <row r="703" spans="1:40" hidden="1">
      <c r="A703" s="1">
        <v>46044</v>
      </c>
      <c r="B703">
        <v>1</v>
      </c>
      <c r="C703">
        <v>15</v>
      </c>
      <c r="D703" t="s">
        <v>208</v>
      </c>
      <c r="E703" t="s">
        <v>46</v>
      </c>
      <c r="F703">
        <v>552181</v>
      </c>
      <c r="G703" s="6">
        <v>2</v>
      </c>
      <c r="H703" t="s">
        <v>49</v>
      </c>
      <c r="I703">
        <v>10683787</v>
      </c>
      <c r="J703">
        <v>6</v>
      </c>
      <c r="K703">
        <v>18.8</v>
      </c>
      <c r="L703">
        <v>18.8</v>
      </c>
      <c r="M703">
        <v>950</v>
      </c>
      <c r="N703" s="2">
        <v>108000</v>
      </c>
      <c r="O703" s="2">
        <v>0</v>
      </c>
      <c r="P703" s="2">
        <v>270</v>
      </c>
      <c r="Q703" s="2">
        <v>5700</v>
      </c>
      <c r="R703" s="2">
        <v>5400</v>
      </c>
      <c r="S703">
        <v>101.52</v>
      </c>
      <c r="T703" s="2">
        <v>5670</v>
      </c>
      <c r="U703" s="2">
        <v>102330</v>
      </c>
      <c r="V703">
        <v>107.16</v>
      </c>
      <c r="W703">
        <v>0</v>
      </c>
      <c r="X703">
        <v>0</v>
      </c>
      <c r="Y703">
        <v>0</v>
      </c>
      <c r="Z703">
        <v>1</v>
      </c>
      <c r="AA703">
        <v>9.3318402388951113E-3</v>
      </c>
      <c r="AB703">
        <v>31.2</v>
      </c>
      <c r="AC703">
        <v>8.2333333333333325</v>
      </c>
      <c r="AD703">
        <v>27</v>
      </c>
      <c r="AE703" s="7"/>
      <c r="AF703" s="7"/>
      <c r="AG703" s="7"/>
      <c r="AH703" s="7"/>
      <c r="AI7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3.7666666666666675</v>
      </c>
      <c r="AJ703" s="7"/>
      <c r="AK703" t="s">
        <v>51</v>
      </c>
      <c r="AN703">
        <f>IFERROR(INT(Table13[[#This Row],[reject_prod]]/Table13[[#This Row],[part_weight]] * 1000), 0)</f>
        <v>53</v>
      </c>
    </row>
    <row r="704" spans="1:40" s="4" customFormat="1" hidden="1">
      <c r="A704" s="3">
        <v>46044</v>
      </c>
      <c r="B704" s="4">
        <v>1</v>
      </c>
      <c r="C704" s="4">
        <v>16</v>
      </c>
      <c r="D704" s="4" t="s">
        <v>450</v>
      </c>
      <c r="E704" s="4" t="s">
        <v>46</v>
      </c>
      <c r="F704" s="4">
        <v>555979</v>
      </c>
      <c r="G704" s="9">
        <v>2</v>
      </c>
      <c r="H704" s="4" t="s">
        <v>52</v>
      </c>
      <c r="I704" s="4">
        <v>10683788</v>
      </c>
      <c r="J704" s="4">
        <v>6</v>
      </c>
      <c r="K704" s="4">
        <v>28</v>
      </c>
      <c r="L704" s="4">
        <v>28</v>
      </c>
      <c r="M704" s="4">
        <v>930</v>
      </c>
      <c r="N704" s="5">
        <v>100800</v>
      </c>
      <c r="O704" s="5">
        <v>2856</v>
      </c>
      <c r="P704" s="5">
        <v>1680</v>
      </c>
      <c r="Q704" s="5">
        <v>5580</v>
      </c>
      <c r="R704" s="5">
        <v>6720</v>
      </c>
      <c r="S704" s="4">
        <v>188.16</v>
      </c>
      <c r="T704" s="5">
        <v>85680</v>
      </c>
      <c r="U704" s="5">
        <v>15120</v>
      </c>
      <c r="V704" s="4">
        <v>156.24</v>
      </c>
      <c r="W704" s="4">
        <v>0</v>
      </c>
      <c r="X704" s="4">
        <v>0</v>
      </c>
      <c r="Y704" s="4">
        <v>0</v>
      </c>
      <c r="Z704" s="4">
        <v>1.5</v>
      </c>
      <c r="AA704" s="4">
        <v>9.6006144393241157E-3</v>
      </c>
      <c r="AB704" s="4">
        <v>43.4</v>
      </c>
      <c r="AC704" s="4">
        <v>11.211666666666666</v>
      </c>
      <c r="AD704" s="4">
        <v>42</v>
      </c>
      <c r="AE704" s="8"/>
      <c r="AF704" s="8"/>
      <c r="AG704" s="8"/>
      <c r="AH704" s="8"/>
      <c r="AI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0.788333333333334</v>
      </c>
      <c r="AJ704" s="8"/>
      <c r="AK704" s="4" t="s">
        <v>461</v>
      </c>
      <c r="AN704">
        <f>IFERROR(INT(Table13[[#This Row],[reject_prod]]/Table13[[#This Row],[part_weight]] * 1000), 0)</f>
        <v>53</v>
      </c>
    </row>
    <row r="705" spans="1:40" hidden="1">
      <c r="A705" s="1">
        <v>46044</v>
      </c>
      <c r="B705">
        <v>2</v>
      </c>
      <c r="C705">
        <v>1</v>
      </c>
      <c r="D705" t="s">
        <v>451</v>
      </c>
      <c r="E705" t="s">
        <v>34</v>
      </c>
      <c r="F705">
        <v>577492</v>
      </c>
      <c r="G705" s="6">
        <v>0</v>
      </c>
      <c r="H705" t="s">
        <v>341</v>
      </c>
      <c r="I705">
        <v>10684028</v>
      </c>
      <c r="J705">
        <v>4</v>
      </c>
      <c r="K705">
        <v>35.6</v>
      </c>
      <c r="L705">
        <v>35.6</v>
      </c>
      <c r="M705">
        <v>1575</v>
      </c>
      <c r="N705" s="2">
        <v>101200</v>
      </c>
      <c r="O705" s="2">
        <v>368</v>
      </c>
      <c r="P705" s="2">
        <v>1104</v>
      </c>
      <c r="Q705" s="2">
        <v>6300</v>
      </c>
      <c r="R705" s="2">
        <v>5520</v>
      </c>
      <c r="S705">
        <v>196.512</v>
      </c>
      <c r="T705" s="2">
        <v>32384</v>
      </c>
      <c r="U705" s="2">
        <v>68816</v>
      </c>
      <c r="V705">
        <v>224.28</v>
      </c>
      <c r="W705">
        <v>0</v>
      </c>
      <c r="X705">
        <v>0</v>
      </c>
      <c r="Y705">
        <v>0</v>
      </c>
      <c r="Z705">
        <v>1.6</v>
      </c>
      <c r="AA705">
        <v>7.1339397182093815E-3</v>
      </c>
      <c r="AB705">
        <v>27.1</v>
      </c>
      <c r="AC705">
        <v>11.856250000000001</v>
      </c>
      <c r="AD705">
        <v>27</v>
      </c>
      <c r="AE705" s="7"/>
      <c r="AF705" s="7"/>
      <c r="AG705" s="7"/>
      <c r="AH705" s="7"/>
      <c r="AI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0.14374999999999893</v>
      </c>
      <c r="AJ705" s="7"/>
      <c r="AK705" t="s">
        <v>51</v>
      </c>
      <c r="AN705">
        <f>IFERROR(INT(Table13[[#This Row],[reject_prod]]/Table13[[#This Row],[part_weight]] * 1000), 0)</f>
        <v>44</v>
      </c>
    </row>
    <row r="706" spans="1:40" hidden="1">
      <c r="A706" s="1">
        <v>46044</v>
      </c>
      <c r="B706">
        <v>2</v>
      </c>
      <c r="C706">
        <v>2</v>
      </c>
      <c r="D706" t="s">
        <v>33</v>
      </c>
      <c r="E706" t="s">
        <v>34</v>
      </c>
      <c r="F706">
        <v>416201</v>
      </c>
      <c r="G706" s="6">
        <v>0</v>
      </c>
      <c r="H706" t="s">
        <v>36</v>
      </c>
      <c r="I706">
        <v>10681779</v>
      </c>
      <c r="J706">
        <v>4</v>
      </c>
      <c r="K706">
        <v>20</v>
      </c>
      <c r="L706">
        <v>30</v>
      </c>
      <c r="M706">
        <v>0</v>
      </c>
      <c r="N706" s="2">
        <v>50400</v>
      </c>
      <c r="O706" s="2">
        <v>0</v>
      </c>
      <c r="P706" s="2">
        <v>0</v>
      </c>
      <c r="Q706" s="2">
        <v>0</v>
      </c>
      <c r="R706" s="2">
        <v>0</v>
      </c>
      <c r="S706">
        <v>0</v>
      </c>
      <c r="T706" s="2">
        <v>0</v>
      </c>
      <c r="U706" s="2">
        <v>50400</v>
      </c>
      <c r="V706">
        <v>0</v>
      </c>
      <c r="W706">
        <v>0</v>
      </c>
      <c r="X706">
        <v>0</v>
      </c>
      <c r="Y706" t="e">
        <v>#DIV/0!</v>
      </c>
      <c r="Z706">
        <v>0</v>
      </c>
      <c r="AA706" t="e">
        <v>#DIV/0!</v>
      </c>
      <c r="AB706">
        <v>38.6</v>
      </c>
      <c r="AC706">
        <v>0</v>
      </c>
      <c r="AD706">
        <v>38.64</v>
      </c>
      <c r="AE706" s="7"/>
      <c r="AF706" s="7"/>
      <c r="AG706" s="7"/>
      <c r="AH706" s="7"/>
      <c r="AI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06" s="7"/>
      <c r="AK706" t="s">
        <v>387</v>
      </c>
      <c r="AN706">
        <f>IFERROR(INT(Table13[[#This Row],[reject_prod]]/Table13[[#This Row],[part_weight]] * 1000), 0)</f>
        <v>0</v>
      </c>
    </row>
    <row r="707" spans="1:40" hidden="1">
      <c r="A707" s="1">
        <v>46044</v>
      </c>
      <c r="B707">
        <v>2</v>
      </c>
      <c r="C707">
        <v>3</v>
      </c>
      <c r="D707" t="s">
        <v>152</v>
      </c>
      <c r="E707" t="s">
        <v>34</v>
      </c>
      <c r="F707">
        <v>442034</v>
      </c>
      <c r="G707" s="6">
        <v>0</v>
      </c>
      <c r="H707" t="s">
        <v>37</v>
      </c>
      <c r="I707">
        <v>10681184</v>
      </c>
      <c r="J707">
        <v>4</v>
      </c>
      <c r="K707">
        <v>23</v>
      </c>
      <c r="L707">
        <v>23</v>
      </c>
      <c r="M707">
        <v>1602</v>
      </c>
      <c r="N707" s="2">
        <v>139776</v>
      </c>
      <c r="O707" s="2">
        <v>3840</v>
      </c>
      <c r="P707" s="2">
        <v>768</v>
      </c>
      <c r="Q707" s="2">
        <v>6408</v>
      </c>
      <c r="R707" s="2">
        <v>9216</v>
      </c>
      <c r="S707">
        <v>211.96799999999999</v>
      </c>
      <c r="T707" s="2">
        <v>28416</v>
      </c>
      <c r="U707" s="2">
        <v>111360</v>
      </c>
      <c r="V707">
        <v>147.38399999999999</v>
      </c>
      <c r="W707">
        <v>0</v>
      </c>
      <c r="X707">
        <v>0</v>
      </c>
      <c r="Y707">
        <v>0</v>
      </c>
      <c r="Z707">
        <v>6.7</v>
      </c>
      <c r="AA707">
        <v>4.545947999782881E-2</v>
      </c>
      <c r="AB707">
        <v>26.2</v>
      </c>
      <c r="AC707">
        <v>11.659000000000001</v>
      </c>
      <c r="AD707">
        <v>22</v>
      </c>
      <c r="AE707" s="7"/>
      <c r="AF707" s="7"/>
      <c r="AG707" s="7"/>
      <c r="AH707" s="7"/>
      <c r="AI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0.3409999999999993</v>
      </c>
      <c r="AJ707" s="7"/>
      <c r="AK707" t="s">
        <v>103</v>
      </c>
      <c r="AN707">
        <f>IFERROR(INT(Table13[[#This Row],[reject_prod]]/Table13[[#This Row],[part_weight]] * 1000), 0)</f>
        <v>291</v>
      </c>
    </row>
    <row r="708" spans="1:40" hidden="1">
      <c r="A708" s="1">
        <v>46044</v>
      </c>
      <c r="B708">
        <v>2</v>
      </c>
      <c r="C708">
        <v>4</v>
      </c>
      <c r="D708" t="s">
        <v>40</v>
      </c>
      <c r="E708" t="s">
        <v>34</v>
      </c>
      <c r="F708">
        <v>402305</v>
      </c>
      <c r="G708" s="6">
        <v>0</v>
      </c>
      <c r="H708" t="s">
        <v>395</v>
      </c>
      <c r="I708">
        <v>10684852</v>
      </c>
      <c r="J708">
        <v>4</v>
      </c>
      <c r="K708">
        <v>29</v>
      </c>
      <c r="L708">
        <v>29</v>
      </c>
      <c r="M708">
        <v>1676</v>
      </c>
      <c r="N708" s="2">
        <v>64896</v>
      </c>
      <c r="O708" s="2">
        <v>0</v>
      </c>
      <c r="P708" s="2">
        <v>416</v>
      </c>
      <c r="Q708" s="2">
        <v>6704</v>
      </c>
      <c r="R708" s="2">
        <v>6240</v>
      </c>
      <c r="S708">
        <v>180.96</v>
      </c>
      <c r="T708" s="2">
        <v>41600</v>
      </c>
      <c r="U708" s="2">
        <v>23296</v>
      </c>
      <c r="V708">
        <v>194.416</v>
      </c>
      <c r="W708">
        <v>0</v>
      </c>
      <c r="X708">
        <v>0</v>
      </c>
      <c r="Y708">
        <v>0</v>
      </c>
      <c r="Z708">
        <v>1.4</v>
      </c>
      <c r="AA708">
        <v>7.2010534112418728E-3</v>
      </c>
      <c r="AB708">
        <v>25.4</v>
      </c>
      <c r="AC708">
        <v>11.825111111111111</v>
      </c>
      <c r="AD708">
        <v>22</v>
      </c>
      <c r="AE708" s="7"/>
      <c r="AF708" s="7"/>
      <c r="AG708" s="7"/>
      <c r="AH708" s="7"/>
      <c r="AI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0.17488888888888887</v>
      </c>
      <c r="AJ708" s="7"/>
      <c r="AK708" t="s">
        <v>214</v>
      </c>
      <c r="AN708">
        <f>IFERROR(INT(Table13[[#This Row],[reject_prod]]/Table13[[#This Row],[part_weight]] * 1000), 0)</f>
        <v>48</v>
      </c>
    </row>
    <row r="709" spans="1:40" hidden="1">
      <c r="A709" s="1">
        <v>46044</v>
      </c>
      <c r="B709">
        <v>2</v>
      </c>
      <c r="C709">
        <v>5</v>
      </c>
      <c r="D709" t="s">
        <v>452</v>
      </c>
      <c r="E709" t="s">
        <v>34</v>
      </c>
      <c r="F709">
        <v>322383</v>
      </c>
      <c r="G709" s="6">
        <v>0</v>
      </c>
      <c r="H709" t="s">
        <v>71</v>
      </c>
      <c r="I709">
        <v>10682756</v>
      </c>
      <c r="J709">
        <v>4</v>
      </c>
      <c r="K709">
        <v>12.5</v>
      </c>
      <c r="L709">
        <v>12.5</v>
      </c>
      <c r="M709">
        <v>2029</v>
      </c>
      <c r="N709" s="2">
        <v>66000</v>
      </c>
      <c r="O709" s="2">
        <v>1100</v>
      </c>
      <c r="P709" s="2">
        <v>9100</v>
      </c>
      <c r="Q709" s="2">
        <v>8116</v>
      </c>
      <c r="R709" s="2">
        <v>0</v>
      </c>
      <c r="S709">
        <v>0</v>
      </c>
      <c r="T709" s="2">
        <v>48700</v>
      </c>
      <c r="U709" s="2">
        <v>17300</v>
      </c>
      <c r="V709">
        <v>101.45</v>
      </c>
      <c r="W709">
        <v>0</v>
      </c>
      <c r="X709">
        <v>0</v>
      </c>
      <c r="Y709">
        <v>0</v>
      </c>
      <c r="Z709">
        <v>1</v>
      </c>
      <c r="AA709">
        <v>9.857072449482503E-3</v>
      </c>
      <c r="AB709">
        <v>20.9</v>
      </c>
      <c r="AC709">
        <v>11.779472222222221</v>
      </c>
      <c r="AD709">
        <v>17.920000000000002</v>
      </c>
      <c r="AE709" s="7"/>
      <c r="AF709" s="7"/>
      <c r="AG709" s="7"/>
      <c r="AH709" s="7"/>
      <c r="AI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0.22052777777777877</v>
      </c>
      <c r="AJ709" s="7"/>
      <c r="AK709" t="s">
        <v>103</v>
      </c>
      <c r="AN709">
        <f>IFERROR(INT(Table13[[#This Row],[reject_prod]]/Table13[[#This Row],[part_weight]] * 1000), 0)</f>
        <v>80</v>
      </c>
    </row>
    <row r="710" spans="1:40" hidden="1">
      <c r="A710" s="1">
        <v>46044</v>
      </c>
      <c r="B710">
        <v>2</v>
      </c>
      <c r="C710">
        <v>6</v>
      </c>
      <c r="D710" t="s">
        <v>453</v>
      </c>
      <c r="E710" t="s">
        <v>34</v>
      </c>
      <c r="F710">
        <v>322409</v>
      </c>
      <c r="G710" s="6">
        <v>0</v>
      </c>
      <c r="H710" t="s">
        <v>400</v>
      </c>
      <c r="I710">
        <v>10683854</v>
      </c>
      <c r="J710">
        <v>4</v>
      </c>
      <c r="K710">
        <v>24</v>
      </c>
      <c r="L710">
        <v>24</v>
      </c>
      <c r="M710">
        <v>1977</v>
      </c>
      <c r="N710" s="2">
        <v>70200</v>
      </c>
      <c r="O710" s="2">
        <v>780</v>
      </c>
      <c r="P710" s="2">
        <v>390</v>
      </c>
      <c r="Q710" s="2">
        <v>7908</v>
      </c>
      <c r="R710" s="2">
        <v>8190</v>
      </c>
      <c r="S710">
        <v>196.56</v>
      </c>
      <c r="T710" s="2">
        <v>50700</v>
      </c>
      <c r="U710" s="2">
        <v>19500</v>
      </c>
      <c r="V710">
        <v>189.792</v>
      </c>
      <c r="W710">
        <v>0</v>
      </c>
      <c r="X710">
        <v>0</v>
      </c>
      <c r="Y710">
        <v>0</v>
      </c>
      <c r="Z710">
        <v>2.5</v>
      </c>
      <c r="AA710">
        <v>1.3172314955319507E-2</v>
      </c>
      <c r="AB710">
        <v>21.5</v>
      </c>
      <c r="AC710">
        <v>11.807083333333335</v>
      </c>
      <c r="AD710">
        <v>20</v>
      </c>
      <c r="AE710" s="7"/>
      <c r="AF710" s="7"/>
      <c r="AG710" s="7"/>
      <c r="AH710" s="7"/>
      <c r="AI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0.19291666666666529</v>
      </c>
      <c r="AJ710" s="7"/>
      <c r="AK710" t="s">
        <v>214</v>
      </c>
      <c r="AN710">
        <f>IFERROR(INT(Table13[[#This Row],[reject_prod]]/Table13[[#This Row],[part_weight]] * 1000), 0)</f>
        <v>104</v>
      </c>
    </row>
    <row r="711" spans="1:40" hidden="1">
      <c r="A711" s="1">
        <v>46044</v>
      </c>
      <c r="B711">
        <v>2</v>
      </c>
      <c r="C711">
        <v>7</v>
      </c>
      <c r="D711" t="s">
        <v>170</v>
      </c>
      <c r="E711" t="s">
        <v>34</v>
      </c>
      <c r="F711">
        <v>647556</v>
      </c>
      <c r="G711" s="6">
        <v>0</v>
      </c>
      <c r="H711" t="s">
        <v>458</v>
      </c>
      <c r="I711">
        <v>10683858</v>
      </c>
      <c r="J711">
        <v>4</v>
      </c>
      <c r="K711">
        <v>35</v>
      </c>
      <c r="L711">
        <v>34.5</v>
      </c>
      <c r="M711">
        <v>1356</v>
      </c>
      <c r="N711" s="2">
        <v>27720</v>
      </c>
      <c r="O711" s="2">
        <v>308</v>
      </c>
      <c r="P711" s="2">
        <v>0</v>
      </c>
      <c r="Q711" s="2">
        <v>5424</v>
      </c>
      <c r="R711" s="2">
        <v>5544</v>
      </c>
      <c r="S711">
        <v>191.268</v>
      </c>
      <c r="T711" s="2">
        <v>5544</v>
      </c>
      <c r="U711" s="2">
        <v>22176</v>
      </c>
      <c r="V711">
        <v>187.12799999999999</v>
      </c>
      <c r="W711">
        <v>0</v>
      </c>
      <c r="X711">
        <v>6</v>
      </c>
      <c r="Y711">
        <v>3.2063614210593817E-2</v>
      </c>
      <c r="Z711">
        <v>0.5</v>
      </c>
      <c r="AA711">
        <v>2.6719678508828185E-3</v>
      </c>
      <c r="AB711">
        <v>22</v>
      </c>
      <c r="AC711">
        <v>8.2866666666666671</v>
      </c>
      <c r="AD711">
        <v>20.399999999999999</v>
      </c>
      <c r="AE711" s="7"/>
      <c r="AF711" s="7"/>
      <c r="AG711" s="7"/>
      <c r="AH711" s="7"/>
      <c r="AI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3.7133333333333329</v>
      </c>
      <c r="AJ711" s="7"/>
      <c r="AK711" t="s">
        <v>462</v>
      </c>
      <c r="AN711">
        <f>IFERROR(INT(Table13[[#This Row],[reject_prod]]/Table13[[#This Row],[part_weight]] * 1000), 0)</f>
        <v>14</v>
      </c>
    </row>
    <row r="712" spans="1:40" hidden="1">
      <c r="A712" s="1">
        <v>46044</v>
      </c>
      <c r="B712">
        <v>2</v>
      </c>
      <c r="C712">
        <v>8</v>
      </c>
      <c r="D712" t="s">
        <v>141</v>
      </c>
      <c r="E712" t="s">
        <v>41</v>
      </c>
      <c r="F712">
        <v>593537</v>
      </c>
      <c r="G712" s="6">
        <v>0</v>
      </c>
      <c r="H712" t="s">
        <v>48</v>
      </c>
      <c r="I712">
        <v>10685022</v>
      </c>
      <c r="J712">
        <v>4</v>
      </c>
      <c r="K712">
        <v>56.5</v>
      </c>
      <c r="L712">
        <v>56.8</v>
      </c>
      <c r="M712">
        <v>1384</v>
      </c>
      <c r="N712" s="2">
        <v>69000</v>
      </c>
      <c r="O712" s="2">
        <v>0</v>
      </c>
      <c r="P712" s="2">
        <v>345</v>
      </c>
      <c r="Q712" s="2">
        <v>5536</v>
      </c>
      <c r="R712" s="2">
        <v>5175</v>
      </c>
      <c r="S712">
        <v>293.94</v>
      </c>
      <c r="T712" s="2">
        <v>34845</v>
      </c>
      <c r="U712" s="2">
        <v>34155</v>
      </c>
      <c r="V712">
        <v>314.44479999999999</v>
      </c>
      <c r="W712">
        <v>0</v>
      </c>
      <c r="X712">
        <v>0</v>
      </c>
      <c r="Y712">
        <v>0</v>
      </c>
      <c r="Z712">
        <v>0.8</v>
      </c>
      <c r="AA712">
        <v>2.544166734511113E-3</v>
      </c>
      <c r="AB712">
        <v>30.4</v>
      </c>
      <c r="AC712">
        <v>11.687111111111109</v>
      </c>
      <c r="AD712">
        <v>28.5</v>
      </c>
      <c r="AE712" s="7"/>
      <c r="AF712" s="7"/>
      <c r="AG712" s="7"/>
      <c r="AH712" s="7"/>
      <c r="AI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0.31288888888889055</v>
      </c>
      <c r="AJ712" s="7"/>
      <c r="AK712" t="s">
        <v>51</v>
      </c>
      <c r="AN712">
        <f>IFERROR(INT(Table13[[#This Row],[reject_prod]]/Table13[[#This Row],[part_weight]] * 1000), 0)</f>
        <v>14</v>
      </c>
    </row>
    <row r="713" spans="1:40" hidden="1">
      <c r="A713" s="1">
        <v>46044</v>
      </c>
      <c r="B713">
        <v>2</v>
      </c>
      <c r="C713">
        <v>9</v>
      </c>
      <c r="D713" t="s">
        <v>33</v>
      </c>
      <c r="E713" t="s">
        <v>46</v>
      </c>
      <c r="F713">
        <v>586276</v>
      </c>
      <c r="G713" s="6">
        <v>0</v>
      </c>
      <c r="H713" t="s">
        <v>47</v>
      </c>
      <c r="I713">
        <v>10682924</v>
      </c>
      <c r="J713">
        <v>6</v>
      </c>
      <c r="K713">
        <v>12.3</v>
      </c>
      <c r="L713">
        <v>12.3</v>
      </c>
      <c r="M713">
        <v>0</v>
      </c>
      <c r="N713" s="2">
        <v>162000</v>
      </c>
      <c r="O713" s="2">
        <v>7290</v>
      </c>
      <c r="P713" s="2">
        <v>7290</v>
      </c>
      <c r="Q713" s="2">
        <v>0</v>
      </c>
      <c r="R713" s="2">
        <v>0</v>
      </c>
      <c r="S713">
        <v>0</v>
      </c>
      <c r="T713" s="2">
        <v>80190</v>
      </c>
      <c r="U713" s="2">
        <v>81810</v>
      </c>
      <c r="V713">
        <v>0</v>
      </c>
      <c r="W713">
        <v>0</v>
      </c>
      <c r="X713">
        <v>20.5</v>
      </c>
      <c r="Y713" t="e">
        <v>#DIV/0!</v>
      </c>
      <c r="Z713">
        <v>0</v>
      </c>
      <c r="AA713" t="e">
        <v>#DIV/0!</v>
      </c>
      <c r="AB713">
        <v>26</v>
      </c>
      <c r="AC713">
        <v>0</v>
      </c>
      <c r="AD713">
        <v>26</v>
      </c>
      <c r="AE713" s="7"/>
      <c r="AF713" s="7"/>
      <c r="AG713" s="7"/>
      <c r="AH713" s="7"/>
      <c r="AI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13" s="7"/>
      <c r="AK713" t="s">
        <v>463</v>
      </c>
      <c r="AN713">
        <f>IFERROR(INT(Table13[[#This Row],[reject_prod]]/Table13[[#This Row],[part_weight]] * 1000), 0)</f>
        <v>0</v>
      </c>
    </row>
    <row r="714" spans="1:40" hidden="1">
      <c r="A714" s="1">
        <v>46044</v>
      </c>
      <c r="B714">
        <v>2</v>
      </c>
      <c r="C714">
        <v>10</v>
      </c>
      <c r="D714" t="s">
        <v>454</v>
      </c>
      <c r="E714" t="s">
        <v>34</v>
      </c>
      <c r="F714">
        <v>323091</v>
      </c>
      <c r="G714" s="6">
        <v>0</v>
      </c>
      <c r="H714" t="s">
        <v>444</v>
      </c>
      <c r="I714">
        <v>10684858</v>
      </c>
      <c r="J714">
        <v>4</v>
      </c>
      <c r="K714">
        <v>48.71</v>
      </c>
      <c r="L714">
        <v>48.71</v>
      </c>
      <c r="M714">
        <v>1592</v>
      </c>
      <c r="N714" s="2">
        <v>25200</v>
      </c>
      <c r="O714" s="2">
        <v>210</v>
      </c>
      <c r="P714" s="2">
        <v>210</v>
      </c>
      <c r="Q714" s="2">
        <v>6368</v>
      </c>
      <c r="R714" s="2">
        <v>6300</v>
      </c>
      <c r="S714">
        <v>306.87299999999999</v>
      </c>
      <c r="T714" s="2">
        <v>17010</v>
      </c>
      <c r="U714" s="2">
        <v>8190</v>
      </c>
      <c r="V714">
        <v>310.18528000000003</v>
      </c>
      <c r="W714">
        <v>0</v>
      </c>
      <c r="X714">
        <v>0</v>
      </c>
      <c r="Y714">
        <v>0</v>
      </c>
      <c r="Z714">
        <v>3.4</v>
      </c>
      <c r="AA714">
        <v>1.0961190679325593E-2</v>
      </c>
      <c r="AB714">
        <v>27</v>
      </c>
      <c r="AC714">
        <v>11.94</v>
      </c>
      <c r="AD714">
        <v>26.4</v>
      </c>
      <c r="AE714" s="7"/>
      <c r="AF714" s="7"/>
      <c r="AG714" s="7"/>
      <c r="AH714" s="7"/>
      <c r="AI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6.0000000000000497E-2</v>
      </c>
      <c r="AJ714" s="7"/>
      <c r="AK714" t="s">
        <v>75</v>
      </c>
      <c r="AN714">
        <f>IFERROR(INT(Table13[[#This Row],[reject_prod]]/Table13[[#This Row],[part_weight]] * 1000), 0)</f>
        <v>69</v>
      </c>
    </row>
    <row r="715" spans="1:40" hidden="1">
      <c r="A715" s="1">
        <v>46044</v>
      </c>
      <c r="B715">
        <v>2</v>
      </c>
      <c r="C715">
        <v>11</v>
      </c>
      <c r="D715" t="s">
        <v>61</v>
      </c>
      <c r="E715" t="s">
        <v>46</v>
      </c>
      <c r="F715">
        <v>552181</v>
      </c>
      <c r="G715" s="6">
        <v>1</v>
      </c>
      <c r="H715" t="s">
        <v>49</v>
      </c>
      <c r="I715">
        <v>10683783</v>
      </c>
      <c r="J715">
        <v>6</v>
      </c>
      <c r="K715">
        <v>18.8</v>
      </c>
      <c r="L715">
        <v>18.8</v>
      </c>
      <c r="M715">
        <v>1443</v>
      </c>
      <c r="N715" s="2">
        <v>108000</v>
      </c>
      <c r="O715" s="2">
        <v>4590</v>
      </c>
      <c r="P715" s="2">
        <v>7560</v>
      </c>
      <c r="Q715" s="2">
        <v>8658</v>
      </c>
      <c r="R715" s="2">
        <v>5400</v>
      </c>
      <c r="S715">
        <v>101.52</v>
      </c>
      <c r="T715" s="2">
        <v>34560</v>
      </c>
      <c r="U715" s="2">
        <v>73440</v>
      </c>
      <c r="V715">
        <v>162.7704</v>
      </c>
      <c r="W715">
        <v>0</v>
      </c>
      <c r="X715">
        <v>0</v>
      </c>
      <c r="Y715">
        <v>0</v>
      </c>
      <c r="Z715">
        <v>5.4</v>
      </c>
      <c r="AA715">
        <v>3.3175565090458714E-2</v>
      </c>
      <c r="AB715">
        <v>29.6</v>
      </c>
      <c r="AC715">
        <v>11.864666666666668</v>
      </c>
      <c r="AD715">
        <v>27</v>
      </c>
      <c r="AE715" s="7"/>
      <c r="AF715" s="7"/>
      <c r="AG715" s="7"/>
      <c r="AH715" s="7"/>
      <c r="AI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0.13533333333333175</v>
      </c>
      <c r="AJ715" s="7"/>
      <c r="AK715" t="s">
        <v>51</v>
      </c>
      <c r="AN715">
        <f>IFERROR(INT(Table13[[#This Row],[reject_prod]]/Table13[[#This Row],[part_weight]] * 1000), 0)</f>
        <v>287</v>
      </c>
    </row>
    <row r="716" spans="1:40" hidden="1">
      <c r="A716" s="1">
        <v>46044</v>
      </c>
      <c r="B716">
        <v>2</v>
      </c>
      <c r="C716">
        <v>12</v>
      </c>
      <c r="D716" t="s">
        <v>65</v>
      </c>
      <c r="E716" t="s">
        <v>34</v>
      </c>
      <c r="F716">
        <v>620599</v>
      </c>
      <c r="G716" s="6">
        <v>0</v>
      </c>
      <c r="H716" t="s">
        <v>50</v>
      </c>
      <c r="I716">
        <v>10684839</v>
      </c>
      <c r="J716">
        <v>4</v>
      </c>
      <c r="K716">
        <v>55</v>
      </c>
      <c r="L716">
        <v>55</v>
      </c>
      <c r="M716">
        <v>1494</v>
      </c>
      <c r="N716" s="2">
        <v>72000</v>
      </c>
      <c r="O716" s="2">
        <v>900</v>
      </c>
      <c r="P716" s="2">
        <v>1350</v>
      </c>
      <c r="Q716" s="2">
        <v>5976</v>
      </c>
      <c r="R716" s="2">
        <v>5400</v>
      </c>
      <c r="S716">
        <v>297</v>
      </c>
      <c r="T716" s="2">
        <v>26550</v>
      </c>
      <c r="U716" s="2">
        <v>45450</v>
      </c>
      <c r="V716">
        <v>328.68</v>
      </c>
      <c r="W716">
        <v>0</v>
      </c>
      <c r="X716">
        <v>0</v>
      </c>
      <c r="Y716">
        <v>0</v>
      </c>
      <c r="Z716">
        <v>6.7</v>
      </c>
      <c r="AA716">
        <v>2.0384568577339661E-2</v>
      </c>
      <c r="AB716">
        <v>29.1</v>
      </c>
      <c r="AC716">
        <v>12</v>
      </c>
      <c r="AD716">
        <v>28</v>
      </c>
      <c r="AE716" s="7"/>
      <c r="AF716" s="7"/>
      <c r="AG716" s="7"/>
      <c r="AH716" s="7"/>
      <c r="AI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16" s="7"/>
      <c r="AK716" t="s">
        <v>464</v>
      </c>
      <c r="AN716">
        <f>IFERROR(INT(Table13[[#This Row],[reject_prod]]/Table13[[#This Row],[part_weight]] * 1000), 0)</f>
        <v>121</v>
      </c>
    </row>
    <row r="717" spans="1:40" hidden="1">
      <c r="A717" s="1">
        <v>46044</v>
      </c>
      <c r="B717">
        <v>2</v>
      </c>
      <c r="C717">
        <v>13</v>
      </c>
      <c r="D717" t="s">
        <v>61</v>
      </c>
      <c r="E717" t="s">
        <v>46</v>
      </c>
      <c r="F717">
        <v>586276</v>
      </c>
      <c r="G717" s="6">
        <v>0</v>
      </c>
      <c r="H717" t="s">
        <v>47</v>
      </c>
      <c r="I717">
        <v>10683784</v>
      </c>
      <c r="J717">
        <v>6</v>
      </c>
      <c r="K717">
        <v>12.3</v>
      </c>
      <c r="L717">
        <v>12.3</v>
      </c>
      <c r="M717">
        <v>743</v>
      </c>
      <c r="N717" s="2">
        <v>162000</v>
      </c>
      <c r="O717" s="2">
        <v>3645</v>
      </c>
      <c r="P717" s="2">
        <v>0</v>
      </c>
      <c r="Q717" s="2">
        <v>4458</v>
      </c>
      <c r="R717" s="2">
        <v>8100</v>
      </c>
      <c r="S717">
        <v>99.63</v>
      </c>
      <c r="T717" s="2">
        <v>162000</v>
      </c>
      <c r="U717" s="2">
        <v>0</v>
      </c>
      <c r="V717">
        <v>54.833400000000005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26.2</v>
      </c>
      <c r="AC717">
        <v>5.4073888888888888</v>
      </c>
      <c r="AD717">
        <v>26</v>
      </c>
      <c r="AE717" s="7"/>
      <c r="AF717" s="7"/>
      <c r="AG717" s="7"/>
      <c r="AH717" s="7"/>
      <c r="AI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6.5926111111111112</v>
      </c>
      <c r="AJ717" s="7"/>
      <c r="AK717" t="s">
        <v>51</v>
      </c>
      <c r="AN717">
        <f>IFERROR(INT(Table13[[#This Row],[reject_prod]]/Table13[[#This Row],[part_weight]] * 1000), 0)</f>
        <v>0</v>
      </c>
    </row>
    <row r="718" spans="1:40" hidden="1">
      <c r="A718" s="1">
        <v>46044</v>
      </c>
      <c r="B718">
        <v>2</v>
      </c>
      <c r="C718">
        <v>13</v>
      </c>
      <c r="D718" t="s">
        <v>61</v>
      </c>
      <c r="E718" t="s">
        <v>46</v>
      </c>
      <c r="F718">
        <v>586276</v>
      </c>
      <c r="G718" s="6">
        <v>0</v>
      </c>
      <c r="H718" t="s">
        <v>47</v>
      </c>
      <c r="I718">
        <v>10684862</v>
      </c>
      <c r="J718">
        <v>6</v>
      </c>
      <c r="K718">
        <v>12.3</v>
      </c>
      <c r="L718">
        <v>12.3</v>
      </c>
      <c r="M718">
        <v>889</v>
      </c>
      <c r="N718" s="2">
        <v>162000</v>
      </c>
      <c r="O718" s="2">
        <v>0</v>
      </c>
      <c r="P718" s="2">
        <v>5265</v>
      </c>
      <c r="Q718" s="2">
        <v>5334</v>
      </c>
      <c r="R718" s="2">
        <v>0</v>
      </c>
      <c r="S718">
        <v>0</v>
      </c>
      <c r="T718" s="2">
        <v>5265</v>
      </c>
      <c r="U718" s="2">
        <v>156735</v>
      </c>
      <c r="V718">
        <v>65.608199999999997</v>
      </c>
      <c r="W718">
        <v>0</v>
      </c>
      <c r="X718">
        <v>0</v>
      </c>
      <c r="Y718">
        <v>0</v>
      </c>
      <c r="Z718">
        <v>0.8</v>
      </c>
      <c r="AA718">
        <v>1.2193597751500576E-2</v>
      </c>
      <c r="AB718">
        <v>26.2</v>
      </c>
      <c r="AC718">
        <v>6.4699444444444447</v>
      </c>
      <c r="AD718">
        <v>26</v>
      </c>
      <c r="AE718" s="7"/>
      <c r="AF718" s="7"/>
      <c r="AG718" s="7"/>
      <c r="AH718" s="7"/>
      <c r="AI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5.5300555555555553</v>
      </c>
      <c r="AJ718" s="7"/>
      <c r="AK718" t="s">
        <v>51</v>
      </c>
      <c r="AN718">
        <f>IFERROR(INT(Table13[[#This Row],[reject_prod]]/Table13[[#This Row],[part_weight]] * 1000), 0)</f>
        <v>65</v>
      </c>
    </row>
    <row r="719" spans="1:40" hidden="1">
      <c r="A719" s="1">
        <v>46044</v>
      </c>
      <c r="B719">
        <v>2</v>
      </c>
      <c r="C719">
        <v>14</v>
      </c>
      <c r="F719">
        <v>123456</v>
      </c>
      <c r="G719" s="6">
        <v>0</v>
      </c>
      <c r="M719">
        <v>0</v>
      </c>
      <c r="N719" s="2">
        <v>0</v>
      </c>
      <c r="O719" s="2">
        <v>0</v>
      </c>
      <c r="P719" s="2">
        <v>0</v>
      </c>
      <c r="Q719" s="2"/>
      <c r="R719" s="2">
        <v>0</v>
      </c>
      <c r="T719" s="2">
        <v>0</v>
      </c>
      <c r="U719" s="2"/>
      <c r="X719">
        <v>0</v>
      </c>
      <c r="Z719">
        <v>0</v>
      </c>
      <c r="AB719">
        <v>0</v>
      </c>
      <c r="AC719">
        <v>0</v>
      </c>
      <c r="AD719">
        <v>0</v>
      </c>
      <c r="AE719" s="7"/>
      <c r="AF719" s="7"/>
      <c r="AG719" s="7"/>
      <c r="AH719" s="7"/>
      <c r="AI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19" s="7">
        <v>12</v>
      </c>
      <c r="AK719" t="s">
        <v>116</v>
      </c>
      <c r="AN719">
        <f>IFERROR(INT(Table13[[#This Row],[reject_prod]]/Table13[[#This Row],[part_weight]] * 1000), 0)</f>
        <v>0</v>
      </c>
    </row>
    <row r="720" spans="1:40" hidden="1">
      <c r="A720" s="1">
        <v>46044</v>
      </c>
      <c r="B720">
        <v>2</v>
      </c>
      <c r="C720">
        <v>15</v>
      </c>
      <c r="D720" t="s">
        <v>61</v>
      </c>
      <c r="E720" t="s">
        <v>46</v>
      </c>
      <c r="F720">
        <v>552181</v>
      </c>
      <c r="G720" s="6">
        <v>2</v>
      </c>
      <c r="H720" t="s">
        <v>49</v>
      </c>
      <c r="I720">
        <v>10683787</v>
      </c>
      <c r="J720">
        <v>6</v>
      </c>
      <c r="K720">
        <v>18.8</v>
      </c>
      <c r="L720">
        <v>18.8</v>
      </c>
      <c r="M720">
        <v>1360</v>
      </c>
      <c r="N720" s="2">
        <v>108000</v>
      </c>
      <c r="O720" s="2">
        <v>270</v>
      </c>
      <c r="P720" s="2">
        <v>2970</v>
      </c>
      <c r="Q720" s="2">
        <v>8160</v>
      </c>
      <c r="R720" s="2">
        <v>5400</v>
      </c>
      <c r="S720">
        <v>101.52</v>
      </c>
      <c r="T720" s="2">
        <v>13770</v>
      </c>
      <c r="U720" s="2">
        <v>94230</v>
      </c>
      <c r="V720">
        <v>153.40799999999999</v>
      </c>
      <c r="W720">
        <v>0</v>
      </c>
      <c r="X720">
        <v>0</v>
      </c>
      <c r="Y720">
        <v>0</v>
      </c>
      <c r="Z720">
        <v>1.1000000000000001</v>
      </c>
      <c r="AA720">
        <v>7.1704213600333761E-3</v>
      </c>
      <c r="AB720">
        <v>31.2</v>
      </c>
      <c r="AC720">
        <v>11.786666666666665</v>
      </c>
      <c r="AD720">
        <v>27</v>
      </c>
      <c r="AE720" s="7"/>
      <c r="AF720" s="7"/>
      <c r="AG720" s="7"/>
      <c r="AH720" s="7"/>
      <c r="AI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0.21333333333333471</v>
      </c>
      <c r="AJ720" s="7"/>
      <c r="AK720" t="s">
        <v>51</v>
      </c>
      <c r="AN720">
        <f>IFERROR(INT(Table13[[#This Row],[reject_prod]]/Table13[[#This Row],[part_weight]] * 1000), 0)</f>
        <v>58</v>
      </c>
    </row>
    <row r="721" spans="1:40" s="4" customFormat="1" hidden="1">
      <c r="A721" s="3">
        <v>46044</v>
      </c>
      <c r="B721" s="4">
        <v>2</v>
      </c>
      <c r="C721" s="4">
        <v>16</v>
      </c>
      <c r="D721" s="4" t="s">
        <v>455</v>
      </c>
      <c r="E721" s="4" t="s">
        <v>46</v>
      </c>
      <c r="F721" s="4">
        <v>555979</v>
      </c>
      <c r="G721" s="9">
        <v>2</v>
      </c>
      <c r="H721" s="4" t="s">
        <v>52</v>
      </c>
      <c r="I721" s="4">
        <v>10683788</v>
      </c>
      <c r="J721" s="4">
        <v>6</v>
      </c>
      <c r="K721" s="4">
        <v>28</v>
      </c>
      <c r="L721" s="4">
        <v>28</v>
      </c>
      <c r="M721" s="4">
        <v>966</v>
      </c>
      <c r="N721" s="5">
        <v>100800</v>
      </c>
      <c r="O721" s="5">
        <v>1680</v>
      </c>
      <c r="P721" s="5">
        <v>672</v>
      </c>
      <c r="Q721" s="5">
        <v>5796</v>
      </c>
      <c r="R721" s="5">
        <v>6720</v>
      </c>
      <c r="S721" s="4">
        <v>188.16</v>
      </c>
      <c r="T721" s="5">
        <v>91392</v>
      </c>
      <c r="U721" s="5">
        <v>9408</v>
      </c>
      <c r="V721" s="4">
        <v>162.28800000000001</v>
      </c>
      <c r="W721" s="4">
        <v>0</v>
      </c>
      <c r="X721" s="4">
        <v>0</v>
      </c>
      <c r="Y721" s="4">
        <v>0</v>
      </c>
      <c r="Z721" s="4">
        <v>2.2999999999999998</v>
      </c>
      <c r="AA721" s="4">
        <v>1.4172335600907027E-2</v>
      </c>
      <c r="AB721" s="4">
        <v>43.4</v>
      </c>
      <c r="AC721" s="4">
        <v>11.645666666666667</v>
      </c>
      <c r="AD721" s="4">
        <v>42</v>
      </c>
      <c r="AE721" s="8"/>
      <c r="AF721" s="8"/>
      <c r="AG721" s="8"/>
      <c r="AH721" s="8"/>
      <c r="AI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0.35433333333333294</v>
      </c>
      <c r="AJ721" s="8"/>
      <c r="AK721" s="4" t="s">
        <v>51</v>
      </c>
      <c r="AN721">
        <f>IFERROR(INT(Table13[[#This Row],[reject_prod]]/Table13[[#This Row],[part_weight]] * 1000), 0)</f>
        <v>82</v>
      </c>
    </row>
    <row r="722" spans="1:40" hidden="1">
      <c r="A722" s="1">
        <v>46045</v>
      </c>
      <c r="B722">
        <v>1</v>
      </c>
      <c r="C722">
        <v>1</v>
      </c>
      <c r="D722" t="s">
        <v>84</v>
      </c>
      <c r="E722" t="s">
        <v>34</v>
      </c>
      <c r="F722">
        <v>577492</v>
      </c>
      <c r="G722" s="6">
        <v>0</v>
      </c>
      <c r="H722" t="s">
        <v>341</v>
      </c>
      <c r="I722">
        <v>10684028</v>
      </c>
      <c r="J722">
        <v>4</v>
      </c>
      <c r="K722">
        <v>35.6</v>
      </c>
      <c r="L722">
        <v>35.6</v>
      </c>
      <c r="M722">
        <v>1570</v>
      </c>
      <c r="N722" s="2">
        <v>101200</v>
      </c>
      <c r="O722" s="2">
        <v>1104</v>
      </c>
      <c r="P722" s="2">
        <v>0</v>
      </c>
      <c r="Q722" s="2">
        <v>6280</v>
      </c>
      <c r="R722" s="2">
        <v>7360</v>
      </c>
      <c r="S722">
        <v>262.01600000000002</v>
      </c>
      <c r="T722" s="2">
        <v>38640</v>
      </c>
      <c r="U722" s="2">
        <v>62560</v>
      </c>
      <c r="V722">
        <v>223.56800000000001</v>
      </c>
      <c r="W722">
        <v>0</v>
      </c>
      <c r="X722">
        <v>0</v>
      </c>
      <c r="Y722">
        <v>0</v>
      </c>
      <c r="Z722">
        <v>2</v>
      </c>
      <c r="AA722">
        <v>8.9458240893151072E-3</v>
      </c>
      <c r="AB722">
        <v>27.1</v>
      </c>
      <c r="AC722">
        <v>11.818611111111112</v>
      </c>
      <c r="AD722">
        <v>27</v>
      </c>
      <c r="AE722" s="7"/>
      <c r="AF722" s="7"/>
      <c r="AG722" s="7"/>
      <c r="AH722" s="7"/>
      <c r="AI7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0.18138888888888793</v>
      </c>
      <c r="AJ722" s="7"/>
      <c r="AK722" t="s">
        <v>470</v>
      </c>
      <c r="AN722">
        <f>IFERROR(INT(Table13[[#This Row],[reject_prod]]/Table13[[#This Row],[part_weight]] * 1000), 0)</f>
        <v>56</v>
      </c>
    </row>
    <row r="723" spans="1:40" hidden="1">
      <c r="A723" s="1">
        <v>46045</v>
      </c>
      <c r="B723">
        <v>1</v>
      </c>
      <c r="C723">
        <v>2</v>
      </c>
      <c r="D723" t="s">
        <v>33</v>
      </c>
      <c r="E723" t="s">
        <v>34</v>
      </c>
      <c r="F723">
        <v>416201</v>
      </c>
      <c r="G723" s="6">
        <v>0</v>
      </c>
      <c r="H723" t="s">
        <v>36</v>
      </c>
      <c r="I723">
        <v>10681779</v>
      </c>
      <c r="J723">
        <v>4</v>
      </c>
      <c r="K723">
        <v>20</v>
      </c>
      <c r="L723">
        <v>30</v>
      </c>
      <c r="M723">
        <v>0</v>
      </c>
      <c r="N723" s="2">
        <v>50400</v>
      </c>
      <c r="O723" s="2">
        <v>0</v>
      </c>
      <c r="P723" s="2">
        <v>0</v>
      </c>
      <c r="Q723" s="2">
        <v>0</v>
      </c>
      <c r="R723" s="2">
        <v>0</v>
      </c>
      <c r="S723">
        <v>0</v>
      </c>
      <c r="T723" s="2">
        <v>0</v>
      </c>
      <c r="U723" s="2">
        <v>50400</v>
      </c>
      <c r="V723">
        <v>0</v>
      </c>
      <c r="W723">
        <v>0</v>
      </c>
      <c r="X723">
        <v>0</v>
      </c>
      <c r="Y723" t="e">
        <v>#DIV/0!</v>
      </c>
      <c r="Z723">
        <v>0</v>
      </c>
      <c r="AA723" t="e">
        <v>#DIV/0!</v>
      </c>
      <c r="AB723">
        <v>38.6</v>
      </c>
      <c r="AC723">
        <v>0</v>
      </c>
      <c r="AD723">
        <v>38.64</v>
      </c>
      <c r="AE723" s="7"/>
      <c r="AF723" s="7"/>
      <c r="AG723" s="7"/>
      <c r="AH723" s="7"/>
      <c r="AI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23" s="7"/>
      <c r="AK723" t="s">
        <v>387</v>
      </c>
      <c r="AN723">
        <f>IFERROR(INT(Table13[[#This Row],[reject_prod]]/Table13[[#This Row],[part_weight]] * 1000), 0)</f>
        <v>0</v>
      </c>
    </row>
    <row r="724" spans="1:40" hidden="1">
      <c r="A724" s="1">
        <v>46045</v>
      </c>
      <c r="B724">
        <v>1</v>
      </c>
      <c r="C724">
        <v>3</v>
      </c>
      <c r="D724" t="s">
        <v>289</v>
      </c>
      <c r="E724" t="s">
        <v>34</v>
      </c>
      <c r="F724">
        <v>442034</v>
      </c>
      <c r="G724" s="6">
        <v>0</v>
      </c>
      <c r="H724" t="s">
        <v>37</v>
      </c>
      <c r="I724">
        <v>10681184</v>
      </c>
      <c r="J724">
        <v>4</v>
      </c>
      <c r="K724">
        <v>23</v>
      </c>
      <c r="L724">
        <v>23</v>
      </c>
      <c r="M724">
        <v>650</v>
      </c>
      <c r="N724" s="2">
        <v>139776</v>
      </c>
      <c r="O724" s="2">
        <v>768</v>
      </c>
      <c r="P724" s="2">
        <v>1920</v>
      </c>
      <c r="Q724" s="2">
        <v>2600</v>
      </c>
      <c r="R724" s="2">
        <v>0</v>
      </c>
      <c r="S724">
        <v>0</v>
      </c>
      <c r="T724" s="2">
        <v>29568</v>
      </c>
      <c r="U724" s="2">
        <v>110208</v>
      </c>
      <c r="V724">
        <v>59.8</v>
      </c>
      <c r="W724">
        <v>0</v>
      </c>
      <c r="X724">
        <v>3</v>
      </c>
      <c r="Y724">
        <v>5.016722408026756E-2</v>
      </c>
      <c r="Z724">
        <v>0</v>
      </c>
      <c r="AA724">
        <v>0</v>
      </c>
      <c r="AB724">
        <v>26.2</v>
      </c>
      <c r="AC724">
        <v>4.7</v>
      </c>
      <c r="AD724">
        <v>22</v>
      </c>
      <c r="AE724" s="7"/>
      <c r="AF724" s="7"/>
      <c r="AG724" s="7"/>
      <c r="AH724" s="7">
        <v>7.3</v>
      </c>
      <c r="AI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24" s="7"/>
      <c r="AK724" t="s">
        <v>471</v>
      </c>
      <c r="AL724">
        <v>5</v>
      </c>
      <c r="AM724">
        <v>2.5</v>
      </c>
      <c r="AN724">
        <f>IFERROR(INT(Table13[[#This Row],[reject_prod]]/Table13[[#This Row],[part_weight]] * 1000), 0)</f>
        <v>0</v>
      </c>
    </row>
    <row r="725" spans="1:40" hidden="1">
      <c r="A725" s="1">
        <v>46045</v>
      </c>
      <c r="B725">
        <v>1</v>
      </c>
      <c r="C725">
        <v>4</v>
      </c>
      <c r="D725" t="s">
        <v>53</v>
      </c>
      <c r="E725" t="s">
        <v>34</v>
      </c>
      <c r="F725">
        <v>402305</v>
      </c>
      <c r="G725" s="6">
        <v>0</v>
      </c>
      <c r="H725" t="s">
        <v>395</v>
      </c>
      <c r="I725">
        <v>10684852</v>
      </c>
      <c r="J725">
        <v>4</v>
      </c>
      <c r="K725">
        <v>29</v>
      </c>
      <c r="L725">
        <v>29</v>
      </c>
      <c r="M725">
        <v>1720</v>
      </c>
      <c r="N725" s="2">
        <v>64896</v>
      </c>
      <c r="O725" s="2">
        <v>416</v>
      </c>
      <c r="P725" s="2">
        <v>1040</v>
      </c>
      <c r="Q725" s="2">
        <v>6880</v>
      </c>
      <c r="R725" s="2">
        <v>6240</v>
      </c>
      <c r="S725">
        <v>180.96</v>
      </c>
      <c r="T725" s="2">
        <v>48464</v>
      </c>
      <c r="U725" s="2">
        <v>16432</v>
      </c>
      <c r="V725">
        <v>199.52</v>
      </c>
      <c r="W725">
        <v>0</v>
      </c>
      <c r="X725">
        <v>0</v>
      </c>
      <c r="Y725">
        <v>0</v>
      </c>
      <c r="Z725">
        <v>1</v>
      </c>
      <c r="AA725">
        <v>5.012028869286287E-3</v>
      </c>
      <c r="AB725">
        <v>24.4</v>
      </c>
      <c r="AC725">
        <v>11.657777777777778</v>
      </c>
      <c r="AD725">
        <v>22</v>
      </c>
      <c r="AE725" s="7"/>
      <c r="AF725" s="7"/>
      <c r="AG725" s="7"/>
      <c r="AH725" s="7"/>
      <c r="AI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0.34222222222222243</v>
      </c>
      <c r="AJ725" s="7"/>
      <c r="AK725" t="s">
        <v>168</v>
      </c>
      <c r="AN725">
        <f>IFERROR(INT(Table13[[#This Row],[reject_prod]]/Table13[[#This Row],[part_weight]] * 1000), 0)</f>
        <v>34</v>
      </c>
    </row>
    <row r="726" spans="1:40" hidden="1">
      <c r="A726" s="1">
        <v>46045</v>
      </c>
      <c r="B726">
        <v>1</v>
      </c>
      <c r="C726">
        <v>5</v>
      </c>
      <c r="D726" t="s">
        <v>465</v>
      </c>
      <c r="E726" t="s">
        <v>34</v>
      </c>
      <c r="F726">
        <v>322383</v>
      </c>
      <c r="G726" s="6">
        <v>0</v>
      </c>
      <c r="H726" t="s">
        <v>71</v>
      </c>
      <c r="I726">
        <v>10682756</v>
      </c>
      <c r="J726">
        <v>4</v>
      </c>
      <c r="K726">
        <v>12.5</v>
      </c>
      <c r="L726">
        <v>12.5</v>
      </c>
      <c r="M726">
        <v>495</v>
      </c>
      <c r="N726" s="2">
        <v>66000</v>
      </c>
      <c r="O726" s="2">
        <v>9100</v>
      </c>
      <c r="P726" s="2">
        <v>11000</v>
      </c>
      <c r="Q726" s="2">
        <v>1980</v>
      </c>
      <c r="R726" s="2">
        <v>0</v>
      </c>
      <c r="S726">
        <v>0</v>
      </c>
      <c r="T726" s="2">
        <v>50600</v>
      </c>
      <c r="U726" s="2">
        <v>15400</v>
      </c>
      <c r="V726">
        <v>24.75</v>
      </c>
      <c r="W726">
        <v>0</v>
      </c>
      <c r="X726">
        <v>0</v>
      </c>
      <c r="Y726">
        <v>0</v>
      </c>
      <c r="Z726">
        <v>1</v>
      </c>
      <c r="AA726">
        <v>4.0404040404040407E-2</v>
      </c>
      <c r="AB726">
        <v>20.9</v>
      </c>
      <c r="AC726">
        <v>2.8737499999999998</v>
      </c>
      <c r="AD726">
        <v>17.920000000000002</v>
      </c>
      <c r="AE726" s="7"/>
      <c r="AF726" s="7"/>
      <c r="AG726" s="7"/>
      <c r="AH726" s="7">
        <v>9</v>
      </c>
      <c r="AI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0.12625000000000064</v>
      </c>
      <c r="AJ726" s="7"/>
      <c r="AK726" t="s">
        <v>472</v>
      </c>
      <c r="AL726">
        <v>3</v>
      </c>
      <c r="AN726">
        <f>IFERROR(INT(Table13[[#This Row],[reject_prod]]/Table13[[#This Row],[part_weight]] * 1000), 0)</f>
        <v>80</v>
      </c>
    </row>
    <row r="727" spans="1:40" hidden="1">
      <c r="A727" s="1">
        <v>46045</v>
      </c>
      <c r="B727">
        <v>1</v>
      </c>
      <c r="C727">
        <v>6</v>
      </c>
      <c r="D727" t="s">
        <v>466</v>
      </c>
      <c r="E727" t="s">
        <v>34</v>
      </c>
      <c r="F727">
        <v>322409</v>
      </c>
      <c r="G727" s="6">
        <v>0</v>
      </c>
      <c r="H727" t="s">
        <v>400</v>
      </c>
      <c r="I727">
        <v>10683854</v>
      </c>
      <c r="J727">
        <v>4</v>
      </c>
      <c r="K727">
        <v>24</v>
      </c>
      <c r="L727">
        <v>24</v>
      </c>
      <c r="M727">
        <v>2000</v>
      </c>
      <c r="N727" s="2">
        <v>70200</v>
      </c>
      <c r="O727" s="2">
        <v>390</v>
      </c>
      <c r="P727" s="2">
        <v>195</v>
      </c>
      <c r="Q727" s="2">
        <v>8000</v>
      </c>
      <c r="R727" s="2">
        <v>8190</v>
      </c>
      <c r="S727">
        <v>196.56</v>
      </c>
      <c r="T727" s="2">
        <v>58695</v>
      </c>
      <c r="U727" s="2">
        <v>11505</v>
      </c>
      <c r="V727">
        <v>192</v>
      </c>
      <c r="W727">
        <v>0</v>
      </c>
      <c r="X727">
        <v>0</v>
      </c>
      <c r="Y727">
        <v>0</v>
      </c>
      <c r="Z727">
        <v>2</v>
      </c>
      <c r="AA727">
        <v>1.0416666666666666E-2</v>
      </c>
      <c r="AB727">
        <v>21.5</v>
      </c>
      <c r="AC727">
        <v>11.944444444444445</v>
      </c>
      <c r="AD727">
        <v>20</v>
      </c>
      <c r="AE727" s="7"/>
      <c r="AF727" s="7"/>
      <c r="AG727" s="7"/>
      <c r="AH727" s="7"/>
      <c r="AI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5.5555555555555358E-2</v>
      </c>
      <c r="AJ727" s="7"/>
      <c r="AK727" t="s">
        <v>214</v>
      </c>
      <c r="AN727">
        <f>IFERROR(INT(Table13[[#This Row],[reject_prod]]/Table13[[#This Row],[part_weight]] * 1000), 0)</f>
        <v>83</v>
      </c>
    </row>
    <row r="728" spans="1:40" hidden="1">
      <c r="A728" s="1">
        <v>46045</v>
      </c>
      <c r="B728">
        <v>1</v>
      </c>
      <c r="C728">
        <v>7</v>
      </c>
      <c r="D728" t="s">
        <v>427</v>
      </c>
      <c r="E728" t="s">
        <v>34</v>
      </c>
      <c r="F728">
        <v>647556</v>
      </c>
      <c r="G728" s="6">
        <v>0</v>
      </c>
      <c r="H728" t="s">
        <v>458</v>
      </c>
      <c r="I728">
        <v>10683858</v>
      </c>
      <c r="J728">
        <v>4</v>
      </c>
      <c r="K728">
        <v>35</v>
      </c>
      <c r="L728">
        <v>34.5</v>
      </c>
      <c r="M728">
        <v>1890</v>
      </c>
      <c r="N728" s="2">
        <v>27720</v>
      </c>
      <c r="O728" s="2">
        <v>0</v>
      </c>
      <c r="P728" s="2">
        <v>154</v>
      </c>
      <c r="Q728" s="2">
        <v>7560</v>
      </c>
      <c r="R728" s="2">
        <v>7392</v>
      </c>
      <c r="S728">
        <v>255.024</v>
      </c>
      <c r="T728" s="2">
        <v>13090</v>
      </c>
      <c r="U728" s="2">
        <v>14630</v>
      </c>
      <c r="V728">
        <v>260.82</v>
      </c>
      <c r="W728">
        <v>3.78</v>
      </c>
      <c r="X728">
        <v>0</v>
      </c>
      <c r="Y728">
        <v>0</v>
      </c>
      <c r="Z728">
        <v>5.3</v>
      </c>
      <c r="AA728">
        <v>2.0320527566904379E-2</v>
      </c>
      <c r="AB728">
        <v>22</v>
      </c>
      <c r="AC728">
        <v>11.55</v>
      </c>
      <c r="AD728">
        <v>20.399999999999999</v>
      </c>
      <c r="AE728" s="7"/>
      <c r="AF728" s="7"/>
      <c r="AG728" s="7"/>
      <c r="AH728" s="7"/>
      <c r="AI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728" s="7"/>
      <c r="AK728" t="s">
        <v>103</v>
      </c>
      <c r="AL728">
        <v>3</v>
      </c>
      <c r="AM728">
        <v>4.4000000000000004</v>
      </c>
      <c r="AN728">
        <f>IFERROR(INT(Table13[[#This Row],[reject_prod]]/Table13[[#This Row],[part_weight]] * 1000), 0)</f>
        <v>153</v>
      </c>
    </row>
    <row r="729" spans="1:40" hidden="1">
      <c r="A729" s="1">
        <v>46045</v>
      </c>
      <c r="B729">
        <v>1</v>
      </c>
      <c r="C729">
        <v>8</v>
      </c>
      <c r="D729" t="s">
        <v>467</v>
      </c>
      <c r="E729" t="s">
        <v>41</v>
      </c>
      <c r="F729">
        <v>593537</v>
      </c>
      <c r="G729" s="6">
        <v>0</v>
      </c>
      <c r="H729" t="s">
        <v>48</v>
      </c>
      <c r="I729">
        <v>10685022</v>
      </c>
      <c r="J729">
        <v>4</v>
      </c>
      <c r="K729">
        <v>56.5</v>
      </c>
      <c r="L729">
        <v>56.8</v>
      </c>
      <c r="M729">
        <v>1437</v>
      </c>
      <c r="N729" s="2">
        <v>69000</v>
      </c>
      <c r="O729" s="2">
        <v>345</v>
      </c>
      <c r="P729" s="2">
        <v>345</v>
      </c>
      <c r="Q729" s="2">
        <v>5748</v>
      </c>
      <c r="R729" s="2">
        <v>5750</v>
      </c>
      <c r="S729">
        <v>326.60000000000002</v>
      </c>
      <c r="T729" s="2">
        <v>40595</v>
      </c>
      <c r="U729" s="2">
        <v>28405</v>
      </c>
      <c r="V729">
        <v>326.48639999999995</v>
      </c>
      <c r="W729">
        <v>-1.7243999999999837</v>
      </c>
      <c r="X729">
        <v>0</v>
      </c>
      <c r="Y729">
        <v>0</v>
      </c>
      <c r="Z729">
        <v>3</v>
      </c>
      <c r="AA729">
        <v>9.1887441559587186E-3</v>
      </c>
      <c r="AB729">
        <v>30.4</v>
      </c>
      <c r="AC729">
        <v>12</v>
      </c>
      <c r="AD729">
        <v>28.5</v>
      </c>
      <c r="AE729" s="7"/>
      <c r="AF729" s="7"/>
      <c r="AG729" s="7"/>
      <c r="AH729" s="7"/>
      <c r="AI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29" s="7"/>
      <c r="AK729" t="s">
        <v>51</v>
      </c>
      <c r="AN729">
        <f>IFERROR(INT(Table13[[#This Row],[reject_prod]]/Table13[[#This Row],[part_weight]] * 1000), 0)</f>
        <v>52</v>
      </c>
    </row>
    <row r="730" spans="1:40" hidden="1">
      <c r="A730" s="1">
        <v>46045</v>
      </c>
      <c r="B730">
        <v>1</v>
      </c>
      <c r="C730">
        <v>9</v>
      </c>
      <c r="D730" t="s">
        <v>33</v>
      </c>
      <c r="E730" t="s">
        <v>46</v>
      </c>
      <c r="F730">
        <v>586276</v>
      </c>
      <c r="G730" s="6">
        <v>0</v>
      </c>
      <c r="H730" t="s">
        <v>47</v>
      </c>
      <c r="I730">
        <v>10682924</v>
      </c>
      <c r="J730">
        <v>6</v>
      </c>
      <c r="K730">
        <v>12.3</v>
      </c>
      <c r="L730">
        <v>12.3</v>
      </c>
      <c r="M730">
        <v>0</v>
      </c>
      <c r="N730" s="2">
        <v>162000</v>
      </c>
      <c r="O730" s="2">
        <v>7290</v>
      </c>
      <c r="P730" s="2">
        <v>7290</v>
      </c>
      <c r="Q730" s="2">
        <v>0</v>
      </c>
      <c r="R730" s="2">
        <v>0</v>
      </c>
      <c r="S730">
        <v>0</v>
      </c>
      <c r="T730" s="2">
        <v>80190</v>
      </c>
      <c r="U730" s="2">
        <v>81810</v>
      </c>
      <c r="V730">
        <v>0</v>
      </c>
      <c r="W730">
        <v>0</v>
      </c>
      <c r="X730">
        <v>0</v>
      </c>
      <c r="Y730" t="e">
        <v>#DIV/0!</v>
      </c>
      <c r="Z730">
        <v>0</v>
      </c>
      <c r="AA730" t="e">
        <v>#DIV/0!</v>
      </c>
      <c r="AB730">
        <v>26</v>
      </c>
      <c r="AC730">
        <v>0</v>
      </c>
      <c r="AD730">
        <v>26</v>
      </c>
      <c r="AE730" s="7"/>
      <c r="AF730" s="7"/>
      <c r="AG730" s="7"/>
      <c r="AH730" s="7"/>
      <c r="AI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0" s="7"/>
      <c r="AK730" t="s">
        <v>463</v>
      </c>
      <c r="AL730">
        <v>7.4</v>
      </c>
      <c r="AM730">
        <v>5</v>
      </c>
      <c r="AN730">
        <f>IFERROR(INT(Table13[[#This Row],[reject_prod]]/Table13[[#This Row],[part_weight]] * 1000), 0)</f>
        <v>0</v>
      </c>
    </row>
    <row r="731" spans="1:40" hidden="1">
      <c r="A731" s="1">
        <v>46045</v>
      </c>
      <c r="B731">
        <v>1</v>
      </c>
      <c r="C731">
        <v>10</v>
      </c>
      <c r="D731" t="s">
        <v>167</v>
      </c>
      <c r="E731" t="s">
        <v>34</v>
      </c>
      <c r="F731">
        <v>323091</v>
      </c>
      <c r="G731" s="6">
        <v>0</v>
      </c>
      <c r="H731" t="s">
        <v>444</v>
      </c>
      <c r="I731">
        <v>10684858</v>
      </c>
      <c r="J731">
        <v>4</v>
      </c>
      <c r="K731">
        <v>48.71</v>
      </c>
      <c r="L731">
        <v>48.71</v>
      </c>
      <c r="M731">
        <v>1627</v>
      </c>
      <c r="N731" s="2">
        <v>25200</v>
      </c>
      <c r="O731" s="2">
        <v>210</v>
      </c>
      <c r="P731" s="2">
        <v>420</v>
      </c>
      <c r="Q731" s="2">
        <v>6508</v>
      </c>
      <c r="R731" s="2">
        <v>6300</v>
      </c>
      <c r="S731">
        <v>306.87299999999999</v>
      </c>
      <c r="T731" s="2">
        <v>23520</v>
      </c>
      <c r="U731" s="2">
        <v>1680</v>
      </c>
      <c r="V731">
        <v>317.00468000000001</v>
      </c>
      <c r="W731">
        <v>0</v>
      </c>
      <c r="X731">
        <v>0</v>
      </c>
      <c r="Y731">
        <v>0</v>
      </c>
      <c r="Z731">
        <v>2.8</v>
      </c>
      <c r="AA731">
        <v>8.8326771705704785E-3</v>
      </c>
      <c r="AB731">
        <v>27</v>
      </c>
      <c r="AC731">
        <v>12</v>
      </c>
      <c r="AD731">
        <v>26.4</v>
      </c>
      <c r="AE731" s="7"/>
      <c r="AF731" s="7"/>
      <c r="AG731" s="7"/>
      <c r="AH731" s="7"/>
      <c r="AI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1" s="7"/>
      <c r="AK731" t="s">
        <v>227</v>
      </c>
      <c r="AN731">
        <f>IFERROR(INT(Table13[[#This Row],[reject_prod]]/Table13[[#This Row],[part_weight]] * 1000), 0)</f>
        <v>57</v>
      </c>
    </row>
    <row r="732" spans="1:40" hidden="1">
      <c r="A732" s="1">
        <v>46045</v>
      </c>
      <c r="B732">
        <v>1</v>
      </c>
      <c r="C732">
        <v>11</v>
      </c>
      <c r="D732" t="s">
        <v>139</v>
      </c>
      <c r="E732" t="s">
        <v>46</v>
      </c>
      <c r="F732">
        <v>552181</v>
      </c>
      <c r="G732" s="6">
        <v>1</v>
      </c>
      <c r="H732" t="s">
        <v>49</v>
      </c>
      <c r="I732">
        <v>10683783</v>
      </c>
      <c r="J732">
        <v>6</v>
      </c>
      <c r="K732">
        <v>18.8</v>
      </c>
      <c r="L732">
        <v>18.8</v>
      </c>
      <c r="M732">
        <v>1485</v>
      </c>
      <c r="N732" s="2">
        <v>108000</v>
      </c>
      <c r="O732" s="2">
        <v>7560</v>
      </c>
      <c r="P732" s="2">
        <v>5670</v>
      </c>
      <c r="Q732" s="2">
        <v>8910</v>
      </c>
      <c r="R732" s="2">
        <v>10800</v>
      </c>
      <c r="S732">
        <v>203.04</v>
      </c>
      <c r="T732" s="2">
        <v>43470</v>
      </c>
      <c r="U732" s="2">
        <v>64530</v>
      </c>
      <c r="V732">
        <v>167.50800000000001</v>
      </c>
      <c r="W732">
        <v>0</v>
      </c>
      <c r="X732">
        <v>0</v>
      </c>
      <c r="Y732">
        <v>0</v>
      </c>
      <c r="Z732">
        <v>1.2</v>
      </c>
      <c r="AA732">
        <v>7.1638369510709926E-3</v>
      </c>
      <c r="AB732">
        <v>28.7</v>
      </c>
      <c r="AC732">
        <v>11.838750000000001</v>
      </c>
      <c r="AD732">
        <v>27</v>
      </c>
      <c r="AE732" s="7"/>
      <c r="AF732" s="7"/>
      <c r="AG732" s="7"/>
      <c r="AH732" s="7"/>
      <c r="AI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0.16124999999999901</v>
      </c>
      <c r="AJ732" s="7"/>
      <c r="AK732" t="s">
        <v>51</v>
      </c>
      <c r="AN732">
        <f>IFERROR(INT(Table13[[#This Row],[reject_prod]]/Table13[[#This Row],[part_weight]] * 1000), 0)</f>
        <v>63</v>
      </c>
    </row>
    <row r="733" spans="1:40" hidden="1">
      <c r="A733" s="1">
        <v>46045</v>
      </c>
      <c r="B733">
        <v>1</v>
      </c>
      <c r="C733">
        <v>12</v>
      </c>
      <c r="D733" t="s">
        <v>54</v>
      </c>
      <c r="E733" t="s">
        <v>34</v>
      </c>
      <c r="F733">
        <v>620599</v>
      </c>
      <c r="G733" s="6">
        <v>0</v>
      </c>
      <c r="H733" t="s">
        <v>50</v>
      </c>
      <c r="I733">
        <v>10684839</v>
      </c>
      <c r="J733">
        <v>4</v>
      </c>
      <c r="K733">
        <v>55</v>
      </c>
      <c r="L733">
        <v>55</v>
      </c>
      <c r="M733">
        <v>1520</v>
      </c>
      <c r="N733" s="2">
        <v>72000</v>
      </c>
      <c r="O733" s="2">
        <v>1350</v>
      </c>
      <c r="P733" s="2">
        <v>225</v>
      </c>
      <c r="Q733" s="2">
        <v>6080</v>
      </c>
      <c r="R733" s="2">
        <v>7200</v>
      </c>
      <c r="S733">
        <v>396</v>
      </c>
      <c r="T733" s="2">
        <v>32625</v>
      </c>
      <c r="U733" s="2">
        <v>39375</v>
      </c>
      <c r="V733">
        <v>334.4</v>
      </c>
      <c r="W733">
        <v>0</v>
      </c>
      <c r="X733">
        <v>0</v>
      </c>
      <c r="Y733">
        <v>0</v>
      </c>
      <c r="Z733">
        <v>1.2</v>
      </c>
      <c r="AA733">
        <v>3.5885167464114833E-3</v>
      </c>
      <c r="AB733">
        <v>29</v>
      </c>
      <c r="AC733">
        <v>12</v>
      </c>
      <c r="AD733">
        <v>28</v>
      </c>
      <c r="AE733" s="7"/>
      <c r="AF733" s="7"/>
      <c r="AG733" s="7"/>
      <c r="AH733" s="7"/>
      <c r="AI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3" s="7"/>
      <c r="AK733" t="s">
        <v>230</v>
      </c>
      <c r="AN733">
        <f>IFERROR(INT(Table13[[#This Row],[reject_prod]]/Table13[[#This Row],[part_weight]] * 1000), 0)</f>
        <v>21</v>
      </c>
    </row>
    <row r="734" spans="1:40" hidden="1">
      <c r="A734" s="1">
        <v>46045</v>
      </c>
      <c r="B734">
        <v>1</v>
      </c>
      <c r="C734">
        <v>13</v>
      </c>
      <c r="D734" t="s">
        <v>139</v>
      </c>
      <c r="E734" t="s">
        <v>46</v>
      </c>
      <c r="F734">
        <v>586276</v>
      </c>
      <c r="G734" s="6">
        <v>0</v>
      </c>
      <c r="H734" t="s">
        <v>47</v>
      </c>
      <c r="I734">
        <v>10684862</v>
      </c>
      <c r="J734">
        <v>6</v>
      </c>
      <c r="K734">
        <v>12.3</v>
      </c>
      <c r="L734">
        <v>12.3</v>
      </c>
      <c r="M734">
        <v>1680</v>
      </c>
      <c r="N734" s="2">
        <v>162000</v>
      </c>
      <c r="O734" s="2">
        <v>5265</v>
      </c>
      <c r="P734" s="2">
        <v>7290</v>
      </c>
      <c r="Q734" s="2">
        <v>10080</v>
      </c>
      <c r="R734" s="2">
        <v>8100</v>
      </c>
      <c r="S734">
        <v>99.63</v>
      </c>
      <c r="T734" s="2">
        <v>15390</v>
      </c>
      <c r="U734" s="2">
        <v>146610</v>
      </c>
      <c r="V734">
        <v>123.98399999999999</v>
      </c>
      <c r="W734">
        <v>0</v>
      </c>
      <c r="X734">
        <v>0</v>
      </c>
      <c r="Y734">
        <v>0</v>
      </c>
      <c r="Z734">
        <v>1</v>
      </c>
      <c r="AA734">
        <v>8.0655568460446508E-3</v>
      </c>
      <c r="AB734">
        <v>26.2</v>
      </c>
      <c r="AC734">
        <v>12</v>
      </c>
      <c r="AD734">
        <v>26</v>
      </c>
      <c r="AE734" s="7"/>
      <c r="AF734" s="7"/>
      <c r="AG734" s="7"/>
      <c r="AH734" s="7"/>
      <c r="AI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4" s="7"/>
      <c r="AK734" t="s">
        <v>51</v>
      </c>
      <c r="AN734">
        <f>IFERROR(INT(Table13[[#This Row],[reject_prod]]/Table13[[#This Row],[part_weight]] * 1000), 0)</f>
        <v>81</v>
      </c>
    </row>
    <row r="735" spans="1:40" hidden="1">
      <c r="A735" s="1">
        <v>46045</v>
      </c>
      <c r="B735">
        <v>1</v>
      </c>
      <c r="C735">
        <v>15</v>
      </c>
      <c r="D735" t="s">
        <v>139</v>
      </c>
      <c r="E735" t="s">
        <v>46</v>
      </c>
      <c r="F735">
        <v>552181</v>
      </c>
      <c r="G735" s="6">
        <v>2</v>
      </c>
      <c r="H735" t="s">
        <v>49</v>
      </c>
      <c r="I735">
        <v>10683787</v>
      </c>
      <c r="J735">
        <v>6</v>
      </c>
      <c r="K735">
        <v>18.8</v>
      </c>
      <c r="L735">
        <v>18.8</v>
      </c>
      <c r="M735">
        <v>1450</v>
      </c>
      <c r="N735" s="2">
        <v>108000</v>
      </c>
      <c r="O735" s="2">
        <v>2970</v>
      </c>
      <c r="P735" s="2">
        <v>1080</v>
      </c>
      <c r="Q735" s="2">
        <v>8700</v>
      </c>
      <c r="R735" s="2">
        <v>10800</v>
      </c>
      <c r="S735">
        <v>203.04</v>
      </c>
      <c r="T735" s="2">
        <v>22680</v>
      </c>
      <c r="U735" s="2">
        <v>85320</v>
      </c>
      <c r="V735">
        <v>163.56</v>
      </c>
      <c r="W735">
        <v>0</v>
      </c>
      <c r="X735">
        <v>0</v>
      </c>
      <c r="Y735">
        <v>0</v>
      </c>
      <c r="Z735">
        <v>1</v>
      </c>
      <c r="AA735">
        <v>6.1139642944485206E-3</v>
      </c>
      <c r="AB735">
        <v>30</v>
      </c>
      <c r="AC735">
        <v>12</v>
      </c>
      <c r="AD735">
        <v>27</v>
      </c>
      <c r="AE735" s="7"/>
      <c r="AF735" s="7"/>
      <c r="AG735" s="7"/>
      <c r="AH735" s="7"/>
      <c r="AI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5" s="7"/>
      <c r="AK735" t="s">
        <v>51</v>
      </c>
      <c r="AN735">
        <f>IFERROR(INT(Table13[[#This Row],[reject_prod]]/Table13[[#This Row],[part_weight]] * 1000), 0)</f>
        <v>53</v>
      </c>
    </row>
    <row r="736" spans="1:40" hidden="1">
      <c r="A736" s="1">
        <v>46045</v>
      </c>
      <c r="B736">
        <v>1</v>
      </c>
      <c r="C736">
        <v>14</v>
      </c>
      <c r="D736" t="s">
        <v>33</v>
      </c>
      <c r="E736" t="s">
        <v>46</v>
      </c>
      <c r="F736">
        <v>555979</v>
      </c>
      <c r="G736" s="6">
        <v>1</v>
      </c>
      <c r="H736" t="s">
        <v>52</v>
      </c>
      <c r="I736">
        <v>10683785</v>
      </c>
      <c r="J736">
        <v>6</v>
      </c>
      <c r="K736">
        <v>28</v>
      </c>
      <c r="L736">
        <v>28</v>
      </c>
      <c r="M736">
        <v>0</v>
      </c>
      <c r="N736" s="2">
        <v>100800</v>
      </c>
      <c r="O736" s="2">
        <v>0</v>
      </c>
      <c r="P736" s="2">
        <v>0</v>
      </c>
      <c r="Q736" s="2">
        <v>0</v>
      </c>
      <c r="R736" s="2">
        <v>0</v>
      </c>
      <c r="S736">
        <v>0</v>
      </c>
      <c r="T736" s="2">
        <v>0</v>
      </c>
      <c r="U736" s="2">
        <v>100800</v>
      </c>
      <c r="V736">
        <v>0</v>
      </c>
      <c r="W736">
        <v>0</v>
      </c>
      <c r="X736">
        <v>0</v>
      </c>
      <c r="Y736" t="e">
        <v>#DIV/0!</v>
      </c>
      <c r="Z736">
        <v>0</v>
      </c>
      <c r="AA736" t="e">
        <v>#DIV/0!</v>
      </c>
      <c r="AB736">
        <v>43.4</v>
      </c>
      <c r="AC736">
        <v>0</v>
      </c>
      <c r="AD736">
        <v>42</v>
      </c>
      <c r="AE736" s="7"/>
      <c r="AF736" s="7"/>
      <c r="AG736" s="7"/>
      <c r="AH736" s="7"/>
      <c r="AI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6" s="7"/>
      <c r="AK736" t="s">
        <v>473</v>
      </c>
      <c r="AL736">
        <v>3</v>
      </c>
      <c r="AM736">
        <v>2</v>
      </c>
      <c r="AN736">
        <f>IFERROR(INT(Table13[[#This Row],[reject_prod]]/Table13[[#This Row],[part_weight]] * 1000), 0)</f>
        <v>0</v>
      </c>
    </row>
    <row r="737" spans="1:40" s="4" customFormat="1" hidden="1">
      <c r="A737" s="3">
        <v>46045</v>
      </c>
      <c r="B737" s="4">
        <v>1</v>
      </c>
      <c r="C737" s="4">
        <v>16</v>
      </c>
      <c r="D737" s="4" t="s">
        <v>468</v>
      </c>
      <c r="E737" s="4" t="s">
        <v>46</v>
      </c>
      <c r="F737" s="4">
        <v>555979</v>
      </c>
      <c r="G737" s="9">
        <v>2</v>
      </c>
      <c r="H737" s="4" t="s">
        <v>52</v>
      </c>
      <c r="I737" s="4">
        <v>10683788</v>
      </c>
      <c r="J737" s="4">
        <v>6</v>
      </c>
      <c r="K737" s="4">
        <v>28</v>
      </c>
      <c r="L737" s="4">
        <v>28</v>
      </c>
      <c r="M737" s="4">
        <v>985</v>
      </c>
      <c r="N737" s="5">
        <v>100800</v>
      </c>
      <c r="O737" s="5">
        <v>672</v>
      </c>
      <c r="P737" s="5">
        <v>0</v>
      </c>
      <c r="Q737" s="5">
        <v>5910</v>
      </c>
      <c r="R737" s="5">
        <v>6720</v>
      </c>
      <c r="S737" s="4">
        <v>188.16</v>
      </c>
      <c r="T737" s="5">
        <v>97440</v>
      </c>
      <c r="U737" s="5">
        <v>3360</v>
      </c>
      <c r="V737" s="4">
        <v>165.48</v>
      </c>
      <c r="W737" s="4">
        <v>0</v>
      </c>
      <c r="X737" s="4">
        <v>0</v>
      </c>
      <c r="Y737" s="4">
        <v>0</v>
      </c>
      <c r="Z737" s="4">
        <v>1</v>
      </c>
      <c r="AA737" s="4">
        <v>6.0430263475948756E-3</v>
      </c>
      <c r="AB737" s="4">
        <v>43.4</v>
      </c>
      <c r="AC737" s="4">
        <v>11.874722222222221</v>
      </c>
      <c r="AD737" s="4">
        <v>42</v>
      </c>
      <c r="AE737" s="8"/>
      <c r="AF737" s="8"/>
      <c r="AG737" s="8"/>
      <c r="AH737" s="8"/>
      <c r="AI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0.12527777777777871</v>
      </c>
      <c r="AJ737" s="8"/>
      <c r="AK737" s="4" t="s">
        <v>51</v>
      </c>
      <c r="AM737" s="4">
        <v>6.5</v>
      </c>
      <c r="AN737">
        <f>IFERROR(INT(Table13[[#This Row],[reject_prod]]/Table13[[#This Row],[part_weight]] * 1000), 0)</f>
        <v>35</v>
      </c>
    </row>
    <row r="738" spans="1:40" hidden="1">
      <c r="A738" s="1">
        <v>46045</v>
      </c>
      <c r="B738">
        <v>2</v>
      </c>
      <c r="C738">
        <v>1</v>
      </c>
      <c r="D738" t="s">
        <v>152</v>
      </c>
      <c r="E738" t="s">
        <v>34</v>
      </c>
      <c r="F738">
        <v>577492</v>
      </c>
      <c r="G738" s="6">
        <v>0</v>
      </c>
      <c r="H738" t="s">
        <v>341</v>
      </c>
      <c r="I738">
        <v>10684028</v>
      </c>
      <c r="J738">
        <v>4</v>
      </c>
      <c r="K738">
        <v>35.6</v>
      </c>
      <c r="L738">
        <v>35.6</v>
      </c>
      <c r="M738">
        <v>1588</v>
      </c>
      <c r="N738" s="2">
        <v>101200</v>
      </c>
      <c r="O738" s="2">
        <v>0</v>
      </c>
      <c r="P738" s="2">
        <v>736</v>
      </c>
      <c r="Q738" s="2">
        <v>6352</v>
      </c>
      <c r="R738" s="2">
        <v>5520</v>
      </c>
      <c r="S738">
        <v>196.512</v>
      </c>
      <c r="T738" s="2">
        <v>44896</v>
      </c>
      <c r="U738" s="2">
        <v>56304</v>
      </c>
      <c r="V738">
        <v>226.13120000000001</v>
      </c>
      <c r="W738">
        <v>0</v>
      </c>
      <c r="X738">
        <v>0</v>
      </c>
      <c r="Y738">
        <v>0</v>
      </c>
      <c r="Z738">
        <v>3.4</v>
      </c>
      <c r="AA738">
        <v>1.5035519203011348E-2</v>
      </c>
      <c r="AB738">
        <v>27.1</v>
      </c>
      <c r="AC738">
        <v>11.954111111111112</v>
      </c>
      <c r="AD738">
        <v>27</v>
      </c>
      <c r="AE738" s="7"/>
      <c r="AF738" s="7"/>
      <c r="AG738" s="7"/>
      <c r="AH738" s="7"/>
      <c r="AI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4.5888888888887536E-2</v>
      </c>
      <c r="AJ738" s="7"/>
      <c r="AK738" t="s">
        <v>51</v>
      </c>
      <c r="AN738">
        <f>IFERROR(INT(Table13[[#This Row],[reject_prod]]/Table13[[#This Row],[part_weight]] * 1000), 0)</f>
        <v>95</v>
      </c>
    </row>
    <row r="739" spans="1:40" hidden="1">
      <c r="A739" s="1">
        <v>46045</v>
      </c>
      <c r="B739">
        <v>2</v>
      </c>
      <c r="C739">
        <v>2</v>
      </c>
      <c r="D739" t="s">
        <v>33</v>
      </c>
      <c r="E739" t="s">
        <v>34</v>
      </c>
      <c r="F739">
        <v>416201</v>
      </c>
      <c r="G739" s="6">
        <v>0</v>
      </c>
      <c r="H739" t="s">
        <v>36</v>
      </c>
      <c r="I739">
        <v>10681779</v>
      </c>
      <c r="J739">
        <v>4</v>
      </c>
      <c r="K739">
        <v>20</v>
      </c>
      <c r="L739">
        <v>30</v>
      </c>
      <c r="M739">
        <v>0</v>
      </c>
      <c r="N739" s="2">
        <v>50400</v>
      </c>
      <c r="O739" s="2">
        <v>0</v>
      </c>
      <c r="P739" s="2">
        <v>0</v>
      </c>
      <c r="Q739" s="2">
        <v>0</v>
      </c>
      <c r="R739" s="2">
        <v>0</v>
      </c>
      <c r="S739">
        <v>0</v>
      </c>
      <c r="T739" s="2">
        <v>0</v>
      </c>
      <c r="U739" s="2">
        <v>50400</v>
      </c>
      <c r="V739">
        <v>0</v>
      </c>
      <c r="W739">
        <v>0</v>
      </c>
      <c r="X739">
        <v>0</v>
      </c>
      <c r="Y739" t="e">
        <v>#DIV/0!</v>
      </c>
      <c r="Z739">
        <v>0</v>
      </c>
      <c r="AA739" t="e">
        <v>#DIV/0!</v>
      </c>
      <c r="AB739">
        <v>38.6</v>
      </c>
      <c r="AC739">
        <v>0</v>
      </c>
      <c r="AD739">
        <v>38.64</v>
      </c>
      <c r="AE739" s="7"/>
      <c r="AF739" s="7"/>
      <c r="AG739" s="7"/>
      <c r="AH739" s="7"/>
      <c r="AI7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9" s="7"/>
      <c r="AK739" t="s">
        <v>387</v>
      </c>
      <c r="AN739">
        <f>IFERROR(INT(Table13[[#This Row],[reject_prod]]/Table13[[#This Row],[part_weight]] * 1000), 0)</f>
        <v>0</v>
      </c>
    </row>
    <row r="740" spans="1:40" hidden="1">
      <c r="A740" s="1">
        <v>46045</v>
      </c>
      <c r="B740">
        <v>2</v>
      </c>
      <c r="C740">
        <v>3</v>
      </c>
      <c r="D740" t="s">
        <v>141</v>
      </c>
      <c r="E740" t="s">
        <v>34</v>
      </c>
      <c r="F740">
        <v>442034</v>
      </c>
      <c r="G740" s="6">
        <v>0</v>
      </c>
      <c r="H740" t="s">
        <v>37</v>
      </c>
      <c r="I740">
        <v>10681184</v>
      </c>
      <c r="J740">
        <v>4</v>
      </c>
      <c r="K740">
        <v>23</v>
      </c>
      <c r="L740">
        <v>23</v>
      </c>
      <c r="M740">
        <v>1680</v>
      </c>
      <c r="N740" s="2">
        <v>139776</v>
      </c>
      <c r="O740" s="2">
        <v>1920</v>
      </c>
      <c r="P740" s="2">
        <v>3840</v>
      </c>
      <c r="Q740" s="2">
        <v>6720</v>
      </c>
      <c r="R740" s="2">
        <v>4608</v>
      </c>
      <c r="S740">
        <v>105.98399999999999</v>
      </c>
      <c r="T740" s="2">
        <v>36096</v>
      </c>
      <c r="U740" s="2">
        <v>103680</v>
      </c>
      <c r="V740">
        <v>154.56</v>
      </c>
      <c r="W740">
        <v>0</v>
      </c>
      <c r="X740">
        <v>0</v>
      </c>
      <c r="Y740">
        <v>0</v>
      </c>
      <c r="Z740">
        <v>4.4000000000000004</v>
      </c>
      <c r="AA740">
        <v>2.8467908902691512E-2</v>
      </c>
      <c r="AB740">
        <v>26</v>
      </c>
      <c r="AC740">
        <v>12</v>
      </c>
      <c r="AD740">
        <v>22</v>
      </c>
      <c r="AE740" s="7"/>
      <c r="AF740" s="7"/>
      <c r="AG740" s="7"/>
      <c r="AH740" s="7"/>
      <c r="AI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0" s="7"/>
      <c r="AK740" t="s">
        <v>474</v>
      </c>
      <c r="AN740">
        <f>IFERROR(INT(Table13[[#This Row],[reject_prod]]/Table13[[#This Row],[part_weight]] * 1000), 0)</f>
        <v>191</v>
      </c>
    </row>
    <row r="741" spans="1:40" hidden="1">
      <c r="A741" s="1">
        <v>46045</v>
      </c>
      <c r="B741">
        <v>2</v>
      </c>
      <c r="C741">
        <v>4</v>
      </c>
      <c r="D741" t="s">
        <v>65</v>
      </c>
      <c r="E741" t="s">
        <v>34</v>
      </c>
      <c r="F741">
        <v>402305</v>
      </c>
      <c r="G741" s="6">
        <v>0</v>
      </c>
      <c r="H741" t="s">
        <v>395</v>
      </c>
      <c r="I741">
        <v>10684852</v>
      </c>
      <c r="J741">
        <v>4</v>
      </c>
      <c r="K741">
        <v>29</v>
      </c>
      <c r="L741">
        <v>29</v>
      </c>
      <c r="M741">
        <v>1703</v>
      </c>
      <c r="N741" s="2">
        <v>64896</v>
      </c>
      <c r="O741" s="2">
        <v>1040</v>
      </c>
      <c r="P741" s="2">
        <v>312</v>
      </c>
      <c r="Q741" s="2">
        <v>6812</v>
      </c>
      <c r="R741" s="2">
        <v>7488</v>
      </c>
      <c r="S741">
        <v>217.15199999999999</v>
      </c>
      <c r="T741" s="2">
        <v>55224</v>
      </c>
      <c r="U741" s="2">
        <v>9672</v>
      </c>
      <c r="V741">
        <v>197.548</v>
      </c>
      <c r="W741">
        <v>0</v>
      </c>
      <c r="X741">
        <v>0</v>
      </c>
      <c r="Y741">
        <v>0</v>
      </c>
      <c r="Z741">
        <v>1.5</v>
      </c>
      <c r="AA741">
        <v>7.5930912993297829E-3</v>
      </c>
      <c r="AB741">
        <v>25.4</v>
      </c>
      <c r="AC741">
        <v>12</v>
      </c>
      <c r="AD741">
        <v>22</v>
      </c>
      <c r="AE741" s="7"/>
      <c r="AF741" s="7"/>
      <c r="AG741" s="7"/>
      <c r="AH741" s="7"/>
      <c r="AI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1" s="7"/>
      <c r="AK741" t="s">
        <v>214</v>
      </c>
      <c r="AN741">
        <f>IFERROR(INT(Table13[[#This Row],[reject_prod]]/Table13[[#This Row],[part_weight]] * 1000), 0)</f>
        <v>51</v>
      </c>
    </row>
    <row r="742" spans="1:40" hidden="1">
      <c r="A742" s="1">
        <v>46045</v>
      </c>
      <c r="B742">
        <v>2</v>
      </c>
      <c r="C742">
        <v>5</v>
      </c>
      <c r="D742" t="s">
        <v>469</v>
      </c>
      <c r="E742" t="s">
        <v>34</v>
      </c>
      <c r="F742">
        <v>322383</v>
      </c>
      <c r="G742" s="6">
        <v>0</v>
      </c>
      <c r="H742" t="s">
        <v>71</v>
      </c>
      <c r="I742">
        <v>10682756</v>
      </c>
      <c r="J742">
        <v>4</v>
      </c>
      <c r="K742">
        <v>12.5</v>
      </c>
      <c r="L742">
        <v>12.5</v>
      </c>
      <c r="M742">
        <v>1765</v>
      </c>
      <c r="N742" s="2">
        <v>66000</v>
      </c>
      <c r="O742" s="2">
        <v>11000</v>
      </c>
      <c r="P742" s="2">
        <v>4400</v>
      </c>
      <c r="Q742" s="2">
        <v>7060</v>
      </c>
      <c r="R742" s="2">
        <v>13200</v>
      </c>
      <c r="S742">
        <v>165</v>
      </c>
      <c r="T742" s="2">
        <v>57200</v>
      </c>
      <c r="U742" s="2">
        <v>8800</v>
      </c>
      <c r="V742">
        <v>88.25</v>
      </c>
      <c r="W742">
        <v>0</v>
      </c>
      <c r="X742">
        <v>0</v>
      </c>
      <c r="Y742">
        <v>0</v>
      </c>
      <c r="Z742">
        <v>5.5</v>
      </c>
      <c r="AA742">
        <v>6.2322946175637391E-2</v>
      </c>
      <c r="AB742">
        <v>20.9</v>
      </c>
      <c r="AC742">
        <v>10.246805555555556</v>
      </c>
      <c r="AD742">
        <v>17.920000000000002</v>
      </c>
      <c r="AE742" s="7"/>
      <c r="AF742" s="7"/>
      <c r="AG742" s="7"/>
      <c r="AH742" s="7"/>
      <c r="AI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1.7531944444444445</v>
      </c>
      <c r="AJ742" s="7"/>
      <c r="AK742" t="s">
        <v>475</v>
      </c>
      <c r="AN742">
        <f>IFERROR(INT(Table13[[#This Row],[reject_prod]]/Table13[[#This Row],[part_weight]] * 1000), 0)</f>
        <v>440</v>
      </c>
    </row>
    <row r="743" spans="1:40" hidden="1">
      <c r="A743" s="1">
        <v>46045</v>
      </c>
      <c r="B743">
        <v>2</v>
      </c>
      <c r="C743">
        <v>6</v>
      </c>
      <c r="D743" t="s">
        <v>213</v>
      </c>
      <c r="E743" t="s">
        <v>34</v>
      </c>
      <c r="F743">
        <v>322409</v>
      </c>
      <c r="G743" s="6">
        <v>0</v>
      </c>
      <c r="H743" t="s">
        <v>400</v>
      </c>
      <c r="I743">
        <v>10683854</v>
      </c>
      <c r="J743">
        <v>4</v>
      </c>
      <c r="K743">
        <v>24</v>
      </c>
      <c r="L743">
        <v>24</v>
      </c>
      <c r="M743">
        <v>1997</v>
      </c>
      <c r="N743" s="2">
        <v>70200</v>
      </c>
      <c r="O743" s="2">
        <v>195</v>
      </c>
      <c r="P743" s="2">
        <v>0</v>
      </c>
      <c r="Q743" s="2">
        <v>7988</v>
      </c>
      <c r="R743" s="2">
        <v>8190</v>
      </c>
      <c r="S743">
        <v>196.56</v>
      </c>
      <c r="T743" s="2">
        <v>66690</v>
      </c>
      <c r="U743" s="2">
        <v>3510</v>
      </c>
      <c r="V743">
        <v>191.71199999999999</v>
      </c>
      <c r="W743">
        <v>0</v>
      </c>
      <c r="X743">
        <v>0</v>
      </c>
      <c r="Y743">
        <v>0</v>
      </c>
      <c r="Z743">
        <v>4.5</v>
      </c>
      <c r="AA743">
        <v>2.3472709063595394E-2</v>
      </c>
      <c r="AB743">
        <v>21.5</v>
      </c>
      <c r="AC743">
        <v>11.926527777777778</v>
      </c>
      <c r="AD743">
        <v>20</v>
      </c>
      <c r="AE743" s="7"/>
      <c r="AF743" s="7"/>
      <c r="AG743" s="7"/>
      <c r="AH743" s="7"/>
      <c r="AI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7.3472222222221717E-2</v>
      </c>
      <c r="AJ743" s="7"/>
      <c r="AK743" t="s">
        <v>476</v>
      </c>
      <c r="AN743">
        <f>IFERROR(INT(Table13[[#This Row],[reject_prod]]/Table13[[#This Row],[part_weight]] * 1000), 0)</f>
        <v>187</v>
      </c>
    </row>
    <row r="744" spans="1:40" hidden="1">
      <c r="A744" s="1">
        <v>46045</v>
      </c>
      <c r="B744">
        <v>2</v>
      </c>
      <c r="C744">
        <v>7</v>
      </c>
      <c r="D744" t="s">
        <v>231</v>
      </c>
      <c r="E744" t="s">
        <v>34</v>
      </c>
      <c r="F744">
        <v>647556</v>
      </c>
      <c r="G744" s="6">
        <v>0</v>
      </c>
      <c r="H744" t="s">
        <v>458</v>
      </c>
      <c r="I744">
        <v>10683858</v>
      </c>
      <c r="J744">
        <v>4</v>
      </c>
      <c r="K744">
        <v>35</v>
      </c>
      <c r="L744">
        <v>34.5</v>
      </c>
      <c r="M744">
        <v>1935</v>
      </c>
      <c r="N744" s="2">
        <v>27720</v>
      </c>
      <c r="O744" s="2">
        <v>154</v>
      </c>
      <c r="P744" s="2">
        <v>396</v>
      </c>
      <c r="Q744" s="2">
        <v>7740</v>
      </c>
      <c r="R744" s="2">
        <v>7392</v>
      </c>
      <c r="S744">
        <v>255.024</v>
      </c>
      <c r="T744" s="2">
        <v>20724</v>
      </c>
      <c r="U744" s="2">
        <v>6996</v>
      </c>
      <c r="V744">
        <v>267.02999999999997</v>
      </c>
      <c r="W744">
        <v>0</v>
      </c>
      <c r="X744">
        <v>0</v>
      </c>
      <c r="Y744">
        <v>0</v>
      </c>
      <c r="Z744">
        <v>3.6</v>
      </c>
      <c r="AA744">
        <v>1.3481631277384566E-2</v>
      </c>
      <c r="AB744">
        <v>22</v>
      </c>
      <c r="AC744">
        <v>11.825000000000001</v>
      </c>
      <c r="AD744">
        <v>20.399999999999999</v>
      </c>
      <c r="AE744" s="7"/>
      <c r="AF744" s="7"/>
      <c r="AG744" s="7"/>
      <c r="AH744" s="7"/>
      <c r="AI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0.17499999999999893</v>
      </c>
      <c r="AJ744" s="7"/>
      <c r="AK744" t="s">
        <v>103</v>
      </c>
      <c r="AN744">
        <f>IFERROR(INT(Table13[[#This Row],[reject_prod]]/Table13[[#This Row],[part_weight]] * 1000), 0)</f>
        <v>104</v>
      </c>
    </row>
    <row r="745" spans="1:40" hidden="1">
      <c r="A745" s="1">
        <v>46045</v>
      </c>
      <c r="B745">
        <v>2</v>
      </c>
      <c r="C745">
        <v>8</v>
      </c>
      <c r="D745" t="s">
        <v>40</v>
      </c>
      <c r="E745" t="s">
        <v>41</v>
      </c>
      <c r="F745">
        <v>593537</v>
      </c>
      <c r="G745" s="6">
        <v>0</v>
      </c>
      <c r="H745" t="s">
        <v>48</v>
      </c>
      <c r="I745">
        <v>10685022</v>
      </c>
      <c r="J745">
        <v>4</v>
      </c>
      <c r="K745">
        <v>56.5</v>
      </c>
      <c r="L745">
        <v>56.8</v>
      </c>
      <c r="M745">
        <v>1390</v>
      </c>
      <c r="N745" s="2">
        <v>69000</v>
      </c>
      <c r="O745" s="2">
        <v>345</v>
      </c>
      <c r="P745" s="2">
        <v>115</v>
      </c>
      <c r="Q745" s="2">
        <v>5560</v>
      </c>
      <c r="R745" s="2">
        <v>5750</v>
      </c>
      <c r="S745">
        <v>326.60000000000002</v>
      </c>
      <c r="T745" s="2">
        <v>46115</v>
      </c>
      <c r="U745" s="2">
        <v>22885</v>
      </c>
      <c r="V745">
        <v>315.80799999999999</v>
      </c>
      <c r="W745">
        <v>0</v>
      </c>
      <c r="X745">
        <v>0</v>
      </c>
      <c r="Y745">
        <v>0</v>
      </c>
      <c r="Z745">
        <v>2.2999999999999998</v>
      </c>
      <c r="AA745">
        <v>7.2829060695105887E-3</v>
      </c>
      <c r="AB745">
        <v>30.4</v>
      </c>
      <c r="AC745">
        <v>11.737777777777776</v>
      </c>
      <c r="AD745">
        <v>28.5</v>
      </c>
      <c r="AE745" s="7"/>
      <c r="AF745" s="7"/>
      <c r="AG745" s="7"/>
      <c r="AH745" s="7"/>
      <c r="AI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0.26222222222222413</v>
      </c>
      <c r="AJ745" s="7"/>
      <c r="AK745" t="s">
        <v>51</v>
      </c>
      <c r="AN745">
        <f>IFERROR(INT(Table13[[#This Row],[reject_prod]]/Table13[[#This Row],[part_weight]] * 1000), 0)</f>
        <v>40</v>
      </c>
    </row>
    <row r="746" spans="1:40" hidden="1">
      <c r="A746" s="1">
        <v>46045</v>
      </c>
      <c r="B746">
        <v>2</v>
      </c>
      <c r="C746">
        <v>9</v>
      </c>
      <c r="D746" t="s">
        <v>33</v>
      </c>
      <c r="E746" t="s">
        <v>46</v>
      </c>
      <c r="F746">
        <v>586276</v>
      </c>
      <c r="G746" s="6">
        <v>0</v>
      </c>
      <c r="H746" t="s">
        <v>47</v>
      </c>
      <c r="I746">
        <v>10682924</v>
      </c>
      <c r="J746">
        <v>6</v>
      </c>
      <c r="K746">
        <v>12.3</v>
      </c>
      <c r="L746">
        <v>12.3</v>
      </c>
      <c r="M746">
        <v>0</v>
      </c>
      <c r="N746" s="2">
        <v>162000</v>
      </c>
      <c r="O746" s="2">
        <v>7290</v>
      </c>
      <c r="P746" s="2">
        <v>7290</v>
      </c>
      <c r="Q746" s="2">
        <v>0</v>
      </c>
      <c r="R746" s="2">
        <v>0</v>
      </c>
      <c r="S746">
        <v>0</v>
      </c>
      <c r="T746" s="2">
        <v>80190</v>
      </c>
      <c r="U746" s="2">
        <v>81810</v>
      </c>
      <c r="V746">
        <v>0</v>
      </c>
      <c r="W746">
        <v>0</v>
      </c>
      <c r="X746">
        <v>0</v>
      </c>
      <c r="Y746" t="e">
        <v>#DIV/0!</v>
      </c>
      <c r="Z746">
        <v>0</v>
      </c>
      <c r="AA746" t="e">
        <v>#DIV/0!</v>
      </c>
      <c r="AB746">
        <v>26</v>
      </c>
      <c r="AC746">
        <v>0</v>
      </c>
      <c r="AD746">
        <v>26</v>
      </c>
      <c r="AE746" s="7"/>
      <c r="AF746" s="7"/>
      <c r="AG746" s="7"/>
      <c r="AH746" s="7"/>
      <c r="AI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46" s="7"/>
      <c r="AK746" t="s">
        <v>463</v>
      </c>
      <c r="AN746">
        <f>IFERROR(INT(Table13[[#This Row],[reject_prod]]/Table13[[#This Row],[part_weight]] * 1000), 0)</f>
        <v>0</v>
      </c>
    </row>
    <row r="747" spans="1:40" hidden="1">
      <c r="A747" s="1">
        <v>46045</v>
      </c>
      <c r="B747">
        <v>2</v>
      </c>
      <c r="C747">
        <v>10</v>
      </c>
      <c r="D747" t="s">
        <v>43</v>
      </c>
      <c r="E747" t="s">
        <v>34</v>
      </c>
      <c r="F747">
        <v>323091</v>
      </c>
      <c r="G747" s="6">
        <v>0</v>
      </c>
      <c r="H747" t="s">
        <v>444</v>
      </c>
      <c r="I747">
        <v>10684858</v>
      </c>
      <c r="J747">
        <v>4</v>
      </c>
      <c r="K747">
        <v>48.71</v>
      </c>
      <c r="L747">
        <v>48.71</v>
      </c>
      <c r="M747">
        <v>425</v>
      </c>
      <c r="N747" s="2">
        <v>25200</v>
      </c>
      <c r="O747" s="2">
        <v>420</v>
      </c>
      <c r="P747" s="2">
        <v>0</v>
      </c>
      <c r="Q747" s="2">
        <v>1700</v>
      </c>
      <c r="R747" s="2">
        <v>2100</v>
      </c>
      <c r="S747">
        <v>102.291</v>
      </c>
      <c r="T747" s="2">
        <v>25200</v>
      </c>
      <c r="U747" s="2">
        <v>0</v>
      </c>
      <c r="V747">
        <v>82.807000000000002</v>
      </c>
      <c r="W747">
        <v>0</v>
      </c>
      <c r="X747">
        <v>0</v>
      </c>
      <c r="Y747">
        <v>0</v>
      </c>
      <c r="Z747">
        <v>1</v>
      </c>
      <c r="AA747">
        <v>1.207627374497325E-2</v>
      </c>
      <c r="AB747">
        <v>27</v>
      </c>
      <c r="AC747">
        <v>3.1875</v>
      </c>
      <c r="AD747">
        <v>26.4</v>
      </c>
      <c r="AE747" s="7"/>
      <c r="AF747" s="7"/>
      <c r="AG747" s="7"/>
      <c r="AH747" s="7"/>
      <c r="AI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8.8125</v>
      </c>
      <c r="AJ747" s="7"/>
      <c r="AK747" t="s">
        <v>477</v>
      </c>
      <c r="AN747">
        <f>IFERROR(INT(Table13[[#This Row],[reject_prod]]/Table13[[#This Row],[part_weight]] * 1000), 0)</f>
        <v>20</v>
      </c>
    </row>
    <row r="748" spans="1:40" hidden="1">
      <c r="A748" s="1">
        <v>46045</v>
      </c>
      <c r="B748">
        <v>2</v>
      </c>
      <c r="C748">
        <v>10</v>
      </c>
      <c r="D748" t="s">
        <v>43</v>
      </c>
      <c r="E748" t="s">
        <v>34</v>
      </c>
      <c r="F748">
        <v>626029</v>
      </c>
      <c r="G748" s="6">
        <v>0</v>
      </c>
      <c r="H748" t="s">
        <v>478</v>
      </c>
      <c r="I748">
        <v>10685443</v>
      </c>
      <c r="J748">
        <v>4</v>
      </c>
      <c r="K748">
        <v>48.39</v>
      </c>
      <c r="L748">
        <v>48.39</v>
      </c>
      <c r="M748">
        <v>236</v>
      </c>
      <c r="N748" s="2">
        <v>12480</v>
      </c>
      <c r="O748" s="2">
        <v>0</v>
      </c>
      <c r="P748" s="2">
        <v>780</v>
      </c>
      <c r="Q748" s="2">
        <v>944</v>
      </c>
      <c r="R748" s="2">
        <v>0</v>
      </c>
      <c r="S748">
        <v>0</v>
      </c>
      <c r="T748" s="2">
        <v>780</v>
      </c>
      <c r="U748" s="2">
        <v>11700</v>
      </c>
      <c r="V748">
        <v>45.680160000000001</v>
      </c>
      <c r="W748">
        <v>0</v>
      </c>
      <c r="X748">
        <v>7</v>
      </c>
      <c r="Y748">
        <v>0.15323939320702903</v>
      </c>
      <c r="Z748">
        <v>0.8</v>
      </c>
      <c r="AA748">
        <v>1.7513073509374748E-2</v>
      </c>
      <c r="AB748">
        <v>30.5</v>
      </c>
      <c r="AC748">
        <v>1.9994444444444446</v>
      </c>
      <c r="AD748">
        <v>28</v>
      </c>
      <c r="AE748" s="7"/>
      <c r="AF748" s="7"/>
      <c r="AG748" s="7">
        <v>2</v>
      </c>
      <c r="AH748" s="7"/>
      <c r="AI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8.0005555555555556</v>
      </c>
      <c r="AJ748" s="7"/>
      <c r="AK748" t="s">
        <v>479</v>
      </c>
      <c r="AN748">
        <f>IFERROR(INT(Table13[[#This Row],[reject_prod]]/Table13[[#This Row],[part_weight]] * 1000), 0)</f>
        <v>16</v>
      </c>
    </row>
    <row r="749" spans="1:40" hidden="1">
      <c r="A749" s="1">
        <v>46045</v>
      </c>
      <c r="B749">
        <v>2</v>
      </c>
      <c r="C749">
        <v>11</v>
      </c>
      <c r="D749" t="s">
        <v>112</v>
      </c>
      <c r="E749" t="s">
        <v>46</v>
      </c>
      <c r="F749">
        <v>552181</v>
      </c>
      <c r="G749" s="6">
        <v>1</v>
      </c>
      <c r="H749" t="s">
        <v>49</v>
      </c>
      <c r="I749">
        <v>10683783</v>
      </c>
      <c r="J749">
        <v>6</v>
      </c>
      <c r="K749">
        <v>18.8</v>
      </c>
      <c r="L749">
        <v>18.8</v>
      </c>
      <c r="M749">
        <v>1435</v>
      </c>
      <c r="N749" s="2">
        <v>108000</v>
      </c>
      <c r="O749" s="2">
        <v>5670</v>
      </c>
      <c r="P749" s="2">
        <v>8640</v>
      </c>
      <c r="Q749" s="2">
        <v>8610</v>
      </c>
      <c r="R749" s="2">
        <v>5400</v>
      </c>
      <c r="S749">
        <v>101.52</v>
      </c>
      <c r="T749" s="2">
        <v>51840</v>
      </c>
      <c r="U749" s="2">
        <v>56160</v>
      </c>
      <c r="V749">
        <v>161.86799999999999</v>
      </c>
      <c r="W749">
        <v>0</v>
      </c>
      <c r="X749">
        <v>0</v>
      </c>
      <c r="Y749">
        <v>0</v>
      </c>
      <c r="Z749">
        <v>4.5</v>
      </c>
      <c r="AA749">
        <v>2.7800429979983693E-2</v>
      </c>
      <c r="AB749">
        <v>29.6</v>
      </c>
      <c r="AC749">
        <v>11.798888888888889</v>
      </c>
      <c r="AD749">
        <v>27</v>
      </c>
      <c r="AE749" s="7"/>
      <c r="AF749" s="7"/>
      <c r="AG749" s="7"/>
      <c r="AH749" s="7"/>
      <c r="AI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0.20111111111111057</v>
      </c>
      <c r="AJ749" s="7"/>
      <c r="AK749" t="s">
        <v>480</v>
      </c>
      <c r="AN749">
        <f>IFERROR(INT(Table13[[#This Row],[reject_prod]]/Table13[[#This Row],[part_weight]] * 1000), 0)</f>
        <v>239</v>
      </c>
    </row>
    <row r="750" spans="1:40" hidden="1">
      <c r="A750" s="1">
        <v>46045</v>
      </c>
      <c r="B750">
        <v>2</v>
      </c>
      <c r="C750">
        <v>12</v>
      </c>
      <c r="D750" t="s">
        <v>67</v>
      </c>
      <c r="E750" t="s">
        <v>34</v>
      </c>
      <c r="F750">
        <v>620599</v>
      </c>
      <c r="G750" s="6">
        <v>0</v>
      </c>
      <c r="H750" t="s">
        <v>50</v>
      </c>
      <c r="I750">
        <v>10684839</v>
      </c>
      <c r="J750">
        <v>4</v>
      </c>
      <c r="K750">
        <v>55</v>
      </c>
      <c r="L750">
        <v>55</v>
      </c>
      <c r="M750">
        <v>1475</v>
      </c>
      <c r="N750" s="2">
        <v>72000</v>
      </c>
      <c r="O750" s="2">
        <v>225</v>
      </c>
      <c r="P750" s="2">
        <v>600</v>
      </c>
      <c r="Q750" s="2">
        <v>5900</v>
      </c>
      <c r="R750" s="2">
        <v>5400</v>
      </c>
      <c r="S750">
        <v>297</v>
      </c>
      <c r="T750" s="2">
        <v>38400</v>
      </c>
      <c r="U750" s="2">
        <v>33600</v>
      </c>
      <c r="V750">
        <v>324.5</v>
      </c>
      <c r="W750">
        <v>0</v>
      </c>
      <c r="X750">
        <v>0</v>
      </c>
      <c r="Y750">
        <v>0</v>
      </c>
      <c r="Z750">
        <v>6.7</v>
      </c>
      <c r="AA750">
        <v>2.0647149460708784E-2</v>
      </c>
      <c r="AB750">
        <v>29.1</v>
      </c>
      <c r="AC750">
        <v>11.922916666666666</v>
      </c>
      <c r="AD750">
        <v>28</v>
      </c>
      <c r="AE750" s="7"/>
      <c r="AF750" s="7"/>
      <c r="AG750" s="7"/>
      <c r="AH750" s="7"/>
      <c r="AI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7.7083333333334281E-2</v>
      </c>
      <c r="AJ750" s="7"/>
      <c r="AK750" t="s">
        <v>464</v>
      </c>
      <c r="AN750">
        <f>IFERROR(INT(Table13[[#This Row],[reject_prod]]/Table13[[#This Row],[part_weight]] * 1000), 0)</f>
        <v>121</v>
      </c>
    </row>
    <row r="751" spans="1:40" hidden="1">
      <c r="A751" s="1">
        <v>46045</v>
      </c>
      <c r="B751">
        <v>2</v>
      </c>
      <c r="C751">
        <v>13</v>
      </c>
      <c r="D751" t="s">
        <v>112</v>
      </c>
      <c r="E751" t="s">
        <v>46</v>
      </c>
      <c r="F751">
        <v>586276</v>
      </c>
      <c r="G751" s="6">
        <v>0</v>
      </c>
      <c r="H751" t="s">
        <v>47</v>
      </c>
      <c r="I751">
        <v>10684862</v>
      </c>
      <c r="J751">
        <v>6</v>
      </c>
      <c r="K751">
        <v>12.3</v>
      </c>
      <c r="L751">
        <v>12.3</v>
      </c>
      <c r="M751">
        <v>1627</v>
      </c>
      <c r="N751" s="2">
        <v>162000</v>
      </c>
      <c r="O751" s="2">
        <v>7290</v>
      </c>
      <c r="P751" s="2">
        <v>810</v>
      </c>
      <c r="Q751" s="2">
        <v>9762</v>
      </c>
      <c r="R751" s="2">
        <v>16200</v>
      </c>
      <c r="S751">
        <v>199.26</v>
      </c>
      <c r="T751" s="2">
        <v>25110</v>
      </c>
      <c r="U751" s="2">
        <v>136890</v>
      </c>
      <c r="V751">
        <v>120.07260000000001</v>
      </c>
      <c r="W751">
        <v>0</v>
      </c>
      <c r="X751">
        <v>0</v>
      </c>
      <c r="Y751">
        <v>0</v>
      </c>
      <c r="Z751">
        <v>0.5</v>
      </c>
      <c r="AA751">
        <v>4.1641473575153697E-3</v>
      </c>
      <c r="AB751">
        <v>26.2</v>
      </c>
      <c r="AC751">
        <v>11.840944444444444</v>
      </c>
      <c r="AD751">
        <v>26</v>
      </c>
      <c r="AE751" s="7"/>
      <c r="AF751" s="7"/>
      <c r="AG751" s="7"/>
      <c r="AH751" s="7"/>
      <c r="AI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751" s="7"/>
      <c r="AK751" t="s">
        <v>51</v>
      </c>
      <c r="AN751">
        <f>IFERROR(INT(Table13[[#This Row],[reject_prod]]/Table13[[#This Row],[part_weight]] * 1000), 0)</f>
        <v>40</v>
      </c>
    </row>
    <row r="752" spans="1:40" hidden="1">
      <c r="A752" s="1">
        <v>46045</v>
      </c>
      <c r="B752">
        <v>2</v>
      </c>
      <c r="C752">
        <v>14</v>
      </c>
      <c r="D752" t="s">
        <v>33</v>
      </c>
      <c r="E752" t="s">
        <v>46</v>
      </c>
      <c r="F752">
        <v>555979</v>
      </c>
      <c r="G752" s="6">
        <v>1</v>
      </c>
      <c r="H752" t="s">
        <v>52</v>
      </c>
      <c r="I752">
        <v>10683785</v>
      </c>
      <c r="J752">
        <v>6</v>
      </c>
      <c r="K752">
        <v>28</v>
      </c>
      <c r="L752">
        <v>28</v>
      </c>
      <c r="M752">
        <v>0</v>
      </c>
      <c r="N752" s="2">
        <v>100800</v>
      </c>
      <c r="O752" s="2">
        <v>0</v>
      </c>
      <c r="P752" s="2">
        <v>0</v>
      </c>
      <c r="Q752" s="2">
        <v>0</v>
      </c>
      <c r="R752" s="2">
        <v>0</v>
      </c>
      <c r="S752">
        <v>0</v>
      </c>
      <c r="T752" s="2">
        <v>0</v>
      </c>
      <c r="U752" s="2">
        <v>100800</v>
      </c>
      <c r="V752">
        <v>0</v>
      </c>
      <c r="W752">
        <v>0</v>
      </c>
      <c r="X752">
        <v>11.5</v>
      </c>
      <c r="Y752" t="e">
        <v>#DIV/0!</v>
      </c>
      <c r="Z752">
        <v>0</v>
      </c>
      <c r="AA752" t="e">
        <v>#DIV/0!</v>
      </c>
      <c r="AB752">
        <v>42</v>
      </c>
      <c r="AC752">
        <v>0</v>
      </c>
      <c r="AD752">
        <v>42</v>
      </c>
      <c r="AE752" s="7"/>
      <c r="AF752" s="7"/>
      <c r="AG752" s="7"/>
      <c r="AH752" s="7"/>
      <c r="AI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52" s="7"/>
      <c r="AK752" t="s">
        <v>481</v>
      </c>
      <c r="AN752">
        <f>IFERROR(INT(Table13[[#This Row],[reject_prod]]/Table13[[#This Row],[part_weight]] * 1000), 0)</f>
        <v>0</v>
      </c>
    </row>
    <row r="753" spans="1:40" hidden="1">
      <c r="A753" s="1">
        <v>46045</v>
      </c>
      <c r="B753">
        <v>2</v>
      </c>
      <c r="C753">
        <v>15</v>
      </c>
      <c r="D753" t="s">
        <v>112</v>
      </c>
      <c r="E753" t="s">
        <v>46</v>
      </c>
      <c r="F753">
        <v>552181</v>
      </c>
      <c r="G753" s="6">
        <v>2</v>
      </c>
      <c r="H753" t="s">
        <v>49</v>
      </c>
      <c r="I753">
        <v>10683787</v>
      </c>
      <c r="J753">
        <v>6</v>
      </c>
      <c r="K753">
        <v>18.8</v>
      </c>
      <c r="L753">
        <v>18.8</v>
      </c>
      <c r="M753">
        <v>1361</v>
      </c>
      <c r="N753" s="2">
        <v>108000</v>
      </c>
      <c r="O753" s="2">
        <v>1080</v>
      </c>
      <c r="P753" s="2">
        <v>3780</v>
      </c>
      <c r="Q753" s="2">
        <v>8166</v>
      </c>
      <c r="R753" s="2">
        <v>5400</v>
      </c>
      <c r="S753">
        <v>101.52</v>
      </c>
      <c r="T753" s="2">
        <v>30780</v>
      </c>
      <c r="U753" s="2">
        <v>77220</v>
      </c>
      <c r="V753">
        <v>153.52080000000001</v>
      </c>
      <c r="W753">
        <v>0</v>
      </c>
      <c r="X753">
        <v>0</v>
      </c>
      <c r="Y753">
        <v>0</v>
      </c>
      <c r="Z753">
        <v>1.2</v>
      </c>
      <c r="AA753">
        <v>7.8165303984867197E-3</v>
      </c>
      <c r="AB753">
        <v>31.2</v>
      </c>
      <c r="AC753">
        <v>11.795333333333334</v>
      </c>
      <c r="AD753">
        <v>27</v>
      </c>
      <c r="AE753" s="7"/>
      <c r="AF753" s="7"/>
      <c r="AG753" s="7"/>
      <c r="AH753" s="7"/>
      <c r="AI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753" s="7"/>
      <c r="AK753" t="s">
        <v>51</v>
      </c>
      <c r="AN753">
        <f>IFERROR(INT(Table13[[#This Row],[reject_prod]]/Table13[[#This Row],[part_weight]] * 1000), 0)</f>
        <v>63</v>
      </c>
    </row>
    <row r="754" spans="1:40" hidden="1">
      <c r="A754" s="1">
        <v>46045</v>
      </c>
      <c r="B754">
        <v>2</v>
      </c>
      <c r="C754">
        <v>16</v>
      </c>
      <c r="D754" t="s">
        <v>288</v>
      </c>
      <c r="E754" t="s">
        <v>46</v>
      </c>
      <c r="F754">
        <v>555979</v>
      </c>
      <c r="G754" s="6">
        <v>2</v>
      </c>
      <c r="H754" t="s">
        <v>52</v>
      </c>
      <c r="I754">
        <v>10683788</v>
      </c>
      <c r="J754">
        <v>6</v>
      </c>
      <c r="K754">
        <v>28</v>
      </c>
      <c r="L754">
        <v>28</v>
      </c>
      <c r="M754">
        <v>560</v>
      </c>
      <c r="N754" s="2">
        <v>100800</v>
      </c>
      <c r="O754" s="2">
        <v>0</v>
      </c>
      <c r="P754" s="2">
        <v>0</v>
      </c>
      <c r="Q754" s="2">
        <v>3360</v>
      </c>
      <c r="R754" s="2">
        <v>3360</v>
      </c>
      <c r="S754">
        <v>94.08</v>
      </c>
      <c r="T754" s="2">
        <v>100800</v>
      </c>
      <c r="U754" s="2">
        <v>0</v>
      </c>
      <c r="V754">
        <v>94.08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43.4</v>
      </c>
      <c r="AC754">
        <v>6.7511111111111113</v>
      </c>
      <c r="AD754">
        <v>42</v>
      </c>
      <c r="AE754" s="7"/>
      <c r="AF754" s="7"/>
      <c r="AG754" s="7"/>
      <c r="AH754" s="7"/>
      <c r="AI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5.2488888888888887</v>
      </c>
      <c r="AJ754" s="7"/>
      <c r="AK754" t="s">
        <v>51</v>
      </c>
      <c r="AN754">
        <f>IFERROR(INT(Table13[[#This Row],[reject_prod]]/Table13[[#This Row],[part_weight]] * 1000), 0)</f>
        <v>0</v>
      </c>
    </row>
    <row r="755" spans="1:40" s="4" customFormat="1" hidden="1">
      <c r="A755" s="3">
        <v>46045</v>
      </c>
      <c r="B755" s="4">
        <v>2</v>
      </c>
      <c r="C755" s="4">
        <v>16</v>
      </c>
      <c r="D755" s="4" t="s">
        <v>288</v>
      </c>
      <c r="E755" s="4" t="s">
        <v>46</v>
      </c>
      <c r="F755" s="4">
        <v>555979</v>
      </c>
      <c r="G755" s="9">
        <v>2</v>
      </c>
      <c r="H755" s="4" t="s">
        <v>52</v>
      </c>
      <c r="I755" s="4">
        <v>10684863</v>
      </c>
      <c r="J755" s="4">
        <v>6</v>
      </c>
      <c r="K755" s="4">
        <v>28</v>
      </c>
      <c r="L755" s="4">
        <v>28</v>
      </c>
      <c r="M755" s="4">
        <v>419</v>
      </c>
      <c r="N755" s="5">
        <v>100800</v>
      </c>
      <c r="O755" s="5">
        <v>0</v>
      </c>
      <c r="P755" s="5">
        <v>2352</v>
      </c>
      <c r="Q755" s="5">
        <v>2514</v>
      </c>
      <c r="R755" s="5">
        <v>0</v>
      </c>
      <c r="S755" s="4">
        <v>0</v>
      </c>
      <c r="T755" s="5">
        <v>2352</v>
      </c>
      <c r="U755" s="5">
        <v>98448</v>
      </c>
      <c r="V755" s="4">
        <v>70.391999999999996</v>
      </c>
      <c r="W755" s="4">
        <v>0</v>
      </c>
      <c r="X755" s="4">
        <v>0</v>
      </c>
      <c r="Y755" s="4">
        <v>0</v>
      </c>
      <c r="Z755" s="4">
        <v>4.5</v>
      </c>
      <c r="AA755" s="4">
        <v>6.3927719058983978E-2</v>
      </c>
      <c r="AB755" s="4">
        <v>43.4</v>
      </c>
      <c r="AC755" s="4">
        <v>5.051277777777778</v>
      </c>
      <c r="AD755" s="4">
        <v>42</v>
      </c>
      <c r="AE755" s="8"/>
      <c r="AF755" s="8"/>
      <c r="AG755" s="8"/>
      <c r="AH755" s="8"/>
      <c r="AI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6.948722222222222</v>
      </c>
      <c r="AJ755" s="8"/>
      <c r="AK755" s="4" t="s">
        <v>51</v>
      </c>
      <c r="AN755">
        <f>IFERROR(INT(Table13[[#This Row],[reject_prod]]/Table13[[#This Row],[part_weight]] * 1000), 0)</f>
        <v>160</v>
      </c>
    </row>
    <row r="756" spans="1:40" hidden="1">
      <c r="A756" s="1">
        <v>46046</v>
      </c>
      <c r="B756">
        <v>1</v>
      </c>
      <c r="C756">
        <v>1</v>
      </c>
      <c r="D756" t="s">
        <v>53</v>
      </c>
      <c r="E756" t="s">
        <v>34</v>
      </c>
      <c r="F756">
        <v>577492</v>
      </c>
      <c r="G756" s="6">
        <v>0</v>
      </c>
      <c r="H756" t="s">
        <v>341</v>
      </c>
      <c r="I756">
        <v>10684028</v>
      </c>
      <c r="J756">
        <v>4</v>
      </c>
      <c r="K756">
        <v>35.6</v>
      </c>
      <c r="L756">
        <v>35.6</v>
      </c>
      <c r="M756">
        <v>1590</v>
      </c>
      <c r="N756" s="2">
        <v>101200</v>
      </c>
      <c r="O756" s="2">
        <v>736</v>
      </c>
      <c r="P756" s="2">
        <v>0</v>
      </c>
      <c r="Q756" s="2">
        <v>6360</v>
      </c>
      <c r="R756" s="2">
        <v>7360</v>
      </c>
      <c r="S756">
        <v>262.01600000000002</v>
      </c>
      <c r="T756" s="2">
        <v>51520</v>
      </c>
      <c r="U756" s="2">
        <v>49680</v>
      </c>
      <c r="V756">
        <v>226.416</v>
      </c>
      <c r="W756">
        <v>0</v>
      </c>
      <c r="X756">
        <v>0</v>
      </c>
      <c r="Y756">
        <v>0</v>
      </c>
      <c r="Z756">
        <v>2.6</v>
      </c>
      <c r="AA756">
        <v>1.1483287400183733E-2</v>
      </c>
      <c r="AB756">
        <v>27.1</v>
      </c>
      <c r="AC756">
        <v>11.969166666666668</v>
      </c>
      <c r="AD756">
        <v>27</v>
      </c>
      <c r="AE756" s="7"/>
      <c r="AF756" s="7"/>
      <c r="AG756" s="7"/>
      <c r="AH756" s="7"/>
      <c r="AI7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3.0833333333331936E-2</v>
      </c>
      <c r="AJ756" s="7"/>
      <c r="AK756" t="s">
        <v>470</v>
      </c>
      <c r="AN756">
        <f>IFERROR(INT(Table13[[#This Row],[reject_prod]]/Table13[[#This Row],[part_weight]] * 1000), 0)</f>
        <v>73</v>
      </c>
    </row>
    <row r="757" spans="1:40" hidden="1">
      <c r="A757" s="1">
        <v>46046</v>
      </c>
      <c r="B757">
        <v>1</v>
      </c>
      <c r="C757">
        <v>2</v>
      </c>
      <c r="D757" t="s">
        <v>33</v>
      </c>
      <c r="E757" t="s">
        <v>34</v>
      </c>
      <c r="F757">
        <v>416201</v>
      </c>
      <c r="G757" s="6">
        <v>0</v>
      </c>
      <c r="H757" t="s">
        <v>36</v>
      </c>
      <c r="I757">
        <v>10681779</v>
      </c>
      <c r="J757">
        <v>4</v>
      </c>
      <c r="K757">
        <v>20</v>
      </c>
      <c r="L757">
        <v>30</v>
      </c>
      <c r="M757">
        <v>0</v>
      </c>
      <c r="N757" s="2">
        <v>50400</v>
      </c>
      <c r="O757" s="2">
        <v>0</v>
      </c>
      <c r="P757" s="2">
        <v>0</v>
      </c>
      <c r="Q757" s="2">
        <v>0</v>
      </c>
      <c r="R757" s="2">
        <v>0</v>
      </c>
      <c r="S757">
        <v>0</v>
      </c>
      <c r="T757" s="2">
        <v>0</v>
      </c>
      <c r="U757" s="2">
        <v>50400</v>
      </c>
      <c r="V757">
        <v>0</v>
      </c>
      <c r="W757">
        <v>0</v>
      </c>
      <c r="X757">
        <v>0</v>
      </c>
      <c r="Y757" t="e">
        <v>#DIV/0!</v>
      </c>
      <c r="Z757">
        <v>0</v>
      </c>
      <c r="AA757" t="e">
        <v>#DIV/0!</v>
      </c>
      <c r="AB757">
        <v>38.6</v>
      </c>
      <c r="AC757">
        <v>0</v>
      </c>
      <c r="AD757">
        <v>38.64</v>
      </c>
      <c r="AE757" s="7"/>
      <c r="AF757" s="7"/>
      <c r="AG757" s="7"/>
      <c r="AH757" s="7"/>
      <c r="AI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57" s="7"/>
      <c r="AK757" t="s">
        <v>387</v>
      </c>
      <c r="AN757">
        <f>IFERROR(INT(Table13[[#This Row],[reject_prod]]/Table13[[#This Row],[part_weight]] * 1000), 0)</f>
        <v>0</v>
      </c>
    </row>
    <row r="758" spans="1:40" hidden="1">
      <c r="A758" s="1">
        <v>46046</v>
      </c>
      <c r="B758">
        <v>1</v>
      </c>
      <c r="C758">
        <v>3</v>
      </c>
      <c r="D758" t="s">
        <v>54</v>
      </c>
      <c r="E758" t="s">
        <v>34</v>
      </c>
      <c r="F758">
        <v>442034</v>
      </c>
      <c r="G758" s="6">
        <v>0</v>
      </c>
      <c r="H758" t="s">
        <v>37</v>
      </c>
      <c r="I758">
        <v>10681184</v>
      </c>
      <c r="J758">
        <v>4</v>
      </c>
      <c r="K758">
        <v>23</v>
      </c>
      <c r="L758">
        <v>23</v>
      </c>
      <c r="M758">
        <v>1610</v>
      </c>
      <c r="N758" s="2">
        <v>139776</v>
      </c>
      <c r="O758" s="2">
        <v>3840</v>
      </c>
      <c r="P758" s="2">
        <v>1152</v>
      </c>
      <c r="Q758" s="2">
        <v>6440</v>
      </c>
      <c r="R758" s="2">
        <v>9216</v>
      </c>
      <c r="S758">
        <v>211.96799999999999</v>
      </c>
      <c r="T758" s="2">
        <v>42624</v>
      </c>
      <c r="U758" s="2">
        <v>97152</v>
      </c>
      <c r="V758">
        <v>148.12</v>
      </c>
      <c r="W758">
        <v>0</v>
      </c>
      <c r="X758">
        <v>0</v>
      </c>
      <c r="Y758">
        <v>0</v>
      </c>
      <c r="Z758">
        <v>2</v>
      </c>
      <c r="AA758">
        <v>1.3502565487442613E-2</v>
      </c>
      <c r="AB758">
        <v>26.2</v>
      </c>
      <c r="AC758">
        <v>11.717222222222222</v>
      </c>
      <c r="AD758">
        <v>22</v>
      </c>
      <c r="AE758" s="7"/>
      <c r="AF758" s="7"/>
      <c r="AG758" s="7"/>
      <c r="AH758" s="7"/>
      <c r="AI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0.28277777777777757</v>
      </c>
      <c r="AJ758" s="7"/>
      <c r="AK758" t="s">
        <v>484</v>
      </c>
      <c r="AN758">
        <f>IFERROR(INT(Table13[[#This Row],[reject_prod]]/Table13[[#This Row],[part_weight]] * 1000), 0)</f>
        <v>86</v>
      </c>
    </row>
    <row r="759" spans="1:40" hidden="1">
      <c r="A759" s="1">
        <v>46046</v>
      </c>
      <c r="B759">
        <v>1</v>
      </c>
      <c r="C759">
        <v>4</v>
      </c>
      <c r="D759" t="s">
        <v>134</v>
      </c>
      <c r="E759" t="s">
        <v>34</v>
      </c>
      <c r="F759">
        <v>402305</v>
      </c>
      <c r="G759" s="6">
        <v>0</v>
      </c>
      <c r="H759" t="s">
        <v>395</v>
      </c>
      <c r="I759">
        <v>10684852</v>
      </c>
      <c r="J759">
        <v>4</v>
      </c>
      <c r="K759">
        <v>29</v>
      </c>
      <c r="L759">
        <v>29</v>
      </c>
      <c r="M759">
        <v>1710</v>
      </c>
      <c r="N759" s="2">
        <v>64896</v>
      </c>
      <c r="O759" s="2">
        <v>312</v>
      </c>
      <c r="P759" s="2">
        <v>520</v>
      </c>
      <c r="Q759" s="2">
        <v>6840</v>
      </c>
      <c r="R759" s="2">
        <v>6240</v>
      </c>
      <c r="S759">
        <v>180.96</v>
      </c>
      <c r="T759" s="2">
        <v>61672</v>
      </c>
      <c r="U759" s="2">
        <v>3224</v>
      </c>
      <c r="V759">
        <v>198.36</v>
      </c>
      <c r="W759">
        <v>0</v>
      </c>
      <c r="X759">
        <v>0</v>
      </c>
      <c r="Y759">
        <v>0</v>
      </c>
      <c r="Z759">
        <v>1</v>
      </c>
      <c r="AA759">
        <v>5.0413389796329904E-3</v>
      </c>
      <c r="AB759">
        <v>25.4</v>
      </c>
      <c r="AC759">
        <v>12</v>
      </c>
      <c r="AD759">
        <v>22</v>
      </c>
      <c r="AE759" s="7"/>
      <c r="AF759" s="7"/>
      <c r="AG759" s="7"/>
      <c r="AH759" s="7"/>
      <c r="AI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59" s="7"/>
      <c r="AK759" t="s">
        <v>168</v>
      </c>
      <c r="AN759">
        <f>IFERROR(INT(Table13[[#This Row],[reject_prod]]/Table13[[#This Row],[part_weight]] * 1000), 0)</f>
        <v>34</v>
      </c>
    </row>
    <row r="760" spans="1:40" hidden="1">
      <c r="A760" s="1">
        <v>46046</v>
      </c>
      <c r="B760">
        <v>1</v>
      </c>
      <c r="C760">
        <v>5</v>
      </c>
      <c r="D760" t="s">
        <v>33</v>
      </c>
      <c r="E760" t="s">
        <v>34</v>
      </c>
      <c r="F760">
        <v>322383</v>
      </c>
      <c r="G760" s="6">
        <v>0</v>
      </c>
      <c r="H760" t="s">
        <v>71</v>
      </c>
      <c r="I760">
        <v>10682756</v>
      </c>
      <c r="J760">
        <v>4</v>
      </c>
      <c r="K760">
        <v>12.5</v>
      </c>
      <c r="L760">
        <v>12.5</v>
      </c>
      <c r="M760">
        <v>170</v>
      </c>
      <c r="N760" s="2">
        <v>66000</v>
      </c>
      <c r="O760" s="2">
        <v>4400</v>
      </c>
      <c r="P760" s="2">
        <v>4400</v>
      </c>
      <c r="Q760" s="2">
        <v>680</v>
      </c>
      <c r="R760" s="2">
        <v>0</v>
      </c>
      <c r="S760">
        <v>0</v>
      </c>
      <c r="T760" s="2">
        <v>57200</v>
      </c>
      <c r="U760" s="2">
        <v>8800</v>
      </c>
      <c r="V760">
        <v>8.5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20.9</v>
      </c>
      <c r="AC760">
        <v>0.9869444444444444</v>
      </c>
      <c r="AD760">
        <v>17.920000000000002</v>
      </c>
      <c r="AE760" s="7"/>
      <c r="AF760" s="7"/>
      <c r="AG760" s="7"/>
      <c r="AH760" s="7">
        <v>11</v>
      </c>
      <c r="AI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1.3055555555554932E-2</v>
      </c>
      <c r="AJ760" s="7"/>
      <c r="AK760" t="s">
        <v>485</v>
      </c>
      <c r="AN760">
        <f>IFERROR(INT(Table13[[#This Row],[reject_prod]]/Table13[[#This Row],[part_weight]] * 1000), 0)</f>
        <v>0</v>
      </c>
    </row>
    <row r="761" spans="1:40" hidden="1">
      <c r="A761" s="1">
        <v>46046</v>
      </c>
      <c r="B761">
        <v>1</v>
      </c>
      <c r="C761">
        <v>6</v>
      </c>
      <c r="D761" t="s">
        <v>465</v>
      </c>
      <c r="E761" t="s">
        <v>34</v>
      </c>
      <c r="F761">
        <v>322409</v>
      </c>
      <c r="G761" s="6">
        <v>0</v>
      </c>
      <c r="H761" t="s">
        <v>400</v>
      </c>
      <c r="I761">
        <v>10683854</v>
      </c>
      <c r="J761">
        <v>4</v>
      </c>
      <c r="K761">
        <v>24</v>
      </c>
      <c r="L761">
        <v>24</v>
      </c>
      <c r="M761">
        <v>920</v>
      </c>
      <c r="N761" s="2">
        <v>70200</v>
      </c>
      <c r="O761" s="2">
        <v>0</v>
      </c>
      <c r="P761" s="2">
        <v>0</v>
      </c>
      <c r="Q761" s="2">
        <v>3680</v>
      </c>
      <c r="R761" s="2">
        <v>3510</v>
      </c>
      <c r="S761">
        <v>84.24</v>
      </c>
      <c r="T761" s="2">
        <v>0</v>
      </c>
      <c r="U761" s="2">
        <v>70200</v>
      </c>
      <c r="V761">
        <v>88.32</v>
      </c>
      <c r="W761">
        <v>0</v>
      </c>
      <c r="X761">
        <v>0</v>
      </c>
      <c r="Y761">
        <v>0</v>
      </c>
      <c r="Z761">
        <v>2</v>
      </c>
      <c r="AA761">
        <v>2.2644927536231887E-2</v>
      </c>
      <c r="AB761">
        <v>21.5</v>
      </c>
      <c r="AC761">
        <v>5.4944444444444445</v>
      </c>
      <c r="AD761">
        <v>20</v>
      </c>
      <c r="AE761" s="7"/>
      <c r="AF761" s="7"/>
      <c r="AG761" s="7"/>
      <c r="AH761" s="7"/>
      <c r="AI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6.5055555555555555</v>
      </c>
      <c r="AJ761" s="7"/>
      <c r="AK761" t="s">
        <v>486</v>
      </c>
      <c r="AN761">
        <f>IFERROR(INT(Table13[[#This Row],[reject_prod]]/Table13[[#This Row],[part_weight]] * 1000), 0)</f>
        <v>83</v>
      </c>
    </row>
    <row r="762" spans="1:40" hidden="1">
      <c r="A762" s="1">
        <v>46046</v>
      </c>
      <c r="B762">
        <v>1</v>
      </c>
      <c r="C762">
        <v>6</v>
      </c>
      <c r="D762" t="s">
        <v>465</v>
      </c>
      <c r="E762" t="s">
        <v>34</v>
      </c>
      <c r="F762">
        <v>322412</v>
      </c>
      <c r="G762" s="6">
        <v>0</v>
      </c>
      <c r="H762" t="s">
        <v>487</v>
      </c>
      <c r="I762">
        <v>10685211</v>
      </c>
      <c r="J762">
        <v>4</v>
      </c>
      <c r="K762">
        <v>24.3</v>
      </c>
      <c r="L762">
        <v>24</v>
      </c>
      <c r="M762">
        <v>350</v>
      </c>
      <c r="N762" s="2">
        <v>13680</v>
      </c>
      <c r="O762" s="2">
        <v>0</v>
      </c>
      <c r="P762" s="2">
        <v>1368</v>
      </c>
      <c r="Q762" s="2">
        <v>1400</v>
      </c>
      <c r="R762" s="2">
        <v>0</v>
      </c>
      <c r="S762">
        <v>0</v>
      </c>
      <c r="T762" s="2">
        <v>1368</v>
      </c>
      <c r="U762" s="2">
        <v>12312</v>
      </c>
      <c r="V762">
        <v>33.6</v>
      </c>
      <c r="W762">
        <v>0.42000000000000104</v>
      </c>
      <c r="X762">
        <v>3</v>
      </c>
      <c r="Y762">
        <v>8.9285714285714288E-2</v>
      </c>
      <c r="Z762">
        <v>0</v>
      </c>
      <c r="AA762">
        <v>0</v>
      </c>
      <c r="AB762">
        <v>23.6</v>
      </c>
      <c r="AC762">
        <v>2.2944444444444447</v>
      </c>
      <c r="AD762">
        <v>20</v>
      </c>
      <c r="AE762" s="7"/>
      <c r="AF762" s="7"/>
      <c r="AG762" s="7">
        <v>1.5</v>
      </c>
      <c r="AH762" s="7"/>
      <c r="AI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8.2055555555555557</v>
      </c>
      <c r="AJ762" s="7"/>
      <c r="AK762" t="s">
        <v>488</v>
      </c>
      <c r="AN762">
        <f>IFERROR(INT(Table13[[#This Row],[reject_prod]]/Table13[[#This Row],[part_weight]] * 1000), 0)</f>
        <v>0</v>
      </c>
    </row>
    <row r="763" spans="1:40" hidden="1">
      <c r="A763" s="1">
        <v>46046</v>
      </c>
      <c r="B763">
        <v>1</v>
      </c>
      <c r="C763">
        <v>7</v>
      </c>
      <c r="D763" t="s">
        <v>203</v>
      </c>
      <c r="E763" t="s">
        <v>34</v>
      </c>
      <c r="F763">
        <v>647556</v>
      </c>
      <c r="G763" s="6">
        <v>0</v>
      </c>
      <c r="H763" t="s">
        <v>458</v>
      </c>
      <c r="I763">
        <v>10683858</v>
      </c>
      <c r="J763">
        <v>4</v>
      </c>
      <c r="K763">
        <v>35</v>
      </c>
      <c r="L763">
        <v>34.5</v>
      </c>
      <c r="M763">
        <v>1060</v>
      </c>
      <c r="N763" s="2">
        <v>27720</v>
      </c>
      <c r="O763" s="2">
        <v>396</v>
      </c>
      <c r="P763" s="2">
        <v>84</v>
      </c>
      <c r="Q763" s="2">
        <v>4240</v>
      </c>
      <c r="R763" s="2">
        <v>4620</v>
      </c>
      <c r="S763">
        <v>159.38999999999999</v>
      </c>
      <c r="T763" s="2">
        <v>26880</v>
      </c>
      <c r="U763" s="2">
        <v>840</v>
      </c>
      <c r="V763">
        <v>146.28</v>
      </c>
      <c r="W763">
        <v>2.12</v>
      </c>
      <c r="X763">
        <v>0</v>
      </c>
      <c r="Y763">
        <v>0</v>
      </c>
      <c r="Z763">
        <v>22</v>
      </c>
      <c r="AA763">
        <v>0.15039649986327591</v>
      </c>
      <c r="AB763">
        <v>22</v>
      </c>
      <c r="AC763">
        <v>6.4777777777777779</v>
      </c>
      <c r="AD763">
        <v>20.399999999999999</v>
      </c>
      <c r="AE763" s="7"/>
      <c r="AF763" s="7"/>
      <c r="AG763" s="7"/>
      <c r="AH763" s="7"/>
      <c r="AI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5.5222222222222221</v>
      </c>
      <c r="AJ763" s="7"/>
      <c r="AK763" t="s">
        <v>489</v>
      </c>
      <c r="AN763">
        <f>IFERROR(INT(Table13[[#This Row],[reject_prod]]/Table13[[#This Row],[part_weight]] * 1000), 0)</f>
        <v>637</v>
      </c>
    </row>
    <row r="764" spans="1:40" hidden="1">
      <c r="A764" s="1">
        <v>46046</v>
      </c>
      <c r="B764">
        <v>1</v>
      </c>
      <c r="C764">
        <v>8</v>
      </c>
      <c r="D764" t="s">
        <v>84</v>
      </c>
      <c r="E764" t="s">
        <v>41</v>
      </c>
      <c r="F764">
        <v>593537</v>
      </c>
      <c r="G764" s="6">
        <v>0</v>
      </c>
      <c r="H764" t="s">
        <v>48</v>
      </c>
      <c r="I764">
        <v>10685022</v>
      </c>
      <c r="J764">
        <v>4</v>
      </c>
      <c r="K764">
        <v>56.5</v>
      </c>
      <c r="L764">
        <v>56.8</v>
      </c>
      <c r="M764">
        <v>1415</v>
      </c>
      <c r="N764" s="2">
        <v>69000</v>
      </c>
      <c r="O764" s="2">
        <v>115</v>
      </c>
      <c r="P764" s="2">
        <v>80</v>
      </c>
      <c r="Q764" s="2">
        <v>5660</v>
      </c>
      <c r="R764" s="2">
        <v>5750</v>
      </c>
      <c r="S764">
        <v>326.60000000000002</v>
      </c>
      <c r="T764" s="2">
        <v>51830</v>
      </c>
      <c r="U764" s="2">
        <v>17170</v>
      </c>
      <c r="V764">
        <v>321.488</v>
      </c>
      <c r="W764">
        <v>-1.697999999999984</v>
      </c>
      <c r="X764">
        <v>0</v>
      </c>
      <c r="Y764">
        <v>0</v>
      </c>
      <c r="Z764">
        <v>1</v>
      </c>
      <c r="AA764">
        <v>3.1105360075648235E-3</v>
      </c>
      <c r="AB764">
        <v>30.4</v>
      </c>
      <c r="AC764">
        <v>11.948888888888888</v>
      </c>
      <c r="AD764">
        <v>28.5</v>
      </c>
      <c r="AE764" s="7"/>
      <c r="AF764" s="7"/>
      <c r="AG764" s="7"/>
      <c r="AH764" s="7"/>
      <c r="AI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5.1111111111111995E-2</v>
      </c>
      <c r="AJ764" s="7"/>
      <c r="AK764" t="s">
        <v>51</v>
      </c>
      <c r="AN764">
        <f>IFERROR(INT(Table13[[#This Row],[reject_prod]]/Table13[[#This Row],[part_weight]] * 1000), 0)</f>
        <v>17</v>
      </c>
    </row>
    <row r="765" spans="1:40" hidden="1">
      <c r="A765" s="1">
        <v>46046</v>
      </c>
      <c r="B765">
        <v>1</v>
      </c>
      <c r="C765">
        <v>9</v>
      </c>
      <c r="D765" t="s">
        <v>53</v>
      </c>
      <c r="E765" t="s">
        <v>46</v>
      </c>
      <c r="F765">
        <v>586276</v>
      </c>
      <c r="G765" s="6">
        <v>0</v>
      </c>
      <c r="H765" t="s">
        <v>47</v>
      </c>
      <c r="I765" t="s">
        <v>490</v>
      </c>
      <c r="J765">
        <v>6</v>
      </c>
      <c r="K765">
        <v>12.3</v>
      </c>
      <c r="L765">
        <v>12.3</v>
      </c>
      <c r="M765">
        <v>340</v>
      </c>
      <c r="N765" s="2">
        <v>0</v>
      </c>
      <c r="O765" s="2">
        <v>0</v>
      </c>
      <c r="P765" s="2">
        <v>2025</v>
      </c>
      <c r="Q765" s="2">
        <v>2040</v>
      </c>
      <c r="R765" s="2">
        <v>0</v>
      </c>
      <c r="S765">
        <v>0</v>
      </c>
      <c r="T765" s="2"/>
      <c r="U765" s="2">
        <v>0</v>
      </c>
      <c r="V765">
        <v>25.091999999999999</v>
      </c>
      <c r="W765">
        <v>0</v>
      </c>
      <c r="X765">
        <v>0</v>
      </c>
      <c r="Y765">
        <v>0</v>
      </c>
      <c r="AA765">
        <v>0</v>
      </c>
      <c r="AB765">
        <v>26</v>
      </c>
      <c r="AC765">
        <v>2.4555555555555553</v>
      </c>
      <c r="AD765">
        <v>26</v>
      </c>
      <c r="AE765" s="7"/>
      <c r="AF765" s="7"/>
      <c r="AG765" s="7"/>
      <c r="AH765" s="7"/>
      <c r="AI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9.5444444444444443</v>
      </c>
      <c r="AJ765" s="7"/>
      <c r="AK765" t="s">
        <v>491</v>
      </c>
      <c r="AN765">
        <f>IFERROR(INT(Table13[[#This Row],[reject_prod]]/Table13[[#This Row],[part_weight]] * 1000), 0)</f>
        <v>0</v>
      </c>
    </row>
    <row r="766" spans="1:40" hidden="1">
      <c r="A766" s="1">
        <v>46046</v>
      </c>
      <c r="B766">
        <v>1</v>
      </c>
      <c r="C766">
        <v>10</v>
      </c>
      <c r="D766" t="s">
        <v>56</v>
      </c>
      <c r="E766" t="s">
        <v>34</v>
      </c>
      <c r="F766">
        <v>626029</v>
      </c>
      <c r="G766" s="6">
        <v>0</v>
      </c>
      <c r="H766" t="s">
        <v>478</v>
      </c>
      <c r="I766">
        <v>10685443</v>
      </c>
      <c r="J766">
        <v>4</v>
      </c>
      <c r="K766">
        <v>48.39</v>
      </c>
      <c r="L766">
        <v>48.39</v>
      </c>
      <c r="M766">
        <v>1360</v>
      </c>
      <c r="N766" s="2">
        <v>12480</v>
      </c>
      <c r="O766" s="2">
        <v>780</v>
      </c>
      <c r="P766" s="2">
        <v>0</v>
      </c>
      <c r="Q766" s="2">
        <v>5440</v>
      </c>
      <c r="R766" s="2">
        <v>6240</v>
      </c>
      <c r="S766">
        <v>301.95359999999999</v>
      </c>
      <c r="T766" s="2">
        <v>6520</v>
      </c>
      <c r="U766" s="2">
        <v>5960</v>
      </c>
      <c r="V766">
        <v>263.24159999999995</v>
      </c>
      <c r="W766">
        <v>0</v>
      </c>
      <c r="X766">
        <v>0</v>
      </c>
      <c r="Y766">
        <v>0</v>
      </c>
      <c r="Z766">
        <v>2</v>
      </c>
      <c r="AA766">
        <v>7.5975833606846347E-3</v>
      </c>
      <c r="AB766">
        <v>28.73</v>
      </c>
      <c r="AC766">
        <v>10.853555555555555</v>
      </c>
      <c r="AD766">
        <v>28</v>
      </c>
      <c r="AE766" s="7"/>
      <c r="AF766" s="7"/>
      <c r="AG766" s="7"/>
      <c r="AH766" s="7"/>
      <c r="AI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1.1464444444444446</v>
      </c>
      <c r="AJ766" s="7"/>
      <c r="AK766" t="s">
        <v>227</v>
      </c>
      <c r="AN766">
        <f>IFERROR(INT(Table13[[#This Row],[reject_prod]]/Table13[[#This Row],[part_weight]] * 1000), 0)</f>
        <v>41</v>
      </c>
    </row>
    <row r="767" spans="1:40" hidden="1">
      <c r="A767" s="1">
        <v>46046</v>
      </c>
      <c r="B767">
        <v>1</v>
      </c>
      <c r="C767">
        <v>11</v>
      </c>
      <c r="D767" t="s">
        <v>59</v>
      </c>
      <c r="E767" t="s">
        <v>46</v>
      </c>
      <c r="F767">
        <v>552181</v>
      </c>
      <c r="G767" s="6">
        <v>1</v>
      </c>
      <c r="H767" t="s">
        <v>49</v>
      </c>
      <c r="I767">
        <v>10683783</v>
      </c>
      <c r="J767">
        <v>6</v>
      </c>
      <c r="K767">
        <v>18.8</v>
      </c>
      <c r="L767">
        <v>18.8</v>
      </c>
      <c r="M767">
        <v>1450</v>
      </c>
      <c r="N767" s="2">
        <v>108000</v>
      </c>
      <c r="O767" s="2">
        <v>8640</v>
      </c>
      <c r="P767" s="2">
        <v>1080</v>
      </c>
      <c r="Q767" s="2">
        <v>8700</v>
      </c>
      <c r="R767" s="2">
        <v>10800</v>
      </c>
      <c r="S767">
        <v>203.04</v>
      </c>
      <c r="T767" s="2">
        <v>55080</v>
      </c>
      <c r="U767" s="2">
        <v>52920</v>
      </c>
      <c r="V767">
        <v>163.56</v>
      </c>
      <c r="W767">
        <v>0</v>
      </c>
      <c r="X767">
        <v>0</v>
      </c>
      <c r="Y767">
        <v>0</v>
      </c>
      <c r="Z767">
        <v>2</v>
      </c>
      <c r="AA767">
        <v>1.2227928588897041E-2</v>
      </c>
      <c r="AB767">
        <v>29.6</v>
      </c>
      <c r="AC767">
        <v>11.922222222222222</v>
      </c>
      <c r="AD767">
        <v>27</v>
      </c>
      <c r="AE767" s="7"/>
      <c r="AF767" s="7"/>
      <c r="AG767" s="7"/>
      <c r="AH767" s="7"/>
      <c r="AI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7.7777777777777501E-2</v>
      </c>
      <c r="AJ767" s="7"/>
      <c r="AK767" t="s">
        <v>51</v>
      </c>
      <c r="AN767">
        <f>IFERROR(INT(Table13[[#This Row],[reject_prod]]/Table13[[#This Row],[part_weight]] * 1000), 0)</f>
        <v>106</v>
      </c>
    </row>
    <row r="768" spans="1:40" hidden="1">
      <c r="A768" s="1">
        <v>46046</v>
      </c>
      <c r="B768">
        <v>1</v>
      </c>
      <c r="C768">
        <v>12</v>
      </c>
      <c r="D768" t="s">
        <v>289</v>
      </c>
      <c r="E768" t="s">
        <v>34</v>
      </c>
      <c r="F768">
        <v>620599</v>
      </c>
      <c r="G768" s="6">
        <v>0</v>
      </c>
      <c r="H768" t="s">
        <v>50</v>
      </c>
      <c r="I768">
        <v>10684839</v>
      </c>
      <c r="J768">
        <v>4</v>
      </c>
      <c r="K768">
        <v>55</v>
      </c>
      <c r="L768">
        <v>55</v>
      </c>
      <c r="M768">
        <v>1320</v>
      </c>
      <c r="N768" s="2">
        <v>72000</v>
      </c>
      <c r="O768" s="2">
        <v>600</v>
      </c>
      <c r="P768" s="2">
        <v>225</v>
      </c>
      <c r="Q768" s="2">
        <v>5280</v>
      </c>
      <c r="R768" s="2">
        <v>5400</v>
      </c>
      <c r="S768">
        <v>297</v>
      </c>
      <c r="T768" s="2">
        <v>43425</v>
      </c>
      <c r="U768" s="2">
        <v>28575</v>
      </c>
      <c r="V768">
        <v>290.39999999999998</v>
      </c>
      <c r="W768">
        <v>0</v>
      </c>
      <c r="X768">
        <v>0</v>
      </c>
      <c r="Y768">
        <v>0</v>
      </c>
      <c r="Z768">
        <v>8</v>
      </c>
      <c r="AA768">
        <v>2.7548209366391185E-2</v>
      </c>
      <c r="AB768">
        <v>29.1</v>
      </c>
      <c r="AC768">
        <v>10.67</v>
      </c>
      <c r="AD768">
        <v>28</v>
      </c>
      <c r="AE768" s="7"/>
      <c r="AF768" s="7"/>
      <c r="AG768" s="7"/>
      <c r="AH768" s="7"/>
      <c r="AI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</v>
      </c>
      <c r="AJ768" s="7"/>
      <c r="AK768" t="s">
        <v>230</v>
      </c>
      <c r="AN768">
        <f>IFERROR(INT(Table13[[#This Row],[reject_prod]]/Table13[[#This Row],[part_weight]] * 1000), 0)</f>
        <v>145</v>
      </c>
    </row>
    <row r="769" spans="1:40" hidden="1">
      <c r="A769" s="1">
        <v>46046</v>
      </c>
      <c r="B769">
        <v>1</v>
      </c>
      <c r="C769">
        <v>13</v>
      </c>
      <c r="D769" t="s">
        <v>59</v>
      </c>
      <c r="E769" t="s">
        <v>46</v>
      </c>
      <c r="F769">
        <v>586276</v>
      </c>
      <c r="G769" s="6">
        <v>0</v>
      </c>
      <c r="H769" t="s">
        <v>47</v>
      </c>
      <c r="I769">
        <v>10684862</v>
      </c>
      <c r="J769">
        <v>6</v>
      </c>
      <c r="K769">
        <v>12.3</v>
      </c>
      <c r="L769">
        <v>12.3</v>
      </c>
      <c r="M769">
        <v>1630</v>
      </c>
      <c r="N769" s="2">
        <v>162000</v>
      </c>
      <c r="O769" s="2">
        <v>810</v>
      </c>
      <c r="P769" s="2">
        <v>2835</v>
      </c>
      <c r="Q769" s="2">
        <v>9780</v>
      </c>
      <c r="R769" s="2">
        <v>8100</v>
      </c>
      <c r="S769">
        <v>99.63</v>
      </c>
      <c r="T769" s="2">
        <v>35235</v>
      </c>
      <c r="U769" s="2">
        <v>126765</v>
      </c>
      <c r="V769">
        <v>120.294</v>
      </c>
      <c r="W769">
        <v>0</v>
      </c>
      <c r="X769">
        <v>0</v>
      </c>
      <c r="Y769">
        <v>0</v>
      </c>
      <c r="Z769">
        <v>1</v>
      </c>
      <c r="AA769">
        <v>8.3129665652484745E-3</v>
      </c>
      <c r="AB769">
        <v>26.2</v>
      </c>
      <c r="AC769">
        <v>11.862777777777778</v>
      </c>
      <c r="AD769">
        <v>26</v>
      </c>
      <c r="AE769" s="7"/>
      <c r="AF769" s="7"/>
      <c r="AG769" s="7"/>
      <c r="AH769" s="7"/>
      <c r="AI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769" s="7"/>
      <c r="AK769" t="s">
        <v>51</v>
      </c>
      <c r="AN769">
        <f>IFERROR(INT(Table13[[#This Row],[reject_prod]]/Table13[[#This Row],[part_weight]] * 1000), 0)</f>
        <v>81</v>
      </c>
    </row>
    <row r="770" spans="1:40" hidden="1">
      <c r="A770" s="1">
        <v>46046</v>
      </c>
      <c r="B770">
        <v>1</v>
      </c>
      <c r="C770">
        <v>14</v>
      </c>
      <c r="D770" t="s">
        <v>33</v>
      </c>
      <c r="E770" t="s">
        <v>46</v>
      </c>
      <c r="F770">
        <v>555979</v>
      </c>
      <c r="G770" s="6">
        <v>1</v>
      </c>
      <c r="H770" t="s">
        <v>52</v>
      </c>
      <c r="I770">
        <v>10683785</v>
      </c>
      <c r="J770">
        <v>6</v>
      </c>
      <c r="K770">
        <v>28</v>
      </c>
      <c r="L770">
        <v>28</v>
      </c>
      <c r="M770">
        <v>0</v>
      </c>
      <c r="N770" s="2">
        <v>100800</v>
      </c>
      <c r="O770" s="2">
        <v>0</v>
      </c>
      <c r="P770" s="2"/>
      <c r="Q770" s="2">
        <v>0</v>
      </c>
      <c r="R770" s="2">
        <v>0</v>
      </c>
      <c r="S770">
        <v>0</v>
      </c>
      <c r="T770" s="2">
        <v>0</v>
      </c>
      <c r="U770" s="2">
        <v>100800</v>
      </c>
      <c r="V770">
        <v>0</v>
      </c>
      <c r="W770">
        <v>0</v>
      </c>
      <c r="X770">
        <v>0</v>
      </c>
      <c r="Y770" t="e">
        <v>#DIV/0!</v>
      </c>
      <c r="Z770">
        <v>3.8</v>
      </c>
      <c r="AA770" t="e">
        <v>#DIV/0!</v>
      </c>
      <c r="AB770">
        <v>43.4</v>
      </c>
      <c r="AC770">
        <v>0</v>
      </c>
      <c r="AD770">
        <v>42</v>
      </c>
      <c r="AE770" s="7"/>
      <c r="AF770" s="7"/>
      <c r="AG770" s="7"/>
      <c r="AH770" s="7"/>
      <c r="AI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70" s="7"/>
      <c r="AK770" t="s">
        <v>481</v>
      </c>
      <c r="AN770">
        <f>IFERROR(INT(Table13[[#This Row],[reject_prod]]/Table13[[#This Row],[part_weight]] * 1000), 0)</f>
        <v>135</v>
      </c>
    </row>
    <row r="771" spans="1:40" hidden="1">
      <c r="A771" s="1">
        <v>46046</v>
      </c>
      <c r="B771">
        <v>1</v>
      </c>
      <c r="C771">
        <v>15</v>
      </c>
      <c r="D771" t="s">
        <v>59</v>
      </c>
      <c r="E771" t="s">
        <v>46</v>
      </c>
      <c r="F771">
        <v>552181</v>
      </c>
      <c r="G771" s="6">
        <v>2</v>
      </c>
      <c r="H771" t="s">
        <v>49</v>
      </c>
      <c r="I771">
        <v>10683787</v>
      </c>
      <c r="J771">
        <v>6</v>
      </c>
      <c r="K771">
        <v>18.8</v>
      </c>
      <c r="L771">
        <v>18.8</v>
      </c>
      <c r="M771">
        <v>1420</v>
      </c>
      <c r="N771" s="2">
        <v>108000</v>
      </c>
      <c r="O771" s="2">
        <v>3780</v>
      </c>
      <c r="P771" s="2">
        <v>1620</v>
      </c>
      <c r="Q771" s="2">
        <v>8520</v>
      </c>
      <c r="R771" s="2">
        <v>10800</v>
      </c>
      <c r="S771">
        <v>203.04</v>
      </c>
      <c r="T771" s="2">
        <v>39420</v>
      </c>
      <c r="U771" s="2">
        <v>68580</v>
      </c>
      <c r="V771">
        <v>160.17599999999999</v>
      </c>
      <c r="W771">
        <v>0</v>
      </c>
      <c r="X771">
        <v>0</v>
      </c>
      <c r="Y771">
        <v>0</v>
      </c>
      <c r="Z771">
        <v>1</v>
      </c>
      <c r="AA771">
        <v>6.2431325541903908E-3</v>
      </c>
      <c r="AB771">
        <v>30.2</v>
      </c>
      <c r="AC771">
        <v>11.912222222222221</v>
      </c>
      <c r="AD771">
        <v>27</v>
      </c>
      <c r="AE771" s="7"/>
      <c r="AF771" s="7"/>
      <c r="AG771" s="7"/>
      <c r="AH771" s="7"/>
      <c r="AI7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8.7777777777779065E-2</v>
      </c>
      <c r="AJ771" s="7"/>
      <c r="AK771" t="s">
        <v>51</v>
      </c>
      <c r="AN771">
        <f>IFERROR(INT(Table13[[#This Row],[reject_prod]]/Table13[[#This Row],[part_weight]] * 1000), 0)</f>
        <v>53</v>
      </c>
    </row>
    <row r="772" spans="1:40" s="4" customFormat="1" hidden="1">
      <c r="A772" s="3">
        <v>46046</v>
      </c>
      <c r="B772" s="4">
        <v>1</v>
      </c>
      <c r="C772" s="4">
        <v>16</v>
      </c>
      <c r="D772" s="4" t="s">
        <v>482</v>
      </c>
      <c r="E772" s="4" t="s">
        <v>46</v>
      </c>
      <c r="F772" s="4">
        <v>555979</v>
      </c>
      <c r="G772" s="9">
        <v>2</v>
      </c>
      <c r="H772" s="4" t="s">
        <v>52</v>
      </c>
      <c r="I772" s="4">
        <v>10683788</v>
      </c>
      <c r="J772" s="4">
        <v>6</v>
      </c>
      <c r="K772" s="4">
        <v>28</v>
      </c>
      <c r="L772" s="4">
        <v>28</v>
      </c>
      <c r="M772" s="4">
        <v>990</v>
      </c>
      <c r="N772" s="5">
        <v>100800</v>
      </c>
      <c r="O772" s="5">
        <v>2352</v>
      </c>
      <c r="P772" s="5">
        <v>1008</v>
      </c>
      <c r="Q772" s="5">
        <v>5940</v>
      </c>
      <c r="R772" s="5">
        <v>6720</v>
      </c>
      <c r="S772" s="4">
        <v>188.16</v>
      </c>
      <c r="T772" s="5">
        <v>7728</v>
      </c>
      <c r="U772" s="5">
        <v>93072</v>
      </c>
      <c r="V772" s="4">
        <v>166.32</v>
      </c>
      <c r="W772" s="4">
        <v>0</v>
      </c>
      <c r="X772" s="4">
        <v>0</v>
      </c>
      <c r="Y772" s="4">
        <v>0</v>
      </c>
      <c r="Z772" s="4">
        <v>2</v>
      </c>
      <c r="AA772" s="4">
        <v>1.2025012025012025E-2</v>
      </c>
      <c r="AB772" s="4">
        <v>43.4</v>
      </c>
      <c r="AC772" s="4">
        <v>11.935</v>
      </c>
      <c r="AD772" s="4">
        <v>42</v>
      </c>
      <c r="AE772" s="8"/>
      <c r="AF772" s="8"/>
      <c r="AG772" s="8"/>
      <c r="AH772" s="8"/>
      <c r="AI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772" s="8"/>
      <c r="AK772" s="4" t="s">
        <v>51</v>
      </c>
      <c r="AN772">
        <f>IFERROR(INT(Table13[[#This Row],[reject_prod]]/Table13[[#This Row],[part_weight]] * 1000), 0)</f>
        <v>71</v>
      </c>
    </row>
    <row r="773" spans="1:40" hidden="1">
      <c r="A773" s="1">
        <v>46046</v>
      </c>
      <c r="B773">
        <v>2</v>
      </c>
      <c r="C773">
        <v>1</v>
      </c>
      <c r="D773" t="s">
        <v>112</v>
      </c>
      <c r="E773" t="s">
        <v>34</v>
      </c>
      <c r="F773">
        <v>577492</v>
      </c>
      <c r="G773" s="6">
        <v>0</v>
      </c>
      <c r="H773" t="s">
        <v>341</v>
      </c>
      <c r="I773">
        <v>10684028</v>
      </c>
      <c r="J773">
        <v>4</v>
      </c>
      <c r="K773">
        <v>35.6</v>
      </c>
      <c r="L773">
        <v>35.6</v>
      </c>
      <c r="M773">
        <v>1564</v>
      </c>
      <c r="N773" s="2">
        <v>101200</v>
      </c>
      <c r="O773" s="2">
        <v>0</v>
      </c>
      <c r="P773" s="2">
        <v>736</v>
      </c>
      <c r="Q773" s="2">
        <v>6256</v>
      </c>
      <c r="R773" s="2">
        <v>5520</v>
      </c>
      <c r="S773">
        <v>196.512</v>
      </c>
      <c r="T773" s="2">
        <v>57776</v>
      </c>
      <c r="U773" s="2">
        <v>43424</v>
      </c>
      <c r="V773">
        <v>222.71360000000001</v>
      </c>
      <c r="W773">
        <v>0</v>
      </c>
      <c r="X773">
        <v>0</v>
      </c>
      <c r="Y773">
        <v>0</v>
      </c>
      <c r="Z773">
        <v>6.5</v>
      </c>
      <c r="AA773">
        <v>2.9185465099571824E-2</v>
      </c>
      <c r="AB773">
        <v>27.1</v>
      </c>
      <c r="AC773">
        <v>11.773444444444445</v>
      </c>
      <c r="AD773">
        <v>27</v>
      </c>
      <c r="AE773" s="7"/>
      <c r="AF773" s="7"/>
      <c r="AG773" s="7"/>
      <c r="AH773" s="7"/>
      <c r="AI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773" s="7"/>
      <c r="AK773" t="s">
        <v>51</v>
      </c>
      <c r="AN773">
        <f>IFERROR(INT(Table13[[#This Row],[reject_prod]]/Table13[[#This Row],[part_weight]] * 1000), 0)</f>
        <v>182</v>
      </c>
    </row>
    <row r="774" spans="1:40" hidden="1">
      <c r="A774" s="1">
        <v>46046</v>
      </c>
      <c r="B774">
        <v>2</v>
      </c>
      <c r="C774">
        <v>2</v>
      </c>
      <c r="F774">
        <v>123456</v>
      </c>
      <c r="G774" s="6">
        <v>0</v>
      </c>
      <c r="M774">
        <v>0</v>
      </c>
      <c r="N774" s="2">
        <v>0</v>
      </c>
      <c r="O774" s="2">
        <v>0</v>
      </c>
      <c r="P774" s="2">
        <v>0</v>
      </c>
      <c r="Q774" s="2"/>
      <c r="R774" s="2">
        <v>0</v>
      </c>
      <c r="T774" s="2">
        <v>0</v>
      </c>
      <c r="U774" s="2"/>
      <c r="X774">
        <v>0</v>
      </c>
      <c r="Z774">
        <v>0</v>
      </c>
      <c r="AB774">
        <v>0</v>
      </c>
      <c r="AC774">
        <v>0</v>
      </c>
      <c r="AD774">
        <v>0</v>
      </c>
      <c r="AE774" s="7"/>
      <c r="AF774" s="7"/>
      <c r="AG774" s="7"/>
      <c r="AH774" s="7"/>
      <c r="AI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4" s="7">
        <v>12</v>
      </c>
      <c r="AK774" t="s">
        <v>116</v>
      </c>
      <c r="AN774">
        <f>IFERROR(INT(Table13[[#This Row],[reject_prod]]/Table13[[#This Row],[part_weight]] * 1000), 0)</f>
        <v>0</v>
      </c>
    </row>
    <row r="775" spans="1:40" hidden="1">
      <c r="A775" s="1">
        <v>46046</v>
      </c>
      <c r="B775">
        <v>2</v>
      </c>
      <c r="C775">
        <v>3</v>
      </c>
      <c r="D775" t="s">
        <v>40</v>
      </c>
      <c r="E775" t="s">
        <v>34</v>
      </c>
      <c r="F775">
        <v>442034</v>
      </c>
      <c r="G775" s="6">
        <v>0</v>
      </c>
      <c r="H775" t="s">
        <v>37</v>
      </c>
      <c r="I775">
        <v>10681184</v>
      </c>
      <c r="J775">
        <v>4</v>
      </c>
      <c r="K775">
        <v>23</v>
      </c>
      <c r="L775">
        <v>23</v>
      </c>
      <c r="M775">
        <v>1636</v>
      </c>
      <c r="N775" s="2">
        <v>139776</v>
      </c>
      <c r="O775" s="2">
        <v>1152</v>
      </c>
      <c r="P775" s="2">
        <v>2688</v>
      </c>
      <c r="Q775" s="2">
        <v>6544</v>
      </c>
      <c r="R775" s="2">
        <v>4608</v>
      </c>
      <c r="S775">
        <v>105.98399999999999</v>
      </c>
      <c r="T775" s="2">
        <v>48768</v>
      </c>
      <c r="U775" s="2">
        <v>91008</v>
      </c>
      <c r="V775">
        <v>150.512</v>
      </c>
      <c r="W775">
        <v>0</v>
      </c>
      <c r="X775">
        <v>0</v>
      </c>
      <c r="Y775">
        <v>0</v>
      </c>
      <c r="Z775">
        <v>5.5</v>
      </c>
      <c r="AA775">
        <v>3.6541936855533114E-2</v>
      </c>
      <c r="AB775">
        <v>26</v>
      </c>
      <c r="AC775">
        <v>11.815555555555555</v>
      </c>
      <c r="AD775">
        <v>22</v>
      </c>
      <c r="AE775" s="7"/>
      <c r="AF775" s="7"/>
      <c r="AG775" s="7"/>
      <c r="AH775" s="7"/>
      <c r="AI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0.18444444444444485</v>
      </c>
      <c r="AJ775" s="7"/>
      <c r="AK775" t="s">
        <v>492</v>
      </c>
      <c r="AN775">
        <f>IFERROR(INT(Table13[[#This Row],[reject_prod]]/Table13[[#This Row],[part_weight]] * 1000), 0)</f>
        <v>239</v>
      </c>
    </row>
    <row r="776" spans="1:40" hidden="1">
      <c r="A776" s="1">
        <v>46046</v>
      </c>
      <c r="B776">
        <v>2</v>
      </c>
      <c r="C776">
        <v>4</v>
      </c>
      <c r="F776">
        <v>123456</v>
      </c>
      <c r="G776" s="6">
        <v>0</v>
      </c>
      <c r="M776">
        <v>0</v>
      </c>
      <c r="N776" s="2">
        <v>0</v>
      </c>
      <c r="O776" s="2">
        <v>0</v>
      </c>
      <c r="P776" s="2">
        <v>0</v>
      </c>
      <c r="Q776" s="2"/>
      <c r="R776" s="2">
        <v>0</v>
      </c>
      <c r="T776" s="2">
        <v>0</v>
      </c>
      <c r="U776" s="2"/>
      <c r="X776">
        <v>0</v>
      </c>
      <c r="Z776">
        <v>0</v>
      </c>
      <c r="AB776">
        <v>0</v>
      </c>
      <c r="AC776">
        <v>0</v>
      </c>
      <c r="AD776">
        <v>0</v>
      </c>
      <c r="AE776" s="7"/>
      <c r="AF776" s="7"/>
      <c r="AG776" s="7"/>
      <c r="AH776" s="7"/>
      <c r="AI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6" s="7">
        <v>12</v>
      </c>
      <c r="AK776" t="s">
        <v>116</v>
      </c>
      <c r="AN776">
        <f>IFERROR(INT(Table13[[#This Row],[reject_prod]]/Table13[[#This Row],[part_weight]] * 1000), 0)</f>
        <v>0</v>
      </c>
    </row>
    <row r="777" spans="1:40" hidden="1">
      <c r="A777" s="1">
        <v>46046</v>
      </c>
      <c r="B777">
        <v>2</v>
      </c>
      <c r="C777">
        <v>5</v>
      </c>
      <c r="F777">
        <v>123456</v>
      </c>
      <c r="G777" s="6">
        <v>0</v>
      </c>
      <c r="M777">
        <v>0</v>
      </c>
      <c r="N777" s="2">
        <v>0</v>
      </c>
      <c r="O777" s="2">
        <v>0</v>
      </c>
      <c r="P777" s="2">
        <v>0</v>
      </c>
      <c r="Q777" s="2"/>
      <c r="R777" s="2">
        <v>0</v>
      </c>
      <c r="T777" s="2">
        <v>0</v>
      </c>
      <c r="U777" s="2"/>
      <c r="X777">
        <v>0</v>
      </c>
      <c r="Z777">
        <v>0</v>
      </c>
      <c r="AB777">
        <v>0</v>
      </c>
      <c r="AC777">
        <v>0</v>
      </c>
      <c r="AD777">
        <v>0</v>
      </c>
      <c r="AE777" s="7"/>
      <c r="AF777" s="7"/>
      <c r="AG777" s="7"/>
      <c r="AH777" s="7"/>
      <c r="AI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7" s="7">
        <v>12</v>
      </c>
      <c r="AK777" t="s">
        <v>116</v>
      </c>
      <c r="AN777">
        <f>IFERROR(INT(Table13[[#This Row],[reject_prod]]/Table13[[#This Row],[part_weight]] * 1000), 0)</f>
        <v>0</v>
      </c>
    </row>
    <row r="778" spans="1:40" hidden="1">
      <c r="A778" s="1">
        <v>46046</v>
      </c>
      <c r="B778">
        <v>2</v>
      </c>
      <c r="C778">
        <v>6</v>
      </c>
      <c r="D778" t="s">
        <v>67</v>
      </c>
      <c r="E778" t="s">
        <v>34</v>
      </c>
      <c r="F778">
        <v>322412</v>
      </c>
      <c r="G778" s="6">
        <v>0</v>
      </c>
      <c r="H778" t="s">
        <v>487</v>
      </c>
      <c r="I778">
        <v>10685211</v>
      </c>
      <c r="J778">
        <v>4</v>
      </c>
      <c r="K778">
        <v>24.3</v>
      </c>
      <c r="L778">
        <v>24</v>
      </c>
      <c r="M778">
        <v>1835</v>
      </c>
      <c r="N778" s="2">
        <v>13680</v>
      </c>
      <c r="O778" s="2">
        <v>1368</v>
      </c>
      <c r="P778" s="2">
        <v>3192</v>
      </c>
      <c r="Q778" s="2">
        <v>7340</v>
      </c>
      <c r="R778" s="2">
        <v>5472</v>
      </c>
      <c r="S778">
        <v>131.328</v>
      </c>
      <c r="T778" s="2">
        <v>8664</v>
      </c>
      <c r="U778" s="2">
        <v>5016</v>
      </c>
      <c r="V778">
        <v>176.16</v>
      </c>
      <c r="W778">
        <v>2.2020000000000048</v>
      </c>
      <c r="X778">
        <v>0</v>
      </c>
      <c r="Y778">
        <v>0</v>
      </c>
      <c r="Z778">
        <v>3.4</v>
      </c>
      <c r="AA778">
        <v>1.930063578564941E-2</v>
      </c>
      <c r="AB778">
        <v>23.6</v>
      </c>
      <c r="AC778">
        <v>12</v>
      </c>
      <c r="AD778">
        <v>20</v>
      </c>
      <c r="AE778" s="7"/>
      <c r="AF778" s="7"/>
      <c r="AG778" s="7"/>
      <c r="AH778" s="7"/>
      <c r="AI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8" s="7"/>
      <c r="AK778" t="s">
        <v>168</v>
      </c>
      <c r="AN778">
        <f>IFERROR(INT(Table13[[#This Row],[reject_prod]]/Table13[[#This Row],[part_weight]] * 1000), 0)</f>
        <v>141</v>
      </c>
    </row>
    <row r="779" spans="1:40" hidden="1">
      <c r="A779" s="1">
        <v>46046</v>
      </c>
      <c r="B779">
        <v>2</v>
      </c>
      <c r="C779">
        <v>7</v>
      </c>
      <c r="F779">
        <v>123456</v>
      </c>
      <c r="G779" s="6">
        <v>0</v>
      </c>
      <c r="M779">
        <v>0</v>
      </c>
      <c r="N779" s="2">
        <v>0</v>
      </c>
      <c r="O779" s="2">
        <v>0</v>
      </c>
      <c r="P779" s="2">
        <v>0</v>
      </c>
      <c r="Q779" s="2"/>
      <c r="R779" s="2">
        <v>0</v>
      </c>
      <c r="T779" s="2">
        <v>0</v>
      </c>
      <c r="U779" s="2"/>
      <c r="X779">
        <v>0</v>
      </c>
      <c r="Z779">
        <v>0</v>
      </c>
      <c r="AB779">
        <v>0</v>
      </c>
      <c r="AC779">
        <v>0</v>
      </c>
      <c r="AD779">
        <v>0</v>
      </c>
      <c r="AE779" s="7"/>
      <c r="AF779" s="7"/>
      <c r="AG779" s="7"/>
      <c r="AH779" s="7"/>
      <c r="AI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9" s="7">
        <v>12</v>
      </c>
      <c r="AK779" t="s">
        <v>116</v>
      </c>
      <c r="AN779">
        <f>IFERROR(INT(Table13[[#This Row],[reject_prod]]/Table13[[#This Row],[part_weight]] * 1000), 0)</f>
        <v>0</v>
      </c>
    </row>
    <row r="780" spans="1:40" hidden="1">
      <c r="A780" s="1">
        <v>46046</v>
      </c>
      <c r="B780">
        <v>2</v>
      </c>
      <c r="C780">
        <v>8</v>
      </c>
      <c r="D780" t="s">
        <v>483</v>
      </c>
      <c r="E780" t="s">
        <v>41</v>
      </c>
      <c r="F780">
        <v>593537</v>
      </c>
      <c r="G780" s="6">
        <v>0</v>
      </c>
      <c r="H780" t="s">
        <v>48</v>
      </c>
      <c r="I780">
        <v>10685022</v>
      </c>
      <c r="J780">
        <v>4</v>
      </c>
      <c r="K780">
        <v>56.5</v>
      </c>
      <c r="L780">
        <v>56.8</v>
      </c>
      <c r="M780">
        <v>1425</v>
      </c>
      <c r="N780" s="2">
        <v>69000</v>
      </c>
      <c r="O780" s="2">
        <v>80</v>
      </c>
      <c r="P780" s="2">
        <v>115</v>
      </c>
      <c r="Q780" s="2">
        <v>5700</v>
      </c>
      <c r="R780" s="2">
        <v>5750</v>
      </c>
      <c r="S780">
        <v>326.60000000000002</v>
      </c>
      <c r="T780" s="2">
        <v>57615</v>
      </c>
      <c r="U780" s="2">
        <v>11385</v>
      </c>
      <c r="V780">
        <v>323.76</v>
      </c>
      <c r="W780">
        <v>0</v>
      </c>
      <c r="X780">
        <v>0</v>
      </c>
      <c r="Y780">
        <v>0</v>
      </c>
      <c r="Z780">
        <v>1</v>
      </c>
      <c r="AA780">
        <v>3.0887076847047196E-3</v>
      </c>
      <c r="AB780">
        <v>30.4</v>
      </c>
      <c r="AC780">
        <v>12</v>
      </c>
      <c r="AD780">
        <v>28.5</v>
      </c>
      <c r="AE780" s="7"/>
      <c r="AF780" s="7"/>
      <c r="AG780" s="7"/>
      <c r="AH780" s="7"/>
      <c r="AI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0" s="7"/>
      <c r="AK780" t="s">
        <v>51</v>
      </c>
      <c r="AN780">
        <f>IFERROR(INT(Table13[[#This Row],[reject_prod]]/Table13[[#This Row],[part_weight]] * 1000), 0)</f>
        <v>17</v>
      </c>
    </row>
    <row r="781" spans="1:40" hidden="1">
      <c r="A781" s="1">
        <v>46046</v>
      </c>
      <c r="B781">
        <v>2</v>
      </c>
      <c r="C781">
        <v>9</v>
      </c>
      <c r="F781">
        <v>123456</v>
      </c>
      <c r="G781" s="6">
        <v>0</v>
      </c>
      <c r="M781">
        <v>0</v>
      </c>
      <c r="N781" s="2">
        <v>0</v>
      </c>
      <c r="O781" s="2">
        <v>0</v>
      </c>
      <c r="P781" s="2">
        <v>0</v>
      </c>
      <c r="Q781" s="2"/>
      <c r="R781" s="2">
        <v>0</v>
      </c>
      <c r="T781" s="2">
        <v>0</v>
      </c>
      <c r="U781" s="2"/>
      <c r="X781">
        <v>0</v>
      </c>
      <c r="Z781">
        <v>0</v>
      </c>
      <c r="AB781">
        <v>0</v>
      </c>
      <c r="AC781">
        <v>0</v>
      </c>
      <c r="AD781">
        <v>0</v>
      </c>
      <c r="AE781" s="7"/>
      <c r="AF781" s="7"/>
      <c r="AG781" s="7"/>
      <c r="AH781" s="7"/>
      <c r="AI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1" s="7">
        <v>12</v>
      </c>
      <c r="AK781" t="s">
        <v>116</v>
      </c>
      <c r="AN781">
        <f>IFERROR(INT(Table13[[#This Row],[reject_prod]]/Table13[[#This Row],[part_weight]] * 1000), 0)</f>
        <v>0</v>
      </c>
    </row>
    <row r="782" spans="1:40" hidden="1">
      <c r="A782" s="1">
        <v>46046</v>
      </c>
      <c r="B782">
        <v>2</v>
      </c>
      <c r="C782">
        <v>10</v>
      </c>
      <c r="F782">
        <v>123456</v>
      </c>
      <c r="G782" s="6">
        <v>0</v>
      </c>
      <c r="M782">
        <v>0</v>
      </c>
      <c r="N782" s="2">
        <v>0</v>
      </c>
      <c r="O782" s="2">
        <v>0</v>
      </c>
      <c r="P782" s="2">
        <v>0</v>
      </c>
      <c r="Q782" s="2"/>
      <c r="R782" s="2">
        <v>0</v>
      </c>
      <c r="T782" s="2">
        <v>0</v>
      </c>
      <c r="U782" s="2"/>
      <c r="X782">
        <v>0</v>
      </c>
      <c r="Z782">
        <v>0</v>
      </c>
      <c r="AB782">
        <v>0</v>
      </c>
      <c r="AC782">
        <v>0</v>
      </c>
      <c r="AD782">
        <v>0</v>
      </c>
      <c r="AE782" s="7"/>
      <c r="AF782" s="7"/>
      <c r="AG782" s="7"/>
      <c r="AH782" s="7"/>
      <c r="AI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2" s="7">
        <v>12</v>
      </c>
      <c r="AK782" t="s">
        <v>116</v>
      </c>
      <c r="AN782">
        <f>IFERROR(INT(Table13[[#This Row],[reject_prod]]/Table13[[#This Row],[part_weight]] * 1000), 0)</f>
        <v>0</v>
      </c>
    </row>
    <row r="783" spans="1:40" hidden="1">
      <c r="A783" s="1">
        <v>46046</v>
      </c>
      <c r="B783">
        <v>2</v>
      </c>
      <c r="C783">
        <v>11</v>
      </c>
      <c r="D783" t="s">
        <v>61</v>
      </c>
      <c r="E783" t="s">
        <v>46</v>
      </c>
      <c r="F783">
        <v>552181</v>
      </c>
      <c r="G783" s="6">
        <v>1</v>
      </c>
      <c r="H783" t="s">
        <v>49</v>
      </c>
      <c r="I783">
        <v>10683783</v>
      </c>
      <c r="J783">
        <v>6</v>
      </c>
      <c r="K783">
        <v>18.8</v>
      </c>
      <c r="L783">
        <v>18.8</v>
      </c>
      <c r="M783">
        <v>1400</v>
      </c>
      <c r="N783" s="2">
        <v>108000</v>
      </c>
      <c r="O783" s="2">
        <v>1080</v>
      </c>
      <c r="P783" s="2">
        <v>4050</v>
      </c>
      <c r="Q783" s="2">
        <v>8400</v>
      </c>
      <c r="R783" s="2">
        <v>5400</v>
      </c>
      <c r="S783">
        <v>101.52</v>
      </c>
      <c r="T783" s="2">
        <v>63450</v>
      </c>
      <c r="U783" s="2">
        <v>44550</v>
      </c>
      <c r="V783">
        <v>157.91999999999999</v>
      </c>
      <c r="W783">
        <v>0</v>
      </c>
      <c r="X783">
        <v>0</v>
      </c>
      <c r="Y783">
        <v>0</v>
      </c>
      <c r="Z783">
        <v>6.7</v>
      </c>
      <c r="AA783">
        <v>4.2426545086119559E-2</v>
      </c>
      <c r="AB783">
        <v>29.6</v>
      </c>
      <c r="AC783">
        <v>11.511111111111111</v>
      </c>
      <c r="AD783">
        <v>27</v>
      </c>
      <c r="AE783" s="7"/>
      <c r="AF783" s="7"/>
      <c r="AG783" s="7"/>
      <c r="AH783" s="7"/>
      <c r="AI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0.48888888888888893</v>
      </c>
      <c r="AJ783" s="7"/>
      <c r="AK783" t="s">
        <v>480</v>
      </c>
      <c r="AN783">
        <f>IFERROR(INT(Table13[[#This Row],[reject_prod]]/Table13[[#This Row],[part_weight]] * 1000), 0)</f>
        <v>356</v>
      </c>
    </row>
    <row r="784" spans="1:40" hidden="1">
      <c r="A784" s="1">
        <v>46046</v>
      </c>
      <c r="B784">
        <v>2</v>
      </c>
      <c r="C784">
        <v>12</v>
      </c>
      <c r="F784">
        <v>123456</v>
      </c>
      <c r="G784" s="6">
        <v>0</v>
      </c>
      <c r="M784">
        <v>0</v>
      </c>
      <c r="N784" s="2">
        <v>0</v>
      </c>
      <c r="O784" s="2">
        <v>0</v>
      </c>
      <c r="P784" s="2">
        <v>0</v>
      </c>
      <c r="Q784" s="2"/>
      <c r="R784" s="2">
        <v>0</v>
      </c>
      <c r="T784" s="2">
        <v>0</v>
      </c>
      <c r="U784" s="2"/>
      <c r="X784">
        <v>0</v>
      </c>
      <c r="Z784">
        <v>0</v>
      </c>
      <c r="AB784">
        <v>0</v>
      </c>
      <c r="AC784">
        <v>0</v>
      </c>
      <c r="AD784">
        <v>0</v>
      </c>
      <c r="AE784" s="7"/>
      <c r="AF784" s="7"/>
      <c r="AG784" s="7"/>
      <c r="AH784" s="7"/>
      <c r="AI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4" s="7">
        <v>12</v>
      </c>
      <c r="AK784" t="s">
        <v>116</v>
      </c>
      <c r="AN784">
        <f>IFERROR(INT(Table13[[#This Row],[reject_prod]]/Table13[[#This Row],[part_weight]] * 1000), 0)</f>
        <v>0</v>
      </c>
    </row>
    <row r="785" spans="1:40" hidden="1">
      <c r="A785" s="1">
        <v>46046</v>
      </c>
      <c r="B785">
        <v>2</v>
      </c>
      <c r="C785">
        <v>13</v>
      </c>
      <c r="D785" t="s">
        <v>61</v>
      </c>
      <c r="E785" t="s">
        <v>46</v>
      </c>
      <c r="F785">
        <v>586276</v>
      </c>
      <c r="G785" s="6">
        <v>0</v>
      </c>
      <c r="H785" t="s">
        <v>47</v>
      </c>
      <c r="I785">
        <v>10684862</v>
      </c>
      <c r="J785">
        <v>6</v>
      </c>
      <c r="K785">
        <v>12.3</v>
      </c>
      <c r="L785">
        <v>12.3</v>
      </c>
      <c r="M785">
        <v>1652</v>
      </c>
      <c r="N785" s="2">
        <v>162000</v>
      </c>
      <c r="O785" s="2">
        <v>2835</v>
      </c>
      <c r="P785" s="2">
        <v>4455</v>
      </c>
      <c r="Q785" s="2">
        <v>9912</v>
      </c>
      <c r="R785" s="2">
        <v>8100</v>
      </c>
      <c r="S785">
        <v>99.63</v>
      </c>
      <c r="T785" s="2">
        <v>44955</v>
      </c>
      <c r="U785" s="2">
        <v>117045</v>
      </c>
      <c r="V785">
        <v>121.91760000000001</v>
      </c>
      <c r="W785">
        <v>0</v>
      </c>
      <c r="X785">
        <v>0</v>
      </c>
      <c r="Y785">
        <v>0</v>
      </c>
      <c r="Z785">
        <v>1.2</v>
      </c>
      <c r="AA785">
        <v>9.8427134392409295E-3</v>
      </c>
      <c r="AB785">
        <v>26.2</v>
      </c>
      <c r="AC785">
        <v>12</v>
      </c>
      <c r="AD785">
        <v>26</v>
      </c>
      <c r="AE785" s="7"/>
      <c r="AF785" s="7"/>
      <c r="AG785" s="7"/>
      <c r="AH785" s="7"/>
      <c r="AI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5" s="7"/>
      <c r="AK785" t="s">
        <v>51</v>
      </c>
      <c r="AN785">
        <f>IFERROR(INT(Table13[[#This Row],[reject_prod]]/Table13[[#This Row],[part_weight]] * 1000), 0)</f>
        <v>97</v>
      </c>
    </row>
    <row r="786" spans="1:40" hidden="1">
      <c r="A786" s="1">
        <v>46046</v>
      </c>
      <c r="B786">
        <v>2</v>
      </c>
      <c r="C786">
        <v>14</v>
      </c>
      <c r="F786">
        <v>123456</v>
      </c>
      <c r="G786" s="6">
        <v>0</v>
      </c>
      <c r="M786">
        <v>0</v>
      </c>
      <c r="N786" s="2">
        <v>0</v>
      </c>
      <c r="O786" s="2">
        <v>0</v>
      </c>
      <c r="P786" s="2">
        <v>0</v>
      </c>
      <c r="Q786" s="2"/>
      <c r="R786" s="2">
        <v>0</v>
      </c>
      <c r="T786" s="2">
        <v>0</v>
      </c>
      <c r="U786" s="2"/>
      <c r="X786">
        <v>0</v>
      </c>
      <c r="Z786">
        <v>0</v>
      </c>
      <c r="AB786">
        <v>0</v>
      </c>
      <c r="AC786">
        <v>0</v>
      </c>
      <c r="AD786">
        <v>0</v>
      </c>
      <c r="AE786" s="7"/>
      <c r="AF786" s="7"/>
      <c r="AG786" s="7"/>
      <c r="AH786" s="7"/>
      <c r="AI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6" s="7">
        <v>12</v>
      </c>
      <c r="AK786" t="s">
        <v>116</v>
      </c>
      <c r="AN786">
        <f>IFERROR(INT(Table13[[#This Row],[reject_prod]]/Table13[[#This Row],[part_weight]] * 1000), 0)</f>
        <v>0</v>
      </c>
    </row>
    <row r="787" spans="1:40" hidden="1">
      <c r="A787" s="1">
        <v>46046</v>
      </c>
      <c r="B787">
        <v>2</v>
      </c>
      <c r="C787">
        <v>15</v>
      </c>
      <c r="D787" t="s">
        <v>61</v>
      </c>
      <c r="E787" t="s">
        <v>46</v>
      </c>
      <c r="F787">
        <v>552181</v>
      </c>
      <c r="G787" s="6">
        <v>2</v>
      </c>
      <c r="H787" t="s">
        <v>49</v>
      </c>
      <c r="I787">
        <v>10683787</v>
      </c>
      <c r="J787">
        <v>6</v>
      </c>
      <c r="K787">
        <v>18.8</v>
      </c>
      <c r="L787">
        <v>18.8</v>
      </c>
      <c r="M787">
        <v>1386</v>
      </c>
      <c r="N787" s="2">
        <v>108000</v>
      </c>
      <c r="O787" s="2">
        <v>1620</v>
      </c>
      <c r="P787" s="2">
        <v>4320</v>
      </c>
      <c r="Q787" s="2">
        <v>8316</v>
      </c>
      <c r="R787" s="2">
        <v>5400</v>
      </c>
      <c r="S787">
        <v>101.52</v>
      </c>
      <c r="T787" s="2">
        <v>47520</v>
      </c>
      <c r="U787" s="2">
        <v>60480</v>
      </c>
      <c r="V787">
        <v>156.34080000000003</v>
      </c>
      <c r="W787">
        <v>0</v>
      </c>
      <c r="X787">
        <v>0</v>
      </c>
      <c r="Y787">
        <v>0</v>
      </c>
      <c r="Z787">
        <v>2.5</v>
      </c>
      <c r="AA787">
        <v>1.5990707480069179E-2</v>
      </c>
      <c r="AB787">
        <v>31.2</v>
      </c>
      <c r="AC787">
        <v>12</v>
      </c>
      <c r="AD787">
        <v>27</v>
      </c>
      <c r="AE787" s="7"/>
      <c r="AF787" s="7"/>
      <c r="AG787" s="7"/>
      <c r="AH787" s="7"/>
      <c r="AI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7" s="7"/>
      <c r="AK787" t="s">
        <v>51</v>
      </c>
      <c r="AN787">
        <f>IFERROR(INT(Table13[[#This Row],[reject_prod]]/Table13[[#This Row],[part_weight]] * 1000), 0)</f>
        <v>132</v>
      </c>
    </row>
    <row r="788" spans="1:40" s="4" customFormat="1" hidden="1">
      <c r="A788" s="3">
        <v>46046</v>
      </c>
      <c r="B788" s="4">
        <v>2</v>
      </c>
      <c r="C788" s="4">
        <v>16</v>
      </c>
      <c r="D788" s="4" t="s">
        <v>306</v>
      </c>
      <c r="E788" s="4" t="s">
        <v>46</v>
      </c>
      <c r="F788" s="4">
        <v>555979</v>
      </c>
      <c r="G788" s="9">
        <v>2</v>
      </c>
      <c r="H788" s="4" t="s">
        <v>52</v>
      </c>
      <c r="I788" s="4">
        <v>10684863</v>
      </c>
      <c r="J788" s="4">
        <v>6</v>
      </c>
      <c r="K788" s="4">
        <v>28</v>
      </c>
      <c r="L788" s="4">
        <v>28</v>
      </c>
      <c r="M788" s="4">
        <v>984</v>
      </c>
      <c r="N788" s="5">
        <v>100800</v>
      </c>
      <c r="O788" s="5">
        <v>1008</v>
      </c>
      <c r="P788" s="5">
        <v>168</v>
      </c>
      <c r="Q788" s="5">
        <v>5904</v>
      </c>
      <c r="R788" s="5">
        <v>6720</v>
      </c>
      <c r="S788" s="4">
        <v>188.16</v>
      </c>
      <c r="T788" s="5">
        <v>13608</v>
      </c>
      <c r="U788" s="5">
        <v>87192</v>
      </c>
      <c r="V788" s="4">
        <v>165.31200000000001</v>
      </c>
      <c r="W788" s="4">
        <v>0</v>
      </c>
      <c r="X788" s="4">
        <v>0</v>
      </c>
      <c r="Y788" s="4">
        <v>0</v>
      </c>
      <c r="Z788" s="4">
        <v>2.4</v>
      </c>
      <c r="AA788" s="4">
        <v>1.451800232288037E-2</v>
      </c>
      <c r="AB788" s="4">
        <v>43.4</v>
      </c>
      <c r="AC788" s="4">
        <v>11.862666666666666</v>
      </c>
      <c r="AD788" s="4">
        <v>42</v>
      </c>
      <c r="AE788" s="8"/>
      <c r="AF788" s="8"/>
      <c r="AG788" s="8"/>
      <c r="AH788" s="8"/>
      <c r="AI7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0.1373333333333342</v>
      </c>
      <c r="AJ788" s="8"/>
      <c r="AK788" s="4" t="s">
        <v>51</v>
      </c>
      <c r="AN788">
        <f>IFERROR(INT(Table13[[#This Row],[reject_prod]]/Table13[[#This Row],[part_weight]] * 1000), 0)</f>
        <v>85</v>
      </c>
    </row>
    <row r="789" spans="1:40" hidden="1">
      <c r="A789" s="1">
        <v>46047</v>
      </c>
      <c r="B789">
        <v>1</v>
      </c>
      <c r="C789">
        <v>1</v>
      </c>
      <c r="D789" t="s">
        <v>88</v>
      </c>
      <c r="E789" t="s">
        <v>34</v>
      </c>
      <c r="F789">
        <v>577492</v>
      </c>
      <c r="G789" s="6">
        <v>0</v>
      </c>
      <c r="H789" t="s">
        <v>341</v>
      </c>
      <c r="I789">
        <v>10684028</v>
      </c>
      <c r="J789">
        <v>4</v>
      </c>
      <c r="K789">
        <v>35.6</v>
      </c>
      <c r="L789">
        <v>35.6</v>
      </c>
      <c r="M789">
        <v>1564</v>
      </c>
      <c r="N789" s="2">
        <v>101200</v>
      </c>
      <c r="O789" s="2">
        <v>736</v>
      </c>
      <c r="P789" s="2">
        <v>1472</v>
      </c>
      <c r="Q789" s="2">
        <v>6256</v>
      </c>
      <c r="R789" s="2">
        <v>5520</v>
      </c>
      <c r="S789">
        <v>196.512</v>
      </c>
      <c r="T789" s="2">
        <v>64032</v>
      </c>
      <c r="U789" s="2">
        <v>37168</v>
      </c>
      <c r="V789">
        <v>222.71360000000001</v>
      </c>
      <c r="W789">
        <v>0</v>
      </c>
      <c r="X789">
        <v>0</v>
      </c>
      <c r="Y789">
        <v>0</v>
      </c>
      <c r="Z789">
        <v>1.2</v>
      </c>
      <c r="AA789">
        <v>5.3880858645363365E-3</v>
      </c>
      <c r="AB789">
        <v>27.1</v>
      </c>
      <c r="AC789">
        <v>11.773444444444445</v>
      </c>
      <c r="AD789">
        <v>27</v>
      </c>
      <c r="AE789" s="7"/>
      <c r="AF789" s="7"/>
      <c r="AG789" s="7"/>
      <c r="AH789" s="7"/>
      <c r="AI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789" s="7"/>
      <c r="AK789" t="s">
        <v>470</v>
      </c>
      <c r="AN789">
        <f>IFERROR(INT(Table13[[#This Row],[reject_prod]]/Table13[[#This Row],[part_weight]] * 1000), 0)</f>
        <v>33</v>
      </c>
    </row>
    <row r="790" spans="1:40" hidden="1">
      <c r="A790" s="1">
        <v>46047</v>
      </c>
      <c r="B790">
        <v>1</v>
      </c>
      <c r="C790">
        <v>2</v>
      </c>
      <c r="F790">
        <v>123456</v>
      </c>
      <c r="G790" s="6">
        <v>0</v>
      </c>
      <c r="M790">
        <v>0</v>
      </c>
      <c r="N790" s="2">
        <v>0</v>
      </c>
      <c r="O790" s="2">
        <v>0</v>
      </c>
      <c r="P790" s="2">
        <v>0</v>
      </c>
      <c r="Q790" s="2"/>
      <c r="R790" s="2">
        <v>0</v>
      </c>
      <c r="T790" s="2">
        <v>0</v>
      </c>
      <c r="U790" s="2"/>
      <c r="X790">
        <v>0</v>
      </c>
      <c r="Z790">
        <v>0</v>
      </c>
      <c r="AB790">
        <v>0</v>
      </c>
      <c r="AC790">
        <v>0</v>
      </c>
      <c r="AD790">
        <v>0</v>
      </c>
      <c r="AE790" s="7"/>
      <c r="AF790" s="7"/>
      <c r="AG790" s="7"/>
      <c r="AH790" s="7"/>
      <c r="AI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0" s="7">
        <v>12</v>
      </c>
      <c r="AK790" t="s">
        <v>116</v>
      </c>
      <c r="AN790">
        <f>IFERROR(INT(Table13[[#This Row],[reject_prod]]/Table13[[#This Row],[part_weight]] * 1000), 0)</f>
        <v>0</v>
      </c>
    </row>
    <row r="791" spans="1:40" hidden="1">
      <c r="A791" s="1">
        <v>46047</v>
      </c>
      <c r="B791">
        <v>1</v>
      </c>
      <c r="C791">
        <v>3</v>
      </c>
      <c r="D791" t="s">
        <v>59</v>
      </c>
      <c r="E791" t="s">
        <v>34</v>
      </c>
      <c r="F791">
        <v>442034</v>
      </c>
      <c r="G791" s="6">
        <v>0</v>
      </c>
      <c r="H791" t="s">
        <v>37</v>
      </c>
      <c r="I791">
        <v>10681184</v>
      </c>
      <c r="J791">
        <v>4</v>
      </c>
      <c r="K791">
        <v>23</v>
      </c>
      <c r="L791">
        <v>23</v>
      </c>
      <c r="M791">
        <v>1632</v>
      </c>
      <c r="N791" s="2">
        <v>139776</v>
      </c>
      <c r="O791" s="2">
        <v>2688</v>
      </c>
      <c r="P791" s="2">
        <v>0</v>
      </c>
      <c r="Q791" s="2">
        <v>6528</v>
      </c>
      <c r="R791" s="2">
        <v>9216</v>
      </c>
      <c r="S791">
        <v>211.96799999999999</v>
      </c>
      <c r="T791" s="2">
        <v>55296</v>
      </c>
      <c r="U791" s="2">
        <v>84480</v>
      </c>
      <c r="V791">
        <v>150.14400000000001</v>
      </c>
      <c r="W791">
        <v>0</v>
      </c>
      <c r="X791">
        <v>0</v>
      </c>
      <c r="Y791">
        <v>0</v>
      </c>
      <c r="Z791">
        <v>3.2</v>
      </c>
      <c r="AA791">
        <v>2.1312872975277068E-2</v>
      </c>
      <c r="AB791">
        <v>26.2</v>
      </c>
      <c r="AC791">
        <v>11.877333333333334</v>
      </c>
      <c r="AD791">
        <v>22</v>
      </c>
      <c r="AE791" s="7"/>
      <c r="AF791" s="7"/>
      <c r="AG791" s="7"/>
      <c r="AH791" s="7"/>
      <c r="AI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791" s="7"/>
      <c r="AK791" t="s">
        <v>499</v>
      </c>
      <c r="AN791">
        <f>IFERROR(INT(Table13[[#This Row],[reject_prod]]/Table13[[#This Row],[part_weight]] * 1000), 0)</f>
        <v>139</v>
      </c>
    </row>
    <row r="792" spans="1:40" hidden="1">
      <c r="A792" s="1">
        <v>46047</v>
      </c>
      <c r="B792">
        <v>1</v>
      </c>
      <c r="C792">
        <v>4</v>
      </c>
      <c r="F792">
        <v>123456</v>
      </c>
      <c r="G792" s="6">
        <v>0</v>
      </c>
      <c r="M792">
        <v>0</v>
      </c>
      <c r="N792" s="2">
        <v>0</v>
      </c>
      <c r="O792" s="2">
        <v>0</v>
      </c>
      <c r="P792" s="2">
        <v>0</v>
      </c>
      <c r="Q792" s="2"/>
      <c r="R792" s="2">
        <v>0</v>
      </c>
      <c r="T792" s="2">
        <v>0</v>
      </c>
      <c r="U792" s="2"/>
      <c r="X792">
        <v>0</v>
      </c>
      <c r="Z792">
        <v>0</v>
      </c>
      <c r="AB792">
        <v>0</v>
      </c>
      <c r="AC792">
        <v>0</v>
      </c>
      <c r="AD792">
        <v>0</v>
      </c>
      <c r="AE792" s="7"/>
      <c r="AF792" s="7"/>
      <c r="AG792" s="7"/>
      <c r="AH792" s="7"/>
      <c r="AI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2" s="7">
        <v>12</v>
      </c>
      <c r="AK792" t="s">
        <v>116</v>
      </c>
      <c r="AN792">
        <f>IFERROR(INT(Table13[[#This Row],[reject_prod]]/Table13[[#This Row],[part_weight]] * 1000), 0)</f>
        <v>0</v>
      </c>
    </row>
    <row r="793" spans="1:40" hidden="1">
      <c r="A793" s="1">
        <v>46047</v>
      </c>
      <c r="B793">
        <v>1</v>
      </c>
      <c r="C793">
        <v>5</v>
      </c>
      <c r="D793" t="s">
        <v>33</v>
      </c>
      <c r="E793" t="s">
        <v>34</v>
      </c>
      <c r="F793">
        <v>322383</v>
      </c>
      <c r="G793" s="6">
        <v>0</v>
      </c>
      <c r="H793" t="s">
        <v>71</v>
      </c>
      <c r="I793">
        <v>10682756</v>
      </c>
      <c r="J793">
        <v>4</v>
      </c>
      <c r="K793">
        <v>12.5</v>
      </c>
      <c r="L793">
        <v>12.5</v>
      </c>
      <c r="M793">
        <v>0</v>
      </c>
      <c r="N793" s="2">
        <v>66000</v>
      </c>
      <c r="O793" s="2">
        <v>4400</v>
      </c>
      <c r="P793" s="2">
        <v>4400</v>
      </c>
      <c r="Q793" s="2">
        <v>0</v>
      </c>
      <c r="R793" s="2">
        <v>0</v>
      </c>
      <c r="S793">
        <v>0</v>
      </c>
      <c r="T793" s="2">
        <v>57200</v>
      </c>
      <c r="U793" s="2">
        <v>8800</v>
      </c>
      <c r="V793">
        <v>0</v>
      </c>
      <c r="W793">
        <v>0</v>
      </c>
      <c r="X793">
        <v>0</v>
      </c>
      <c r="Y793" t="e">
        <v>#DIV/0!</v>
      </c>
      <c r="Z793">
        <v>0</v>
      </c>
      <c r="AA793" t="e">
        <v>#DIV/0!</v>
      </c>
      <c r="AB793">
        <v>20.9</v>
      </c>
      <c r="AC793">
        <v>0</v>
      </c>
      <c r="AD793">
        <v>17.920000000000002</v>
      </c>
      <c r="AE793" s="7"/>
      <c r="AF793" s="7"/>
      <c r="AG793" s="7"/>
      <c r="AH793" s="7">
        <v>12</v>
      </c>
      <c r="AI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3" s="7"/>
      <c r="AK793" t="s">
        <v>500</v>
      </c>
      <c r="AN793">
        <f>IFERROR(INT(Table13[[#This Row],[reject_prod]]/Table13[[#This Row],[part_weight]] * 1000), 0)</f>
        <v>0</v>
      </c>
    </row>
    <row r="794" spans="1:40" hidden="1">
      <c r="A794" s="1">
        <v>46047</v>
      </c>
      <c r="B794">
        <v>1</v>
      </c>
      <c r="C794">
        <v>6</v>
      </c>
      <c r="D794" t="s">
        <v>53</v>
      </c>
      <c r="E794" t="s">
        <v>34</v>
      </c>
      <c r="F794">
        <v>322412</v>
      </c>
      <c r="G794" s="6">
        <v>0</v>
      </c>
      <c r="H794" t="s">
        <v>487</v>
      </c>
      <c r="I794">
        <v>10685211</v>
      </c>
      <c r="J794">
        <v>4</v>
      </c>
      <c r="K794">
        <v>24.3</v>
      </c>
      <c r="L794">
        <v>24</v>
      </c>
      <c r="M794">
        <v>1275</v>
      </c>
      <c r="N794" s="2">
        <v>13680</v>
      </c>
      <c r="O794" s="2">
        <v>3192</v>
      </c>
      <c r="P794" s="2">
        <v>0</v>
      </c>
      <c r="Q794" s="2">
        <v>5100</v>
      </c>
      <c r="R794" s="2">
        <v>8208</v>
      </c>
      <c r="S794">
        <v>196.99199999999999</v>
      </c>
      <c r="T794" s="2">
        <v>13680</v>
      </c>
      <c r="U794" s="2">
        <v>0</v>
      </c>
      <c r="V794">
        <v>122.4</v>
      </c>
      <c r="W794">
        <v>1.5300000000000036</v>
      </c>
      <c r="X794">
        <v>0</v>
      </c>
      <c r="Y794">
        <v>0</v>
      </c>
      <c r="Z794">
        <v>11.3</v>
      </c>
      <c r="AA794">
        <v>9.2320261437908502E-2</v>
      </c>
      <c r="AB794">
        <v>23.6</v>
      </c>
      <c r="AC794">
        <v>8.3583333333333343</v>
      </c>
      <c r="AD794">
        <v>20</v>
      </c>
      <c r="AE794" s="7"/>
      <c r="AF794" s="7"/>
      <c r="AG794" s="7"/>
      <c r="AH794" s="7"/>
      <c r="AI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3.6416666666666657</v>
      </c>
      <c r="AJ794" s="7"/>
      <c r="AK794" t="s">
        <v>102</v>
      </c>
      <c r="AN794">
        <f>IFERROR(INT(Table13[[#This Row],[reject_prod]]/Table13[[#This Row],[part_weight]] * 1000), 0)</f>
        <v>470</v>
      </c>
    </row>
    <row r="795" spans="1:40" hidden="1">
      <c r="A795" s="1">
        <v>46047</v>
      </c>
      <c r="B795">
        <v>1</v>
      </c>
      <c r="C795">
        <v>6</v>
      </c>
      <c r="D795" t="s">
        <v>53</v>
      </c>
      <c r="E795" t="s">
        <v>34</v>
      </c>
      <c r="F795">
        <v>322412</v>
      </c>
      <c r="G795" s="6">
        <v>0</v>
      </c>
      <c r="H795" t="s">
        <v>487</v>
      </c>
      <c r="I795">
        <v>10685212</v>
      </c>
      <c r="J795">
        <v>4</v>
      </c>
      <c r="K795">
        <v>24.3</v>
      </c>
      <c r="L795">
        <v>24</v>
      </c>
      <c r="M795">
        <v>280</v>
      </c>
      <c r="N795" s="2">
        <v>40600</v>
      </c>
      <c r="O795" s="2">
        <v>0</v>
      </c>
      <c r="P795" s="2">
        <v>1015</v>
      </c>
      <c r="Q795" s="2">
        <v>1120</v>
      </c>
      <c r="R795" s="2">
        <v>0</v>
      </c>
      <c r="S795">
        <v>0</v>
      </c>
      <c r="T795" s="2">
        <v>1015</v>
      </c>
      <c r="U795" s="2">
        <v>39585</v>
      </c>
      <c r="V795">
        <v>26.88</v>
      </c>
      <c r="W795">
        <v>0.3360000000000008</v>
      </c>
      <c r="X795">
        <v>0</v>
      </c>
      <c r="Y795">
        <v>0</v>
      </c>
      <c r="Z795">
        <v>0</v>
      </c>
      <c r="AA795">
        <v>0</v>
      </c>
      <c r="AB795">
        <v>23.6</v>
      </c>
      <c r="AC795">
        <v>1.8355555555555556</v>
      </c>
      <c r="AD795">
        <v>20</v>
      </c>
      <c r="AE795" s="7"/>
      <c r="AF795" s="7"/>
      <c r="AG795" s="7"/>
      <c r="AH795" s="7"/>
      <c r="AI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10.164444444444445</v>
      </c>
      <c r="AJ795" s="7"/>
      <c r="AK795" t="s">
        <v>501</v>
      </c>
      <c r="AN795">
        <f>IFERROR(INT(Table13[[#This Row],[reject_prod]]/Table13[[#This Row],[part_weight]] * 1000), 0)</f>
        <v>0</v>
      </c>
    </row>
    <row r="796" spans="1:40" hidden="1">
      <c r="A796" s="1">
        <v>46047</v>
      </c>
      <c r="B796">
        <v>1</v>
      </c>
      <c r="C796">
        <v>7</v>
      </c>
      <c r="D796" t="s">
        <v>33</v>
      </c>
      <c r="E796" t="s">
        <v>34</v>
      </c>
      <c r="F796">
        <v>647556</v>
      </c>
      <c r="G796" s="6">
        <v>0</v>
      </c>
      <c r="H796" t="s">
        <v>458</v>
      </c>
      <c r="I796">
        <v>10683858</v>
      </c>
      <c r="J796">
        <v>4</v>
      </c>
      <c r="K796">
        <v>35</v>
      </c>
      <c r="L796">
        <v>34.5</v>
      </c>
      <c r="M796">
        <v>0</v>
      </c>
      <c r="N796" s="2">
        <v>27720</v>
      </c>
      <c r="O796" s="2">
        <v>0</v>
      </c>
      <c r="P796" s="2">
        <v>0</v>
      </c>
      <c r="Q796" s="2">
        <v>0</v>
      </c>
      <c r="R796" s="2">
        <v>0</v>
      </c>
      <c r="S796">
        <v>0</v>
      </c>
      <c r="T796" s="2">
        <v>10608</v>
      </c>
      <c r="U796" s="2">
        <v>17112</v>
      </c>
      <c r="V796">
        <v>0</v>
      </c>
      <c r="W796">
        <v>0</v>
      </c>
      <c r="X796">
        <v>0</v>
      </c>
      <c r="Y796" t="e">
        <v>#DIV/0!</v>
      </c>
      <c r="Z796">
        <v>0</v>
      </c>
      <c r="AA796" t="e">
        <v>#DIV/0!</v>
      </c>
      <c r="AB796">
        <v>22</v>
      </c>
      <c r="AC796">
        <v>0</v>
      </c>
      <c r="AD796">
        <v>20.399999999999999</v>
      </c>
      <c r="AE796" s="7"/>
      <c r="AF796" s="7"/>
      <c r="AG796" s="7"/>
      <c r="AH796" s="7"/>
      <c r="AI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96" s="7"/>
      <c r="AK796" t="s">
        <v>502</v>
      </c>
      <c r="AN796">
        <f>IFERROR(INT(Table13[[#This Row],[reject_prod]]/Table13[[#This Row],[part_weight]] * 1000), 0)</f>
        <v>0</v>
      </c>
    </row>
    <row r="797" spans="1:40" hidden="1">
      <c r="A797" s="1">
        <v>46047</v>
      </c>
      <c r="B797">
        <v>1</v>
      </c>
      <c r="C797">
        <v>8</v>
      </c>
      <c r="D797" t="s">
        <v>493</v>
      </c>
      <c r="E797" t="s">
        <v>41</v>
      </c>
      <c r="F797">
        <v>593537</v>
      </c>
      <c r="G797" s="6">
        <v>0</v>
      </c>
      <c r="H797" t="s">
        <v>48</v>
      </c>
      <c r="I797">
        <v>10685022</v>
      </c>
      <c r="J797">
        <v>4</v>
      </c>
      <c r="K797">
        <v>56.5</v>
      </c>
      <c r="L797">
        <v>56.8</v>
      </c>
      <c r="M797">
        <v>1410</v>
      </c>
      <c r="N797" s="2">
        <v>69000</v>
      </c>
      <c r="O797" s="2">
        <v>115</v>
      </c>
      <c r="P797" s="2">
        <v>0</v>
      </c>
      <c r="Q797" s="2">
        <v>5640</v>
      </c>
      <c r="R797" s="2">
        <v>5750</v>
      </c>
      <c r="S797">
        <v>326.60000000000002</v>
      </c>
      <c r="T797" s="2">
        <v>63250</v>
      </c>
      <c r="U797" s="2">
        <v>5750</v>
      </c>
      <c r="V797">
        <v>320.35199999999998</v>
      </c>
      <c r="W797">
        <v>-1.6919999999999842</v>
      </c>
      <c r="X797">
        <v>0</v>
      </c>
      <c r="Y797">
        <v>0</v>
      </c>
      <c r="Z797">
        <v>1.8</v>
      </c>
      <c r="AA797">
        <v>5.618819298771352E-3</v>
      </c>
      <c r="AB797">
        <v>30.4</v>
      </c>
      <c r="AC797">
        <v>11.906666666666666</v>
      </c>
      <c r="AD797">
        <v>28.5</v>
      </c>
      <c r="AE797" s="7"/>
      <c r="AF797" s="7"/>
      <c r="AG797" s="7"/>
      <c r="AH797" s="7"/>
      <c r="AI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797" s="7"/>
      <c r="AK797" t="s">
        <v>51</v>
      </c>
      <c r="AN797">
        <f>IFERROR(INT(Table13[[#This Row],[reject_prod]]/Table13[[#This Row],[part_weight]] * 1000), 0)</f>
        <v>31</v>
      </c>
    </row>
    <row r="798" spans="1:40" hidden="1">
      <c r="A798" s="1">
        <v>46047</v>
      </c>
      <c r="B798">
        <v>1</v>
      </c>
      <c r="C798">
        <v>9</v>
      </c>
      <c r="F798">
        <v>123456</v>
      </c>
      <c r="G798" s="6">
        <v>0</v>
      </c>
      <c r="M798">
        <v>0</v>
      </c>
      <c r="N798" s="2">
        <v>0</v>
      </c>
      <c r="O798" s="2">
        <v>0</v>
      </c>
      <c r="P798" s="2">
        <v>0</v>
      </c>
      <c r="Q798" s="2"/>
      <c r="R798" s="2">
        <v>0</v>
      </c>
      <c r="T798" s="2">
        <v>0</v>
      </c>
      <c r="U798" s="2"/>
      <c r="X798">
        <v>0</v>
      </c>
      <c r="Z798">
        <v>0</v>
      </c>
      <c r="AB798">
        <v>0</v>
      </c>
      <c r="AC798">
        <v>0</v>
      </c>
      <c r="AD798">
        <v>0</v>
      </c>
      <c r="AE798" s="7"/>
      <c r="AF798" s="7"/>
      <c r="AG798" s="7"/>
      <c r="AH798" s="7"/>
      <c r="AI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8" s="7">
        <v>12</v>
      </c>
      <c r="AK798" t="s">
        <v>116</v>
      </c>
      <c r="AN798">
        <f>IFERROR(INT(Table13[[#This Row],[reject_prod]]/Table13[[#This Row],[part_weight]] * 1000), 0)</f>
        <v>0</v>
      </c>
    </row>
    <row r="799" spans="1:40" hidden="1">
      <c r="A799" s="1">
        <v>46047</v>
      </c>
      <c r="B799">
        <v>1</v>
      </c>
      <c r="C799">
        <v>10</v>
      </c>
      <c r="F799">
        <v>123456</v>
      </c>
      <c r="G799" s="6">
        <v>0</v>
      </c>
      <c r="M799">
        <v>0</v>
      </c>
      <c r="N799" s="2">
        <v>0</v>
      </c>
      <c r="O799" s="2">
        <v>0</v>
      </c>
      <c r="P799" s="2">
        <v>0</v>
      </c>
      <c r="Q799" s="2"/>
      <c r="R799" s="2">
        <v>0</v>
      </c>
      <c r="T799" s="2">
        <v>0</v>
      </c>
      <c r="U799" s="2"/>
      <c r="X799">
        <v>0</v>
      </c>
      <c r="Z799">
        <v>0</v>
      </c>
      <c r="AB799">
        <v>0</v>
      </c>
      <c r="AC799">
        <v>0</v>
      </c>
      <c r="AD799">
        <v>0</v>
      </c>
      <c r="AE799" s="7"/>
      <c r="AF799" s="7"/>
      <c r="AG799" s="7"/>
      <c r="AH799" s="7"/>
      <c r="AI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9" s="7">
        <v>12</v>
      </c>
      <c r="AK799" t="s">
        <v>116</v>
      </c>
      <c r="AN799">
        <f>IFERROR(INT(Table13[[#This Row],[reject_prod]]/Table13[[#This Row],[part_weight]] * 1000), 0)</f>
        <v>0</v>
      </c>
    </row>
    <row r="800" spans="1:40" hidden="1">
      <c r="A800" s="1">
        <v>46047</v>
      </c>
      <c r="B800">
        <v>1</v>
      </c>
      <c r="C800">
        <v>11</v>
      </c>
      <c r="D800" t="s">
        <v>494</v>
      </c>
      <c r="E800" t="s">
        <v>46</v>
      </c>
      <c r="F800">
        <v>552181</v>
      </c>
      <c r="G800" s="6">
        <v>1</v>
      </c>
      <c r="H800" t="s">
        <v>49</v>
      </c>
      <c r="I800">
        <v>10683783</v>
      </c>
      <c r="J800">
        <v>6</v>
      </c>
      <c r="K800">
        <v>18.8</v>
      </c>
      <c r="L800">
        <v>18.8</v>
      </c>
      <c r="M800">
        <v>1485</v>
      </c>
      <c r="N800" s="2">
        <v>108000</v>
      </c>
      <c r="O800" s="2">
        <v>4050</v>
      </c>
      <c r="P800" s="2">
        <v>2160</v>
      </c>
      <c r="Q800" s="2">
        <v>8910</v>
      </c>
      <c r="R800" s="2">
        <v>10800</v>
      </c>
      <c r="S800">
        <v>203.04</v>
      </c>
      <c r="T800" s="2">
        <v>72360</v>
      </c>
      <c r="U800" s="2">
        <v>35640</v>
      </c>
      <c r="V800">
        <v>167.50800000000001</v>
      </c>
      <c r="W800">
        <v>0</v>
      </c>
      <c r="X800">
        <v>0</v>
      </c>
      <c r="Y800">
        <v>0</v>
      </c>
      <c r="Z800">
        <v>1.1000000000000001</v>
      </c>
      <c r="AA800">
        <v>6.5668505384817444E-3</v>
      </c>
      <c r="AB800">
        <v>29.6</v>
      </c>
      <c r="AC800">
        <v>12</v>
      </c>
      <c r="AD800">
        <v>27</v>
      </c>
      <c r="AE800" s="7"/>
      <c r="AF800" s="7"/>
      <c r="AG800" s="7"/>
      <c r="AH800" s="7"/>
      <c r="AI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0" s="7"/>
      <c r="AK800" t="s">
        <v>51</v>
      </c>
      <c r="AN800">
        <f>IFERROR(INT(Table13[[#This Row],[reject_prod]]/Table13[[#This Row],[part_weight]] * 1000), 0)</f>
        <v>58</v>
      </c>
    </row>
    <row r="801" spans="1:40" hidden="1">
      <c r="A801" s="1">
        <v>46047</v>
      </c>
      <c r="B801">
        <v>1</v>
      </c>
      <c r="C801">
        <v>12</v>
      </c>
      <c r="F801">
        <v>123456</v>
      </c>
      <c r="G801" s="6">
        <v>0</v>
      </c>
      <c r="M801">
        <v>0</v>
      </c>
      <c r="N801" s="2">
        <v>0</v>
      </c>
      <c r="O801" s="2">
        <v>0</v>
      </c>
      <c r="P801" s="2">
        <v>0</v>
      </c>
      <c r="Q801" s="2"/>
      <c r="R801" s="2">
        <v>0</v>
      </c>
      <c r="T801" s="2">
        <v>0</v>
      </c>
      <c r="U801" s="2"/>
      <c r="X801">
        <v>0</v>
      </c>
      <c r="Z801">
        <v>0</v>
      </c>
      <c r="AB801">
        <v>0</v>
      </c>
      <c r="AC801">
        <v>0</v>
      </c>
      <c r="AD801">
        <v>0</v>
      </c>
      <c r="AE801" s="7"/>
      <c r="AF801" s="7"/>
      <c r="AG801" s="7"/>
      <c r="AH801" s="7"/>
      <c r="AI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1" s="7">
        <v>12</v>
      </c>
      <c r="AK801" t="s">
        <v>116</v>
      </c>
      <c r="AN801">
        <f>IFERROR(INT(Table13[[#This Row],[reject_prod]]/Table13[[#This Row],[part_weight]] * 1000), 0)</f>
        <v>0</v>
      </c>
    </row>
    <row r="802" spans="1:40" hidden="1">
      <c r="A802" s="1">
        <v>46047</v>
      </c>
      <c r="B802">
        <v>1</v>
      </c>
      <c r="C802">
        <v>13</v>
      </c>
      <c r="D802" t="s">
        <v>494</v>
      </c>
      <c r="E802" t="s">
        <v>46</v>
      </c>
      <c r="F802">
        <v>586276</v>
      </c>
      <c r="G802" s="6">
        <v>0</v>
      </c>
      <c r="H802" t="s">
        <v>47</v>
      </c>
      <c r="I802">
        <v>10684862</v>
      </c>
      <c r="J802">
        <v>6</v>
      </c>
      <c r="K802">
        <v>12.3</v>
      </c>
      <c r="L802">
        <v>12.3</v>
      </c>
      <c r="M802">
        <v>1670</v>
      </c>
      <c r="N802" s="2">
        <v>162000</v>
      </c>
      <c r="O802" s="2">
        <v>4455</v>
      </c>
      <c r="P802" s="2">
        <v>6480</v>
      </c>
      <c r="Q802" s="2">
        <v>10020</v>
      </c>
      <c r="R802" s="2">
        <v>8100</v>
      </c>
      <c r="S802">
        <v>99.63</v>
      </c>
      <c r="T802" s="2">
        <v>55080</v>
      </c>
      <c r="U802" s="2">
        <v>106920</v>
      </c>
      <c r="V802">
        <v>123.246</v>
      </c>
      <c r="W802">
        <v>0</v>
      </c>
      <c r="X802">
        <v>0</v>
      </c>
      <c r="Y802">
        <v>0</v>
      </c>
      <c r="Z802">
        <v>1.2</v>
      </c>
      <c r="AA802">
        <v>9.7366243123509083E-3</v>
      </c>
      <c r="AB802">
        <v>26.1</v>
      </c>
      <c r="AC802">
        <v>12</v>
      </c>
      <c r="AD802">
        <v>26</v>
      </c>
      <c r="AE802" s="7"/>
      <c r="AF802" s="7"/>
      <c r="AG802" s="7"/>
      <c r="AH802" s="7"/>
      <c r="AI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2" s="7"/>
      <c r="AK802" t="s">
        <v>51</v>
      </c>
      <c r="AN802">
        <f>IFERROR(INT(Table13[[#This Row],[reject_prod]]/Table13[[#This Row],[part_weight]] * 1000), 0)</f>
        <v>97</v>
      </c>
    </row>
    <row r="803" spans="1:40" hidden="1">
      <c r="A803" s="1">
        <v>46047</v>
      </c>
      <c r="B803">
        <v>1</v>
      </c>
      <c r="C803">
        <v>14</v>
      </c>
      <c r="D803" t="s">
        <v>33</v>
      </c>
      <c r="E803" t="s">
        <v>46</v>
      </c>
      <c r="F803">
        <v>555979</v>
      </c>
      <c r="G803" s="6">
        <v>1</v>
      </c>
      <c r="H803" t="s">
        <v>52</v>
      </c>
      <c r="I803">
        <v>10683785</v>
      </c>
      <c r="J803">
        <v>6</v>
      </c>
      <c r="K803">
        <v>28</v>
      </c>
      <c r="L803">
        <v>28</v>
      </c>
      <c r="M803">
        <v>0</v>
      </c>
      <c r="N803" s="2">
        <v>100800</v>
      </c>
      <c r="O803" s="2">
        <v>0</v>
      </c>
      <c r="P803" s="2"/>
      <c r="Q803" s="2">
        <v>0</v>
      </c>
      <c r="R803" s="2">
        <v>0</v>
      </c>
      <c r="S803">
        <v>0</v>
      </c>
      <c r="T803" s="2">
        <v>0</v>
      </c>
      <c r="U803" s="2">
        <v>100800</v>
      </c>
      <c r="V803">
        <v>0</v>
      </c>
      <c r="W803">
        <v>0</v>
      </c>
      <c r="X803">
        <v>0</v>
      </c>
      <c r="Y803" t="e">
        <v>#DIV/0!</v>
      </c>
      <c r="Z803">
        <v>0</v>
      </c>
      <c r="AA803" t="e">
        <v>#DIV/0!</v>
      </c>
      <c r="AB803">
        <v>43.4</v>
      </c>
      <c r="AC803">
        <v>0</v>
      </c>
      <c r="AD803">
        <v>42</v>
      </c>
      <c r="AE803" s="7"/>
      <c r="AF803" s="7"/>
      <c r="AG803" s="7"/>
      <c r="AH803" s="7"/>
      <c r="AI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03" s="7"/>
      <c r="AK803" t="s">
        <v>481</v>
      </c>
      <c r="AN803">
        <f>IFERROR(INT(Table13[[#This Row],[reject_prod]]/Table13[[#This Row],[part_weight]] * 1000), 0)</f>
        <v>0</v>
      </c>
    </row>
    <row r="804" spans="1:40" hidden="1">
      <c r="A804" s="1">
        <v>46047</v>
      </c>
      <c r="B804">
        <v>1</v>
      </c>
      <c r="C804">
        <v>15</v>
      </c>
      <c r="D804" t="s">
        <v>494</v>
      </c>
      <c r="E804" t="s">
        <v>46</v>
      </c>
      <c r="F804">
        <v>552181</v>
      </c>
      <c r="G804" s="6">
        <v>2</v>
      </c>
      <c r="H804" t="s">
        <v>49</v>
      </c>
      <c r="I804">
        <v>10683787</v>
      </c>
      <c r="J804">
        <v>6</v>
      </c>
      <c r="K804">
        <v>18.8</v>
      </c>
      <c r="L804">
        <v>18.8</v>
      </c>
      <c r="M804">
        <v>1395</v>
      </c>
      <c r="N804" s="2">
        <v>108000</v>
      </c>
      <c r="O804" s="2">
        <v>4320</v>
      </c>
      <c r="P804" s="2">
        <v>1890</v>
      </c>
      <c r="Q804" s="2">
        <v>8370</v>
      </c>
      <c r="R804" s="2">
        <v>10800</v>
      </c>
      <c r="S804">
        <v>203.04</v>
      </c>
      <c r="T804" s="2">
        <v>55890</v>
      </c>
      <c r="U804" s="2">
        <v>52110</v>
      </c>
      <c r="V804">
        <v>157.35599999999999</v>
      </c>
      <c r="W804">
        <v>0</v>
      </c>
      <c r="X804">
        <v>0</v>
      </c>
      <c r="Y804">
        <v>0</v>
      </c>
      <c r="Z804">
        <v>1</v>
      </c>
      <c r="AA804">
        <v>6.3550166501436236E-3</v>
      </c>
      <c r="AB804">
        <v>30.2</v>
      </c>
      <c r="AC804">
        <v>11.702499999999999</v>
      </c>
      <c r="AD804">
        <v>27</v>
      </c>
      <c r="AE804" s="7"/>
      <c r="AF804" s="7"/>
      <c r="AG804" s="7"/>
      <c r="AH804" s="7"/>
      <c r="AI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0.29750000000000121</v>
      </c>
      <c r="AJ804" s="7"/>
      <c r="AK804" t="s">
        <v>51</v>
      </c>
      <c r="AN804">
        <f>IFERROR(INT(Table13[[#This Row],[reject_prod]]/Table13[[#This Row],[part_weight]] * 1000), 0)</f>
        <v>53</v>
      </c>
    </row>
    <row r="805" spans="1:40" s="4" customFormat="1" hidden="1">
      <c r="A805" s="3">
        <v>46047</v>
      </c>
      <c r="B805" s="4">
        <v>1</v>
      </c>
      <c r="C805" s="4">
        <v>16</v>
      </c>
      <c r="D805" s="4" t="s">
        <v>495</v>
      </c>
      <c r="E805" s="4" t="s">
        <v>46</v>
      </c>
      <c r="F805" s="4">
        <v>555979</v>
      </c>
      <c r="G805" s="9">
        <v>2</v>
      </c>
      <c r="H805" s="4" t="s">
        <v>52</v>
      </c>
      <c r="I805" s="4">
        <v>10683788</v>
      </c>
      <c r="J805" s="4">
        <v>6</v>
      </c>
      <c r="K805" s="4">
        <v>28</v>
      </c>
      <c r="L805" s="4">
        <v>28</v>
      </c>
      <c r="M805" s="4">
        <v>1000</v>
      </c>
      <c r="N805" s="5">
        <v>100800</v>
      </c>
      <c r="O805" s="5">
        <v>168</v>
      </c>
      <c r="P805" s="5">
        <v>2688</v>
      </c>
      <c r="Q805" s="5">
        <v>6000</v>
      </c>
      <c r="R805" s="5">
        <v>3360</v>
      </c>
      <c r="S805" s="4">
        <v>94.08</v>
      </c>
      <c r="T805" s="5">
        <v>19488</v>
      </c>
      <c r="U805" s="5">
        <v>81312</v>
      </c>
      <c r="V805" s="4">
        <v>168</v>
      </c>
      <c r="W805" s="4">
        <v>0</v>
      </c>
      <c r="X805" s="4">
        <v>0</v>
      </c>
      <c r="Y805" s="4">
        <v>0</v>
      </c>
      <c r="Z805" s="4">
        <v>1.2</v>
      </c>
      <c r="AA805" s="4">
        <v>7.1428571428571426E-3</v>
      </c>
      <c r="AB805" s="4">
        <v>43.4</v>
      </c>
      <c r="AC805" s="4">
        <v>12</v>
      </c>
      <c r="AD805" s="4">
        <v>42</v>
      </c>
      <c r="AE805" s="8"/>
      <c r="AF805" s="8"/>
      <c r="AG805" s="8"/>
      <c r="AH805" s="8"/>
      <c r="AI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5" s="8"/>
      <c r="AK805" s="4" t="s">
        <v>51</v>
      </c>
      <c r="AN805">
        <f>IFERROR(INT(Table13[[#This Row],[reject_prod]]/Table13[[#This Row],[part_weight]] * 1000), 0)</f>
        <v>42</v>
      </c>
    </row>
    <row r="806" spans="1:40" hidden="1">
      <c r="A806" s="1">
        <v>46047</v>
      </c>
      <c r="B806">
        <v>2</v>
      </c>
      <c r="C806">
        <v>1</v>
      </c>
      <c r="D806" t="s">
        <v>43</v>
      </c>
      <c r="E806" t="s">
        <v>34</v>
      </c>
      <c r="F806">
        <v>577492</v>
      </c>
      <c r="G806" s="6">
        <v>2</v>
      </c>
      <c r="H806" t="s">
        <v>341</v>
      </c>
      <c r="I806">
        <v>10684028</v>
      </c>
      <c r="J806">
        <v>4</v>
      </c>
      <c r="K806">
        <v>35.6</v>
      </c>
      <c r="L806">
        <v>35.6</v>
      </c>
      <c r="M806">
        <v>1564</v>
      </c>
      <c r="N806" s="2">
        <v>101200</v>
      </c>
      <c r="O806" s="2">
        <v>1472</v>
      </c>
      <c r="P806" s="2">
        <v>368</v>
      </c>
      <c r="Q806" s="2">
        <v>6256</v>
      </c>
      <c r="R806" s="2">
        <v>7360</v>
      </c>
      <c r="S806">
        <v>262.01600000000002</v>
      </c>
      <c r="T806" s="2">
        <v>70288</v>
      </c>
      <c r="U806" s="2">
        <v>30912</v>
      </c>
      <c r="V806">
        <v>222.71360000000001</v>
      </c>
      <c r="W806">
        <v>0</v>
      </c>
      <c r="X806">
        <v>0</v>
      </c>
      <c r="Y806">
        <v>0</v>
      </c>
      <c r="Z806">
        <v>3.5</v>
      </c>
      <c r="AA806">
        <v>1.5715250438230983E-2</v>
      </c>
      <c r="AB806">
        <v>27.1</v>
      </c>
      <c r="AC806">
        <v>11.773444444444445</v>
      </c>
      <c r="AD806">
        <v>27</v>
      </c>
      <c r="AE806" s="7"/>
      <c r="AF806" s="7"/>
      <c r="AG806" s="7"/>
      <c r="AH806" s="7"/>
      <c r="AI8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806" s="7"/>
      <c r="AK806" t="s">
        <v>503</v>
      </c>
      <c r="AN806">
        <f>IFERROR(INT(Table13[[#This Row],[reject_prod]]/Table13[[#This Row],[part_weight]] * 1000), 0)</f>
        <v>98</v>
      </c>
    </row>
    <row r="807" spans="1:40" hidden="1">
      <c r="A807" s="1">
        <v>46047</v>
      </c>
      <c r="B807">
        <v>2</v>
      </c>
      <c r="C807">
        <v>2</v>
      </c>
      <c r="F807">
        <v>123456</v>
      </c>
      <c r="G807" s="6">
        <v>0</v>
      </c>
      <c r="M807">
        <v>0</v>
      </c>
      <c r="N807" s="2">
        <v>0</v>
      </c>
      <c r="O807" s="2">
        <v>0</v>
      </c>
      <c r="P807" s="2">
        <v>0</v>
      </c>
      <c r="Q807" s="2"/>
      <c r="R807" s="2">
        <v>0</v>
      </c>
      <c r="T807" s="2">
        <v>0</v>
      </c>
      <c r="U807" s="2"/>
      <c r="X807">
        <v>0</v>
      </c>
      <c r="Z807">
        <v>0</v>
      </c>
      <c r="AB807">
        <v>0</v>
      </c>
      <c r="AC807">
        <v>0</v>
      </c>
      <c r="AD807">
        <v>0</v>
      </c>
      <c r="AE807" s="7"/>
      <c r="AF807" s="7"/>
      <c r="AG807" s="7"/>
      <c r="AH807" s="7"/>
      <c r="AI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7" s="7">
        <v>12</v>
      </c>
      <c r="AK807" t="s">
        <v>116</v>
      </c>
      <c r="AN807">
        <f>IFERROR(INT(Table13[[#This Row],[reject_prod]]/Table13[[#This Row],[part_weight]] * 1000), 0)</f>
        <v>0</v>
      </c>
    </row>
    <row r="808" spans="1:40" hidden="1">
      <c r="A808" s="1">
        <v>46047</v>
      </c>
      <c r="B808">
        <v>2</v>
      </c>
      <c r="C808">
        <v>3</v>
      </c>
      <c r="D808" t="s">
        <v>61</v>
      </c>
      <c r="E808" t="s">
        <v>34</v>
      </c>
      <c r="F808">
        <v>442034</v>
      </c>
      <c r="G808" s="6">
        <v>0</v>
      </c>
      <c r="H808" t="s">
        <v>37</v>
      </c>
      <c r="I808">
        <v>10681184</v>
      </c>
      <c r="J808">
        <v>4</v>
      </c>
      <c r="K808">
        <v>23</v>
      </c>
      <c r="L808">
        <v>23</v>
      </c>
      <c r="M808">
        <v>1652</v>
      </c>
      <c r="N808" s="2">
        <v>139776</v>
      </c>
      <c r="O808" s="2">
        <v>0</v>
      </c>
      <c r="P808" s="2">
        <v>1920</v>
      </c>
      <c r="Q808" s="2">
        <v>6608</v>
      </c>
      <c r="R808" s="2">
        <v>4608</v>
      </c>
      <c r="S808">
        <v>105.98399999999999</v>
      </c>
      <c r="T808" s="2">
        <v>61824</v>
      </c>
      <c r="U808" s="2">
        <v>77952</v>
      </c>
      <c r="V808">
        <v>151.98400000000001</v>
      </c>
      <c r="W808">
        <v>0</v>
      </c>
      <c r="X808">
        <v>0</v>
      </c>
      <c r="Y808">
        <v>0</v>
      </c>
      <c r="Z808">
        <v>4.5</v>
      </c>
      <c r="AA808">
        <v>2.960837982945573E-2</v>
      </c>
      <c r="AB808">
        <v>26</v>
      </c>
      <c r="AC808">
        <v>11.931111111111111</v>
      </c>
      <c r="AD808">
        <v>22</v>
      </c>
      <c r="AE808" s="7"/>
      <c r="AF808" s="7"/>
      <c r="AG808" s="7"/>
      <c r="AH808" s="7"/>
      <c r="AI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6.8888888888888999E-2</v>
      </c>
      <c r="AJ808" s="7"/>
      <c r="AK808" t="s">
        <v>492</v>
      </c>
      <c r="AN808">
        <f>IFERROR(INT(Table13[[#This Row],[reject_prod]]/Table13[[#This Row],[part_weight]] * 1000), 0)</f>
        <v>195</v>
      </c>
    </row>
    <row r="809" spans="1:40" hidden="1">
      <c r="A809" s="1">
        <v>46047</v>
      </c>
      <c r="B809">
        <v>2</v>
      </c>
      <c r="C809">
        <v>4</v>
      </c>
      <c r="F809">
        <v>123456</v>
      </c>
      <c r="G809" s="6">
        <v>0</v>
      </c>
      <c r="M809">
        <v>0</v>
      </c>
      <c r="N809" s="2">
        <v>0</v>
      </c>
      <c r="O809" s="2">
        <v>0</v>
      </c>
      <c r="P809" s="2">
        <v>0</v>
      </c>
      <c r="Q809" s="2"/>
      <c r="R809" s="2">
        <v>0</v>
      </c>
      <c r="T809" s="2">
        <v>0</v>
      </c>
      <c r="U809" s="2"/>
      <c r="X809">
        <v>0</v>
      </c>
      <c r="Z809">
        <v>0</v>
      </c>
      <c r="AB809">
        <v>0</v>
      </c>
      <c r="AC809">
        <v>0</v>
      </c>
      <c r="AD809">
        <v>0</v>
      </c>
      <c r="AE809" s="7"/>
      <c r="AF809" s="7"/>
      <c r="AG809" s="7"/>
      <c r="AH809" s="7"/>
      <c r="AI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9" s="7">
        <v>12</v>
      </c>
      <c r="AK809" t="s">
        <v>116</v>
      </c>
      <c r="AN809">
        <f>IFERROR(INT(Table13[[#This Row],[reject_prod]]/Table13[[#This Row],[part_weight]] * 1000), 0)</f>
        <v>0</v>
      </c>
    </row>
    <row r="810" spans="1:40" hidden="1">
      <c r="A810" s="1">
        <v>46047</v>
      </c>
      <c r="B810">
        <v>2</v>
      </c>
      <c r="C810">
        <v>5</v>
      </c>
      <c r="F810">
        <v>123456</v>
      </c>
      <c r="G810" s="6">
        <v>0</v>
      </c>
      <c r="M810">
        <v>0</v>
      </c>
      <c r="N810" s="2">
        <v>0</v>
      </c>
      <c r="O810" s="2">
        <v>0</v>
      </c>
      <c r="P810" s="2">
        <v>0</v>
      </c>
      <c r="Q810" s="2"/>
      <c r="R810" s="2">
        <v>0</v>
      </c>
      <c r="T810" s="2">
        <v>0</v>
      </c>
      <c r="U810" s="2"/>
      <c r="X810">
        <v>0</v>
      </c>
      <c r="Z810">
        <v>0</v>
      </c>
      <c r="AB810">
        <v>0</v>
      </c>
      <c r="AC810">
        <v>0</v>
      </c>
      <c r="AD810">
        <v>0</v>
      </c>
      <c r="AE810" s="7"/>
      <c r="AF810" s="7"/>
      <c r="AG810" s="7"/>
      <c r="AH810" s="7"/>
      <c r="AI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0" s="7">
        <v>12</v>
      </c>
      <c r="AK810" t="s">
        <v>116</v>
      </c>
      <c r="AN810">
        <f>IFERROR(INT(Table13[[#This Row],[reject_prod]]/Table13[[#This Row],[part_weight]] * 1000), 0)</f>
        <v>0</v>
      </c>
    </row>
    <row r="811" spans="1:40" hidden="1">
      <c r="A811" s="1">
        <v>46047</v>
      </c>
      <c r="B811">
        <v>2</v>
      </c>
      <c r="C811">
        <v>6</v>
      </c>
      <c r="D811" t="s">
        <v>67</v>
      </c>
      <c r="E811" t="s">
        <v>34</v>
      </c>
      <c r="F811">
        <v>322412</v>
      </c>
      <c r="G811" s="6">
        <v>0</v>
      </c>
      <c r="H811" t="s">
        <v>487</v>
      </c>
      <c r="I811">
        <v>10685212</v>
      </c>
      <c r="J811">
        <v>4</v>
      </c>
      <c r="K811">
        <v>24.3</v>
      </c>
      <c r="L811">
        <v>24</v>
      </c>
      <c r="M811">
        <v>1828</v>
      </c>
      <c r="N811" s="2">
        <v>40600</v>
      </c>
      <c r="O811" s="2">
        <v>1015</v>
      </c>
      <c r="P811" s="2">
        <v>406</v>
      </c>
      <c r="Q811" s="2">
        <v>7312</v>
      </c>
      <c r="R811" s="2">
        <v>8120</v>
      </c>
      <c r="S811">
        <v>194.88</v>
      </c>
      <c r="T811" s="2">
        <v>8526</v>
      </c>
      <c r="U811" s="2">
        <v>32074</v>
      </c>
      <c r="V811">
        <v>175.488</v>
      </c>
      <c r="W811">
        <v>2.1936000000000053</v>
      </c>
      <c r="X811">
        <v>0</v>
      </c>
      <c r="Y811">
        <v>0</v>
      </c>
      <c r="Z811">
        <v>2</v>
      </c>
      <c r="AA811">
        <v>1.1396790663749089E-2</v>
      </c>
      <c r="AB811">
        <v>23.6</v>
      </c>
      <c r="AC811">
        <v>11.983555555555556</v>
      </c>
      <c r="AD811">
        <v>20</v>
      </c>
      <c r="AE811" s="7"/>
      <c r="AF811" s="7"/>
      <c r="AG811" s="7"/>
      <c r="AH811" s="7"/>
      <c r="AI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1.6444444444443818E-2</v>
      </c>
      <c r="AJ811" s="7"/>
      <c r="AK811" t="s">
        <v>214</v>
      </c>
      <c r="AN811">
        <f>IFERROR(INT(Table13[[#This Row],[reject_prod]]/Table13[[#This Row],[part_weight]] * 1000), 0)</f>
        <v>83</v>
      </c>
    </row>
    <row r="812" spans="1:40" hidden="1">
      <c r="A812" s="1">
        <v>46047</v>
      </c>
      <c r="B812">
        <v>2</v>
      </c>
      <c r="C812">
        <v>7</v>
      </c>
      <c r="F812">
        <v>123456</v>
      </c>
      <c r="G812" s="6">
        <v>0</v>
      </c>
      <c r="M812">
        <v>0</v>
      </c>
      <c r="N812" s="2">
        <v>0</v>
      </c>
      <c r="O812" s="2">
        <v>0</v>
      </c>
      <c r="P812" s="2">
        <v>0</v>
      </c>
      <c r="Q812" s="2"/>
      <c r="R812" s="2">
        <v>0</v>
      </c>
      <c r="T812" s="2">
        <v>0</v>
      </c>
      <c r="U812" s="2"/>
      <c r="X812">
        <v>0</v>
      </c>
      <c r="Z812">
        <v>0</v>
      </c>
      <c r="AB812">
        <v>0</v>
      </c>
      <c r="AC812">
        <v>0</v>
      </c>
      <c r="AD812">
        <v>0</v>
      </c>
      <c r="AE812" s="7"/>
      <c r="AF812" s="7"/>
      <c r="AG812" s="7"/>
      <c r="AH812" s="7"/>
      <c r="AI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2" s="7">
        <v>12</v>
      </c>
      <c r="AK812" t="s">
        <v>116</v>
      </c>
      <c r="AN812">
        <f>IFERROR(INT(Table13[[#This Row],[reject_prod]]/Table13[[#This Row],[part_weight]] * 1000), 0)</f>
        <v>0</v>
      </c>
    </row>
    <row r="813" spans="1:40" hidden="1">
      <c r="A813" s="1">
        <v>46047</v>
      </c>
      <c r="B813">
        <v>2</v>
      </c>
      <c r="C813">
        <v>8</v>
      </c>
      <c r="D813" t="s">
        <v>496</v>
      </c>
      <c r="E813" t="s">
        <v>41</v>
      </c>
      <c r="F813">
        <v>593537</v>
      </c>
      <c r="G813" s="6">
        <v>0</v>
      </c>
      <c r="H813" t="s">
        <v>48</v>
      </c>
      <c r="I813">
        <v>10685022</v>
      </c>
      <c r="J813">
        <v>4</v>
      </c>
      <c r="K813">
        <v>56.5</v>
      </c>
      <c r="L813">
        <v>56.8</v>
      </c>
      <c r="M813">
        <v>1441</v>
      </c>
      <c r="N813" s="2">
        <v>69000</v>
      </c>
      <c r="O813" s="2">
        <v>0</v>
      </c>
      <c r="P813" s="2">
        <v>0</v>
      </c>
      <c r="Q813" s="2">
        <v>5764</v>
      </c>
      <c r="R813" s="2">
        <v>5750</v>
      </c>
      <c r="S813">
        <v>326.60000000000002</v>
      </c>
      <c r="T813" s="2">
        <v>69000</v>
      </c>
      <c r="U813" s="2">
        <v>0</v>
      </c>
      <c r="V813">
        <v>327.39519999999999</v>
      </c>
      <c r="W813">
        <v>0</v>
      </c>
      <c r="X813">
        <v>0</v>
      </c>
      <c r="Y813">
        <v>0</v>
      </c>
      <c r="Z813">
        <v>3</v>
      </c>
      <c r="AA813">
        <v>9.1632375795369023E-3</v>
      </c>
      <c r="AB813">
        <v>30.4</v>
      </c>
      <c r="AC813">
        <v>12</v>
      </c>
      <c r="AD813">
        <v>28.5</v>
      </c>
      <c r="AE813" s="7"/>
      <c r="AF813" s="7"/>
      <c r="AG813" s="7"/>
      <c r="AH813" s="7"/>
      <c r="AI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3" s="7"/>
      <c r="AK813" t="s">
        <v>504</v>
      </c>
      <c r="AN813">
        <f>IFERROR(INT(Table13[[#This Row],[reject_prod]]/Table13[[#This Row],[part_weight]] * 1000), 0)</f>
        <v>52</v>
      </c>
    </row>
    <row r="814" spans="1:40" hidden="1">
      <c r="A814" s="1">
        <v>46047</v>
      </c>
      <c r="B814">
        <v>2</v>
      </c>
      <c r="C814">
        <v>9</v>
      </c>
      <c r="F814">
        <v>123456</v>
      </c>
      <c r="G814" s="6">
        <v>0</v>
      </c>
      <c r="M814">
        <v>0</v>
      </c>
      <c r="N814" s="2">
        <v>0</v>
      </c>
      <c r="O814" s="2">
        <v>0</v>
      </c>
      <c r="P814" s="2">
        <v>0</v>
      </c>
      <c r="Q814" s="2"/>
      <c r="R814" s="2">
        <v>0</v>
      </c>
      <c r="T814" s="2">
        <v>0</v>
      </c>
      <c r="U814" s="2"/>
      <c r="X814">
        <v>0</v>
      </c>
      <c r="Z814">
        <v>0</v>
      </c>
      <c r="AB814">
        <v>0</v>
      </c>
      <c r="AC814">
        <v>0</v>
      </c>
      <c r="AD814">
        <v>0</v>
      </c>
      <c r="AE814" s="7"/>
      <c r="AF814" s="7"/>
      <c r="AG814" s="7"/>
      <c r="AH814" s="7"/>
      <c r="AI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4" s="7">
        <v>12</v>
      </c>
      <c r="AK814" t="s">
        <v>116</v>
      </c>
      <c r="AN814">
        <f>IFERROR(INT(Table13[[#This Row],[reject_prod]]/Table13[[#This Row],[part_weight]] * 1000), 0)</f>
        <v>0</v>
      </c>
    </row>
    <row r="815" spans="1:40" hidden="1">
      <c r="A815" s="1">
        <v>46047</v>
      </c>
      <c r="B815">
        <v>2</v>
      </c>
      <c r="C815">
        <v>10</v>
      </c>
      <c r="F815">
        <v>123456</v>
      </c>
      <c r="G815" s="6">
        <v>0</v>
      </c>
      <c r="M815">
        <v>0</v>
      </c>
      <c r="N815" s="2">
        <v>0</v>
      </c>
      <c r="O815" s="2">
        <v>0</v>
      </c>
      <c r="P815" s="2">
        <v>0</v>
      </c>
      <c r="Q815" s="2"/>
      <c r="R815" s="2">
        <v>0</v>
      </c>
      <c r="T815" s="2">
        <v>0</v>
      </c>
      <c r="U815" s="2"/>
      <c r="X815">
        <v>0</v>
      </c>
      <c r="Z815">
        <v>0</v>
      </c>
      <c r="AB815">
        <v>0</v>
      </c>
      <c r="AC815">
        <v>0</v>
      </c>
      <c r="AD815">
        <v>0</v>
      </c>
      <c r="AE815" s="7"/>
      <c r="AF815" s="7"/>
      <c r="AG815" s="7"/>
      <c r="AH815" s="7"/>
      <c r="AI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5" s="7">
        <v>12</v>
      </c>
      <c r="AK815" t="s">
        <v>116</v>
      </c>
      <c r="AN815">
        <f>IFERROR(INT(Table13[[#This Row],[reject_prod]]/Table13[[#This Row],[part_weight]] * 1000), 0)</f>
        <v>0</v>
      </c>
    </row>
    <row r="816" spans="1:40" hidden="1">
      <c r="A816" s="1">
        <v>46047</v>
      </c>
      <c r="B816">
        <v>2</v>
      </c>
      <c r="C816">
        <v>11</v>
      </c>
      <c r="D816" t="s">
        <v>497</v>
      </c>
      <c r="E816" t="s">
        <v>46</v>
      </c>
      <c r="F816">
        <v>552181</v>
      </c>
      <c r="G816" s="6">
        <v>1</v>
      </c>
      <c r="H816" t="s">
        <v>49</v>
      </c>
      <c r="I816">
        <v>10683783</v>
      </c>
      <c r="J816">
        <v>6</v>
      </c>
      <c r="K816">
        <v>18.8</v>
      </c>
      <c r="L816">
        <v>18.8</v>
      </c>
      <c r="M816">
        <v>1456</v>
      </c>
      <c r="N816" s="2">
        <v>108000</v>
      </c>
      <c r="O816" s="2">
        <v>2160</v>
      </c>
      <c r="P816" s="2">
        <v>0</v>
      </c>
      <c r="Q816" s="2">
        <v>8736</v>
      </c>
      <c r="R816" s="2">
        <v>10800</v>
      </c>
      <c r="S816">
        <v>203.04</v>
      </c>
      <c r="T816" s="2">
        <v>81000</v>
      </c>
      <c r="U816" s="2">
        <v>27000</v>
      </c>
      <c r="V816">
        <v>164.23680000000002</v>
      </c>
      <c r="W816">
        <v>0</v>
      </c>
      <c r="X816">
        <v>0</v>
      </c>
      <c r="Y816">
        <v>0</v>
      </c>
      <c r="Z816">
        <v>1</v>
      </c>
      <c r="AA816">
        <v>6.0887693866417264E-3</v>
      </c>
      <c r="AB816">
        <v>29.6</v>
      </c>
      <c r="AC816">
        <v>11.971555555555556</v>
      </c>
      <c r="AD816">
        <v>27</v>
      </c>
      <c r="AE816" s="7"/>
      <c r="AF816" s="7"/>
      <c r="AG816" s="7"/>
      <c r="AH816" s="7"/>
      <c r="AI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2.8444444444444272E-2</v>
      </c>
      <c r="AJ816" s="7"/>
      <c r="AK816" t="s">
        <v>51</v>
      </c>
      <c r="AN816">
        <f>IFERROR(INT(Table13[[#This Row],[reject_prod]]/Table13[[#This Row],[part_weight]] * 1000), 0)</f>
        <v>53</v>
      </c>
    </row>
    <row r="817" spans="1:40" hidden="1">
      <c r="A817" s="1">
        <v>46047</v>
      </c>
      <c r="B817">
        <v>2</v>
      </c>
      <c r="C817">
        <v>12</v>
      </c>
      <c r="F817">
        <v>123456</v>
      </c>
      <c r="G817" s="6">
        <v>0</v>
      </c>
      <c r="M817">
        <v>0</v>
      </c>
      <c r="N817" s="2">
        <v>0</v>
      </c>
      <c r="O817" s="2">
        <v>0</v>
      </c>
      <c r="P817" s="2">
        <v>0</v>
      </c>
      <c r="Q817" s="2"/>
      <c r="R817" s="2">
        <v>0</v>
      </c>
      <c r="T817" s="2">
        <v>0</v>
      </c>
      <c r="U817" s="2"/>
      <c r="X817">
        <v>0</v>
      </c>
      <c r="Z817">
        <v>0</v>
      </c>
      <c r="AB817">
        <v>0</v>
      </c>
      <c r="AC817">
        <v>0</v>
      </c>
      <c r="AD817">
        <v>0</v>
      </c>
      <c r="AE817" s="7"/>
      <c r="AF817" s="7"/>
      <c r="AG817" s="7"/>
      <c r="AH817" s="7"/>
      <c r="AI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7" s="7">
        <v>12</v>
      </c>
      <c r="AK817" t="s">
        <v>116</v>
      </c>
      <c r="AN817">
        <f>IFERROR(INT(Table13[[#This Row],[reject_prod]]/Table13[[#This Row],[part_weight]] * 1000), 0)</f>
        <v>0</v>
      </c>
    </row>
    <row r="818" spans="1:40" hidden="1">
      <c r="A818" s="1">
        <v>46047</v>
      </c>
      <c r="B818">
        <v>2</v>
      </c>
      <c r="C818">
        <v>13</v>
      </c>
      <c r="D818" t="s">
        <v>497</v>
      </c>
      <c r="E818" t="s">
        <v>46</v>
      </c>
      <c r="F818">
        <v>586276</v>
      </c>
      <c r="G818" s="6">
        <v>0</v>
      </c>
      <c r="H818" t="s">
        <v>47</v>
      </c>
      <c r="I818">
        <v>10684862</v>
      </c>
      <c r="J818">
        <v>6</v>
      </c>
      <c r="K818">
        <v>12.3</v>
      </c>
      <c r="L818">
        <v>12.3</v>
      </c>
      <c r="M818">
        <v>1623</v>
      </c>
      <c r="N818" s="2">
        <v>162000</v>
      </c>
      <c r="O818" s="2">
        <v>6480</v>
      </c>
      <c r="P818" s="2">
        <v>0</v>
      </c>
      <c r="Q818" s="2">
        <v>9738</v>
      </c>
      <c r="R818" s="2">
        <v>16200</v>
      </c>
      <c r="S818">
        <v>199.26</v>
      </c>
      <c r="T818" s="2">
        <v>64800</v>
      </c>
      <c r="U818" s="2">
        <v>97200</v>
      </c>
      <c r="V818">
        <v>119.77740000000001</v>
      </c>
      <c r="W818">
        <v>0</v>
      </c>
      <c r="X818">
        <v>0</v>
      </c>
      <c r="Y818">
        <v>0</v>
      </c>
      <c r="Z818">
        <v>1.5</v>
      </c>
      <c r="AA818">
        <v>1.2523230592749549E-2</v>
      </c>
      <c r="AB818">
        <v>26.2</v>
      </c>
      <c r="AC818">
        <v>11.811833333333334</v>
      </c>
      <c r="AD818">
        <v>26</v>
      </c>
      <c r="AE818" s="7"/>
      <c r="AF818" s="7"/>
      <c r="AG818" s="7"/>
      <c r="AH818" s="7"/>
      <c r="AI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0.18816666666666571</v>
      </c>
      <c r="AJ818" s="7"/>
      <c r="AK818" t="s">
        <v>51</v>
      </c>
      <c r="AN818">
        <f>IFERROR(INT(Table13[[#This Row],[reject_prod]]/Table13[[#This Row],[part_weight]] * 1000), 0)</f>
        <v>121</v>
      </c>
    </row>
    <row r="819" spans="1:40" hidden="1">
      <c r="A819" s="1">
        <v>46047</v>
      </c>
      <c r="B819">
        <v>2</v>
      </c>
      <c r="C819">
        <v>14</v>
      </c>
      <c r="F819">
        <v>123456</v>
      </c>
      <c r="G819" s="6">
        <v>0</v>
      </c>
      <c r="M819">
        <v>0</v>
      </c>
      <c r="N819" s="2">
        <v>0</v>
      </c>
      <c r="O819" s="2">
        <v>0</v>
      </c>
      <c r="P819" s="2">
        <v>0</v>
      </c>
      <c r="Q819" s="2"/>
      <c r="R819" s="2">
        <v>0</v>
      </c>
      <c r="T819" s="2">
        <v>0</v>
      </c>
      <c r="U819" s="2"/>
      <c r="X819">
        <v>0</v>
      </c>
      <c r="Z819">
        <v>0</v>
      </c>
      <c r="AB819">
        <v>0</v>
      </c>
      <c r="AC819">
        <v>0</v>
      </c>
      <c r="AD819">
        <v>0</v>
      </c>
      <c r="AE819" s="7"/>
      <c r="AF819" s="7"/>
      <c r="AG819" s="7"/>
      <c r="AH819" s="7"/>
      <c r="AI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9" s="7">
        <v>12</v>
      </c>
      <c r="AK819" t="s">
        <v>116</v>
      </c>
      <c r="AN819">
        <f>IFERROR(INT(Table13[[#This Row],[reject_prod]]/Table13[[#This Row],[part_weight]] * 1000), 0)</f>
        <v>0</v>
      </c>
    </row>
    <row r="820" spans="1:40" hidden="1">
      <c r="A820" s="1">
        <v>46047</v>
      </c>
      <c r="B820">
        <v>2</v>
      </c>
      <c r="C820">
        <v>15</v>
      </c>
      <c r="D820" t="s">
        <v>497</v>
      </c>
      <c r="E820" t="s">
        <v>46</v>
      </c>
      <c r="F820">
        <v>552181</v>
      </c>
      <c r="G820" s="6">
        <v>2</v>
      </c>
      <c r="H820" t="s">
        <v>49</v>
      </c>
      <c r="I820">
        <v>10683787</v>
      </c>
      <c r="J820">
        <v>6</v>
      </c>
      <c r="K820">
        <v>18.8</v>
      </c>
      <c r="L820">
        <v>18.8</v>
      </c>
      <c r="M820">
        <v>1355</v>
      </c>
      <c r="N820" s="2">
        <v>108000</v>
      </c>
      <c r="O820" s="2">
        <v>1890</v>
      </c>
      <c r="P820" s="2">
        <v>4590</v>
      </c>
      <c r="Q820" s="2">
        <v>8130</v>
      </c>
      <c r="R820" s="2">
        <v>5400</v>
      </c>
      <c r="S820">
        <v>101.52</v>
      </c>
      <c r="T820" s="2">
        <v>63990</v>
      </c>
      <c r="U820" s="2">
        <v>44010</v>
      </c>
      <c r="V820">
        <v>152.84399999999999</v>
      </c>
      <c r="W820">
        <v>0</v>
      </c>
      <c r="X820">
        <v>0</v>
      </c>
      <c r="Y820">
        <v>0</v>
      </c>
      <c r="Z820">
        <v>2</v>
      </c>
      <c r="AA820">
        <v>1.3085237235351077E-2</v>
      </c>
      <c r="AB820">
        <v>31.2</v>
      </c>
      <c r="AC820">
        <v>11.743333333333332</v>
      </c>
      <c r="AD820">
        <v>27</v>
      </c>
      <c r="AE820" s="7"/>
      <c r="AF820" s="7"/>
      <c r="AG820" s="7"/>
      <c r="AH820" s="7"/>
      <c r="AI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820" s="7"/>
      <c r="AK820" t="s">
        <v>51</v>
      </c>
      <c r="AN820">
        <f>IFERROR(INT(Table13[[#This Row],[reject_prod]]/Table13[[#This Row],[part_weight]] * 1000), 0)</f>
        <v>106</v>
      </c>
    </row>
    <row r="821" spans="1:40" s="4" customFormat="1" hidden="1">
      <c r="A821" s="3">
        <v>46047</v>
      </c>
      <c r="B821" s="4">
        <v>2</v>
      </c>
      <c r="C821" s="4">
        <v>16</v>
      </c>
      <c r="D821" s="4" t="s">
        <v>498</v>
      </c>
      <c r="E821" s="4" t="s">
        <v>46</v>
      </c>
      <c r="F821" s="4">
        <v>555979</v>
      </c>
      <c r="G821" s="9">
        <v>2</v>
      </c>
      <c r="H821" s="4" t="s">
        <v>52</v>
      </c>
      <c r="I821" s="4">
        <v>10684863</v>
      </c>
      <c r="J821" s="4">
        <v>6</v>
      </c>
      <c r="K821" s="4">
        <v>28</v>
      </c>
      <c r="L821" s="4">
        <v>28</v>
      </c>
      <c r="M821" s="4">
        <v>997</v>
      </c>
      <c r="N821" s="5">
        <v>100800</v>
      </c>
      <c r="O821" s="5">
        <v>2688</v>
      </c>
      <c r="P821" s="5">
        <v>5208</v>
      </c>
      <c r="Q821" s="5">
        <v>5982</v>
      </c>
      <c r="R821" s="5">
        <v>3360</v>
      </c>
      <c r="S821" s="4">
        <v>94.08</v>
      </c>
      <c r="T821" s="5">
        <v>25368</v>
      </c>
      <c r="U821" s="5">
        <v>75432</v>
      </c>
      <c r="V821" s="4">
        <v>167.49600000000001</v>
      </c>
      <c r="W821" s="4">
        <v>0</v>
      </c>
      <c r="X821" s="4">
        <v>0</v>
      </c>
      <c r="Y821" s="4">
        <v>0</v>
      </c>
      <c r="Z821" s="4">
        <v>1</v>
      </c>
      <c r="AA821" s="4">
        <v>5.970291827864546E-3</v>
      </c>
      <c r="AB821" s="4">
        <v>43.4</v>
      </c>
      <c r="AC821" s="4">
        <v>12</v>
      </c>
      <c r="AD821" s="4">
        <v>42</v>
      </c>
      <c r="AE821" s="8"/>
      <c r="AF821" s="8"/>
      <c r="AG821" s="8"/>
      <c r="AH821" s="8"/>
      <c r="AI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1" s="8"/>
      <c r="AK821" s="4" t="s">
        <v>51</v>
      </c>
      <c r="AN821">
        <f>IFERROR(INT(Table13[[#This Row],[reject_prod]]/Table13[[#This Row],[part_weight]] * 1000), 0)</f>
        <v>35</v>
      </c>
    </row>
    <row r="822" spans="1:40" hidden="1">
      <c r="A822" s="1">
        <v>46048</v>
      </c>
      <c r="B822">
        <v>1</v>
      </c>
      <c r="C822">
        <v>1</v>
      </c>
      <c r="D822" t="s">
        <v>117</v>
      </c>
      <c r="E822" t="s">
        <v>34</v>
      </c>
      <c r="F822">
        <v>577492</v>
      </c>
      <c r="G822" s="6">
        <v>0</v>
      </c>
      <c r="H822" t="s">
        <v>341</v>
      </c>
      <c r="I822">
        <v>10684028</v>
      </c>
      <c r="J822">
        <v>4</v>
      </c>
      <c r="K822">
        <v>35.6</v>
      </c>
      <c r="L822">
        <v>35.6</v>
      </c>
      <c r="M822">
        <v>1610</v>
      </c>
      <c r="N822" s="2">
        <v>101200</v>
      </c>
      <c r="O822" s="2">
        <v>368</v>
      </c>
      <c r="P822" s="2">
        <v>1104</v>
      </c>
      <c r="Q822" s="2">
        <v>6440</v>
      </c>
      <c r="R822" s="2">
        <v>5520</v>
      </c>
      <c r="S822">
        <v>196.512</v>
      </c>
      <c r="T822" s="2">
        <v>76544</v>
      </c>
      <c r="U822" s="2">
        <v>24656</v>
      </c>
      <c r="V822">
        <v>229.26400000000001</v>
      </c>
      <c r="W822">
        <v>0</v>
      </c>
      <c r="X822">
        <v>0</v>
      </c>
      <c r="Y822">
        <v>0</v>
      </c>
      <c r="Z822">
        <v>3.8</v>
      </c>
      <c r="AA822">
        <v>1.6574778421383208E-2</v>
      </c>
      <c r="AB822">
        <v>27</v>
      </c>
      <c r="AC822">
        <v>12</v>
      </c>
      <c r="AD822">
        <v>27</v>
      </c>
      <c r="AE822" s="7"/>
      <c r="AF822" s="7"/>
      <c r="AG822" s="7"/>
      <c r="AH822" s="7"/>
      <c r="AI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2" s="7"/>
      <c r="AK822" t="s">
        <v>512</v>
      </c>
      <c r="AM822">
        <v>1.5</v>
      </c>
      <c r="AN822">
        <f>IFERROR(INT(Table13[[#This Row],[reject_prod]]/Table13[[#This Row],[part_weight]] * 1000), 0)</f>
        <v>106</v>
      </c>
    </row>
    <row r="823" spans="1:40" hidden="1">
      <c r="A823" s="1">
        <v>46048</v>
      </c>
      <c r="B823">
        <v>1</v>
      </c>
      <c r="C823">
        <v>2</v>
      </c>
      <c r="D823" t="s">
        <v>33</v>
      </c>
      <c r="E823" t="s">
        <v>34</v>
      </c>
      <c r="F823">
        <v>416201</v>
      </c>
      <c r="G823" s="6">
        <v>0</v>
      </c>
      <c r="H823" t="s">
        <v>36</v>
      </c>
      <c r="I823">
        <v>10681779</v>
      </c>
      <c r="J823">
        <v>4</v>
      </c>
      <c r="K823">
        <v>20</v>
      </c>
      <c r="L823">
        <v>30</v>
      </c>
      <c r="M823">
        <v>0</v>
      </c>
      <c r="N823" s="2">
        <v>50400</v>
      </c>
      <c r="O823" s="2">
        <v>0</v>
      </c>
      <c r="P823" s="2">
        <v>0</v>
      </c>
      <c r="Q823" s="2">
        <v>0</v>
      </c>
      <c r="R823" s="2">
        <v>0</v>
      </c>
      <c r="S823">
        <v>0</v>
      </c>
      <c r="T823" s="2">
        <v>0</v>
      </c>
      <c r="U823" s="2">
        <v>50400</v>
      </c>
      <c r="V823">
        <v>0</v>
      </c>
      <c r="W823">
        <v>0</v>
      </c>
      <c r="X823">
        <v>0</v>
      </c>
      <c r="Y823" t="e">
        <v>#DIV/0!</v>
      </c>
      <c r="Z823">
        <v>0</v>
      </c>
      <c r="AA823" t="e">
        <v>#DIV/0!</v>
      </c>
      <c r="AB823">
        <v>38.6</v>
      </c>
      <c r="AC823">
        <v>0</v>
      </c>
      <c r="AD823">
        <v>38.64</v>
      </c>
      <c r="AE823" s="7"/>
      <c r="AF823" s="7"/>
      <c r="AG823" s="7"/>
      <c r="AH823" s="7"/>
      <c r="AI8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23" s="7"/>
      <c r="AK823" t="s">
        <v>513</v>
      </c>
      <c r="AN823">
        <f>IFERROR(INT(Table13[[#This Row],[reject_prod]]/Table13[[#This Row],[part_weight]] * 1000), 0)</f>
        <v>0</v>
      </c>
    </row>
    <row r="824" spans="1:40" hidden="1">
      <c r="A824" s="1">
        <v>46048</v>
      </c>
      <c r="B824">
        <v>1</v>
      </c>
      <c r="C824">
        <v>3</v>
      </c>
      <c r="D824" t="s">
        <v>289</v>
      </c>
      <c r="E824" t="s">
        <v>34</v>
      </c>
      <c r="F824">
        <v>442034</v>
      </c>
      <c r="G824" s="6">
        <v>0</v>
      </c>
      <c r="H824" t="s">
        <v>37</v>
      </c>
      <c r="I824">
        <v>10681184</v>
      </c>
      <c r="J824">
        <v>4</v>
      </c>
      <c r="K824">
        <v>23</v>
      </c>
      <c r="L824">
        <v>23</v>
      </c>
      <c r="M824">
        <v>1600</v>
      </c>
      <c r="N824" s="2">
        <v>139776</v>
      </c>
      <c r="O824" s="2">
        <v>1920</v>
      </c>
      <c r="P824" s="2">
        <v>3456</v>
      </c>
      <c r="Q824" s="2">
        <v>6400</v>
      </c>
      <c r="R824" s="2">
        <v>4608</v>
      </c>
      <c r="S824">
        <v>105.98399999999999</v>
      </c>
      <c r="T824" s="2">
        <v>67968</v>
      </c>
      <c r="U824" s="2">
        <v>71808</v>
      </c>
      <c r="V824">
        <v>147.19999999999999</v>
      </c>
      <c r="W824">
        <v>0</v>
      </c>
      <c r="X824">
        <v>0</v>
      </c>
      <c r="Y824">
        <v>0</v>
      </c>
      <c r="Z824">
        <v>4.8</v>
      </c>
      <c r="AA824">
        <v>3.2608695652173912E-2</v>
      </c>
      <c r="AB824">
        <v>26.5</v>
      </c>
      <c r="AC824">
        <v>11.777777777777777</v>
      </c>
      <c r="AD824">
        <v>22</v>
      </c>
      <c r="AE824" s="7"/>
      <c r="AF824" s="7"/>
      <c r="AG824" s="7"/>
      <c r="AH824" s="7"/>
      <c r="AI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0.22222222222222321</v>
      </c>
      <c r="AJ824" s="7"/>
      <c r="AK824" t="s">
        <v>514</v>
      </c>
      <c r="AN824">
        <f>IFERROR(INT(Table13[[#This Row],[reject_prod]]/Table13[[#This Row],[part_weight]] * 1000), 0)</f>
        <v>208</v>
      </c>
    </row>
    <row r="825" spans="1:40" hidden="1">
      <c r="A825" s="1">
        <v>46048</v>
      </c>
      <c r="B825">
        <v>1</v>
      </c>
      <c r="C825">
        <v>4</v>
      </c>
      <c r="D825" t="s">
        <v>54</v>
      </c>
      <c r="E825" t="s">
        <v>34</v>
      </c>
      <c r="F825">
        <v>402305</v>
      </c>
      <c r="G825" s="6">
        <v>0</v>
      </c>
      <c r="H825" t="s">
        <v>395</v>
      </c>
      <c r="I825">
        <v>10684852</v>
      </c>
      <c r="J825">
        <v>4</v>
      </c>
      <c r="K825">
        <v>29</v>
      </c>
      <c r="L825">
        <v>29</v>
      </c>
      <c r="M825">
        <v>940</v>
      </c>
      <c r="N825" s="2">
        <v>64896</v>
      </c>
      <c r="O825" s="2">
        <v>0</v>
      </c>
      <c r="P825" s="2">
        <v>0</v>
      </c>
      <c r="Q825" s="2">
        <v>3760</v>
      </c>
      <c r="R825" s="2">
        <v>3744</v>
      </c>
      <c r="S825">
        <v>108.57599999999999</v>
      </c>
      <c r="T825" s="2">
        <v>64896</v>
      </c>
      <c r="U825" s="2">
        <v>0</v>
      </c>
      <c r="V825">
        <v>109.04</v>
      </c>
      <c r="W825">
        <v>0</v>
      </c>
      <c r="X825">
        <v>0</v>
      </c>
      <c r="Y825">
        <v>0</v>
      </c>
      <c r="Z825">
        <v>2</v>
      </c>
      <c r="AA825">
        <v>1.8341892883345562E-2</v>
      </c>
      <c r="AB825">
        <v>25.4</v>
      </c>
      <c r="AC825">
        <v>6.6322222222222225</v>
      </c>
      <c r="AD825">
        <v>22</v>
      </c>
      <c r="AE825" s="7"/>
      <c r="AF825" s="7"/>
      <c r="AG825" s="7"/>
      <c r="AH825" s="7"/>
      <c r="AI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5.3677777777777775</v>
      </c>
      <c r="AJ825" s="7"/>
      <c r="AK825" t="s">
        <v>515</v>
      </c>
      <c r="AL825">
        <v>3</v>
      </c>
      <c r="AM825">
        <v>3</v>
      </c>
      <c r="AN825">
        <f>IFERROR(INT(Table13[[#This Row],[reject_prod]]/Table13[[#This Row],[part_weight]] * 1000), 0)</f>
        <v>68</v>
      </c>
    </row>
    <row r="826" spans="1:40" hidden="1">
      <c r="A826" s="1">
        <v>46048</v>
      </c>
      <c r="B826">
        <v>1</v>
      </c>
      <c r="C826">
        <v>4</v>
      </c>
      <c r="D826" t="s">
        <v>33</v>
      </c>
      <c r="E826" t="s">
        <v>34</v>
      </c>
      <c r="F826">
        <v>369308</v>
      </c>
      <c r="G826" s="6">
        <v>0</v>
      </c>
      <c r="H826" t="s">
        <v>516</v>
      </c>
      <c r="I826">
        <v>10684853</v>
      </c>
      <c r="J826">
        <v>4</v>
      </c>
      <c r="K826">
        <v>31</v>
      </c>
      <c r="L826">
        <v>31</v>
      </c>
      <c r="M826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>
        <v>0</v>
      </c>
      <c r="T826" s="2">
        <v>0</v>
      </c>
      <c r="U826" s="2">
        <v>0</v>
      </c>
      <c r="V826">
        <v>0</v>
      </c>
      <c r="W826">
        <v>0</v>
      </c>
      <c r="X826">
        <v>0</v>
      </c>
      <c r="Y826" t="e">
        <v>#DIV/0!</v>
      </c>
      <c r="Z826">
        <v>0</v>
      </c>
      <c r="AA826" t="e">
        <v>#DIV/0!</v>
      </c>
      <c r="AB826">
        <v>25.4</v>
      </c>
      <c r="AC826">
        <v>0</v>
      </c>
      <c r="AD826">
        <v>28.4</v>
      </c>
      <c r="AE826" s="7">
        <v>5.4</v>
      </c>
      <c r="AF826" s="7"/>
      <c r="AG826" s="7"/>
      <c r="AH826" s="7"/>
      <c r="AI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</v>
      </c>
      <c r="AJ826" s="7"/>
      <c r="AK826" t="s">
        <v>517</v>
      </c>
      <c r="AN826">
        <f>IFERROR(INT(Table13[[#This Row],[reject_prod]]/Table13[[#This Row],[part_weight]] * 1000), 0)</f>
        <v>0</v>
      </c>
    </row>
    <row r="827" spans="1:40" hidden="1">
      <c r="A827" s="1">
        <v>46048</v>
      </c>
      <c r="B827">
        <v>1</v>
      </c>
      <c r="C827">
        <v>5</v>
      </c>
      <c r="D827" t="s">
        <v>33</v>
      </c>
      <c r="E827" t="s">
        <v>34</v>
      </c>
      <c r="F827">
        <v>322383</v>
      </c>
      <c r="G827" s="6">
        <v>0</v>
      </c>
      <c r="H827" t="s">
        <v>71</v>
      </c>
      <c r="I827">
        <v>10682756</v>
      </c>
      <c r="J827">
        <v>4</v>
      </c>
      <c r="K827">
        <v>12.5</v>
      </c>
      <c r="L827">
        <v>12.5</v>
      </c>
      <c r="M827">
        <v>0</v>
      </c>
      <c r="N827" s="2">
        <v>66000</v>
      </c>
      <c r="O827" s="2">
        <v>4400</v>
      </c>
      <c r="P827" s="2">
        <v>4400</v>
      </c>
      <c r="Q827" s="2">
        <v>0</v>
      </c>
      <c r="R827" s="2">
        <v>0</v>
      </c>
      <c r="S827">
        <v>0</v>
      </c>
      <c r="T827" s="2">
        <v>52800</v>
      </c>
      <c r="U827" s="2">
        <v>13200</v>
      </c>
      <c r="V827">
        <v>0</v>
      </c>
      <c r="W827">
        <v>0</v>
      </c>
      <c r="X827">
        <v>0</v>
      </c>
      <c r="Y827" t="e">
        <v>#DIV/0!</v>
      </c>
      <c r="Z827">
        <v>0</v>
      </c>
      <c r="AA827" t="e">
        <v>#DIV/0!</v>
      </c>
      <c r="AB827">
        <v>20.9</v>
      </c>
      <c r="AC827">
        <v>0</v>
      </c>
      <c r="AD827">
        <v>17.920000000000002</v>
      </c>
      <c r="AE827" s="7"/>
      <c r="AF827" s="7"/>
      <c r="AG827" s="7"/>
      <c r="AH827" s="7">
        <v>12</v>
      </c>
      <c r="AI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7" s="7"/>
      <c r="AK827" t="s">
        <v>500</v>
      </c>
      <c r="AN827">
        <f>IFERROR(INT(Table13[[#This Row],[reject_prod]]/Table13[[#This Row],[part_weight]] * 1000), 0)</f>
        <v>0</v>
      </c>
    </row>
    <row r="828" spans="1:40" hidden="1">
      <c r="A828" s="1">
        <v>46048</v>
      </c>
      <c r="B828">
        <v>1</v>
      </c>
      <c r="C828">
        <v>6</v>
      </c>
      <c r="D828" t="s">
        <v>505</v>
      </c>
      <c r="E828" t="s">
        <v>34</v>
      </c>
      <c r="F828">
        <v>322412</v>
      </c>
      <c r="G828" s="6">
        <v>0</v>
      </c>
      <c r="H828" t="s">
        <v>487</v>
      </c>
      <c r="I828">
        <v>10685212</v>
      </c>
      <c r="J828">
        <v>4</v>
      </c>
      <c r="K828">
        <v>24.3</v>
      </c>
      <c r="L828">
        <v>24</v>
      </c>
      <c r="M828">
        <v>1830</v>
      </c>
      <c r="N828" s="2">
        <v>40600</v>
      </c>
      <c r="O828" s="2">
        <v>406</v>
      </c>
      <c r="P828" s="2">
        <v>609</v>
      </c>
      <c r="Q828" s="2">
        <v>7320</v>
      </c>
      <c r="R828" s="2">
        <v>7105</v>
      </c>
      <c r="S828">
        <v>170.52</v>
      </c>
      <c r="T828" s="2">
        <v>15834</v>
      </c>
      <c r="U828" s="2">
        <v>24766</v>
      </c>
      <c r="V828">
        <v>175.68</v>
      </c>
      <c r="W828">
        <v>2.1960000000000051</v>
      </c>
      <c r="X828">
        <v>0</v>
      </c>
      <c r="Y828">
        <v>0</v>
      </c>
      <c r="Z828">
        <v>3.5</v>
      </c>
      <c r="AA828">
        <v>1.9922586520947177E-2</v>
      </c>
      <c r="AB828">
        <v>23.6</v>
      </c>
      <c r="AC828">
        <v>11.996666666666668</v>
      </c>
      <c r="AD828">
        <v>20</v>
      </c>
      <c r="AE828" s="7"/>
      <c r="AF828" s="7"/>
      <c r="AG828" s="7"/>
      <c r="AH828" s="7"/>
      <c r="AI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3.333333333332078E-3</v>
      </c>
      <c r="AJ828" s="7"/>
      <c r="AK828" t="s">
        <v>518</v>
      </c>
      <c r="AN828">
        <f>IFERROR(INT(Table13[[#This Row],[reject_prod]]/Table13[[#This Row],[part_weight]] * 1000), 0)</f>
        <v>145</v>
      </c>
    </row>
    <row r="829" spans="1:40" hidden="1">
      <c r="A829" s="1">
        <v>46048</v>
      </c>
      <c r="B829">
        <v>1</v>
      </c>
      <c r="C829">
        <v>7</v>
      </c>
      <c r="D829" t="s">
        <v>506</v>
      </c>
      <c r="E829" t="s">
        <v>34</v>
      </c>
      <c r="F829">
        <v>647556</v>
      </c>
      <c r="G829" s="6">
        <v>0</v>
      </c>
      <c r="H829" t="s">
        <v>458</v>
      </c>
      <c r="I829">
        <v>10683858</v>
      </c>
      <c r="J829">
        <v>4</v>
      </c>
      <c r="K829">
        <v>35</v>
      </c>
      <c r="L829">
        <v>34.5</v>
      </c>
      <c r="M829">
        <v>750</v>
      </c>
      <c r="N829" s="2">
        <v>27720</v>
      </c>
      <c r="O829" s="2">
        <v>0</v>
      </c>
      <c r="P829" s="2">
        <v>0</v>
      </c>
      <c r="Q829" s="2">
        <v>3000</v>
      </c>
      <c r="R829" s="2">
        <v>2772</v>
      </c>
      <c r="S829">
        <v>95.634</v>
      </c>
      <c r="T829" s="2">
        <v>27720</v>
      </c>
      <c r="U829" s="2">
        <v>0</v>
      </c>
      <c r="V829">
        <v>103.5</v>
      </c>
      <c r="W829">
        <v>1.5</v>
      </c>
      <c r="X829">
        <v>0</v>
      </c>
      <c r="Y829">
        <v>0</v>
      </c>
      <c r="Z829">
        <v>17</v>
      </c>
      <c r="AA829">
        <v>0.16425120772946861</v>
      </c>
      <c r="AB829">
        <v>22</v>
      </c>
      <c r="AC829">
        <v>4.5833333333333339</v>
      </c>
      <c r="AD829">
        <v>20.399999999999999</v>
      </c>
      <c r="AE829" s="7"/>
      <c r="AF829" s="7"/>
      <c r="AG829" s="7"/>
      <c r="AH829" s="7"/>
      <c r="AI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7.4166666666666661</v>
      </c>
      <c r="AJ829" s="7"/>
      <c r="AK829" t="s">
        <v>519</v>
      </c>
      <c r="AN829">
        <f>IFERROR(INT(Table13[[#This Row],[reject_prod]]/Table13[[#This Row],[part_weight]] * 1000), 0)</f>
        <v>492</v>
      </c>
    </row>
    <row r="830" spans="1:40" hidden="1">
      <c r="A830" s="1">
        <v>46048</v>
      </c>
      <c r="B830">
        <v>1</v>
      </c>
      <c r="C830">
        <v>7</v>
      </c>
      <c r="D830" t="s">
        <v>33</v>
      </c>
      <c r="E830" t="s">
        <v>34</v>
      </c>
      <c r="F830">
        <v>322471</v>
      </c>
      <c r="G830" s="6">
        <v>0</v>
      </c>
      <c r="H830" t="s">
        <v>520</v>
      </c>
      <c r="I830">
        <v>10684032</v>
      </c>
      <c r="J830">
        <v>4</v>
      </c>
      <c r="K830">
        <v>34.5</v>
      </c>
      <c r="L830">
        <v>34.5</v>
      </c>
      <c r="M830">
        <v>0</v>
      </c>
      <c r="N830" s="2">
        <v>44352</v>
      </c>
      <c r="O830" s="2">
        <v>0</v>
      </c>
      <c r="P830" s="2">
        <v>0</v>
      </c>
      <c r="Q830" s="2">
        <v>0</v>
      </c>
      <c r="R830" s="2">
        <v>0</v>
      </c>
      <c r="S830">
        <v>0</v>
      </c>
      <c r="T830" s="2">
        <v>0</v>
      </c>
      <c r="U830" s="2">
        <v>44352</v>
      </c>
      <c r="V830">
        <v>0</v>
      </c>
      <c r="W830">
        <v>0</v>
      </c>
      <c r="X830">
        <v>10.5</v>
      </c>
      <c r="Y830" t="e">
        <v>#DIV/0!</v>
      </c>
      <c r="Z830">
        <v>0</v>
      </c>
      <c r="AA830" t="e">
        <v>#DIV/0!</v>
      </c>
      <c r="AB830">
        <v>22</v>
      </c>
      <c r="AC830">
        <v>0</v>
      </c>
      <c r="AD830">
        <v>16.2</v>
      </c>
      <c r="AE830" s="7"/>
      <c r="AF830" s="7"/>
      <c r="AG830" s="7">
        <v>1.5</v>
      </c>
      <c r="AH830" s="7"/>
      <c r="AI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830" s="7"/>
      <c r="AK830" t="s">
        <v>521</v>
      </c>
      <c r="AL830">
        <v>5</v>
      </c>
      <c r="AM830">
        <v>7</v>
      </c>
      <c r="AN830">
        <f>IFERROR(INT(Table13[[#This Row],[reject_prod]]/Table13[[#This Row],[part_weight]] * 1000), 0)</f>
        <v>0</v>
      </c>
    </row>
    <row r="831" spans="1:40" hidden="1">
      <c r="A831" s="1">
        <v>46048</v>
      </c>
      <c r="B831">
        <v>1</v>
      </c>
      <c r="C831">
        <v>8</v>
      </c>
      <c r="D831" t="s">
        <v>58</v>
      </c>
      <c r="E831" t="s">
        <v>41</v>
      </c>
      <c r="F831">
        <v>593537</v>
      </c>
      <c r="G831" s="6">
        <v>0</v>
      </c>
      <c r="H831" t="s">
        <v>48</v>
      </c>
      <c r="I831">
        <v>10685337</v>
      </c>
      <c r="J831">
        <v>4</v>
      </c>
      <c r="K831">
        <v>56.5</v>
      </c>
      <c r="L831">
        <v>56.8</v>
      </c>
      <c r="M831">
        <v>1440</v>
      </c>
      <c r="N831" s="2">
        <v>69000</v>
      </c>
      <c r="O831" s="2">
        <v>0</v>
      </c>
      <c r="P831" s="2">
        <v>0</v>
      </c>
      <c r="Q831" s="2">
        <v>5760</v>
      </c>
      <c r="R831" s="2">
        <v>5750</v>
      </c>
      <c r="S831">
        <v>326.60000000000002</v>
      </c>
      <c r="T831" s="2">
        <v>5750</v>
      </c>
      <c r="U831" s="2">
        <v>63250</v>
      </c>
      <c r="V831">
        <v>327.16800000000001</v>
      </c>
      <c r="W831">
        <v>-1.7279999999999835</v>
      </c>
      <c r="X831">
        <v>0</v>
      </c>
      <c r="Y831">
        <v>0</v>
      </c>
      <c r="Z831">
        <v>1.2</v>
      </c>
      <c r="AA831">
        <v>3.6678403755868541E-3</v>
      </c>
      <c r="AB831">
        <v>29.4</v>
      </c>
      <c r="AC831">
        <v>11.759999999999998</v>
      </c>
      <c r="AD831">
        <v>28.5</v>
      </c>
      <c r="AE831" s="7"/>
      <c r="AF831" s="7"/>
      <c r="AG831" s="7"/>
      <c r="AH831" s="7"/>
      <c r="AI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831" s="7"/>
      <c r="AK831" t="s">
        <v>51</v>
      </c>
      <c r="AM831">
        <v>2</v>
      </c>
      <c r="AN831">
        <f>IFERROR(INT(Table13[[#This Row],[reject_prod]]/Table13[[#This Row],[part_weight]] * 1000), 0)</f>
        <v>21</v>
      </c>
    </row>
    <row r="832" spans="1:40" hidden="1">
      <c r="A832" s="1">
        <v>46048</v>
      </c>
      <c r="B832">
        <v>1</v>
      </c>
      <c r="C832">
        <v>9</v>
      </c>
      <c r="D832" t="s">
        <v>84</v>
      </c>
      <c r="E832" t="s">
        <v>46</v>
      </c>
      <c r="F832">
        <v>586276</v>
      </c>
      <c r="G832" s="6">
        <v>0</v>
      </c>
      <c r="H832" t="s">
        <v>47</v>
      </c>
      <c r="I832">
        <v>10682924</v>
      </c>
      <c r="J832">
        <v>6</v>
      </c>
      <c r="K832">
        <v>12.3</v>
      </c>
      <c r="L832">
        <v>12.3</v>
      </c>
      <c r="M832">
        <v>0</v>
      </c>
      <c r="N832" s="2">
        <v>2025</v>
      </c>
      <c r="O832" s="2">
        <v>0</v>
      </c>
      <c r="P832" s="2">
        <v>0</v>
      </c>
      <c r="Q832" s="2">
        <v>0</v>
      </c>
      <c r="R832" s="2">
        <v>2025</v>
      </c>
      <c r="S832">
        <v>24.907499999999999</v>
      </c>
      <c r="T832" s="2">
        <v>1620</v>
      </c>
      <c r="U832" s="2">
        <v>405</v>
      </c>
      <c r="V832">
        <v>0</v>
      </c>
      <c r="W832">
        <v>0</v>
      </c>
      <c r="X832">
        <v>0</v>
      </c>
      <c r="Y832" t="e">
        <v>#DIV/0!</v>
      </c>
      <c r="Z832">
        <v>0</v>
      </c>
      <c r="AA832" t="e">
        <v>#DIV/0!</v>
      </c>
      <c r="AB832">
        <v>26</v>
      </c>
      <c r="AC832">
        <v>0</v>
      </c>
      <c r="AD832">
        <v>26</v>
      </c>
      <c r="AE832" s="7"/>
      <c r="AF832" s="7"/>
      <c r="AG832" s="7"/>
      <c r="AH832" s="7"/>
      <c r="AI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32" s="7"/>
      <c r="AK832" t="s">
        <v>522</v>
      </c>
      <c r="AM832">
        <v>0</v>
      </c>
      <c r="AN832">
        <f>IFERROR(INT(Table13[[#This Row],[reject_prod]]/Table13[[#This Row],[part_weight]] * 1000), 0)</f>
        <v>0</v>
      </c>
    </row>
    <row r="833" spans="1:40" hidden="1">
      <c r="A833" s="1">
        <v>46048</v>
      </c>
      <c r="B833">
        <v>1</v>
      </c>
      <c r="C833">
        <v>9</v>
      </c>
      <c r="D833" t="s">
        <v>84</v>
      </c>
      <c r="E833" t="s">
        <v>46</v>
      </c>
      <c r="F833">
        <v>586276</v>
      </c>
      <c r="G833" s="6">
        <v>0</v>
      </c>
      <c r="H833" t="s">
        <v>47</v>
      </c>
      <c r="I833" t="s">
        <v>490</v>
      </c>
      <c r="J833">
        <v>6</v>
      </c>
      <c r="K833">
        <v>12.3</v>
      </c>
      <c r="L833">
        <v>12.3</v>
      </c>
      <c r="M833">
        <v>280</v>
      </c>
      <c r="N833" s="2">
        <v>2025</v>
      </c>
      <c r="O833" s="2">
        <v>0</v>
      </c>
      <c r="P833" s="2">
        <v>1620</v>
      </c>
      <c r="Q833" s="2">
        <v>1680</v>
      </c>
      <c r="R833" s="2">
        <v>0</v>
      </c>
      <c r="S833">
        <v>0</v>
      </c>
      <c r="T833" s="2">
        <v>0</v>
      </c>
      <c r="U833" s="2">
        <v>2025</v>
      </c>
      <c r="V833">
        <v>20.664000000000001</v>
      </c>
      <c r="W833">
        <v>0</v>
      </c>
      <c r="X833">
        <v>6</v>
      </c>
      <c r="Y833">
        <v>0.29036004645760743</v>
      </c>
      <c r="Z833">
        <v>0</v>
      </c>
      <c r="AA833">
        <v>0</v>
      </c>
      <c r="AB833">
        <v>26</v>
      </c>
      <c r="AC833">
        <v>2.0222222222222221</v>
      </c>
      <c r="AD833">
        <v>26</v>
      </c>
      <c r="AE833" s="7"/>
      <c r="AF833" s="7"/>
      <c r="AG833" s="7"/>
      <c r="AH833" s="7"/>
      <c r="AI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9.9777777777777779</v>
      </c>
      <c r="AJ833" s="7"/>
      <c r="AK833" t="s">
        <v>523</v>
      </c>
      <c r="AL833">
        <v>1.4</v>
      </c>
      <c r="AM833">
        <v>1</v>
      </c>
      <c r="AN833">
        <f>IFERROR(INT(Table13[[#This Row],[reject_prod]]/Table13[[#This Row],[part_weight]] * 1000), 0)</f>
        <v>0</v>
      </c>
    </row>
    <row r="834" spans="1:40" hidden="1">
      <c r="A834" s="1">
        <v>46048</v>
      </c>
      <c r="B834">
        <v>1</v>
      </c>
      <c r="C834">
        <v>10</v>
      </c>
      <c r="D834" t="s">
        <v>507</v>
      </c>
      <c r="E834" t="s">
        <v>34</v>
      </c>
      <c r="F834">
        <v>626029</v>
      </c>
      <c r="G834" s="6">
        <v>0</v>
      </c>
      <c r="H834" t="s">
        <v>478</v>
      </c>
      <c r="I834">
        <v>10685443</v>
      </c>
      <c r="J834">
        <v>4</v>
      </c>
      <c r="K834">
        <v>48.39</v>
      </c>
      <c r="L834">
        <v>48.39</v>
      </c>
      <c r="M834">
        <v>1100</v>
      </c>
      <c r="N834" s="2">
        <v>12480</v>
      </c>
      <c r="O834" s="2">
        <v>0</v>
      </c>
      <c r="P834" s="2">
        <v>0</v>
      </c>
      <c r="Q834" s="2">
        <v>4400</v>
      </c>
      <c r="R834" s="2">
        <v>4368</v>
      </c>
      <c r="S834">
        <v>211.36751999999998</v>
      </c>
      <c r="T834" s="2">
        <v>11084</v>
      </c>
      <c r="U834" s="2">
        <v>1396</v>
      </c>
      <c r="V834">
        <v>212.916</v>
      </c>
      <c r="W834">
        <v>0</v>
      </c>
      <c r="X834">
        <v>3</v>
      </c>
      <c r="Y834">
        <v>1.4090063687087866E-2</v>
      </c>
      <c r="Z834">
        <v>4.7</v>
      </c>
      <c r="AA834">
        <v>2.2074433109770992E-2</v>
      </c>
      <c r="AB834">
        <v>28.6</v>
      </c>
      <c r="AC834">
        <v>8.7388888888888889</v>
      </c>
      <c r="AD834">
        <v>28</v>
      </c>
      <c r="AE834" s="7"/>
      <c r="AF834" s="7"/>
      <c r="AG834" s="7"/>
      <c r="AH834" s="7"/>
      <c r="AI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3.2611111111111111</v>
      </c>
      <c r="AJ834" s="7"/>
      <c r="AK834" t="s">
        <v>524</v>
      </c>
      <c r="AL834">
        <v>5</v>
      </c>
      <c r="AM834">
        <v>7</v>
      </c>
      <c r="AN834">
        <f>IFERROR(INT(Table13[[#This Row],[reject_prod]]/Table13[[#This Row],[part_weight]] * 1000), 0)</f>
        <v>97</v>
      </c>
    </row>
    <row r="835" spans="1:40" hidden="1">
      <c r="A835" s="1">
        <v>46048</v>
      </c>
      <c r="B835">
        <v>1</v>
      </c>
      <c r="C835">
        <v>11</v>
      </c>
      <c r="D835" t="s">
        <v>59</v>
      </c>
      <c r="E835" t="s">
        <v>46</v>
      </c>
      <c r="F835">
        <v>552181</v>
      </c>
      <c r="G835" s="6">
        <v>1</v>
      </c>
      <c r="H835" t="s">
        <v>49</v>
      </c>
      <c r="I835">
        <v>10683783</v>
      </c>
      <c r="J835">
        <v>6</v>
      </c>
      <c r="K835">
        <v>18.8</v>
      </c>
      <c r="L835">
        <v>18.8</v>
      </c>
      <c r="M835">
        <v>1475</v>
      </c>
      <c r="N835" s="2">
        <v>108000</v>
      </c>
      <c r="O835" s="2">
        <v>0</v>
      </c>
      <c r="P835" s="2">
        <v>3510</v>
      </c>
      <c r="Q835" s="2">
        <v>8850</v>
      </c>
      <c r="R835" s="2">
        <v>5400</v>
      </c>
      <c r="S835">
        <v>101.52</v>
      </c>
      <c r="T835" s="2">
        <v>89910</v>
      </c>
      <c r="U835" s="2">
        <v>18090</v>
      </c>
      <c r="V835">
        <v>166.38</v>
      </c>
      <c r="W835">
        <v>0</v>
      </c>
      <c r="X835">
        <v>0</v>
      </c>
      <c r="Y835">
        <v>0</v>
      </c>
      <c r="Z835">
        <v>1.2</v>
      </c>
      <c r="AA835">
        <v>7.2124053371799496E-3</v>
      </c>
      <c r="AB835">
        <v>28.7</v>
      </c>
      <c r="AC835">
        <v>11.759027777777778</v>
      </c>
      <c r="AD835">
        <v>27</v>
      </c>
      <c r="AE835" s="7"/>
      <c r="AF835" s="7"/>
      <c r="AG835" s="7"/>
      <c r="AH835" s="7"/>
      <c r="AI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0.24097222222222214</v>
      </c>
      <c r="AJ835" s="7"/>
      <c r="AK835" t="s">
        <v>51</v>
      </c>
      <c r="AN835">
        <f>IFERROR(INT(Table13[[#This Row],[reject_prod]]/Table13[[#This Row],[part_weight]] * 1000), 0)</f>
        <v>63</v>
      </c>
    </row>
    <row r="836" spans="1:40" hidden="1">
      <c r="A836" s="1">
        <v>46048</v>
      </c>
      <c r="B836">
        <v>1</v>
      </c>
      <c r="C836">
        <v>12</v>
      </c>
      <c r="D836" t="s">
        <v>53</v>
      </c>
      <c r="E836" t="s">
        <v>34</v>
      </c>
      <c r="F836">
        <v>620599</v>
      </c>
      <c r="G836" s="6">
        <v>0</v>
      </c>
      <c r="H836" t="s">
        <v>50</v>
      </c>
      <c r="I836">
        <v>10684839</v>
      </c>
      <c r="J836">
        <v>4</v>
      </c>
      <c r="K836">
        <v>55</v>
      </c>
      <c r="L836">
        <v>55</v>
      </c>
      <c r="M836">
        <v>1000</v>
      </c>
      <c r="N836" s="2">
        <v>72000</v>
      </c>
      <c r="O836" s="2">
        <v>225</v>
      </c>
      <c r="P836" s="2">
        <v>550</v>
      </c>
      <c r="Q836" s="2">
        <v>4000</v>
      </c>
      <c r="R836" s="2">
        <v>3600</v>
      </c>
      <c r="S836">
        <v>198</v>
      </c>
      <c r="T836" s="2">
        <v>47350</v>
      </c>
      <c r="U836" s="2">
        <v>24650</v>
      </c>
      <c r="V836">
        <v>220</v>
      </c>
      <c r="W836">
        <v>0</v>
      </c>
      <c r="X836">
        <v>6</v>
      </c>
      <c r="Y836">
        <v>2.7272727272727271E-2</v>
      </c>
      <c r="Z836">
        <v>5.3</v>
      </c>
      <c r="AA836">
        <v>2.409090909090909E-2</v>
      </c>
      <c r="AB836">
        <v>28.8</v>
      </c>
      <c r="AC836">
        <v>8</v>
      </c>
      <c r="AD836">
        <v>28</v>
      </c>
      <c r="AE836" s="7"/>
      <c r="AF836" s="7"/>
      <c r="AG836" s="7"/>
      <c r="AH836" s="7"/>
      <c r="AI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</v>
      </c>
      <c r="AJ836" s="7"/>
      <c r="AK836" t="s">
        <v>525</v>
      </c>
      <c r="AL836">
        <v>3</v>
      </c>
      <c r="AM836">
        <v>3</v>
      </c>
      <c r="AN836">
        <f>IFERROR(INT(Table13[[#This Row],[reject_prod]]/Table13[[#This Row],[part_weight]] * 1000), 0)</f>
        <v>96</v>
      </c>
    </row>
    <row r="837" spans="1:40" hidden="1">
      <c r="A837" s="1">
        <v>46048</v>
      </c>
      <c r="B837">
        <v>1</v>
      </c>
      <c r="C837">
        <v>13</v>
      </c>
      <c r="D837" t="s">
        <v>59</v>
      </c>
      <c r="E837" t="s">
        <v>46</v>
      </c>
      <c r="F837">
        <v>586276</v>
      </c>
      <c r="G837" s="6">
        <v>0</v>
      </c>
      <c r="H837" t="s">
        <v>47</v>
      </c>
      <c r="I837">
        <v>10684862</v>
      </c>
      <c r="J837">
        <v>6</v>
      </c>
      <c r="K837">
        <v>12.3</v>
      </c>
      <c r="L837">
        <v>12.3</v>
      </c>
      <c r="M837">
        <v>1590</v>
      </c>
      <c r="N837" s="2">
        <v>162000</v>
      </c>
      <c r="O837" s="2">
        <v>0</v>
      </c>
      <c r="P837" s="2">
        <v>1215</v>
      </c>
      <c r="Q837" s="2">
        <v>9540</v>
      </c>
      <c r="R837" s="2">
        <v>8100</v>
      </c>
      <c r="S837">
        <v>99.63</v>
      </c>
      <c r="T837" s="2">
        <v>74115</v>
      </c>
      <c r="U837" s="2">
        <v>87885</v>
      </c>
      <c r="V837">
        <v>117.342</v>
      </c>
      <c r="W837">
        <v>0</v>
      </c>
      <c r="X837">
        <v>0</v>
      </c>
      <c r="Y837">
        <v>0</v>
      </c>
      <c r="Z837">
        <v>1</v>
      </c>
      <c r="AA837">
        <v>8.5220977995943484E-3</v>
      </c>
      <c r="AB837">
        <v>26.2</v>
      </c>
      <c r="AC837">
        <v>11.571666666666667</v>
      </c>
      <c r="AD837">
        <v>26</v>
      </c>
      <c r="AE837" s="7"/>
      <c r="AF837" s="7"/>
      <c r="AG837" s="7"/>
      <c r="AH837" s="7"/>
      <c r="AI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0.42833333333333279</v>
      </c>
      <c r="AJ837" s="7"/>
      <c r="AK837" t="s">
        <v>51</v>
      </c>
      <c r="AN837">
        <f>IFERROR(INT(Table13[[#This Row],[reject_prod]]/Table13[[#This Row],[part_weight]] * 1000), 0)</f>
        <v>81</v>
      </c>
    </row>
    <row r="838" spans="1:40" hidden="1">
      <c r="A838" s="1">
        <v>46048</v>
      </c>
      <c r="B838">
        <v>1</v>
      </c>
      <c r="C838">
        <v>14</v>
      </c>
      <c r="D838" t="s">
        <v>33</v>
      </c>
      <c r="E838" t="s">
        <v>46</v>
      </c>
      <c r="F838">
        <v>555979</v>
      </c>
      <c r="G838" s="6">
        <v>1</v>
      </c>
      <c r="H838" t="s">
        <v>52</v>
      </c>
      <c r="I838">
        <v>10683785</v>
      </c>
      <c r="J838">
        <v>6</v>
      </c>
      <c r="K838">
        <v>28</v>
      </c>
      <c r="L838">
        <v>28</v>
      </c>
      <c r="M838">
        <v>0</v>
      </c>
      <c r="N838" s="2">
        <v>100800</v>
      </c>
      <c r="O838" s="2">
        <v>0</v>
      </c>
      <c r="P838" s="2">
        <v>0</v>
      </c>
      <c r="Q838" s="2">
        <v>0</v>
      </c>
      <c r="R838" s="2">
        <v>0</v>
      </c>
      <c r="S838">
        <v>0</v>
      </c>
      <c r="T838" s="2">
        <v>30240</v>
      </c>
      <c r="U838" s="2">
        <v>70560</v>
      </c>
      <c r="V838">
        <v>0</v>
      </c>
      <c r="W838">
        <v>0</v>
      </c>
      <c r="X838">
        <v>0</v>
      </c>
      <c r="Y838" t="e">
        <v>#DIV/0!</v>
      </c>
      <c r="Z838">
        <v>0</v>
      </c>
      <c r="AA838" t="e">
        <v>#DIV/0!</v>
      </c>
      <c r="AB838">
        <v>43.4</v>
      </c>
      <c r="AC838">
        <v>0</v>
      </c>
      <c r="AD838">
        <v>42</v>
      </c>
      <c r="AE838" s="7"/>
      <c r="AF838" s="7"/>
      <c r="AG838" s="7"/>
      <c r="AH838" s="7"/>
      <c r="AI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38" s="7"/>
      <c r="AK838" t="s">
        <v>481</v>
      </c>
      <c r="AN838">
        <f>IFERROR(INT(Table13[[#This Row],[reject_prod]]/Table13[[#This Row],[part_weight]] * 1000), 0)</f>
        <v>0</v>
      </c>
    </row>
    <row r="839" spans="1:40" hidden="1">
      <c r="A839" s="1">
        <v>46048</v>
      </c>
      <c r="B839">
        <v>1</v>
      </c>
      <c r="C839">
        <v>15</v>
      </c>
      <c r="D839" t="s">
        <v>59</v>
      </c>
      <c r="E839" t="s">
        <v>46</v>
      </c>
      <c r="F839">
        <v>552181</v>
      </c>
      <c r="G839" s="6">
        <v>2</v>
      </c>
      <c r="H839" t="s">
        <v>49</v>
      </c>
      <c r="I839">
        <v>10683787</v>
      </c>
      <c r="J839">
        <v>6</v>
      </c>
      <c r="K839">
        <v>18.8</v>
      </c>
      <c r="L839">
        <v>18.8</v>
      </c>
      <c r="M839">
        <v>1400</v>
      </c>
      <c r="N839" s="2">
        <v>108000</v>
      </c>
      <c r="O839" s="2">
        <v>5208</v>
      </c>
      <c r="P839" s="2">
        <v>2430</v>
      </c>
      <c r="Q839" s="2">
        <v>8400</v>
      </c>
      <c r="R839" s="2">
        <v>10800</v>
      </c>
      <c r="S839">
        <v>203.04</v>
      </c>
      <c r="T839" s="2">
        <v>72360</v>
      </c>
      <c r="U839" s="2">
        <v>35640</v>
      </c>
      <c r="V839">
        <v>157.91999999999999</v>
      </c>
      <c r="W839">
        <v>0</v>
      </c>
      <c r="X839">
        <v>0</v>
      </c>
      <c r="Y839">
        <v>0</v>
      </c>
      <c r="Z839">
        <v>1.1000000000000001</v>
      </c>
      <c r="AA839">
        <v>6.965552178318137E-3</v>
      </c>
      <c r="AB839">
        <v>30.2</v>
      </c>
      <c r="AC839">
        <v>11.744444444444444</v>
      </c>
      <c r="AD839">
        <v>27</v>
      </c>
      <c r="AE839" s="7"/>
      <c r="AF839" s="7"/>
      <c r="AG839" s="7"/>
      <c r="AH839" s="7"/>
      <c r="AI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0.25555555555555642</v>
      </c>
      <c r="AJ839" s="7"/>
      <c r="AK839" t="s">
        <v>51</v>
      </c>
      <c r="AN839">
        <f>IFERROR(INT(Table13[[#This Row],[reject_prod]]/Table13[[#This Row],[part_weight]] * 1000), 0)</f>
        <v>58</v>
      </c>
    </row>
    <row r="840" spans="1:40" s="4" customFormat="1" hidden="1">
      <c r="A840" s="3">
        <v>46048</v>
      </c>
      <c r="B840" s="4">
        <v>1</v>
      </c>
      <c r="C840" s="4">
        <v>16</v>
      </c>
      <c r="D840" s="4" t="s">
        <v>508</v>
      </c>
      <c r="E840" s="4" t="s">
        <v>46</v>
      </c>
      <c r="F840" s="4">
        <v>555979</v>
      </c>
      <c r="G840" s="9">
        <v>2</v>
      </c>
      <c r="H840" s="4" t="s">
        <v>52</v>
      </c>
      <c r="I840" s="4">
        <v>10684863</v>
      </c>
      <c r="J840" s="4">
        <v>6</v>
      </c>
      <c r="K840" s="4">
        <v>28</v>
      </c>
      <c r="L840" s="4">
        <v>28</v>
      </c>
      <c r="M840" s="4">
        <v>980</v>
      </c>
      <c r="N840" s="5">
        <v>100800</v>
      </c>
      <c r="O840" s="5">
        <v>5208</v>
      </c>
      <c r="P840" s="5">
        <v>840</v>
      </c>
      <c r="Q840" s="5">
        <v>5880</v>
      </c>
      <c r="R840" s="5">
        <v>10080</v>
      </c>
      <c r="S840" s="4">
        <v>282.24</v>
      </c>
      <c r="T840" s="5">
        <v>31080</v>
      </c>
      <c r="U840" s="5">
        <v>69720</v>
      </c>
      <c r="V840" s="4">
        <v>164.64</v>
      </c>
      <c r="W840" s="4">
        <v>0</v>
      </c>
      <c r="X840" s="4">
        <v>0</v>
      </c>
      <c r="Y840" s="4">
        <v>0</v>
      </c>
      <c r="Z840" s="4">
        <v>1.3</v>
      </c>
      <c r="AA840" s="4">
        <v>7.8960155490767747E-3</v>
      </c>
      <c r="AB840" s="4">
        <v>43.4</v>
      </c>
      <c r="AC840" s="4">
        <v>11.814444444444444</v>
      </c>
      <c r="AD840" s="4">
        <v>42</v>
      </c>
      <c r="AE840" s="8"/>
      <c r="AF840" s="8"/>
      <c r="AG840" s="8"/>
      <c r="AH840" s="8"/>
      <c r="AI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0.18555555555555614</v>
      </c>
      <c r="AJ840" s="8"/>
      <c r="AK840" s="4" t="s">
        <v>51</v>
      </c>
      <c r="AN840">
        <f>IFERROR(INT(Table13[[#This Row],[reject_prod]]/Table13[[#This Row],[part_weight]] * 1000), 0)</f>
        <v>46</v>
      </c>
    </row>
    <row r="841" spans="1:40" hidden="1">
      <c r="A841" s="1">
        <v>46048</v>
      </c>
      <c r="B841">
        <v>2</v>
      </c>
      <c r="C841">
        <v>1</v>
      </c>
      <c r="D841" t="s">
        <v>65</v>
      </c>
      <c r="E841" t="s">
        <v>34</v>
      </c>
      <c r="F841">
        <v>577492</v>
      </c>
      <c r="G841" s="6">
        <v>0</v>
      </c>
      <c r="H841" t="s">
        <v>341</v>
      </c>
      <c r="I841">
        <v>10684028</v>
      </c>
      <c r="J841">
        <v>4</v>
      </c>
      <c r="K841">
        <v>35.6</v>
      </c>
      <c r="L841">
        <v>35.6</v>
      </c>
      <c r="M841">
        <v>1575</v>
      </c>
      <c r="N841" s="2">
        <v>101200</v>
      </c>
      <c r="O841" s="2">
        <v>1104</v>
      </c>
      <c r="P841" s="2">
        <v>0</v>
      </c>
      <c r="Q841" s="2">
        <v>6300</v>
      </c>
      <c r="R841" s="2">
        <v>7360</v>
      </c>
      <c r="S841">
        <v>262.01600000000002</v>
      </c>
      <c r="T841" s="2">
        <v>80960</v>
      </c>
      <c r="U841" s="2">
        <v>20240</v>
      </c>
      <c r="V841">
        <v>224.28</v>
      </c>
      <c r="W841">
        <v>0</v>
      </c>
      <c r="X841">
        <v>0</v>
      </c>
      <c r="Y841">
        <v>0</v>
      </c>
      <c r="Z841">
        <v>1.6</v>
      </c>
      <c r="AA841">
        <v>7.1339397182093815E-3</v>
      </c>
      <c r="AB841">
        <v>26.8</v>
      </c>
      <c r="AC841">
        <v>11.725</v>
      </c>
      <c r="AD841">
        <v>27</v>
      </c>
      <c r="AE841" s="7"/>
      <c r="AF841" s="7"/>
      <c r="AG841" s="7"/>
      <c r="AH841" s="7"/>
      <c r="AI8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0.27500000000000036</v>
      </c>
      <c r="AJ841" s="7"/>
      <c r="AK841" t="s">
        <v>51</v>
      </c>
      <c r="AN841">
        <f>IFERROR(INT(Table13[[#This Row],[reject_prod]]/Table13[[#This Row],[part_weight]] * 1000), 0)</f>
        <v>44</v>
      </c>
    </row>
    <row r="842" spans="1:40" hidden="1">
      <c r="A842" s="1">
        <v>46048</v>
      </c>
      <c r="B842">
        <v>2</v>
      </c>
      <c r="C842">
        <v>2</v>
      </c>
      <c r="D842" t="s">
        <v>33</v>
      </c>
      <c r="E842" t="s">
        <v>34</v>
      </c>
      <c r="F842">
        <v>416201</v>
      </c>
      <c r="G842" s="6">
        <v>0</v>
      </c>
      <c r="H842" t="s">
        <v>36</v>
      </c>
      <c r="I842">
        <v>10681779</v>
      </c>
      <c r="J842">
        <v>4</v>
      </c>
      <c r="K842">
        <v>20</v>
      </c>
      <c r="L842">
        <v>30</v>
      </c>
      <c r="M842">
        <v>0</v>
      </c>
      <c r="N842" s="2">
        <v>50400</v>
      </c>
      <c r="O842" s="2">
        <v>0</v>
      </c>
      <c r="P842" s="2">
        <v>0</v>
      </c>
      <c r="Q842" s="2">
        <v>0</v>
      </c>
      <c r="R842" s="2">
        <v>0</v>
      </c>
      <c r="S842">
        <v>0</v>
      </c>
      <c r="T842" s="2">
        <v>10080</v>
      </c>
      <c r="U842" s="2">
        <v>40320</v>
      </c>
      <c r="V842">
        <v>0</v>
      </c>
      <c r="W842">
        <v>0</v>
      </c>
      <c r="X842">
        <v>0</v>
      </c>
      <c r="Y842" t="e">
        <v>#DIV/0!</v>
      </c>
      <c r="Z842">
        <v>0</v>
      </c>
      <c r="AA842" t="e">
        <v>#DIV/0!</v>
      </c>
      <c r="AB842">
        <v>38</v>
      </c>
      <c r="AC842">
        <v>0</v>
      </c>
      <c r="AD842">
        <v>38.64</v>
      </c>
      <c r="AE842" s="7"/>
      <c r="AF842" s="7"/>
      <c r="AG842" s="7"/>
      <c r="AH842" s="7"/>
      <c r="AI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42" s="7"/>
      <c r="AK842" t="s">
        <v>526</v>
      </c>
      <c r="AN842">
        <f>IFERROR(INT(Table13[[#This Row],[reject_prod]]/Table13[[#This Row],[part_weight]] * 1000), 0)</f>
        <v>0</v>
      </c>
    </row>
    <row r="843" spans="1:40" hidden="1">
      <c r="A843" s="1">
        <v>46048</v>
      </c>
      <c r="B843">
        <v>2</v>
      </c>
      <c r="C843">
        <v>3</v>
      </c>
      <c r="D843" t="s">
        <v>43</v>
      </c>
      <c r="E843" t="s">
        <v>34</v>
      </c>
      <c r="F843">
        <v>442034</v>
      </c>
      <c r="G843" s="6">
        <v>0</v>
      </c>
      <c r="H843" t="s">
        <v>37</v>
      </c>
      <c r="I843">
        <v>10681184</v>
      </c>
      <c r="J843">
        <v>4</v>
      </c>
      <c r="K843">
        <v>23</v>
      </c>
      <c r="L843">
        <v>23</v>
      </c>
      <c r="M843">
        <v>1638</v>
      </c>
      <c r="N843" s="2">
        <v>139776</v>
      </c>
      <c r="O843" s="2">
        <v>3456</v>
      </c>
      <c r="P843" s="2">
        <v>640</v>
      </c>
      <c r="Q843" s="2">
        <v>6552</v>
      </c>
      <c r="R843" s="2">
        <v>9216</v>
      </c>
      <c r="S843">
        <v>211.96799999999999</v>
      </c>
      <c r="T843" s="2">
        <v>74368</v>
      </c>
      <c r="U843" s="2">
        <v>65408</v>
      </c>
      <c r="V843">
        <v>150.696</v>
      </c>
      <c r="W843">
        <v>0</v>
      </c>
      <c r="X843">
        <v>0</v>
      </c>
      <c r="Y843">
        <v>0</v>
      </c>
      <c r="Z843">
        <v>3.5</v>
      </c>
      <c r="AA843">
        <v>2.3225566703827572E-2</v>
      </c>
      <c r="AB843">
        <v>26.5</v>
      </c>
      <c r="AC843">
        <v>12</v>
      </c>
      <c r="AD843">
        <v>22</v>
      </c>
      <c r="AE843" s="7"/>
      <c r="AF843" s="7"/>
      <c r="AG843" s="7"/>
      <c r="AH843" s="7"/>
      <c r="AI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43" s="7"/>
      <c r="AK843" t="s">
        <v>103</v>
      </c>
      <c r="AN843">
        <f>IFERROR(INT(Table13[[#This Row],[reject_prod]]/Table13[[#This Row],[part_weight]] * 1000), 0)</f>
        <v>152</v>
      </c>
    </row>
    <row r="844" spans="1:40" hidden="1">
      <c r="A844" s="1">
        <v>46048</v>
      </c>
      <c r="B844">
        <v>2</v>
      </c>
      <c r="C844">
        <v>4</v>
      </c>
      <c r="D844" t="s">
        <v>67</v>
      </c>
      <c r="E844" t="s">
        <v>34</v>
      </c>
      <c r="F844">
        <v>369308</v>
      </c>
      <c r="G844" s="6">
        <v>0</v>
      </c>
      <c r="H844" t="s">
        <v>516</v>
      </c>
      <c r="I844">
        <v>10684853</v>
      </c>
      <c r="J844">
        <v>4</v>
      </c>
      <c r="K844">
        <v>31</v>
      </c>
      <c r="L844">
        <v>31</v>
      </c>
      <c r="M844">
        <v>1002</v>
      </c>
      <c r="N844" s="2">
        <v>34560</v>
      </c>
      <c r="O844" s="2">
        <v>0</v>
      </c>
      <c r="P844" s="2">
        <v>480</v>
      </c>
      <c r="Q844" s="2">
        <v>4008</v>
      </c>
      <c r="R844" s="2">
        <v>2880</v>
      </c>
      <c r="S844">
        <v>89.28</v>
      </c>
      <c r="T844" s="2">
        <v>3360</v>
      </c>
      <c r="U844" s="2">
        <v>31200</v>
      </c>
      <c r="V844">
        <v>124.248</v>
      </c>
      <c r="W844">
        <v>0</v>
      </c>
      <c r="X844">
        <v>15</v>
      </c>
      <c r="Y844">
        <v>0.12072628935677032</v>
      </c>
      <c r="Z844">
        <v>5</v>
      </c>
      <c r="AA844">
        <v>4.0242096452256779E-2</v>
      </c>
      <c r="AB844">
        <v>26.4</v>
      </c>
      <c r="AC844">
        <v>7.3479999999999999</v>
      </c>
      <c r="AD844">
        <v>28.4</v>
      </c>
      <c r="AE844" s="7"/>
      <c r="AF844" s="7"/>
      <c r="AG844" s="7"/>
      <c r="AH844" s="7"/>
      <c r="AI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4.6520000000000001</v>
      </c>
      <c r="AJ844" s="7"/>
      <c r="AK844" t="s">
        <v>527</v>
      </c>
      <c r="AN844">
        <f>IFERROR(INT(Table13[[#This Row],[reject_prod]]/Table13[[#This Row],[part_weight]] * 1000), 0)</f>
        <v>161</v>
      </c>
    </row>
    <row r="845" spans="1:40" hidden="1">
      <c r="A845" s="1">
        <v>46048</v>
      </c>
      <c r="B845">
        <v>2</v>
      </c>
      <c r="C845">
        <v>5</v>
      </c>
      <c r="D845" t="s">
        <v>509</v>
      </c>
      <c r="E845" t="s">
        <v>34</v>
      </c>
      <c r="F845">
        <v>322383</v>
      </c>
      <c r="G845" s="6">
        <v>0</v>
      </c>
      <c r="H845" t="s">
        <v>71</v>
      </c>
      <c r="I845">
        <v>10682756</v>
      </c>
      <c r="J845">
        <v>4</v>
      </c>
      <c r="K845">
        <v>12.5</v>
      </c>
      <c r="L845">
        <v>12.5</v>
      </c>
      <c r="M845">
        <v>1438</v>
      </c>
      <c r="N845" s="2">
        <v>66000</v>
      </c>
      <c r="O845" s="2">
        <v>4400</v>
      </c>
      <c r="P845" s="2">
        <v>9900</v>
      </c>
      <c r="Q845" s="2">
        <v>5752</v>
      </c>
      <c r="R845" s="2">
        <v>0</v>
      </c>
      <c r="S845">
        <v>0</v>
      </c>
      <c r="T845" s="2">
        <v>62700</v>
      </c>
      <c r="U845" s="2">
        <v>3300</v>
      </c>
      <c r="V845">
        <v>71.900000000000006</v>
      </c>
      <c r="W845">
        <v>0</v>
      </c>
      <c r="X845">
        <v>0</v>
      </c>
      <c r="Y845">
        <v>0</v>
      </c>
      <c r="Z845">
        <v>3</v>
      </c>
      <c r="AA845">
        <v>4.1724617524339355E-2</v>
      </c>
      <c r="AB845">
        <v>21</v>
      </c>
      <c r="AC845">
        <v>8.3883333333333336</v>
      </c>
      <c r="AD845">
        <v>17.920000000000002</v>
      </c>
      <c r="AE845" s="7"/>
      <c r="AF845" s="7"/>
      <c r="AG845" s="7"/>
      <c r="AH845" s="7">
        <v>3.5</v>
      </c>
      <c r="AI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0.11166666666666636</v>
      </c>
      <c r="AJ845" s="7"/>
      <c r="AK845" t="s">
        <v>528</v>
      </c>
      <c r="AN845">
        <f>IFERROR(INT(Table13[[#This Row],[reject_prod]]/Table13[[#This Row],[part_weight]] * 1000), 0)</f>
        <v>240</v>
      </c>
    </row>
    <row r="846" spans="1:40" hidden="1">
      <c r="A846" s="1">
        <v>46048</v>
      </c>
      <c r="B846">
        <v>2</v>
      </c>
      <c r="C846">
        <v>6</v>
      </c>
      <c r="D846" t="s">
        <v>510</v>
      </c>
      <c r="E846" t="s">
        <v>34</v>
      </c>
      <c r="F846">
        <v>322412</v>
      </c>
      <c r="G846" s="6">
        <v>0</v>
      </c>
      <c r="H846" t="s">
        <v>487</v>
      </c>
      <c r="I846">
        <v>10685212</v>
      </c>
      <c r="J846">
        <v>4</v>
      </c>
      <c r="K846">
        <v>24.3</v>
      </c>
      <c r="L846">
        <v>24</v>
      </c>
      <c r="M846">
        <v>1786</v>
      </c>
      <c r="N846" s="2">
        <v>40600</v>
      </c>
      <c r="O846" s="2">
        <v>609</v>
      </c>
      <c r="P846" s="2">
        <v>609</v>
      </c>
      <c r="Q846" s="2">
        <v>7144</v>
      </c>
      <c r="R846" s="2">
        <v>7105</v>
      </c>
      <c r="S846">
        <v>170.52</v>
      </c>
      <c r="T846" s="2">
        <v>22939</v>
      </c>
      <c r="U846" s="2">
        <v>17661</v>
      </c>
      <c r="V846">
        <v>171.45599999999999</v>
      </c>
      <c r="W846">
        <v>0</v>
      </c>
      <c r="X846">
        <v>0</v>
      </c>
      <c r="Y846">
        <v>0</v>
      </c>
      <c r="Z846">
        <v>0.8</v>
      </c>
      <c r="AA846">
        <v>4.6659201194475556E-3</v>
      </c>
      <c r="AB846">
        <v>23.3</v>
      </c>
      <c r="AC846">
        <v>11.559388888888888</v>
      </c>
      <c r="AD846">
        <v>20</v>
      </c>
      <c r="AE846" s="7"/>
      <c r="AF846" s="7"/>
      <c r="AG846" s="7"/>
      <c r="AH846" s="7"/>
      <c r="AI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0.44061111111111195</v>
      </c>
      <c r="AJ846" s="7"/>
      <c r="AK846" t="s">
        <v>103</v>
      </c>
      <c r="AN846">
        <f>IFERROR(INT(Table13[[#This Row],[reject_prod]]/Table13[[#This Row],[part_weight]] * 1000), 0)</f>
        <v>33</v>
      </c>
    </row>
    <row r="847" spans="1:40" hidden="1">
      <c r="A847" s="1">
        <v>46048</v>
      </c>
      <c r="B847">
        <v>2</v>
      </c>
      <c r="C847">
        <v>7</v>
      </c>
      <c r="D847" t="s">
        <v>511</v>
      </c>
      <c r="E847" t="s">
        <v>34</v>
      </c>
      <c r="F847">
        <v>322471</v>
      </c>
      <c r="G847" s="6">
        <v>0</v>
      </c>
      <c r="H847" t="s">
        <v>520</v>
      </c>
      <c r="I847">
        <v>10684032</v>
      </c>
      <c r="J847">
        <v>4</v>
      </c>
      <c r="K847">
        <v>34.5</v>
      </c>
      <c r="L847">
        <v>34.5</v>
      </c>
      <c r="M847">
        <v>1518</v>
      </c>
      <c r="N847" s="2">
        <v>44352</v>
      </c>
      <c r="O847" s="2">
        <v>0</v>
      </c>
      <c r="P847" s="2">
        <v>0</v>
      </c>
      <c r="Q847" s="2">
        <v>6072</v>
      </c>
      <c r="R847" s="2">
        <v>5544</v>
      </c>
      <c r="S847">
        <v>191.268</v>
      </c>
      <c r="T847" s="2">
        <v>5544</v>
      </c>
      <c r="U847" s="2">
        <v>38808</v>
      </c>
      <c r="V847">
        <v>209.48400000000001</v>
      </c>
      <c r="W847">
        <v>0</v>
      </c>
      <c r="X847">
        <v>15</v>
      </c>
      <c r="Y847">
        <v>7.1604513948559309E-2</v>
      </c>
      <c r="Z847">
        <v>3.5</v>
      </c>
      <c r="AA847">
        <v>1.6707719921330508E-2</v>
      </c>
      <c r="AB847">
        <v>22.4</v>
      </c>
      <c r="AC847">
        <v>9.4453333333333322</v>
      </c>
      <c r="AD847">
        <v>16.2</v>
      </c>
      <c r="AE847" s="7"/>
      <c r="AF847" s="7"/>
      <c r="AG847" s="7"/>
      <c r="AH847" s="7"/>
      <c r="AI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2.5546666666666678</v>
      </c>
      <c r="AJ847" s="7"/>
      <c r="AK847" t="s">
        <v>529</v>
      </c>
      <c r="AN847">
        <f>IFERROR(INT(Table13[[#This Row],[reject_prod]]/Table13[[#This Row],[part_weight]] * 1000), 0)</f>
        <v>101</v>
      </c>
    </row>
    <row r="848" spans="1:40" hidden="1">
      <c r="A848" s="1">
        <v>46048</v>
      </c>
      <c r="B848">
        <v>2</v>
      </c>
      <c r="C848">
        <v>8</v>
      </c>
      <c r="D848" t="s">
        <v>112</v>
      </c>
      <c r="E848" t="s">
        <v>41</v>
      </c>
      <c r="F848">
        <v>593537</v>
      </c>
      <c r="G848" s="6">
        <v>0</v>
      </c>
      <c r="H848" t="s">
        <v>48</v>
      </c>
      <c r="I848">
        <v>10685337</v>
      </c>
      <c r="J848">
        <v>4</v>
      </c>
      <c r="K848">
        <v>56.5</v>
      </c>
      <c r="L848">
        <v>56.8</v>
      </c>
      <c r="M848">
        <v>1443</v>
      </c>
      <c r="N848" s="2">
        <v>69000</v>
      </c>
      <c r="O848" s="2">
        <v>0</v>
      </c>
      <c r="P848" s="2">
        <v>0</v>
      </c>
      <c r="Q848" s="2">
        <v>5772</v>
      </c>
      <c r="R848" s="2">
        <v>5750</v>
      </c>
      <c r="S848">
        <v>326.60000000000002</v>
      </c>
      <c r="T848" s="2">
        <v>11500</v>
      </c>
      <c r="U848" s="2">
        <v>57500</v>
      </c>
      <c r="V848">
        <v>327.84959999999995</v>
      </c>
      <c r="W848">
        <v>0</v>
      </c>
      <c r="X848">
        <v>0</v>
      </c>
      <c r="Y848">
        <v>0</v>
      </c>
      <c r="Z848">
        <v>1.1000000000000001</v>
      </c>
      <c r="AA848">
        <v>3.3551970171688491E-3</v>
      </c>
      <c r="AB848">
        <v>29.4</v>
      </c>
      <c r="AC848">
        <v>11.7845</v>
      </c>
      <c r="AD848">
        <v>28.5</v>
      </c>
      <c r="AE848" s="7"/>
      <c r="AF848" s="7"/>
      <c r="AG848" s="7"/>
      <c r="AH848" s="7"/>
      <c r="AI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848" s="7"/>
      <c r="AK848" t="s">
        <v>51</v>
      </c>
      <c r="AN848">
        <f>IFERROR(INT(Table13[[#This Row],[reject_prod]]/Table13[[#This Row],[part_weight]] * 1000), 0)</f>
        <v>19</v>
      </c>
    </row>
    <row r="849" spans="1:40" hidden="1">
      <c r="A849" s="1">
        <v>46048</v>
      </c>
      <c r="B849">
        <v>2</v>
      </c>
      <c r="C849">
        <v>9</v>
      </c>
      <c r="F849">
        <v>123456</v>
      </c>
      <c r="G849" s="6">
        <v>0</v>
      </c>
      <c r="M849">
        <v>0</v>
      </c>
      <c r="N849" s="2">
        <v>0</v>
      </c>
      <c r="O849" s="2">
        <v>0</v>
      </c>
      <c r="P849" s="2">
        <v>0</v>
      </c>
      <c r="Q849" s="2"/>
      <c r="R849" s="2">
        <v>0</v>
      </c>
      <c r="T849" s="2">
        <v>0</v>
      </c>
      <c r="U849" s="2"/>
      <c r="X849">
        <v>0</v>
      </c>
      <c r="Z849">
        <v>0</v>
      </c>
      <c r="AB849">
        <v>0</v>
      </c>
      <c r="AC849">
        <v>0</v>
      </c>
      <c r="AD849">
        <v>0</v>
      </c>
      <c r="AE849" s="7"/>
      <c r="AF849" s="7"/>
      <c r="AG849" s="7"/>
      <c r="AH849" s="7"/>
      <c r="AI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49" s="7">
        <v>12</v>
      </c>
      <c r="AK849" t="s">
        <v>116</v>
      </c>
      <c r="AN849">
        <f>IFERROR(INT(Table13[[#This Row],[reject_prod]]/Table13[[#This Row],[part_weight]] * 1000), 0)</f>
        <v>0</v>
      </c>
    </row>
    <row r="850" spans="1:40" hidden="1">
      <c r="A850" s="1">
        <v>46048</v>
      </c>
      <c r="B850">
        <v>2</v>
      </c>
      <c r="C850">
        <v>10</v>
      </c>
      <c r="D850" t="s">
        <v>67</v>
      </c>
      <c r="E850" t="s">
        <v>34</v>
      </c>
      <c r="F850">
        <v>626029</v>
      </c>
      <c r="G850" s="6">
        <v>0</v>
      </c>
      <c r="H850" t="s">
        <v>478</v>
      </c>
      <c r="I850">
        <v>10685443</v>
      </c>
      <c r="J850">
        <v>4</v>
      </c>
      <c r="K850">
        <v>48.39</v>
      </c>
      <c r="L850">
        <v>48.39</v>
      </c>
      <c r="M850">
        <v>477</v>
      </c>
      <c r="N850" s="2">
        <v>12480</v>
      </c>
      <c r="O850" s="2">
        <v>0</v>
      </c>
      <c r="P850" s="2">
        <v>0</v>
      </c>
      <c r="Q850" s="2">
        <v>1908</v>
      </c>
      <c r="R850" s="2">
        <v>1872</v>
      </c>
      <c r="S850">
        <v>90.586079999999995</v>
      </c>
      <c r="T850" s="2">
        <v>12480</v>
      </c>
      <c r="U850" s="2">
        <v>0</v>
      </c>
      <c r="V850">
        <v>92.328119999999998</v>
      </c>
      <c r="W850">
        <v>0</v>
      </c>
      <c r="X850">
        <v>0</v>
      </c>
      <c r="Y850">
        <v>0</v>
      </c>
      <c r="Z850">
        <v>1.7</v>
      </c>
      <c r="AA850">
        <v>1.8412591960065904E-2</v>
      </c>
      <c r="AB850">
        <v>28.6</v>
      </c>
      <c r="AC850">
        <v>3.7895000000000003</v>
      </c>
      <c r="AD850">
        <v>28</v>
      </c>
      <c r="AE850" s="7"/>
      <c r="AF850" s="7"/>
      <c r="AG850" s="7"/>
      <c r="AH850" s="7"/>
      <c r="AI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8.2104999999999997</v>
      </c>
      <c r="AJ850" s="7"/>
      <c r="AK850" t="s">
        <v>530</v>
      </c>
      <c r="AN850">
        <f>IFERROR(INT(Table13[[#This Row],[reject_prod]]/Table13[[#This Row],[part_weight]] * 1000), 0)</f>
        <v>35</v>
      </c>
    </row>
    <row r="851" spans="1:40" hidden="1">
      <c r="A851" s="1">
        <v>46048</v>
      </c>
      <c r="B851">
        <v>2</v>
      </c>
      <c r="C851">
        <v>10</v>
      </c>
      <c r="D851" t="s">
        <v>33</v>
      </c>
      <c r="E851" t="s">
        <v>34</v>
      </c>
      <c r="F851">
        <v>441778</v>
      </c>
      <c r="G851" s="6">
        <v>0</v>
      </c>
      <c r="H851" t="s">
        <v>531</v>
      </c>
      <c r="I851">
        <v>10684860</v>
      </c>
      <c r="J851">
        <v>4</v>
      </c>
      <c r="K851">
        <v>77</v>
      </c>
      <c r="L851">
        <v>77</v>
      </c>
      <c r="M851">
        <v>0</v>
      </c>
      <c r="N851" s="2">
        <v>11868</v>
      </c>
      <c r="O851" s="2">
        <v>0</v>
      </c>
      <c r="P851" s="2">
        <v>0</v>
      </c>
      <c r="Q851" s="2">
        <v>0</v>
      </c>
      <c r="R851" s="2">
        <v>0</v>
      </c>
      <c r="S851">
        <v>0</v>
      </c>
      <c r="T851" s="2">
        <v>0</v>
      </c>
      <c r="U851" s="2">
        <v>11868</v>
      </c>
      <c r="V851">
        <v>0</v>
      </c>
      <c r="W851">
        <v>0</v>
      </c>
      <c r="X851">
        <v>27</v>
      </c>
      <c r="Y851" t="e">
        <v>#DIV/0!</v>
      </c>
      <c r="Z851">
        <v>0</v>
      </c>
      <c r="AA851" t="e">
        <v>#DIV/0!</v>
      </c>
      <c r="AB851">
        <v>35</v>
      </c>
      <c r="AC851">
        <v>0</v>
      </c>
      <c r="AD851">
        <v>35</v>
      </c>
      <c r="AE851" s="7">
        <v>5.5</v>
      </c>
      <c r="AF851" s="7"/>
      <c r="AG851" s="7"/>
      <c r="AH851" s="7"/>
      <c r="AI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851" s="7"/>
      <c r="AK851" t="s">
        <v>532</v>
      </c>
      <c r="AN851">
        <f>IFERROR(INT(Table13[[#This Row],[reject_prod]]/Table13[[#This Row],[part_weight]] * 1000), 0)</f>
        <v>0</v>
      </c>
    </row>
    <row r="852" spans="1:40" hidden="1">
      <c r="A852" s="1">
        <v>46048</v>
      </c>
      <c r="B852">
        <v>2</v>
      </c>
      <c r="C852">
        <v>11</v>
      </c>
      <c r="D852" t="s">
        <v>61</v>
      </c>
      <c r="E852" t="s">
        <v>46</v>
      </c>
      <c r="F852">
        <v>552181</v>
      </c>
      <c r="G852" s="6">
        <v>1</v>
      </c>
      <c r="H852" t="s">
        <v>49</v>
      </c>
      <c r="I852">
        <v>10683783</v>
      </c>
      <c r="J852">
        <v>6</v>
      </c>
      <c r="K852">
        <v>18.8</v>
      </c>
      <c r="L852">
        <v>18.8</v>
      </c>
      <c r="M852">
        <v>1516</v>
      </c>
      <c r="N852" s="2">
        <v>108000</v>
      </c>
      <c r="O852" s="2">
        <v>3510</v>
      </c>
      <c r="P852" s="2">
        <v>1620</v>
      </c>
      <c r="Q852" s="2">
        <v>9096</v>
      </c>
      <c r="R852" s="2">
        <v>10800</v>
      </c>
      <c r="S852">
        <v>203.04</v>
      </c>
      <c r="T852" s="2">
        <v>98820</v>
      </c>
      <c r="U852" s="2">
        <v>9180</v>
      </c>
      <c r="V852">
        <v>171.00480000000002</v>
      </c>
      <c r="W852">
        <v>0</v>
      </c>
      <c r="X852">
        <v>0</v>
      </c>
      <c r="Y852">
        <v>0</v>
      </c>
      <c r="Z852">
        <v>3.5</v>
      </c>
      <c r="AA852">
        <v>2.0467261737682214E-2</v>
      </c>
      <c r="AB852">
        <v>28.7</v>
      </c>
      <c r="AC852">
        <v>12</v>
      </c>
      <c r="AD852">
        <v>27</v>
      </c>
      <c r="AE852" s="7"/>
      <c r="AF852" s="7"/>
      <c r="AG852" s="7"/>
      <c r="AH852" s="7"/>
      <c r="AI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52" s="7"/>
      <c r="AK852" t="s">
        <v>480</v>
      </c>
      <c r="AN852">
        <f>IFERROR(INT(Table13[[#This Row],[reject_prod]]/Table13[[#This Row],[part_weight]] * 1000), 0)</f>
        <v>186</v>
      </c>
    </row>
    <row r="853" spans="1:40" hidden="1">
      <c r="A853" s="1">
        <v>46048</v>
      </c>
      <c r="B853">
        <v>2</v>
      </c>
      <c r="C853">
        <v>12</v>
      </c>
      <c r="D853" t="s">
        <v>40</v>
      </c>
      <c r="E853" t="s">
        <v>34</v>
      </c>
      <c r="F853">
        <v>620599</v>
      </c>
      <c r="G853" s="6">
        <v>0</v>
      </c>
      <c r="H853" t="s">
        <v>50</v>
      </c>
      <c r="I853">
        <v>10684839</v>
      </c>
      <c r="J853">
        <v>4</v>
      </c>
      <c r="K853">
        <v>55</v>
      </c>
      <c r="L853">
        <v>55</v>
      </c>
      <c r="M853">
        <v>1475</v>
      </c>
      <c r="N853" s="2">
        <v>72000</v>
      </c>
      <c r="O853" s="2">
        <v>550</v>
      </c>
      <c r="P853" s="2">
        <v>1575</v>
      </c>
      <c r="Q853" s="2">
        <v>5900</v>
      </c>
      <c r="R853" s="2">
        <v>5400</v>
      </c>
      <c r="S853">
        <v>297</v>
      </c>
      <c r="T853" s="2">
        <v>53775</v>
      </c>
      <c r="U853" s="2">
        <v>18225</v>
      </c>
      <c r="V853">
        <v>324.5</v>
      </c>
      <c r="W853">
        <v>0</v>
      </c>
      <c r="X853">
        <v>0</v>
      </c>
      <c r="Y853">
        <v>0</v>
      </c>
      <c r="Z853">
        <v>7.6</v>
      </c>
      <c r="AA853">
        <v>2.3420647149460707E-2</v>
      </c>
      <c r="AB853">
        <v>28.8</v>
      </c>
      <c r="AC853">
        <v>11.8</v>
      </c>
      <c r="AD853">
        <v>28</v>
      </c>
      <c r="AE853" s="7"/>
      <c r="AF853" s="7"/>
      <c r="AG853" s="7"/>
      <c r="AH853" s="7"/>
      <c r="AI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0.19999999999999929</v>
      </c>
      <c r="AJ853" s="7"/>
      <c r="AK853" t="s">
        <v>533</v>
      </c>
      <c r="AN853">
        <f>IFERROR(INT(Table13[[#This Row],[reject_prod]]/Table13[[#This Row],[part_weight]] * 1000), 0)</f>
        <v>138</v>
      </c>
    </row>
    <row r="854" spans="1:40" hidden="1">
      <c r="A854" s="1">
        <v>46048</v>
      </c>
      <c r="B854">
        <v>2</v>
      </c>
      <c r="C854">
        <v>13</v>
      </c>
      <c r="D854" t="s">
        <v>61</v>
      </c>
      <c r="E854" t="s">
        <v>46</v>
      </c>
      <c r="F854">
        <v>586276</v>
      </c>
      <c r="G854" s="6">
        <v>0</v>
      </c>
      <c r="H854" t="s">
        <v>47</v>
      </c>
      <c r="I854">
        <v>10684862</v>
      </c>
      <c r="J854">
        <v>6</v>
      </c>
      <c r="K854">
        <v>12.3</v>
      </c>
      <c r="L854">
        <v>12.3</v>
      </c>
      <c r="M854">
        <v>1641</v>
      </c>
      <c r="N854" s="2">
        <v>162000</v>
      </c>
      <c r="O854" s="2">
        <v>1215</v>
      </c>
      <c r="P854" s="2">
        <v>2835</v>
      </c>
      <c r="Q854" s="2">
        <v>9846</v>
      </c>
      <c r="R854" s="2">
        <v>8100</v>
      </c>
      <c r="S854">
        <v>99.63</v>
      </c>
      <c r="T854" s="2">
        <v>83835</v>
      </c>
      <c r="U854" s="2">
        <v>78165</v>
      </c>
      <c r="V854">
        <v>121.1058</v>
      </c>
      <c r="W854">
        <v>0</v>
      </c>
      <c r="X854">
        <v>0</v>
      </c>
      <c r="Y854">
        <v>0</v>
      </c>
      <c r="Z854">
        <v>1.5</v>
      </c>
      <c r="AA854">
        <v>1.2385864260836392E-2</v>
      </c>
      <c r="AB854">
        <v>26.2</v>
      </c>
      <c r="AC854">
        <v>11.942833333333335</v>
      </c>
      <c r="AD854">
        <v>26</v>
      </c>
      <c r="AE854" s="7"/>
      <c r="AF854" s="7"/>
      <c r="AG854" s="7"/>
      <c r="AH854" s="7"/>
      <c r="AI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5.7166666666665478E-2</v>
      </c>
      <c r="AJ854" s="7"/>
      <c r="AK854" t="s">
        <v>51</v>
      </c>
      <c r="AN854">
        <f>IFERROR(INT(Table13[[#This Row],[reject_prod]]/Table13[[#This Row],[part_weight]] * 1000), 0)</f>
        <v>121</v>
      </c>
    </row>
    <row r="855" spans="1:40" hidden="1">
      <c r="A855" s="1">
        <v>46048</v>
      </c>
      <c r="B855">
        <v>2</v>
      </c>
      <c r="C855">
        <v>14</v>
      </c>
      <c r="D855" t="s">
        <v>33</v>
      </c>
      <c r="E855" t="s">
        <v>46</v>
      </c>
      <c r="F855">
        <v>555979</v>
      </c>
      <c r="G855" s="6">
        <v>1</v>
      </c>
      <c r="H855" t="s">
        <v>52</v>
      </c>
      <c r="I855">
        <v>10683785</v>
      </c>
      <c r="J855">
        <v>6</v>
      </c>
      <c r="K855">
        <v>28</v>
      </c>
      <c r="L855">
        <v>28</v>
      </c>
      <c r="M855">
        <v>0</v>
      </c>
      <c r="N855" s="2">
        <v>100800</v>
      </c>
      <c r="O855" s="2">
        <v>0</v>
      </c>
      <c r="P855" s="2">
        <v>0</v>
      </c>
      <c r="Q855" s="2">
        <v>0</v>
      </c>
      <c r="R855" s="2">
        <v>0</v>
      </c>
      <c r="S855">
        <v>0</v>
      </c>
      <c r="T855" s="2">
        <v>30240</v>
      </c>
      <c r="U855" s="2">
        <v>70560</v>
      </c>
      <c r="V855">
        <v>0</v>
      </c>
      <c r="W855">
        <v>0</v>
      </c>
      <c r="X855">
        <v>0</v>
      </c>
      <c r="Y855" t="e">
        <v>#DIV/0!</v>
      </c>
      <c r="Z855">
        <v>0</v>
      </c>
      <c r="AA855" t="e">
        <v>#DIV/0!</v>
      </c>
      <c r="AB855">
        <v>42</v>
      </c>
      <c r="AC855">
        <v>0</v>
      </c>
      <c r="AD855">
        <v>42</v>
      </c>
      <c r="AE855" s="7"/>
      <c r="AF855" s="7"/>
      <c r="AG855" s="7"/>
      <c r="AH855" s="7"/>
      <c r="AI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55" s="7"/>
      <c r="AK855" t="s">
        <v>481</v>
      </c>
      <c r="AN855">
        <f>IFERROR(INT(Table13[[#This Row],[reject_prod]]/Table13[[#This Row],[part_weight]] * 1000), 0)</f>
        <v>0</v>
      </c>
    </row>
    <row r="856" spans="1:40" hidden="1">
      <c r="A856" s="1">
        <v>46048</v>
      </c>
      <c r="B856">
        <v>2</v>
      </c>
      <c r="C856">
        <v>15</v>
      </c>
      <c r="D856" t="s">
        <v>61</v>
      </c>
      <c r="E856" t="s">
        <v>46</v>
      </c>
      <c r="F856">
        <v>552181</v>
      </c>
      <c r="G856" s="6">
        <v>2</v>
      </c>
      <c r="H856" t="s">
        <v>49</v>
      </c>
      <c r="I856">
        <v>10683787</v>
      </c>
      <c r="J856">
        <v>6</v>
      </c>
      <c r="K856">
        <v>18.8</v>
      </c>
      <c r="L856">
        <v>18.8</v>
      </c>
      <c r="M856">
        <v>1401</v>
      </c>
      <c r="N856" s="2">
        <v>108000</v>
      </c>
      <c r="O856" s="2">
        <v>2430</v>
      </c>
      <c r="P856" s="2">
        <v>0</v>
      </c>
      <c r="Q856" s="2">
        <v>8406</v>
      </c>
      <c r="R856" s="2">
        <v>10800</v>
      </c>
      <c r="S856">
        <v>203.04</v>
      </c>
      <c r="T856" s="2">
        <v>81000</v>
      </c>
      <c r="U856" s="2">
        <v>27000</v>
      </c>
      <c r="V856">
        <v>158.03280000000001</v>
      </c>
      <c r="W856">
        <v>0</v>
      </c>
      <c r="X856">
        <v>0</v>
      </c>
      <c r="Y856">
        <v>0</v>
      </c>
      <c r="Z856">
        <v>0.5</v>
      </c>
      <c r="AA856">
        <v>3.163900152373431E-3</v>
      </c>
      <c r="AB856">
        <v>30.3</v>
      </c>
      <c r="AC856">
        <v>11.791749999999999</v>
      </c>
      <c r="AD856">
        <v>27</v>
      </c>
      <c r="AE856" s="7"/>
      <c r="AF856" s="7"/>
      <c r="AG856" s="7"/>
      <c r="AH856" s="7"/>
      <c r="AI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0.20825000000000138</v>
      </c>
      <c r="AJ856" s="7"/>
      <c r="AK856" t="s">
        <v>51</v>
      </c>
      <c r="AN856">
        <f>IFERROR(INT(Table13[[#This Row],[reject_prod]]/Table13[[#This Row],[part_weight]] * 1000), 0)</f>
        <v>26</v>
      </c>
    </row>
    <row r="857" spans="1:40" s="4" customFormat="1" hidden="1">
      <c r="A857" s="3">
        <v>46048</v>
      </c>
      <c r="B857" s="4">
        <v>2</v>
      </c>
      <c r="C857" s="4">
        <v>16</v>
      </c>
      <c r="D857" s="4" t="s">
        <v>149</v>
      </c>
      <c r="E857" s="4" t="s">
        <v>46</v>
      </c>
      <c r="F857" s="4">
        <v>555979</v>
      </c>
      <c r="G857" s="9">
        <v>2</v>
      </c>
      <c r="H857" s="4" t="s">
        <v>52</v>
      </c>
      <c r="I857" s="4">
        <v>10684863</v>
      </c>
      <c r="J857" s="4">
        <v>6</v>
      </c>
      <c r="K857" s="4">
        <v>28</v>
      </c>
      <c r="L857" s="4">
        <v>28</v>
      </c>
      <c r="M857" s="4">
        <v>987</v>
      </c>
      <c r="N857" s="5">
        <v>100800</v>
      </c>
      <c r="O857" s="5">
        <v>840</v>
      </c>
      <c r="P857" s="5">
        <v>0</v>
      </c>
      <c r="Q857" s="5">
        <v>5922</v>
      </c>
      <c r="R857" s="5">
        <v>6720</v>
      </c>
      <c r="S857" s="4">
        <v>188.16</v>
      </c>
      <c r="T857" s="5">
        <v>36960</v>
      </c>
      <c r="U857" s="5">
        <v>63840</v>
      </c>
      <c r="V857" s="4">
        <v>165.816</v>
      </c>
      <c r="W857" s="4">
        <v>0</v>
      </c>
      <c r="X857" s="4">
        <v>0</v>
      </c>
      <c r="Y857" s="4">
        <v>0</v>
      </c>
      <c r="Z857" s="4">
        <v>1</v>
      </c>
      <c r="AA857" s="4">
        <v>6.0307811067689485E-3</v>
      </c>
      <c r="AB857" s="4">
        <v>43.4</v>
      </c>
      <c r="AC857" s="4">
        <v>11.898833333333334</v>
      </c>
      <c r="AD857" s="4">
        <v>42</v>
      </c>
      <c r="AE857" s="8"/>
      <c r="AF857" s="8"/>
      <c r="AG857" s="8"/>
      <c r="AH857" s="8"/>
      <c r="AI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0.10116666666666596</v>
      </c>
      <c r="AJ857" s="8"/>
      <c r="AK857" s="4" t="s">
        <v>51</v>
      </c>
      <c r="AN857">
        <f>IFERROR(INT(Table13[[#This Row],[reject_prod]]/Table13[[#This Row],[part_weight]] * 1000), 0)</f>
        <v>35</v>
      </c>
    </row>
    <row r="858" spans="1:40" hidden="1">
      <c r="A858" s="1">
        <v>46049</v>
      </c>
      <c r="B858">
        <v>1</v>
      </c>
      <c r="C858">
        <v>1</v>
      </c>
      <c r="D858" t="s">
        <v>289</v>
      </c>
      <c r="E858" t="s">
        <v>34</v>
      </c>
      <c r="F858">
        <v>577492</v>
      </c>
      <c r="G858" s="6">
        <v>0</v>
      </c>
      <c r="H858" t="s">
        <v>341</v>
      </c>
      <c r="I858">
        <v>10684028</v>
      </c>
      <c r="J858">
        <v>4</v>
      </c>
      <c r="K858">
        <v>35.6</v>
      </c>
      <c r="L858">
        <v>35.6</v>
      </c>
      <c r="M858">
        <v>1564</v>
      </c>
      <c r="N858" s="2">
        <v>101200</v>
      </c>
      <c r="O858" s="2">
        <v>0</v>
      </c>
      <c r="P858" s="2">
        <v>736</v>
      </c>
      <c r="Q858" s="2">
        <v>6256</v>
      </c>
      <c r="R858" s="2">
        <v>5520</v>
      </c>
      <c r="S858">
        <v>196.512</v>
      </c>
      <c r="T858" s="2">
        <v>89056</v>
      </c>
      <c r="U858" s="2">
        <v>12144</v>
      </c>
      <c r="V858">
        <v>222.71360000000001</v>
      </c>
      <c r="W858">
        <v>0</v>
      </c>
      <c r="X858">
        <v>0</v>
      </c>
      <c r="Y858">
        <v>0</v>
      </c>
      <c r="Z858">
        <v>3.3</v>
      </c>
      <c r="AA858">
        <v>1.4817236127474926E-2</v>
      </c>
      <c r="AB858">
        <v>26.8</v>
      </c>
      <c r="AC858">
        <v>11.643111111111111</v>
      </c>
      <c r="AD858">
        <v>27</v>
      </c>
      <c r="AE858" s="7"/>
      <c r="AF858" s="7"/>
      <c r="AG858" s="7"/>
      <c r="AH858" s="7"/>
      <c r="AI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0.35688888888888926</v>
      </c>
      <c r="AJ858" s="7"/>
      <c r="AK858" t="s">
        <v>539</v>
      </c>
      <c r="AN858">
        <f>IFERROR(INT(Table13[[#This Row],[reject_prod]]/Table13[[#This Row],[part_weight]] * 1000), 0)</f>
        <v>92</v>
      </c>
    </row>
    <row r="859" spans="1:40" hidden="1">
      <c r="A859" s="1">
        <v>46049</v>
      </c>
      <c r="B859">
        <v>1</v>
      </c>
      <c r="C859">
        <v>2</v>
      </c>
      <c r="D859" t="s">
        <v>33</v>
      </c>
      <c r="E859" t="s">
        <v>34</v>
      </c>
      <c r="F859">
        <v>416201</v>
      </c>
      <c r="G859" s="6">
        <v>0</v>
      </c>
      <c r="H859" t="s">
        <v>36</v>
      </c>
      <c r="I859">
        <v>10681779</v>
      </c>
      <c r="J859">
        <v>4</v>
      </c>
      <c r="K859">
        <v>20</v>
      </c>
      <c r="L859">
        <v>30</v>
      </c>
      <c r="M859">
        <v>0</v>
      </c>
      <c r="N859" s="2">
        <v>50400</v>
      </c>
      <c r="O859" s="2">
        <v>0</v>
      </c>
      <c r="P859" s="2">
        <v>0</v>
      </c>
      <c r="Q859" s="2">
        <v>0</v>
      </c>
      <c r="R859" s="2">
        <v>0</v>
      </c>
      <c r="S859">
        <v>0</v>
      </c>
      <c r="T859" s="2">
        <v>0</v>
      </c>
      <c r="U859" s="2">
        <v>50400</v>
      </c>
      <c r="V859">
        <v>0</v>
      </c>
      <c r="W859">
        <v>0</v>
      </c>
      <c r="X859">
        <v>0</v>
      </c>
      <c r="Y859" t="e">
        <v>#DIV/0!</v>
      </c>
      <c r="Z859">
        <v>0</v>
      </c>
      <c r="AA859" t="e">
        <v>#DIV/0!</v>
      </c>
      <c r="AB859">
        <v>38.6</v>
      </c>
      <c r="AC859">
        <v>0</v>
      </c>
      <c r="AD859">
        <v>38.64</v>
      </c>
      <c r="AE859" s="7"/>
      <c r="AF859" s="7"/>
      <c r="AG859" s="7"/>
      <c r="AH859" s="7"/>
      <c r="AI8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59" s="7"/>
      <c r="AK859" t="s">
        <v>526</v>
      </c>
      <c r="AL859">
        <v>8</v>
      </c>
      <c r="AM859">
        <v>4.5</v>
      </c>
      <c r="AN859">
        <f>IFERROR(INT(Table13[[#This Row],[reject_prod]]/Table13[[#This Row],[part_weight]] * 1000), 0)</f>
        <v>0</v>
      </c>
    </row>
    <row r="860" spans="1:40" hidden="1">
      <c r="A860" s="1">
        <v>46049</v>
      </c>
      <c r="B860">
        <v>1</v>
      </c>
      <c r="C860">
        <v>3</v>
      </c>
      <c r="D860" t="s">
        <v>56</v>
      </c>
      <c r="E860" t="s">
        <v>34</v>
      </c>
      <c r="F860">
        <v>442034</v>
      </c>
      <c r="G860" s="6">
        <v>0</v>
      </c>
      <c r="H860" t="s">
        <v>37</v>
      </c>
      <c r="I860">
        <v>10681184</v>
      </c>
      <c r="J860">
        <v>4</v>
      </c>
      <c r="K860">
        <v>23</v>
      </c>
      <c r="L860">
        <v>23</v>
      </c>
      <c r="M860">
        <v>1650</v>
      </c>
      <c r="N860" s="2">
        <v>139776</v>
      </c>
      <c r="O860" s="2">
        <v>640</v>
      </c>
      <c r="P860" s="2">
        <v>2688</v>
      </c>
      <c r="Q860" s="2">
        <v>6600</v>
      </c>
      <c r="R860" s="2">
        <v>4608</v>
      </c>
      <c r="S860">
        <v>105.98399999999999</v>
      </c>
      <c r="T860" s="2">
        <v>81024</v>
      </c>
      <c r="U860" s="2">
        <v>58752</v>
      </c>
      <c r="V860">
        <v>151.80000000000001</v>
      </c>
      <c r="W860">
        <v>0</v>
      </c>
      <c r="X860">
        <v>0</v>
      </c>
      <c r="Y860">
        <v>0</v>
      </c>
      <c r="Z860">
        <v>1.2</v>
      </c>
      <c r="AA860">
        <v>7.9051383399209481E-3</v>
      </c>
      <c r="AB860">
        <v>26.5</v>
      </c>
      <c r="AC860">
        <v>12</v>
      </c>
      <c r="AD860">
        <v>22</v>
      </c>
      <c r="AE860" s="7"/>
      <c r="AF860" s="7"/>
      <c r="AG860" s="7"/>
      <c r="AH860" s="7"/>
      <c r="AI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0" s="7"/>
      <c r="AK860" t="s">
        <v>103</v>
      </c>
      <c r="AN860">
        <f>IFERROR(INT(Table13[[#This Row],[reject_prod]]/Table13[[#This Row],[part_weight]] * 1000), 0)</f>
        <v>52</v>
      </c>
    </row>
    <row r="861" spans="1:40" hidden="1">
      <c r="A861" s="1">
        <v>46049</v>
      </c>
      <c r="B861">
        <v>1</v>
      </c>
      <c r="C861">
        <v>4</v>
      </c>
      <c r="D861" t="s">
        <v>58</v>
      </c>
      <c r="E861" t="s">
        <v>34</v>
      </c>
      <c r="F861">
        <v>369308</v>
      </c>
      <c r="G861" s="6">
        <v>0</v>
      </c>
      <c r="H861" t="s">
        <v>516</v>
      </c>
      <c r="I861">
        <v>10684853</v>
      </c>
      <c r="J861">
        <v>4</v>
      </c>
      <c r="K861">
        <v>31</v>
      </c>
      <c r="L861">
        <v>31</v>
      </c>
      <c r="M861">
        <v>1580</v>
      </c>
      <c r="N861" s="2">
        <v>34560</v>
      </c>
      <c r="O861" s="2">
        <v>480</v>
      </c>
      <c r="P861" s="2">
        <v>960</v>
      </c>
      <c r="Q861" s="2">
        <v>6320</v>
      </c>
      <c r="R861" s="2">
        <v>5760</v>
      </c>
      <c r="S861">
        <v>178.56</v>
      </c>
      <c r="T861" s="2">
        <v>9600</v>
      </c>
      <c r="U861" s="2">
        <v>24960</v>
      </c>
      <c r="V861">
        <v>195.92</v>
      </c>
      <c r="W861">
        <v>0</v>
      </c>
      <c r="X861">
        <v>0</v>
      </c>
      <c r="Y861">
        <v>0</v>
      </c>
      <c r="Z861">
        <v>4.5999999999999996</v>
      </c>
      <c r="AA861">
        <v>2.3478971008574927E-2</v>
      </c>
      <c r="AB861">
        <v>26.4</v>
      </c>
      <c r="AC861">
        <v>11.586666666666666</v>
      </c>
      <c r="AD861">
        <v>28.4</v>
      </c>
      <c r="AE861" s="7"/>
      <c r="AF861" s="7"/>
      <c r="AG861" s="7"/>
      <c r="AH861" s="7"/>
      <c r="AI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0.413333333333334</v>
      </c>
      <c r="AJ861" s="7"/>
      <c r="AK861" t="s">
        <v>540</v>
      </c>
      <c r="AL861">
        <v>3.5</v>
      </c>
      <c r="AM861">
        <v>3</v>
      </c>
      <c r="AN861">
        <f>IFERROR(INT(Table13[[#This Row],[reject_prod]]/Table13[[#This Row],[part_weight]] * 1000), 0)</f>
        <v>148</v>
      </c>
    </row>
    <row r="862" spans="1:40" hidden="1">
      <c r="A862" s="1">
        <v>46049</v>
      </c>
      <c r="B862">
        <v>1</v>
      </c>
      <c r="C862">
        <v>5</v>
      </c>
      <c r="D862" t="s">
        <v>206</v>
      </c>
      <c r="E862" t="s">
        <v>34</v>
      </c>
      <c r="F862">
        <v>322383</v>
      </c>
      <c r="G862" s="6">
        <v>0</v>
      </c>
      <c r="H862" t="s">
        <v>71</v>
      </c>
      <c r="I862">
        <v>10682756</v>
      </c>
      <c r="J862">
        <v>4</v>
      </c>
      <c r="K862">
        <v>12.5</v>
      </c>
      <c r="L862">
        <v>12.5</v>
      </c>
      <c r="M862">
        <v>950</v>
      </c>
      <c r="N862" s="2">
        <v>66000</v>
      </c>
      <c r="O862" s="2">
        <v>9900</v>
      </c>
      <c r="P862" s="2">
        <v>13200</v>
      </c>
      <c r="Q862" s="2">
        <v>3800</v>
      </c>
      <c r="R862" s="2">
        <v>0</v>
      </c>
      <c r="S862">
        <v>0</v>
      </c>
      <c r="T862" s="2">
        <v>66000</v>
      </c>
      <c r="U862" s="2">
        <v>0</v>
      </c>
      <c r="V862">
        <v>47.5</v>
      </c>
      <c r="W862">
        <v>0</v>
      </c>
      <c r="X862">
        <v>0</v>
      </c>
      <c r="Y862">
        <v>0</v>
      </c>
      <c r="Z862">
        <v>8</v>
      </c>
      <c r="AA862">
        <v>0.16842105263157894</v>
      </c>
      <c r="AB862">
        <v>20.9</v>
      </c>
      <c r="AC862">
        <v>5.5152777777777775</v>
      </c>
      <c r="AD862">
        <v>17.920000000000002</v>
      </c>
      <c r="AE862" s="7"/>
      <c r="AF862" s="7"/>
      <c r="AG862" s="7"/>
      <c r="AH862" s="7"/>
      <c r="AI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6.4847222222222225</v>
      </c>
      <c r="AJ862" s="7"/>
      <c r="AK862" t="s">
        <v>541</v>
      </c>
      <c r="AL862">
        <v>3</v>
      </c>
      <c r="AM862">
        <v>2.5</v>
      </c>
      <c r="AN862">
        <f>IFERROR(INT(Table13[[#This Row],[reject_prod]]/Table13[[#This Row],[part_weight]] * 1000), 0)</f>
        <v>640</v>
      </c>
    </row>
    <row r="863" spans="1:40" hidden="1">
      <c r="A863" s="1">
        <v>46049</v>
      </c>
      <c r="B863">
        <v>1</v>
      </c>
      <c r="C863">
        <v>5</v>
      </c>
      <c r="D863" t="s">
        <v>33</v>
      </c>
      <c r="E863" t="s">
        <v>34</v>
      </c>
      <c r="F863">
        <v>322389</v>
      </c>
      <c r="G863" s="6">
        <v>0</v>
      </c>
      <c r="H863" t="s">
        <v>542</v>
      </c>
      <c r="I863">
        <v>10684749</v>
      </c>
      <c r="J863">
        <v>4</v>
      </c>
      <c r="K863">
        <v>12.5</v>
      </c>
      <c r="L863">
        <v>12.5</v>
      </c>
      <c r="M863">
        <v>390</v>
      </c>
      <c r="N863" s="2">
        <v>46800</v>
      </c>
      <c r="O863" s="2">
        <v>0</v>
      </c>
      <c r="P863" s="2">
        <v>1560</v>
      </c>
      <c r="Q863" s="2">
        <v>1560</v>
      </c>
      <c r="R863" s="2">
        <v>0</v>
      </c>
      <c r="S863">
        <v>0</v>
      </c>
      <c r="T863" s="2">
        <v>1560</v>
      </c>
      <c r="U863" s="2">
        <v>45240</v>
      </c>
      <c r="V863">
        <v>19.5</v>
      </c>
      <c r="W863">
        <v>0</v>
      </c>
      <c r="X863">
        <v>2</v>
      </c>
      <c r="Y863">
        <v>0.10256410256410256</v>
      </c>
      <c r="Z863">
        <v>0</v>
      </c>
      <c r="AA863">
        <v>0</v>
      </c>
      <c r="AB863">
        <v>20.28</v>
      </c>
      <c r="AC863">
        <v>2.1970000000000001</v>
      </c>
      <c r="AD863">
        <v>18.64</v>
      </c>
      <c r="AE863" s="7"/>
      <c r="AF863" s="7"/>
      <c r="AG863" s="7">
        <v>1.5</v>
      </c>
      <c r="AH863" s="7"/>
      <c r="AI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8.3030000000000008</v>
      </c>
      <c r="AJ863" s="7"/>
      <c r="AK863" t="s">
        <v>543</v>
      </c>
      <c r="AN863">
        <f>IFERROR(INT(Table13[[#This Row],[reject_prod]]/Table13[[#This Row],[part_weight]] * 1000), 0)</f>
        <v>0</v>
      </c>
    </row>
    <row r="864" spans="1:40" hidden="1">
      <c r="A864" s="1">
        <v>46049</v>
      </c>
      <c r="B864">
        <v>1</v>
      </c>
      <c r="C864">
        <v>6</v>
      </c>
      <c r="D864" t="s">
        <v>534</v>
      </c>
      <c r="E864" t="s">
        <v>34</v>
      </c>
      <c r="F864">
        <v>322412</v>
      </c>
      <c r="G864" s="6">
        <v>0</v>
      </c>
      <c r="H864" t="s">
        <v>487</v>
      </c>
      <c r="I864">
        <v>10685212</v>
      </c>
      <c r="J864">
        <v>4</v>
      </c>
      <c r="K864">
        <v>24.3</v>
      </c>
      <c r="L864">
        <v>24</v>
      </c>
      <c r="M864">
        <v>1830</v>
      </c>
      <c r="N864" s="2">
        <v>40600</v>
      </c>
      <c r="O864" s="2">
        <v>609</v>
      </c>
      <c r="P864" s="2">
        <v>812</v>
      </c>
      <c r="Q864" s="2">
        <v>7320</v>
      </c>
      <c r="R864" s="2">
        <v>7105</v>
      </c>
      <c r="S864">
        <v>170.52</v>
      </c>
      <c r="T864" s="2">
        <v>30247</v>
      </c>
      <c r="U864" s="2">
        <v>10353</v>
      </c>
      <c r="V864">
        <v>175.68</v>
      </c>
      <c r="W864">
        <v>2.1960000000000051</v>
      </c>
      <c r="X864">
        <v>0</v>
      </c>
      <c r="Y864">
        <v>0</v>
      </c>
      <c r="Z864">
        <v>1.2</v>
      </c>
      <c r="AA864">
        <v>6.8306010928961746E-3</v>
      </c>
      <c r="AB864">
        <v>23.6</v>
      </c>
      <c r="AC864">
        <v>11.996666666666668</v>
      </c>
      <c r="AD864">
        <v>20</v>
      </c>
      <c r="AE864" s="7"/>
      <c r="AF864" s="7"/>
      <c r="AG864" s="7"/>
      <c r="AH864" s="7"/>
      <c r="AI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3.333333333332078E-3</v>
      </c>
      <c r="AJ864" s="7"/>
      <c r="AK864" t="s">
        <v>103</v>
      </c>
      <c r="AN864">
        <f>IFERROR(INT(Table13[[#This Row],[reject_prod]]/Table13[[#This Row],[part_weight]] * 1000), 0)</f>
        <v>50</v>
      </c>
    </row>
    <row r="865" spans="1:40" hidden="1">
      <c r="A865" s="1">
        <v>46049</v>
      </c>
      <c r="B865">
        <v>1</v>
      </c>
      <c r="C865">
        <v>7</v>
      </c>
      <c r="D865" t="s">
        <v>535</v>
      </c>
      <c r="E865" t="s">
        <v>34</v>
      </c>
      <c r="F865">
        <v>322471</v>
      </c>
      <c r="G865" s="6">
        <v>0</v>
      </c>
      <c r="H865" t="s">
        <v>520</v>
      </c>
      <c r="I865">
        <v>10684032</v>
      </c>
      <c r="J865">
        <v>4</v>
      </c>
      <c r="K865">
        <v>34.5</v>
      </c>
      <c r="L865">
        <v>34.5</v>
      </c>
      <c r="M865">
        <v>1860</v>
      </c>
      <c r="N865" s="2">
        <v>44352</v>
      </c>
      <c r="O865" s="2">
        <v>0</v>
      </c>
      <c r="P865" s="2">
        <v>0</v>
      </c>
      <c r="Q865" s="2">
        <v>7440</v>
      </c>
      <c r="R865" s="2">
        <v>7392</v>
      </c>
      <c r="S865">
        <v>255.024</v>
      </c>
      <c r="T865" s="2">
        <v>12936</v>
      </c>
      <c r="U865" s="2">
        <v>31416</v>
      </c>
      <c r="V865">
        <v>256.68</v>
      </c>
      <c r="W865">
        <v>0</v>
      </c>
      <c r="X865">
        <v>0</v>
      </c>
      <c r="Y865">
        <v>0</v>
      </c>
      <c r="Z865">
        <v>18</v>
      </c>
      <c r="AA865">
        <v>7.0126227208976155E-2</v>
      </c>
      <c r="AB865">
        <v>22.4</v>
      </c>
      <c r="AC865">
        <v>11.573333333333332</v>
      </c>
      <c r="AD865">
        <v>16.2</v>
      </c>
      <c r="AE865" s="7"/>
      <c r="AF865" s="7"/>
      <c r="AG865" s="7"/>
      <c r="AH865" s="7"/>
      <c r="AI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0.42666666666666764</v>
      </c>
      <c r="AJ865" s="7"/>
      <c r="AK865" t="s">
        <v>544</v>
      </c>
      <c r="AL865">
        <v>3</v>
      </c>
      <c r="AM865">
        <v>2</v>
      </c>
      <c r="AN865">
        <f>IFERROR(INT(Table13[[#This Row],[reject_prod]]/Table13[[#This Row],[part_weight]] * 1000), 0)</f>
        <v>521</v>
      </c>
    </row>
    <row r="866" spans="1:40" hidden="1">
      <c r="A866" s="1">
        <v>46049</v>
      </c>
      <c r="B866">
        <v>1</v>
      </c>
      <c r="C866">
        <v>8</v>
      </c>
      <c r="D866" t="s">
        <v>84</v>
      </c>
      <c r="E866" t="s">
        <v>41</v>
      </c>
      <c r="F866">
        <v>593537</v>
      </c>
      <c r="G866" s="6">
        <v>0</v>
      </c>
      <c r="H866" t="s">
        <v>48</v>
      </c>
      <c r="I866">
        <v>10685337</v>
      </c>
      <c r="J866">
        <v>4</v>
      </c>
      <c r="K866">
        <v>56.5</v>
      </c>
      <c r="L866">
        <v>56.8</v>
      </c>
      <c r="M866">
        <v>1470</v>
      </c>
      <c r="N866" s="2">
        <v>69000</v>
      </c>
      <c r="O866" s="2">
        <v>0</v>
      </c>
      <c r="P866" s="2">
        <v>230</v>
      </c>
      <c r="Q866" s="2">
        <v>5880</v>
      </c>
      <c r="R866" s="2">
        <v>5750</v>
      </c>
      <c r="S866">
        <v>326.60000000000002</v>
      </c>
      <c r="T866" s="2">
        <v>17480</v>
      </c>
      <c r="U866" s="2">
        <v>51520</v>
      </c>
      <c r="V866">
        <v>333.98399999999998</v>
      </c>
      <c r="W866">
        <v>-1.7639999999999831</v>
      </c>
      <c r="X866">
        <v>0</v>
      </c>
      <c r="Y866">
        <v>0</v>
      </c>
      <c r="Z866">
        <v>1.2</v>
      </c>
      <c r="AA866">
        <v>3.5929864903707963E-3</v>
      </c>
      <c r="AB866">
        <v>29.4</v>
      </c>
      <c r="AC866">
        <v>12</v>
      </c>
      <c r="AD866">
        <v>28.5</v>
      </c>
      <c r="AE866" s="7"/>
      <c r="AF866" s="7"/>
      <c r="AG866" s="7"/>
      <c r="AH866" s="7"/>
      <c r="AI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6" s="7"/>
      <c r="AK866" t="s">
        <v>51</v>
      </c>
      <c r="AN866">
        <f>IFERROR(INT(Table13[[#This Row],[reject_prod]]/Table13[[#This Row],[part_weight]] * 1000), 0)</f>
        <v>21</v>
      </c>
    </row>
    <row r="867" spans="1:40" hidden="1">
      <c r="A867" s="1">
        <v>46049</v>
      </c>
      <c r="B867">
        <v>1</v>
      </c>
      <c r="C867">
        <v>9</v>
      </c>
      <c r="D867" t="s">
        <v>33</v>
      </c>
      <c r="E867" t="s">
        <v>46</v>
      </c>
      <c r="F867">
        <v>586276</v>
      </c>
      <c r="G867" s="6">
        <v>0</v>
      </c>
      <c r="H867" t="s">
        <v>47</v>
      </c>
      <c r="I867" t="s">
        <v>490</v>
      </c>
      <c r="J867">
        <v>6</v>
      </c>
      <c r="K867">
        <v>12.3</v>
      </c>
      <c r="L867">
        <v>12.3</v>
      </c>
      <c r="M867">
        <v>0</v>
      </c>
      <c r="N867" s="2">
        <v>2025</v>
      </c>
      <c r="O867" s="2">
        <v>0</v>
      </c>
      <c r="P867" s="2">
        <v>0</v>
      </c>
      <c r="Q867" s="2">
        <v>0</v>
      </c>
      <c r="R867" s="2">
        <v>2025</v>
      </c>
      <c r="S867">
        <v>24.907499999999999</v>
      </c>
      <c r="T867" s="2">
        <v>2025</v>
      </c>
      <c r="U867" s="2">
        <v>0</v>
      </c>
      <c r="V867">
        <v>0</v>
      </c>
      <c r="W867">
        <v>0</v>
      </c>
      <c r="X867">
        <v>6</v>
      </c>
      <c r="Y867" t="e">
        <v>#DIV/0!</v>
      </c>
      <c r="Z867">
        <v>0</v>
      </c>
      <c r="AA867" t="e">
        <v>#DIV/0!</v>
      </c>
      <c r="AB867">
        <v>26</v>
      </c>
      <c r="AC867">
        <v>0</v>
      </c>
      <c r="AD867">
        <v>26</v>
      </c>
      <c r="AE867" s="7"/>
      <c r="AF867" s="7"/>
      <c r="AG867" s="7"/>
      <c r="AH867" s="7"/>
      <c r="AI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67" s="7"/>
      <c r="AK867" t="s">
        <v>545</v>
      </c>
      <c r="AL867">
        <v>2</v>
      </c>
      <c r="AM867">
        <v>1.5</v>
      </c>
      <c r="AN867">
        <f>IFERROR(INT(Table13[[#This Row],[reject_prod]]/Table13[[#This Row],[part_weight]] * 1000), 0)</f>
        <v>0</v>
      </c>
    </row>
    <row r="868" spans="1:40" hidden="1">
      <c r="A868" s="1">
        <v>46049</v>
      </c>
      <c r="B868">
        <v>1</v>
      </c>
      <c r="C868">
        <v>10</v>
      </c>
      <c r="D868" t="s">
        <v>59</v>
      </c>
      <c r="E868" t="s">
        <v>34</v>
      </c>
      <c r="F868">
        <v>441778</v>
      </c>
      <c r="G868" s="6">
        <v>0</v>
      </c>
      <c r="H868" t="s">
        <v>531</v>
      </c>
      <c r="I868">
        <v>10684860</v>
      </c>
      <c r="J868">
        <v>4</v>
      </c>
      <c r="K868">
        <v>77</v>
      </c>
      <c r="L868">
        <v>77</v>
      </c>
      <c r="M868">
        <v>560</v>
      </c>
      <c r="N868" s="2">
        <v>11868</v>
      </c>
      <c r="O868" s="2">
        <v>0</v>
      </c>
      <c r="P868" s="2">
        <v>0</v>
      </c>
      <c r="Q868" s="2">
        <v>2240</v>
      </c>
      <c r="R868" s="2">
        <v>2208</v>
      </c>
      <c r="S868">
        <v>170.01599999999999</v>
      </c>
      <c r="T868" s="2">
        <v>2208</v>
      </c>
      <c r="U868" s="2">
        <v>9660</v>
      </c>
      <c r="V868">
        <v>172.48</v>
      </c>
      <c r="W868">
        <v>0</v>
      </c>
      <c r="X868">
        <v>15</v>
      </c>
      <c r="Y868">
        <v>8.6966604823747684E-2</v>
      </c>
      <c r="Z868">
        <v>5</v>
      </c>
      <c r="AA868">
        <v>2.8988868274582563E-2</v>
      </c>
      <c r="AB868">
        <v>36.729999999999997</v>
      </c>
      <c r="AC868">
        <v>5.7135555555555557</v>
      </c>
      <c r="AD868">
        <v>35</v>
      </c>
      <c r="AE868" s="7"/>
      <c r="AF868" s="7"/>
      <c r="AG868" s="7"/>
      <c r="AH868" s="7"/>
      <c r="AI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6.2864444444444443</v>
      </c>
      <c r="AJ868" s="7"/>
      <c r="AK868" t="s">
        <v>546</v>
      </c>
      <c r="AL868">
        <v>10</v>
      </c>
      <c r="AM868">
        <v>20</v>
      </c>
      <c r="AN868">
        <f>IFERROR(INT(Table13[[#This Row],[reject_prod]]/Table13[[#This Row],[part_weight]] * 1000), 0)</f>
        <v>64</v>
      </c>
    </row>
    <row r="869" spans="1:40" hidden="1">
      <c r="A869" s="1">
        <v>46049</v>
      </c>
      <c r="B869">
        <v>1</v>
      </c>
      <c r="C869">
        <v>11</v>
      </c>
      <c r="D869" t="s">
        <v>208</v>
      </c>
      <c r="E869" t="s">
        <v>46</v>
      </c>
      <c r="F869">
        <v>552181</v>
      </c>
      <c r="G869" s="6">
        <v>1</v>
      </c>
      <c r="H869" t="s">
        <v>49</v>
      </c>
      <c r="I869">
        <v>10683783</v>
      </c>
      <c r="J869">
        <v>6</v>
      </c>
      <c r="K869">
        <v>18.8</v>
      </c>
      <c r="L869">
        <v>18.8</v>
      </c>
      <c r="M869">
        <v>1530</v>
      </c>
      <c r="N869" s="2">
        <v>108000</v>
      </c>
      <c r="O869" s="2">
        <v>1620</v>
      </c>
      <c r="P869" s="2">
        <v>0</v>
      </c>
      <c r="Q869" s="2">
        <v>9180</v>
      </c>
      <c r="R869" s="2">
        <v>10800</v>
      </c>
      <c r="S869">
        <v>203.04</v>
      </c>
      <c r="T869" s="2">
        <v>108000</v>
      </c>
      <c r="U869" s="2">
        <v>0</v>
      </c>
      <c r="V869">
        <v>172.584</v>
      </c>
      <c r="W869">
        <v>0</v>
      </c>
      <c r="X869">
        <v>0</v>
      </c>
      <c r="Y869">
        <v>0</v>
      </c>
      <c r="Z869">
        <v>1.2</v>
      </c>
      <c r="AA869">
        <v>6.9531358642747872E-3</v>
      </c>
      <c r="AB869">
        <v>28.7</v>
      </c>
      <c r="AC869">
        <v>12</v>
      </c>
      <c r="AD869">
        <v>27</v>
      </c>
      <c r="AE869" s="7"/>
      <c r="AF869" s="7"/>
      <c r="AG869" s="7"/>
      <c r="AH869" s="7"/>
      <c r="AI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9" s="7"/>
      <c r="AK869" t="s">
        <v>51</v>
      </c>
      <c r="AN869">
        <f>IFERROR(INT(Table13[[#This Row],[reject_prod]]/Table13[[#This Row],[part_weight]] * 1000), 0)</f>
        <v>63</v>
      </c>
    </row>
    <row r="870" spans="1:40" hidden="1">
      <c r="A870" s="1">
        <v>46049</v>
      </c>
      <c r="B870">
        <v>1</v>
      </c>
      <c r="C870">
        <v>12</v>
      </c>
      <c r="D870" t="s">
        <v>54</v>
      </c>
      <c r="E870" t="s">
        <v>34</v>
      </c>
      <c r="F870">
        <v>620599</v>
      </c>
      <c r="G870" s="6">
        <v>0</v>
      </c>
      <c r="H870" t="s">
        <v>50</v>
      </c>
      <c r="I870">
        <v>10684839</v>
      </c>
      <c r="J870">
        <v>4</v>
      </c>
      <c r="K870">
        <v>55</v>
      </c>
      <c r="L870">
        <v>55</v>
      </c>
      <c r="M870">
        <v>1465</v>
      </c>
      <c r="N870" s="2">
        <v>72000</v>
      </c>
      <c r="O870" s="2">
        <v>1575</v>
      </c>
      <c r="P870" s="2">
        <v>225</v>
      </c>
      <c r="Q870" s="2">
        <v>5860</v>
      </c>
      <c r="R870" s="2">
        <v>7200</v>
      </c>
      <c r="S870">
        <v>396</v>
      </c>
      <c r="T870" s="2">
        <v>61425</v>
      </c>
      <c r="U870" s="2">
        <v>10575</v>
      </c>
      <c r="V870">
        <v>322.3</v>
      </c>
      <c r="W870">
        <v>0</v>
      </c>
      <c r="X870">
        <v>0</v>
      </c>
      <c r="Y870">
        <v>0</v>
      </c>
      <c r="Z870">
        <v>7.3</v>
      </c>
      <c r="AA870">
        <v>2.2649705243561899E-2</v>
      </c>
      <c r="AB870">
        <v>28.8</v>
      </c>
      <c r="AC870">
        <v>11.72</v>
      </c>
      <c r="AD870">
        <v>28</v>
      </c>
      <c r="AE870" s="7"/>
      <c r="AF870" s="7"/>
      <c r="AG870" s="7"/>
      <c r="AH870" s="7"/>
      <c r="AI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0.27999999999999936</v>
      </c>
      <c r="AJ870" s="7"/>
      <c r="AK870" t="s">
        <v>230</v>
      </c>
      <c r="AN870">
        <f>IFERROR(INT(Table13[[#This Row],[reject_prod]]/Table13[[#This Row],[part_weight]] * 1000), 0)</f>
        <v>132</v>
      </c>
    </row>
    <row r="871" spans="1:40" hidden="1">
      <c r="A871" s="1">
        <v>46049</v>
      </c>
      <c r="B871">
        <v>1</v>
      </c>
      <c r="C871">
        <v>13</v>
      </c>
      <c r="D871" t="s">
        <v>208</v>
      </c>
      <c r="E871" t="s">
        <v>46</v>
      </c>
      <c r="F871">
        <v>586276</v>
      </c>
      <c r="G871" s="6">
        <v>0</v>
      </c>
      <c r="H871" t="s">
        <v>47</v>
      </c>
      <c r="I871">
        <v>10684862</v>
      </c>
      <c r="J871">
        <v>6</v>
      </c>
      <c r="K871">
        <v>12.3</v>
      </c>
      <c r="L871">
        <v>12.3</v>
      </c>
      <c r="M871">
        <v>1620</v>
      </c>
      <c r="N871" s="2">
        <v>162000</v>
      </c>
      <c r="O871" s="2">
        <v>2835</v>
      </c>
      <c r="P871" s="2">
        <v>4455</v>
      </c>
      <c r="Q871" s="2">
        <v>9720</v>
      </c>
      <c r="R871" s="2">
        <v>8100</v>
      </c>
      <c r="S871">
        <v>99.63</v>
      </c>
      <c r="T871" s="2">
        <v>93555</v>
      </c>
      <c r="U871" s="2">
        <v>68445</v>
      </c>
      <c r="V871">
        <v>119.556</v>
      </c>
      <c r="W871">
        <v>0</v>
      </c>
      <c r="X871">
        <v>0</v>
      </c>
      <c r="Y871">
        <v>0</v>
      </c>
      <c r="Z871">
        <v>1</v>
      </c>
      <c r="AA871">
        <v>8.3642811736759342E-3</v>
      </c>
      <c r="AB871">
        <v>26.2</v>
      </c>
      <c r="AC871">
        <v>11.790000000000001</v>
      </c>
      <c r="AD871">
        <v>26</v>
      </c>
      <c r="AE871" s="7"/>
      <c r="AF871" s="7"/>
      <c r="AG871" s="7"/>
      <c r="AH871" s="7"/>
      <c r="AI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871" s="7"/>
      <c r="AK871" t="s">
        <v>51</v>
      </c>
      <c r="AN871">
        <f>IFERROR(INT(Table13[[#This Row],[reject_prod]]/Table13[[#This Row],[part_weight]] * 1000), 0)</f>
        <v>81</v>
      </c>
    </row>
    <row r="872" spans="1:40" hidden="1">
      <c r="A872" s="1">
        <v>46049</v>
      </c>
      <c r="B872">
        <v>1</v>
      </c>
      <c r="C872">
        <v>14</v>
      </c>
      <c r="D872" t="s">
        <v>33</v>
      </c>
      <c r="E872" t="s">
        <v>46</v>
      </c>
      <c r="F872">
        <v>555979</v>
      </c>
      <c r="G872" s="6">
        <v>1</v>
      </c>
      <c r="H872" t="s">
        <v>52</v>
      </c>
      <c r="I872">
        <v>10683785</v>
      </c>
      <c r="J872">
        <v>6</v>
      </c>
      <c r="K872">
        <v>28</v>
      </c>
      <c r="L872">
        <v>28</v>
      </c>
      <c r="M872">
        <v>0</v>
      </c>
      <c r="N872" s="2">
        <v>100800</v>
      </c>
      <c r="O872" s="2">
        <v>0</v>
      </c>
      <c r="P872" s="2">
        <v>0</v>
      </c>
      <c r="Q872" s="2">
        <v>0</v>
      </c>
      <c r="R872" s="2">
        <v>0</v>
      </c>
      <c r="S872">
        <v>0</v>
      </c>
      <c r="T872" s="2">
        <v>0</v>
      </c>
      <c r="U872" s="2">
        <v>100800</v>
      </c>
      <c r="V872">
        <v>0</v>
      </c>
      <c r="W872">
        <v>0</v>
      </c>
      <c r="X872">
        <v>0</v>
      </c>
      <c r="Y872" t="e">
        <v>#DIV/0!</v>
      </c>
      <c r="Z872">
        <v>0</v>
      </c>
      <c r="AA872" t="e">
        <v>#DIV/0!</v>
      </c>
      <c r="AB872">
        <v>43.4</v>
      </c>
      <c r="AC872">
        <v>0</v>
      </c>
      <c r="AD872">
        <v>42</v>
      </c>
      <c r="AE872" s="7"/>
      <c r="AF872" s="7"/>
      <c r="AG872" s="7"/>
      <c r="AH872" s="7"/>
      <c r="AI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2" s="7"/>
      <c r="AK872" t="s">
        <v>481</v>
      </c>
      <c r="AL872">
        <v>4.5</v>
      </c>
      <c r="AM872">
        <v>4</v>
      </c>
      <c r="AN872">
        <f>IFERROR(INT(Table13[[#This Row],[reject_prod]]/Table13[[#This Row],[part_weight]] * 1000), 0)</f>
        <v>0</v>
      </c>
    </row>
    <row r="873" spans="1:40" hidden="1">
      <c r="A873" s="1">
        <v>46049</v>
      </c>
      <c r="B873">
        <v>1</v>
      </c>
      <c r="C873">
        <v>15</v>
      </c>
      <c r="D873" t="s">
        <v>208</v>
      </c>
      <c r="E873" t="s">
        <v>46</v>
      </c>
      <c r="F873">
        <v>552181</v>
      </c>
      <c r="G873" s="6">
        <v>2</v>
      </c>
      <c r="H873" t="s">
        <v>49</v>
      </c>
      <c r="I873">
        <v>10683787</v>
      </c>
      <c r="J873">
        <v>6</v>
      </c>
      <c r="K873">
        <v>18.8</v>
      </c>
      <c r="L873">
        <v>18.8</v>
      </c>
      <c r="M873">
        <v>1380</v>
      </c>
      <c r="N873" s="2">
        <v>108000</v>
      </c>
      <c r="O873" s="2">
        <v>0</v>
      </c>
      <c r="P873" s="2">
        <v>2700</v>
      </c>
      <c r="Q873" s="2">
        <v>8280</v>
      </c>
      <c r="R873" s="2">
        <v>5400</v>
      </c>
      <c r="S873">
        <v>101.52</v>
      </c>
      <c r="T873" s="2">
        <v>88830</v>
      </c>
      <c r="U873" s="2">
        <v>19170</v>
      </c>
      <c r="V873">
        <v>155.66399999999999</v>
      </c>
      <c r="W873">
        <v>0</v>
      </c>
      <c r="X873">
        <v>0</v>
      </c>
      <c r="Y873">
        <v>0</v>
      </c>
      <c r="Z873">
        <v>1</v>
      </c>
      <c r="AA873">
        <v>6.4240929180799673E-3</v>
      </c>
      <c r="AB873">
        <v>31.3</v>
      </c>
      <c r="AC873">
        <v>11.998333333333333</v>
      </c>
      <c r="AD873">
        <v>27</v>
      </c>
      <c r="AE873" s="7"/>
      <c r="AF873" s="7"/>
      <c r="AG873" s="7"/>
      <c r="AH873" s="7"/>
      <c r="AI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1.6666666666669272E-3</v>
      </c>
      <c r="AJ873" s="7"/>
      <c r="AK873" t="s">
        <v>51</v>
      </c>
      <c r="AN873">
        <f>IFERROR(INT(Table13[[#This Row],[reject_prod]]/Table13[[#This Row],[part_weight]] * 1000), 0)</f>
        <v>53</v>
      </c>
    </row>
    <row r="874" spans="1:40" s="4" customFormat="1" hidden="1">
      <c r="A874" s="3">
        <v>46049</v>
      </c>
      <c r="B874" s="4">
        <v>1</v>
      </c>
      <c r="C874" s="4">
        <v>16</v>
      </c>
      <c r="D874" s="4" t="s">
        <v>53</v>
      </c>
      <c r="E874" s="4" t="s">
        <v>46</v>
      </c>
      <c r="F874" s="4">
        <v>555979</v>
      </c>
      <c r="G874" s="9">
        <v>2</v>
      </c>
      <c r="H874" s="4" t="s">
        <v>52</v>
      </c>
      <c r="I874" s="4">
        <v>10683788</v>
      </c>
      <c r="J874" s="4">
        <v>6</v>
      </c>
      <c r="K874" s="4">
        <v>28</v>
      </c>
      <c r="L874" s="4">
        <v>28</v>
      </c>
      <c r="M874" s="4">
        <v>960</v>
      </c>
      <c r="N874" s="5">
        <v>100800</v>
      </c>
      <c r="O874" s="5">
        <v>0</v>
      </c>
      <c r="P874" s="5">
        <v>2184</v>
      </c>
      <c r="Q874" s="5">
        <v>5760</v>
      </c>
      <c r="R874" s="5">
        <v>3360</v>
      </c>
      <c r="S874" s="4">
        <v>94.08</v>
      </c>
      <c r="T874" s="5">
        <v>42504</v>
      </c>
      <c r="U874" s="5">
        <v>58296</v>
      </c>
      <c r="V874" s="4">
        <v>161.28</v>
      </c>
      <c r="W874" s="4">
        <v>0</v>
      </c>
      <c r="X874" s="4">
        <v>0</v>
      </c>
      <c r="Y874" s="4">
        <v>0</v>
      </c>
      <c r="Z874" s="4">
        <v>1.3</v>
      </c>
      <c r="AA874" s="4">
        <v>8.0605158730158739E-3</v>
      </c>
      <c r="AB874" s="4">
        <v>43.4</v>
      </c>
      <c r="AC874" s="4">
        <v>11.573333333333334</v>
      </c>
      <c r="AD874" s="4">
        <v>42</v>
      </c>
      <c r="AE874" s="8"/>
      <c r="AF874" s="8"/>
      <c r="AG874" s="8"/>
      <c r="AH874" s="8"/>
      <c r="AI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0.42666666666666586</v>
      </c>
      <c r="AJ874" s="8"/>
      <c r="AK874" s="4" t="s">
        <v>51</v>
      </c>
      <c r="AN874">
        <f>IFERROR(INT(Table13[[#This Row],[reject_prod]]/Table13[[#This Row],[part_weight]] * 1000), 0)</f>
        <v>46</v>
      </c>
    </row>
    <row r="875" spans="1:40" hidden="1">
      <c r="A875" s="1">
        <v>46049</v>
      </c>
      <c r="B875">
        <v>2</v>
      </c>
      <c r="C875">
        <v>1</v>
      </c>
      <c r="D875" t="s">
        <v>61</v>
      </c>
      <c r="E875" t="s">
        <v>34</v>
      </c>
      <c r="F875">
        <v>577492</v>
      </c>
      <c r="G875" s="6">
        <v>0</v>
      </c>
      <c r="H875" t="s">
        <v>341</v>
      </c>
      <c r="I875">
        <v>10684028</v>
      </c>
      <c r="J875">
        <v>4</v>
      </c>
      <c r="K875">
        <v>35.6</v>
      </c>
      <c r="L875">
        <v>35.6</v>
      </c>
      <c r="M875">
        <v>1586</v>
      </c>
      <c r="N875" s="2">
        <v>101200</v>
      </c>
      <c r="O875" s="2">
        <v>736</v>
      </c>
      <c r="P875" s="2">
        <v>1472</v>
      </c>
      <c r="Q875" s="2">
        <v>6344</v>
      </c>
      <c r="R875" s="2">
        <v>5520</v>
      </c>
      <c r="S875">
        <v>196.512</v>
      </c>
      <c r="T875" s="2">
        <v>95312</v>
      </c>
      <c r="U875" s="2">
        <v>5888</v>
      </c>
      <c r="V875">
        <v>225.84640000000002</v>
      </c>
      <c r="W875">
        <v>0</v>
      </c>
      <c r="X875">
        <v>0</v>
      </c>
      <c r="Y875">
        <v>0</v>
      </c>
      <c r="Z875">
        <v>3.2</v>
      </c>
      <c r="AA875">
        <v>1.4168921886733639E-2</v>
      </c>
      <c r="AB875">
        <v>26.8</v>
      </c>
      <c r="AC875">
        <v>11.806888888888889</v>
      </c>
      <c r="AD875">
        <v>27</v>
      </c>
      <c r="AE875" s="7"/>
      <c r="AF875" s="7"/>
      <c r="AG875" s="7"/>
      <c r="AH875" s="7"/>
      <c r="AI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0.19311111111111146</v>
      </c>
      <c r="AJ875" s="7"/>
      <c r="AK875" t="s">
        <v>51</v>
      </c>
      <c r="AN875">
        <f>IFERROR(INT(Table13[[#This Row],[reject_prod]]/Table13[[#This Row],[part_weight]] * 1000), 0)</f>
        <v>89</v>
      </c>
    </row>
    <row r="876" spans="1:40" hidden="1">
      <c r="A876" s="1">
        <v>46049</v>
      </c>
      <c r="B876">
        <v>2</v>
      </c>
      <c r="C876">
        <v>2</v>
      </c>
      <c r="D876" t="s">
        <v>33</v>
      </c>
      <c r="E876" t="s">
        <v>34</v>
      </c>
      <c r="F876">
        <v>416201</v>
      </c>
      <c r="G876" s="6">
        <v>0</v>
      </c>
      <c r="H876" t="s">
        <v>36</v>
      </c>
      <c r="I876">
        <v>10681779</v>
      </c>
      <c r="J876">
        <v>4</v>
      </c>
      <c r="K876">
        <v>20</v>
      </c>
      <c r="L876">
        <v>30</v>
      </c>
      <c r="M876">
        <v>0</v>
      </c>
      <c r="N876" s="2">
        <v>50400</v>
      </c>
      <c r="O876" s="2">
        <v>0</v>
      </c>
      <c r="P876" s="2">
        <v>0</v>
      </c>
      <c r="Q876" s="2">
        <v>0</v>
      </c>
      <c r="R876" s="2">
        <v>0</v>
      </c>
      <c r="S876">
        <v>0</v>
      </c>
      <c r="T876" s="2">
        <v>0</v>
      </c>
      <c r="U876" s="2">
        <v>50400</v>
      </c>
      <c r="V876">
        <v>0</v>
      </c>
      <c r="W876">
        <v>0</v>
      </c>
      <c r="X876">
        <v>0</v>
      </c>
      <c r="Y876" t="e">
        <v>#DIV/0!</v>
      </c>
      <c r="Z876">
        <v>0</v>
      </c>
      <c r="AA876" t="e">
        <v>#DIV/0!</v>
      </c>
      <c r="AB876">
        <v>38</v>
      </c>
      <c r="AC876">
        <v>0</v>
      </c>
      <c r="AD876">
        <v>38.64</v>
      </c>
      <c r="AE876" s="7"/>
      <c r="AF876" s="7"/>
      <c r="AG876" s="7"/>
      <c r="AH876" s="7"/>
      <c r="AI8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6" s="7"/>
      <c r="AK876" t="s">
        <v>526</v>
      </c>
      <c r="AN876">
        <f>IFERROR(INT(Table13[[#This Row],[reject_prod]]/Table13[[#This Row],[part_weight]] * 1000), 0)</f>
        <v>0</v>
      </c>
    </row>
    <row r="877" spans="1:40" hidden="1">
      <c r="A877" s="1">
        <v>46049</v>
      </c>
      <c r="B877">
        <v>2</v>
      </c>
      <c r="C877">
        <v>3</v>
      </c>
      <c r="D877" t="s">
        <v>536</v>
      </c>
      <c r="E877" t="s">
        <v>34</v>
      </c>
      <c r="F877">
        <v>442034</v>
      </c>
      <c r="G877" s="6">
        <v>0</v>
      </c>
      <c r="H877" t="s">
        <v>37</v>
      </c>
      <c r="I877">
        <v>10681184</v>
      </c>
      <c r="J877">
        <v>4</v>
      </c>
      <c r="K877">
        <v>23</v>
      </c>
      <c r="L877">
        <v>23</v>
      </c>
      <c r="M877">
        <v>721</v>
      </c>
      <c r="N877" s="2">
        <v>139776</v>
      </c>
      <c r="O877" s="2">
        <v>2688</v>
      </c>
      <c r="P877" s="2">
        <v>768</v>
      </c>
      <c r="Q877" s="2">
        <v>2884</v>
      </c>
      <c r="R877" s="2">
        <v>4608</v>
      </c>
      <c r="S877">
        <v>105.98399999999999</v>
      </c>
      <c r="T877" s="2">
        <v>83712</v>
      </c>
      <c r="U877" s="2">
        <v>56064</v>
      </c>
      <c r="V877">
        <v>66.331999999999994</v>
      </c>
      <c r="W877">
        <v>0</v>
      </c>
      <c r="X877">
        <v>0</v>
      </c>
      <c r="Y877">
        <v>0</v>
      </c>
      <c r="Z877">
        <v>4.5</v>
      </c>
      <c r="AA877">
        <v>6.7840559609238377E-2</v>
      </c>
      <c r="AB877">
        <v>26.5</v>
      </c>
      <c r="AC877">
        <v>5.3073611111111108</v>
      </c>
      <c r="AD877">
        <v>22</v>
      </c>
      <c r="AE877" s="7"/>
      <c r="AF877" s="7"/>
      <c r="AG877" s="7"/>
      <c r="AH877" s="7"/>
      <c r="AI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6.6926388888888892</v>
      </c>
      <c r="AJ877" s="7"/>
      <c r="AK877" t="s">
        <v>547</v>
      </c>
      <c r="AN877">
        <f>IFERROR(INT(Table13[[#This Row],[reject_prod]]/Table13[[#This Row],[part_weight]] * 1000), 0)</f>
        <v>195</v>
      </c>
    </row>
    <row r="878" spans="1:40" hidden="1">
      <c r="A878" s="1">
        <v>46049</v>
      </c>
      <c r="B878">
        <v>2</v>
      </c>
      <c r="C878">
        <v>4</v>
      </c>
      <c r="D878" t="s">
        <v>40</v>
      </c>
      <c r="E878" t="s">
        <v>34</v>
      </c>
      <c r="F878">
        <v>369308</v>
      </c>
      <c r="G878" s="6">
        <v>0</v>
      </c>
      <c r="H878" t="s">
        <v>516</v>
      </c>
      <c r="I878">
        <v>10684853</v>
      </c>
      <c r="J878">
        <v>4</v>
      </c>
      <c r="K878">
        <v>31</v>
      </c>
      <c r="L878">
        <v>31</v>
      </c>
      <c r="M878">
        <v>1617</v>
      </c>
      <c r="N878" s="2">
        <v>34560</v>
      </c>
      <c r="O878" s="2">
        <v>960</v>
      </c>
      <c r="P878" s="2">
        <v>0</v>
      </c>
      <c r="Q878" s="2">
        <v>6468</v>
      </c>
      <c r="R878" s="2">
        <v>7200</v>
      </c>
      <c r="S878">
        <v>223.2</v>
      </c>
      <c r="T878" s="2">
        <v>15840</v>
      </c>
      <c r="U878" s="2">
        <v>18720</v>
      </c>
      <c r="V878">
        <v>200.50800000000001</v>
      </c>
      <c r="W878">
        <v>0</v>
      </c>
      <c r="X878">
        <v>0</v>
      </c>
      <c r="Y878">
        <v>0</v>
      </c>
      <c r="Z878">
        <v>7</v>
      </c>
      <c r="AA878">
        <v>3.4911325233905881E-2</v>
      </c>
      <c r="AB878">
        <v>26.4</v>
      </c>
      <c r="AC878">
        <v>11.858000000000001</v>
      </c>
      <c r="AD878">
        <v>28.4</v>
      </c>
      <c r="AE878" s="7"/>
      <c r="AF878" s="7"/>
      <c r="AG878" s="7"/>
      <c r="AH878" s="7"/>
      <c r="AI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0.14199999999999946</v>
      </c>
      <c r="AJ878" s="7"/>
      <c r="AK878" t="s">
        <v>540</v>
      </c>
      <c r="AN878">
        <f>IFERROR(INT(Table13[[#This Row],[reject_prod]]/Table13[[#This Row],[part_weight]] * 1000), 0)</f>
        <v>225</v>
      </c>
    </row>
    <row r="879" spans="1:40" hidden="1">
      <c r="A879" s="1">
        <v>46049</v>
      </c>
      <c r="B879">
        <v>2</v>
      </c>
      <c r="C879">
        <v>5</v>
      </c>
      <c r="D879" t="s">
        <v>537</v>
      </c>
      <c r="E879" t="s">
        <v>34</v>
      </c>
      <c r="F879">
        <v>322383</v>
      </c>
      <c r="G879" s="6">
        <v>0</v>
      </c>
      <c r="H879" t="s">
        <v>71</v>
      </c>
      <c r="I879">
        <v>10682756</v>
      </c>
      <c r="J879">
        <v>4</v>
      </c>
      <c r="K879">
        <v>12.5</v>
      </c>
      <c r="L879">
        <v>12.5</v>
      </c>
      <c r="M879">
        <v>0</v>
      </c>
      <c r="N879" s="2">
        <v>66000</v>
      </c>
      <c r="O879" s="2">
        <v>13200</v>
      </c>
      <c r="P879" s="2">
        <v>0</v>
      </c>
      <c r="Q879" s="2">
        <v>0</v>
      </c>
      <c r="R879" s="2">
        <v>13200</v>
      </c>
      <c r="S879">
        <v>165</v>
      </c>
      <c r="T879" s="2">
        <v>66000</v>
      </c>
      <c r="U879" s="2">
        <v>0</v>
      </c>
      <c r="V879">
        <v>0</v>
      </c>
      <c r="W879">
        <v>0</v>
      </c>
      <c r="X879">
        <v>0</v>
      </c>
      <c r="Y879" t="e">
        <v>#DIV/0!</v>
      </c>
      <c r="Z879">
        <v>5</v>
      </c>
      <c r="AA879" t="e">
        <v>#DIV/0!</v>
      </c>
      <c r="AB879">
        <v>20.3</v>
      </c>
      <c r="AC879">
        <v>0</v>
      </c>
      <c r="AD879">
        <v>17.920000000000002</v>
      </c>
      <c r="AE879" s="7"/>
      <c r="AF879" s="7"/>
      <c r="AG879" s="7"/>
      <c r="AH879" s="7"/>
      <c r="AI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9" s="7"/>
      <c r="AK879" t="s">
        <v>548</v>
      </c>
      <c r="AN879">
        <f>IFERROR(INT(Table13[[#This Row],[reject_prod]]/Table13[[#This Row],[part_weight]] * 1000), 0)</f>
        <v>400</v>
      </c>
    </row>
    <row r="880" spans="1:40" hidden="1">
      <c r="A880" s="1">
        <v>46049</v>
      </c>
      <c r="B880">
        <v>2</v>
      </c>
      <c r="C880">
        <v>5</v>
      </c>
      <c r="D880" t="s">
        <v>537</v>
      </c>
      <c r="E880" t="s">
        <v>34</v>
      </c>
      <c r="F880">
        <v>322389</v>
      </c>
      <c r="G880" s="6">
        <v>0</v>
      </c>
      <c r="H880" t="s">
        <v>542</v>
      </c>
      <c r="I880">
        <v>10684749</v>
      </c>
      <c r="J880">
        <v>4</v>
      </c>
      <c r="K880">
        <v>12.5</v>
      </c>
      <c r="L880">
        <v>12.5</v>
      </c>
      <c r="M880">
        <v>2101</v>
      </c>
      <c r="N880" s="2">
        <v>46800</v>
      </c>
      <c r="O880" s="2">
        <v>1560</v>
      </c>
      <c r="P880" s="2">
        <v>500</v>
      </c>
      <c r="Q880" s="2">
        <v>8404</v>
      </c>
      <c r="R880" s="2">
        <v>9360</v>
      </c>
      <c r="S880">
        <v>117</v>
      </c>
      <c r="T880" s="2">
        <v>9860</v>
      </c>
      <c r="U880" s="2">
        <v>36940</v>
      </c>
      <c r="V880">
        <v>105.05</v>
      </c>
      <c r="W880">
        <v>0</v>
      </c>
      <c r="X880">
        <v>0</v>
      </c>
      <c r="Y880">
        <v>0</v>
      </c>
      <c r="Z880">
        <v>1</v>
      </c>
      <c r="AA880">
        <v>9.5192765349833407E-3</v>
      </c>
      <c r="AB880">
        <v>20.399999999999999</v>
      </c>
      <c r="AC880">
        <v>11.905666666666665</v>
      </c>
      <c r="AD880">
        <v>18.64</v>
      </c>
      <c r="AE880" s="7"/>
      <c r="AF880" s="7"/>
      <c r="AG880" s="7"/>
      <c r="AH880" s="7"/>
      <c r="AI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9.4333333333334934E-2</v>
      </c>
      <c r="AJ880" s="7"/>
      <c r="AK880" t="s">
        <v>214</v>
      </c>
      <c r="AN880">
        <f>IFERROR(INT(Table13[[#This Row],[reject_prod]]/Table13[[#This Row],[part_weight]] * 1000), 0)</f>
        <v>80</v>
      </c>
    </row>
    <row r="881" spans="1:40" hidden="1">
      <c r="A881" s="1">
        <v>46049</v>
      </c>
      <c r="B881">
        <v>2</v>
      </c>
      <c r="C881">
        <v>6</v>
      </c>
      <c r="D881" t="s">
        <v>538</v>
      </c>
      <c r="E881" t="s">
        <v>34</v>
      </c>
      <c r="F881">
        <v>322412</v>
      </c>
      <c r="G881" s="6">
        <v>0</v>
      </c>
      <c r="H881" t="s">
        <v>487</v>
      </c>
      <c r="I881">
        <v>10685212</v>
      </c>
      <c r="J881">
        <v>4</v>
      </c>
      <c r="K881">
        <v>24.3</v>
      </c>
      <c r="L881">
        <v>24</v>
      </c>
      <c r="M881">
        <v>1853</v>
      </c>
      <c r="N881" s="2">
        <v>40600</v>
      </c>
      <c r="O881" s="2">
        <v>812</v>
      </c>
      <c r="P881" s="2">
        <v>0</v>
      </c>
      <c r="Q881" s="2">
        <v>7412</v>
      </c>
      <c r="R881" s="2">
        <v>8120</v>
      </c>
      <c r="S881">
        <v>194.88</v>
      </c>
      <c r="T881" s="2">
        <v>37555</v>
      </c>
      <c r="U881" s="2">
        <v>3045</v>
      </c>
      <c r="V881">
        <v>177.88800000000001</v>
      </c>
      <c r="W881">
        <v>0</v>
      </c>
      <c r="X881">
        <v>0</v>
      </c>
      <c r="Y881">
        <v>0</v>
      </c>
      <c r="Z881">
        <v>2.5</v>
      </c>
      <c r="AA881">
        <v>1.4053786652275588E-2</v>
      </c>
      <c r="AB881">
        <v>23.3</v>
      </c>
      <c r="AC881">
        <v>11.993027777777778</v>
      </c>
      <c r="AD881">
        <v>20</v>
      </c>
      <c r="AE881" s="7"/>
      <c r="AF881" s="7"/>
      <c r="AG881" s="7"/>
      <c r="AH881" s="7"/>
      <c r="AI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6.9722222222221575E-3</v>
      </c>
      <c r="AJ881" s="7"/>
      <c r="AK881" t="s">
        <v>103</v>
      </c>
      <c r="AN881">
        <f>IFERROR(INT(Table13[[#This Row],[reject_prod]]/Table13[[#This Row],[part_weight]] * 1000), 0)</f>
        <v>104</v>
      </c>
    </row>
    <row r="882" spans="1:40" hidden="1">
      <c r="A882" s="1">
        <v>46049</v>
      </c>
      <c r="B882">
        <v>2</v>
      </c>
      <c r="C882">
        <v>7</v>
      </c>
      <c r="D882" t="s">
        <v>67</v>
      </c>
      <c r="E882" t="s">
        <v>34</v>
      </c>
      <c r="F882">
        <v>322471</v>
      </c>
      <c r="G882" s="6">
        <v>0</v>
      </c>
      <c r="H882" t="s">
        <v>520</v>
      </c>
      <c r="I882">
        <v>10684032</v>
      </c>
      <c r="J882">
        <v>4</v>
      </c>
      <c r="K882">
        <v>34.5</v>
      </c>
      <c r="L882">
        <v>34.5</v>
      </c>
      <c r="M882">
        <v>1977</v>
      </c>
      <c r="N882" s="2">
        <v>44352</v>
      </c>
      <c r="O882" s="2">
        <v>0</v>
      </c>
      <c r="P882" s="2">
        <v>0</v>
      </c>
      <c r="Q882" s="2">
        <v>7908</v>
      </c>
      <c r="R882" s="2">
        <v>7392</v>
      </c>
      <c r="S882">
        <v>255.024</v>
      </c>
      <c r="T882" s="2">
        <v>20328</v>
      </c>
      <c r="U882" s="2">
        <v>24024</v>
      </c>
      <c r="V882">
        <v>272.82600000000002</v>
      </c>
      <c r="W882">
        <v>0</v>
      </c>
      <c r="X882">
        <v>0</v>
      </c>
      <c r="Y882">
        <v>0</v>
      </c>
      <c r="Z882">
        <v>18</v>
      </c>
      <c r="AA882">
        <v>6.5976116645774227E-2</v>
      </c>
      <c r="AB882">
        <v>21.8</v>
      </c>
      <c r="AC882">
        <v>11.971833333333333</v>
      </c>
      <c r="AD882">
        <v>16.2</v>
      </c>
      <c r="AE882" s="7"/>
      <c r="AF882" s="7"/>
      <c r="AG882" s="7"/>
      <c r="AH882" s="7"/>
      <c r="AI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2.8166666666667339E-2</v>
      </c>
      <c r="AJ882" s="7"/>
      <c r="AK882" t="s">
        <v>549</v>
      </c>
      <c r="AN882">
        <f>IFERROR(INT(Table13[[#This Row],[reject_prod]]/Table13[[#This Row],[part_weight]] * 1000), 0)</f>
        <v>521</v>
      </c>
    </row>
    <row r="883" spans="1:40" hidden="1">
      <c r="A883" s="1">
        <v>46049</v>
      </c>
      <c r="B883">
        <v>2</v>
      </c>
      <c r="C883">
        <v>8</v>
      </c>
      <c r="D883" t="s">
        <v>65</v>
      </c>
      <c r="E883" t="s">
        <v>41</v>
      </c>
      <c r="F883">
        <v>593537</v>
      </c>
      <c r="G883" s="6">
        <v>0</v>
      </c>
      <c r="H883" t="s">
        <v>48</v>
      </c>
      <c r="I883">
        <v>10685022</v>
      </c>
      <c r="J883">
        <v>4</v>
      </c>
      <c r="K883">
        <v>56.5</v>
      </c>
      <c r="L883">
        <v>56.8</v>
      </c>
      <c r="M883">
        <v>1452</v>
      </c>
      <c r="N883" s="2">
        <v>69000</v>
      </c>
      <c r="O883" s="2">
        <v>230</v>
      </c>
      <c r="P883" s="2">
        <v>230</v>
      </c>
      <c r="Q883" s="2">
        <v>5808</v>
      </c>
      <c r="R883" s="2">
        <v>5750</v>
      </c>
      <c r="S883">
        <v>326.60000000000002</v>
      </c>
      <c r="T883" s="2">
        <v>23230</v>
      </c>
      <c r="U883" s="2">
        <v>45770</v>
      </c>
      <c r="V883">
        <v>329.89439999999996</v>
      </c>
      <c r="W883">
        <v>0</v>
      </c>
      <c r="X883">
        <v>0</v>
      </c>
      <c r="Y883">
        <v>0</v>
      </c>
      <c r="Z883">
        <v>3.2</v>
      </c>
      <c r="AA883">
        <v>9.7000737205602781E-3</v>
      </c>
      <c r="AB883">
        <v>29.4</v>
      </c>
      <c r="AC883">
        <v>11.857999999999999</v>
      </c>
      <c r="AD883">
        <v>28.5</v>
      </c>
      <c r="AE883" s="7"/>
      <c r="AF883" s="7"/>
      <c r="AG883" s="7"/>
      <c r="AH883" s="7"/>
      <c r="AI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0.14200000000000124</v>
      </c>
      <c r="AJ883" s="7"/>
      <c r="AK883" t="s">
        <v>51</v>
      </c>
      <c r="AN883">
        <f>IFERROR(INT(Table13[[#This Row],[reject_prod]]/Table13[[#This Row],[part_weight]] * 1000), 0)</f>
        <v>56</v>
      </c>
    </row>
    <row r="884" spans="1:40" hidden="1">
      <c r="A884" s="1">
        <v>46049</v>
      </c>
      <c r="B884">
        <v>2</v>
      </c>
      <c r="C884">
        <v>9</v>
      </c>
      <c r="F884">
        <v>123456</v>
      </c>
      <c r="G884" s="6">
        <v>0</v>
      </c>
      <c r="M884">
        <v>0</v>
      </c>
      <c r="N884" s="2">
        <v>0</v>
      </c>
      <c r="O884" s="2">
        <v>0</v>
      </c>
      <c r="P884" s="2">
        <v>0</v>
      </c>
      <c r="Q884" s="2"/>
      <c r="R884" s="2">
        <v>0</v>
      </c>
      <c r="T884" s="2">
        <v>0</v>
      </c>
      <c r="U884" s="2"/>
      <c r="X884">
        <v>0</v>
      </c>
      <c r="Z884">
        <v>0</v>
      </c>
      <c r="AB884">
        <v>0</v>
      </c>
      <c r="AC884">
        <v>0</v>
      </c>
      <c r="AD884">
        <v>0</v>
      </c>
      <c r="AE884" s="7"/>
      <c r="AF884" s="7"/>
      <c r="AG884" s="7"/>
      <c r="AH884" s="7"/>
      <c r="AI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84" s="7">
        <v>12</v>
      </c>
      <c r="AK884" t="s">
        <v>116</v>
      </c>
      <c r="AN884">
        <f>IFERROR(INT(Table13[[#This Row],[reject_prod]]/Table13[[#This Row],[part_weight]] * 1000), 0)</f>
        <v>0</v>
      </c>
    </row>
    <row r="885" spans="1:40" hidden="1">
      <c r="A885" s="1">
        <v>46049</v>
      </c>
      <c r="B885">
        <v>2</v>
      </c>
      <c r="C885">
        <v>10</v>
      </c>
      <c r="D885" t="s">
        <v>143</v>
      </c>
      <c r="E885" t="s">
        <v>34</v>
      </c>
      <c r="F885">
        <v>441778</v>
      </c>
      <c r="G885" s="6">
        <v>0</v>
      </c>
      <c r="H885" t="s">
        <v>531</v>
      </c>
      <c r="I885">
        <v>10684860</v>
      </c>
      <c r="J885">
        <v>4</v>
      </c>
      <c r="K885">
        <v>77</v>
      </c>
      <c r="L885">
        <v>77</v>
      </c>
      <c r="M885">
        <v>865</v>
      </c>
      <c r="N885" s="2">
        <v>11868</v>
      </c>
      <c r="O885" s="2">
        <v>0</v>
      </c>
      <c r="P885" s="2">
        <v>0</v>
      </c>
      <c r="Q885" s="2">
        <v>3460</v>
      </c>
      <c r="R885" s="2">
        <v>3312</v>
      </c>
      <c r="S885">
        <v>255.024</v>
      </c>
      <c r="T885" s="2">
        <v>5520</v>
      </c>
      <c r="U885" s="2">
        <v>6348</v>
      </c>
      <c r="V885">
        <v>266.42</v>
      </c>
      <c r="W885">
        <v>0</v>
      </c>
      <c r="X885">
        <v>0</v>
      </c>
      <c r="Y885">
        <v>0</v>
      </c>
      <c r="Z885">
        <v>11.2</v>
      </c>
      <c r="AA885">
        <v>4.2038885969521801E-2</v>
      </c>
      <c r="AB885">
        <v>36.799999999999997</v>
      </c>
      <c r="AC885">
        <v>8.8422222222222207</v>
      </c>
      <c r="AD885">
        <v>35</v>
      </c>
      <c r="AE885" s="7"/>
      <c r="AF885" s="7"/>
      <c r="AG885" s="7"/>
      <c r="AH885" s="7"/>
      <c r="AI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3.1577777777777793</v>
      </c>
      <c r="AJ885" s="7"/>
      <c r="AK885" t="s">
        <v>550</v>
      </c>
      <c r="AN885">
        <f>IFERROR(INT(Table13[[#This Row],[reject_prod]]/Table13[[#This Row],[part_weight]] * 1000), 0)</f>
        <v>145</v>
      </c>
    </row>
    <row r="886" spans="1:40" hidden="1">
      <c r="A886" s="1">
        <v>46049</v>
      </c>
      <c r="B886">
        <v>2</v>
      </c>
      <c r="C886">
        <v>11</v>
      </c>
      <c r="D886" t="s">
        <v>112</v>
      </c>
      <c r="E886" t="s">
        <v>46</v>
      </c>
      <c r="F886">
        <v>552181</v>
      </c>
      <c r="G886" s="6">
        <v>1</v>
      </c>
      <c r="H886" t="s">
        <v>49</v>
      </c>
      <c r="I886">
        <v>10685338</v>
      </c>
      <c r="J886">
        <v>6</v>
      </c>
      <c r="K886">
        <v>18.8</v>
      </c>
      <c r="L886">
        <v>18.8</v>
      </c>
      <c r="M886">
        <v>1468</v>
      </c>
      <c r="N886" s="2">
        <v>108000</v>
      </c>
      <c r="O886" s="2">
        <v>0</v>
      </c>
      <c r="P886" s="2">
        <v>3240</v>
      </c>
      <c r="Q886" s="2">
        <v>8808</v>
      </c>
      <c r="R886" s="2">
        <v>5400</v>
      </c>
      <c r="S886">
        <v>101.52</v>
      </c>
      <c r="T886" s="2">
        <v>8640</v>
      </c>
      <c r="U886" s="2">
        <v>99360</v>
      </c>
      <c r="V886">
        <v>165.59039999999999</v>
      </c>
      <c r="W886">
        <v>0</v>
      </c>
      <c r="X886">
        <v>0</v>
      </c>
      <c r="Y886">
        <v>0</v>
      </c>
      <c r="Z886">
        <v>3.2</v>
      </c>
      <c r="AA886">
        <v>1.9324791775368624E-2</v>
      </c>
      <c r="AB886">
        <v>28.7</v>
      </c>
      <c r="AC886">
        <v>11.703222222222223</v>
      </c>
      <c r="AD886">
        <v>27</v>
      </c>
      <c r="AE886" s="7"/>
      <c r="AF886" s="7"/>
      <c r="AG886" s="7"/>
      <c r="AH886" s="7"/>
      <c r="AI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0.29677777777777692</v>
      </c>
      <c r="AJ886" s="7"/>
      <c r="AK886" t="s">
        <v>51</v>
      </c>
      <c r="AN886">
        <f>IFERROR(INT(Table13[[#This Row],[reject_prod]]/Table13[[#This Row],[part_weight]] * 1000), 0)</f>
        <v>170</v>
      </c>
    </row>
    <row r="887" spans="1:40" hidden="1">
      <c r="A887" s="1">
        <v>46049</v>
      </c>
      <c r="B887">
        <v>2</v>
      </c>
      <c r="C887">
        <v>12</v>
      </c>
      <c r="D887" t="s">
        <v>152</v>
      </c>
      <c r="E887" t="s">
        <v>34</v>
      </c>
      <c r="F887">
        <v>620599</v>
      </c>
      <c r="G887" s="6">
        <v>0</v>
      </c>
      <c r="H887" t="s">
        <v>50</v>
      </c>
      <c r="I887">
        <v>10684839</v>
      </c>
      <c r="J887">
        <v>4</v>
      </c>
      <c r="K887">
        <v>55</v>
      </c>
      <c r="L887">
        <v>55</v>
      </c>
      <c r="M887">
        <v>1452</v>
      </c>
      <c r="N887" s="2">
        <v>72000</v>
      </c>
      <c r="O887" s="2">
        <v>225</v>
      </c>
      <c r="P887" s="2">
        <v>450</v>
      </c>
      <c r="Q887" s="2">
        <v>5808</v>
      </c>
      <c r="R887" s="2">
        <v>5400</v>
      </c>
      <c r="S887">
        <v>297</v>
      </c>
      <c r="T887" s="2">
        <v>65250</v>
      </c>
      <c r="U887" s="2">
        <v>6750</v>
      </c>
      <c r="V887">
        <v>319.44</v>
      </c>
      <c r="W887">
        <v>0</v>
      </c>
      <c r="X887">
        <v>0</v>
      </c>
      <c r="Y887">
        <v>0</v>
      </c>
      <c r="Z887">
        <v>9.8000000000000007</v>
      </c>
      <c r="AA887">
        <v>3.0678687703481096E-2</v>
      </c>
      <c r="AB887">
        <v>28.8</v>
      </c>
      <c r="AC887">
        <v>11.616</v>
      </c>
      <c r="AD887">
        <v>28</v>
      </c>
      <c r="AE887" s="7"/>
      <c r="AF887" s="7"/>
      <c r="AG887" s="7"/>
      <c r="AH887" s="7"/>
      <c r="AI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0.38400000000000034</v>
      </c>
      <c r="AJ887" s="7"/>
      <c r="AK887" t="s">
        <v>551</v>
      </c>
      <c r="AN887">
        <f>IFERROR(INT(Table13[[#This Row],[reject_prod]]/Table13[[#This Row],[part_weight]] * 1000), 0)</f>
        <v>178</v>
      </c>
    </row>
    <row r="888" spans="1:40" hidden="1">
      <c r="A888" s="1">
        <v>46049</v>
      </c>
      <c r="B888">
        <v>2</v>
      </c>
      <c r="C888">
        <v>13</v>
      </c>
      <c r="D888" t="s">
        <v>112</v>
      </c>
      <c r="E888" t="s">
        <v>46</v>
      </c>
      <c r="F888">
        <v>586276</v>
      </c>
      <c r="G888" s="6">
        <v>0</v>
      </c>
      <c r="H888" t="s">
        <v>47</v>
      </c>
      <c r="I888">
        <v>10684862</v>
      </c>
      <c r="J888">
        <v>6</v>
      </c>
      <c r="K888">
        <v>12.3</v>
      </c>
      <c r="L888">
        <v>12.3</v>
      </c>
      <c r="M888">
        <v>1631</v>
      </c>
      <c r="N888" s="2">
        <v>162000</v>
      </c>
      <c r="O888" s="2">
        <v>4455</v>
      </c>
      <c r="P888" s="2">
        <v>6075</v>
      </c>
      <c r="Q888" s="2">
        <v>9786</v>
      </c>
      <c r="R888" s="2">
        <v>8100</v>
      </c>
      <c r="S888">
        <v>99.63</v>
      </c>
      <c r="T888" s="2">
        <v>103275</v>
      </c>
      <c r="U888" s="2">
        <v>58725</v>
      </c>
      <c r="V888">
        <v>120.3678</v>
      </c>
      <c r="W888">
        <v>0</v>
      </c>
      <c r="X888">
        <v>0</v>
      </c>
      <c r="Y888">
        <v>0</v>
      </c>
      <c r="Z888">
        <v>0.8</v>
      </c>
      <c r="AA888">
        <v>6.6462957701312149E-3</v>
      </c>
      <c r="AB888">
        <v>26.2</v>
      </c>
      <c r="AC888">
        <v>11.870055555555556</v>
      </c>
      <c r="AD888">
        <v>26</v>
      </c>
      <c r="AE888" s="7"/>
      <c r="AF888" s="7"/>
      <c r="AG888" s="7"/>
      <c r="AH888" s="7"/>
      <c r="AI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888" s="7"/>
      <c r="AK888" t="s">
        <v>51</v>
      </c>
      <c r="AN888">
        <f>IFERROR(INT(Table13[[#This Row],[reject_prod]]/Table13[[#This Row],[part_weight]] * 1000), 0)</f>
        <v>65</v>
      </c>
    </row>
    <row r="889" spans="1:40" hidden="1">
      <c r="A889" s="1">
        <v>46049</v>
      </c>
      <c r="B889">
        <v>2</v>
      </c>
      <c r="C889">
        <v>14</v>
      </c>
      <c r="D889" t="s">
        <v>33</v>
      </c>
      <c r="E889" t="s">
        <v>46</v>
      </c>
      <c r="F889">
        <v>555979</v>
      </c>
      <c r="G889" s="6">
        <v>1</v>
      </c>
      <c r="H889" t="s">
        <v>52</v>
      </c>
      <c r="I889">
        <v>10683785</v>
      </c>
      <c r="J889">
        <v>6</v>
      </c>
      <c r="K889">
        <v>28</v>
      </c>
      <c r="L889">
        <v>28</v>
      </c>
      <c r="M889">
        <v>0</v>
      </c>
      <c r="N889" s="2">
        <v>100800</v>
      </c>
      <c r="O889" s="2">
        <v>0</v>
      </c>
      <c r="P889" s="2">
        <v>0</v>
      </c>
      <c r="Q889" s="2">
        <v>0</v>
      </c>
      <c r="R889" s="2">
        <v>0</v>
      </c>
      <c r="S889">
        <v>0</v>
      </c>
      <c r="T889" s="2">
        <v>30240</v>
      </c>
      <c r="U889" s="2">
        <v>70560</v>
      </c>
      <c r="V889">
        <v>0</v>
      </c>
      <c r="W889">
        <v>0</v>
      </c>
      <c r="X889">
        <v>0</v>
      </c>
      <c r="Y889" t="e">
        <v>#DIV/0!</v>
      </c>
      <c r="Z889">
        <v>0</v>
      </c>
      <c r="AA889" t="e">
        <v>#DIV/0!</v>
      </c>
      <c r="AB889">
        <v>42</v>
      </c>
      <c r="AC889">
        <v>0</v>
      </c>
      <c r="AD889">
        <v>42</v>
      </c>
      <c r="AE889" s="7"/>
      <c r="AF889" s="7"/>
      <c r="AG889" s="7"/>
      <c r="AH889" s="7"/>
      <c r="AI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89" s="7"/>
      <c r="AK889" t="s">
        <v>481</v>
      </c>
      <c r="AN889">
        <f>IFERROR(INT(Table13[[#This Row],[reject_prod]]/Table13[[#This Row],[part_weight]] * 1000), 0)</f>
        <v>0</v>
      </c>
    </row>
    <row r="890" spans="1:40" hidden="1">
      <c r="A890" s="1">
        <v>46049</v>
      </c>
      <c r="B890">
        <v>2</v>
      </c>
      <c r="C890">
        <v>15</v>
      </c>
      <c r="D890" t="s">
        <v>112</v>
      </c>
      <c r="E890" t="s">
        <v>46</v>
      </c>
      <c r="F890">
        <v>552181</v>
      </c>
      <c r="G890" s="6">
        <v>2</v>
      </c>
      <c r="H890" t="s">
        <v>49</v>
      </c>
      <c r="I890">
        <v>10683787</v>
      </c>
      <c r="J890">
        <v>6</v>
      </c>
      <c r="K890">
        <v>18.8</v>
      </c>
      <c r="L890">
        <v>18.8</v>
      </c>
      <c r="M890">
        <v>1370</v>
      </c>
      <c r="N890" s="2">
        <v>108000</v>
      </c>
      <c r="O890" s="2">
        <v>2700</v>
      </c>
      <c r="P890" s="2">
        <v>0</v>
      </c>
      <c r="Q890" s="2">
        <v>8220</v>
      </c>
      <c r="R890" s="2">
        <v>10800</v>
      </c>
      <c r="S890">
        <v>203.04</v>
      </c>
      <c r="T890" s="2">
        <v>97200</v>
      </c>
      <c r="U890" s="2">
        <v>10800</v>
      </c>
      <c r="V890">
        <v>154.536</v>
      </c>
      <c r="W890">
        <v>0</v>
      </c>
      <c r="X890">
        <v>0</v>
      </c>
      <c r="Y890">
        <v>0</v>
      </c>
      <c r="Z890">
        <v>2.2999999999999998</v>
      </c>
      <c r="AA890">
        <v>1.4883263446704974E-2</v>
      </c>
      <c r="AB890">
        <v>31.3</v>
      </c>
      <c r="AC890">
        <v>11.911388888888888</v>
      </c>
      <c r="AD890">
        <v>27</v>
      </c>
      <c r="AE890" s="7"/>
      <c r="AF890" s="7"/>
      <c r="AG890" s="7"/>
      <c r="AH890" s="7"/>
      <c r="AI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8.861111111111164E-2</v>
      </c>
      <c r="AJ890" s="7"/>
      <c r="AK890" t="s">
        <v>51</v>
      </c>
      <c r="AN890">
        <f>IFERROR(INT(Table13[[#This Row],[reject_prod]]/Table13[[#This Row],[part_weight]] * 1000), 0)</f>
        <v>122</v>
      </c>
    </row>
    <row r="891" spans="1:40" s="4" customFormat="1" hidden="1">
      <c r="A891" s="3">
        <v>46049</v>
      </c>
      <c r="B891" s="4">
        <v>2</v>
      </c>
      <c r="C891" s="4">
        <v>16</v>
      </c>
      <c r="D891" s="4" t="s">
        <v>108</v>
      </c>
      <c r="E891" s="4" t="s">
        <v>46</v>
      </c>
      <c r="F891" s="4">
        <v>555979</v>
      </c>
      <c r="G891" s="9">
        <v>2</v>
      </c>
      <c r="H891" s="4" t="s">
        <v>52</v>
      </c>
      <c r="I891" s="4">
        <v>10684863</v>
      </c>
      <c r="J891" s="4">
        <v>6</v>
      </c>
      <c r="K891" s="4">
        <v>28</v>
      </c>
      <c r="L891" s="4">
        <v>28</v>
      </c>
      <c r="M891" s="4">
        <v>965</v>
      </c>
      <c r="N891" s="5">
        <v>100800</v>
      </c>
      <c r="O891" s="5">
        <v>2184</v>
      </c>
      <c r="P891" s="5">
        <v>4536</v>
      </c>
      <c r="Q891" s="5">
        <v>5790</v>
      </c>
      <c r="R891" s="5">
        <v>3360</v>
      </c>
      <c r="S891" s="4">
        <v>94.08</v>
      </c>
      <c r="T891" s="5">
        <v>48216</v>
      </c>
      <c r="U891" s="5">
        <v>52584</v>
      </c>
      <c r="V891" s="4">
        <v>162.12</v>
      </c>
      <c r="W891" s="4">
        <v>0</v>
      </c>
      <c r="X891" s="4">
        <v>0</v>
      </c>
      <c r="Y891" s="4">
        <v>0</v>
      </c>
      <c r="Z891" s="4">
        <v>2.2000000000000002</v>
      </c>
      <c r="AA891" s="4">
        <v>1.3570194917345178E-2</v>
      </c>
      <c r="AB891" s="4">
        <v>43.4</v>
      </c>
      <c r="AC891" s="4">
        <v>11.633611111111112</v>
      </c>
      <c r="AD891" s="4">
        <v>42</v>
      </c>
      <c r="AE891" s="8"/>
      <c r="AF891" s="8"/>
      <c r="AG891" s="8"/>
      <c r="AH891" s="8"/>
      <c r="AI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0.36638888888888843</v>
      </c>
      <c r="AJ891" s="8"/>
      <c r="AK891" s="4" t="s">
        <v>51</v>
      </c>
      <c r="AN891">
        <f>IFERROR(INT(Table13[[#This Row],[reject_prod]]/Table13[[#This Row],[part_weight]] * 1000), 0)</f>
        <v>78</v>
      </c>
    </row>
    <row r="892" spans="1:40" hidden="1">
      <c r="A892" s="1">
        <v>46050</v>
      </c>
      <c r="B892">
        <v>1</v>
      </c>
      <c r="C892">
        <v>1</v>
      </c>
      <c r="D892" t="s">
        <v>58</v>
      </c>
      <c r="E892" t="s">
        <v>34</v>
      </c>
      <c r="F892">
        <v>577492</v>
      </c>
      <c r="G892" s="6">
        <v>0</v>
      </c>
      <c r="H892" t="s">
        <v>341</v>
      </c>
      <c r="I892">
        <v>10684028</v>
      </c>
      <c r="J892">
        <v>4</v>
      </c>
      <c r="K892">
        <v>35.6</v>
      </c>
      <c r="L892">
        <v>35.6</v>
      </c>
      <c r="M892">
        <v>1472</v>
      </c>
      <c r="N892" s="2">
        <v>101200</v>
      </c>
      <c r="O892" s="2">
        <v>1472</v>
      </c>
      <c r="P892" s="2">
        <v>0</v>
      </c>
      <c r="Q892" s="2"/>
      <c r="R892" s="2">
        <v>7360</v>
      </c>
      <c r="S892">
        <v>262.01600000000002</v>
      </c>
      <c r="T892" s="2">
        <v>101200</v>
      </c>
      <c r="U892" s="2">
        <v>0</v>
      </c>
      <c r="V892">
        <v>0</v>
      </c>
      <c r="W892">
        <v>0</v>
      </c>
      <c r="X892">
        <v>0</v>
      </c>
      <c r="Y892" t="e">
        <v>#DIV/0!</v>
      </c>
      <c r="Z892">
        <v>3</v>
      </c>
      <c r="AA892" t="e">
        <v>#DIV/0!</v>
      </c>
      <c r="AB892">
        <v>26.8</v>
      </c>
      <c r="AC892">
        <v>10.958222222222222</v>
      </c>
      <c r="AD892">
        <v>27</v>
      </c>
      <c r="AE892" s="7"/>
      <c r="AF892" s="7"/>
      <c r="AG892" s="7"/>
      <c r="AH892" s="7"/>
      <c r="AI8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1.0417777777777779</v>
      </c>
      <c r="AJ892" s="7"/>
      <c r="AK892" t="s">
        <v>102</v>
      </c>
      <c r="AN892">
        <f>IFERROR(INT(Table13[[#This Row],[reject_prod]]/Table13[[#This Row],[part_weight]] * 1000), 0)</f>
        <v>84</v>
      </c>
    </row>
    <row r="893" spans="1:40" hidden="1">
      <c r="A893" s="1">
        <v>46050</v>
      </c>
      <c r="B893">
        <v>1</v>
      </c>
      <c r="C893">
        <v>1</v>
      </c>
      <c r="D893" t="s">
        <v>58</v>
      </c>
      <c r="E893" t="s">
        <v>34</v>
      </c>
      <c r="F893">
        <v>577492</v>
      </c>
      <c r="G893" s="6">
        <v>0</v>
      </c>
      <c r="H893" t="s">
        <v>341</v>
      </c>
      <c r="I893">
        <v>10686027</v>
      </c>
      <c r="J893">
        <v>4</v>
      </c>
      <c r="K893">
        <v>35.6</v>
      </c>
      <c r="L893">
        <v>35.6</v>
      </c>
      <c r="M893">
        <v>105</v>
      </c>
      <c r="N893" s="2">
        <v>20240</v>
      </c>
      <c r="O893" s="2">
        <v>0</v>
      </c>
      <c r="P893" s="2">
        <v>368</v>
      </c>
      <c r="Q893" s="2">
        <v>420</v>
      </c>
      <c r="R893" s="2">
        <v>0</v>
      </c>
      <c r="S893">
        <v>0</v>
      </c>
      <c r="T893" s="2">
        <v>368</v>
      </c>
      <c r="U893" s="2">
        <v>19872</v>
      </c>
      <c r="V893">
        <v>14.952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26.8</v>
      </c>
      <c r="AC893">
        <v>0.78166666666666662</v>
      </c>
      <c r="AD893">
        <v>27</v>
      </c>
      <c r="AE893" s="7"/>
      <c r="AF893" s="7"/>
      <c r="AG893" s="7"/>
      <c r="AH893" s="7"/>
      <c r="AI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11.218333333333334</v>
      </c>
      <c r="AJ893" s="7"/>
      <c r="AK893" t="s">
        <v>51</v>
      </c>
      <c r="AN893">
        <f>IFERROR(INT(Table13[[#This Row],[reject_prod]]/Table13[[#This Row],[part_weight]] * 1000), 0)</f>
        <v>0</v>
      </c>
    </row>
    <row r="894" spans="1:40" hidden="1">
      <c r="A894" s="1">
        <v>46050</v>
      </c>
      <c r="B894">
        <v>1</v>
      </c>
      <c r="C894">
        <v>2</v>
      </c>
      <c r="D894" t="s">
        <v>33</v>
      </c>
      <c r="E894" t="s">
        <v>34</v>
      </c>
      <c r="F894">
        <v>416201</v>
      </c>
      <c r="G894" s="6">
        <v>0</v>
      </c>
      <c r="H894" t="s">
        <v>36</v>
      </c>
      <c r="I894">
        <v>10681779</v>
      </c>
      <c r="J894">
        <v>4</v>
      </c>
      <c r="K894">
        <v>20</v>
      </c>
      <c r="L894">
        <v>30</v>
      </c>
      <c r="M894">
        <v>0</v>
      </c>
      <c r="N894" s="2">
        <v>50400</v>
      </c>
      <c r="O894" s="2">
        <v>0</v>
      </c>
      <c r="P894" s="2">
        <v>2940</v>
      </c>
      <c r="Q894" s="2">
        <v>0</v>
      </c>
      <c r="R894" s="2">
        <v>0</v>
      </c>
      <c r="S894">
        <v>0</v>
      </c>
      <c r="T894" s="2">
        <v>0</v>
      </c>
      <c r="U894" s="2">
        <v>50400</v>
      </c>
      <c r="V894">
        <v>0</v>
      </c>
      <c r="W894">
        <v>0</v>
      </c>
      <c r="X894">
        <v>6</v>
      </c>
      <c r="Y894" t="e">
        <v>#DIV/0!</v>
      </c>
      <c r="Z894">
        <v>0</v>
      </c>
      <c r="AA894" t="e">
        <v>#DIV/0!</v>
      </c>
      <c r="AB894">
        <v>38.6</v>
      </c>
      <c r="AC894">
        <v>0</v>
      </c>
      <c r="AD894">
        <v>38.64</v>
      </c>
      <c r="AE894" s="7"/>
      <c r="AF894" s="7"/>
      <c r="AG894" s="7"/>
      <c r="AH894" s="7"/>
      <c r="AI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94" s="7"/>
      <c r="AK894" t="s">
        <v>556</v>
      </c>
      <c r="AL894">
        <v>5.6</v>
      </c>
      <c r="AM894">
        <v>6</v>
      </c>
      <c r="AN894">
        <f>IFERROR(INT(Table13[[#This Row],[reject_prod]]/Table13[[#This Row],[part_weight]] * 1000), 0)</f>
        <v>0</v>
      </c>
    </row>
    <row r="895" spans="1:40" hidden="1">
      <c r="A895" s="1">
        <v>46050</v>
      </c>
      <c r="B895">
        <v>1</v>
      </c>
      <c r="C895">
        <v>3</v>
      </c>
      <c r="D895" t="s">
        <v>391</v>
      </c>
      <c r="E895" t="s">
        <v>34</v>
      </c>
      <c r="F895">
        <v>442034</v>
      </c>
      <c r="G895" s="6">
        <v>0</v>
      </c>
      <c r="H895" t="s">
        <v>37</v>
      </c>
      <c r="I895">
        <v>10681184</v>
      </c>
      <c r="J895">
        <v>4</v>
      </c>
      <c r="K895">
        <v>23</v>
      </c>
      <c r="L895">
        <v>23</v>
      </c>
      <c r="M895">
        <v>770</v>
      </c>
      <c r="N895" s="2">
        <v>139776</v>
      </c>
      <c r="O895" s="2">
        <v>768</v>
      </c>
      <c r="P895" s="2">
        <v>3840</v>
      </c>
      <c r="Q895" s="2">
        <v>3080</v>
      </c>
      <c r="R895" s="2">
        <v>0</v>
      </c>
      <c r="S895">
        <v>0</v>
      </c>
      <c r="T895" s="2">
        <v>86784</v>
      </c>
      <c r="U895" s="2">
        <v>52992</v>
      </c>
      <c r="V895">
        <v>70.84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26.5</v>
      </c>
      <c r="AC895">
        <v>5.6680555555555552</v>
      </c>
      <c r="AD895">
        <v>22</v>
      </c>
      <c r="AE895" s="7"/>
      <c r="AF895" s="7"/>
      <c r="AG895" s="7"/>
      <c r="AH895" s="7"/>
      <c r="AI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6.3319444444444448</v>
      </c>
      <c r="AJ895" s="7"/>
      <c r="AK895" t="s">
        <v>557</v>
      </c>
      <c r="AL895">
        <v>3</v>
      </c>
      <c r="AM895">
        <v>2</v>
      </c>
      <c r="AN895">
        <f>IFERROR(INT(Table13[[#This Row],[reject_prod]]/Table13[[#This Row],[part_weight]] * 1000), 0)</f>
        <v>0</v>
      </c>
    </row>
    <row r="896" spans="1:40" hidden="1">
      <c r="A896" s="1">
        <v>46050</v>
      </c>
      <c r="B896">
        <v>1</v>
      </c>
      <c r="C896">
        <v>4</v>
      </c>
      <c r="D896" t="s">
        <v>289</v>
      </c>
      <c r="E896" t="s">
        <v>34</v>
      </c>
      <c r="F896">
        <v>369308</v>
      </c>
      <c r="G896" s="6">
        <v>0</v>
      </c>
      <c r="H896" t="s">
        <v>516</v>
      </c>
      <c r="I896">
        <v>10684853</v>
      </c>
      <c r="J896">
        <v>4</v>
      </c>
      <c r="K896">
        <v>31</v>
      </c>
      <c r="L896">
        <v>31</v>
      </c>
      <c r="M896">
        <v>1570</v>
      </c>
      <c r="N896" s="2">
        <v>34560</v>
      </c>
      <c r="O896" s="2">
        <v>0</v>
      </c>
      <c r="P896" s="2">
        <v>480</v>
      </c>
      <c r="Q896" s="2">
        <v>6280</v>
      </c>
      <c r="R896" s="2">
        <v>5760</v>
      </c>
      <c r="S896">
        <v>178.56</v>
      </c>
      <c r="T896" s="2">
        <v>21840</v>
      </c>
      <c r="U896" s="2">
        <v>12720</v>
      </c>
      <c r="V896">
        <v>194.68</v>
      </c>
      <c r="W896">
        <v>0</v>
      </c>
      <c r="X896">
        <v>0</v>
      </c>
      <c r="Y896">
        <v>0</v>
      </c>
      <c r="Z896">
        <v>3.6</v>
      </c>
      <c r="AA896">
        <v>1.8491884117526197E-2</v>
      </c>
      <c r="AB896">
        <v>26.4</v>
      </c>
      <c r="AC896">
        <v>11.513333333333334</v>
      </c>
      <c r="AD896">
        <v>28.4</v>
      </c>
      <c r="AE896" s="7"/>
      <c r="AF896" s="7"/>
      <c r="AG896" s="7"/>
      <c r="AH896" s="7"/>
      <c r="AI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896" s="7"/>
      <c r="AK896" t="s">
        <v>540</v>
      </c>
      <c r="AL896">
        <v>0</v>
      </c>
      <c r="AN896">
        <f>IFERROR(INT(Table13[[#This Row],[reject_prod]]/Table13[[#This Row],[part_weight]] * 1000), 0)</f>
        <v>116</v>
      </c>
    </row>
    <row r="897" spans="1:40" hidden="1">
      <c r="A897" s="1">
        <v>46050</v>
      </c>
      <c r="B897">
        <v>1</v>
      </c>
      <c r="C897">
        <v>5</v>
      </c>
      <c r="D897" t="s">
        <v>506</v>
      </c>
      <c r="E897" t="s">
        <v>34</v>
      </c>
      <c r="F897">
        <v>322389</v>
      </c>
      <c r="G897" s="6">
        <v>0</v>
      </c>
      <c r="H897" t="s">
        <v>542</v>
      </c>
      <c r="I897">
        <v>10684749</v>
      </c>
      <c r="J897">
        <v>4</v>
      </c>
      <c r="K897">
        <v>12.5</v>
      </c>
      <c r="L897">
        <v>12.5</v>
      </c>
      <c r="M897">
        <v>2025</v>
      </c>
      <c r="N897" s="2">
        <v>46800</v>
      </c>
      <c r="O897" s="2">
        <v>500</v>
      </c>
      <c r="P897" s="2">
        <v>8580</v>
      </c>
      <c r="Q897" s="2">
        <v>8100</v>
      </c>
      <c r="R897" s="2">
        <v>0</v>
      </c>
      <c r="S897">
        <v>0</v>
      </c>
      <c r="T897" s="2">
        <v>17940</v>
      </c>
      <c r="U897" s="2">
        <v>28860</v>
      </c>
      <c r="V897">
        <v>101.25</v>
      </c>
      <c r="W897">
        <v>0</v>
      </c>
      <c r="X897">
        <v>0</v>
      </c>
      <c r="Y897">
        <v>0</v>
      </c>
      <c r="Z897">
        <v>1</v>
      </c>
      <c r="AA897">
        <v>9.876543209876543E-3</v>
      </c>
      <c r="AB897">
        <v>20.399999999999999</v>
      </c>
      <c r="AC897">
        <v>11.475</v>
      </c>
      <c r="AD897">
        <v>18.64</v>
      </c>
      <c r="AE897" s="7"/>
      <c r="AF897" s="7"/>
      <c r="AG897" s="7"/>
      <c r="AH897" s="7"/>
      <c r="AI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897" s="7"/>
      <c r="AK897" t="s">
        <v>543</v>
      </c>
      <c r="AN897">
        <f>IFERROR(INT(Table13[[#This Row],[reject_prod]]/Table13[[#This Row],[part_weight]] * 1000), 0)</f>
        <v>80</v>
      </c>
    </row>
    <row r="898" spans="1:40" hidden="1">
      <c r="A898" s="1">
        <v>46050</v>
      </c>
      <c r="B898">
        <v>1</v>
      </c>
      <c r="C898">
        <v>6</v>
      </c>
      <c r="D898" t="s">
        <v>552</v>
      </c>
      <c r="E898" t="s">
        <v>34</v>
      </c>
      <c r="F898">
        <v>322412</v>
      </c>
      <c r="G898" s="6">
        <v>0</v>
      </c>
      <c r="H898" t="s">
        <v>487</v>
      </c>
      <c r="I898">
        <v>10685212</v>
      </c>
      <c r="J898">
        <v>4</v>
      </c>
      <c r="K898">
        <v>24.3</v>
      </c>
      <c r="L898">
        <v>24</v>
      </c>
      <c r="M898">
        <v>765</v>
      </c>
      <c r="N898" s="2">
        <v>40600</v>
      </c>
      <c r="O898" s="2">
        <v>0</v>
      </c>
      <c r="P898" s="2">
        <v>0</v>
      </c>
      <c r="Q898" s="2">
        <v>3060</v>
      </c>
      <c r="R898" s="2">
        <v>3045</v>
      </c>
      <c r="S898">
        <v>73.08</v>
      </c>
      <c r="T898" s="2">
        <v>40600</v>
      </c>
      <c r="U898" s="2">
        <v>0</v>
      </c>
      <c r="V898">
        <v>73.44</v>
      </c>
      <c r="W898">
        <v>0.91800000000000215</v>
      </c>
      <c r="X898">
        <v>0</v>
      </c>
      <c r="Y898">
        <v>0</v>
      </c>
      <c r="Z898">
        <v>1.2</v>
      </c>
      <c r="AA898">
        <v>1.6339869281045753E-2</v>
      </c>
      <c r="AB898">
        <v>23.6</v>
      </c>
      <c r="AC898">
        <v>5.0150000000000006</v>
      </c>
      <c r="AD898">
        <v>20</v>
      </c>
      <c r="AE898" s="7"/>
      <c r="AF898" s="7"/>
      <c r="AG898" s="7"/>
      <c r="AH898" s="7"/>
      <c r="AI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6.9849999999999994</v>
      </c>
      <c r="AJ898" s="7"/>
      <c r="AK898" t="s">
        <v>102</v>
      </c>
      <c r="AL898">
        <v>4</v>
      </c>
      <c r="AM898">
        <v>3</v>
      </c>
      <c r="AN898">
        <f>IFERROR(INT(Table13[[#This Row],[reject_prod]]/Table13[[#This Row],[part_weight]] * 1000), 0)</f>
        <v>50</v>
      </c>
    </row>
    <row r="899" spans="1:40" hidden="1">
      <c r="A899" s="1">
        <v>46050</v>
      </c>
      <c r="B899">
        <v>1</v>
      </c>
      <c r="C899">
        <v>6</v>
      </c>
      <c r="D899" t="s">
        <v>552</v>
      </c>
      <c r="E899" t="s">
        <v>34</v>
      </c>
      <c r="F899">
        <v>324174</v>
      </c>
      <c r="G899" s="6">
        <v>0</v>
      </c>
      <c r="H899" t="s">
        <v>558</v>
      </c>
      <c r="I899">
        <v>10683856</v>
      </c>
      <c r="J899">
        <v>4</v>
      </c>
      <c r="K899">
        <v>24</v>
      </c>
      <c r="L899">
        <v>24</v>
      </c>
      <c r="M899">
        <v>1015</v>
      </c>
      <c r="N899" s="2">
        <v>40600</v>
      </c>
      <c r="O899" s="2">
        <v>0</v>
      </c>
      <c r="P899" s="2">
        <v>0</v>
      </c>
      <c r="Q899" s="2">
        <v>4060</v>
      </c>
      <c r="R899" s="2">
        <v>4060</v>
      </c>
      <c r="S899">
        <v>97.44</v>
      </c>
      <c r="T899" s="2">
        <v>4060</v>
      </c>
      <c r="U899" s="2">
        <v>36540</v>
      </c>
      <c r="V899">
        <v>97.44</v>
      </c>
      <c r="W899">
        <v>0</v>
      </c>
      <c r="X899">
        <v>2</v>
      </c>
      <c r="Y899">
        <v>2.0525451559934318E-2</v>
      </c>
      <c r="Z899">
        <v>0</v>
      </c>
      <c r="AA899">
        <v>0</v>
      </c>
      <c r="AB899">
        <v>21.33</v>
      </c>
      <c r="AC899">
        <v>6.0138749999999996</v>
      </c>
      <c r="AD899">
        <v>20.12</v>
      </c>
      <c r="AE899" s="7"/>
      <c r="AF899" s="7"/>
      <c r="AG899" s="7">
        <v>1</v>
      </c>
      <c r="AH899" s="7"/>
      <c r="AI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4.9861250000000004</v>
      </c>
      <c r="AJ899" s="7"/>
      <c r="AK899" t="s">
        <v>214</v>
      </c>
      <c r="AN899">
        <f>IFERROR(INT(Table13[[#This Row],[reject_prod]]/Table13[[#This Row],[part_weight]] * 1000), 0)</f>
        <v>0</v>
      </c>
    </row>
    <row r="900" spans="1:40" hidden="1">
      <c r="A900" s="1">
        <v>46050</v>
      </c>
      <c r="B900">
        <v>1</v>
      </c>
      <c r="C900">
        <v>7</v>
      </c>
      <c r="D900" t="s">
        <v>54</v>
      </c>
      <c r="E900" t="s">
        <v>34</v>
      </c>
      <c r="F900">
        <v>322471</v>
      </c>
      <c r="G900" s="6">
        <v>0</v>
      </c>
      <c r="H900" t="s">
        <v>520</v>
      </c>
      <c r="I900">
        <v>10684032</v>
      </c>
      <c r="J900">
        <v>4</v>
      </c>
      <c r="K900">
        <v>34.5</v>
      </c>
      <c r="L900">
        <v>34.5</v>
      </c>
      <c r="M900">
        <v>1650</v>
      </c>
      <c r="N900" s="2">
        <v>44352</v>
      </c>
      <c r="O900" s="2">
        <v>0</v>
      </c>
      <c r="P900" s="2">
        <v>0</v>
      </c>
      <c r="Q900" s="2">
        <v>6600</v>
      </c>
      <c r="R900" s="2">
        <v>6468</v>
      </c>
      <c r="S900">
        <v>223.14599999999999</v>
      </c>
      <c r="T900" s="2">
        <v>26796</v>
      </c>
      <c r="U900" s="2">
        <v>17556</v>
      </c>
      <c r="V900">
        <v>227.7</v>
      </c>
      <c r="W900">
        <v>0</v>
      </c>
      <c r="X900">
        <v>0</v>
      </c>
      <c r="Y900">
        <v>0</v>
      </c>
      <c r="Z900">
        <v>13</v>
      </c>
      <c r="AA900">
        <v>5.7092665788317967E-2</v>
      </c>
      <c r="AB900">
        <v>22.96</v>
      </c>
      <c r="AC900">
        <v>10.523333333333333</v>
      </c>
      <c r="AD900">
        <v>16.2</v>
      </c>
      <c r="AE900" s="7"/>
      <c r="AF900" s="7"/>
      <c r="AG900" s="7"/>
      <c r="AH900" s="7"/>
      <c r="AI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1.4766666666666666</v>
      </c>
      <c r="AJ900" s="7"/>
      <c r="AK900" t="s">
        <v>549</v>
      </c>
      <c r="AL900">
        <v>3</v>
      </c>
      <c r="AM900">
        <v>4</v>
      </c>
      <c r="AN900">
        <f>IFERROR(INT(Table13[[#This Row],[reject_prod]]/Table13[[#This Row],[part_weight]] * 1000), 0)</f>
        <v>376</v>
      </c>
    </row>
    <row r="901" spans="1:40" hidden="1">
      <c r="A901" s="1">
        <v>46050</v>
      </c>
      <c r="B901">
        <v>1</v>
      </c>
      <c r="C901">
        <v>8</v>
      </c>
      <c r="D901" t="s">
        <v>56</v>
      </c>
      <c r="E901" t="s">
        <v>41</v>
      </c>
      <c r="F901">
        <v>593537</v>
      </c>
      <c r="G901" s="6">
        <v>0</v>
      </c>
      <c r="H901" t="s">
        <v>48</v>
      </c>
      <c r="I901">
        <v>10685337</v>
      </c>
      <c r="J901">
        <v>4</v>
      </c>
      <c r="K901">
        <v>56.5</v>
      </c>
      <c r="L901">
        <v>56.8</v>
      </c>
      <c r="M901">
        <v>1466</v>
      </c>
      <c r="N901" s="2">
        <v>69000</v>
      </c>
      <c r="O901" s="2">
        <v>230</v>
      </c>
      <c r="P901" s="2">
        <v>345</v>
      </c>
      <c r="Q901" s="2">
        <v>5864</v>
      </c>
      <c r="R901" s="2">
        <v>5750</v>
      </c>
      <c r="S901">
        <v>326.60000000000002</v>
      </c>
      <c r="T901" s="2">
        <v>29095</v>
      </c>
      <c r="U901" s="2">
        <v>39905</v>
      </c>
      <c r="V901">
        <v>333.0752</v>
      </c>
      <c r="W901">
        <v>-1.7591999999999834</v>
      </c>
      <c r="X901">
        <v>0</v>
      </c>
      <c r="Y901">
        <v>0</v>
      </c>
      <c r="Z901">
        <v>2.5</v>
      </c>
      <c r="AA901">
        <v>7.5058125012009303E-3</v>
      </c>
      <c r="AB901">
        <v>29.4</v>
      </c>
      <c r="AC901">
        <v>11.972333333333331</v>
      </c>
      <c r="AD901">
        <v>28.5</v>
      </c>
      <c r="AE901" s="7"/>
      <c r="AF901" s="7"/>
      <c r="AG901" s="7"/>
      <c r="AH901" s="7"/>
      <c r="AI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2.7666666666668505E-2</v>
      </c>
      <c r="AJ901" s="7"/>
      <c r="AK901" t="s">
        <v>51</v>
      </c>
      <c r="AN901">
        <f>IFERROR(INT(Table13[[#This Row],[reject_prod]]/Table13[[#This Row],[part_weight]] * 1000), 0)</f>
        <v>44</v>
      </c>
    </row>
    <row r="902" spans="1:40" hidden="1">
      <c r="A902" s="1">
        <v>46050</v>
      </c>
      <c r="B902">
        <v>1</v>
      </c>
      <c r="C902">
        <v>9</v>
      </c>
      <c r="D902" t="s">
        <v>139</v>
      </c>
      <c r="E902" t="s">
        <v>46</v>
      </c>
      <c r="F902">
        <v>586276</v>
      </c>
      <c r="G902" s="6">
        <v>0</v>
      </c>
      <c r="H902" t="s">
        <v>47</v>
      </c>
      <c r="I902">
        <v>10682924</v>
      </c>
      <c r="J902">
        <v>6</v>
      </c>
      <c r="K902">
        <v>12.3</v>
      </c>
      <c r="L902">
        <v>12.3</v>
      </c>
      <c r="M902">
        <v>340</v>
      </c>
      <c r="N902" s="2">
        <v>2025</v>
      </c>
      <c r="O902" s="2">
        <v>0</v>
      </c>
      <c r="P902" s="2">
        <v>0</v>
      </c>
      <c r="Q902" s="2">
        <v>2040</v>
      </c>
      <c r="R902" s="2">
        <v>2025</v>
      </c>
      <c r="S902">
        <v>24.907499999999999</v>
      </c>
      <c r="T902" s="2">
        <v>2025</v>
      </c>
      <c r="U902" s="2">
        <v>0</v>
      </c>
      <c r="V902">
        <v>25.091999999999999</v>
      </c>
      <c r="W902">
        <v>0</v>
      </c>
      <c r="X902">
        <v>6</v>
      </c>
      <c r="Y902">
        <v>0.23912003825920614</v>
      </c>
      <c r="Z902">
        <v>0</v>
      </c>
      <c r="AA902">
        <v>0</v>
      </c>
      <c r="AB902">
        <v>26</v>
      </c>
      <c r="AC902">
        <v>2.4555555555555553</v>
      </c>
      <c r="AD902">
        <v>26</v>
      </c>
      <c r="AE902" s="7"/>
      <c r="AF902" s="7"/>
      <c r="AG902" s="7"/>
      <c r="AH902" s="7"/>
      <c r="AI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9.5444444444444443</v>
      </c>
      <c r="AJ902" s="7"/>
      <c r="AK902" t="s">
        <v>559</v>
      </c>
      <c r="AL902">
        <v>2</v>
      </c>
      <c r="AM902">
        <v>1</v>
      </c>
      <c r="AN902">
        <f>IFERROR(INT(Table13[[#This Row],[reject_prod]]/Table13[[#This Row],[part_weight]] * 1000), 0)</f>
        <v>0</v>
      </c>
    </row>
    <row r="903" spans="1:40" hidden="1">
      <c r="A903" s="1">
        <v>46050</v>
      </c>
      <c r="B903">
        <v>1</v>
      </c>
      <c r="C903">
        <v>10</v>
      </c>
      <c r="D903" t="s">
        <v>84</v>
      </c>
      <c r="E903" t="s">
        <v>34</v>
      </c>
      <c r="F903">
        <v>441778</v>
      </c>
      <c r="G903" s="6">
        <v>0</v>
      </c>
      <c r="H903" t="s">
        <v>531</v>
      </c>
      <c r="I903">
        <v>10684860</v>
      </c>
      <c r="J903">
        <v>4</v>
      </c>
      <c r="K903">
        <v>77</v>
      </c>
      <c r="L903">
        <v>77</v>
      </c>
      <c r="M903">
        <v>1050</v>
      </c>
      <c r="N903" s="2">
        <v>11868</v>
      </c>
      <c r="O903" s="2">
        <v>0</v>
      </c>
      <c r="P903" s="2">
        <v>0</v>
      </c>
      <c r="Q903" s="2">
        <v>4200</v>
      </c>
      <c r="R903" s="2">
        <v>4140</v>
      </c>
      <c r="S903">
        <v>318.77999999999997</v>
      </c>
      <c r="T903" s="2">
        <v>9660</v>
      </c>
      <c r="U903" s="2">
        <v>2208</v>
      </c>
      <c r="V903">
        <v>323.39999999999998</v>
      </c>
      <c r="W903">
        <v>0</v>
      </c>
      <c r="X903">
        <v>0</v>
      </c>
      <c r="Y903">
        <v>0</v>
      </c>
      <c r="Z903">
        <v>14.8</v>
      </c>
      <c r="AA903">
        <v>4.5763760049474342E-2</v>
      </c>
      <c r="AB903">
        <v>36.799999999999997</v>
      </c>
      <c r="AC903">
        <v>10.733333333333333</v>
      </c>
      <c r="AD903">
        <v>35</v>
      </c>
      <c r="AE903" s="7"/>
      <c r="AF903" s="7"/>
      <c r="AG903" s="7"/>
      <c r="AH903" s="7"/>
      <c r="AI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1.2666666666666675</v>
      </c>
      <c r="AJ903" s="7"/>
      <c r="AK903" t="s">
        <v>560</v>
      </c>
      <c r="AL903">
        <v>5</v>
      </c>
      <c r="AM903">
        <v>13</v>
      </c>
      <c r="AN903">
        <f>IFERROR(INT(Table13[[#This Row],[reject_prod]]/Table13[[#This Row],[part_weight]] * 1000), 0)</f>
        <v>192</v>
      </c>
    </row>
    <row r="904" spans="1:40" hidden="1">
      <c r="A904" s="1">
        <v>46050</v>
      </c>
      <c r="B904">
        <v>1</v>
      </c>
      <c r="C904">
        <v>11</v>
      </c>
      <c r="D904" t="s">
        <v>59</v>
      </c>
      <c r="E904" t="s">
        <v>46</v>
      </c>
      <c r="F904">
        <v>552181</v>
      </c>
      <c r="G904" s="6">
        <v>1</v>
      </c>
      <c r="H904" t="s">
        <v>49</v>
      </c>
      <c r="I904">
        <v>10685338</v>
      </c>
      <c r="J904">
        <v>6</v>
      </c>
      <c r="K904">
        <v>18.8</v>
      </c>
      <c r="L904">
        <v>18.8</v>
      </c>
      <c r="M904">
        <v>1460</v>
      </c>
      <c r="N904" s="2">
        <v>108000</v>
      </c>
      <c r="O904" s="2">
        <v>3240</v>
      </c>
      <c r="P904" s="2">
        <v>1080</v>
      </c>
      <c r="Q904" s="2">
        <v>8760</v>
      </c>
      <c r="R904" s="2">
        <v>10800</v>
      </c>
      <c r="S904">
        <v>203.04</v>
      </c>
      <c r="T904" s="2">
        <v>17280</v>
      </c>
      <c r="U904" s="2">
        <v>90720</v>
      </c>
      <c r="V904">
        <v>164.68799999999999</v>
      </c>
      <c r="W904">
        <v>0</v>
      </c>
      <c r="X904">
        <v>0</v>
      </c>
      <c r="Y904">
        <v>0</v>
      </c>
      <c r="Z904">
        <v>1.2</v>
      </c>
      <c r="AA904">
        <v>7.2865053920139903E-3</v>
      </c>
      <c r="AB904">
        <v>28.7</v>
      </c>
      <c r="AC904">
        <v>11.639444444444445</v>
      </c>
      <c r="AD904">
        <v>27</v>
      </c>
      <c r="AE904" s="7"/>
      <c r="AF904" s="7"/>
      <c r="AG904" s="7"/>
      <c r="AH904" s="7"/>
      <c r="AI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0.36055555555555507</v>
      </c>
      <c r="AJ904" s="7"/>
      <c r="AK904" t="s">
        <v>561</v>
      </c>
      <c r="AN904">
        <f>IFERROR(INT(Table13[[#This Row],[reject_prod]]/Table13[[#This Row],[part_weight]] * 1000), 0)</f>
        <v>63</v>
      </c>
    </row>
    <row r="905" spans="1:40" hidden="1">
      <c r="A905" s="1">
        <v>46050</v>
      </c>
      <c r="B905">
        <v>1</v>
      </c>
      <c r="C905">
        <v>12</v>
      </c>
      <c r="D905" t="s">
        <v>53</v>
      </c>
      <c r="E905" t="s">
        <v>34</v>
      </c>
      <c r="F905">
        <v>620599</v>
      </c>
      <c r="G905" s="6">
        <v>0</v>
      </c>
      <c r="H905" t="s">
        <v>50</v>
      </c>
      <c r="I905">
        <v>10684839</v>
      </c>
      <c r="J905">
        <v>4</v>
      </c>
      <c r="K905">
        <v>55</v>
      </c>
      <c r="L905">
        <v>55</v>
      </c>
      <c r="M905">
        <v>1465</v>
      </c>
      <c r="N905" s="2">
        <v>72000</v>
      </c>
      <c r="O905" s="2">
        <v>450</v>
      </c>
      <c r="P905" s="2">
        <v>900</v>
      </c>
      <c r="Q905" s="2">
        <v>5860</v>
      </c>
      <c r="R905" s="2">
        <v>5400</v>
      </c>
      <c r="S905">
        <v>297</v>
      </c>
      <c r="T905" s="2">
        <v>71100</v>
      </c>
      <c r="U905" s="2">
        <v>900</v>
      </c>
      <c r="V905">
        <v>322.3</v>
      </c>
      <c r="W905">
        <v>0</v>
      </c>
      <c r="X905">
        <v>0</v>
      </c>
      <c r="Y905">
        <v>0</v>
      </c>
      <c r="Z905">
        <v>12.2</v>
      </c>
      <c r="AA905">
        <v>3.7852932050884268E-2</v>
      </c>
      <c r="AB905">
        <v>28.8</v>
      </c>
      <c r="AC905">
        <v>11.72</v>
      </c>
      <c r="AD905">
        <v>28</v>
      </c>
      <c r="AE905" s="7"/>
      <c r="AF905" s="7"/>
      <c r="AG905" s="7"/>
      <c r="AH905" s="7"/>
      <c r="AI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0.27999999999999936</v>
      </c>
      <c r="AJ905" s="7"/>
      <c r="AK905" t="s">
        <v>230</v>
      </c>
      <c r="AN905">
        <f>IFERROR(INT(Table13[[#This Row],[reject_prod]]/Table13[[#This Row],[part_weight]] * 1000), 0)</f>
        <v>221</v>
      </c>
    </row>
    <row r="906" spans="1:40" hidden="1">
      <c r="A906" s="1">
        <v>46050</v>
      </c>
      <c r="B906">
        <v>1</v>
      </c>
      <c r="C906">
        <v>13</v>
      </c>
      <c r="D906" t="s">
        <v>59</v>
      </c>
      <c r="E906" t="s">
        <v>46</v>
      </c>
      <c r="F906">
        <v>586276</v>
      </c>
      <c r="G906" s="6">
        <v>0</v>
      </c>
      <c r="H906" t="s">
        <v>47</v>
      </c>
      <c r="I906">
        <v>10684862</v>
      </c>
      <c r="J906">
        <v>6</v>
      </c>
      <c r="K906">
        <v>12.3</v>
      </c>
      <c r="L906">
        <v>12.3</v>
      </c>
      <c r="M906">
        <v>1660</v>
      </c>
      <c r="N906" s="2">
        <v>162000</v>
      </c>
      <c r="O906" s="2">
        <v>6075</v>
      </c>
      <c r="P906" s="2">
        <v>0</v>
      </c>
      <c r="Q906" s="2">
        <v>9960</v>
      </c>
      <c r="R906" s="2">
        <v>16200</v>
      </c>
      <c r="S906">
        <v>199.26</v>
      </c>
      <c r="T906" s="2">
        <v>113400</v>
      </c>
      <c r="U906" s="2">
        <v>48600</v>
      </c>
      <c r="V906">
        <v>122.508</v>
      </c>
      <c r="W906">
        <v>0</v>
      </c>
      <c r="X906">
        <v>0</v>
      </c>
      <c r="Y906">
        <v>0</v>
      </c>
      <c r="Z906">
        <v>1</v>
      </c>
      <c r="AA906">
        <v>8.1627322297319355E-3</v>
      </c>
      <c r="AB906">
        <v>26.2</v>
      </c>
      <c r="AC906">
        <v>12</v>
      </c>
      <c r="AD906">
        <v>26</v>
      </c>
      <c r="AE906" s="7"/>
      <c r="AF906" s="7"/>
      <c r="AG906" s="7"/>
      <c r="AH906" s="7"/>
      <c r="AI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06" s="7"/>
      <c r="AK906" t="s">
        <v>51</v>
      </c>
      <c r="AN906">
        <f>IFERROR(INT(Table13[[#This Row],[reject_prod]]/Table13[[#This Row],[part_weight]] * 1000), 0)</f>
        <v>81</v>
      </c>
    </row>
    <row r="907" spans="1:40" hidden="1">
      <c r="A907" s="1">
        <v>46050</v>
      </c>
      <c r="B907">
        <v>1</v>
      </c>
      <c r="C907">
        <v>14</v>
      </c>
      <c r="D907" t="s">
        <v>33</v>
      </c>
      <c r="E907" t="s">
        <v>46</v>
      </c>
      <c r="F907">
        <v>555979</v>
      </c>
      <c r="G907" s="6">
        <v>1</v>
      </c>
      <c r="H907" t="s">
        <v>52</v>
      </c>
      <c r="I907">
        <v>10683785</v>
      </c>
      <c r="J907">
        <v>6</v>
      </c>
      <c r="K907">
        <v>28</v>
      </c>
      <c r="L907">
        <v>28</v>
      </c>
      <c r="M907">
        <v>0</v>
      </c>
      <c r="N907" s="2">
        <v>100800</v>
      </c>
      <c r="O907" s="2">
        <v>0</v>
      </c>
      <c r="P907" s="2">
        <v>0</v>
      </c>
      <c r="Q907" s="2">
        <v>0</v>
      </c>
      <c r="R907" s="2">
        <v>0</v>
      </c>
      <c r="S907">
        <v>0</v>
      </c>
      <c r="T907" s="2">
        <v>0</v>
      </c>
      <c r="U907" s="2">
        <v>100800</v>
      </c>
      <c r="V907">
        <v>0</v>
      </c>
      <c r="W907">
        <v>0</v>
      </c>
      <c r="X907">
        <v>0</v>
      </c>
      <c r="Y907" t="e">
        <v>#DIV/0!</v>
      </c>
      <c r="Z907">
        <v>0</v>
      </c>
      <c r="AA907" t="e">
        <v>#DIV/0!</v>
      </c>
      <c r="AB907">
        <v>43.4</v>
      </c>
      <c r="AC907">
        <v>0</v>
      </c>
      <c r="AD907">
        <v>42</v>
      </c>
      <c r="AE907" s="7"/>
      <c r="AF907" s="7"/>
      <c r="AG907" s="7"/>
      <c r="AH907" s="7"/>
      <c r="AI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07" s="7"/>
      <c r="AK907" t="s">
        <v>481</v>
      </c>
      <c r="AL907">
        <v>3</v>
      </c>
      <c r="AM907">
        <v>2</v>
      </c>
      <c r="AN907">
        <f>IFERROR(INT(Table13[[#This Row],[reject_prod]]/Table13[[#This Row],[part_weight]] * 1000), 0)</f>
        <v>0</v>
      </c>
    </row>
    <row r="908" spans="1:40" hidden="1">
      <c r="A908" s="1">
        <v>46050</v>
      </c>
      <c r="B908">
        <v>1</v>
      </c>
      <c r="C908">
        <v>15</v>
      </c>
      <c r="D908" t="s">
        <v>59</v>
      </c>
      <c r="E908" t="s">
        <v>46</v>
      </c>
      <c r="F908">
        <v>552181</v>
      </c>
      <c r="G908" s="6">
        <v>2</v>
      </c>
      <c r="H908" t="s">
        <v>49</v>
      </c>
      <c r="I908">
        <v>10683787</v>
      </c>
      <c r="J908">
        <v>6</v>
      </c>
      <c r="K908">
        <v>18.8</v>
      </c>
      <c r="L908">
        <v>18.8</v>
      </c>
      <c r="M908">
        <v>1320</v>
      </c>
      <c r="N908" s="2">
        <v>108000</v>
      </c>
      <c r="O908" s="2">
        <v>0</v>
      </c>
      <c r="P908" s="2">
        <v>7830</v>
      </c>
      <c r="Q908" s="2">
        <v>7920</v>
      </c>
      <c r="R908" s="2">
        <v>0</v>
      </c>
      <c r="S908">
        <v>0</v>
      </c>
      <c r="T908" s="2">
        <v>105030</v>
      </c>
      <c r="U908" s="2">
        <v>2970</v>
      </c>
      <c r="V908">
        <v>148.89599999999999</v>
      </c>
      <c r="W908">
        <v>0</v>
      </c>
      <c r="X908">
        <v>0</v>
      </c>
      <c r="Y908">
        <v>0</v>
      </c>
      <c r="Z908">
        <v>1</v>
      </c>
      <c r="AA908">
        <v>6.7160971416290573E-3</v>
      </c>
      <c r="AB908">
        <v>31.3</v>
      </c>
      <c r="AC908">
        <v>11.476666666666667</v>
      </c>
      <c r="AD908">
        <v>27</v>
      </c>
      <c r="AE908" s="7"/>
      <c r="AF908" s="7"/>
      <c r="AG908" s="7"/>
      <c r="AH908" s="7"/>
      <c r="AI9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908" s="7"/>
      <c r="AK908" t="s">
        <v>562</v>
      </c>
      <c r="AN908">
        <f>IFERROR(INT(Table13[[#This Row],[reject_prod]]/Table13[[#This Row],[part_weight]] * 1000), 0)</f>
        <v>53</v>
      </c>
    </row>
    <row r="909" spans="1:40" s="4" customFormat="1" hidden="1">
      <c r="A909" s="3">
        <v>46050</v>
      </c>
      <c r="B909" s="4">
        <v>1</v>
      </c>
      <c r="C909" s="4">
        <v>16</v>
      </c>
      <c r="D909" s="4" t="s">
        <v>553</v>
      </c>
      <c r="E909" s="4" t="s">
        <v>46</v>
      </c>
      <c r="F909" s="4">
        <v>555979</v>
      </c>
      <c r="G909" s="9">
        <v>2</v>
      </c>
      <c r="H909" s="4" t="s">
        <v>52</v>
      </c>
      <c r="I909" s="4">
        <v>10684863</v>
      </c>
      <c r="J909" s="4">
        <v>6</v>
      </c>
      <c r="K909" s="4">
        <v>28</v>
      </c>
      <c r="L909" s="4">
        <v>28</v>
      </c>
      <c r="M909" s="4">
        <v>952</v>
      </c>
      <c r="N909" s="5">
        <v>100800</v>
      </c>
      <c r="O909" s="5">
        <v>4536</v>
      </c>
      <c r="P909" s="5">
        <v>168</v>
      </c>
      <c r="Q909" s="5">
        <v>5712</v>
      </c>
      <c r="R909" s="5">
        <v>10080</v>
      </c>
      <c r="S909" s="4">
        <v>282.24</v>
      </c>
      <c r="T909" s="5">
        <v>53928</v>
      </c>
      <c r="U909" s="5">
        <v>46872</v>
      </c>
      <c r="V909" s="4">
        <v>159.93600000000001</v>
      </c>
      <c r="W909" s="4">
        <v>0</v>
      </c>
      <c r="X909" s="4">
        <v>0</v>
      </c>
      <c r="Y909" s="4">
        <v>0</v>
      </c>
      <c r="Z909" s="4">
        <v>1</v>
      </c>
      <c r="AA909" s="4">
        <v>6.2525010004001597E-3</v>
      </c>
      <c r="AB909" s="4">
        <v>43.4</v>
      </c>
      <c r="AC909" s="4">
        <v>11.476888888888888</v>
      </c>
      <c r="AD909" s="4">
        <v>42</v>
      </c>
      <c r="AE909" s="8"/>
      <c r="AF909" s="8"/>
      <c r="AG909" s="8"/>
      <c r="AH909" s="8"/>
      <c r="AI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0.52311111111111153</v>
      </c>
      <c r="AJ909" s="8"/>
      <c r="AK909" s="4" t="s">
        <v>51</v>
      </c>
      <c r="AN909">
        <f>IFERROR(INT(Table13[[#This Row],[reject_prod]]/Table13[[#This Row],[part_weight]] * 1000), 0)</f>
        <v>35</v>
      </c>
    </row>
    <row r="910" spans="1:40" hidden="1">
      <c r="A910" s="1">
        <v>46050</v>
      </c>
      <c r="B910">
        <v>2</v>
      </c>
      <c r="C910">
        <v>1</v>
      </c>
      <c r="D910" t="s">
        <v>141</v>
      </c>
      <c r="E910" t="s">
        <v>34</v>
      </c>
      <c r="F910">
        <v>577492</v>
      </c>
      <c r="G910" s="6">
        <v>0</v>
      </c>
      <c r="H910" t="s">
        <v>341</v>
      </c>
      <c r="I910">
        <v>10686027</v>
      </c>
      <c r="J910">
        <v>4</v>
      </c>
      <c r="K910">
        <v>35.6</v>
      </c>
      <c r="L910">
        <v>35.6</v>
      </c>
      <c r="M910">
        <v>1579</v>
      </c>
      <c r="N910" s="2">
        <v>20240</v>
      </c>
      <c r="O910" s="2">
        <v>368</v>
      </c>
      <c r="P910" s="2">
        <v>1104</v>
      </c>
      <c r="Q910" s="2">
        <v>6316</v>
      </c>
      <c r="R910" s="2">
        <v>5520</v>
      </c>
      <c r="S910">
        <v>196.512</v>
      </c>
      <c r="T910" s="2">
        <v>6624</v>
      </c>
      <c r="U910" s="2">
        <v>13616</v>
      </c>
      <c r="V910">
        <v>224.84960000000001</v>
      </c>
      <c r="W910">
        <v>0</v>
      </c>
      <c r="X910">
        <v>0</v>
      </c>
      <c r="Y910">
        <v>0</v>
      </c>
      <c r="Z910">
        <v>2.2000000000000002</v>
      </c>
      <c r="AA910">
        <v>9.7843180508215277E-3</v>
      </c>
      <c r="AB910">
        <v>26.8</v>
      </c>
      <c r="AC910">
        <v>11.754777777777777</v>
      </c>
      <c r="AD910">
        <v>27</v>
      </c>
      <c r="AE910" s="7"/>
      <c r="AF910" s="7"/>
      <c r="AG910" s="7"/>
      <c r="AH910" s="7"/>
      <c r="AI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0.2452222222222229</v>
      </c>
      <c r="AJ910" s="7"/>
      <c r="AK910" t="s">
        <v>51</v>
      </c>
      <c r="AN910">
        <f>IFERROR(INT(Table13[[#This Row],[reject_prod]]/Table13[[#This Row],[part_weight]] * 1000), 0)</f>
        <v>61</v>
      </c>
    </row>
    <row r="911" spans="1:40" hidden="1">
      <c r="A911" s="1">
        <v>46050</v>
      </c>
      <c r="B911">
        <v>2</v>
      </c>
      <c r="C911">
        <v>2</v>
      </c>
      <c r="D911" t="s">
        <v>33</v>
      </c>
      <c r="E911" t="s">
        <v>34</v>
      </c>
      <c r="F911">
        <v>416201</v>
      </c>
      <c r="G911" s="6">
        <v>0</v>
      </c>
      <c r="H911" t="s">
        <v>36</v>
      </c>
      <c r="I911">
        <v>10681779</v>
      </c>
      <c r="J911">
        <v>4</v>
      </c>
      <c r="K911">
        <v>20</v>
      </c>
      <c r="L911">
        <v>30</v>
      </c>
      <c r="M911">
        <v>0</v>
      </c>
      <c r="N911" s="2">
        <v>50400</v>
      </c>
      <c r="O911" s="2">
        <v>2940</v>
      </c>
      <c r="P911" s="2">
        <v>2940</v>
      </c>
      <c r="Q911" s="2">
        <v>0</v>
      </c>
      <c r="R911" s="2">
        <v>0</v>
      </c>
      <c r="S911">
        <v>0</v>
      </c>
      <c r="T911" s="2">
        <v>13020</v>
      </c>
      <c r="U911" s="2">
        <v>37380</v>
      </c>
      <c r="V911">
        <v>0</v>
      </c>
      <c r="W911">
        <v>0</v>
      </c>
      <c r="X911">
        <v>8.5</v>
      </c>
      <c r="Y911" t="e">
        <v>#DIV/0!</v>
      </c>
      <c r="Z911">
        <v>0</v>
      </c>
      <c r="AA911" t="e">
        <v>#DIV/0!</v>
      </c>
      <c r="AB911">
        <v>38</v>
      </c>
      <c r="AC911">
        <v>0</v>
      </c>
      <c r="AD911">
        <v>38.64</v>
      </c>
      <c r="AE911" s="7"/>
      <c r="AF911" s="7"/>
      <c r="AG911" s="7"/>
      <c r="AH911" s="7"/>
      <c r="AI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11" s="7"/>
      <c r="AK911" t="s">
        <v>563</v>
      </c>
      <c r="AN911">
        <f>IFERROR(INT(Table13[[#This Row],[reject_prod]]/Table13[[#This Row],[part_weight]] * 1000), 0)</f>
        <v>0</v>
      </c>
    </row>
    <row r="912" spans="1:40" hidden="1">
      <c r="A912" s="1">
        <v>46050</v>
      </c>
      <c r="B912">
        <v>2</v>
      </c>
      <c r="C912">
        <v>3</v>
      </c>
      <c r="D912" t="s">
        <v>554</v>
      </c>
      <c r="E912" t="s">
        <v>34</v>
      </c>
      <c r="F912">
        <v>442034</v>
      </c>
      <c r="G912" s="6">
        <v>0</v>
      </c>
      <c r="H912" t="s">
        <v>37</v>
      </c>
      <c r="I912">
        <v>10681184</v>
      </c>
      <c r="J912">
        <v>4</v>
      </c>
      <c r="K912">
        <v>23</v>
      </c>
      <c r="L912">
        <v>23</v>
      </c>
      <c r="M912">
        <v>1502</v>
      </c>
      <c r="N912" s="2">
        <v>139776</v>
      </c>
      <c r="O912" s="2">
        <v>3840</v>
      </c>
      <c r="P912" s="2">
        <v>0</v>
      </c>
      <c r="Q912" s="2">
        <v>6008</v>
      </c>
      <c r="R912" s="2">
        <v>9216</v>
      </c>
      <c r="S912">
        <v>211.96799999999999</v>
      </c>
      <c r="T912" s="2">
        <v>92160</v>
      </c>
      <c r="U912" s="2">
        <v>47616</v>
      </c>
      <c r="V912">
        <v>138.184</v>
      </c>
      <c r="W912">
        <v>0</v>
      </c>
      <c r="X912">
        <v>0</v>
      </c>
      <c r="Y912">
        <v>0</v>
      </c>
      <c r="Z912">
        <v>14.7</v>
      </c>
      <c r="AA912">
        <v>0.10637989926474845</v>
      </c>
      <c r="AB912">
        <v>26.5</v>
      </c>
      <c r="AC912">
        <v>11.056388888888888</v>
      </c>
      <c r="AD912">
        <v>22</v>
      </c>
      <c r="AE912" s="7"/>
      <c r="AF912" s="7"/>
      <c r="AG912" s="7"/>
      <c r="AH912" s="7"/>
      <c r="AI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0.94361111111111207</v>
      </c>
      <c r="AJ912" s="7"/>
      <c r="AK912" t="s">
        <v>564</v>
      </c>
      <c r="AN912">
        <f>IFERROR(INT(Table13[[#This Row],[reject_prod]]/Table13[[#This Row],[part_weight]] * 1000), 0)</f>
        <v>639</v>
      </c>
    </row>
    <row r="913" spans="1:40" hidden="1">
      <c r="A913" s="1">
        <v>46050</v>
      </c>
      <c r="B913">
        <v>2</v>
      </c>
      <c r="C913">
        <v>4</v>
      </c>
      <c r="D913" t="s">
        <v>67</v>
      </c>
      <c r="E913" t="s">
        <v>34</v>
      </c>
      <c r="F913">
        <v>369308</v>
      </c>
      <c r="G913" s="6">
        <v>0</v>
      </c>
      <c r="H913" t="s">
        <v>516</v>
      </c>
      <c r="I913">
        <v>10684853</v>
      </c>
      <c r="J913">
        <v>4</v>
      </c>
      <c r="K913">
        <v>31</v>
      </c>
      <c r="L913">
        <v>31</v>
      </c>
      <c r="M913">
        <v>1530</v>
      </c>
      <c r="N913" s="2">
        <v>34560</v>
      </c>
      <c r="O913" s="2">
        <v>480</v>
      </c>
      <c r="P913" s="2">
        <v>720</v>
      </c>
      <c r="Q913" s="2">
        <v>6120</v>
      </c>
      <c r="R913" s="2">
        <v>5760</v>
      </c>
      <c r="S913">
        <v>178.56</v>
      </c>
      <c r="T913" s="2">
        <v>28080</v>
      </c>
      <c r="U913" s="2">
        <v>6480</v>
      </c>
      <c r="V913">
        <v>189.72</v>
      </c>
      <c r="W913">
        <v>0</v>
      </c>
      <c r="X913">
        <v>0</v>
      </c>
      <c r="Y913">
        <v>0</v>
      </c>
      <c r="Z913">
        <v>3.7</v>
      </c>
      <c r="AA913">
        <v>1.9502424625764285E-2</v>
      </c>
      <c r="AB913">
        <v>27.5</v>
      </c>
      <c r="AC913">
        <v>11.6875</v>
      </c>
      <c r="AD913">
        <v>28.4</v>
      </c>
      <c r="AE913" s="7"/>
      <c r="AF913" s="7"/>
      <c r="AG913" s="7"/>
      <c r="AH913" s="7"/>
      <c r="AI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0.3125</v>
      </c>
      <c r="AJ913" s="7"/>
      <c r="AK913" t="s">
        <v>565</v>
      </c>
      <c r="AN913">
        <f>IFERROR(INT(Table13[[#This Row],[reject_prod]]/Table13[[#This Row],[part_weight]] * 1000), 0)</f>
        <v>119</v>
      </c>
    </row>
    <row r="914" spans="1:40" hidden="1">
      <c r="A914" s="1">
        <v>46050</v>
      </c>
      <c r="B914">
        <v>2</v>
      </c>
      <c r="C914">
        <v>5</v>
      </c>
      <c r="D914" t="s">
        <v>127</v>
      </c>
      <c r="E914" t="s">
        <v>34</v>
      </c>
      <c r="F914">
        <v>322389</v>
      </c>
      <c r="G914" s="6">
        <v>0</v>
      </c>
      <c r="H914" t="s">
        <v>542</v>
      </c>
      <c r="I914">
        <v>10684749</v>
      </c>
      <c r="J914">
        <v>4</v>
      </c>
      <c r="K914">
        <v>12.5</v>
      </c>
      <c r="L914">
        <v>12.5</v>
      </c>
      <c r="M914">
        <v>1903</v>
      </c>
      <c r="N914" s="2">
        <v>46800</v>
      </c>
      <c r="O914" s="2">
        <v>8580</v>
      </c>
      <c r="P914" s="2">
        <v>6240</v>
      </c>
      <c r="Q914" s="2">
        <v>7612</v>
      </c>
      <c r="R914" s="2">
        <v>9360</v>
      </c>
      <c r="S914">
        <v>117</v>
      </c>
      <c r="T914" s="2">
        <v>24960</v>
      </c>
      <c r="U914" s="2">
        <v>21840</v>
      </c>
      <c r="V914">
        <v>95.15</v>
      </c>
      <c r="W914">
        <v>0</v>
      </c>
      <c r="X914">
        <v>0</v>
      </c>
      <c r="Y914">
        <v>0</v>
      </c>
      <c r="Z914">
        <v>7.7</v>
      </c>
      <c r="AA914">
        <v>8.0924855491329481E-2</v>
      </c>
      <c r="AB914">
        <v>20.3</v>
      </c>
      <c r="AC914">
        <v>10.730805555555557</v>
      </c>
      <c r="AD914">
        <v>18.64</v>
      </c>
      <c r="AE914" s="7"/>
      <c r="AF914" s="7"/>
      <c r="AG914" s="7"/>
      <c r="AH914" s="7"/>
      <c r="AI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1.2691944444444427</v>
      </c>
      <c r="AJ914" s="7"/>
      <c r="AK914" t="s">
        <v>566</v>
      </c>
      <c r="AN914">
        <f>IFERROR(INT(Table13[[#This Row],[reject_prod]]/Table13[[#This Row],[part_weight]] * 1000), 0)</f>
        <v>616</v>
      </c>
    </row>
    <row r="915" spans="1:40" hidden="1">
      <c r="A915" s="1">
        <v>46050</v>
      </c>
      <c r="B915">
        <v>2</v>
      </c>
      <c r="C915">
        <v>6</v>
      </c>
      <c r="D915" t="s">
        <v>430</v>
      </c>
      <c r="E915" t="s">
        <v>34</v>
      </c>
      <c r="F915">
        <v>324174</v>
      </c>
      <c r="G915" s="6">
        <v>0</v>
      </c>
      <c r="H915" t="s">
        <v>558</v>
      </c>
      <c r="I915">
        <v>10683856</v>
      </c>
      <c r="J915">
        <v>4</v>
      </c>
      <c r="K915">
        <v>24</v>
      </c>
      <c r="L915">
        <v>24</v>
      </c>
      <c r="M915">
        <v>1985</v>
      </c>
      <c r="N915" s="2">
        <v>40600</v>
      </c>
      <c r="O915" s="2">
        <v>0</v>
      </c>
      <c r="P915" s="2">
        <v>812</v>
      </c>
      <c r="Q915" s="2">
        <v>7940</v>
      </c>
      <c r="R915" s="2">
        <v>7105</v>
      </c>
      <c r="S915">
        <v>170.52</v>
      </c>
      <c r="T915" s="2">
        <v>11977</v>
      </c>
      <c r="U915" s="2">
        <v>28623</v>
      </c>
      <c r="V915">
        <v>190.56</v>
      </c>
      <c r="W915">
        <v>0</v>
      </c>
      <c r="X915">
        <v>0</v>
      </c>
      <c r="Y915">
        <v>0</v>
      </c>
      <c r="Z915">
        <v>0.5</v>
      </c>
      <c r="AA915">
        <v>2.6238455079764904E-3</v>
      </c>
      <c r="AB915">
        <v>21.5</v>
      </c>
      <c r="AC915">
        <v>11.854861111111111</v>
      </c>
      <c r="AD915">
        <v>20.12</v>
      </c>
      <c r="AE915" s="7"/>
      <c r="AF915" s="7"/>
      <c r="AG915" s="7"/>
      <c r="AH915" s="7"/>
      <c r="AI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0.14513888888888893</v>
      </c>
      <c r="AJ915" s="7"/>
      <c r="AK915" t="s">
        <v>214</v>
      </c>
      <c r="AN915">
        <f>IFERROR(INT(Table13[[#This Row],[reject_prod]]/Table13[[#This Row],[part_weight]] * 1000), 0)</f>
        <v>20</v>
      </c>
    </row>
    <row r="916" spans="1:40" hidden="1">
      <c r="A916" s="1">
        <v>46050</v>
      </c>
      <c r="B916">
        <v>2</v>
      </c>
      <c r="C916">
        <v>7</v>
      </c>
      <c r="D916" t="s">
        <v>65</v>
      </c>
      <c r="E916" t="s">
        <v>34</v>
      </c>
      <c r="F916">
        <v>322471</v>
      </c>
      <c r="G916" s="6">
        <v>0</v>
      </c>
      <c r="H916" t="s">
        <v>520</v>
      </c>
      <c r="I916">
        <v>10684032</v>
      </c>
      <c r="J916">
        <v>4</v>
      </c>
      <c r="K916">
        <v>34.5</v>
      </c>
      <c r="L916">
        <v>34.5</v>
      </c>
      <c r="M916">
        <v>1585</v>
      </c>
      <c r="N916" s="2">
        <v>44352</v>
      </c>
      <c r="O916" s="2">
        <v>0</v>
      </c>
      <c r="P916" s="2">
        <v>660</v>
      </c>
      <c r="Q916" s="2">
        <v>6340</v>
      </c>
      <c r="R916" s="2">
        <v>5544</v>
      </c>
      <c r="S916">
        <v>191.268</v>
      </c>
      <c r="T916" s="2">
        <v>33000</v>
      </c>
      <c r="U916" s="2">
        <v>11352</v>
      </c>
      <c r="V916">
        <v>218.73</v>
      </c>
      <c r="W916">
        <v>0</v>
      </c>
      <c r="X916">
        <v>0</v>
      </c>
      <c r="Y916">
        <v>0</v>
      </c>
      <c r="Z916">
        <v>4.8</v>
      </c>
      <c r="AA916">
        <v>2.1944863530379919E-2</v>
      </c>
      <c r="AB916">
        <v>24.3</v>
      </c>
      <c r="AC916">
        <v>10.69875</v>
      </c>
      <c r="AD916">
        <v>16.2</v>
      </c>
      <c r="AE916" s="7"/>
      <c r="AF916" s="7"/>
      <c r="AG916" s="7"/>
      <c r="AH916" s="7"/>
      <c r="AI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1.3012499999999996</v>
      </c>
      <c r="AJ916" s="7"/>
      <c r="AK916" t="s">
        <v>567</v>
      </c>
      <c r="AN916">
        <f>IFERROR(INT(Table13[[#This Row],[reject_prod]]/Table13[[#This Row],[part_weight]] * 1000), 0)</f>
        <v>139</v>
      </c>
    </row>
    <row r="917" spans="1:40" hidden="1">
      <c r="A917" s="1">
        <v>46050</v>
      </c>
      <c r="B917">
        <v>2</v>
      </c>
      <c r="C917">
        <v>8</v>
      </c>
      <c r="D917" t="s">
        <v>152</v>
      </c>
      <c r="E917" t="s">
        <v>41</v>
      </c>
      <c r="F917">
        <v>593537</v>
      </c>
      <c r="G917" s="6">
        <v>0</v>
      </c>
      <c r="H917" t="s">
        <v>48</v>
      </c>
      <c r="I917">
        <v>10685022</v>
      </c>
      <c r="J917">
        <v>4</v>
      </c>
      <c r="K917">
        <v>56.5</v>
      </c>
      <c r="L917">
        <v>56.8</v>
      </c>
      <c r="M917">
        <v>1471</v>
      </c>
      <c r="N917" s="2">
        <v>69000</v>
      </c>
      <c r="O917" s="2">
        <v>345</v>
      </c>
      <c r="P917" s="2">
        <v>460</v>
      </c>
      <c r="Q917" s="2">
        <v>5884</v>
      </c>
      <c r="R917" s="2">
        <v>5750</v>
      </c>
      <c r="S917">
        <v>326.60000000000002</v>
      </c>
      <c r="T917" s="2">
        <v>35535</v>
      </c>
      <c r="U917" s="2">
        <v>33465</v>
      </c>
      <c r="V917">
        <v>334.21120000000002</v>
      </c>
      <c r="W917">
        <v>0</v>
      </c>
      <c r="X917">
        <v>0</v>
      </c>
      <c r="Y917">
        <v>0</v>
      </c>
      <c r="Z917">
        <v>1.2</v>
      </c>
      <c r="AA917">
        <v>3.5905439434704756E-3</v>
      </c>
      <c r="AB917">
        <v>29.4</v>
      </c>
      <c r="AC917">
        <v>12</v>
      </c>
      <c r="AD917">
        <v>28.5</v>
      </c>
      <c r="AE917" s="7"/>
      <c r="AF917" s="7"/>
      <c r="AG917" s="7"/>
      <c r="AH917" s="7"/>
      <c r="AI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17" s="7"/>
      <c r="AK917" t="s">
        <v>51</v>
      </c>
      <c r="AN917">
        <f>IFERROR(INT(Table13[[#This Row],[reject_prod]]/Table13[[#This Row],[part_weight]] * 1000), 0)</f>
        <v>21</v>
      </c>
    </row>
    <row r="918" spans="1:40" hidden="1">
      <c r="A918" s="1">
        <v>46050</v>
      </c>
      <c r="B918">
        <v>2</v>
      </c>
      <c r="C918">
        <v>9</v>
      </c>
      <c r="F918">
        <v>123456</v>
      </c>
      <c r="G918" s="6">
        <v>0</v>
      </c>
      <c r="M918">
        <v>0</v>
      </c>
      <c r="N918" s="2">
        <v>0</v>
      </c>
      <c r="O918" s="2">
        <v>0</v>
      </c>
      <c r="P918" s="2">
        <v>0</v>
      </c>
      <c r="Q918" s="2"/>
      <c r="R918" s="2">
        <v>0</v>
      </c>
      <c r="T918" s="2">
        <v>0</v>
      </c>
      <c r="U918" s="2"/>
      <c r="X918">
        <v>0</v>
      </c>
      <c r="Z918">
        <v>0</v>
      </c>
      <c r="AB918">
        <v>0</v>
      </c>
      <c r="AC918">
        <v>0</v>
      </c>
      <c r="AD918">
        <v>0</v>
      </c>
      <c r="AE918" s="7"/>
      <c r="AF918" s="7"/>
      <c r="AG918" s="7"/>
      <c r="AH918" s="7"/>
      <c r="AI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18" s="7">
        <v>12</v>
      </c>
      <c r="AK918" t="s">
        <v>116</v>
      </c>
      <c r="AN918">
        <f>IFERROR(INT(Table13[[#This Row],[reject_prod]]/Table13[[#This Row],[part_weight]] * 1000), 0)</f>
        <v>0</v>
      </c>
    </row>
    <row r="919" spans="1:40" hidden="1">
      <c r="A919" s="1">
        <v>46050</v>
      </c>
      <c r="B919">
        <v>2</v>
      </c>
      <c r="C919">
        <v>10</v>
      </c>
      <c r="D919" t="s">
        <v>40</v>
      </c>
      <c r="E919" t="s">
        <v>34</v>
      </c>
      <c r="F919">
        <v>441778</v>
      </c>
      <c r="G919" s="6">
        <v>0</v>
      </c>
      <c r="H919" t="s">
        <v>531</v>
      </c>
      <c r="I919">
        <v>10684860</v>
      </c>
      <c r="J919">
        <v>4</v>
      </c>
      <c r="K919">
        <v>77</v>
      </c>
      <c r="L919">
        <v>77</v>
      </c>
      <c r="M919">
        <v>552</v>
      </c>
      <c r="N919" s="2">
        <v>11868</v>
      </c>
      <c r="O919" s="2">
        <v>0</v>
      </c>
      <c r="P919" s="2">
        <v>0</v>
      </c>
      <c r="Q919" s="2">
        <v>2208</v>
      </c>
      <c r="R919" s="2">
        <v>2208</v>
      </c>
      <c r="S919">
        <v>170.01599999999999</v>
      </c>
      <c r="T919" s="2">
        <v>11868</v>
      </c>
      <c r="U919" s="2">
        <v>0</v>
      </c>
      <c r="V919">
        <v>170.01599999999999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37.299999999999997</v>
      </c>
      <c r="AC919">
        <v>5.7193333333333332</v>
      </c>
      <c r="AD919">
        <v>35</v>
      </c>
      <c r="AE919" s="7"/>
      <c r="AF919" s="7"/>
      <c r="AG919" s="7"/>
      <c r="AH919" s="7"/>
      <c r="AI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6.2806666666666668</v>
      </c>
      <c r="AJ919" s="7"/>
      <c r="AK919" t="s">
        <v>102</v>
      </c>
      <c r="AN919">
        <f>IFERROR(INT(Table13[[#This Row],[reject_prod]]/Table13[[#This Row],[part_weight]] * 1000), 0)</f>
        <v>0</v>
      </c>
    </row>
    <row r="920" spans="1:40" hidden="1">
      <c r="A920" s="1">
        <v>46050</v>
      </c>
      <c r="B920">
        <v>2</v>
      </c>
      <c r="C920">
        <v>10</v>
      </c>
      <c r="D920" t="s">
        <v>40</v>
      </c>
      <c r="E920" t="s">
        <v>34</v>
      </c>
      <c r="F920">
        <v>323133</v>
      </c>
      <c r="G920" s="6">
        <v>0</v>
      </c>
      <c r="H920" t="s">
        <v>568</v>
      </c>
      <c r="I920">
        <v>10684859</v>
      </c>
      <c r="J920">
        <v>4</v>
      </c>
      <c r="K920">
        <v>77</v>
      </c>
      <c r="L920">
        <v>77</v>
      </c>
      <c r="M920">
        <v>571</v>
      </c>
      <c r="N920" s="2">
        <v>19872</v>
      </c>
      <c r="O920" s="2">
        <v>0</v>
      </c>
      <c r="P920" s="2">
        <v>0</v>
      </c>
      <c r="Q920" s="2">
        <v>2284</v>
      </c>
      <c r="R920" s="2">
        <v>2208</v>
      </c>
      <c r="S920">
        <v>170.01599999999999</v>
      </c>
      <c r="T920" s="2">
        <v>2208</v>
      </c>
      <c r="U920" s="2">
        <v>17664</v>
      </c>
      <c r="V920">
        <v>175.86799999999999</v>
      </c>
      <c r="W920">
        <v>0</v>
      </c>
      <c r="X920">
        <v>0</v>
      </c>
      <c r="Y920">
        <v>0</v>
      </c>
      <c r="Z920">
        <v>5.9</v>
      </c>
      <c r="AA920">
        <v>3.3547888188868925E-2</v>
      </c>
      <c r="AB920">
        <v>37.299999999999997</v>
      </c>
      <c r="AC920">
        <v>5.9161944444444439</v>
      </c>
      <c r="AD920">
        <v>35</v>
      </c>
      <c r="AE920" s="7"/>
      <c r="AF920" s="7"/>
      <c r="AG920" s="7"/>
      <c r="AH920" s="7"/>
      <c r="AI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6.0838055555555561</v>
      </c>
      <c r="AJ920" s="7"/>
      <c r="AK920" t="s">
        <v>569</v>
      </c>
      <c r="AN920">
        <f>IFERROR(INT(Table13[[#This Row],[reject_prod]]/Table13[[#This Row],[part_weight]] * 1000), 0)</f>
        <v>76</v>
      </c>
    </row>
    <row r="921" spans="1:40" hidden="1">
      <c r="A921" s="1">
        <v>46050</v>
      </c>
      <c r="B921">
        <v>2</v>
      </c>
      <c r="C921">
        <v>11</v>
      </c>
      <c r="D921" t="s">
        <v>61</v>
      </c>
      <c r="E921" t="s">
        <v>46</v>
      </c>
      <c r="F921">
        <v>552181</v>
      </c>
      <c r="G921" s="6">
        <v>1</v>
      </c>
      <c r="H921" t="s">
        <v>49</v>
      </c>
      <c r="I921">
        <v>10685338</v>
      </c>
      <c r="J921">
        <v>6</v>
      </c>
      <c r="K921">
        <v>18.8</v>
      </c>
      <c r="L921">
        <v>18.8</v>
      </c>
      <c r="M921">
        <v>1328</v>
      </c>
      <c r="N921" s="2">
        <v>108000</v>
      </c>
      <c r="O921" s="2">
        <v>1080</v>
      </c>
      <c r="P921" s="2">
        <v>3510</v>
      </c>
      <c r="Q921" s="2">
        <v>7968</v>
      </c>
      <c r="R921" s="2">
        <v>5400</v>
      </c>
      <c r="S921">
        <v>101.52</v>
      </c>
      <c r="T921" s="2">
        <v>25110</v>
      </c>
      <c r="U921" s="2">
        <v>82890</v>
      </c>
      <c r="V921">
        <v>149.79839999999999</v>
      </c>
      <c r="W921">
        <v>0</v>
      </c>
      <c r="X921">
        <v>0</v>
      </c>
      <c r="Y921">
        <v>0</v>
      </c>
      <c r="Z921">
        <v>2.6</v>
      </c>
      <c r="AA921">
        <v>1.7356660685294373E-2</v>
      </c>
      <c r="AB921">
        <v>28.7</v>
      </c>
      <c r="AC921">
        <v>10.587111111111112</v>
      </c>
      <c r="AD921">
        <v>27</v>
      </c>
      <c r="AE921" s="7"/>
      <c r="AF921" s="7"/>
      <c r="AG921" s="7"/>
      <c r="AH921" s="7"/>
      <c r="AI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1.4128888888888884</v>
      </c>
      <c r="AJ921" s="7"/>
      <c r="AK921" t="s">
        <v>480</v>
      </c>
      <c r="AN921">
        <f>IFERROR(INT(Table13[[#This Row],[reject_prod]]/Table13[[#This Row],[part_weight]] * 1000), 0)</f>
        <v>138</v>
      </c>
    </row>
    <row r="922" spans="1:40" hidden="1">
      <c r="A922" s="1">
        <v>46050</v>
      </c>
      <c r="B922">
        <v>2</v>
      </c>
      <c r="C922">
        <v>12</v>
      </c>
      <c r="D922" t="s">
        <v>143</v>
      </c>
      <c r="E922" t="s">
        <v>34</v>
      </c>
      <c r="F922">
        <v>620599</v>
      </c>
      <c r="G922" s="6">
        <v>0</v>
      </c>
      <c r="H922" t="s">
        <v>50</v>
      </c>
      <c r="I922">
        <v>10684839</v>
      </c>
      <c r="J922">
        <v>4</v>
      </c>
      <c r="K922">
        <v>55</v>
      </c>
      <c r="L922">
        <v>55</v>
      </c>
      <c r="M922">
        <v>225</v>
      </c>
      <c r="N922" s="2">
        <v>72000</v>
      </c>
      <c r="O922" s="2">
        <v>900</v>
      </c>
      <c r="P922" s="2">
        <v>0</v>
      </c>
      <c r="Q922" s="2">
        <v>900</v>
      </c>
      <c r="R922" s="2">
        <v>1800</v>
      </c>
      <c r="S922">
        <v>99</v>
      </c>
      <c r="T922" s="2">
        <v>72000</v>
      </c>
      <c r="U922" s="2">
        <v>0</v>
      </c>
      <c r="V922">
        <v>49.5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28.8</v>
      </c>
      <c r="AC922">
        <v>1.8</v>
      </c>
      <c r="AD922">
        <v>28</v>
      </c>
      <c r="AE922" s="7"/>
      <c r="AF922" s="7"/>
      <c r="AG922" s="7"/>
      <c r="AH922" s="7"/>
      <c r="AI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10.199999999999999</v>
      </c>
      <c r="AJ922" s="7"/>
      <c r="AK922" t="s">
        <v>102</v>
      </c>
      <c r="AN922">
        <f>IFERROR(INT(Table13[[#This Row],[reject_prod]]/Table13[[#This Row],[part_weight]] * 1000), 0)</f>
        <v>0</v>
      </c>
    </row>
    <row r="923" spans="1:40" hidden="1">
      <c r="A923" s="1">
        <v>46050</v>
      </c>
      <c r="B923">
        <v>2</v>
      </c>
      <c r="C923">
        <v>12</v>
      </c>
      <c r="D923" t="s">
        <v>143</v>
      </c>
      <c r="E923" t="s">
        <v>34</v>
      </c>
      <c r="F923">
        <v>620599</v>
      </c>
      <c r="G923" s="6">
        <v>0</v>
      </c>
      <c r="H923" t="s">
        <v>50</v>
      </c>
      <c r="I923">
        <v>10685340</v>
      </c>
      <c r="J923">
        <v>4</v>
      </c>
      <c r="K923">
        <v>55</v>
      </c>
      <c r="L923">
        <v>55</v>
      </c>
      <c r="M923">
        <v>1234</v>
      </c>
      <c r="N923" s="2">
        <v>72000</v>
      </c>
      <c r="O923" s="2">
        <v>0</v>
      </c>
      <c r="P923" s="2">
        <v>1125</v>
      </c>
      <c r="Q923" s="2">
        <v>4936</v>
      </c>
      <c r="R923" s="2">
        <v>3600</v>
      </c>
      <c r="S923">
        <v>198</v>
      </c>
      <c r="T923" s="2">
        <v>4725</v>
      </c>
      <c r="U923" s="2">
        <v>67275</v>
      </c>
      <c r="V923">
        <v>271.48</v>
      </c>
      <c r="W923">
        <v>0</v>
      </c>
      <c r="X923">
        <v>0</v>
      </c>
      <c r="Y923">
        <v>0</v>
      </c>
      <c r="Z923">
        <v>11.4</v>
      </c>
      <c r="AA923">
        <v>4.1992043612789152E-2</v>
      </c>
      <c r="AB923">
        <v>28.8</v>
      </c>
      <c r="AC923">
        <v>9.8719999999999999</v>
      </c>
      <c r="AD923">
        <v>28</v>
      </c>
      <c r="AE923" s="7"/>
      <c r="AF923" s="7"/>
      <c r="AG923" s="7"/>
      <c r="AH923" s="7"/>
      <c r="AI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2.1280000000000001</v>
      </c>
      <c r="AJ923" s="7"/>
      <c r="AK923" t="s">
        <v>570</v>
      </c>
      <c r="AN923">
        <f>IFERROR(INT(Table13[[#This Row],[reject_prod]]/Table13[[#This Row],[part_weight]] * 1000), 0)</f>
        <v>207</v>
      </c>
    </row>
    <row r="924" spans="1:40" hidden="1">
      <c r="A924" s="1">
        <v>46050</v>
      </c>
      <c r="B924">
        <v>2</v>
      </c>
      <c r="C924">
        <v>13</v>
      </c>
      <c r="D924" t="s">
        <v>61</v>
      </c>
      <c r="E924" t="s">
        <v>46</v>
      </c>
      <c r="F924">
        <v>586276</v>
      </c>
      <c r="G924" s="6">
        <v>0</v>
      </c>
      <c r="H924" t="s">
        <v>47</v>
      </c>
      <c r="I924">
        <v>10684862</v>
      </c>
      <c r="J924">
        <v>6</v>
      </c>
      <c r="K924">
        <v>12.3</v>
      </c>
      <c r="L924">
        <v>12.3</v>
      </c>
      <c r="M924">
        <v>1627</v>
      </c>
      <c r="N924" s="2">
        <v>162000</v>
      </c>
      <c r="O924" s="2">
        <v>0</v>
      </c>
      <c r="P924" s="2">
        <v>1620</v>
      </c>
      <c r="Q924" s="2">
        <v>9762</v>
      </c>
      <c r="R924" s="2">
        <v>8100</v>
      </c>
      <c r="S924">
        <v>99.63</v>
      </c>
      <c r="T924" s="2">
        <v>123120</v>
      </c>
      <c r="U924" s="2">
        <v>38880</v>
      </c>
      <c r="V924">
        <v>120.07260000000001</v>
      </c>
      <c r="W924">
        <v>0</v>
      </c>
      <c r="X924">
        <v>0</v>
      </c>
      <c r="Y924">
        <v>0</v>
      </c>
      <c r="Z924">
        <v>0.5</v>
      </c>
      <c r="AA924">
        <v>4.1641473575153697E-3</v>
      </c>
      <c r="AB924">
        <v>26.2</v>
      </c>
      <c r="AC924">
        <v>11.840944444444444</v>
      </c>
      <c r="AD924">
        <v>26</v>
      </c>
      <c r="AE924" s="7"/>
      <c r="AF924" s="7"/>
      <c r="AG924" s="7"/>
      <c r="AH924" s="7"/>
      <c r="AI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924" s="7"/>
      <c r="AK924" t="s">
        <v>51</v>
      </c>
      <c r="AN924">
        <f>IFERROR(INT(Table13[[#This Row],[reject_prod]]/Table13[[#This Row],[part_weight]] * 1000), 0)</f>
        <v>40</v>
      </c>
    </row>
    <row r="925" spans="1:40" hidden="1">
      <c r="A925" s="1">
        <v>46050</v>
      </c>
      <c r="B925">
        <v>2</v>
      </c>
      <c r="C925">
        <v>14</v>
      </c>
      <c r="D925" t="s">
        <v>33</v>
      </c>
      <c r="E925" t="s">
        <v>46</v>
      </c>
      <c r="F925">
        <v>555979</v>
      </c>
      <c r="G925" s="6">
        <v>1</v>
      </c>
      <c r="H925" t="s">
        <v>52</v>
      </c>
      <c r="I925">
        <v>10683785</v>
      </c>
      <c r="J925">
        <v>6</v>
      </c>
      <c r="K925">
        <v>28</v>
      </c>
      <c r="L925">
        <v>28</v>
      </c>
      <c r="M925">
        <v>0</v>
      </c>
      <c r="N925" s="2">
        <v>100800</v>
      </c>
      <c r="O925" s="2">
        <v>0</v>
      </c>
      <c r="P925" s="2">
        <v>0</v>
      </c>
      <c r="Q925" s="2">
        <v>0</v>
      </c>
      <c r="R925" s="2">
        <v>0</v>
      </c>
      <c r="S925">
        <v>0</v>
      </c>
      <c r="T925" s="2">
        <v>0</v>
      </c>
      <c r="U925" s="2">
        <v>100800</v>
      </c>
      <c r="V925">
        <v>0</v>
      </c>
      <c r="W925">
        <v>0</v>
      </c>
      <c r="X925">
        <v>0</v>
      </c>
      <c r="Y925" t="e">
        <v>#DIV/0!</v>
      </c>
      <c r="Z925">
        <v>0</v>
      </c>
      <c r="AA925" t="e">
        <v>#DIV/0!</v>
      </c>
      <c r="AB925">
        <v>42</v>
      </c>
      <c r="AC925">
        <v>0</v>
      </c>
      <c r="AD925">
        <v>42</v>
      </c>
      <c r="AE925" s="7"/>
      <c r="AF925" s="7"/>
      <c r="AG925" s="7"/>
      <c r="AH925" s="7"/>
      <c r="AI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25" s="7"/>
      <c r="AK925" t="s">
        <v>571</v>
      </c>
      <c r="AN925">
        <f>IFERROR(INT(Table13[[#This Row],[reject_prod]]/Table13[[#This Row],[part_weight]] * 1000), 0)</f>
        <v>0</v>
      </c>
    </row>
    <row r="926" spans="1:40" hidden="1">
      <c r="A926" s="1">
        <v>46050</v>
      </c>
      <c r="B926">
        <v>2</v>
      </c>
      <c r="C926">
        <v>15</v>
      </c>
      <c r="D926" t="s">
        <v>61</v>
      </c>
      <c r="E926" t="s">
        <v>46</v>
      </c>
      <c r="F926">
        <v>552181</v>
      </c>
      <c r="G926" s="6">
        <v>2</v>
      </c>
      <c r="H926" t="s">
        <v>49</v>
      </c>
      <c r="I926">
        <v>10683787</v>
      </c>
      <c r="J926">
        <v>6</v>
      </c>
      <c r="K926">
        <v>18.8</v>
      </c>
      <c r="L926">
        <v>18.8</v>
      </c>
      <c r="M926">
        <v>495</v>
      </c>
      <c r="N926" s="2">
        <v>108000</v>
      </c>
      <c r="O926" s="2">
        <v>7830</v>
      </c>
      <c r="P926" s="2">
        <v>5400</v>
      </c>
      <c r="Q926" s="2">
        <v>2970</v>
      </c>
      <c r="R926" s="2">
        <v>5400</v>
      </c>
      <c r="S926">
        <v>101.52</v>
      </c>
      <c r="T926" s="2">
        <v>108000</v>
      </c>
      <c r="U926" s="2">
        <v>0</v>
      </c>
      <c r="V926">
        <v>55.835999999999999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31</v>
      </c>
      <c r="AC926">
        <v>4.2625000000000002</v>
      </c>
      <c r="AD926">
        <v>27</v>
      </c>
      <c r="AE926" s="7"/>
      <c r="AF926" s="7"/>
      <c r="AG926" s="7"/>
      <c r="AH926" s="7"/>
      <c r="AI9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7.7374999999999998</v>
      </c>
      <c r="AJ926" s="7"/>
      <c r="AK926" t="s">
        <v>102</v>
      </c>
      <c r="AN926">
        <f>IFERROR(INT(Table13[[#This Row],[reject_prod]]/Table13[[#This Row],[part_weight]] * 1000), 0)</f>
        <v>0</v>
      </c>
    </row>
    <row r="927" spans="1:40" hidden="1">
      <c r="A927" s="1">
        <v>46050</v>
      </c>
      <c r="B927">
        <v>2</v>
      </c>
      <c r="C927">
        <v>15</v>
      </c>
      <c r="D927" t="s">
        <v>61</v>
      </c>
      <c r="E927" t="s">
        <v>46</v>
      </c>
      <c r="F927">
        <v>552181</v>
      </c>
      <c r="G927" s="6">
        <v>2</v>
      </c>
      <c r="H927" t="s">
        <v>49</v>
      </c>
      <c r="I927">
        <v>10685541</v>
      </c>
      <c r="J927">
        <v>6</v>
      </c>
      <c r="K927">
        <v>18.8</v>
      </c>
      <c r="L927">
        <v>18.8</v>
      </c>
      <c r="M927">
        <v>895</v>
      </c>
      <c r="N927" s="2">
        <v>108000</v>
      </c>
      <c r="O927" s="2">
        <v>0</v>
      </c>
      <c r="P927" s="2">
        <v>5130</v>
      </c>
      <c r="Q927" s="2">
        <v>5370</v>
      </c>
      <c r="R927" s="2">
        <v>0</v>
      </c>
      <c r="S927">
        <v>0</v>
      </c>
      <c r="T927" s="2">
        <v>5130</v>
      </c>
      <c r="U927" s="2">
        <v>102870</v>
      </c>
      <c r="V927">
        <v>100.956</v>
      </c>
      <c r="W927">
        <v>0</v>
      </c>
      <c r="X927">
        <v>0</v>
      </c>
      <c r="Y927">
        <v>0</v>
      </c>
      <c r="Z927">
        <v>4.5999999999999996</v>
      </c>
      <c r="AA927">
        <v>4.5564404294940367E-2</v>
      </c>
      <c r="AB927">
        <v>31</v>
      </c>
      <c r="AC927">
        <v>7.7069444444444448</v>
      </c>
      <c r="AD927">
        <v>27</v>
      </c>
      <c r="AE927" s="7"/>
      <c r="AF927" s="7"/>
      <c r="AG927" s="7"/>
      <c r="AH927" s="7"/>
      <c r="AI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4.2930555555555552</v>
      </c>
      <c r="AJ927" s="7"/>
      <c r="AK927" t="s">
        <v>572</v>
      </c>
      <c r="AN927">
        <f>IFERROR(INT(Table13[[#This Row],[reject_prod]]/Table13[[#This Row],[part_weight]] * 1000), 0)</f>
        <v>244</v>
      </c>
    </row>
    <row r="928" spans="1:40" s="4" customFormat="1" hidden="1">
      <c r="A928" s="3">
        <v>46050</v>
      </c>
      <c r="B928" s="4">
        <v>2</v>
      </c>
      <c r="C928" s="4">
        <v>16</v>
      </c>
      <c r="D928" s="4" t="s">
        <v>555</v>
      </c>
      <c r="E928" s="4" t="s">
        <v>46</v>
      </c>
      <c r="F928" s="4">
        <v>555979</v>
      </c>
      <c r="G928" s="9">
        <v>2</v>
      </c>
      <c r="H928" s="4" t="s">
        <v>52</v>
      </c>
      <c r="I928" s="4">
        <v>10684863</v>
      </c>
      <c r="J928" s="4">
        <v>6</v>
      </c>
      <c r="K928" s="4">
        <v>28</v>
      </c>
      <c r="L928" s="4">
        <v>28</v>
      </c>
      <c r="M928" s="4">
        <v>988</v>
      </c>
      <c r="N928" s="5">
        <v>100800</v>
      </c>
      <c r="O928" s="5">
        <v>168</v>
      </c>
      <c r="P928" s="5">
        <v>2688</v>
      </c>
      <c r="Q928" s="5">
        <v>5928</v>
      </c>
      <c r="R928" s="5">
        <v>3360</v>
      </c>
      <c r="S928" s="4">
        <v>94.08</v>
      </c>
      <c r="T928" s="5">
        <v>59808</v>
      </c>
      <c r="U928" s="5">
        <v>40992</v>
      </c>
      <c r="V928" s="4">
        <v>165.98400000000001</v>
      </c>
      <c r="W928" s="4">
        <v>0</v>
      </c>
      <c r="X928" s="4">
        <v>0</v>
      </c>
      <c r="Y928" s="4">
        <v>0</v>
      </c>
      <c r="Z928" s="4">
        <v>1.4</v>
      </c>
      <c r="AA928" s="4">
        <v>8.4345479082321186E-3</v>
      </c>
      <c r="AB928" s="4">
        <v>43.4</v>
      </c>
      <c r="AC928" s="4">
        <v>11.91088888888889</v>
      </c>
      <c r="AD928" s="4">
        <v>42</v>
      </c>
      <c r="AE928" s="8"/>
      <c r="AF928" s="8"/>
      <c r="AG928" s="8"/>
      <c r="AH928" s="8"/>
      <c r="AI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8.9111111111110475E-2</v>
      </c>
      <c r="AJ928" s="8"/>
      <c r="AK928" s="4" t="s">
        <v>51</v>
      </c>
      <c r="AN928">
        <f>IFERROR(INT(Table13[[#This Row],[reject_prod]]/Table13[[#This Row],[part_weight]] * 1000), 0)</f>
        <v>50</v>
      </c>
    </row>
    <row r="929" spans="1:40" hidden="1">
      <c r="A929" s="1">
        <v>46051</v>
      </c>
      <c r="B929">
        <v>1</v>
      </c>
      <c r="C929">
        <v>1</v>
      </c>
      <c r="D929" t="s">
        <v>56</v>
      </c>
      <c r="E929" t="s">
        <v>34</v>
      </c>
      <c r="F929">
        <v>577492</v>
      </c>
      <c r="G929" s="6">
        <v>0</v>
      </c>
      <c r="H929" t="s">
        <v>341</v>
      </c>
      <c r="I929">
        <v>10686027</v>
      </c>
      <c r="J929">
        <v>4</v>
      </c>
      <c r="K929">
        <v>35.6</v>
      </c>
      <c r="L929">
        <v>35.6</v>
      </c>
      <c r="M929">
        <v>1589</v>
      </c>
      <c r="N929" s="2">
        <v>20240</v>
      </c>
      <c r="O929" s="2">
        <v>1104</v>
      </c>
      <c r="P929" s="2">
        <v>100</v>
      </c>
      <c r="Q929" s="2">
        <v>6356</v>
      </c>
      <c r="R929" s="2">
        <v>7360</v>
      </c>
      <c r="S929">
        <v>262.01600000000002</v>
      </c>
      <c r="T929" s="2">
        <v>12980</v>
      </c>
      <c r="U929" s="2">
        <v>7260</v>
      </c>
      <c r="V929">
        <v>226.27360000000002</v>
      </c>
      <c r="W929">
        <v>0</v>
      </c>
      <c r="X929">
        <v>0</v>
      </c>
      <c r="Y929">
        <v>0</v>
      </c>
      <c r="Z929">
        <v>4.3</v>
      </c>
      <c r="AA929">
        <v>1.9003542613897511E-2</v>
      </c>
      <c r="AB929">
        <v>26.8</v>
      </c>
      <c r="AC929">
        <v>11.829222222222223</v>
      </c>
      <c r="AD929">
        <v>27</v>
      </c>
      <c r="AE929" s="7"/>
      <c r="AF929" s="7"/>
      <c r="AG929" s="7"/>
      <c r="AH929" s="7"/>
      <c r="AI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0.17077777777777747</v>
      </c>
      <c r="AJ929" s="7"/>
      <c r="AK929" t="s">
        <v>576</v>
      </c>
      <c r="AN929">
        <f>IFERROR(INT(Table13[[#This Row],[reject_prod]]/Table13[[#This Row],[part_weight]] * 1000), 0)</f>
        <v>120</v>
      </c>
    </row>
    <row r="930" spans="1:40" hidden="1">
      <c r="A930" s="1">
        <v>46051</v>
      </c>
      <c r="B930">
        <v>1</v>
      </c>
      <c r="C930">
        <v>2</v>
      </c>
      <c r="D930" t="s">
        <v>33</v>
      </c>
      <c r="E930" t="s">
        <v>34</v>
      </c>
      <c r="F930">
        <v>416201</v>
      </c>
      <c r="G930" s="6">
        <v>0</v>
      </c>
      <c r="H930" t="s">
        <v>36</v>
      </c>
      <c r="I930">
        <v>10681779</v>
      </c>
      <c r="J930">
        <v>4</v>
      </c>
      <c r="K930">
        <v>20</v>
      </c>
      <c r="L930">
        <v>30</v>
      </c>
      <c r="M930">
        <v>0</v>
      </c>
      <c r="N930" s="2">
        <v>50400</v>
      </c>
      <c r="O930" s="2">
        <v>2940</v>
      </c>
      <c r="P930" s="2"/>
      <c r="Q930" s="2">
        <v>0</v>
      </c>
      <c r="R930" s="2">
        <v>0</v>
      </c>
      <c r="S930">
        <v>0</v>
      </c>
      <c r="T930" s="2">
        <v>0</v>
      </c>
      <c r="U930" s="2">
        <v>50400</v>
      </c>
      <c r="V930">
        <v>0</v>
      </c>
      <c r="W930">
        <v>0</v>
      </c>
      <c r="X930">
        <v>20</v>
      </c>
      <c r="Y930" t="e">
        <v>#DIV/0!</v>
      </c>
      <c r="Z930">
        <v>0</v>
      </c>
      <c r="AA930" t="e">
        <v>#DIV/0!</v>
      </c>
      <c r="AB930">
        <v>38.6</v>
      </c>
      <c r="AC930">
        <v>0</v>
      </c>
      <c r="AD930">
        <v>38.64</v>
      </c>
      <c r="AE930" s="7"/>
      <c r="AF930" s="7"/>
      <c r="AG930" s="7"/>
      <c r="AH930" s="7"/>
      <c r="AI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930" s="7">
        <v>3</v>
      </c>
      <c r="AK930" t="s">
        <v>577</v>
      </c>
      <c r="AL930">
        <v>30</v>
      </c>
      <c r="AM930">
        <v>10</v>
      </c>
      <c r="AN930">
        <f>IFERROR(INT(Table13[[#This Row],[reject_prod]]/Table13[[#This Row],[part_weight]] * 1000), 0)</f>
        <v>0</v>
      </c>
    </row>
    <row r="931" spans="1:40" hidden="1">
      <c r="A931" s="1">
        <v>46051</v>
      </c>
      <c r="B931">
        <v>1</v>
      </c>
      <c r="C931">
        <v>3</v>
      </c>
      <c r="D931" t="s">
        <v>414</v>
      </c>
      <c r="E931" t="s">
        <v>34</v>
      </c>
      <c r="F931">
        <v>442034</v>
      </c>
      <c r="G931" s="6">
        <v>0</v>
      </c>
      <c r="H931" t="s">
        <v>37</v>
      </c>
      <c r="I931">
        <v>10681184</v>
      </c>
      <c r="J931">
        <v>4</v>
      </c>
      <c r="K931">
        <v>23</v>
      </c>
      <c r="L931">
        <v>23</v>
      </c>
      <c r="M931">
        <v>1460</v>
      </c>
      <c r="N931" s="2">
        <v>139776</v>
      </c>
      <c r="O931" s="2">
        <v>0</v>
      </c>
      <c r="P931" s="2">
        <v>1152</v>
      </c>
      <c r="Q931" s="2">
        <v>5840</v>
      </c>
      <c r="R931" s="2">
        <v>4608</v>
      </c>
      <c r="S931">
        <v>105.98399999999999</v>
      </c>
      <c r="T931" s="2">
        <v>97920</v>
      </c>
      <c r="U931" s="2">
        <v>41856</v>
      </c>
      <c r="V931">
        <v>134.32</v>
      </c>
      <c r="W931">
        <v>0</v>
      </c>
      <c r="X931">
        <v>0</v>
      </c>
      <c r="Y931">
        <v>0</v>
      </c>
      <c r="Z931">
        <v>1</v>
      </c>
      <c r="AA931">
        <v>7.4449076831447298E-3</v>
      </c>
      <c r="AB931">
        <v>28.6</v>
      </c>
      <c r="AC931">
        <v>11.59888888888889</v>
      </c>
      <c r="AD931">
        <v>22</v>
      </c>
      <c r="AE931" s="7"/>
      <c r="AF931" s="7"/>
      <c r="AG931" s="7"/>
      <c r="AH931" s="7"/>
      <c r="AI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0.40111111111110986</v>
      </c>
      <c r="AJ931" s="7"/>
      <c r="AK931" t="s">
        <v>168</v>
      </c>
      <c r="AM931">
        <v>4</v>
      </c>
      <c r="AN931">
        <f>IFERROR(INT(Table13[[#This Row],[reject_prod]]/Table13[[#This Row],[part_weight]] * 1000), 0)</f>
        <v>43</v>
      </c>
    </row>
    <row r="932" spans="1:40" hidden="1">
      <c r="A932" s="1">
        <v>46051</v>
      </c>
      <c r="B932">
        <v>1</v>
      </c>
      <c r="C932">
        <v>4</v>
      </c>
      <c r="D932" t="s">
        <v>58</v>
      </c>
      <c r="E932" t="s">
        <v>34</v>
      </c>
      <c r="F932">
        <v>369308</v>
      </c>
      <c r="G932" s="6">
        <v>0</v>
      </c>
      <c r="H932" t="s">
        <v>516</v>
      </c>
      <c r="I932">
        <v>10684853</v>
      </c>
      <c r="J932">
        <v>4</v>
      </c>
      <c r="K932">
        <v>31</v>
      </c>
      <c r="L932">
        <v>31</v>
      </c>
      <c r="M932">
        <v>1570</v>
      </c>
      <c r="N932" s="2">
        <v>34560</v>
      </c>
      <c r="O932" s="2">
        <v>720</v>
      </c>
      <c r="P932" s="2">
        <v>1200</v>
      </c>
      <c r="Q932" s="2">
        <v>6280</v>
      </c>
      <c r="R932" s="2">
        <v>5760</v>
      </c>
      <c r="S932">
        <v>178.56</v>
      </c>
      <c r="T932" s="2">
        <v>34320</v>
      </c>
      <c r="U932" s="2">
        <v>240</v>
      </c>
      <c r="V932">
        <v>194.68</v>
      </c>
      <c r="W932">
        <v>0</v>
      </c>
      <c r="X932">
        <v>0</v>
      </c>
      <c r="Y932">
        <v>0</v>
      </c>
      <c r="Z932">
        <v>3</v>
      </c>
      <c r="AA932">
        <v>1.540990343127183E-2</v>
      </c>
      <c r="AB932">
        <v>26.4</v>
      </c>
      <c r="AC932">
        <v>11.513333333333334</v>
      </c>
      <c r="AD932">
        <v>28.4</v>
      </c>
      <c r="AE932" s="7"/>
      <c r="AF932" s="7"/>
      <c r="AG932" s="7"/>
      <c r="AH932" s="7"/>
      <c r="AI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932" s="7"/>
      <c r="AK932" t="s">
        <v>578</v>
      </c>
      <c r="AN932">
        <f>IFERROR(INT(Table13[[#This Row],[reject_prod]]/Table13[[#This Row],[part_weight]] * 1000), 0)</f>
        <v>96</v>
      </c>
    </row>
    <row r="933" spans="1:40" hidden="1">
      <c r="A933" s="1">
        <v>46051</v>
      </c>
      <c r="B933">
        <v>1</v>
      </c>
      <c r="C933">
        <v>5</v>
      </c>
      <c r="D933" t="s">
        <v>552</v>
      </c>
      <c r="E933" t="s">
        <v>34</v>
      </c>
      <c r="F933">
        <v>322389</v>
      </c>
      <c r="G933" s="6">
        <v>0</v>
      </c>
      <c r="H933" t="s">
        <v>542</v>
      </c>
      <c r="I933">
        <v>10684749</v>
      </c>
      <c r="J933">
        <v>4</v>
      </c>
      <c r="K933">
        <v>12.5</v>
      </c>
      <c r="L933">
        <v>12.5</v>
      </c>
      <c r="M933">
        <v>1960</v>
      </c>
      <c r="N933" s="2">
        <v>46800</v>
      </c>
      <c r="O933" s="2">
        <v>6240</v>
      </c>
      <c r="P933" s="2">
        <v>4680</v>
      </c>
      <c r="Q933" s="2">
        <v>7840</v>
      </c>
      <c r="R933" s="2">
        <v>9360</v>
      </c>
      <c r="S933">
        <v>117</v>
      </c>
      <c r="T933" s="2">
        <v>32760</v>
      </c>
      <c r="U933" s="2">
        <v>14040</v>
      </c>
      <c r="V933">
        <v>98</v>
      </c>
      <c r="W933">
        <v>0</v>
      </c>
      <c r="X933">
        <v>0</v>
      </c>
      <c r="Y933">
        <v>0</v>
      </c>
      <c r="Z933">
        <v>2</v>
      </c>
      <c r="AA933">
        <v>2.0408163265306121E-2</v>
      </c>
      <c r="AB933">
        <v>20.399999999999999</v>
      </c>
      <c r="AC933">
        <v>11.106666666666666</v>
      </c>
      <c r="AD933">
        <v>18.64</v>
      </c>
      <c r="AE933" s="7"/>
      <c r="AF933" s="7"/>
      <c r="AG933" s="7"/>
      <c r="AH933" s="7"/>
      <c r="AI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0.89333333333333442</v>
      </c>
      <c r="AJ933" s="7"/>
      <c r="AK933" t="s">
        <v>461</v>
      </c>
      <c r="AL933">
        <v>3</v>
      </c>
      <c r="AM933">
        <v>2</v>
      </c>
      <c r="AN933">
        <f>IFERROR(INT(Table13[[#This Row],[reject_prod]]/Table13[[#This Row],[part_weight]] * 1000), 0)</f>
        <v>160</v>
      </c>
    </row>
    <row r="934" spans="1:40" hidden="1">
      <c r="A934" s="1">
        <v>46051</v>
      </c>
      <c r="B934">
        <v>1</v>
      </c>
      <c r="C934">
        <v>6</v>
      </c>
      <c r="D934" t="s">
        <v>535</v>
      </c>
      <c r="E934" t="s">
        <v>34</v>
      </c>
      <c r="F934">
        <v>324174</v>
      </c>
      <c r="G934" s="6">
        <v>0</v>
      </c>
      <c r="H934" t="s">
        <v>558</v>
      </c>
      <c r="I934">
        <v>10683856</v>
      </c>
      <c r="J934">
        <v>4</v>
      </c>
      <c r="K934">
        <v>24</v>
      </c>
      <c r="L934">
        <v>24</v>
      </c>
      <c r="M934">
        <v>1990</v>
      </c>
      <c r="N934" s="2">
        <v>40600</v>
      </c>
      <c r="O934" s="2">
        <v>812</v>
      </c>
      <c r="P934" s="2">
        <v>1624</v>
      </c>
      <c r="Q934" s="2">
        <v>7960</v>
      </c>
      <c r="R934" s="2">
        <v>7105</v>
      </c>
      <c r="S934">
        <v>170.52</v>
      </c>
      <c r="T934" s="2">
        <v>19894</v>
      </c>
      <c r="U934" s="2">
        <v>20706</v>
      </c>
      <c r="V934">
        <v>191.04</v>
      </c>
      <c r="W934">
        <v>0</v>
      </c>
      <c r="X934">
        <v>0</v>
      </c>
      <c r="Y934">
        <v>0</v>
      </c>
      <c r="Z934">
        <v>1</v>
      </c>
      <c r="AA934">
        <v>5.2345058626465666E-3</v>
      </c>
      <c r="AB934">
        <v>21.33</v>
      </c>
      <c r="AC934">
        <v>11.790749999999999</v>
      </c>
      <c r="AD934">
        <v>20.12</v>
      </c>
      <c r="AE934" s="7"/>
      <c r="AF934" s="7"/>
      <c r="AG934" s="7"/>
      <c r="AH934" s="7"/>
      <c r="AI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0.20925000000000082</v>
      </c>
      <c r="AJ934" s="7"/>
      <c r="AK934" t="s">
        <v>103</v>
      </c>
      <c r="AL934">
        <v>3</v>
      </c>
      <c r="AM934">
        <v>3</v>
      </c>
      <c r="AN934">
        <f>IFERROR(INT(Table13[[#This Row],[reject_prod]]/Table13[[#This Row],[part_weight]] * 1000), 0)</f>
        <v>41</v>
      </c>
    </row>
    <row r="935" spans="1:40" hidden="1">
      <c r="A935" s="1">
        <v>46051</v>
      </c>
      <c r="B935">
        <v>1</v>
      </c>
      <c r="C935">
        <v>7</v>
      </c>
      <c r="D935" t="s">
        <v>54</v>
      </c>
      <c r="E935" t="s">
        <v>34</v>
      </c>
      <c r="F935">
        <v>322471</v>
      </c>
      <c r="G935" s="6">
        <v>0</v>
      </c>
      <c r="H935" t="s">
        <v>520</v>
      </c>
      <c r="I935">
        <v>10684032</v>
      </c>
      <c r="J935">
        <v>4</v>
      </c>
      <c r="K935">
        <v>34.5</v>
      </c>
      <c r="L935">
        <v>34.5</v>
      </c>
      <c r="M935">
        <v>1580</v>
      </c>
      <c r="N935" s="2">
        <v>44352</v>
      </c>
      <c r="O935" s="2">
        <v>660</v>
      </c>
      <c r="P935" s="2">
        <v>396</v>
      </c>
      <c r="Q935" s="2">
        <v>6320</v>
      </c>
      <c r="R935" s="2">
        <v>6468</v>
      </c>
      <c r="S935">
        <v>223.14599999999999</v>
      </c>
      <c r="T935" s="2">
        <v>39204</v>
      </c>
      <c r="U935" s="2">
        <v>5148</v>
      </c>
      <c r="V935">
        <v>218.04</v>
      </c>
      <c r="W935">
        <v>0</v>
      </c>
      <c r="X935">
        <v>0</v>
      </c>
      <c r="Y935">
        <v>0</v>
      </c>
      <c r="Z935">
        <v>15.2</v>
      </c>
      <c r="AA935">
        <v>6.9711979453311312E-2</v>
      </c>
      <c r="AB935">
        <v>24.3</v>
      </c>
      <c r="AC935">
        <v>10.664999999999999</v>
      </c>
      <c r="AD935">
        <v>16.2</v>
      </c>
      <c r="AE935" s="7"/>
      <c r="AF935" s="7"/>
      <c r="AG935" s="7"/>
      <c r="AH935" s="7"/>
      <c r="AI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1.3350000000000009</v>
      </c>
      <c r="AJ935" s="7"/>
      <c r="AK935" t="s">
        <v>579</v>
      </c>
      <c r="AL935">
        <v>3</v>
      </c>
      <c r="AM935">
        <v>4</v>
      </c>
      <c r="AN935">
        <f>IFERROR(INT(Table13[[#This Row],[reject_prod]]/Table13[[#This Row],[part_weight]] * 1000), 0)</f>
        <v>440</v>
      </c>
    </row>
    <row r="936" spans="1:40" hidden="1">
      <c r="A936" s="1">
        <v>46051</v>
      </c>
      <c r="B936">
        <v>1</v>
      </c>
      <c r="C936">
        <v>8</v>
      </c>
      <c r="D936" t="s">
        <v>289</v>
      </c>
      <c r="E936" t="s">
        <v>41</v>
      </c>
      <c r="F936">
        <v>593537</v>
      </c>
      <c r="G936" s="6">
        <v>0</v>
      </c>
      <c r="H936" t="s">
        <v>48</v>
      </c>
      <c r="I936">
        <v>10685337</v>
      </c>
      <c r="J936">
        <v>4</v>
      </c>
      <c r="K936">
        <v>56.5</v>
      </c>
      <c r="L936">
        <v>56.8</v>
      </c>
      <c r="M936">
        <v>1351</v>
      </c>
      <c r="N936" s="2">
        <v>69000</v>
      </c>
      <c r="O936" s="2">
        <v>460</v>
      </c>
      <c r="P936" s="2">
        <v>115</v>
      </c>
      <c r="Q936" s="2">
        <v>5404</v>
      </c>
      <c r="R936" s="2">
        <v>5750</v>
      </c>
      <c r="S936">
        <v>326.60000000000002</v>
      </c>
      <c r="T936" s="2">
        <v>40365</v>
      </c>
      <c r="U936" s="2">
        <v>28635</v>
      </c>
      <c r="V936">
        <v>306.94720000000001</v>
      </c>
      <c r="W936">
        <v>-1.6211999999999847</v>
      </c>
      <c r="X936">
        <v>0</v>
      </c>
      <c r="Y936">
        <v>0</v>
      </c>
      <c r="Z936">
        <v>3</v>
      </c>
      <c r="AA936">
        <v>9.7736679142210771E-3</v>
      </c>
      <c r="AB936">
        <v>29.4</v>
      </c>
      <c r="AC936">
        <v>11</v>
      </c>
      <c r="AD936">
        <v>28.5</v>
      </c>
      <c r="AE936" s="7"/>
      <c r="AF936" s="7"/>
      <c r="AG936" s="7"/>
      <c r="AH936" s="7">
        <v>1</v>
      </c>
      <c r="AI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36" s="7"/>
      <c r="AK936" t="s">
        <v>580</v>
      </c>
      <c r="AM936">
        <v>2</v>
      </c>
      <c r="AN936">
        <f>IFERROR(INT(Table13[[#This Row],[reject_prod]]/Table13[[#This Row],[part_weight]] * 1000), 0)</f>
        <v>52</v>
      </c>
    </row>
    <row r="937" spans="1:40" hidden="1">
      <c r="A937" s="1">
        <v>46051</v>
      </c>
      <c r="B937">
        <v>1</v>
      </c>
      <c r="C937">
        <v>9</v>
      </c>
      <c r="D937" t="s">
        <v>33</v>
      </c>
      <c r="E937" t="s">
        <v>46</v>
      </c>
      <c r="F937">
        <v>586276</v>
      </c>
      <c r="G937" s="6">
        <v>0</v>
      </c>
      <c r="H937" t="s">
        <v>47</v>
      </c>
      <c r="I937" t="s">
        <v>437</v>
      </c>
      <c r="J937">
        <v>6</v>
      </c>
      <c r="K937">
        <v>12.3</v>
      </c>
      <c r="L937">
        <v>12.3</v>
      </c>
      <c r="M937">
        <v>0</v>
      </c>
      <c r="N937" s="2">
        <v>2025</v>
      </c>
      <c r="O937" s="2">
        <v>0</v>
      </c>
      <c r="P937" s="2">
        <v>0</v>
      </c>
      <c r="Q937" s="2">
        <v>0</v>
      </c>
      <c r="R937" s="2">
        <v>2025</v>
      </c>
      <c r="S937">
        <v>24.907499999999999</v>
      </c>
      <c r="T937" s="2">
        <v>2025</v>
      </c>
      <c r="U937" s="2">
        <v>0</v>
      </c>
      <c r="V937">
        <v>0</v>
      </c>
      <c r="W937">
        <v>0</v>
      </c>
      <c r="X937">
        <v>0</v>
      </c>
      <c r="Y937" t="e">
        <v>#DIV/0!</v>
      </c>
      <c r="Z937">
        <v>0</v>
      </c>
      <c r="AA937" t="e">
        <v>#DIV/0!</v>
      </c>
      <c r="AB937">
        <v>26</v>
      </c>
      <c r="AC937">
        <v>0</v>
      </c>
      <c r="AD937">
        <v>26</v>
      </c>
      <c r="AE937" s="7"/>
      <c r="AF937" s="7"/>
      <c r="AG937" s="7"/>
      <c r="AH937" s="7"/>
      <c r="AI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37" s="7"/>
      <c r="AK937" t="s">
        <v>581</v>
      </c>
      <c r="AN937">
        <f>IFERROR(INT(Table13[[#This Row],[reject_prod]]/Table13[[#This Row],[part_weight]] * 1000), 0)</f>
        <v>0</v>
      </c>
    </row>
    <row r="938" spans="1:40" hidden="1">
      <c r="A938" s="1">
        <v>46051</v>
      </c>
      <c r="B938">
        <v>1</v>
      </c>
      <c r="C938">
        <v>9</v>
      </c>
      <c r="D938" t="s">
        <v>59</v>
      </c>
      <c r="E938" t="s">
        <v>46</v>
      </c>
      <c r="F938">
        <v>586276</v>
      </c>
      <c r="G938" s="6">
        <v>0</v>
      </c>
      <c r="H938" t="s">
        <v>47</v>
      </c>
      <c r="I938">
        <v>10682924</v>
      </c>
      <c r="J938">
        <v>6</v>
      </c>
      <c r="K938">
        <v>12.3</v>
      </c>
      <c r="L938">
        <v>12.3</v>
      </c>
      <c r="M938">
        <v>730</v>
      </c>
      <c r="N938" s="2">
        <v>162000</v>
      </c>
      <c r="O938" s="2">
        <v>7290</v>
      </c>
      <c r="P938" s="2">
        <v>3645</v>
      </c>
      <c r="Q938" s="2">
        <v>4380</v>
      </c>
      <c r="R938" s="2">
        <v>8100</v>
      </c>
      <c r="S938">
        <v>99.63</v>
      </c>
      <c r="T938" s="2">
        <v>84645</v>
      </c>
      <c r="U938" s="2">
        <v>77355</v>
      </c>
      <c r="V938">
        <v>53.874000000000002</v>
      </c>
      <c r="W938">
        <v>0</v>
      </c>
      <c r="X938">
        <v>5</v>
      </c>
      <c r="Y938">
        <v>9.2809147269554887E-2</v>
      </c>
      <c r="Z938">
        <v>0</v>
      </c>
      <c r="AA938">
        <v>0</v>
      </c>
      <c r="AB938">
        <v>25.6</v>
      </c>
      <c r="AC938">
        <v>5.1911111111111117</v>
      </c>
      <c r="AD938">
        <v>26</v>
      </c>
      <c r="AE938" s="7"/>
      <c r="AF938" s="7"/>
      <c r="AG938" s="7"/>
      <c r="AH938" s="7"/>
      <c r="AI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6.8088888888888883</v>
      </c>
      <c r="AJ938" s="7"/>
      <c r="AK938" t="s">
        <v>582</v>
      </c>
      <c r="AL938">
        <v>4</v>
      </c>
      <c r="AM938">
        <v>4</v>
      </c>
      <c r="AN938">
        <f>IFERROR(INT(Table13[[#This Row],[reject_prod]]/Table13[[#This Row],[part_weight]] * 1000), 0)</f>
        <v>0</v>
      </c>
    </row>
    <row r="939" spans="1:40" hidden="1">
      <c r="A939" s="1">
        <v>46051</v>
      </c>
      <c r="B939">
        <v>1</v>
      </c>
      <c r="C939">
        <v>10</v>
      </c>
      <c r="D939" t="s">
        <v>53</v>
      </c>
      <c r="E939" t="s">
        <v>34</v>
      </c>
      <c r="F939">
        <v>323133</v>
      </c>
      <c r="G939" s="6">
        <v>0</v>
      </c>
      <c r="H939" t="s">
        <v>568</v>
      </c>
      <c r="I939">
        <v>10684859</v>
      </c>
      <c r="J939">
        <v>4</v>
      </c>
      <c r="K939">
        <v>77</v>
      </c>
      <c r="L939">
        <v>77</v>
      </c>
      <c r="M939">
        <v>1060</v>
      </c>
      <c r="N939" s="2">
        <v>19872</v>
      </c>
      <c r="O939" s="2">
        <v>0</v>
      </c>
      <c r="P939" s="2">
        <v>69</v>
      </c>
      <c r="Q939" s="2">
        <v>4240</v>
      </c>
      <c r="R939" s="2">
        <v>4140</v>
      </c>
      <c r="S939">
        <v>318.77999999999997</v>
      </c>
      <c r="T939" s="2">
        <v>6348</v>
      </c>
      <c r="U939" s="2">
        <v>13524</v>
      </c>
      <c r="V939">
        <v>326.48</v>
      </c>
      <c r="W939">
        <v>0</v>
      </c>
      <c r="X939">
        <v>0</v>
      </c>
      <c r="Y939">
        <v>0</v>
      </c>
      <c r="Z939">
        <v>4.5</v>
      </c>
      <c r="AA939">
        <v>1.3783386424895858E-2</v>
      </c>
      <c r="AB939">
        <v>37.299999999999997</v>
      </c>
      <c r="AC939">
        <v>10.982777777777777</v>
      </c>
      <c r="AD939">
        <v>35</v>
      </c>
      <c r="AE939" s="7"/>
      <c r="AF939" s="7"/>
      <c r="AG939" s="7"/>
      <c r="AH939" s="7">
        <v>1</v>
      </c>
      <c r="AI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1.7222222222223138E-2</v>
      </c>
      <c r="AJ939" s="7"/>
      <c r="AK939" t="s">
        <v>580</v>
      </c>
      <c r="AL939">
        <v>4</v>
      </c>
      <c r="AM939">
        <v>7</v>
      </c>
      <c r="AN939">
        <f>IFERROR(INT(Table13[[#This Row],[reject_prod]]/Table13[[#This Row],[part_weight]] * 1000), 0)</f>
        <v>58</v>
      </c>
    </row>
    <row r="940" spans="1:40" hidden="1">
      <c r="A940" s="1">
        <v>46051</v>
      </c>
      <c r="B940">
        <v>1</v>
      </c>
      <c r="C940">
        <v>11</v>
      </c>
      <c r="D940" t="s">
        <v>139</v>
      </c>
      <c r="E940" t="s">
        <v>46</v>
      </c>
      <c r="F940">
        <v>552181</v>
      </c>
      <c r="G940" s="6">
        <v>1</v>
      </c>
      <c r="H940" t="s">
        <v>49</v>
      </c>
      <c r="I940">
        <v>10685338</v>
      </c>
      <c r="J940">
        <v>6</v>
      </c>
      <c r="K940">
        <v>18.8</v>
      </c>
      <c r="L940">
        <v>18.8</v>
      </c>
      <c r="M940">
        <v>1460</v>
      </c>
      <c r="N940" s="2">
        <v>108000</v>
      </c>
      <c r="O940" s="2">
        <v>3510</v>
      </c>
      <c r="P940" s="2">
        <v>1350</v>
      </c>
      <c r="Q940" s="2">
        <v>8760</v>
      </c>
      <c r="R940" s="2">
        <v>10800</v>
      </c>
      <c r="S940">
        <v>203.04</v>
      </c>
      <c r="T940" s="2">
        <v>33750</v>
      </c>
      <c r="U940" s="2">
        <v>74250</v>
      </c>
      <c r="V940">
        <v>164.68799999999999</v>
      </c>
      <c r="W940">
        <v>0</v>
      </c>
      <c r="X940">
        <v>0</v>
      </c>
      <c r="Y940">
        <v>0</v>
      </c>
      <c r="Z940">
        <v>1.5</v>
      </c>
      <c r="AA940">
        <v>9.1081317400174885E-3</v>
      </c>
      <c r="AB940">
        <v>28.7</v>
      </c>
      <c r="AC940">
        <v>11.639444444444445</v>
      </c>
      <c r="AD940">
        <v>27</v>
      </c>
      <c r="AE940" s="7"/>
      <c r="AF940" s="7"/>
      <c r="AG940" s="7"/>
      <c r="AH940" s="7"/>
      <c r="AI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0.36055555555555507</v>
      </c>
      <c r="AJ940" s="7"/>
      <c r="AK940" t="s">
        <v>51</v>
      </c>
      <c r="AN940">
        <f>IFERROR(INT(Table13[[#This Row],[reject_prod]]/Table13[[#This Row],[part_weight]] * 1000), 0)</f>
        <v>79</v>
      </c>
    </row>
    <row r="941" spans="1:40" hidden="1">
      <c r="A941" s="1">
        <v>46051</v>
      </c>
      <c r="B941">
        <v>1</v>
      </c>
      <c r="C941">
        <v>12</v>
      </c>
      <c r="D941" t="s">
        <v>84</v>
      </c>
      <c r="E941" t="s">
        <v>34</v>
      </c>
      <c r="F941">
        <v>620599</v>
      </c>
      <c r="G941" s="6">
        <v>0</v>
      </c>
      <c r="H941" t="s">
        <v>50</v>
      </c>
      <c r="I941">
        <v>10685340</v>
      </c>
      <c r="J941">
        <v>4</v>
      </c>
      <c r="K941">
        <v>55</v>
      </c>
      <c r="L941">
        <v>55</v>
      </c>
      <c r="M941">
        <v>1485</v>
      </c>
      <c r="N941" s="2">
        <v>72000</v>
      </c>
      <c r="O941" s="2">
        <v>1125</v>
      </c>
      <c r="P941" s="2">
        <v>1650</v>
      </c>
      <c r="Q941" s="2">
        <v>5940</v>
      </c>
      <c r="R941" s="2">
        <v>5400</v>
      </c>
      <c r="S941">
        <v>297</v>
      </c>
      <c r="T941" s="2">
        <v>10650</v>
      </c>
      <c r="U941" s="2">
        <v>61350</v>
      </c>
      <c r="V941">
        <v>326.7</v>
      </c>
      <c r="W941">
        <v>0</v>
      </c>
      <c r="X941">
        <v>0</v>
      </c>
      <c r="Y941">
        <v>0</v>
      </c>
      <c r="Z941">
        <v>7</v>
      </c>
      <c r="AA941">
        <v>2.1426385062748701E-2</v>
      </c>
      <c r="AB941">
        <v>28.8</v>
      </c>
      <c r="AC941">
        <v>11.88</v>
      </c>
      <c r="AD941">
        <v>28</v>
      </c>
      <c r="AE941" s="7"/>
      <c r="AF941" s="7"/>
      <c r="AG941" s="7"/>
      <c r="AH941" s="7"/>
      <c r="AI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0.11999999999999922</v>
      </c>
      <c r="AJ941" s="7"/>
      <c r="AK941" t="s">
        <v>583</v>
      </c>
      <c r="AN941">
        <f>IFERROR(INT(Table13[[#This Row],[reject_prod]]/Table13[[#This Row],[part_weight]] * 1000), 0)</f>
        <v>127</v>
      </c>
    </row>
    <row r="942" spans="1:40" hidden="1">
      <c r="A942" s="1">
        <v>46051</v>
      </c>
      <c r="B942">
        <v>1</v>
      </c>
      <c r="C942">
        <v>13</v>
      </c>
      <c r="D942" t="s">
        <v>139</v>
      </c>
      <c r="E942" t="s">
        <v>46</v>
      </c>
      <c r="F942">
        <v>586276</v>
      </c>
      <c r="G942" s="6">
        <v>0</v>
      </c>
      <c r="H942" t="s">
        <v>47</v>
      </c>
      <c r="I942">
        <v>10684862</v>
      </c>
      <c r="J942">
        <v>6</v>
      </c>
      <c r="K942">
        <v>12.3</v>
      </c>
      <c r="L942">
        <v>12.3</v>
      </c>
      <c r="M942">
        <v>1630</v>
      </c>
      <c r="N942" s="2">
        <v>162000</v>
      </c>
      <c r="O942" s="2">
        <v>1620</v>
      </c>
      <c r="P942" s="2">
        <v>3240</v>
      </c>
      <c r="Q942" s="2">
        <v>9780</v>
      </c>
      <c r="R942" s="2">
        <v>8100</v>
      </c>
      <c r="S942">
        <v>99.63</v>
      </c>
      <c r="T942" s="2">
        <v>132840</v>
      </c>
      <c r="U942" s="2">
        <v>29160</v>
      </c>
      <c r="V942">
        <v>120.294</v>
      </c>
      <c r="W942">
        <v>0</v>
      </c>
      <c r="X942">
        <v>0</v>
      </c>
      <c r="Y942">
        <v>0</v>
      </c>
      <c r="Z942">
        <v>1</v>
      </c>
      <c r="AA942">
        <v>8.3129665652484745E-3</v>
      </c>
      <c r="AB942">
        <v>26.2</v>
      </c>
      <c r="AC942">
        <v>11.862777777777778</v>
      </c>
      <c r="AD942">
        <v>26</v>
      </c>
      <c r="AE942" s="7"/>
      <c r="AF942" s="7"/>
      <c r="AG942" s="7"/>
      <c r="AH942" s="7"/>
      <c r="AI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942" s="7"/>
      <c r="AK942" t="s">
        <v>51</v>
      </c>
      <c r="AN942">
        <f>IFERROR(INT(Table13[[#This Row],[reject_prod]]/Table13[[#This Row],[part_weight]] * 1000), 0)</f>
        <v>81</v>
      </c>
    </row>
    <row r="943" spans="1:40" hidden="1">
      <c r="A943" s="1">
        <v>46051</v>
      </c>
      <c r="B943">
        <v>1</v>
      </c>
      <c r="C943">
        <v>14</v>
      </c>
      <c r="D943" t="s">
        <v>33</v>
      </c>
      <c r="E943" t="s">
        <v>46</v>
      </c>
      <c r="F943">
        <v>555979</v>
      </c>
      <c r="G943" s="6">
        <v>1</v>
      </c>
      <c r="H943" t="s">
        <v>52</v>
      </c>
      <c r="I943">
        <v>10683785</v>
      </c>
      <c r="J943">
        <v>6</v>
      </c>
      <c r="K943">
        <v>28</v>
      </c>
      <c r="L943">
        <v>28</v>
      </c>
      <c r="M943">
        <v>0</v>
      </c>
      <c r="N943" s="2">
        <v>100800</v>
      </c>
      <c r="O943" s="2">
        <v>0</v>
      </c>
      <c r="P943" s="2">
        <v>0</v>
      </c>
      <c r="Q943" s="2">
        <v>0</v>
      </c>
      <c r="R943" s="2">
        <v>0</v>
      </c>
      <c r="S943">
        <v>0</v>
      </c>
      <c r="T943" s="2">
        <v>33600</v>
      </c>
      <c r="U943" s="2">
        <v>67200</v>
      </c>
      <c r="V943">
        <v>0</v>
      </c>
      <c r="W943">
        <v>0</v>
      </c>
      <c r="X943">
        <v>0</v>
      </c>
      <c r="Y943" t="e">
        <v>#DIV/0!</v>
      </c>
      <c r="Z943">
        <v>0</v>
      </c>
      <c r="AA943" t="e">
        <v>#DIV/0!</v>
      </c>
      <c r="AB943">
        <v>43.4</v>
      </c>
      <c r="AC943">
        <v>0</v>
      </c>
      <c r="AD943">
        <v>42</v>
      </c>
      <c r="AE943" s="7"/>
      <c r="AF943" s="7"/>
      <c r="AG943" s="7"/>
      <c r="AH943" s="7"/>
      <c r="AI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43" s="7"/>
      <c r="AK943" t="s">
        <v>584</v>
      </c>
      <c r="AL943">
        <v>2</v>
      </c>
      <c r="AM943">
        <v>2</v>
      </c>
      <c r="AN943">
        <f>IFERROR(INT(Table13[[#This Row],[reject_prod]]/Table13[[#This Row],[part_weight]] * 1000), 0)</f>
        <v>0</v>
      </c>
    </row>
    <row r="944" spans="1:40" hidden="1">
      <c r="A944" s="1">
        <v>46051</v>
      </c>
      <c r="B944">
        <v>1</v>
      </c>
      <c r="C944">
        <v>15</v>
      </c>
      <c r="D944" t="s">
        <v>139</v>
      </c>
      <c r="E944" t="s">
        <v>46</v>
      </c>
      <c r="F944">
        <v>552181</v>
      </c>
      <c r="G944" s="6">
        <v>2</v>
      </c>
      <c r="H944" t="s">
        <v>49</v>
      </c>
      <c r="I944">
        <v>10683787</v>
      </c>
      <c r="J944">
        <v>6</v>
      </c>
      <c r="K944">
        <v>18.8</v>
      </c>
      <c r="L944">
        <v>18.8</v>
      </c>
      <c r="M944">
        <v>110</v>
      </c>
      <c r="N944" s="2">
        <v>108000</v>
      </c>
      <c r="O944" s="2">
        <v>5130</v>
      </c>
      <c r="P944" s="2">
        <v>0</v>
      </c>
      <c r="Q944" s="2">
        <v>660</v>
      </c>
      <c r="R944" s="2">
        <v>5400</v>
      </c>
      <c r="S944">
        <v>101.52</v>
      </c>
      <c r="T944" s="2">
        <v>108000</v>
      </c>
      <c r="U944" s="2">
        <v>0</v>
      </c>
      <c r="V944">
        <v>12.407999999999999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31.3</v>
      </c>
      <c r="AC944">
        <v>0.95638888888888884</v>
      </c>
      <c r="AD944">
        <v>27</v>
      </c>
      <c r="AE944" s="7"/>
      <c r="AF944" s="7"/>
      <c r="AG944" s="7"/>
      <c r="AH944" s="7"/>
      <c r="AI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11.043611111111112</v>
      </c>
      <c r="AJ944" s="7"/>
      <c r="AK944" t="s">
        <v>102</v>
      </c>
      <c r="AN944">
        <f>IFERROR(INT(Table13[[#This Row],[reject_prod]]/Table13[[#This Row],[part_weight]] * 1000), 0)</f>
        <v>0</v>
      </c>
    </row>
    <row r="945" spans="1:40" hidden="1">
      <c r="A945" s="1">
        <v>46051</v>
      </c>
      <c r="B945">
        <v>1</v>
      </c>
      <c r="C945">
        <v>15</v>
      </c>
      <c r="D945" t="s">
        <v>139</v>
      </c>
      <c r="E945" t="s">
        <v>46</v>
      </c>
      <c r="F945">
        <v>552181</v>
      </c>
      <c r="G945" s="6">
        <v>2</v>
      </c>
      <c r="H945" t="s">
        <v>49</v>
      </c>
      <c r="I945">
        <v>10685541</v>
      </c>
      <c r="J945">
        <v>6</v>
      </c>
      <c r="K945">
        <v>18.8</v>
      </c>
      <c r="L945">
        <v>18.8</v>
      </c>
      <c r="M945">
        <v>1210</v>
      </c>
      <c r="N945" s="2">
        <v>108000</v>
      </c>
      <c r="O945" s="2">
        <v>0</v>
      </c>
      <c r="P945" s="2">
        <v>7020</v>
      </c>
      <c r="Q945" s="2">
        <v>7260</v>
      </c>
      <c r="R945" s="2">
        <v>0</v>
      </c>
      <c r="S945">
        <v>0</v>
      </c>
      <c r="T945" s="2">
        <v>7020</v>
      </c>
      <c r="U945" s="2">
        <v>100980</v>
      </c>
      <c r="V945">
        <v>136.488</v>
      </c>
      <c r="W945">
        <v>0</v>
      </c>
      <c r="X945">
        <v>0</v>
      </c>
      <c r="Y945">
        <v>0</v>
      </c>
      <c r="Z945">
        <v>3</v>
      </c>
      <c r="AA945">
        <v>2.1979954281695094E-2</v>
      </c>
      <c r="AB945">
        <v>31.3</v>
      </c>
      <c r="AC945">
        <v>10.520277777777777</v>
      </c>
      <c r="AD945">
        <v>27</v>
      </c>
      <c r="AE945" s="7"/>
      <c r="AF945" s="7"/>
      <c r="AG945" s="7"/>
      <c r="AH945" s="7"/>
      <c r="AI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1.4797222222222235</v>
      </c>
      <c r="AJ945" s="7"/>
      <c r="AK945" t="s">
        <v>585</v>
      </c>
      <c r="AN945">
        <f>IFERROR(INT(Table13[[#This Row],[reject_prod]]/Table13[[#This Row],[part_weight]] * 1000), 0)</f>
        <v>159</v>
      </c>
    </row>
    <row r="946" spans="1:40" s="4" customFormat="1" hidden="1">
      <c r="A946" s="3">
        <v>46051</v>
      </c>
      <c r="B946" s="4">
        <v>1</v>
      </c>
      <c r="C946" s="4">
        <v>16</v>
      </c>
      <c r="D946" s="4" t="s">
        <v>573</v>
      </c>
      <c r="E946" s="4" t="s">
        <v>46</v>
      </c>
      <c r="F946" s="4">
        <v>555979</v>
      </c>
      <c r="G946" s="9">
        <v>2</v>
      </c>
      <c r="H946" s="4" t="s">
        <v>52</v>
      </c>
      <c r="I946" s="4">
        <v>10684863</v>
      </c>
      <c r="J946" s="4">
        <v>6</v>
      </c>
      <c r="K946" s="4">
        <v>28</v>
      </c>
      <c r="L946" s="4">
        <v>28</v>
      </c>
      <c r="M946" s="4">
        <v>990</v>
      </c>
      <c r="N946" s="5">
        <v>100800</v>
      </c>
      <c r="O946" s="5">
        <v>2688</v>
      </c>
      <c r="P946" s="5">
        <v>1680</v>
      </c>
      <c r="Q946" s="5">
        <v>5940</v>
      </c>
      <c r="R946" s="5">
        <v>6720</v>
      </c>
      <c r="S946" s="4">
        <v>188.16</v>
      </c>
      <c r="T946" s="5">
        <v>65520</v>
      </c>
      <c r="U946" s="5">
        <v>35280</v>
      </c>
      <c r="V946" s="4">
        <v>166.32</v>
      </c>
      <c r="W946" s="4">
        <v>0</v>
      </c>
      <c r="X946" s="4">
        <v>0</v>
      </c>
      <c r="Y946" s="4">
        <v>0</v>
      </c>
      <c r="Z946" s="4">
        <v>1</v>
      </c>
      <c r="AA946" s="4">
        <v>6.0125060125060126E-3</v>
      </c>
      <c r="AB946" s="4">
        <v>43.4</v>
      </c>
      <c r="AC946" s="4">
        <v>11.935</v>
      </c>
      <c r="AD946" s="4">
        <v>42</v>
      </c>
      <c r="AE946" s="8"/>
      <c r="AF946" s="8"/>
      <c r="AG946" s="8"/>
      <c r="AH946" s="8"/>
      <c r="AI9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946" s="8"/>
      <c r="AK946" s="4" t="s">
        <v>51</v>
      </c>
      <c r="AM946" s="4">
        <v>5</v>
      </c>
      <c r="AN946">
        <f>IFERROR(INT(Table13[[#This Row],[reject_prod]]/Table13[[#This Row],[part_weight]] * 1000), 0)</f>
        <v>35</v>
      </c>
    </row>
    <row r="947" spans="1:40" hidden="1">
      <c r="A947" s="1">
        <v>46051</v>
      </c>
      <c r="B947">
        <v>2</v>
      </c>
      <c r="C947">
        <v>1</v>
      </c>
      <c r="D947" t="s">
        <v>112</v>
      </c>
      <c r="E947" t="s">
        <v>34</v>
      </c>
      <c r="F947">
        <v>577492</v>
      </c>
      <c r="G947" s="6">
        <v>0</v>
      </c>
      <c r="H947" t="s">
        <v>341</v>
      </c>
      <c r="I947">
        <v>10686027</v>
      </c>
      <c r="J947">
        <v>4</v>
      </c>
      <c r="K947">
        <v>35.6</v>
      </c>
      <c r="L947">
        <v>35.6</v>
      </c>
      <c r="M947">
        <v>1588</v>
      </c>
      <c r="N947" s="2">
        <v>20240</v>
      </c>
      <c r="O947" s="2">
        <v>100</v>
      </c>
      <c r="P947" s="2">
        <v>920</v>
      </c>
      <c r="Q947" s="2">
        <v>6352</v>
      </c>
      <c r="R947" s="2">
        <v>5520</v>
      </c>
      <c r="S947">
        <v>196.512</v>
      </c>
      <c r="T947" s="2">
        <v>19320</v>
      </c>
      <c r="U947" s="2">
        <v>920</v>
      </c>
      <c r="V947">
        <v>226.13120000000001</v>
      </c>
      <c r="W947">
        <v>0</v>
      </c>
      <c r="X947">
        <v>0</v>
      </c>
      <c r="Y947">
        <v>0</v>
      </c>
      <c r="Z947">
        <v>0.4</v>
      </c>
      <c r="AA947">
        <v>1.7688846121189823E-3</v>
      </c>
      <c r="AB947">
        <v>26.8</v>
      </c>
      <c r="AC947">
        <v>11.821777777777777</v>
      </c>
      <c r="AD947">
        <v>27</v>
      </c>
      <c r="AE947" s="7"/>
      <c r="AF947" s="7"/>
      <c r="AG947" s="7"/>
      <c r="AH947" s="7"/>
      <c r="AI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0.17822222222222273</v>
      </c>
      <c r="AJ947" s="7"/>
      <c r="AK947" t="s">
        <v>51</v>
      </c>
      <c r="AN947">
        <f>IFERROR(INT(Table13[[#This Row],[reject_prod]]/Table13[[#This Row],[part_weight]] * 1000), 0)</f>
        <v>11</v>
      </c>
    </row>
    <row r="948" spans="1:40" hidden="1">
      <c r="A948" s="1">
        <v>46051</v>
      </c>
      <c r="B948">
        <v>2</v>
      </c>
      <c r="C948">
        <v>2</v>
      </c>
      <c r="D948" t="s">
        <v>33</v>
      </c>
      <c r="E948" t="s">
        <v>34</v>
      </c>
      <c r="F948">
        <v>416201</v>
      </c>
      <c r="G948" s="6">
        <v>0</v>
      </c>
      <c r="H948" t="s">
        <v>36</v>
      </c>
      <c r="I948">
        <v>10681779</v>
      </c>
      <c r="J948">
        <v>4</v>
      </c>
      <c r="K948">
        <v>20</v>
      </c>
      <c r="L948">
        <v>30</v>
      </c>
      <c r="M948">
        <v>0</v>
      </c>
      <c r="N948" s="2">
        <v>50400</v>
      </c>
      <c r="O948" s="2">
        <v>2940</v>
      </c>
      <c r="P948" s="2">
        <v>2940</v>
      </c>
      <c r="Q948" s="2">
        <v>0</v>
      </c>
      <c r="R948" s="2">
        <v>0</v>
      </c>
      <c r="S948">
        <v>0</v>
      </c>
      <c r="T948" s="2">
        <v>12570</v>
      </c>
      <c r="U948" s="2">
        <v>37830</v>
      </c>
      <c r="V948">
        <v>0</v>
      </c>
      <c r="W948">
        <v>0</v>
      </c>
      <c r="X948">
        <v>26.1</v>
      </c>
      <c r="Y948" t="e">
        <v>#DIV/0!</v>
      </c>
      <c r="Z948">
        <v>0</v>
      </c>
      <c r="AA948" t="e">
        <v>#DIV/0!</v>
      </c>
      <c r="AB948">
        <v>38</v>
      </c>
      <c r="AC948">
        <v>0</v>
      </c>
      <c r="AD948">
        <v>38.64</v>
      </c>
      <c r="AE948" s="7"/>
      <c r="AF948" s="7"/>
      <c r="AG948" s="7"/>
      <c r="AH948" s="7"/>
      <c r="AI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48" s="7"/>
      <c r="AK948" t="s">
        <v>586</v>
      </c>
      <c r="AN948">
        <f>IFERROR(INT(Table13[[#This Row],[reject_prod]]/Table13[[#This Row],[part_weight]] * 1000), 0)</f>
        <v>0</v>
      </c>
    </row>
    <row r="949" spans="1:40" hidden="1">
      <c r="A949" s="1">
        <v>46051</v>
      </c>
      <c r="B949">
        <v>2</v>
      </c>
      <c r="C949">
        <v>3</v>
      </c>
      <c r="D949" t="s">
        <v>141</v>
      </c>
      <c r="E949" t="s">
        <v>34</v>
      </c>
      <c r="F949">
        <v>442034</v>
      </c>
      <c r="G949" s="6">
        <v>0</v>
      </c>
      <c r="H949" t="s">
        <v>37</v>
      </c>
      <c r="I949">
        <v>10681184</v>
      </c>
      <c r="J949">
        <v>4</v>
      </c>
      <c r="K949">
        <v>23</v>
      </c>
      <c r="L949">
        <v>23</v>
      </c>
      <c r="M949">
        <v>1547</v>
      </c>
      <c r="N949" s="2">
        <v>139776</v>
      </c>
      <c r="O949" s="2">
        <v>1152</v>
      </c>
      <c r="P949" s="2">
        <v>2688</v>
      </c>
      <c r="Q949" s="2">
        <v>6188</v>
      </c>
      <c r="R949" s="2">
        <v>4608</v>
      </c>
      <c r="S949">
        <v>105.98399999999999</v>
      </c>
      <c r="T949" s="2">
        <v>104064</v>
      </c>
      <c r="U949" s="2">
        <v>35712</v>
      </c>
      <c r="V949">
        <v>142.32400000000001</v>
      </c>
      <c r="W949">
        <v>0</v>
      </c>
      <c r="X949">
        <v>0</v>
      </c>
      <c r="Y949">
        <v>0</v>
      </c>
      <c r="Z949">
        <v>1</v>
      </c>
      <c r="AA949">
        <v>7.0262218599814498E-3</v>
      </c>
      <c r="AB949">
        <v>28.5</v>
      </c>
      <c r="AC949">
        <v>12</v>
      </c>
      <c r="AD949">
        <v>22</v>
      </c>
      <c r="AE949" s="7"/>
      <c r="AF949" s="7"/>
      <c r="AG949" s="7"/>
      <c r="AH949" s="7"/>
      <c r="AI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49" s="7"/>
      <c r="AK949" t="s">
        <v>103</v>
      </c>
      <c r="AN949">
        <f>IFERROR(INT(Table13[[#This Row],[reject_prod]]/Table13[[#This Row],[part_weight]] * 1000), 0)</f>
        <v>43</v>
      </c>
    </row>
    <row r="950" spans="1:40" hidden="1">
      <c r="A950" s="1">
        <v>46051</v>
      </c>
      <c r="B950">
        <v>2</v>
      </c>
      <c r="C950">
        <v>4</v>
      </c>
      <c r="D950" t="s">
        <v>33</v>
      </c>
      <c r="E950" t="s">
        <v>34</v>
      </c>
      <c r="F950">
        <v>369308</v>
      </c>
      <c r="G950" s="6">
        <v>0</v>
      </c>
      <c r="H950" t="s">
        <v>516</v>
      </c>
      <c r="I950">
        <v>10684853</v>
      </c>
      <c r="J950">
        <v>4</v>
      </c>
      <c r="K950">
        <v>31</v>
      </c>
      <c r="L950">
        <v>31</v>
      </c>
      <c r="M950">
        <v>64</v>
      </c>
      <c r="N950" s="2">
        <v>34560</v>
      </c>
      <c r="O950" s="2">
        <v>1200</v>
      </c>
      <c r="P950" s="2">
        <v>0</v>
      </c>
      <c r="Q950" s="2">
        <v>256</v>
      </c>
      <c r="R950" s="2">
        <v>1440</v>
      </c>
      <c r="S950">
        <v>44.64</v>
      </c>
      <c r="T950" s="2">
        <v>34560</v>
      </c>
      <c r="U950" s="2">
        <v>0</v>
      </c>
      <c r="V950">
        <v>7.9359999999999999</v>
      </c>
      <c r="W950">
        <v>0</v>
      </c>
      <c r="X950">
        <v>0</v>
      </c>
      <c r="Y950">
        <v>0</v>
      </c>
      <c r="Z950">
        <v>0.5</v>
      </c>
      <c r="AA950">
        <v>6.3004032258064516E-2</v>
      </c>
      <c r="AB950">
        <v>27.5</v>
      </c>
      <c r="AC950">
        <v>0.48888888888888887</v>
      </c>
      <c r="AD950">
        <v>28.4</v>
      </c>
      <c r="AE950" s="7"/>
      <c r="AF950" s="7"/>
      <c r="AG950" s="7"/>
      <c r="AH950" s="7"/>
      <c r="AI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11.511111111111111</v>
      </c>
      <c r="AJ950" s="7"/>
      <c r="AK950" t="s">
        <v>102</v>
      </c>
      <c r="AN950">
        <f>IFERROR(INT(Table13[[#This Row],[reject_prod]]/Table13[[#This Row],[part_weight]] * 1000), 0)</f>
        <v>16</v>
      </c>
    </row>
    <row r="951" spans="1:40" hidden="1">
      <c r="A951" s="1">
        <v>46051</v>
      </c>
      <c r="B951">
        <v>2</v>
      </c>
      <c r="C951">
        <v>4</v>
      </c>
      <c r="D951" t="s">
        <v>33</v>
      </c>
      <c r="E951" t="s">
        <v>34</v>
      </c>
      <c r="F951">
        <v>414439</v>
      </c>
      <c r="G951" s="6">
        <v>0</v>
      </c>
      <c r="H951" t="s">
        <v>587</v>
      </c>
      <c r="I951">
        <v>10684854</v>
      </c>
      <c r="J951">
        <v>6</v>
      </c>
      <c r="K951">
        <v>23</v>
      </c>
      <c r="L951">
        <v>15</v>
      </c>
      <c r="M951">
        <v>0</v>
      </c>
      <c r="N951" s="2">
        <v>59136</v>
      </c>
      <c r="O951" s="2">
        <v>0</v>
      </c>
      <c r="P951" s="2">
        <v>0</v>
      </c>
      <c r="Q951" s="2">
        <v>0</v>
      </c>
      <c r="R951" s="2">
        <v>0</v>
      </c>
      <c r="S951">
        <v>0</v>
      </c>
      <c r="T951" s="2">
        <v>0</v>
      </c>
      <c r="U951" s="2">
        <v>59136</v>
      </c>
      <c r="V951">
        <v>0</v>
      </c>
      <c r="W951">
        <v>0</v>
      </c>
      <c r="X951">
        <v>0</v>
      </c>
      <c r="Y951" t="e">
        <v>#DIV/0!</v>
      </c>
      <c r="Z951">
        <v>0</v>
      </c>
      <c r="AA951" t="e">
        <v>#DIV/0!</v>
      </c>
      <c r="AB951">
        <v>0</v>
      </c>
      <c r="AC951">
        <v>0</v>
      </c>
      <c r="AD951">
        <v>15</v>
      </c>
      <c r="AE951" s="7">
        <v>6</v>
      </c>
      <c r="AF951" s="7"/>
      <c r="AG951" s="7"/>
      <c r="AH951" s="7"/>
      <c r="AI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951" s="7"/>
      <c r="AK951" t="s">
        <v>588</v>
      </c>
      <c r="AN951">
        <f>IFERROR(INT(Table13[[#This Row],[reject_prod]]/Table13[[#This Row],[part_weight]] * 1000), 0)</f>
        <v>0</v>
      </c>
    </row>
    <row r="952" spans="1:40" hidden="1">
      <c r="A952" s="1">
        <v>46051</v>
      </c>
      <c r="B952">
        <v>2</v>
      </c>
      <c r="C952">
        <v>5</v>
      </c>
      <c r="D952" t="s">
        <v>574</v>
      </c>
      <c r="E952" t="s">
        <v>34</v>
      </c>
      <c r="F952">
        <v>322389</v>
      </c>
      <c r="G952" s="6">
        <v>0</v>
      </c>
      <c r="H952" t="s">
        <v>542</v>
      </c>
      <c r="I952">
        <v>10684749</v>
      </c>
      <c r="J952">
        <v>4</v>
      </c>
      <c r="K952">
        <v>12.5</v>
      </c>
      <c r="L952">
        <v>12.5</v>
      </c>
      <c r="M952">
        <v>2099</v>
      </c>
      <c r="N952" s="2">
        <v>46800</v>
      </c>
      <c r="O952" s="2">
        <v>4680</v>
      </c>
      <c r="P952" s="2">
        <v>3520</v>
      </c>
      <c r="Q952" s="2">
        <v>8396</v>
      </c>
      <c r="R952" s="2">
        <v>9360</v>
      </c>
      <c r="S952">
        <v>117</v>
      </c>
      <c r="T952" s="2">
        <v>40960</v>
      </c>
      <c r="U952" s="2">
        <v>5840</v>
      </c>
      <c r="V952">
        <v>104.95</v>
      </c>
      <c r="W952">
        <v>0</v>
      </c>
      <c r="X952">
        <v>0</v>
      </c>
      <c r="Y952">
        <v>0</v>
      </c>
      <c r="Z952">
        <v>2.6</v>
      </c>
      <c r="AA952">
        <v>2.4773701762744165E-2</v>
      </c>
      <c r="AB952">
        <v>20.3</v>
      </c>
      <c r="AC952">
        <v>11.83602777777778</v>
      </c>
      <c r="AD952">
        <v>18.64</v>
      </c>
      <c r="AE952" s="7"/>
      <c r="AF952" s="7"/>
      <c r="AG952" s="7"/>
      <c r="AH952" s="7"/>
      <c r="AI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0.16397222222222041</v>
      </c>
      <c r="AJ952" s="7"/>
      <c r="AK952" t="s">
        <v>214</v>
      </c>
      <c r="AN952">
        <f>IFERROR(INT(Table13[[#This Row],[reject_prod]]/Table13[[#This Row],[part_weight]] * 1000), 0)</f>
        <v>208</v>
      </c>
    </row>
    <row r="953" spans="1:40" hidden="1">
      <c r="A953" s="1">
        <v>46051</v>
      </c>
      <c r="B953">
        <v>2</v>
      </c>
      <c r="C953">
        <v>6</v>
      </c>
      <c r="D953" t="s">
        <v>575</v>
      </c>
      <c r="E953" t="s">
        <v>34</v>
      </c>
      <c r="F953">
        <v>324174</v>
      </c>
      <c r="G953" s="6">
        <v>0</v>
      </c>
      <c r="H953" t="s">
        <v>558</v>
      </c>
      <c r="I953">
        <v>10683856</v>
      </c>
      <c r="J953">
        <v>4</v>
      </c>
      <c r="K953">
        <v>24</v>
      </c>
      <c r="L953">
        <v>24</v>
      </c>
      <c r="M953">
        <v>1986</v>
      </c>
      <c r="N953" s="2">
        <v>40600</v>
      </c>
      <c r="O953" s="2">
        <v>1624</v>
      </c>
      <c r="P953" s="2">
        <v>1421</v>
      </c>
      <c r="Q953" s="2">
        <v>7944</v>
      </c>
      <c r="R953" s="2">
        <v>8120</v>
      </c>
      <c r="S953">
        <v>194.88</v>
      </c>
      <c r="T953" s="2">
        <v>27811</v>
      </c>
      <c r="U953" s="2">
        <v>12789</v>
      </c>
      <c r="V953">
        <v>190.65600000000001</v>
      </c>
      <c r="W953">
        <v>0</v>
      </c>
      <c r="X953">
        <v>0</v>
      </c>
      <c r="Y953">
        <v>0</v>
      </c>
      <c r="Z953">
        <v>0.5</v>
      </c>
      <c r="AA953">
        <v>2.6225243370258475E-3</v>
      </c>
      <c r="AB953">
        <v>21.5</v>
      </c>
      <c r="AC953">
        <v>11.860833333333334</v>
      </c>
      <c r="AD953">
        <v>20.12</v>
      </c>
      <c r="AE953" s="7"/>
      <c r="AF953" s="7"/>
      <c r="AG953" s="7"/>
      <c r="AH953" s="7"/>
      <c r="AI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0.13916666666666622</v>
      </c>
      <c r="AJ953" s="7"/>
      <c r="AK953" t="s">
        <v>214</v>
      </c>
      <c r="AN953">
        <f>IFERROR(INT(Table13[[#This Row],[reject_prod]]/Table13[[#This Row],[part_weight]] * 1000), 0)</f>
        <v>20</v>
      </c>
    </row>
    <row r="954" spans="1:40" hidden="1">
      <c r="A954" s="1">
        <v>46051</v>
      </c>
      <c r="B954">
        <v>2</v>
      </c>
      <c r="C954">
        <v>7</v>
      </c>
      <c r="D954" t="s">
        <v>143</v>
      </c>
      <c r="E954" t="s">
        <v>34</v>
      </c>
      <c r="F954">
        <v>322471</v>
      </c>
      <c r="G954" s="6">
        <v>0</v>
      </c>
      <c r="H954" t="s">
        <v>520</v>
      </c>
      <c r="I954">
        <v>10684032</v>
      </c>
      <c r="J954">
        <v>4</v>
      </c>
      <c r="K954">
        <v>34.5</v>
      </c>
      <c r="L954">
        <v>34.5</v>
      </c>
      <c r="M954">
        <v>1303</v>
      </c>
      <c r="N954" s="2">
        <v>44352</v>
      </c>
      <c r="O954" s="2">
        <v>396</v>
      </c>
      <c r="P954" s="2">
        <v>0</v>
      </c>
      <c r="Q954" s="2">
        <v>5212</v>
      </c>
      <c r="R954" s="2">
        <v>5544</v>
      </c>
      <c r="S954">
        <v>191.268</v>
      </c>
      <c r="T954" s="2">
        <v>44352</v>
      </c>
      <c r="U954" s="2">
        <v>0</v>
      </c>
      <c r="V954">
        <v>179.81399999999999</v>
      </c>
      <c r="W954">
        <v>0</v>
      </c>
      <c r="X954">
        <v>0</v>
      </c>
      <c r="Y954">
        <v>0</v>
      </c>
      <c r="Z954">
        <v>2.2000000000000002</v>
      </c>
      <c r="AA954">
        <v>1.2234864915968724E-2</v>
      </c>
      <c r="AB954">
        <v>23.3</v>
      </c>
      <c r="AC954">
        <v>8.4333055555555561</v>
      </c>
      <c r="AD954">
        <v>16.2</v>
      </c>
      <c r="AE954" s="7"/>
      <c r="AF954" s="7"/>
      <c r="AG954" s="7"/>
      <c r="AH954" s="7"/>
      <c r="AI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3.5666944444444439</v>
      </c>
      <c r="AJ954" s="7"/>
      <c r="AK954" t="s">
        <v>589</v>
      </c>
      <c r="AN954">
        <f>IFERROR(INT(Table13[[#This Row],[reject_prod]]/Table13[[#This Row],[part_weight]] * 1000), 0)</f>
        <v>63</v>
      </c>
    </row>
    <row r="955" spans="1:40" hidden="1">
      <c r="A955" s="1">
        <v>46051</v>
      </c>
      <c r="B955">
        <v>2</v>
      </c>
      <c r="C955">
        <v>7</v>
      </c>
      <c r="D955" t="s">
        <v>143</v>
      </c>
      <c r="E955" t="s">
        <v>34</v>
      </c>
      <c r="F955">
        <v>323072</v>
      </c>
      <c r="G955" s="6">
        <v>0</v>
      </c>
      <c r="H955" t="s">
        <v>590</v>
      </c>
      <c r="I955">
        <v>10684033</v>
      </c>
      <c r="J955">
        <v>4</v>
      </c>
      <c r="K955">
        <v>34.5</v>
      </c>
      <c r="L955">
        <v>34.5</v>
      </c>
      <c r="M955">
        <v>214</v>
      </c>
      <c r="N955" s="2">
        <v>24768</v>
      </c>
      <c r="O955" s="2">
        <v>0</v>
      </c>
      <c r="P955" s="2">
        <v>645</v>
      </c>
      <c r="Q955" s="2">
        <v>856</v>
      </c>
      <c r="R955" s="2">
        <v>0</v>
      </c>
      <c r="S955">
        <v>0</v>
      </c>
      <c r="T955" s="2">
        <v>645</v>
      </c>
      <c r="U955" s="2">
        <v>24123</v>
      </c>
      <c r="V955">
        <v>29.532</v>
      </c>
      <c r="W955">
        <v>0</v>
      </c>
      <c r="X955">
        <v>7.2</v>
      </c>
      <c r="Y955">
        <v>0.24380333197887039</v>
      </c>
      <c r="Z955">
        <v>0</v>
      </c>
      <c r="AA955">
        <v>0</v>
      </c>
      <c r="AB955">
        <v>23.3</v>
      </c>
      <c r="AC955">
        <v>1.3850555555555555</v>
      </c>
      <c r="AD955">
        <v>16.2</v>
      </c>
      <c r="AE955" s="7"/>
      <c r="AF955" s="7"/>
      <c r="AG955" s="7">
        <v>1</v>
      </c>
      <c r="AH955" s="7"/>
      <c r="AI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9.6149444444444452</v>
      </c>
      <c r="AJ955" s="7"/>
      <c r="AK955" t="s">
        <v>591</v>
      </c>
      <c r="AN955">
        <f>IFERROR(INT(Table13[[#This Row],[reject_prod]]/Table13[[#This Row],[part_weight]] * 1000), 0)</f>
        <v>0</v>
      </c>
    </row>
    <row r="956" spans="1:40" hidden="1">
      <c r="A956" s="1">
        <v>46051</v>
      </c>
      <c r="B956">
        <v>2</v>
      </c>
      <c r="C956">
        <v>8</v>
      </c>
      <c r="D956" t="s">
        <v>67</v>
      </c>
      <c r="E956" t="s">
        <v>41</v>
      </c>
      <c r="F956">
        <v>593537</v>
      </c>
      <c r="G956" s="6">
        <v>0</v>
      </c>
      <c r="H956" t="s">
        <v>48</v>
      </c>
      <c r="I956">
        <v>10685022</v>
      </c>
      <c r="J956">
        <v>4</v>
      </c>
      <c r="K956">
        <v>56.5</v>
      </c>
      <c r="L956">
        <v>56.8</v>
      </c>
      <c r="M956">
        <v>1443</v>
      </c>
      <c r="N956" s="2">
        <v>69000</v>
      </c>
      <c r="O956" s="2">
        <v>115</v>
      </c>
      <c r="P956" s="2">
        <v>115</v>
      </c>
      <c r="Q956" s="2">
        <v>5772</v>
      </c>
      <c r="R956" s="2">
        <v>5750</v>
      </c>
      <c r="S956">
        <v>326.60000000000002</v>
      </c>
      <c r="T956" s="2">
        <v>46115</v>
      </c>
      <c r="U956" s="2">
        <v>22885</v>
      </c>
      <c r="V956">
        <v>327.84959999999995</v>
      </c>
      <c r="W956">
        <v>0</v>
      </c>
      <c r="X956">
        <v>0</v>
      </c>
      <c r="Y956">
        <v>0</v>
      </c>
      <c r="Z956">
        <v>1</v>
      </c>
      <c r="AA956">
        <v>3.050179106517135E-3</v>
      </c>
      <c r="AB956">
        <v>29.4</v>
      </c>
      <c r="AC956">
        <v>11.7845</v>
      </c>
      <c r="AD956">
        <v>28.5</v>
      </c>
      <c r="AE956" s="7"/>
      <c r="AF956" s="7"/>
      <c r="AG956" s="7"/>
      <c r="AH956" s="7"/>
      <c r="AI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956" s="7"/>
      <c r="AK956" t="s">
        <v>51</v>
      </c>
      <c r="AN956">
        <f>IFERROR(INT(Table13[[#This Row],[reject_prod]]/Table13[[#This Row],[part_weight]] * 1000), 0)</f>
        <v>17</v>
      </c>
    </row>
    <row r="957" spans="1:40" hidden="1">
      <c r="A957" s="1">
        <v>46051</v>
      </c>
      <c r="B957">
        <v>2</v>
      </c>
      <c r="C957">
        <v>9</v>
      </c>
      <c r="D957" t="s">
        <v>305</v>
      </c>
      <c r="E957" t="s">
        <v>46</v>
      </c>
      <c r="F957">
        <v>586276</v>
      </c>
      <c r="G957" s="6">
        <v>0</v>
      </c>
      <c r="H957" t="s">
        <v>47</v>
      </c>
      <c r="I957">
        <v>10682924</v>
      </c>
      <c r="J957">
        <v>6</v>
      </c>
      <c r="K957">
        <v>12.3</v>
      </c>
      <c r="L957">
        <v>12.3</v>
      </c>
      <c r="M957">
        <v>1678</v>
      </c>
      <c r="N957" s="2">
        <v>162000</v>
      </c>
      <c r="O957" s="2">
        <v>3645</v>
      </c>
      <c r="P957" s="2">
        <v>4860</v>
      </c>
      <c r="Q957" s="2">
        <v>10068</v>
      </c>
      <c r="R957" s="2">
        <v>8100</v>
      </c>
      <c r="S957">
        <v>99.63</v>
      </c>
      <c r="T957" s="2">
        <v>98820</v>
      </c>
      <c r="U957" s="2">
        <v>63180</v>
      </c>
      <c r="V957">
        <v>123.83640000000001</v>
      </c>
      <c r="W957">
        <v>0</v>
      </c>
      <c r="X957">
        <v>0</v>
      </c>
      <c r="Y957">
        <v>0</v>
      </c>
      <c r="Z957">
        <v>9</v>
      </c>
      <c r="AA957">
        <v>7.2676531294514374E-2</v>
      </c>
      <c r="AB957">
        <v>25.6</v>
      </c>
      <c r="AC957">
        <v>11.932444444444444</v>
      </c>
      <c r="AD957">
        <v>26</v>
      </c>
      <c r="AE957" s="7"/>
      <c r="AF957" s="7"/>
      <c r="AG957" s="7"/>
      <c r="AH957" s="7"/>
      <c r="AI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6.7555555555555813E-2</v>
      </c>
      <c r="AJ957" s="7"/>
      <c r="AK957" t="s">
        <v>592</v>
      </c>
      <c r="AN957">
        <f>IFERROR(INT(Table13[[#This Row],[reject_prod]]/Table13[[#This Row],[part_weight]] * 1000), 0)</f>
        <v>731</v>
      </c>
    </row>
    <row r="958" spans="1:40" hidden="1">
      <c r="A958" s="1">
        <v>46051</v>
      </c>
      <c r="B958">
        <v>2</v>
      </c>
      <c r="C958">
        <v>10</v>
      </c>
      <c r="D958" t="s">
        <v>43</v>
      </c>
      <c r="E958" t="s">
        <v>34</v>
      </c>
      <c r="F958">
        <v>323133</v>
      </c>
      <c r="G958" s="6">
        <v>0</v>
      </c>
      <c r="H958" t="s">
        <v>568</v>
      </c>
      <c r="I958">
        <v>10684859</v>
      </c>
      <c r="J958">
        <v>4</v>
      </c>
      <c r="K958">
        <v>77</v>
      </c>
      <c r="L958">
        <v>77</v>
      </c>
      <c r="M958">
        <v>1066</v>
      </c>
      <c r="N958" s="2">
        <v>19872</v>
      </c>
      <c r="O958" s="2">
        <v>69</v>
      </c>
      <c r="P958" s="2">
        <v>138</v>
      </c>
      <c r="Q958" s="2">
        <v>4264</v>
      </c>
      <c r="R958" s="2">
        <v>4140</v>
      </c>
      <c r="S958">
        <v>318.77999999999997</v>
      </c>
      <c r="T958" s="2">
        <v>10626</v>
      </c>
      <c r="U958" s="2">
        <v>9246</v>
      </c>
      <c r="V958">
        <v>328.32799999999997</v>
      </c>
      <c r="W958">
        <v>0</v>
      </c>
      <c r="X958">
        <v>0</v>
      </c>
      <c r="Y958">
        <v>0</v>
      </c>
      <c r="Z958">
        <v>4</v>
      </c>
      <c r="AA958">
        <v>1.2182939012207307E-2</v>
      </c>
      <c r="AB958">
        <v>38.299999999999997</v>
      </c>
      <c r="AC958">
        <v>11.341055555555556</v>
      </c>
      <c r="AD958">
        <v>35</v>
      </c>
      <c r="AE958" s="7"/>
      <c r="AF958" s="7"/>
      <c r="AG958" s="7"/>
      <c r="AH958" s="7"/>
      <c r="AI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0.65894444444444389</v>
      </c>
      <c r="AJ958" s="7"/>
      <c r="AK958" t="s">
        <v>75</v>
      </c>
      <c r="AN958">
        <f>IFERROR(INT(Table13[[#This Row],[reject_prod]]/Table13[[#This Row],[part_weight]] * 1000), 0)</f>
        <v>51</v>
      </c>
    </row>
    <row r="959" spans="1:40" hidden="1">
      <c r="A959" s="1">
        <v>46051</v>
      </c>
      <c r="B959">
        <v>2</v>
      </c>
      <c r="C959">
        <v>11</v>
      </c>
      <c r="D959" t="s">
        <v>61</v>
      </c>
      <c r="E959" t="s">
        <v>46</v>
      </c>
      <c r="F959">
        <v>552181</v>
      </c>
      <c r="G959" s="6">
        <v>1</v>
      </c>
      <c r="H959" t="s">
        <v>49</v>
      </c>
      <c r="I959">
        <v>10685338</v>
      </c>
      <c r="J959">
        <v>6</v>
      </c>
      <c r="K959">
        <v>18.8</v>
      </c>
      <c r="L959">
        <v>18.8</v>
      </c>
      <c r="M959">
        <v>1501</v>
      </c>
      <c r="N959" s="2">
        <v>108000</v>
      </c>
      <c r="O959" s="2">
        <v>1350</v>
      </c>
      <c r="P959" s="2">
        <v>1350</v>
      </c>
      <c r="Q959" s="2">
        <v>9006</v>
      </c>
      <c r="R959" s="2">
        <v>10800</v>
      </c>
      <c r="S959">
        <v>203.04</v>
      </c>
      <c r="T959" s="2">
        <v>44550</v>
      </c>
      <c r="U959" s="2">
        <v>63450</v>
      </c>
      <c r="V959">
        <v>169.31280000000001</v>
      </c>
      <c r="W959">
        <v>0</v>
      </c>
      <c r="X959">
        <v>0</v>
      </c>
      <c r="Y959">
        <v>0</v>
      </c>
      <c r="Z959">
        <v>2.2999999999999998</v>
      </c>
      <c r="AA959">
        <v>1.3584324398391615E-2</v>
      </c>
      <c r="AB959">
        <v>28.7</v>
      </c>
      <c r="AC959">
        <v>11.966305555555556</v>
      </c>
      <c r="AD959">
        <v>27</v>
      </c>
      <c r="AE959" s="7"/>
      <c r="AF959" s="7"/>
      <c r="AG959" s="7"/>
      <c r="AH959" s="7"/>
      <c r="AI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3.3694444444444471E-2</v>
      </c>
      <c r="AJ959" s="7"/>
      <c r="AK959" t="s">
        <v>51</v>
      </c>
      <c r="AN959">
        <f>IFERROR(INT(Table13[[#This Row],[reject_prod]]/Table13[[#This Row],[part_weight]] * 1000), 0)</f>
        <v>122</v>
      </c>
    </row>
    <row r="960" spans="1:40" hidden="1">
      <c r="A960" s="1">
        <v>46051</v>
      </c>
      <c r="B960">
        <v>2</v>
      </c>
      <c r="C960">
        <v>12</v>
      </c>
      <c r="D960" t="s">
        <v>152</v>
      </c>
      <c r="E960" t="s">
        <v>34</v>
      </c>
      <c r="F960">
        <v>620599</v>
      </c>
      <c r="G960" s="6">
        <v>0</v>
      </c>
      <c r="H960" t="s">
        <v>50</v>
      </c>
      <c r="I960">
        <v>10685340</v>
      </c>
      <c r="J960">
        <v>4</v>
      </c>
      <c r="K960">
        <v>55</v>
      </c>
      <c r="L960">
        <v>55</v>
      </c>
      <c r="M960">
        <v>1471</v>
      </c>
      <c r="N960" s="2">
        <v>72000</v>
      </c>
      <c r="O960" s="2">
        <v>1650</v>
      </c>
      <c r="P960" s="2">
        <v>225</v>
      </c>
      <c r="Q960" s="2">
        <v>5884</v>
      </c>
      <c r="R960" s="2">
        <v>7200</v>
      </c>
      <c r="S960">
        <v>396</v>
      </c>
      <c r="T960" s="2">
        <v>16200</v>
      </c>
      <c r="U960" s="2">
        <v>55800</v>
      </c>
      <c r="V960">
        <v>323.62</v>
      </c>
      <c r="W960">
        <v>0</v>
      </c>
      <c r="X960">
        <v>0</v>
      </c>
      <c r="Y960">
        <v>0</v>
      </c>
      <c r="Z960">
        <v>5.9</v>
      </c>
      <c r="AA960">
        <v>1.8231258883876153E-2</v>
      </c>
      <c r="AB960">
        <v>28.8</v>
      </c>
      <c r="AC960">
        <v>11.768000000000001</v>
      </c>
      <c r="AD960">
        <v>28</v>
      </c>
      <c r="AE960" s="7"/>
      <c r="AF960" s="7"/>
      <c r="AG960" s="7"/>
      <c r="AH960" s="7"/>
      <c r="AI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0.23199999999999932</v>
      </c>
      <c r="AJ960" s="7"/>
      <c r="AK960" t="s">
        <v>237</v>
      </c>
      <c r="AN960">
        <f>IFERROR(INT(Table13[[#This Row],[reject_prod]]/Table13[[#This Row],[part_weight]] * 1000), 0)</f>
        <v>107</v>
      </c>
    </row>
    <row r="961" spans="1:40" hidden="1">
      <c r="A961" s="1">
        <v>46051</v>
      </c>
      <c r="B961">
        <v>2</v>
      </c>
      <c r="C961">
        <v>13</v>
      </c>
      <c r="D961" t="s">
        <v>61</v>
      </c>
      <c r="E961" t="s">
        <v>46</v>
      </c>
      <c r="F961">
        <v>586276</v>
      </c>
      <c r="G961" s="6">
        <v>0</v>
      </c>
      <c r="H961" t="s">
        <v>47</v>
      </c>
      <c r="I961">
        <v>10684862</v>
      </c>
      <c r="J961">
        <v>6</v>
      </c>
      <c r="K961">
        <v>12.3</v>
      </c>
      <c r="L961">
        <v>12.3</v>
      </c>
      <c r="M961">
        <v>1620</v>
      </c>
      <c r="N961" s="2">
        <v>162000</v>
      </c>
      <c r="O961" s="2">
        <v>3240</v>
      </c>
      <c r="P961" s="2">
        <v>4860</v>
      </c>
      <c r="Q961" s="2">
        <v>9720</v>
      </c>
      <c r="R961" s="2">
        <v>8100</v>
      </c>
      <c r="S961">
        <v>99.63</v>
      </c>
      <c r="T961" s="2">
        <v>137700</v>
      </c>
      <c r="U961" s="2">
        <v>24300</v>
      </c>
      <c r="V961">
        <v>119.556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26.2</v>
      </c>
      <c r="AC961">
        <v>11.790000000000001</v>
      </c>
      <c r="AD961">
        <v>26</v>
      </c>
      <c r="AE961" s="7"/>
      <c r="AF961" s="7"/>
      <c r="AG961" s="7"/>
      <c r="AH961" s="7"/>
      <c r="AI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961" s="7"/>
      <c r="AK961" t="s">
        <v>51</v>
      </c>
      <c r="AN961">
        <f>IFERROR(INT(Table13[[#This Row],[reject_prod]]/Table13[[#This Row],[part_weight]] * 1000), 0)</f>
        <v>0</v>
      </c>
    </row>
    <row r="962" spans="1:40" hidden="1">
      <c r="A962" s="1">
        <v>46051</v>
      </c>
      <c r="B962">
        <v>2</v>
      </c>
      <c r="C962">
        <v>14</v>
      </c>
      <c r="D962" t="s">
        <v>33</v>
      </c>
      <c r="E962" t="s">
        <v>46</v>
      </c>
      <c r="F962">
        <v>555979</v>
      </c>
      <c r="G962" s="6">
        <v>1</v>
      </c>
      <c r="H962" t="s">
        <v>52</v>
      </c>
      <c r="I962">
        <v>10683785</v>
      </c>
      <c r="J962">
        <v>6</v>
      </c>
      <c r="K962">
        <v>28</v>
      </c>
      <c r="L962">
        <v>28</v>
      </c>
      <c r="M962">
        <v>0</v>
      </c>
      <c r="N962" s="2">
        <v>100800</v>
      </c>
      <c r="O962" s="2">
        <v>0</v>
      </c>
      <c r="P962" s="2">
        <v>0</v>
      </c>
      <c r="Q962" s="2">
        <v>0</v>
      </c>
      <c r="R962" s="2">
        <v>0</v>
      </c>
      <c r="S962">
        <v>0</v>
      </c>
      <c r="T962" s="2">
        <v>0</v>
      </c>
      <c r="U962" s="2">
        <v>100800</v>
      </c>
      <c r="V962">
        <v>0</v>
      </c>
      <c r="W962">
        <v>0</v>
      </c>
      <c r="X962">
        <v>0</v>
      </c>
      <c r="Y962" t="e">
        <v>#DIV/0!</v>
      </c>
      <c r="Z962">
        <v>0</v>
      </c>
      <c r="AA962" t="e">
        <v>#DIV/0!</v>
      </c>
      <c r="AB962">
        <v>42</v>
      </c>
      <c r="AC962">
        <v>0</v>
      </c>
      <c r="AD962">
        <v>42</v>
      </c>
      <c r="AE962" s="7"/>
      <c r="AF962" s="7"/>
      <c r="AG962" s="7"/>
      <c r="AH962" s="7"/>
      <c r="AI9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62" s="7"/>
      <c r="AK962" t="s">
        <v>593</v>
      </c>
      <c r="AN962">
        <f>IFERROR(INT(Table13[[#This Row],[reject_prod]]/Table13[[#This Row],[part_weight]] * 1000), 0)</f>
        <v>0</v>
      </c>
    </row>
    <row r="963" spans="1:40" hidden="1">
      <c r="A963" s="1">
        <v>46051</v>
      </c>
      <c r="B963">
        <v>2</v>
      </c>
      <c r="C963">
        <v>15</v>
      </c>
      <c r="D963" t="s">
        <v>143</v>
      </c>
      <c r="E963" t="s">
        <v>46</v>
      </c>
      <c r="F963">
        <v>552181</v>
      </c>
      <c r="G963" s="6">
        <v>2</v>
      </c>
      <c r="H963" t="s">
        <v>49</v>
      </c>
      <c r="I963">
        <v>10685541</v>
      </c>
      <c r="J963">
        <v>6</v>
      </c>
      <c r="K963">
        <v>18.8</v>
      </c>
      <c r="L963">
        <v>18.8</v>
      </c>
      <c r="M963">
        <v>1362</v>
      </c>
      <c r="N963" s="2">
        <v>108000</v>
      </c>
      <c r="O963" s="2">
        <v>7020</v>
      </c>
      <c r="P963" s="2">
        <v>4860</v>
      </c>
      <c r="Q963" s="2">
        <v>8172</v>
      </c>
      <c r="R963" s="2">
        <v>10800</v>
      </c>
      <c r="S963">
        <v>203.04</v>
      </c>
      <c r="T963" s="2">
        <v>15660</v>
      </c>
      <c r="U963" s="2">
        <v>92340</v>
      </c>
      <c r="V963">
        <v>153.6336</v>
      </c>
      <c r="W963">
        <v>0</v>
      </c>
      <c r="X963">
        <v>0</v>
      </c>
      <c r="Y963">
        <v>0</v>
      </c>
      <c r="Z963">
        <v>0.5</v>
      </c>
      <c r="AA963">
        <v>3.2544964122431549E-3</v>
      </c>
      <c r="AB963">
        <v>30.8</v>
      </c>
      <c r="AC963">
        <v>11.652666666666667</v>
      </c>
      <c r="AD963">
        <v>27</v>
      </c>
      <c r="AE963" s="7"/>
      <c r="AF963" s="7"/>
      <c r="AG963" s="7"/>
      <c r="AH963" s="7"/>
      <c r="AI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0.34733333333333327</v>
      </c>
      <c r="AJ963" s="7"/>
      <c r="AK963" t="s">
        <v>594</v>
      </c>
      <c r="AN963">
        <f>IFERROR(INT(Table13[[#This Row],[reject_prod]]/Table13[[#This Row],[part_weight]] * 1000), 0)</f>
        <v>26</v>
      </c>
    </row>
    <row r="964" spans="1:40" s="4" customFormat="1" hidden="1">
      <c r="A964" s="3">
        <v>46051</v>
      </c>
      <c r="B964" s="4">
        <v>2</v>
      </c>
      <c r="C964" s="4">
        <v>16</v>
      </c>
      <c r="D964" s="4" t="s">
        <v>129</v>
      </c>
      <c r="E964" s="4" t="s">
        <v>46</v>
      </c>
      <c r="F964" s="4">
        <v>555979</v>
      </c>
      <c r="G964" s="9">
        <v>2</v>
      </c>
      <c r="H964" s="4" t="s">
        <v>52</v>
      </c>
      <c r="I964" s="4">
        <v>10684863</v>
      </c>
      <c r="J964" s="4">
        <v>6</v>
      </c>
      <c r="K964" s="4">
        <v>28</v>
      </c>
      <c r="L964" s="4">
        <v>28</v>
      </c>
      <c r="M964" s="4">
        <v>989</v>
      </c>
      <c r="N964" s="5">
        <v>100800</v>
      </c>
      <c r="O964" s="5">
        <v>1680</v>
      </c>
      <c r="P964" s="5">
        <v>840</v>
      </c>
      <c r="Q964" s="5">
        <v>5934</v>
      </c>
      <c r="R964" s="5">
        <v>6720</v>
      </c>
      <c r="S964" s="4">
        <v>188.16</v>
      </c>
      <c r="T964" s="5">
        <v>71400</v>
      </c>
      <c r="U964" s="5">
        <v>29400</v>
      </c>
      <c r="V964" s="4">
        <v>166.15199999999999</v>
      </c>
      <c r="W964" s="4">
        <v>0</v>
      </c>
      <c r="X964" s="4">
        <v>0</v>
      </c>
      <c r="Y964" s="4">
        <v>0</v>
      </c>
      <c r="Z964" s="4">
        <v>1.5</v>
      </c>
      <c r="AA964" s="4">
        <v>9.0278780875343058E-3</v>
      </c>
      <c r="AB964" s="4">
        <v>43.4</v>
      </c>
      <c r="AC964" s="4">
        <v>11.922944444444445</v>
      </c>
      <c r="AD964" s="4">
        <v>42</v>
      </c>
      <c r="AE964" s="8"/>
      <c r="AF964" s="8"/>
      <c r="AG964" s="8"/>
      <c r="AH964" s="8"/>
      <c r="AI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7.7055555555554989E-2</v>
      </c>
      <c r="AJ964" s="8"/>
      <c r="AK964" s="4" t="s">
        <v>51</v>
      </c>
      <c r="AN964">
        <f>IFERROR(INT(Table13[[#This Row],[reject_prod]]/Table13[[#This Row],[part_weight]] * 1000), 0)</f>
        <v>53</v>
      </c>
    </row>
    <row r="965" spans="1:40" hidden="1">
      <c r="A965" s="1">
        <v>46052</v>
      </c>
      <c r="B965">
        <v>1</v>
      </c>
      <c r="C965">
        <v>1</v>
      </c>
      <c r="D965" t="s">
        <v>33</v>
      </c>
      <c r="E965" t="s">
        <v>34</v>
      </c>
      <c r="F965">
        <v>577492</v>
      </c>
      <c r="G965" s="6">
        <v>0</v>
      </c>
      <c r="H965" t="s">
        <v>341</v>
      </c>
      <c r="I965">
        <v>10686027</v>
      </c>
      <c r="J965">
        <v>4</v>
      </c>
      <c r="K965">
        <v>35.6</v>
      </c>
      <c r="L965">
        <v>35.6</v>
      </c>
      <c r="M965">
        <v>230</v>
      </c>
      <c r="N965" s="2">
        <v>20240</v>
      </c>
      <c r="O965" s="2">
        <v>920</v>
      </c>
      <c r="P965" s="2">
        <v>0</v>
      </c>
      <c r="Q965" s="2">
        <v>920</v>
      </c>
      <c r="R965" s="2">
        <v>1840</v>
      </c>
      <c r="S965">
        <v>65.504000000000005</v>
      </c>
      <c r="T965" s="2">
        <v>20240</v>
      </c>
      <c r="U965" s="2">
        <v>0</v>
      </c>
      <c r="V965">
        <v>32.752000000000002</v>
      </c>
      <c r="W965">
        <v>0</v>
      </c>
      <c r="X965">
        <v>0</v>
      </c>
      <c r="Y965">
        <v>0</v>
      </c>
      <c r="Z965">
        <v>1</v>
      </c>
      <c r="AA965">
        <v>3.053248656570591E-2</v>
      </c>
      <c r="AB965">
        <v>26.8</v>
      </c>
      <c r="AC965">
        <v>1.7122222222222223</v>
      </c>
      <c r="AD965">
        <v>27</v>
      </c>
      <c r="AE965" s="7"/>
      <c r="AF965" s="7"/>
      <c r="AG965" s="7"/>
      <c r="AH965" s="7"/>
      <c r="AI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10.287777777777778</v>
      </c>
      <c r="AJ965" s="7"/>
      <c r="AK965" t="s">
        <v>457</v>
      </c>
      <c r="AN965">
        <f>IFERROR(INT(Table13[[#This Row],[reject_prod]]/Table13[[#This Row],[part_weight]] * 1000), 0)</f>
        <v>28</v>
      </c>
    </row>
    <row r="966" spans="1:40" hidden="1">
      <c r="A966" s="1">
        <v>46052</v>
      </c>
      <c r="B966">
        <v>1</v>
      </c>
      <c r="C966">
        <v>1</v>
      </c>
      <c r="D966" t="s">
        <v>54</v>
      </c>
      <c r="E966" t="s">
        <v>34</v>
      </c>
      <c r="F966">
        <v>347623</v>
      </c>
      <c r="G966" s="6">
        <v>0</v>
      </c>
      <c r="H966" t="s">
        <v>35</v>
      </c>
      <c r="I966">
        <v>10685631</v>
      </c>
      <c r="J966">
        <v>4</v>
      </c>
      <c r="K966">
        <v>35.6</v>
      </c>
      <c r="L966">
        <v>35.6</v>
      </c>
      <c r="M966">
        <v>300</v>
      </c>
      <c r="N966" s="2">
        <v>36800</v>
      </c>
      <c r="O966" s="2">
        <v>0</v>
      </c>
      <c r="P966" s="2">
        <v>1104</v>
      </c>
      <c r="Q966" s="2">
        <v>1200</v>
      </c>
      <c r="R966" s="2">
        <v>0</v>
      </c>
      <c r="S966">
        <v>0</v>
      </c>
      <c r="T966" s="2">
        <v>1104</v>
      </c>
      <c r="U966" s="2">
        <v>35696</v>
      </c>
      <c r="V966">
        <v>42.72</v>
      </c>
      <c r="W966">
        <v>0</v>
      </c>
      <c r="X966">
        <v>1</v>
      </c>
      <c r="Y966">
        <v>2.3408239700374533E-2</v>
      </c>
      <c r="Z966">
        <v>4</v>
      </c>
      <c r="AA966">
        <v>9.3632958801498134E-2</v>
      </c>
      <c r="AB966">
        <v>27.19</v>
      </c>
      <c r="AC966">
        <v>2.2658333333333336</v>
      </c>
      <c r="AD966">
        <v>27</v>
      </c>
      <c r="AE966" s="7"/>
      <c r="AF966" s="7"/>
      <c r="AG966" s="7"/>
      <c r="AH966" s="7"/>
      <c r="AI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5.7341666666666669</v>
      </c>
      <c r="AJ966" s="7">
        <v>4</v>
      </c>
      <c r="AK966" t="s">
        <v>601</v>
      </c>
      <c r="AL966">
        <v>8</v>
      </c>
      <c r="AM966">
        <v>6</v>
      </c>
      <c r="AN966">
        <f>IFERROR(INT(Table13[[#This Row],[reject_prod]]/Table13[[#This Row],[part_weight]] * 1000), 0)</f>
        <v>112</v>
      </c>
    </row>
    <row r="967" spans="1:40" hidden="1">
      <c r="A967" s="1">
        <v>46052</v>
      </c>
      <c r="B967">
        <v>1</v>
      </c>
      <c r="C967">
        <v>2</v>
      </c>
      <c r="D967" t="s">
        <v>33</v>
      </c>
      <c r="E967" t="s">
        <v>34</v>
      </c>
      <c r="F967">
        <v>416201</v>
      </c>
      <c r="G967" s="6">
        <v>0</v>
      </c>
      <c r="H967" t="s">
        <v>36</v>
      </c>
      <c r="I967">
        <v>10681779</v>
      </c>
      <c r="J967">
        <v>4</v>
      </c>
      <c r="K967">
        <v>20</v>
      </c>
      <c r="L967">
        <v>30</v>
      </c>
      <c r="M967">
        <v>320</v>
      </c>
      <c r="N967" s="2">
        <v>50400</v>
      </c>
      <c r="O967" s="2">
        <v>2940</v>
      </c>
      <c r="P967" s="2">
        <v>4200</v>
      </c>
      <c r="Q967" s="2">
        <v>1280</v>
      </c>
      <c r="R967" s="2">
        <v>0</v>
      </c>
      <c r="S967">
        <v>0</v>
      </c>
      <c r="T967" s="2">
        <v>4200</v>
      </c>
      <c r="U967" s="2">
        <v>46200</v>
      </c>
      <c r="V967">
        <v>38.4</v>
      </c>
      <c r="W967">
        <v>-12.8</v>
      </c>
      <c r="X967">
        <v>10</v>
      </c>
      <c r="Y967">
        <v>0.26041666666666669</v>
      </c>
      <c r="Z967">
        <v>22</v>
      </c>
      <c r="AA967">
        <v>0.57291666666666674</v>
      </c>
      <c r="AB967">
        <v>35</v>
      </c>
      <c r="AC967">
        <v>3.1111111111111112</v>
      </c>
      <c r="AD967">
        <v>38.64</v>
      </c>
      <c r="AE967" s="7"/>
      <c r="AF967" s="7"/>
      <c r="AG967" s="7"/>
      <c r="AH967" s="7"/>
      <c r="AI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8.8888888888888893</v>
      </c>
      <c r="AJ967" s="7"/>
      <c r="AK967" t="s">
        <v>602</v>
      </c>
      <c r="AL967">
        <v>7</v>
      </c>
      <c r="AM967">
        <v>4</v>
      </c>
      <c r="AN967">
        <f>IFERROR(INT(Table13[[#This Row],[reject_prod]]/Table13[[#This Row],[part_weight]] * 1000), 0)</f>
        <v>733</v>
      </c>
    </row>
    <row r="968" spans="1:40" hidden="1">
      <c r="A968" s="1">
        <v>46052</v>
      </c>
      <c r="B968">
        <v>1</v>
      </c>
      <c r="C968">
        <v>3</v>
      </c>
      <c r="D968" t="s">
        <v>84</v>
      </c>
      <c r="E968" t="s">
        <v>34</v>
      </c>
      <c r="F968">
        <v>442034</v>
      </c>
      <c r="G968" s="6">
        <v>0</v>
      </c>
      <c r="H968" t="s">
        <v>37</v>
      </c>
      <c r="I968">
        <v>10681184</v>
      </c>
      <c r="J968">
        <v>4</v>
      </c>
      <c r="K968">
        <v>23</v>
      </c>
      <c r="L968">
        <v>23</v>
      </c>
      <c r="M968">
        <v>1525</v>
      </c>
      <c r="N968" s="2">
        <v>139776</v>
      </c>
      <c r="O968" s="2">
        <v>2688</v>
      </c>
      <c r="P968" s="2">
        <v>4224</v>
      </c>
      <c r="Q968" s="2">
        <v>6100</v>
      </c>
      <c r="R968" s="2">
        <v>4608</v>
      </c>
      <c r="S968">
        <v>105.98399999999999</v>
      </c>
      <c r="T968" s="2">
        <v>110208</v>
      </c>
      <c r="U968" s="2">
        <v>29568</v>
      </c>
      <c r="V968">
        <v>140.30000000000001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28.6</v>
      </c>
      <c r="AC968">
        <v>12</v>
      </c>
      <c r="AD968">
        <v>22</v>
      </c>
      <c r="AE968" s="7"/>
      <c r="AF968" s="7"/>
      <c r="AG968" s="7"/>
      <c r="AH968" s="7"/>
      <c r="AI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68" s="7"/>
      <c r="AK968" t="s">
        <v>603</v>
      </c>
      <c r="AN968">
        <f>IFERROR(INT(Table13[[#This Row],[reject_prod]]/Table13[[#This Row],[part_weight]] * 1000), 0)</f>
        <v>0</v>
      </c>
    </row>
    <row r="969" spans="1:40" hidden="1">
      <c r="A969" s="1">
        <v>46052</v>
      </c>
      <c r="B969">
        <v>1</v>
      </c>
      <c r="C969">
        <v>4</v>
      </c>
      <c r="D969" t="s">
        <v>33</v>
      </c>
      <c r="E969" t="s">
        <v>34</v>
      </c>
      <c r="F969">
        <v>414439</v>
      </c>
      <c r="G969" s="6">
        <v>0</v>
      </c>
      <c r="H969" t="s">
        <v>587</v>
      </c>
      <c r="I969">
        <v>10684854</v>
      </c>
      <c r="J969">
        <v>6</v>
      </c>
      <c r="K969">
        <v>23</v>
      </c>
      <c r="L969">
        <v>15</v>
      </c>
      <c r="M969">
        <v>0</v>
      </c>
      <c r="N969" s="2">
        <v>59136</v>
      </c>
      <c r="O969" s="2">
        <v>0</v>
      </c>
      <c r="P969" s="2">
        <v>0</v>
      </c>
      <c r="Q969" s="2">
        <v>0</v>
      </c>
      <c r="R969" s="2">
        <v>0</v>
      </c>
      <c r="S969">
        <v>0</v>
      </c>
      <c r="T969" s="2">
        <v>0</v>
      </c>
      <c r="U969" s="2">
        <v>59136</v>
      </c>
      <c r="V969">
        <v>0</v>
      </c>
      <c r="W969">
        <v>0</v>
      </c>
      <c r="X969">
        <v>0</v>
      </c>
      <c r="Y969" t="e">
        <v>#DIV/0!</v>
      </c>
      <c r="Z969">
        <v>0</v>
      </c>
      <c r="AA969" t="e">
        <v>#DIV/0!</v>
      </c>
      <c r="AB969">
        <v>0</v>
      </c>
      <c r="AC969">
        <v>0</v>
      </c>
      <c r="AD969">
        <v>15</v>
      </c>
      <c r="AE969" s="7"/>
      <c r="AF969" s="7"/>
      <c r="AG969" s="7"/>
      <c r="AH969" s="7"/>
      <c r="AI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69" s="7"/>
      <c r="AK969" t="s">
        <v>588</v>
      </c>
      <c r="AL969">
        <v>5</v>
      </c>
      <c r="AM969">
        <v>4</v>
      </c>
      <c r="AN969">
        <f>IFERROR(INT(Table13[[#This Row],[reject_prod]]/Table13[[#This Row],[part_weight]] * 1000), 0)</f>
        <v>0</v>
      </c>
    </row>
    <row r="970" spans="1:40" hidden="1">
      <c r="A970" s="1">
        <v>46052</v>
      </c>
      <c r="B970">
        <v>1</v>
      </c>
      <c r="C970">
        <v>5</v>
      </c>
      <c r="D970" t="s">
        <v>595</v>
      </c>
      <c r="E970" t="s">
        <v>34</v>
      </c>
      <c r="F970">
        <v>322389</v>
      </c>
      <c r="G970" s="6">
        <v>0</v>
      </c>
      <c r="H970" t="s">
        <v>542</v>
      </c>
      <c r="I970">
        <v>10684749</v>
      </c>
      <c r="J970">
        <v>4</v>
      </c>
      <c r="K970">
        <v>12.5</v>
      </c>
      <c r="L970">
        <v>12.5</v>
      </c>
      <c r="M970">
        <v>1460</v>
      </c>
      <c r="N970" s="2">
        <v>46800</v>
      </c>
      <c r="O970" s="2">
        <v>3520</v>
      </c>
      <c r="P970" s="2">
        <v>0</v>
      </c>
      <c r="Q970" s="2">
        <v>5840</v>
      </c>
      <c r="R970" s="2">
        <v>9360</v>
      </c>
      <c r="S970">
        <v>117</v>
      </c>
      <c r="T970" s="2">
        <v>46800</v>
      </c>
      <c r="U970" s="2">
        <v>0</v>
      </c>
      <c r="V970">
        <v>73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20.399999999999999</v>
      </c>
      <c r="AC970">
        <v>8.2733333333333334</v>
      </c>
      <c r="AD970">
        <v>18.64</v>
      </c>
      <c r="AE970" s="7"/>
      <c r="AF970" s="7"/>
      <c r="AG970" s="7"/>
      <c r="AH970" s="7"/>
      <c r="AI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3.7266666666666666</v>
      </c>
      <c r="AJ970" s="7"/>
      <c r="AK970" t="s">
        <v>457</v>
      </c>
      <c r="AL970">
        <v>2</v>
      </c>
      <c r="AM970">
        <v>1.5</v>
      </c>
      <c r="AN970">
        <f>IFERROR(INT(Table13[[#This Row],[reject_prod]]/Table13[[#This Row],[part_weight]] * 1000), 0)</f>
        <v>0</v>
      </c>
    </row>
    <row r="971" spans="1:40" hidden="1">
      <c r="A971" s="1">
        <v>46052</v>
      </c>
      <c r="B971">
        <v>1</v>
      </c>
      <c r="C971">
        <v>5</v>
      </c>
      <c r="D971" t="s">
        <v>33</v>
      </c>
      <c r="E971" t="s">
        <v>34</v>
      </c>
      <c r="F971">
        <v>322389</v>
      </c>
      <c r="G971" s="6">
        <v>0</v>
      </c>
      <c r="H971" t="s">
        <v>542</v>
      </c>
      <c r="I971" t="s">
        <v>604</v>
      </c>
      <c r="J971">
        <v>4</v>
      </c>
      <c r="K971">
        <v>12.5</v>
      </c>
      <c r="L971">
        <v>12.5</v>
      </c>
      <c r="M971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>
        <v>0</v>
      </c>
      <c r="T971" s="2">
        <v>0</v>
      </c>
      <c r="U971" s="2">
        <v>0</v>
      </c>
      <c r="V971">
        <v>0</v>
      </c>
      <c r="W971">
        <v>0</v>
      </c>
      <c r="X971">
        <v>0</v>
      </c>
      <c r="Y971" t="e">
        <v>#DIV/0!</v>
      </c>
      <c r="Z971">
        <v>0</v>
      </c>
      <c r="AA971" t="e">
        <v>#DIV/0!</v>
      </c>
      <c r="AB971">
        <v>20.399999999999999</v>
      </c>
      <c r="AC971">
        <v>0</v>
      </c>
      <c r="AD971">
        <v>18.64</v>
      </c>
      <c r="AE971" s="7"/>
      <c r="AF971" s="7"/>
      <c r="AG971" s="7"/>
      <c r="AH971" s="7"/>
      <c r="AI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71" s="7"/>
      <c r="AK971" t="s">
        <v>604</v>
      </c>
      <c r="AN971">
        <f>IFERROR(INT(Table13[[#This Row],[reject_prod]]/Table13[[#This Row],[part_weight]] * 1000), 0)</f>
        <v>0</v>
      </c>
    </row>
    <row r="972" spans="1:40" hidden="1">
      <c r="A972" s="1">
        <v>46052</v>
      </c>
      <c r="B972">
        <v>1</v>
      </c>
      <c r="C972">
        <v>5</v>
      </c>
      <c r="D972" t="s">
        <v>33</v>
      </c>
      <c r="E972" t="s">
        <v>34</v>
      </c>
      <c r="F972">
        <v>322394</v>
      </c>
      <c r="G972" s="6">
        <v>0</v>
      </c>
      <c r="H972" t="s">
        <v>605</v>
      </c>
      <c r="I972">
        <v>10685208</v>
      </c>
      <c r="J972">
        <v>4</v>
      </c>
      <c r="K972">
        <v>20</v>
      </c>
      <c r="L972">
        <v>20</v>
      </c>
      <c r="M972">
        <v>0</v>
      </c>
      <c r="N972" s="2">
        <v>11520</v>
      </c>
      <c r="O972" s="2">
        <v>0</v>
      </c>
      <c r="P972" s="2">
        <v>0</v>
      </c>
      <c r="Q972" s="2">
        <v>0</v>
      </c>
      <c r="R972" s="2">
        <v>0</v>
      </c>
      <c r="S972">
        <v>0</v>
      </c>
      <c r="T972" s="2">
        <v>0</v>
      </c>
      <c r="U972" s="2">
        <v>11520</v>
      </c>
      <c r="V972">
        <v>0</v>
      </c>
      <c r="W972">
        <v>0</v>
      </c>
      <c r="X972">
        <v>0</v>
      </c>
      <c r="Y972" t="e">
        <v>#DIV/0!</v>
      </c>
      <c r="Z972">
        <v>0</v>
      </c>
      <c r="AA972" t="e">
        <v>#DIV/0!</v>
      </c>
      <c r="AB972">
        <v>20.399999999999999</v>
      </c>
      <c r="AC972">
        <v>0</v>
      </c>
      <c r="AD972">
        <v>19.14</v>
      </c>
      <c r="AE972" s="7"/>
      <c r="AF972" s="7"/>
      <c r="AG972" s="7">
        <v>1.5</v>
      </c>
      <c r="AH972" s="7"/>
      <c r="AI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972" s="7"/>
      <c r="AK972" t="s">
        <v>588</v>
      </c>
      <c r="AN972">
        <f>IFERROR(INT(Table13[[#This Row],[reject_prod]]/Table13[[#This Row],[part_weight]] * 1000), 0)</f>
        <v>0</v>
      </c>
    </row>
    <row r="973" spans="1:40" hidden="1">
      <c r="A973" s="1">
        <v>46052</v>
      </c>
      <c r="B973">
        <v>1</v>
      </c>
      <c r="C973">
        <v>6</v>
      </c>
      <c r="D973" t="s">
        <v>596</v>
      </c>
      <c r="E973" t="s">
        <v>34</v>
      </c>
      <c r="F973">
        <v>324174</v>
      </c>
      <c r="G973" s="6">
        <v>0</v>
      </c>
      <c r="H973" t="s">
        <v>558</v>
      </c>
      <c r="I973">
        <v>10683856</v>
      </c>
      <c r="J973">
        <v>4</v>
      </c>
      <c r="K973">
        <v>24</v>
      </c>
      <c r="L973">
        <v>24</v>
      </c>
      <c r="M973">
        <v>2025</v>
      </c>
      <c r="N973" s="2">
        <v>40600</v>
      </c>
      <c r="O973" s="2">
        <v>1421</v>
      </c>
      <c r="P973" s="2">
        <v>1624</v>
      </c>
      <c r="Q973" s="2">
        <v>8100</v>
      </c>
      <c r="R973" s="2">
        <v>8120</v>
      </c>
      <c r="S973">
        <v>194.88</v>
      </c>
      <c r="T973" s="2">
        <v>36134</v>
      </c>
      <c r="U973" s="2">
        <v>4466</v>
      </c>
      <c r="V973">
        <v>194.4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21.33</v>
      </c>
      <c r="AC973">
        <v>11.998125</v>
      </c>
      <c r="AD973">
        <v>20.12</v>
      </c>
      <c r="AE973" s="7"/>
      <c r="AF973" s="7"/>
      <c r="AG973" s="7"/>
      <c r="AH973" s="7"/>
      <c r="AI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1.8750000000000711E-3</v>
      </c>
      <c r="AJ973" s="7"/>
      <c r="AK973" t="s">
        <v>214</v>
      </c>
      <c r="AN973">
        <f>IFERROR(INT(Table13[[#This Row],[reject_prod]]/Table13[[#This Row],[part_weight]] * 1000), 0)</f>
        <v>0</v>
      </c>
    </row>
    <row r="974" spans="1:40" hidden="1">
      <c r="A974" s="1">
        <v>46052</v>
      </c>
      <c r="B974">
        <v>1</v>
      </c>
      <c r="C974">
        <v>7</v>
      </c>
      <c r="D974" t="s">
        <v>208</v>
      </c>
      <c r="E974" t="s">
        <v>34</v>
      </c>
      <c r="F974">
        <v>323072</v>
      </c>
      <c r="G974" s="6">
        <v>0</v>
      </c>
      <c r="H974" t="s">
        <v>590</v>
      </c>
      <c r="I974">
        <v>10684033</v>
      </c>
      <c r="J974">
        <v>4</v>
      </c>
      <c r="K974">
        <v>34.5</v>
      </c>
      <c r="L974">
        <v>34.5</v>
      </c>
      <c r="M974">
        <v>1580</v>
      </c>
      <c r="N974" s="2">
        <v>44352</v>
      </c>
      <c r="O974" s="2">
        <v>645</v>
      </c>
      <c r="P974" s="2">
        <v>774</v>
      </c>
      <c r="Q974" s="2">
        <v>6320</v>
      </c>
      <c r="R974" s="2">
        <v>6192</v>
      </c>
      <c r="S974">
        <v>213.624</v>
      </c>
      <c r="T974" s="2">
        <v>6966</v>
      </c>
      <c r="U974" s="2">
        <v>37386</v>
      </c>
      <c r="V974">
        <v>218.04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23.67</v>
      </c>
      <c r="AC974">
        <v>10.388500000000001</v>
      </c>
      <c r="AD974">
        <v>16.2</v>
      </c>
      <c r="AE974" s="7"/>
      <c r="AF974" s="7"/>
      <c r="AG974" s="7"/>
      <c r="AH974" s="7"/>
      <c r="AI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1.6114999999999995</v>
      </c>
      <c r="AJ974" s="7"/>
      <c r="AK974" t="s">
        <v>603</v>
      </c>
      <c r="AL974">
        <v>3</v>
      </c>
      <c r="AM974">
        <v>5</v>
      </c>
      <c r="AN974">
        <f>IFERROR(INT(Table13[[#This Row],[reject_prod]]/Table13[[#This Row],[part_weight]] * 1000), 0)</f>
        <v>0</v>
      </c>
    </row>
    <row r="975" spans="1:40" hidden="1">
      <c r="A975" s="1">
        <v>46052</v>
      </c>
      <c r="B975">
        <v>1</v>
      </c>
      <c r="C975">
        <v>8</v>
      </c>
      <c r="D975" t="s">
        <v>289</v>
      </c>
      <c r="E975" t="s">
        <v>41</v>
      </c>
      <c r="F975">
        <v>593537</v>
      </c>
      <c r="G975" s="6">
        <v>0</v>
      </c>
      <c r="H975" t="s">
        <v>48</v>
      </c>
      <c r="I975">
        <v>10685337</v>
      </c>
      <c r="J975">
        <v>4</v>
      </c>
      <c r="K975">
        <v>56.5</v>
      </c>
      <c r="L975">
        <v>56.8</v>
      </c>
      <c r="M975">
        <v>1440</v>
      </c>
      <c r="N975" s="2">
        <v>69000</v>
      </c>
      <c r="O975" s="2">
        <v>115</v>
      </c>
      <c r="P975" s="2">
        <v>115</v>
      </c>
      <c r="Q975" s="2">
        <v>5760</v>
      </c>
      <c r="R975" s="2">
        <v>5750</v>
      </c>
      <c r="S975">
        <v>326.60000000000002</v>
      </c>
      <c r="T975" s="2">
        <v>51750</v>
      </c>
      <c r="U975" s="2">
        <v>17250</v>
      </c>
      <c r="V975">
        <v>327.16800000000001</v>
      </c>
      <c r="W975">
        <v>-1.7279999999999835</v>
      </c>
      <c r="X975">
        <v>0</v>
      </c>
      <c r="Y975">
        <v>0</v>
      </c>
      <c r="Z975">
        <v>3</v>
      </c>
      <c r="AA975">
        <v>9.1696009389671367E-3</v>
      </c>
      <c r="AB975">
        <v>29.4</v>
      </c>
      <c r="AC975">
        <v>11.759999999999998</v>
      </c>
      <c r="AD975">
        <v>28.5</v>
      </c>
      <c r="AE975" s="7"/>
      <c r="AF975" s="7"/>
      <c r="AG975" s="7"/>
      <c r="AH975" s="7"/>
      <c r="AI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975" s="7"/>
      <c r="AK975" t="s">
        <v>51</v>
      </c>
      <c r="AN975">
        <f>IFERROR(INT(Table13[[#This Row],[reject_prod]]/Table13[[#This Row],[part_weight]] * 1000), 0)</f>
        <v>52</v>
      </c>
    </row>
    <row r="976" spans="1:40" hidden="1">
      <c r="A976" s="1">
        <v>46052</v>
      </c>
      <c r="B976">
        <v>1</v>
      </c>
      <c r="C976">
        <v>9</v>
      </c>
      <c r="D976" t="s">
        <v>54</v>
      </c>
      <c r="E976" t="s">
        <v>46</v>
      </c>
      <c r="F976">
        <v>586276</v>
      </c>
      <c r="G976" s="6">
        <v>0</v>
      </c>
      <c r="H976" t="s">
        <v>47</v>
      </c>
      <c r="I976">
        <v>10682924</v>
      </c>
      <c r="J976">
        <v>6</v>
      </c>
      <c r="K976">
        <v>12.3</v>
      </c>
      <c r="L976">
        <v>12.3</v>
      </c>
      <c r="M976">
        <v>1620</v>
      </c>
      <c r="N976" s="2">
        <v>162000</v>
      </c>
      <c r="O976" s="2">
        <v>4860</v>
      </c>
      <c r="P976" s="2">
        <v>4860</v>
      </c>
      <c r="Q976" s="2">
        <v>9720</v>
      </c>
      <c r="R976" s="2">
        <v>8100</v>
      </c>
      <c r="S976">
        <v>99.63</v>
      </c>
      <c r="T976" s="2">
        <v>102060</v>
      </c>
      <c r="U976" s="2">
        <v>59940</v>
      </c>
      <c r="V976">
        <v>119.556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25.6</v>
      </c>
      <c r="AC976">
        <v>11.520000000000001</v>
      </c>
      <c r="AD976">
        <v>26</v>
      </c>
      <c r="AE976" s="7"/>
      <c r="AF976" s="7"/>
      <c r="AG976" s="7"/>
      <c r="AH976" s="7"/>
      <c r="AI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0.47999999999999865</v>
      </c>
      <c r="AJ976" s="7"/>
      <c r="AK976" t="s">
        <v>51</v>
      </c>
      <c r="AL976">
        <v>2</v>
      </c>
      <c r="AM976">
        <v>2</v>
      </c>
      <c r="AN976">
        <f>IFERROR(INT(Table13[[#This Row],[reject_prod]]/Table13[[#This Row],[part_weight]] * 1000), 0)</f>
        <v>0</v>
      </c>
    </row>
    <row r="977" spans="1:40" hidden="1">
      <c r="A977" s="1">
        <v>46052</v>
      </c>
      <c r="B977">
        <v>1</v>
      </c>
      <c r="C977">
        <v>10</v>
      </c>
      <c r="D977" t="s">
        <v>117</v>
      </c>
      <c r="E977" t="s">
        <v>34</v>
      </c>
      <c r="F977">
        <v>323133</v>
      </c>
      <c r="G977" s="6">
        <v>0</v>
      </c>
      <c r="H977" t="s">
        <v>568</v>
      </c>
      <c r="I977">
        <v>10684859</v>
      </c>
      <c r="J977">
        <v>4</v>
      </c>
      <c r="K977">
        <v>77</v>
      </c>
      <c r="L977">
        <v>77</v>
      </c>
      <c r="M977">
        <v>1080</v>
      </c>
      <c r="N977" s="2">
        <v>19872</v>
      </c>
      <c r="O977" s="2">
        <v>138</v>
      </c>
      <c r="P977" s="2">
        <v>0</v>
      </c>
      <c r="Q977" s="2">
        <v>4320</v>
      </c>
      <c r="R977" s="2">
        <v>4416</v>
      </c>
      <c r="S977">
        <v>340.03199999999998</v>
      </c>
      <c r="T977" s="2">
        <v>14904</v>
      </c>
      <c r="U977" s="2">
        <v>4968</v>
      </c>
      <c r="V977">
        <v>332.64</v>
      </c>
      <c r="W977">
        <v>0</v>
      </c>
      <c r="X977">
        <v>0</v>
      </c>
      <c r="Y977">
        <v>0</v>
      </c>
      <c r="Z977">
        <v>6</v>
      </c>
      <c r="AA977">
        <v>1.803751803751804E-2</v>
      </c>
      <c r="AB977">
        <v>38.299999999999997</v>
      </c>
      <c r="AC977">
        <v>11.49</v>
      </c>
      <c r="AD977">
        <v>35</v>
      </c>
      <c r="AE977" s="7"/>
      <c r="AF977" s="7"/>
      <c r="AG977" s="7"/>
      <c r="AH977" s="7"/>
      <c r="AI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0.50999999999999979</v>
      </c>
      <c r="AJ977" s="7"/>
      <c r="AK977" t="s">
        <v>606</v>
      </c>
      <c r="AM977">
        <v>7</v>
      </c>
      <c r="AN977">
        <f>IFERROR(INT(Table13[[#This Row],[reject_prod]]/Table13[[#This Row],[part_weight]] * 1000), 0)</f>
        <v>77</v>
      </c>
    </row>
    <row r="978" spans="1:40" hidden="1">
      <c r="A978" s="1">
        <v>46052</v>
      </c>
      <c r="B978">
        <v>1</v>
      </c>
      <c r="C978">
        <v>11</v>
      </c>
      <c r="D978" t="s">
        <v>59</v>
      </c>
      <c r="E978" t="s">
        <v>46</v>
      </c>
      <c r="F978">
        <v>552181</v>
      </c>
      <c r="G978" s="6">
        <v>1</v>
      </c>
      <c r="H978" t="s">
        <v>49</v>
      </c>
      <c r="I978">
        <v>10685338</v>
      </c>
      <c r="J978">
        <v>6</v>
      </c>
      <c r="K978">
        <v>18.8</v>
      </c>
      <c r="L978">
        <v>18.8</v>
      </c>
      <c r="M978">
        <v>1440</v>
      </c>
      <c r="N978" s="2">
        <v>108000</v>
      </c>
      <c r="O978" s="2">
        <v>1350</v>
      </c>
      <c r="P978" s="2">
        <v>9990</v>
      </c>
      <c r="Q978" s="2">
        <v>8640</v>
      </c>
      <c r="R978" s="2">
        <v>0</v>
      </c>
      <c r="S978">
        <v>0</v>
      </c>
      <c r="T978" s="2">
        <v>49590</v>
      </c>
      <c r="U978" s="2">
        <v>58410</v>
      </c>
      <c r="V978">
        <v>162.43199999999999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28.7</v>
      </c>
      <c r="AC978">
        <v>11.48</v>
      </c>
      <c r="AD978">
        <v>27</v>
      </c>
      <c r="AE978" s="7"/>
      <c r="AF978" s="7"/>
      <c r="AG978" s="7"/>
      <c r="AH978" s="7"/>
      <c r="AI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0.51999999999999957</v>
      </c>
      <c r="AJ978" s="7"/>
      <c r="AK978" t="s">
        <v>51</v>
      </c>
      <c r="AN978">
        <f>IFERROR(INT(Table13[[#This Row],[reject_prod]]/Table13[[#This Row],[part_weight]] * 1000), 0)</f>
        <v>0</v>
      </c>
    </row>
    <row r="979" spans="1:40" hidden="1">
      <c r="A979" s="1">
        <v>46052</v>
      </c>
      <c r="B979">
        <v>1</v>
      </c>
      <c r="C979">
        <v>12</v>
      </c>
      <c r="D979" t="s">
        <v>56</v>
      </c>
      <c r="E979" t="s">
        <v>34</v>
      </c>
      <c r="F979">
        <v>620599</v>
      </c>
      <c r="G979" s="6">
        <v>0</v>
      </c>
      <c r="H979" t="s">
        <v>50</v>
      </c>
      <c r="I979">
        <v>10685340</v>
      </c>
      <c r="J979">
        <v>4</v>
      </c>
      <c r="K979">
        <v>55</v>
      </c>
      <c r="L979">
        <v>55</v>
      </c>
      <c r="M979">
        <v>1500</v>
      </c>
      <c r="N979" s="2">
        <v>72000</v>
      </c>
      <c r="O979" s="2">
        <v>225</v>
      </c>
      <c r="P979" s="2">
        <v>850</v>
      </c>
      <c r="Q979" s="2">
        <v>6000</v>
      </c>
      <c r="R979" s="2">
        <v>5400</v>
      </c>
      <c r="S979">
        <v>297</v>
      </c>
      <c r="T979" s="2">
        <v>22450</v>
      </c>
      <c r="U979" s="2">
        <v>49550</v>
      </c>
      <c r="V979">
        <v>330</v>
      </c>
      <c r="W979">
        <v>0</v>
      </c>
      <c r="X979">
        <v>0</v>
      </c>
      <c r="Y979">
        <v>0</v>
      </c>
      <c r="Z979">
        <v>5</v>
      </c>
      <c r="AA979">
        <v>1.5151515151515152E-2</v>
      </c>
      <c r="AB979">
        <v>28.8</v>
      </c>
      <c r="AC979">
        <v>12</v>
      </c>
      <c r="AD979">
        <v>28</v>
      </c>
      <c r="AE979" s="7"/>
      <c r="AF979" s="7"/>
      <c r="AG979" s="7"/>
      <c r="AH979" s="7"/>
      <c r="AI9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79" s="7"/>
      <c r="AK979" t="s">
        <v>51</v>
      </c>
      <c r="AN979">
        <f>IFERROR(INT(Table13[[#This Row],[reject_prod]]/Table13[[#This Row],[part_weight]] * 1000), 0)</f>
        <v>90</v>
      </c>
    </row>
    <row r="980" spans="1:40" hidden="1">
      <c r="A980" s="1">
        <v>46052</v>
      </c>
      <c r="B980">
        <v>1</v>
      </c>
      <c r="C980">
        <v>13</v>
      </c>
      <c r="D980" t="s">
        <v>59</v>
      </c>
      <c r="E980" t="s">
        <v>46</v>
      </c>
      <c r="F980">
        <v>586276</v>
      </c>
      <c r="G980" s="6">
        <v>0</v>
      </c>
      <c r="H980" t="s">
        <v>47</v>
      </c>
      <c r="I980">
        <v>10684862</v>
      </c>
      <c r="J980">
        <v>6</v>
      </c>
      <c r="K980">
        <v>12.3</v>
      </c>
      <c r="L980">
        <v>12.3</v>
      </c>
      <c r="M980">
        <v>1680</v>
      </c>
      <c r="N980" s="2">
        <v>162000</v>
      </c>
      <c r="O980" s="2">
        <v>4860</v>
      </c>
      <c r="P980" s="2">
        <v>6885</v>
      </c>
      <c r="Q980" s="2">
        <v>10080</v>
      </c>
      <c r="R980" s="2">
        <v>8100</v>
      </c>
      <c r="S980">
        <v>99.63</v>
      </c>
      <c r="T980" s="2">
        <v>152685</v>
      </c>
      <c r="U980" s="2">
        <v>9315</v>
      </c>
      <c r="V980">
        <v>123.98399999999999</v>
      </c>
      <c r="W980">
        <v>0</v>
      </c>
      <c r="X980">
        <v>0</v>
      </c>
      <c r="Y980">
        <v>0</v>
      </c>
      <c r="Z980">
        <v>1</v>
      </c>
      <c r="AA980">
        <v>8.0655568460446508E-3</v>
      </c>
      <c r="AB980">
        <v>26.2</v>
      </c>
      <c r="AC980">
        <v>12</v>
      </c>
      <c r="AD980">
        <v>26</v>
      </c>
      <c r="AE980" s="7"/>
      <c r="AF980" s="7"/>
      <c r="AG980" s="7"/>
      <c r="AH980" s="7"/>
      <c r="AI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80" s="7"/>
      <c r="AK980" t="s">
        <v>51</v>
      </c>
      <c r="AN980">
        <f>IFERROR(INT(Table13[[#This Row],[reject_prod]]/Table13[[#This Row],[part_weight]] * 1000), 0)</f>
        <v>81</v>
      </c>
    </row>
    <row r="981" spans="1:40" hidden="1">
      <c r="A981" s="1">
        <v>46052</v>
      </c>
      <c r="B981">
        <v>1</v>
      </c>
      <c r="C981">
        <v>14</v>
      </c>
      <c r="D981" t="s">
        <v>33</v>
      </c>
      <c r="E981" t="s">
        <v>46</v>
      </c>
      <c r="F981">
        <v>555979</v>
      </c>
      <c r="G981" s="6">
        <v>1</v>
      </c>
      <c r="H981" t="s">
        <v>52</v>
      </c>
      <c r="I981">
        <v>10683785</v>
      </c>
      <c r="J981">
        <v>6</v>
      </c>
      <c r="K981">
        <v>28</v>
      </c>
      <c r="L981">
        <v>28</v>
      </c>
      <c r="M981">
        <v>0</v>
      </c>
      <c r="N981" s="2">
        <v>100800</v>
      </c>
      <c r="O981" s="2">
        <v>0</v>
      </c>
      <c r="P981" s="2">
        <v>0</v>
      </c>
      <c r="Q981" s="2">
        <v>0</v>
      </c>
      <c r="R981" s="2">
        <v>0</v>
      </c>
      <c r="S981">
        <v>0</v>
      </c>
      <c r="T981" s="2">
        <v>30240</v>
      </c>
      <c r="U981" s="2">
        <v>70560</v>
      </c>
      <c r="V981">
        <v>0</v>
      </c>
      <c r="W981">
        <v>0</v>
      </c>
      <c r="X981">
        <v>0</v>
      </c>
      <c r="Y981" t="e">
        <v>#DIV/0!</v>
      </c>
      <c r="Z981">
        <v>0</v>
      </c>
      <c r="AA981" t="e">
        <v>#DIV/0!</v>
      </c>
      <c r="AB981">
        <v>43.4</v>
      </c>
      <c r="AC981">
        <v>0</v>
      </c>
      <c r="AD981">
        <v>42</v>
      </c>
      <c r="AE981" s="7"/>
      <c r="AF981" s="7"/>
      <c r="AG981" s="7"/>
      <c r="AH981" s="7"/>
      <c r="AI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81" s="7"/>
      <c r="AK981" t="s">
        <v>523</v>
      </c>
      <c r="AN981">
        <f>IFERROR(INT(Table13[[#This Row],[reject_prod]]/Table13[[#This Row],[part_weight]] * 1000), 0)</f>
        <v>0</v>
      </c>
    </row>
    <row r="982" spans="1:40" hidden="1">
      <c r="A982" s="1">
        <v>46052</v>
      </c>
      <c r="B982">
        <v>1</v>
      </c>
      <c r="C982">
        <v>15</v>
      </c>
      <c r="D982" t="s">
        <v>59</v>
      </c>
      <c r="E982" t="s">
        <v>46</v>
      </c>
      <c r="F982">
        <v>552181</v>
      </c>
      <c r="G982" s="6">
        <v>2</v>
      </c>
      <c r="H982" t="s">
        <v>49</v>
      </c>
      <c r="I982">
        <v>10685541</v>
      </c>
      <c r="J982">
        <v>6</v>
      </c>
      <c r="K982">
        <v>18.8</v>
      </c>
      <c r="L982">
        <v>18.8</v>
      </c>
      <c r="M982">
        <v>1320</v>
      </c>
      <c r="N982" s="2">
        <v>108000</v>
      </c>
      <c r="O982" s="2">
        <v>4860</v>
      </c>
      <c r="P982" s="2">
        <v>6210</v>
      </c>
      <c r="Q982" s="2">
        <v>7920</v>
      </c>
      <c r="R982" s="2">
        <v>5400</v>
      </c>
      <c r="S982">
        <v>101.52</v>
      </c>
      <c r="T982" s="2">
        <v>22410</v>
      </c>
      <c r="U982" s="2">
        <v>85590</v>
      </c>
      <c r="V982">
        <v>148.89599999999999</v>
      </c>
      <c r="W982">
        <v>0</v>
      </c>
      <c r="X982">
        <v>0</v>
      </c>
      <c r="Y982">
        <v>0</v>
      </c>
      <c r="Z982">
        <v>7</v>
      </c>
      <c r="AA982">
        <v>4.7012679991403399E-2</v>
      </c>
      <c r="AB982">
        <v>31.3</v>
      </c>
      <c r="AC982">
        <v>11.476666666666667</v>
      </c>
      <c r="AD982">
        <v>27</v>
      </c>
      <c r="AE982" s="7"/>
      <c r="AF982" s="7"/>
      <c r="AG982" s="7"/>
      <c r="AH982" s="7"/>
      <c r="AI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982" s="7"/>
      <c r="AK982" t="s">
        <v>607</v>
      </c>
      <c r="AN982">
        <f>IFERROR(INT(Table13[[#This Row],[reject_prod]]/Table13[[#This Row],[part_weight]] * 1000), 0)</f>
        <v>372</v>
      </c>
    </row>
    <row r="983" spans="1:40" s="4" customFormat="1" hidden="1">
      <c r="A983" s="3">
        <v>46052</v>
      </c>
      <c r="B983" s="4">
        <v>1</v>
      </c>
      <c r="C983" s="4">
        <v>16</v>
      </c>
      <c r="D983" s="4" t="s">
        <v>597</v>
      </c>
      <c r="E983" s="4" t="s">
        <v>46</v>
      </c>
      <c r="F983" s="4">
        <v>555979</v>
      </c>
      <c r="G983" s="9">
        <v>2</v>
      </c>
      <c r="H983" s="4" t="s">
        <v>52</v>
      </c>
      <c r="I983" s="4">
        <v>10684863</v>
      </c>
      <c r="J983" s="4">
        <v>6</v>
      </c>
      <c r="K983" s="4">
        <v>28</v>
      </c>
      <c r="L983" s="4">
        <v>28</v>
      </c>
      <c r="M983" s="4">
        <v>990</v>
      </c>
      <c r="N983" s="5">
        <v>100800</v>
      </c>
      <c r="O983" s="5">
        <v>840</v>
      </c>
      <c r="P983" s="5">
        <v>168</v>
      </c>
      <c r="Q983" s="5">
        <v>5940</v>
      </c>
      <c r="R983" s="5">
        <v>6720</v>
      </c>
      <c r="S983" s="4">
        <v>188.16</v>
      </c>
      <c r="T983" s="5">
        <v>77448</v>
      </c>
      <c r="U983" s="5">
        <v>23352</v>
      </c>
      <c r="V983" s="4">
        <v>166.32</v>
      </c>
      <c r="W983" s="4">
        <v>0</v>
      </c>
      <c r="X983" s="4">
        <v>0</v>
      </c>
      <c r="Y983" s="4">
        <v>0</v>
      </c>
      <c r="Z983" s="4">
        <v>3</v>
      </c>
      <c r="AA983" s="4">
        <v>1.803751803751804E-2</v>
      </c>
      <c r="AB983" s="4">
        <v>43.4</v>
      </c>
      <c r="AC983" s="4">
        <v>11.935</v>
      </c>
      <c r="AD983" s="4">
        <v>42</v>
      </c>
      <c r="AE983" s="8"/>
      <c r="AF983" s="8"/>
      <c r="AG983" s="8"/>
      <c r="AH983" s="8"/>
      <c r="AI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983" s="8"/>
      <c r="AK983" s="4" t="s">
        <v>51</v>
      </c>
      <c r="AN983">
        <f>IFERROR(INT(Table13[[#This Row],[reject_prod]]/Table13[[#This Row],[part_weight]] * 1000), 0)</f>
        <v>107</v>
      </c>
    </row>
    <row r="984" spans="1:40" hidden="1">
      <c r="A984" s="1">
        <v>46052</v>
      </c>
      <c r="B984">
        <v>2</v>
      </c>
      <c r="C984">
        <v>1</v>
      </c>
      <c r="D984" t="s">
        <v>67</v>
      </c>
      <c r="E984" t="s">
        <v>34</v>
      </c>
      <c r="F984">
        <v>347623</v>
      </c>
      <c r="G984" s="6">
        <v>0</v>
      </c>
      <c r="H984" t="s">
        <v>35</v>
      </c>
      <c r="I984">
        <v>10685631</v>
      </c>
      <c r="J984">
        <v>4</v>
      </c>
      <c r="K984">
        <v>35.6</v>
      </c>
      <c r="L984">
        <v>35.6</v>
      </c>
      <c r="M984">
        <v>1582</v>
      </c>
      <c r="N984" s="2">
        <v>36800</v>
      </c>
      <c r="O984" s="2">
        <v>1104</v>
      </c>
      <c r="P984" s="2">
        <v>0</v>
      </c>
      <c r="Q984" s="2">
        <v>6328</v>
      </c>
      <c r="R984" s="2">
        <v>7360</v>
      </c>
      <c r="S984">
        <v>262.01600000000002</v>
      </c>
      <c r="T984" s="2">
        <v>7360</v>
      </c>
      <c r="U984" s="2">
        <v>29440</v>
      </c>
      <c r="V984">
        <v>225.27680000000001</v>
      </c>
      <c r="W984">
        <v>0</v>
      </c>
      <c r="X984">
        <v>0</v>
      </c>
      <c r="Y984">
        <v>0</v>
      </c>
      <c r="Z984">
        <v>2.5</v>
      </c>
      <c r="AA984">
        <v>1.1097458770721175E-2</v>
      </c>
      <c r="AB984">
        <v>27.2</v>
      </c>
      <c r="AC984">
        <v>11.952888888888888</v>
      </c>
      <c r="AD984">
        <v>27</v>
      </c>
      <c r="AE984" s="7"/>
      <c r="AF984" s="7"/>
      <c r="AG984" s="7"/>
      <c r="AH984" s="7"/>
      <c r="AI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4.7111111111112436E-2</v>
      </c>
      <c r="AJ984" s="7"/>
      <c r="AK984" t="s">
        <v>608</v>
      </c>
      <c r="AN984">
        <f>IFERROR(INT(Table13[[#This Row],[reject_prod]]/Table13[[#This Row],[part_weight]] * 1000), 0)</f>
        <v>70</v>
      </c>
    </row>
    <row r="985" spans="1:40" hidden="1">
      <c r="A985" s="1">
        <v>46052</v>
      </c>
      <c r="B985">
        <v>2</v>
      </c>
      <c r="C985">
        <v>2</v>
      </c>
      <c r="D985" t="s">
        <v>110</v>
      </c>
      <c r="E985" t="s">
        <v>34</v>
      </c>
      <c r="F985">
        <v>416201</v>
      </c>
      <c r="G985" s="6">
        <v>0</v>
      </c>
      <c r="H985" t="s">
        <v>36</v>
      </c>
      <c r="I985">
        <v>10681779</v>
      </c>
      <c r="J985">
        <v>4</v>
      </c>
      <c r="K985">
        <v>20</v>
      </c>
      <c r="L985">
        <v>30</v>
      </c>
      <c r="M985">
        <v>1364</v>
      </c>
      <c r="N985" s="2">
        <v>50400</v>
      </c>
      <c r="O985" s="2">
        <v>4200</v>
      </c>
      <c r="P985" s="2">
        <v>3780</v>
      </c>
      <c r="Q985" s="2">
        <v>5456</v>
      </c>
      <c r="R985" s="2">
        <v>5040</v>
      </c>
      <c r="S985">
        <v>151.19999999999999</v>
      </c>
      <c r="T985" s="2">
        <v>18900</v>
      </c>
      <c r="U985" s="2">
        <v>31500</v>
      </c>
      <c r="V985">
        <v>163.68</v>
      </c>
      <c r="W985">
        <v>0</v>
      </c>
      <c r="X985">
        <v>0</v>
      </c>
      <c r="Y985">
        <v>0</v>
      </c>
      <c r="Z985">
        <v>25</v>
      </c>
      <c r="AA985">
        <v>0.15273704789833822</v>
      </c>
      <c r="AB985">
        <v>31.3</v>
      </c>
      <c r="AC985">
        <v>11.859222222222222</v>
      </c>
      <c r="AD985">
        <v>38.64</v>
      </c>
      <c r="AE985" s="7"/>
      <c r="AF985" s="7"/>
      <c r="AG985" s="7"/>
      <c r="AH985" s="7"/>
      <c r="AI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985" s="7"/>
      <c r="AK985" t="s">
        <v>609</v>
      </c>
      <c r="AN985">
        <f>IFERROR(INT(Table13[[#This Row],[reject_prod]]/Table13[[#This Row],[part_weight]] * 1000), 0)</f>
        <v>833</v>
      </c>
    </row>
    <row r="986" spans="1:40" hidden="1">
      <c r="A986" s="1">
        <v>46052</v>
      </c>
      <c r="B986">
        <v>2</v>
      </c>
      <c r="C986">
        <v>3</v>
      </c>
      <c r="D986" t="s">
        <v>598</v>
      </c>
      <c r="E986" t="s">
        <v>34</v>
      </c>
      <c r="F986">
        <v>442034</v>
      </c>
      <c r="G986" s="6">
        <v>0</v>
      </c>
      <c r="H986" t="s">
        <v>37</v>
      </c>
      <c r="I986">
        <v>10681184</v>
      </c>
      <c r="J986">
        <v>4</v>
      </c>
      <c r="K986">
        <v>23</v>
      </c>
      <c r="L986">
        <v>23</v>
      </c>
      <c r="M986">
        <v>1449</v>
      </c>
      <c r="N986" s="2">
        <v>139776</v>
      </c>
      <c r="O986" s="2">
        <v>4224</v>
      </c>
      <c r="P986" s="2">
        <v>768</v>
      </c>
      <c r="Q986" s="2">
        <v>5796</v>
      </c>
      <c r="R986" s="2">
        <v>9216</v>
      </c>
      <c r="S986">
        <v>211.96799999999999</v>
      </c>
      <c r="T986" s="2">
        <v>115968</v>
      </c>
      <c r="U986" s="2">
        <v>23808</v>
      </c>
      <c r="V986">
        <v>133.30799999999999</v>
      </c>
      <c r="W986">
        <v>0</v>
      </c>
      <c r="X986">
        <v>0</v>
      </c>
      <c r="Y986">
        <v>0</v>
      </c>
      <c r="Z986">
        <v>0.8</v>
      </c>
      <c r="AA986">
        <v>6.0011402166411628E-3</v>
      </c>
      <c r="AB986">
        <v>28.5</v>
      </c>
      <c r="AC986">
        <v>11.471250000000001</v>
      </c>
      <c r="AD986">
        <v>22</v>
      </c>
      <c r="AE986" s="7"/>
      <c r="AF986" s="7"/>
      <c r="AG986" s="7"/>
      <c r="AH986" s="7"/>
      <c r="AI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0.52874999999999872</v>
      </c>
      <c r="AJ986" s="7"/>
      <c r="AK986" t="s">
        <v>103</v>
      </c>
      <c r="AN986">
        <f>IFERROR(INT(Table13[[#This Row],[reject_prod]]/Table13[[#This Row],[part_weight]] * 1000), 0)</f>
        <v>34</v>
      </c>
    </row>
    <row r="987" spans="1:40" hidden="1">
      <c r="A987" s="1">
        <v>46052</v>
      </c>
      <c r="B987">
        <v>2</v>
      </c>
      <c r="C987">
        <v>4</v>
      </c>
      <c r="D987" t="s">
        <v>33</v>
      </c>
      <c r="E987" t="s">
        <v>34</v>
      </c>
      <c r="F987">
        <v>414439</v>
      </c>
      <c r="G987" s="6">
        <v>0</v>
      </c>
      <c r="H987" t="s">
        <v>587</v>
      </c>
      <c r="I987">
        <v>10684854</v>
      </c>
      <c r="J987">
        <v>6</v>
      </c>
      <c r="K987">
        <v>23</v>
      </c>
      <c r="L987">
        <v>15</v>
      </c>
      <c r="M987">
        <v>0</v>
      </c>
      <c r="N987" s="2">
        <v>59136</v>
      </c>
      <c r="O987" s="2">
        <v>0</v>
      </c>
      <c r="P987" s="2">
        <v>0</v>
      </c>
      <c r="Q987" s="2">
        <v>0</v>
      </c>
      <c r="R987" s="2">
        <v>0</v>
      </c>
      <c r="S987">
        <v>0</v>
      </c>
      <c r="T987" s="2">
        <v>0</v>
      </c>
      <c r="U987" s="2">
        <v>59136</v>
      </c>
      <c r="V987">
        <v>0</v>
      </c>
      <c r="W987">
        <v>0</v>
      </c>
      <c r="X987">
        <v>0</v>
      </c>
      <c r="Y987" t="e">
        <v>#DIV/0!</v>
      </c>
      <c r="Z987">
        <v>0</v>
      </c>
      <c r="AA987" t="e">
        <v>#DIV/0!</v>
      </c>
      <c r="AB987">
        <v>0</v>
      </c>
      <c r="AC987">
        <v>0</v>
      </c>
      <c r="AD987">
        <v>15</v>
      </c>
      <c r="AE987" s="7"/>
      <c r="AF987" s="7"/>
      <c r="AG987" s="7"/>
      <c r="AH987" s="7"/>
      <c r="AI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87" s="7"/>
      <c r="AK987" t="s">
        <v>610</v>
      </c>
      <c r="AN987">
        <f>IFERROR(INT(Table13[[#This Row],[reject_prod]]/Table13[[#This Row],[part_weight]] * 1000), 0)</f>
        <v>0</v>
      </c>
    </row>
    <row r="988" spans="1:40" hidden="1">
      <c r="A988" s="1">
        <v>46052</v>
      </c>
      <c r="B988">
        <v>2</v>
      </c>
      <c r="C988">
        <v>5</v>
      </c>
      <c r="D988" t="s">
        <v>33</v>
      </c>
      <c r="E988" t="s">
        <v>34</v>
      </c>
      <c r="F988">
        <v>322394</v>
      </c>
      <c r="G988" s="6">
        <v>0</v>
      </c>
      <c r="H988" t="s">
        <v>605</v>
      </c>
      <c r="I988">
        <v>10685208</v>
      </c>
      <c r="J988">
        <v>4</v>
      </c>
      <c r="K988">
        <v>20</v>
      </c>
      <c r="L988">
        <v>20</v>
      </c>
      <c r="M988">
        <v>278</v>
      </c>
      <c r="N988" s="2">
        <v>11520</v>
      </c>
      <c r="O988" s="2">
        <v>0</v>
      </c>
      <c r="P988" s="2">
        <v>720</v>
      </c>
      <c r="Q988" s="2">
        <v>1112</v>
      </c>
      <c r="R988" s="2">
        <v>0</v>
      </c>
      <c r="S988">
        <v>0</v>
      </c>
      <c r="T988" s="2">
        <v>720</v>
      </c>
      <c r="U988" s="2">
        <v>10800</v>
      </c>
      <c r="V988">
        <v>22.24</v>
      </c>
      <c r="W988">
        <v>0</v>
      </c>
      <c r="X988">
        <v>7</v>
      </c>
      <c r="Y988">
        <v>0.31474820143884896</v>
      </c>
      <c r="Z988">
        <v>0.8</v>
      </c>
      <c r="AA988">
        <v>3.5971223021582739E-2</v>
      </c>
      <c r="AB988">
        <v>22.1</v>
      </c>
      <c r="AC988">
        <v>1.7066111111111111</v>
      </c>
      <c r="AD988">
        <v>19.14</v>
      </c>
      <c r="AE988" s="7"/>
      <c r="AF988" s="7"/>
      <c r="AG988" s="7"/>
      <c r="AH988" s="7"/>
      <c r="AI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10.293388888888888</v>
      </c>
      <c r="AJ988" s="7"/>
      <c r="AK988" t="s">
        <v>611</v>
      </c>
      <c r="AN988">
        <f>IFERROR(INT(Table13[[#This Row],[reject_prod]]/Table13[[#This Row],[part_weight]] * 1000), 0)</f>
        <v>40</v>
      </c>
    </row>
    <row r="989" spans="1:40" hidden="1">
      <c r="A989" s="1">
        <v>46052</v>
      </c>
      <c r="B989">
        <v>2</v>
      </c>
      <c r="C989">
        <v>6</v>
      </c>
      <c r="D989" t="s">
        <v>281</v>
      </c>
      <c r="E989" t="s">
        <v>34</v>
      </c>
      <c r="F989">
        <v>324174</v>
      </c>
      <c r="G989" s="6">
        <v>0</v>
      </c>
      <c r="H989" t="s">
        <v>558</v>
      </c>
      <c r="I989">
        <v>10683856</v>
      </c>
      <c r="J989">
        <v>4</v>
      </c>
      <c r="K989">
        <v>24</v>
      </c>
      <c r="L989">
        <v>24</v>
      </c>
      <c r="M989">
        <v>1133</v>
      </c>
      <c r="N989" s="2">
        <v>40600</v>
      </c>
      <c r="O989" s="2">
        <v>1624</v>
      </c>
      <c r="P989" s="2">
        <v>0</v>
      </c>
      <c r="Q989" s="2">
        <v>4532</v>
      </c>
      <c r="R989" s="2">
        <v>6090</v>
      </c>
      <c r="S989">
        <v>146.16</v>
      </c>
      <c r="T989" s="2">
        <v>40600</v>
      </c>
      <c r="U989" s="2">
        <v>0</v>
      </c>
      <c r="V989">
        <v>108.768</v>
      </c>
      <c r="W989">
        <v>0</v>
      </c>
      <c r="X989">
        <v>0</v>
      </c>
      <c r="Y989">
        <v>0</v>
      </c>
      <c r="Z989">
        <v>1.5</v>
      </c>
      <c r="AA989">
        <v>1.379082082965578E-2</v>
      </c>
      <c r="AB989">
        <v>21.3</v>
      </c>
      <c r="AC989">
        <v>6.7035833333333343</v>
      </c>
      <c r="AD989">
        <v>20.12</v>
      </c>
      <c r="AE989" s="7"/>
      <c r="AF989" s="7"/>
      <c r="AG989" s="7"/>
      <c r="AH989" s="7"/>
      <c r="AI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5.2964166666666657</v>
      </c>
      <c r="AJ989" s="7"/>
      <c r="AK989" t="s">
        <v>102</v>
      </c>
      <c r="AN989">
        <f>IFERROR(INT(Table13[[#This Row],[reject_prod]]/Table13[[#This Row],[part_weight]] * 1000), 0)</f>
        <v>62</v>
      </c>
    </row>
    <row r="990" spans="1:40" hidden="1">
      <c r="A990" s="1">
        <v>46052</v>
      </c>
      <c r="B990">
        <v>2</v>
      </c>
      <c r="C990">
        <v>6</v>
      </c>
      <c r="D990" t="s">
        <v>281</v>
      </c>
      <c r="E990" t="s">
        <v>34</v>
      </c>
      <c r="F990">
        <v>324174</v>
      </c>
      <c r="G990" s="6">
        <v>0</v>
      </c>
      <c r="H990" t="s">
        <v>558</v>
      </c>
      <c r="I990">
        <v>10684855</v>
      </c>
      <c r="J990">
        <v>4</v>
      </c>
      <c r="K990">
        <v>24</v>
      </c>
      <c r="L990">
        <v>24</v>
      </c>
      <c r="M990">
        <v>914</v>
      </c>
      <c r="N990" s="2">
        <v>20300</v>
      </c>
      <c r="O990" s="2">
        <v>0</v>
      </c>
      <c r="P990" s="2">
        <v>1624</v>
      </c>
      <c r="Q990" s="2">
        <v>3656</v>
      </c>
      <c r="R990" s="2">
        <v>2030</v>
      </c>
      <c r="S990">
        <v>48.72</v>
      </c>
      <c r="T990" s="2">
        <v>3654</v>
      </c>
      <c r="U990" s="2">
        <v>16646</v>
      </c>
      <c r="V990">
        <v>87.744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21.3</v>
      </c>
      <c r="AC990">
        <v>5.4078333333333335</v>
      </c>
      <c r="AD990">
        <v>20.12</v>
      </c>
      <c r="AE990" s="7"/>
      <c r="AF990" s="7"/>
      <c r="AG990" s="7"/>
      <c r="AH990" s="7"/>
      <c r="AI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6.5921666666666665</v>
      </c>
      <c r="AJ990" s="7"/>
      <c r="AK990" t="s">
        <v>214</v>
      </c>
      <c r="AN990">
        <f>IFERROR(INT(Table13[[#This Row],[reject_prod]]/Table13[[#This Row],[part_weight]] * 1000), 0)</f>
        <v>0</v>
      </c>
    </row>
    <row r="991" spans="1:40" hidden="1">
      <c r="A991" s="1">
        <v>46052</v>
      </c>
      <c r="B991">
        <v>2</v>
      </c>
      <c r="C991">
        <v>7</v>
      </c>
      <c r="D991" t="s">
        <v>152</v>
      </c>
      <c r="E991" t="s">
        <v>34</v>
      </c>
      <c r="F991">
        <v>323072</v>
      </c>
      <c r="G991" s="6">
        <v>0</v>
      </c>
      <c r="H991" t="s">
        <v>590</v>
      </c>
      <c r="I991">
        <v>10684033</v>
      </c>
      <c r="J991">
        <v>4</v>
      </c>
      <c r="K991">
        <v>34.5</v>
      </c>
      <c r="L991">
        <v>34.5</v>
      </c>
      <c r="M991">
        <v>1628</v>
      </c>
      <c r="N991" s="2">
        <v>24768</v>
      </c>
      <c r="O991" s="2">
        <v>774</v>
      </c>
      <c r="P991" s="2">
        <v>387</v>
      </c>
      <c r="Q991" s="2">
        <v>6512</v>
      </c>
      <c r="R991" s="2">
        <v>6192</v>
      </c>
      <c r="S991">
        <v>213.624</v>
      </c>
      <c r="T991" s="2">
        <v>12771</v>
      </c>
      <c r="U991" s="2">
        <v>11997</v>
      </c>
      <c r="V991">
        <v>224.66399999999999</v>
      </c>
      <c r="W991">
        <v>0</v>
      </c>
      <c r="X991">
        <v>4.5</v>
      </c>
      <c r="Y991">
        <v>2.0029911334259163E-2</v>
      </c>
      <c r="Z991">
        <v>24.6</v>
      </c>
      <c r="AA991">
        <v>0.10949684862728343</v>
      </c>
      <c r="AB991">
        <v>26.8</v>
      </c>
      <c r="AC991">
        <v>12</v>
      </c>
      <c r="AD991">
        <v>16.2</v>
      </c>
      <c r="AE991" s="7"/>
      <c r="AF991" s="7"/>
      <c r="AG991" s="7"/>
      <c r="AH991" s="7"/>
      <c r="AI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91" s="7"/>
      <c r="AK991" t="s">
        <v>612</v>
      </c>
      <c r="AN991">
        <f>IFERROR(INT(Table13[[#This Row],[reject_prod]]/Table13[[#This Row],[part_weight]] * 1000), 0)</f>
        <v>713</v>
      </c>
    </row>
    <row r="992" spans="1:40" hidden="1">
      <c r="A992" s="1">
        <v>46052</v>
      </c>
      <c r="B992">
        <v>2</v>
      </c>
      <c r="C992">
        <v>8</v>
      </c>
      <c r="D992" t="s">
        <v>40</v>
      </c>
      <c r="E992" t="s">
        <v>41</v>
      </c>
      <c r="F992">
        <v>593537</v>
      </c>
      <c r="G992" s="6">
        <v>0</v>
      </c>
      <c r="H992" t="s">
        <v>48</v>
      </c>
      <c r="I992">
        <v>10685022</v>
      </c>
      <c r="J992">
        <v>4</v>
      </c>
      <c r="K992">
        <v>56.5</v>
      </c>
      <c r="L992">
        <v>56.8</v>
      </c>
      <c r="M992">
        <v>1413</v>
      </c>
      <c r="N992" s="2">
        <v>69000</v>
      </c>
      <c r="O992" s="2">
        <v>115</v>
      </c>
      <c r="P992" s="2">
        <v>0</v>
      </c>
      <c r="Q992" s="2">
        <v>5652</v>
      </c>
      <c r="R992" s="2">
        <v>5750</v>
      </c>
      <c r="S992">
        <v>326.60000000000002</v>
      </c>
      <c r="T992" s="2">
        <v>57500</v>
      </c>
      <c r="U992" s="2">
        <v>11500</v>
      </c>
      <c r="V992">
        <v>321.03359999999998</v>
      </c>
      <c r="W992">
        <v>0</v>
      </c>
      <c r="X992">
        <v>0</v>
      </c>
      <c r="Y992">
        <v>0</v>
      </c>
      <c r="Z992">
        <v>0.8</v>
      </c>
      <c r="AA992">
        <v>2.49195099827557E-3</v>
      </c>
      <c r="AB992">
        <v>29.9</v>
      </c>
      <c r="AC992">
        <v>11.735749999999999</v>
      </c>
      <c r="AD992">
        <v>28.5</v>
      </c>
      <c r="AE992" s="7"/>
      <c r="AF992" s="7"/>
      <c r="AG992" s="7"/>
      <c r="AH992" s="7"/>
      <c r="AI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0.26425000000000054</v>
      </c>
      <c r="AJ992" s="7"/>
      <c r="AK992" t="s">
        <v>51</v>
      </c>
      <c r="AN992">
        <f>IFERROR(INT(Table13[[#This Row],[reject_prod]]/Table13[[#This Row],[part_weight]] * 1000), 0)</f>
        <v>14</v>
      </c>
    </row>
    <row r="993" spans="1:40" hidden="1">
      <c r="A993" s="1">
        <v>46052</v>
      </c>
      <c r="B993">
        <v>2</v>
      </c>
      <c r="C993">
        <v>9</v>
      </c>
      <c r="D993" t="s">
        <v>108</v>
      </c>
      <c r="E993" t="s">
        <v>46</v>
      </c>
      <c r="F993">
        <v>586276</v>
      </c>
      <c r="G993" s="6">
        <v>0</v>
      </c>
      <c r="H993" t="s">
        <v>47</v>
      </c>
      <c r="I993">
        <v>10682924</v>
      </c>
      <c r="J993">
        <v>6</v>
      </c>
      <c r="K993">
        <v>12.3</v>
      </c>
      <c r="L993">
        <v>12.3</v>
      </c>
      <c r="M993">
        <v>1553</v>
      </c>
      <c r="N993" s="2">
        <v>162000</v>
      </c>
      <c r="O993" s="2">
        <v>4860</v>
      </c>
      <c r="P993" s="2">
        <v>6075</v>
      </c>
      <c r="Q993" s="2">
        <v>9318</v>
      </c>
      <c r="R993" s="2">
        <v>8100</v>
      </c>
      <c r="S993">
        <v>99.63</v>
      </c>
      <c r="T993" s="2">
        <v>111375</v>
      </c>
      <c r="U993" s="2">
        <v>50625</v>
      </c>
      <c r="V993">
        <v>114.6114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26.6</v>
      </c>
      <c r="AC993">
        <v>11.474944444444445</v>
      </c>
      <c r="AD993">
        <v>26</v>
      </c>
      <c r="AE993" s="7"/>
      <c r="AF993" s="7"/>
      <c r="AG993" s="7"/>
      <c r="AH993" s="7"/>
      <c r="AI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0.52505555555555539</v>
      </c>
      <c r="AJ993" s="7"/>
      <c r="AK993" t="s">
        <v>51</v>
      </c>
      <c r="AN993">
        <f>IFERROR(INT(Table13[[#This Row],[reject_prod]]/Table13[[#This Row],[part_weight]] * 1000), 0)</f>
        <v>0</v>
      </c>
    </row>
    <row r="994" spans="1:40" hidden="1">
      <c r="A994" s="1">
        <v>46052</v>
      </c>
      <c r="B994">
        <v>2</v>
      </c>
      <c r="C994">
        <v>10</v>
      </c>
      <c r="D994" t="s">
        <v>61</v>
      </c>
      <c r="E994" t="s">
        <v>34</v>
      </c>
      <c r="F994">
        <v>323133</v>
      </c>
      <c r="G994" s="6">
        <v>0</v>
      </c>
      <c r="H994" t="s">
        <v>568</v>
      </c>
      <c r="I994">
        <v>10684859</v>
      </c>
      <c r="J994">
        <v>4</v>
      </c>
      <c r="K994">
        <v>77</v>
      </c>
      <c r="L994">
        <v>77</v>
      </c>
      <c r="M994">
        <v>926</v>
      </c>
      <c r="N994" s="2">
        <v>19872</v>
      </c>
      <c r="O994" s="2">
        <v>0</v>
      </c>
      <c r="P994" s="2">
        <v>0</v>
      </c>
      <c r="Q994" s="2">
        <v>3704</v>
      </c>
      <c r="R994" s="2">
        <v>3588</v>
      </c>
      <c r="S994">
        <v>276.27600000000001</v>
      </c>
      <c r="T994" s="2">
        <v>18492</v>
      </c>
      <c r="U994" s="2">
        <v>1380</v>
      </c>
      <c r="V994">
        <v>285.20800000000003</v>
      </c>
      <c r="W994">
        <v>0</v>
      </c>
      <c r="X994">
        <v>0</v>
      </c>
      <c r="Y994">
        <v>0</v>
      </c>
      <c r="Z994">
        <v>8.8000000000000007</v>
      </c>
      <c r="AA994">
        <v>3.0854674483184203E-2</v>
      </c>
      <c r="AB994">
        <v>38.6</v>
      </c>
      <c r="AC994">
        <v>9.9287777777777784</v>
      </c>
      <c r="AD994">
        <v>35</v>
      </c>
      <c r="AE994" s="7"/>
      <c r="AF994" s="7"/>
      <c r="AG994" s="7"/>
      <c r="AH994" s="7"/>
      <c r="AI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2.0712222222222216</v>
      </c>
      <c r="AJ994" s="7"/>
      <c r="AK994" t="s">
        <v>613</v>
      </c>
      <c r="AN994">
        <f>IFERROR(INT(Table13[[#This Row],[reject_prod]]/Table13[[#This Row],[part_weight]] * 1000), 0)</f>
        <v>114</v>
      </c>
    </row>
    <row r="995" spans="1:40" hidden="1">
      <c r="A995" s="1">
        <v>46052</v>
      </c>
      <c r="B995">
        <v>2</v>
      </c>
      <c r="C995">
        <v>11</v>
      </c>
      <c r="D995" t="s">
        <v>112</v>
      </c>
      <c r="E995" t="s">
        <v>46</v>
      </c>
      <c r="F995">
        <v>552181</v>
      </c>
      <c r="G995" s="6">
        <v>1</v>
      </c>
      <c r="H995" t="s">
        <v>49</v>
      </c>
      <c r="I995">
        <v>10685338</v>
      </c>
      <c r="J995">
        <v>6</v>
      </c>
      <c r="K995">
        <v>18.8</v>
      </c>
      <c r="L995">
        <v>18.8</v>
      </c>
      <c r="M995">
        <v>1112</v>
      </c>
      <c r="N995" s="2">
        <v>108000</v>
      </c>
      <c r="O995" s="2">
        <v>9990</v>
      </c>
      <c r="P995" s="2">
        <v>16470</v>
      </c>
      <c r="Q995" s="2">
        <v>6672</v>
      </c>
      <c r="R995" s="2">
        <v>0</v>
      </c>
      <c r="S995">
        <v>0</v>
      </c>
      <c r="T995" s="2">
        <v>59670</v>
      </c>
      <c r="U995" s="2">
        <v>48330</v>
      </c>
      <c r="V995">
        <v>125.43360000000001</v>
      </c>
      <c r="W995">
        <v>0</v>
      </c>
      <c r="X995">
        <v>87.2</v>
      </c>
      <c r="Y995">
        <v>0.69518853002704217</v>
      </c>
      <c r="Z995">
        <v>3.5</v>
      </c>
      <c r="AA995">
        <v>2.7903209347415681E-2</v>
      </c>
      <c r="AB995">
        <v>28.7</v>
      </c>
      <c r="AC995">
        <v>8.8651111111111121</v>
      </c>
      <c r="AD995">
        <v>27</v>
      </c>
      <c r="AE995" s="7"/>
      <c r="AF995" s="7"/>
      <c r="AG995" s="7"/>
      <c r="AH995" s="7"/>
      <c r="AI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3.1348888888888879</v>
      </c>
      <c r="AJ995" s="7"/>
      <c r="AK995" t="s">
        <v>614</v>
      </c>
      <c r="AN995">
        <f>IFERROR(INT(Table13[[#This Row],[reject_prod]]/Table13[[#This Row],[part_weight]] * 1000), 0)</f>
        <v>186</v>
      </c>
    </row>
    <row r="996" spans="1:40" hidden="1">
      <c r="A996" s="1">
        <v>46052</v>
      </c>
      <c r="B996">
        <v>2</v>
      </c>
      <c r="C996">
        <v>12</v>
      </c>
      <c r="D996" t="s">
        <v>141</v>
      </c>
      <c r="E996" t="s">
        <v>34</v>
      </c>
      <c r="F996">
        <v>620599</v>
      </c>
      <c r="G996" s="6">
        <v>0</v>
      </c>
      <c r="H996" t="s">
        <v>50</v>
      </c>
      <c r="I996">
        <v>10685340</v>
      </c>
      <c r="J996">
        <v>4</v>
      </c>
      <c r="K996">
        <v>55</v>
      </c>
      <c r="L996">
        <v>55</v>
      </c>
      <c r="M996">
        <v>1440</v>
      </c>
      <c r="N996" s="2">
        <v>72000</v>
      </c>
      <c r="O996" s="2">
        <v>850</v>
      </c>
      <c r="P996" s="2">
        <v>1125</v>
      </c>
      <c r="Q996" s="2">
        <v>5760</v>
      </c>
      <c r="R996" s="2">
        <v>5400</v>
      </c>
      <c r="S996">
        <v>297</v>
      </c>
      <c r="T996" s="2">
        <v>28125</v>
      </c>
      <c r="U996" s="2">
        <v>43875</v>
      </c>
      <c r="V996">
        <v>316.8</v>
      </c>
      <c r="W996">
        <v>0</v>
      </c>
      <c r="X996">
        <v>0</v>
      </c>
      <c r="Y996">
        <v>0</v>
      </c>
      <c r="Z996">
        <v>4.5</v>
      </c>
      <c r="AA996">
        <v>1.4204545454545454E-2</v>
      </c>
      <c r="AB996">
        <v>29</v>
      </c>
      <c r="AC996">
        <v>11.6</v>
      </c>
      <c r="AD996">
        <v>28</v>
      </c>
      <c r="AE996" s="7"/>
      <c r="AF996" s="7"/>
      <c r="AG996" s="7"/>
      <c r="AH996" s="7"/>
      <c r="AI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0.40000000000000036</v>
      </c>
      <c r="AJ996" s="7"/>
      <c r="AK996" t="s">
        <v>237</v>
      </c>
      <c r="AN996">
        <f>IFERROR(INT(Table13[[#This Row],[reject_prod]]/Table13[[#This Row],[part_weight]] * 1000), 0)</f>
        <v>81</v>
      </c>
    </row>
    <row r="997" spans="1:40" hidden="1">
      <c r="A997" s="1">
        <v>46052</v>
      </c>
      <c r="B997">
        <v>2</v>
      </c>
      <c r="C997">
        <v>13</v>
      </c>
      <c r="D997" t="s">
        <v>112</v>
      </c>
      <c r="E997" t="s">
        <v>46</v>
      </c>
      <c r="F997">
        <v>586276</v>
      </c>
      <c r="G997" s="6">
        <v>0</v>
      </c>
      <c r="H997" t="s">
        <v>47</v>
      </c>
      <c r="I997">
        <v>10684862</v>
      </c>
      <c r="J997">
        <v>6</v>
      </c>
      <c r="K997">
        <v>12.3</v>
      </c>
      <c r="L997">
        <v>12.3</v>
      </c>
      <c r="M997">
        <v>1564</v>
      </c>
      <c r="N997" s="2">
        <v>162000</v>
      </c>
      <c r="O997" s="2">
        <v>6885</v>
      </c>
      <c r="P997" s="2">
        <v>0</v>
      </c>
      <c r="Q997" s="2">
        <v>9384</v>
      </c>
      <c r="R997" s="2">
        <v>16200</v>
      </c>
      <c r="S997">
        <v>199.26</v>
      </c>
      <c r="T997" s="2">
        <v>162000</v>
      </c>
      <c r="U997" s="2">
        <v>0</v>
      </c>
      <c r="V997">
        <v>115.42320000000001</v>
      </c>
      <c r="W997">
        <v>0</v>
      </c>
      <c r="X997">
        <v>0</v>
      </c>
      <c r="Y997">
        <v>0</v>
      </c>
      <c r="Z997">
        <v>0.8</v>
      </c>
      <c r="AA997">
        <v>6.9310156017161192E-3</v>
      </c>
      <c r="AB997">
        <v>26.2</v>
      </c>
      <c r="AC997">
        <v>11.382444444444445</v>
      </c>
      <c r="AD997">
        <v>26</v>
      </c>
      <c r="AE997" s="7"/>
      <c r="AF997" s="7"/>
      <c r="AG997" s="7"/>
      <c r="AH997" s="7"/>
      <c r="AI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0.61755555555555475</v>
      </c>
      <c r="AJ997" s="7"/>
      <c r="AK997" t="s">
        <v>102</v>
      </c>
      <c r="AN997">
        <f>IFERROR(INT(Table13[[#This Row],[reject_prod]]/Table13[[#This Row],[part_weight]] * 1000), 0)</f>
        <v>65</v>
      </c>
    </row>
    <row r="998" spans="1:40" hidden="1">
      <c r="A998" s="1">
        <v>46052</v>
      </c>
      <c r="B998">
        <v>2</v>
      </c>
      <c r="C998">
        <v>13</v>
      </c>
      <c r="D998" t="s">
        <v>112</v>
      </c>
      <c r="E998" t="s">
        <v>46</v>
      </c>
      <c r="F998">
        <v>586276</v>
      </c>
      <c r="G998" s="6">
        <v>0</v>
      </c>
      <c r="H998" t="s">
        <v>47</v>
      </c>
      <c r="I998">
        <v>10686191</v>
      </c>
      <c r="J998">
        <v>6</v>
      </c>
      <c r="K998">
        <v>12.3</v>
      </c>
      <c r="L998">
        <v>12.3</v>
      </c>
      <c r="M998">
        <v>68</v>
      </c>
      <c r="N998" s="2">
        <v>162000</v>
      </c>
      <c r="O998" s="2">
        <v>0</v>
      </c>
      <c r="P998" s="2">
        <v>405</v>
      </c>
      <c r="Q998" s="2">
        <v>408</v>
      </c>
      <c r="R998" s="2">
        <v>0</v>
      </c>
      <c r="S998">
        <v>0</v>
      </c>
      <c r="T998" s="2">
        <v>405</v>
      </c>
      <c r="U998" s="2">
        <v>161595</v>
      </c>
      <c r="V998">
        <v>5.0184000000000006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26.2</v>
      </c>
      <c r="AC998">
        <v>0.49488888888888888</v>
      </c>
      <c r="AD998">
        <v>26</v>
      </c>
      <c r="AE998" s="7"/>
      <c r="AF998" s="7"/>
      <c r="AG998" s="7"/>
      <c r="AH998" s="7"/>
      <c r="AI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11.505111111111111</v>
      </c>
      <c r="AJ998" s="7"/>
      <c r="AK998" t="s">
        <v>51</v>
      </c>
      <c r="AN998">
        <f>IFERROR(INT(Table13[[#This Row],[reject_prod]]/Table13[[#This Row],[part_weight]] * 1000), 0)</f>
        <v>0</v>
      </c>
    </row>
    <row r="999" spans="1:40" hidden="1">
      <c r="A999" s="1">
        <v>46052</v>
      </c>
      <c r="B999">
        <v>2</v>
      </c>
      <c r="C999">
        <v>14</v>
      </c>
      <c r="F999">
        <v>123456</v>
      </c>
      <c r="G999" s="6">
        <v>0</v>
      </c>
      <c r="M999">
        <v>0</v>
      </c>
      <c r="N999" s="2">
        <v>0</v>
      </c>
      <c r="O999" s="2">
        <v>0</v>
      </c>
      <c r="P999" s="2">
        <v>0</v>
      </c>
      <c r="Q999" s="2"/>
      <c r="R999" s="2">
        <v>0</v>
      </c>
      <c r="T999" s="2">
        <v>0</v>
      </c>
      <c r="U999" s="2"/>
      <c r="X999">
        <v>0</v>
      </c>
      <c r="Z999">
        <v>0</v>
      </c>
      <c r="AB999">
        <v>0</v>
      </c>
      <c r="AC999">
        <v>0</v>
      </c>
      <c r="AD999">
        <v>0</v>
      </c>
      <c r="AE999" s="7"/>
      <c r="AF999" s="7"/>
      <c r="AG999" s="7"/>
      <c r="AH999" s="7"/>
      <c r="AI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99" s="7">
        <v>12</v>
      </c>
      <c r="AK999" t="s">
        <v>116</v>
      </c>
      <c r="AN999">
        <f>IFERROR(INT(Table13[[#This Row],[reject_prod]]/Table13[[#This Row],[part_weight]] * 1000), 0)</f>
        <v>0</v>
      </c>
    </row>
    <row r="1000" spans="1:40" hidden="1">
      <c r="A1000" s="1">
        <v>46052</v>
      </c>
      <c r="B1000">
        <v>2</v>
      </c>
      <c r="C1000">
        <v>15</v>
      </c>
      <c r="D1000" t="s">
        <v>599</v>
      </c>
      <c r="E1000" t="s">
        <v>46</v>
      </c>
      <c r="F1000">
        <v>552181</v>
      </c>
      <c r="G1000" s="6">
        <v>2</v>
      </c>
      <c r="H1000" t="s">
        <v>49</v>
      </c>
      <c r="I1000">
        <v>10685541</v>
      </c>
      <c r="J1000">
        <v>6</v>
      </c>
      <c r="K1000">
        <v>18.8</v>
      </c>
      <c r="L1000">
        <v>18.8</v>
      </c>
      <c r="M1000">
        <v>1372</v>
      </c>
      <c r="N1000" s="2">
        <v>108000</v>
      </c>
      <c r="O1000" s="2">
        <v>6210</v>
      </c>
      <c r="P1000" s="2">
        <v>8910</v>
      </c>
      <c r="Q1000" s="2">
        <v>8232</v>
      </c>
      <c r="R1000" s="2">
        <v>5400</v>
      </c>
      <c r="S1000">
        <v>101.52</v>
      </c>
      <c r="T1000" s="2">
        <v>30510</v>
      </c>
      <c r="U1000" s="2">
        <v>77490</v>
      </c>
      <c r="V1000">
        <v>154.76160000000002</v>
      </c>
      <c r="W1000">
        <v>0</v>
      </c>
      <c r="X1000">
        <v>0</v>
      </c>
      <c r="Y1000">
        <v>0</v>
      </c>
      <c r="Z1000">
        <v>2.5</v>
      </c>
      <c r="AA1000">
        <v>1.6153877964559683E-2</v>
      </c>
      <c r="AB1000">
        <v>31.2</v>
      </c>
      <c r="AC1000">
        <v>11.890666666666666</v>
      </c>
      <c r="AD1000">
        <v>27</v>
      </c>
      <c r="AE1000" s="7"/>
      <c r="AF1000" s="7"/>
      <c r="AG1000" s="7"/>
      <c r="AH1000" s="7"/>
      <c r="AI1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0.10933333333333373</v>
      </c>
      <c r="AJ1000" s="7"/>
      <c r="AK1000" t="s">
        <v>615</v>
      </c>
      <c r="AN1000">
        <f>IFERROR(INT(Table13[[#This Row],[reject_prod]]/Table13[[#This Row],[part_weight]] * 1000), 0)</f>
        <v>132</v>
      </c>
    </row>
    <row r="1001" spans="1:40" s="4" customFormat="1" hidden="1">
      <c r="A1001" s="3">
        <v>46052</v>
      </c>
      <c r="B1001" s="4">
        <v>2</v>
      </c>
      <c r="C1001" s="4">
        <v>16</v>
      </c>
      <c r="D1001" s="4" t="s">
        <v>600</v>
      </c>
      <c r="E1001" s="4" t="s">
        <v>46</v>
      </c>
      <c r="F1001" s="4">
        <v>555979</v>
      </c>
      <c r="G1001" s="9">
        <v>2</v>
      </c>
      <c r="H1001" s="4" t="s">
        <v>52</v>
      </c>
      <c r="I1001" s="4">
        <v>10684863</v>
      </c>
      <c r="J1001" s="4">
        <v>6</v>
      </c>
      <c r="K1001" s="4">
        <v>28</v>
      </c>
      <c r="L1001" s="4">
        <v>28</v>
      </c>
      <c r="M1001" s="4">
        <v>962</v>
      </c>
      <c r="N1001" s="5">
        <v>100800</v>
      </c>
      <c r="O1001" s="5">
        <v>168</v>
      </c>
      <c r="P1001" s="5">
        <v>2520</v>
      </c>
      <c r="Q1001" s="5">
        <v>5772</v>
      </c>
      <c r="R1001" s="5">
        <v>3360</v>
      </c>
      <c r="S1001" s="4">
        <v>94.08</v>
      </c>
      <c r="T1001" s="5">
        <v>83160</v>
      </c>
      <c r="U1001" s="5">
        <v>17640</v>
      </c>
      <c r="V1001" s="4">
        <v>161.61600000000001</v>
      </c>
      <c r="W1001" s="4">
        <v>0</v>
      </c>
      <c r="X1001" s="4">
        <v>0</v>
      </c>
      <c r="Y1001" s="4">
        <v>0</v>
      </c>
      <c r="Z1001" s="4">
        <v>1.5</v>
      </c>
      <c r="AA1001" s="4">
        <v>9.2812592812592798E-3</v>
      </c>
      <c r="AB1001" s="4">
        <v>43.4</v>
      </c>
      <c r="AC1001" s="4">
        <v>11.597444444444445</v>
      </c>
      <c r="AD1001" s="4">
        <v>42</v>
      </c>
      <c r="AE1001" s="8"/>
      <c r="AF1001" s="8"/>
      <c r="AG1001" s="8"/>
      <c r="AH1001" s="8"/>
      <c r="AI1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0.40255555555555489</v>
      </c>
      <c r="AJ1001" s="8"/>
      <c r="AK1001" s="4" t="s">
        <v>51</v>
      </c>
      <c r="AN1001">
        <f>IFERROR(INT(Table13[[#This Row],[reject_prod]]/Table13[[#This Row],[part_weight]] * 1000), 0)</f>
        <v>53</v>
      </c>
    </row>
    <row r="1002" spans="1:40" hidden="1">
      <c r="A1002" s="1">
        <v>46053</v>
      </c>
      <c r="B1002">
        <v>1</v>
      </c>
      <c r="C1002">
        <v>1</v>
      </c>
      <c r="D1002" t="s">
        <v>616</v>
      </c>
      <c r="E1002" t="s">
        <v>34</v>
      </c>
      <c r="F1002">
        <v>347623</v>
      </c>
      <c r="G1002" s="6">
        <v>0</v>
      </c>
      <c r="H1002" t="s">
        <v>35</v>
      </c>
      <c r="I1002">
        <v>10685631</v>
      </c>
      <c r="J1002">
        <v>4</v>
      </c>
      <c r="K1002">
        <v>35.6</v>
      </c>
      <c r="L1002">
        <v>35.6</v>
      </c>
      <c r="M1002">
        <v>1565</v>
      </c>
      <c r="N1002" s="2">
        <v>36800</v>
      </c>
      <c r="O1002" s="2">
        <v>0</v>
      </c>
      <c r="P1002" s="2">
        <v>736</v>
      </c>
      <c r="Q1002" s="2">
        <v>6260</v>
      </c>
      <c r="R1002" s="2">
        <v>5520</v>
      </c>
      <c r="S1002">
        <v>196.512</v>
      </c>
      <c r="T1002" s="2">
        <v>13616</v>
      </c>
      <c r="U1002" s="2">
        <v>23184</v>
      </c>
      <c r="V1002">
        <v>222.85599999999999</v>
      </c>
      <c r="W1002">
        <v>0</v>
      </c>
      <c r="X1002">
        <v>0</v>
      </c>
      <c r="Y1002">
        <v>0</v>
      </c>
      <c r="Z1002">
        <v>3</v>
      </c>
      <c r="AA1002">
        <v>1.3461607495423054E-2</v>
      </c>
      <c r="AB1002">
        <v>27.2</v>
      </c>
      <c r="AC1002">
        <v>11.824444444444444</v>
      </c>
      <c r="AD1002">
        <v>27</v>
      </c>
      <c r="AE1002" s="7"/>
      <c r="AF1002" s="7"/>
      <c r="AG1002" s="7"/>
      <c r="AH1002" s="7"/>
      <c r="AI1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0.17555555555555635</v>
      </c>
      <c r="AJ1002" s="7"/>
      <c r="AK1002" t="s">
        <v>51</v>
      </c>
      <c r="AL1002">
        <v>1</v>
      </c>
      <c r="AM1002">
        <v>3</v>
      </c>
      <c r="AN1002">
        <f>IFERROR(INT(Table13[[#This Row],[reject_prod]]/Table13[[#This Row],[part_weight]] * 1000), 0)</f>
        <v>84</v>
      </c>
    </row>
    <row r="1003" spans="1:40" hidden="1">
      <c r="A1003" s="1">
        <v>46053</v>
      </c>
      <c r="B1003">
        <v>1</v>
      </c>
      <c r="C1003">
        <v>2</v>
      </c>
      <c r="D1003" t="s">
        <v>617</v>
      </c>
      <c r="E1003" t="s">
        <v>34</v>
      </c>
      <c r="F1003">
        <v>416201</v>
      </c>
      <c r="G1003" s="6">
        <v>0</v>
      </c>
      <c r="H1003" t="s">
        <v>36</v>
      </c>
      <c r="I1003">
        <v>10681779</v>
      </c>
      <c r="J1003">
        <v>4</v>
      </c>
      <c r="K1003">
        <v>20</v>
      </c>
      <c r="L1003">
        <v>30</v>
      </c>
      <c r="M1003">
        <v>1320</v>
      </c>
      <c r="N1003" s="2">
        <v>50400</v>
      </c>
      <c r="O1003" s="2">
        <v>3780</v>
      </c>
      <c r="P1003" s="2">
        <v>3780</v>
      </c>
      <c r="Q1003" s="2">
        <v>5280</v>
      </c>
      <c r="R1003" s="2">
        <v>5040</v>
      </c>
      <c r="S1003">
        <v>151.19999999999999</v>
      </c>
      <c r="T1003" s="2">
        <v>23940</v>
      </c>
      <c r="U1003" s="2">
        <v>26460</v>
      </c>
      <c r="V1003">
        <v>158.4</v>
      </c>
      <c r="W1003">
        <v>0</v>
      </c>
      <c r="X1003">
        <v>0</v>
      </c>
      <c r="Y1003">
        <v>0</v>
      </c>
      <c r="Z1003">
        <v>17</v>
      </c>
      <c r="AA1003">
        <v>0.10732323232323232</v>
      </c>
      <c r="AB1003">
        <v>31.3</v>
      </c>
      <c r="AC1003">
        <v>11.476666666666667</v>
      </c>
      <c r="AD1003">
        <v>38.64</v>
      </c>
      <c r="AE1003" s="7"/>
      <c r="AF1003" s="7"/>
      <c r="AG1003" s="7"/>
      <c r="AH1003" s="7"/>
      <c r="AI1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1003" s="7"/>
      <c r="AK1003" t="s">
        <v>624</v>
      </c>
      <c r="AN1003">
        <f>IFERROR(INT(Table13[[#This Row],[reject_prod]]/Table13[[#This Row],[part_weight]] * 1000), 0)</f>
        <v>566</v>
      </c>
    </row>
    <row r="1004" spans="1:40" hidden="1">
      <c r="A1004" s="1">
        <v>46053</v>
      </c>
      <c r="B1004">
        <v>1</v>
      </c>
      <c r="C1004">
        <v>3</v>
      </c>
      <c r="D1004" t="s">
        <v>427</v>
      </c>
      <c r="E1004" t="s">
        <v>34</v>
      </c>
      <c r="F1004">
        <v>442034</v>
      </c>
      <c r="G1004" s="6">
        <v>0</v>
      </c>
      <c r="H1004" t="s">
        <v>37</v>
      </c>
      <c r="I1004">
        <v>10681184</v>
      </c>
      <c r="J1004">
        <v>4</v>
      </c>
      <c r="K1004">
        <v>23</v>
      </c>
      <c r="L1004">
        <v>23</v>
      </c>
      <c r="M1004">
        <v>1530</v>
      </c>
      <c r="N1004" s="2">
        <v>139776</v>
      </c>
      <c r="O1004" s="2">
        <v>768</v>
      </c>
      <c r="P1004" s="2">
        <v>2304</v>
      </c>
      <c r="Q1004" s="2">
        <v>6120</v>
      </c>
      <c r="R1004" s="2">
        <v>4608</v>
      </c>
      <c r="S1004">
        <v>105.98399999999999</v>
      </c>
      <c r="T1004" s="2">
        <v>122112</v>
      </c>
      <c r="U1004" s="2">
        <v>17664</v>
      </c>
      <c r="V1004">
        <v>140.76</v>
      </c>
      <c r="W1004">
        <v>0</v>
      </c>
      <c r="X1004">
        <v>0</v>
      </c>
      <c r="Y1004">
        <v>0</v>
      </c>
      <c r="Z1004">
        <v>2</v>
      </c>
      <c r="AA1004">
        <v>1.4208581983518046E-2</v>
      </c>
      <c r="AB1004">
        <v>28.5</v>
      </c>
      <c r="AC1004">
        <v>12</v>
      </c>
      <c r="AD1004">
        <v>22</v>
      </c>
      <c r="AE1004" s="7"/>
      <c r="AF1004" s="7"/>
      <c r="AG1004" s="7"/>
      <c r="AH1004" s="7"/>
      <c r="AI1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4" s="7"/>
      <c r="AK1004" t="s">
        <v>168</v>
      </c>
      <c r="AN1004">
        <f>IFERROR(INT(Table13[[#This Row],[reject_prod]]/Table13[[#This Row],[part_weight]] * 1000), 0)</f>
        <v>86</v>
      </c>
    </row>
    <row r="1005" spans="1:40" hidden="1">
      <c r="A1005" s="1">
        <v>46053</v>
      </c>
      <c r="B1005">
        <v>1</v>
      </c>
      <c r="C1005">
        <v>4</v>
      </c>
      <c r="D1005" t="s">
        <v>88</v>
      </c>
      <c r="E1005" t="s">
        <v>34</v>
      </c>
      <c r="F1005">
        <v>414439</v>
      </c>
      <c r="G1005" s="6">
        <v>0</v>
      </c>
      <c r="H1005" t="s">
        <v>587</v>
      </c>
      <c r="I1005">
        <v>10684854</v>
      </c>
      <c r="J1005">
        <v>6</v>
      </c>
      <c r="K1005">
        <v>23</v>
      </c>
      <c r="L1005">
        <v>15</v>
      </c>
      <c r="M1005">
        <v>1570</v>
      </c>
      <c r="N1005" s="2">
        <v>59136</v>
      </c>
      <c r="O1005" s="2">
        <v>0</v>
      </c>
      <c r="P1005" s="2">
        <v>6160</v>
      </c>
      <c r="Q1005" s="2">
        <v>9420</v>
      </c>
      <c r="R1005" s="2">
        <v>0</v>
      </c>
      <c r="S1005">
        <v>0</v>
      </c>
      <c r="T1005" s="2">
        <v>6160</v>
      </c>
      <c r="U1005" s="2">
        <v>52976</v>
      </c>
      <c r="V1005">
        <v>141.30000000000001</v>
      </c>
      <c r="W1005">
        <v>0</v>
      </c>
      <c r="X1005">
        <v>8</v>
      </c>
      <c r="Y1005">
        <v>5.6617126680820945E-2</v>
      </c>
      <c r="Z1005">
        <v>0.5</v>
      </c>
      <c r="AA1005">
        <v>3.5385704175513091E-3</v>
      </c>
      <c r="AB1005">
        <v>19.86</v>
      </c>
      <c r="AC1005">
        <v>8.6611666666666665</v>
      </c>
      <c r="AD1005">
        <v>15</v>
      </c>
      <c r="AE1005" s="7"/>
      <c r="AF1005" s="7"/>
      <c r="AG1005" s="7"/>
      <c r="AH1005" s="7"/>
      <c r="AI1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3.3388333333333335</v>
      </c>
      <c r="AJ1005" s="7"/>
      <c r="AK1005" t="s">
        <v>625</v>
      </c>
      <c r="AL1005">
        <v>3</v>
      </c>
      <c r="AM1005">
        <v>3</v>
      </c>
      <c r="AN1005">
        <f>IFERROR(INT(Table13[[#This Row],[reject_prod]]/Table13[[#This Row],[part_weight]] * 1000), 0)</f>
        <v>33</v>
      </c>
    </row>
    <row r="1006" spans="1:40" hidden="1">
      <c r="A1006" s="1">
        <v>46053</v>
      </c>
      <c r="B1006">
        <v>1</v>
      </c>
      <c r="C1006">
        <v>5</v>
      </c>
      <c r="D1006" t="s">
        <v>618</v>
      </c>
      <c r="E1006" t="s">
        <v>34</v>
      </c>
      <c r="F1006">
        <v>322394</v>
      </c>
      <c r="G1006" s="6">
        <v>0</v>
      </c>
      <c r="H1006" t="s">
        <v>605</v>
      </c>
      <c r="I1006">
        <v>10685208</v>
      </c>
      <c r="J1006">
        <v>4</v>
      </c>
      <c r="K1006">
        <v>20</v>
      </c>
      <c r="L1006">
        <v>20</v>
      </c>
      <c r="M1006">
        <v>1820</v>
      </c>
      <c r="N1006" s="2">
        <v>11520</v>
      </c>
      <c r="O1006" s="2">
        <v>720</v>
      </c>
      <c r="P1006" s="2">
        <v>7920</v>
      </c>
      <c r="Q1006" s="2">
        <v>7280</v>
      </c>
      <c r="R1006" s="2">
        <v>0</v>
      </c>
      <c r="S1006">
        <v>0</v>
      </c>
      <c r="T1006" s="2">
        <v>7920</v>
      </c>
      <c r="U1006" s="2">
        <v>3600</v>
      </c>
      <c r="V1006">
        <v>145.6</v>
      </c>
      <c r="W1006">
        <v>0</v>
      </c>
      <c r="X1006">
        <v>0</v>
      </c>
      <c r="Y1006">
        <v>0</v>
      </c>
      <c r="Z1006">
        <v>2</v>
      </c>
      <c r="AA1006">
        <v>1.3736263736263736E-2</v>
      </c>
      <c r="AB1006">
        <v>21.9</v>
      </c>
      <c r="AC1006">
        <v>11.071666666666665</v>
      </c>
      <c r="AD1006">
        <v>19.14</v>
      </c>
      <c r="AE1006" s="7"/>
      <c r="AF1006" s="7"/>
      <c r="AG1006" s="7"/>
      <c r="AH1006" s="7"/>
      <c r="AI1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0.92833333333333456</v>
      </c>
      <c r="AJ1006" s="7"/>
      <c r="AK1006" t="s">
        <v>626</v>
      </c>
      <c r="AL1006">
        <v>3</v>
      </c>
      <c r="AM1006">
        <v>5</v>
      </c>
      <c r="AN1006">
        <f>IFERROR(INT(Table13[[#This Row],[reject_prod]]/Table13[[#This Row],[part_weight]] * 1000), 0)</f>
        <v>100</v>
      </c>
    </row>
    <row r="1007" spans="1:40" hidden="1">
      <c r="A1007" s="1">
        <v>46053</v>
      </c>
      <c r="B1007">
        <v>1</v>
      </c>
      <c r="C1007">
        <v>6</v>
      </c>
      <c r="D1007" t="s">
        <v>619</v>
      </c>
      <c r="E1007" t="s">
        <v>34</v>
      </c>
      <c r="F1007">
        <v>324174</v>
      </c>
      <c r="G1007" s="6">
        <v>0</v>
      </c>
      <c r="H1007" t="s">
        <v>558</v>
      </c>
      <c r="I1007">
        <v>10684855</v>
      </c>
      <c r="J1007">
        <v>4</v>
      </c>
      <c r="K1007">
        <v>24</v>
      </c>
      <c r="L1007">
        <v>24</v>
      </c>
      <c r="M1007">
        <v>1780</v>
      </c>
      <c r="N1007" s="2">
        <v>20300</v>
      </c>
      <c r="O1007" s="2">
        <v>1624</v>
      </c>
      <c r="P1007" s="2">
        <v>609</v>
      </c>
      <c r="Q1007" s="2">
        <v>7120</v>
      </c>
      <c r="R1007" s="2">
        <v>8120</v>
      </c>
      <c r="S1007">
        <v>194.88</v>
      </c>
      <c r="T1007" s="2">
        <v>10759</v>
      </c>
      <c r="U1007" s="2">
        <v>9541</v>
      </c>
      <c r="V1007">
        <v>170.88</v>
      </c>
      <c r="W1007">
        <v>0</v>
      </c>
      <c r="X1007">
        <v>0</v>
      </c>
      <c r="Y1007">
        <v>0</v>
      </c>
      <c r="Z1007">
        <v>1</v>
      </c>
      <c r="AA1007">
        <v>5.8520599250936334E-3</v>
      </c>
      <c r="AB1007">
        <v>21.3</v>
      </c>
      <c r="AC1007">
        <v>10.531666666666668</v>
      </c>
      <c r="AD1007">
        <v>20.12</v>
      </c>
      <c r="AE1007" s="7"/>
      <c r="AF1007" s="7"/>
      <c r="AG1007" s="7"/>
      <c r="AH1007" s="7"/>
      <c r="AI1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1.4683333333333319</v>
      </c>
      <c r="AJ1007" s="7"/>
      <c r="AK1007" t="s">
        <v>103</v>
      </c>
      <c r="AM1007">
        <v>1</v>
      </c>
      <c r="AN1007">
        <f>IFERROR(INT(Table13[[#This Row],[reject_prod]]/Table13[[#This Row],[part_weight]] * 1000), 0)</f>
        <v>41</v>
      </c>
    </row>
    <row r="1008" spans="1:40" hidden="1">
      <c r="A1008" s="1">
        <v>46053</v>
      </c>
      <c r="B1008">
        <v>1</v>
      </c>
      <c r="C1008">
        <v>7</v>
      </c>
      <c r="D1008" t="s">
        <v>620</v>
      </c>
      <c r="E1008" t="s">
        <v>34</v>
      </c>
      <c r="F1008">
        <v>323072</v>
      </c>
      <c r="G1008" s="6">
        <v>0</v>
      </c>
      <c r="H1008" t="s">
        <v>590</v>
      </c>
      <c r="I1008">
        <v>10684033</v>
      </c>
      <c r="J1008">
        <v>4</v>
      </c>
      <c r="K1008">
        <v>34.5</v>
      </c>
      <c r="L1008">
        <v>34.5</v>
      </c>
      <c r="M1008">
        <v>1612</v>
      </c>
      <c r="N1008" s="2">
        <v>24768</v>
      </c>
      <c r="O1008" s="2">
        <v>387</v>
      </c>
      <c r="P1008" s="2">
        <v>645</v>
      </c>
      <c r="Q1008" s="2">
        <v>6448</v>
      </c>
      <c r="R1008" s="2">
        <v>6192</v>
      </c>
      <c r="S1008">
        <v>213.624</v>
      </c>
      <c r="T1008" s="2">
        <v>19221</v>
      </c>
      <c r="U1008" s="2">
        <v>5547</v>
      </c>
      <c r="V1008">
        <v>222.45599999999999</v>
      </c>
      <c r="W1008">
        <v>0</v>
      </c>
      <c r="X1008">
        <v>0</v>
      </c>
      <c r="Y1008">
        <v>0</v>
      </c>
      <c r="Z1008">
        <v>5</v>
      </c>
      <c r="AA1008">
        <v>2.2476354874671846E-2</v>
      </c>
      <c r="AB1008">
        <v>26.8</v>
      </c>
      <c r="AC1008">
        <v>12</v>
      </c>
      <c r="AD1008">
        <v>16.2</v>
      </c>
      <c r="AE1008" s="7"/>
      <c r="AF1008" s="7"/>
      <c r="AG1008" s="7"/>
      <c r="AH1008" s="7"/>
      <c r="AI1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8" s="7"/>
      <c r="AK1008" t="s">
        <v>103</v>
      </c>
      <c r="AM1008">
        <v>4</v>
      </c>
      <c r="AN1008">
        <f>IFERROR(INT(Table13[[#This Row],[reject_prod]]/Table13[[#This Row],[part_weight]] * 1000), 0)</f>
        <v>144</v>
      </c>
    </row>
    <row r="1009" spans="1:40" hidden="1">
      <c r="A1009" s="1">
        <v>46053</v>
      </c>
      <c r="B1009">
        <v>1</v>
      </c>
      <c r="C1009">
        <v>8</v>
      </c>
      <c r="D1009" t="s">
        <v>289</v>
      </c>
      <c r="E1009" t="s">
        <v>41</v>
      </c>
      <c r="F1009">
        <v>593537</v>
      </c>
      <c r="G1009" s="6">
        <v>0</v>
      </c>
      <c r="H1009" t="s">
        <v>48</v>
      </c>
      <c r="I1009">
        <v>10685337</v>
      </c>
      <c r="J1009">
        <v>4</v>
      </c>
      <c r="K1009">
        <v>56.5</v>
      </c>
      <c r="L1009">
        <v>56.8</v>
      </c>
      <c r="M1009">
        <v>1352</v>
      </c>
      <c r="N1009" s="2">
        <v>69000</v>
      </c>
      <c r="O1009" s="2">
        <v>0</v>
      </c>
      <c r="P1009" s="2">
        <v>230</v>
      </c>
      <c r="Q1009" s="2">
        <v>5408</v>
      </c>
      <c r="R1009" s="2">
        <v>5175</v>
      </c>
      <c r="S1009">
        <v>293.94</v>
      </c>
      <c r="T1009" s="2">
        <v>62905</v>
      </c>
      <c r="U1009" s="2">
        <v>6095</v>
      </c>
      <c r="V1009">
        <v>307.17439999999999</v>
      </c>
      <c r="W1009">
        <v>0</v>
      </c>
      <c r="X1009">
        <v>0</v>
      </c>
      <c r="Y1009">
        <v>0</v>
      </c>
      <c r="Z1009">
        <v>1</v>
      </c>
      <c r="AA1009">
        <v>3.2554796233019421E-3</v>
      </c>
      <c r="AB1009">
        <v>29.9</v>
      </c>
      <c r="AC1009">
        <v>11.229111111111111</v>
      </c>
      <c r="AD1009">
        <v>28.5</v>
      </c>
      <c r="AE1009" s="7"/>
      <c r="AF1009" s="7"/>
      <c r="AG1009" s="7"/>
      <c r="AH1009" s="7"/>
      <c r="AI1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0.77088888888888896</v>
      </c>
      <c r="AJ1009" s="7"/>
      <c r="AK1009" t="s">
        <v>178</v>
      </c>
      <c r="AM1009">
        <v>0.5</v>
      </c>
      <c r="AN1009">
        <f>IFERROR(INT(Table13[[#This Row],[reject_prod]]/Table13[[#This Row],[part_weight]] * 1000), 0)</f>
        <v>17</v>
      </c>
    </row>
    <row r="1010" spans="1:40" hidden="1">
      <c r="A1010" s="1">
        <v>46053</v>
      </c>
      <c r="B1010">
        <v>1</v>
      </c>
      <c r="C1010">
        <v>9</v>
      </c>
      <c r="D1010" t="s">
        <v>56</v>
      </c>
      <c r="E1010" t="s">
        <v>46</v>
      </c>
      <c r="F1010">
        <v>586276</v>
      </c>
      <c r="G1010" s="6">
        <v>0</v>
      </c>
      <c r="H1010" t="s">
        <v>47</v>
      </c>
      <c r="I1010">
        <v>10682924</v>
      </c>
      <c r="J1010">
        <v>6</v>
      </c>
      <c r="K1010">
        <v>12.3</v>
      </c>
      <c r="L1010">
        <v>12.3</v>
      </c>
      <c r="M1010">
        <v>1620</v>
      </c>
      <c r="N1010" s="2">
        <v>162000</v>
      </c>
      <c r="O1010" s="2">
        <v>6075</v>
      </c>
      <c r="P1010" s="2">
        <v>7695</v>
      </c>
      <c r="Q1010" s="2">
        <v>9720</v>
      </c>
      <c r="R1010" s="2">
        <v>8100</v>
      </c>
      <c r="S1010">
        <v>99.63</v>
      </c>
      <c r="T1010" s="2">
        <v>121095</v>
      </c>
      <c r="U1010" s="2">
        <v>40905</v>
      </c>
      <c r="V1010">
        <v>119.556</v>
      </c>
      <c r="W1010">
        <v>0</v>
      </c>
      <c r="X1010">
        <v>0</v>
      </c>
      <c r="Y1010">
        <v>0</v>
      </c>
      <c r="Z1010">
        <v>0.5</v>
      </c>
      <c r="AA1010">
        <v>4.1821405868379671E-3</v>
      </c>
      <c r="AB1010">
        <v>26.6</v>
      </c>
      <c r="AC1010">
        <v>11.97</v>
      </c>
      <c r="AD1010">
        <v>26</v>
      </c>
      <c r="AE1010" s="7"/>
      <c r="AF1010" s="7"/>
      <c r="AG1010" s="7"/>
      <c r="AH1010" s="7"/>
      <c r="AI1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010" s="7"/>
      <c r="AK1010" t="s">
        <v>51</v>
      </c>
      <c r="AN1010">
        <f>IFERROR(INT(Table13[[#This Row],[reject_prod]]/Table13[[#This Row],[part_weight]] * 1000), 0)</f>
        <v>40</v>
      </c>
    </row>
    <row r="1011" spans="1:40" hidden="1">
      <c r="A1011" s="1">
        <v>46053</v>
      </c>
      <c r="B1011">
        <v>1</v>
      </c>
      <c r="C1011">
        <v>10</v>
      </c>
      <c r="D1011" t="s">
        <v>84</v>
      </c>
      <c r="E1011" t="s">
        <v>34</v>
      </c>
      <c r="F1011">
        <v>323133</v>
      </c>
      <c r="G1011" s="6">
        <v>0</v>
      </c>
      <c r="H1011" t="s">
        <v>568</v>
      </c>
      <c r="I1011">
        <v>10684859</v>
      </c>
      <c r="J1011">
        <v>4</v>
      </c>
      <c r="K1011">
        <v>77</v>
      </c>
      <c r="L1011">
        <v>77</v>
      </c>
      <c r="M1011">
        <v>360</v>
      </c>
      <c r="N1011" s="2">
        <v>19872</v>
      </c>
      <c r="O1011" s="2">
        <v>0</v>
      </c>
      <c r="P1011" s="2">
        <v>0</v>
      </c>
      <c r="Q1011" s="2">
        <v>1440</v>
      </c>
      <c r="R1011" s="2">
        <v>1380</v>
      </c>
      <c r="S1011">
        <v>106.26</v>
      </c>
      <c r="T1011" s="2">
        <v>19872</v>
      </c>
      <c r="U1011" s="2">
        <v>0</v>
      </c>
      <c r="V1011">
        <v>110.88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38.6</v>
      </c>
      <c r="AC1011">
        <v>3.8600000000000003</v>
      </c>
      <c r="AD1011">
        <v>35</v>
      </c>
      <c r="AE1011" s="7"/>
      <c r="AF1011" s="7"/>
      <c r="AG1011" s="7"/>
      <c r="AH1011" s="7"/>
      <c r="AI1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8.14</v>
      </c>
      <c r="AJ1011" s="7"/>
      <c r="AK1011" t="s">
        <v>102</v>
      </c>
      <c r="AM1011">
        <v>6</v>
      </c>
      <c r="AN1011">
        <f>IFERROR(INT(Table13[[#This Row],[reject_prod]]/Table13[[#This Row],[part_weight]] * 1000), 0)</f>
        <v>0</v>
      </c>
    </row>
    <row r="1012" spans="1:40" hidden="1">
      <c r="A1012" s="1">
        <v>46053</v>
      </c>
      <c r="B1012">
        <v>1</v>
      </c>
      <c r="C1012">
        <v>10</v>
      </c>
      <c r="D1012" t="s">
        <v>84</v>
      </c>
      <c r="E1012" t="s">
        <v>34</v>
      </c>
      <c r="F1012">
        <v>323133</v>
      </c>
      <c r="G1012" s="6">
        <v>0</v>
      </c>
      <c r="H1012" t="s">
        <v>568</v>
      </c>
      <c r="I1012">
        <v>10685638</v>
      </c>
      <c r="J1012">
        <v>4</v>
      </c>
      <c r="K1012">
        <v>77</v>
      </c>
      <c r="L1012">
        <v>77</v>
      </c>
      <c r="M1012">
        <v>580</v>
      </c>
      <c r="N1012" s="2">
        <v>13248</v>
      </c>
      <c r="O1012" s="2">
        <v>0</v>
      </c>
      <c r="P1012" s="2">
        <v>69</v>
      </c>
      <c r="Q1012" s="2">
        <v>2320</v>
      </c>
      <c r="R1012" s="2">
        <v>2208</v>
      </c>
      <c r="S1012">
        <v>170.01599999999999</v>
      </c>
      <c r="T1012" s="2">
        <v>2208</v>
      </c>
      <c r="U1012" s="2">
        <v>11040</v>
      </c>
      <c r="V1012">
        <v>178.64</v>
      </c>
      <c r="W1012">
        <v>0</v>
      </c>
      <c r="X1012">
        <v>0</v>
      </c>
      <c r="Y1012">
        <v>0</v>
      </c>
      <c r="Z1012">
        <v>6</v>
      </c>
      <c r="AA1012">
        <v>3.3587102552619798E-2</v>
      </c>
      <c r="AB1012">
        <v>38.6</v>
      </c>
      <c r="AC1012">
        <v>6.2188888888888894</v>
      </c>
      <c r="AD1012">
        <v>35</v>
      </c>
      <c r="AE1012" s="7"/>
      <c r="AF1012" s="7"/>
      <c r="AG1012" s="7"/>
      <c r="AH1012" s="7"/>
      <c r="AI1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5.7811111111111106</v>
      </c>
      <c r="AJ1012" s="7"/>
      <c r="AK1012" t="s">
        <v>227</v>
      </c>
      <c r="AN1012">
        <f>IFERROR(INT(Table13[[#This Row],[reject_prod]]/Table13[[#This Row],[part_weight]] * 1000), 0)</f>
        <v>77</v>
      </c>
    </row>
    <row r="1013" spans="1:40" hidden="1">
      <c r="A1013" s="1">
        <v>46053</v>
      </c>
      <c r="B1013">
        <v>1</v>
      </c>
      <c r="C1013">
        <v>11</v>
      </c>
      <c r="D1013" t="s">
        <v>59</v>
      </c>
      <c r="E1013" t="s">
        <v>46</v>
      </c>
      <c r="F1013">
        <v>552181</v>
      </c>
      <c r="G1013" s="6">
        <v>1</v>
      </c>
      <c r="H1013" t="s">
        <v>49</v>
      </c>
      <c r="I1013">
        <v>10685338</v>
      </c>
      <c r="J1013">
        <v>6</v>
      </c>
      <c r="K1013">
        <v>18.8</v>
      </c>
      <c r="L1013">
        <v>18.8</v>
      </c>
      <c r="M1013">
        <v>200</v>
      </c>
      <c r="N1013" s="2">
        <v>108000</v>
      </c>
      <c r="O1013" s="2">
        <v>16470</v>
      </c>
      <c r="P1013" s="2">
        <v>1080</v>
      </c>
      <c r="Q1013" s="2">
        <v>1200</v>
      </c>
      <c r="R1013" s="2">
        <v>0</v>
      </c>
      <c r="S1013">
        <v>0</v>
      </c>
      <c r="T1013" s="2">
        <v>60750</v>
      </c>
      <c r="U1013" s="2">
        <v>47250</v>
      </c>
      <c r="V1013">
        <v>22.56</v>
      </c>
      <c r="W1013">
        <v>0</v>
      </c>
      <c r="X1013">
        <v>5</v>
      </c>
      <c r="Y1013">
        <v>0.22163120567375888</v>
      </c>
      <c r="Z1013">
        <v>24</v>
      </c>
      <c r="AA1013">
        <v>1.0638297872340425</v>
      </c>
      <c r="AB1013">
        <v>28.7</v>
      </c>
      <c r="AC1013">
        <v>1.5944444444444446</v>
      </c>
      <c r="AD1013">
        <v>27</v>
      </c>
      <c r="AE1013" s="7"/>
      <c r="AF1013" s="7"/>
      <c r="AG1013" s="7"/>
      <c r="AH1013" s="7"/>
      <c r="AI1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10.405555555555555</v>
      </c>
      <c r="AJ1013" s="7"/>
      <c r="AK1013" t="s">
        <v>627</v>
      </c>
      <c r="AN1013">
        <f>IFERROR(INT(Table13[[#This Row],[reject_prod]]/Table13[[#This Row],[part_weight]] * 1000), 0)</f>
        <v>1276</v>
      </c>
    </row>
    <row r="1014" spans="1:40" hidden="1">
      <c r="A1014" s="1">
        <v>46053</v>
      </c>
      <c r="B1014">
        <v>1</v>
      </c>
      <c r="C1014">
        <v>12</v>
      </c>
      <c r="D1014" t="s">
        <v>54</v>
      </c>
      <c r="E1014" t="s">
        <v>34</v>
      </c>
      <c r="F1014">
        <v>620599</v>
      </c>
      <c r="G1014" s="6">
        <v>0</v>
      </c>
      <c r="H1014" t="s">
        <v>50</v>
      </c>
      <c r="I1014">
        <v>10685340</v>
      </c>
      <c r="J1014">
        <v>4</v>
      </c>
      <c r="K1014">
        <v>55</v>
      </c>
      <c r="L1014">
        <v>55</v>
      </c>
      <c r="M1014">
        <v>1350</v>
      </c>
      <c r="N1014" s="2">
        <v>72000</v>
      </c>
      <c r="O1014" s="2">
        <v>1125</v>
      </c>
      <c r="P1014" s="2">
        <v>1125</v>
      </c>
      <c r="Q1014" s="2">
        <v>5400</v>
      </c>
      <c r="R1014" s="2">
        <v>5400</v>
      </c>
      <c r="S1014">
        <v>297</v>
      </c>
      <c r="T1014" s="2">
        <v>33525</v>
      </c>
      <c r="U1014" s="2">
        <v>38475</v>
      </c>
      <c r="V1014">
        <v>297</v>
      </c>
      <c r="W1014">
        <v>0</v>
      </c>
      <c r="X1014">
        <v>0</v>
      </c>
      <c r="Y1014">
        <v>0</v>
      </c>
      <c r="Z1014">
        <v>7</v>
      </c>
      <c r="AA1014">
        <v>2.3569023569023569E-2</v>
      </c>
      <c r="AB1014">
        <v>29</v>
      </c>
      <c r="AC1014">
        <v>10.875</v>
      </c>
      <c r="AD1014">
        <v>28</v>
      </c>
      <c r="AE1014" s="7"/>
      <c r="AF1014" s="7"/>
      <c r="AG1014" s="7"/>
      <c r="AH1014" s="7"/>
      <c r="AI1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1.125</v>
      </c>
      <c r="AJ1014" s="7"/>
      <c r="AK1014" t="s">
        <v>628</v>
      </c>
      <c r="AN1014">
        <f>IFERROR(INT(Table13[[#This Row],[reject_prod]]/Table13[[#This Row],[part_weight]] * 1000), 0)</f>
        <v>127</v>
      </c>
    </row>
    <row r="1015" spans="1:40" hidden="1">
      <c r="A1015" s="1">
        <v>46053</v>
      </c>
      <c r="B1015">
        <v>1</v>
      </c>
      <c r="C1015">
        <v>13</v>
      </c>
      <c r="D1015" t="s">
        <v>59</v>
      </c>
      <c r="E1015" t="s">
        <v>46</v>
      </c>
      <c r="F1015">
        <v>586276</v>
      </c>
      <c r="G1015" s="6">
        <v>0</v>
      </c>
      <c r="H1015" t="s">
        <v>47</v>
      </c>
      <c r="I1015">
        <v>10686191</v>
      </c>
      <c r="J1015">
        <v>6</v>
      </c>
      <c r="K1015">
        <v>12.3</v>
      </c>
      <c r="L1015">
        <v>12.3</v>
      </c>
      <c r="M1015">
        <v>1620</v>
      </c>
      <c r="N1015" s="2">
        <v>162000</v>
      </c>
      <c r="O1015" s="2">
        <v>405</v>
      </c>
      <c r="P1015" s="2">
        <v>2025</v>
      </c>
      <c r="Q1015" s="2">
        <v>9720</v>
      </c>
      <c r="R1015" s="2">
        <v>8100</v>
      </c>
      <c r="S1015">
        <v>99.63</v>
      </c>
      <c r="T1015" s="2">
        <v>10125</v>
      </c>
      <c r="U1015" s="2">
        <v>151875</v>
      </c>
      <c r="V1015">
        <v>119.556</v>
      </c>
      <c r="W1015">
        <v>0</v>
      </c>
      <c r="X1015">
        <v>0</v>
      </c>
      <c r="Y1015">
        <v>0</v>
      </c>
      <c r="Z1015">
        <v>0.5</v>
      </c>
      <c r="AA1015">
        <v>4.1821405868379671E-3</v>
      </c>
      <c r="AB1015">
        <v>26.2</v>
      </c>
      <c r="AC1015">
        <v>11.790000000000001</v>
      </c>
      <c r="AD1015">
        <v>26</v>
      </c>
      <c r="AE1015" s="7"/>
      <c r="AF1015" s="7"/>
      <c r="AG1015" s="7"/>
      <c r="AH1015" s="7"/>
      <c r="AI1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015" s="7"/>
      <c r="AK1015" t="s">
        <v>51</v>
      </c>
      <c r="AN1015">
        <f>IFERROR(INT(Table13[[#This Row],[reject_prod]]/Table13[[#This Row],[part_weight]] * 1000), 0)</f>
        <v>40</v>
      </c>
    </row>
    <row r="1016" spans="1:40" hidden="1">
      <c r="A1016" s="1">
        <v>46053</v>
      </c>
      <c r="B1016">
        <v>1</v>
      </c>
      <c r="C1016">
        <v>14</v>
      </c>
      <c r="F1016">
        <v>123456</v>
      </c>
      <c r="G1016" s="6">
        <v>0</v>
      </c>
      <c r="M1016">
        <v>0</v>
      </c>
      <c r="N1016" s="2">
        <v>0</v>
      </c>
      <c r="O1016" s="2">
        <v>0</v>
      </c>
      <c r="P1016" s="2">
        <v>0</v>
      </c>
      <c r="Q1016" s="2"/>
      <c r="R1016" s="2">
        <v>0</v>
      </c>
      <c r="T1016" s="2">
        <v>0</v>
      </c>
      <c r="U1016" s="2"/>
      <c r="X1016">
        <v>0</v>
      </c>
      <c r="Z1016">
        <v>0</v>
      </c>
      <c r="AB1016">
        <v>0</v>
      </c>
      <c r="AC1016">
        <v>0</v>
      </c>
      <c r="AD1016">
        <v>0</v>
      </c>
      <c r="AE1016" s="7"/>
      <c r="AF1016" s="7"/>
      <c r="AG1016" s="7"/>
      <c r="AH1016" s="7"/>
      <c r="AI1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16" s="7">
        <v>12</v>
      </c>
      <c r="AK1016" t="s">
        <v>116</v>
      </c>
      <c r="AN1016">
        <f>IFERROR(INT(Table13[[#This Row],[reject_prod]]/Table13[[#This Row],[part_weight]] * 1000), 0)</f>
        <v>0</v>
      </c>
    </row>
    <row r="1017" spans="1:40" hidden="1">
      <c r="A1017" s="1">
        <v>46053</v>
      </c>
      <c r="B1017">
        <v>1</v>
      </c>
      <c r="C1017">
        <v>15</v>
      </c>
      <c r="D1017" t="s">
        <v>59</v>
      </c>
      <c r="E1017" t="s">
        <v>46</v>
      </c>
      <c r="F1017">
        <v>552181</v>
      </c>
      <c r="G1017" s="6">
        <v>2</v>
      </c>
      <c r="H1017" t="s">
        <v>49</v>
      </c>
      <c r="I1017">
        <v>10685541</v>
      </c>
      <c r="J1017">
        <v>6</v>
      </c>
      <c r="K1017">
        <v>18.8</v>
      </c>
      <c r="L1017">
        <v>18.8</v>
      </c>
      <c r="M1017">
        <v>1395</v>
      </c>
      <c r="N1017" s="2">
        <v>108000</v>
      </c>
      <c r="O1017" s="2">
        <v>8910</v>
      </c>
      <c r="P1017" s="2">
        <v>6480</v>
      </c>
      <c r="Q1017" s="2">
        <v>8370</v>
      </c>
      <c r="R1017" s="2">
        <v>10800</v>
      </c>
      <c r="S1017">
        <v>203.04</v>
      </c>
      <c r="T1017" s="2">
        <v>38880</v>
      </c>
      <c r="U1017" s="2">
        <v>69120</v>
      </c>
      <c r="V1017">
        <v>157.35599999999999</v>
      </c>
      <c r="W1017">
        <v>0</v>
      </c>
      <c r="X1017">
        <v>0</v>
      </c>
      <c r="Y1017">
        <v>0</v>
      </c>
      <c r="Z1017">
        <v>1</v>
      </c>
      <c r="AA1017">
        <v>6.3550166501436236E-3</v>
      </c>
      <c r="AB1017">
        <v>31.2</v>
      </c>
      <c r="AC1017">
        <v>12</v>
      </c>
      <c r="AD1017">
        <v>27</v>
      </c>
      <c r="AE1017" s="7"/>
      <c r="AF1017" s="7"/>
      <c r="AG1017" s="7"/>
      <c r="AH1017" s="7"/>
      <c r="AI1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17" s="7"/>
      <c r="AK1017" t="s">
        <v>51</v>
      </c>
      <c r="AN1017">
        <f>IFERROR(INT(Table13[[#This Row],[reject_prod]]/Table13[[#This Row],[part_weight]] * 1000), 0)</f>
        <v>53</v>
      </c>
    </row>
    <row r="1018" spans="1:40" s="4" customFormat="1" hidden="1">
      <c r="A1018" s="3">
        <v>46053</v>
      </c>
      <c r="B1018" s="4">
        <v>1</v>
      </c>
      <c r="C1018" s="4">
        <v>16</v>
      </c>
      <c r="D1018" s="4" t="s">
        <v>621</v>
      </c>
      <c r="E1018" s="4" t="s">
        <v>46</v>
      </c>
      <c r="F1018" s="4">
        <v>555979</v>
      </c>
      <c r="G1018" s="9">
        <v>2</v>
      </c>
      <c r="H1018" s="4" t="s">
        <v>52</v>
      </c>
      <c r="I1018" s="4">
        <v>10684863</v>
      </c>
      <c r="J1018" s="4">
        <v>6</v>
      </c>
      <c r="K1018" s="4">
        <v>28</v>
      </c>
      <c r="L1018" s="4">
        <v>28</v>
      </c>
      <c r="M1018" s="4">
        <v>980</v>
      </c>
      <c r="N1018" s="5">
        <v>100800</v>
      </c>
      <c r="O1018" s="5">
        <v>2520</v>
      </c>
      <c r="P1018" s="5">
        <v>1680</v>
      </c>
      <c r="Q1018" s="5">
        <v>5880</v>
      </c>
      <c r="R1018" s="5">
        <v>6720</v>
      </c>
      <c r="S1018" s="4">
        <v>188.16</v>
      </c>
      <c r="T1018" s="5">
        <v>89040</v>
      </c>
      <c r="U1018" s="5">
        <v>11760</v>
      </c>
      <c r="V1018" s="4">
        <v>164.64</v>
      </c>
      <c r="W1018" s="4">
        <v>0</v>
      </c>
      <c r="X1018" s="4">
        <v>0</v>
      </c>
      <c r="Y1018" s="4">
        <v>0</v>
      </c>
      <c r="Z1018" s="4">
        <v>0.5</v>
      </c>
      <c r="AA1018" s="4">
        <v>3.0369290573372208E-3</v>
      </c>
      <c r="AB1018" s="4">
        <v>43.4</v>
      </c>
      <c r="AC1018" s="4">
        <v>11.814444444444444</v>
      </c>
      <c r="AD1018" s="4">
        <v>42</v>
      </c>
      <c r="AE1018" s="8"/>
      <c r="AF1018" s="8"/>
      <c r="AG1018" s="8"/>
      <c r="AH1018" s="8"/>
      <c r="AI1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0.18555555555555614</v>
      </c>
      <c r="AJ1018" s="8"/>
      <c r="AK1018" s="4" t="s">
        <v>51</v>
      </c>
      <c r="AN1018">
        <f>IFERROR(INT(Table13[[#This Row],[reject_prod]]/Table13[[#This Row],[part_weight]] * 1000), 0)</f>
        <v>17</v>
      </c>
    </row>
    <row r="1019" spans="1:40" hidden="1">
      <c r="A1019" s="1">
        <v>46053</v>
      </c>
      <c r="B1019">
        <v>2</v>
      </c>
      <c r="C1019">
        <v>1</v>
      </c>
      <c r="D1019" t="s">
        <v>152</v>
      </c>
      <c r="E1019" t="s">
        <v>34</v>
      </c>
      <c r="F1019">
        <v>347623</v>
      </c>
      <c r="G1019" s="6">
        <v>0</v>
      </c>
      <c r="H1019" t="s">
        <v>35</v>
      </c>
      <c r="I1019">
        <v>10685631</v>
      </c>
      <c r="J1019">
        <v>4</v>
      </c>
      <c r="K1019">
        <v>35.6</v>
      </c>
      <c r="L1019">
        <v>35.6</v>
      </c>
      <c r="M1019">
        <v>1578</v>
      </c>
      <c r="N1019" s="2">
        <v>36800</v>
      </c>
      <c r="O1019" s="2">
        <v>736</v>
      </c>
      <c r="P1019" s="2">
        <v>1472</v>
      </c>
      <c r="Q1019" s="2">
        <v>6312</v>
      </c>
      <c r="R1019" s="2">
        <v>5520</v>
      </c>
      <c r="S1019">
        <v>196.512</v>
      </c>
      <c r="T1019" s="2">
        <v>19872</v>
      </c>
      <c r="U1019" s="2">
        <v>16928</v>
      </c>
      <c r="V1019">
        <v>224.7072</v>
      </c>
      <c r="W1019">
        <v>0</v>
      </c>
      <c r="X1019">
        <v>0</v>
      </c>
      <c r="Y1019">
        <v>0</v>
      </c>
      <c r="Z1019">
        <v>2</v>
      </c>
      <c r="AA1019">
        <v>8.9004713689636999E-3</v>
      </c>
      <c r="AB1019">
        <v>27.2</v>
      </c>
      <c r="AC1019">
        <v>11.922666666666666</v>
      </c>
      <c r="AD1019">
        <v>27</v>
      </c>
      <c r="AE1019" s="7"/>
      <c r="AF1019" s="7"/>
      <c r="AG1019" s="7"/>
      <c r="AH1019" s="7"/>
      <c r="AI1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7.7333333333333698E-2</v>
      </c>
      <c r="AJ1019" s="7"/>
      <c r="AK1019" t="s">
        <v>51</v>
      </c>
      <c r="AN1019">
        <f>IFERROR(INT(Table13[[#This Row],[reject_prod]]/Table13[[#This Row],[part_weight]] * 1000), 0)</f>
        <v>56</v>
      </c>
    </row>
    <row r="1020" spans="1:40" hidden="1">
      <c r="A1020" s="1">
        <v>46053</v>
      </c>
      <c r="B1020">
        <v>2</v>
      </c>
      <c r="C1020">
        <v>2</v>
      </c>
      <c r="D1020" t="s">
        <v>110</v>
      </c>
      <c r="E1020" t="s">
        <v>34</v>
      </c>
      <c r="F1020">
        <v>416201</v>
      </c>
      <c r="G1020" s="6">
        <v>0</v>
      </c>
      <c r="H1020" t="s">
        <v>36</v>
      </c>
      <c r="I1020">
        <v>10681779</v>
      </c>
      <c r="J1020">
        <v>4</v>
      </c>
      <c r="K1020">
        <v>20</v>
      </c>
      <c r="L1020">
        <v>30</v>
      </c>
      <c r="M1020">
        <v>1362</v>
      </c>
      <c r="N1020" s="2">
        <v>50400</v>
      </c>
      <c r="O1020" s="2">
        <v>3780</v>
      </c>
      <c r="P1020" s="2">
        <v>4000</v>
      </c>
      <c r="Q1020" s="2">
        <v>5448</v>
      </c>
      <c r="R1020" s="2">
        <v>5040</v>
      </c>
      <c r="S1020">
        <v>151.19999999999999</v>
      </c>
      <c r="T1020" s="2">
        <v>29200</v>
      </c>
      <c r="U1020" s="2">
        <v>21200</v>
      </c>
      <c r="V1020">
        <v>163.44</v>
      </c>
      <c r="W1020">
        <v>0</v>
      </c>
      <c r="X1020">
        <v>0</v>
      </c>
      <c r="Y1020">
        <v>0</v>
      </c>
      <c r="Z1020">
        <v>4.5999999999999996</v>
      </c>
      <c r="AA1020">
        <v>2.8144884973078804E-2</v>
      </c>
      <c r="AB1020">
        <v>31.4</v>
      </c>
      <c r="AC1020">
        <v>11.879666666666665</v>
      </c>
      <c r="AD1020">
        <v>38.64</v>
      </c>
      <c r="AE1020" s="7"/>
      <c r="AF1020" s="7"/>
      <c r="AG1020" s="7"/>
      <c r="AH1020" s="7"/>
      <c r="AI1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0.12033333333333474</v>
      </c>
      <c r="AJ1020" s="7"/>
      <c r="AK1020" t="s">
        <v>629</v>
      </c>
      <c r="AN1020">
        <f>IFERROR(INT(Table13[[#This Row],[reject_prod]]/Table13[[#This Row],[part_weight]] * 1000), 0)</f>
        <v>153</v>
      </c>
    </row>
    <row r="1021" spans="1:40" hidden="1">
      <c r="A1021" s="1">
        <v>46053</v>
      </c>
      <c r="B1021">
        <v>2</v>
      </c>
      <c r="C1021">
        <v>3</v>
      </c>
      <c r="D1021" t="s">
        <v>43</v>
      </c>
      <c r="E1021" t="s">
        <v>34</v>
      </c>
      <c r="F1021">
        <v>442034</v>
      </c>
      <c r="G1021" s="6">
        <v>0</v>
      </c>
      <c r="H1021" t="s">
        <v>37</v>
      </c>
      <c r="I1021">
        <v>10681184</v>
      </c>
      <c r="J1021">
        <v>4</v>
      </c>
      <c r="K1021">
        <v>23</v>
      </c>
      <c r="L1021">
        <v>23</v>
      </c>
      <c r="M1021">
        <v>1425</v>
      </c>
      <c r="N1021" s="2">
        <v>139776</v>
      </c>
      <c r="O1021" s="2">
        <v>2304</v>
      </c>
      <c r="P1021" s="2">
        <v>3072</v>
      </c>
      <c r="Q1021" s="2">
        <v>5700</v>
      </c>
      <c r="R1021" s="2">
        <v>4608</v>
      </c>
      <c r="S1021">
        <v>105.98399999999999</v>
      </c>
      <c r="T1021" s="2">
        <v>127488</v>
      </c>
      <c r="U1021" s="2">
        <v>12288</v>
      </c>
      <c r="V1021">
        <v>131.1</v>
      </c>
      <c r="W1021">
        <v>0</v>
      </c>
      <c r="X1021">
        <v>0</v>
      </c>
      <c r="Y1021">
        <v>0</v>
      </c>
      <c r="Z1021">
        <v>7.4</v>
      </c>
      <c r="AA1021">
        <v>5.6445461479786428E-2</v>
      </c>
      <c r="AB1021">
        <v>29.2</v>
      </c>
      <c r="AC1021">
        <v>11.558333333333332</v>
      </c>
      <c r="AD1021">
        <v>22</v>
      </c>
      <c r="AE1021" s="7"/>
      <c r="AF1021" s="7"/>
      <c r="AG1021" s="7"/>
      <c r="AH1021" s="7"/>
      <c r="AI1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0.44166666666666821</v>
      </c>
      <c r="AJ1021" s="7"/>
      <c r="AK1021" t="s">
        <v>630</v>
      </c>
      <c r="AN1021">
        <f>IFERROR(INT(Table13[[#This Row],[reject_prod]]/Table13[[#This Row],[part_weight]] * 1000), 0)</f>
        <v>321</v>
      </c>
    </row>
    <row r="1022" spans="1:40" hidden="1">
      <c r="A1022" s="1">
        <v>46053</v>
      </c>
      <c r="B1022">
        <v>2</v>
      </c>
      <c r="C1022">
        <v>4</v>
      </c>
      <c r="F1022">
        <v>123456</v>
      </c>
      <c r="G1022" s="6">
        <v>0</v>
      </c>
      <c r="M1022">
        <v>0</v>
      </c>
      <c r="N1022" s="2">
        <v>0</v>
      </c>
      <c r="O1022" s="2">
        <v>0</v>
      </c>
      <c r="P1022" s="2">
        <v>0</v>
      </c>
      <c r="Q1022" s="2"/>
      <c r="R1022" s="2">
        <v>0</v>
      </c>
      <c r="T1022" s="2">
        <v>0</v>
      </c>
      <c r="U1022" s="2"/>
      <c r="X1022">
        <v>0</v>
      </c>
      <c r="Z1022">
        <v>0</v>
      </c>
      <c r="AB1022">
        <v>0</v>
      </c>
      <c r="AC1022">
        <v>0</v>
      </c>
      <c r="AD1022">
        <v>0</v>
      </c>
      <c r="AE1022" s="7"/>
      <c r="AF1022" s="7"/>
      <c r="AG1022" s="7"/>
      <c r="AH1022" s="7"/>
      <c r="AI1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22" s="7">
        <v>12</v>
      </c>
      <c r="AK1022" t="s">
        <v>116</v>
      </c>
      <c r="AN1022">
        <f>IFERROR(INT(Table13[[#This Row],[reject_prod]]/Table13[[#This Row],[part_weight]] * 1000), 0)</f>
        <v>0</v>
      </c>
    </row>
    <row r="1023" spans="1:40" hidden="1">
      <c r="A1023" s="1">
        <v>46053</v>
      </c>
      <c r="B1023">
        <v>2</v>
      </c>
      <c r="C1023">
        <v>5</v>
      </c>
      <c r="D1023" t="s">
        <v>622</v>
      </c>
      <c r="E1023" t="s">
        <v>34</v>
      </c>
      <c r="F1023">
        <v>322394</v>
      </c>
      <c r="G1023" s="6">
        <v>0</v>
      </c>
      <c r="H1023" t="s">
        <v>605</v>
      </c>
      <c r="I1023">
        <v>10685208</v>
      </c>
      <c r="J1023">
        <v>4</v>
      </c>
      <c r="K1023">
        <v>20</v>
      </c>
      <c r="L1023">
        <v>20</v>
      </c>
      <c r="M1023">
        <v>913</v>
      </c>
      <c r="N1023" s="2">
        <v>11520</v>
      </c>
      <c r="O1023" s="2">
        <v>7920</v>
      </c>
      <c r="P1023" s="2">
        <v>0</v>
      </c>
      <c r="Q1023" s="2">
        <v>3652</v>
      </c>
      <c r="R1023" s="2">
        <v>11520</v>
      </c>
      <c r="S1023">
        <v>230.4</v>
      </c>
      <c r="T1023" s="2">
        <v>11520</v>
      </c>
      <c r="U1023" s="2">
        <v>0</v>
      </c>
      <c r="V1023">
        <v>73.040000000000006</v>
      </c>
      <c r="W1023">
        <v>0</v>
      </c>
      <c r="X1023">
        <v>0</v>
      </c>
      <c r="Y1023">
        <v>0</v>
      </c>
      <c r="Z1023">
        <v>1</v>
      </c>
      <c r="AA1023">
        <v>1.3691128148959474E-2</v>
      </c>
      <c r="AB1023">
        <v>21.9</v>
      </c>
      <c r="AC1023">
        <v>5.5540833333333328</v>
      </c>
      <c r="AD1023">
        <v>19.14</v>
      </c>
      <c r="AE1023" s="7"/>
      <c r="AF1023" s="7"/>
      <c r="AG1023" s="7"/>
      <c r="AH1023" s="7"/>
      <c r="AI1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6.4459166666666672</v>
      </c>
      <c r="AJ1023" s="7"/>
      <c r="AK1023" t="s">
        <v>631</v>
      </c>
      <c r="AN1023">
        <f>IFERROR(INT(Table13[[#This Row],[reject_prod]]/Table13[[#This Row],[part_weight]] * 1000), 0)</f>
        <v>50</v>
      </c>
    </row>
    <row r="1024" spans="1:40" hidden="1">
      <c r="A1024" s="1">
        <v>46053</v>
      </c>
      <c r="B1024">
        <v>2</v>
      </c>
      <c r="C1024">
        <v>5</v>
      </c>
      <c r="D1024" t="s">
        <v>622</v>
      </c>
      <c r="E1024" t="s">
        <v>34</v>
      </c>
      <c r="F1024">
        <v>324198</v>
      </c>
      <c r="G1024" s="6">
        <v>0</v>
      </c>
      <c r="H1024" t="s">
        <v>632</v>
      </c>
      <c r="I1024">
        <v>10685209</v>
      </c>
      <c r="J1024">
        <v>4</v>
      </c>
      <c r="K1024">
        <v>20</v>
      </c>
      <c r="L1024">
        <v>20</v>
      </c>
      <c r="M1024">
        <v>0</v>
      </c>
      <c r="N1024" s="2">
        <v>25920</v>
      </c>
      <c r="O1024" s="2">
        <v>0</v>
      </c>
      <c r="P1024" s="2">
        <v>0</v>
      </c>
      <c r="Q1024" s="2">
        <v>0</v>
      </c>
      <c r="R1024" s="2">
        <v>0</v>
      </c>
      <c r="S1024">
        <v>0</v>
      </c>
      <c r="T1024" s="2">
        <v>0</v>
      </c>
      <c r="U1024" s="2">
        <v>25920</v>
      </c>
      <c r="V1024">
        <v>0</v>
      </c>
      <c r="W1024">
        <v>0</v>
      </c>
      <c r="X1024">
        <v>1</v>
      </c>
      <c r="Y1024" t="e">
        <v>#DIV/0!</v>
      </c>
      <c r="Z1024">
        <v>0</v>
      </c>
      <c r="AA1024" t="e">
        <v>#DIV/0!</v>
      </c>
      <c r="AB1024">
        <v>21.9</v>
      </c>
      <c r="AC1024">
        <v>0</v>
      </c>
      <c r="AD1024">
        <v>19.5</v>
      </c>
      <c r="AE1024" s="7"/>
      <c r="AF1024" s="7"/>
      <c r="AG1024" s="7"/>
      <c r="AH1024" s="7"/>
      <c r="AI1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24" s="7"/>
      <c r="AK1024" t="s">
        <v>633</v>
      </c>
      <c r="AN1024">
        <f>IFERROR(INT(Table13[[#This Row],[reject_prod]]/Table13[[#This Row],[part_weight]] * 1000), 0)</f>
        <v>0</v>
      </c>
    </row>
    <row r="1025" spans="1:40" hidden="1">
      <c r="A1025" s="1">
        <v>46053</v>
      </c>
      <c r="B1025">
        <v>2</v>
      </c>
      <c r="C1025">
        <v>6</v>
      </c>
      <c r="D1025" t="s">
        <v>623</v>
      </c>
      <c r="E1025" t="s">
        <v>34</v>
      </c>
      <c r="F1025">
        <v>324174</v>
      </c>
      <c r="G1025" s="6">
        <v>0</v>
      </c>
      <c r="H1025" t="s">
        <v>558</v>
      </c>
      <c r="I1025">
        <v>10684855</v>
      </c>
      <c r="J1025">
        <v>4</v>
      </c>
      <c r="K1025">
        <v>24</v>
      </c>
      <c r="L1025">
        <v>24</v>
      </c>
      <c r="M1025">
        <v>265</v>
      </c>
      <c r="N1025" s="2">
        <v>20300</v>
      </c>
      <c r="O1025" s="2">
        <v>609</v>
      </c>
      <c r="P1025" s="2">
        <v>1624</v>
      </c>
      <c r="Q1025" s="2">
        <v>1060</v>
      </c>
      <c r="R1025" s="2">
        <v>0</v>
      </c>
      <c r="S1025">
        <v>0</v>
      </c>
      <c r="T1025" s="2">
        <v>11774</v>
      </c>
      <c r="U1025" s="2">
        <v>8526</v>
      </c>
      <c r="V1025">
        <v>25.44</v>
      </c>
      <c r="W1025">
        <v>0</v>
      </c>
      <c r="X1025">
        <v>0</v>
      </c>
      <c r="Y1025">
        <v>0</v>
      </c>
      <c r="Z1025">
        <v>1</v>
      </c>
      <c r="AA1025">
        <v>3.9308176100628929E-2</v>
      </c>
      <c r="AB1025">
        <v>21.3</v>
      </c>
      <c r="AC1025">
        <v>1.5679166666666668</v>
      </c>
      <c r="AD1025">
        <v>20.12</v>
      </c>
      <c r="AE1025" s="7"/>
      <c r="AF1025" s="7"/>
      <c r="AG1025" s="7"/>
      <c r="AH1025" s="7"/>
      <c r="AI1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10.432083333333333</v>
      </c>
      <c r="AJ1025" s="7"/>
      <c r="AK1025" t="s">
        <v>634</v>
      </c>
      <c r="AN1025">
        <f>IFERROR(INT(Table13[[#This Row],[reject_prod]]/Table13[[#This Row],[part_weight]] * 1000), 0)</f>
        <v>41</v>
      </c>
    </row>
    <row r="1026" spans="1:40" hidden="1">
      <c r="A1026" s="1">
        <v>46053</v>
      </c>
      <c r="B1026">
        <v>2</v>
      </c>
      <c r="C1026">
        <v>7</v>
      </c>
      <c r="D1026" t="s">
        <v>67</v>
      </c>
      <c r="E1026" t="s">
        <v>34</v>
      </c>
      <c r="F1026">
        <v>323072</v>
      </c>
      <c r="G1026" s="6">
        <v>0</v>
      </c>
      <c r="H1026" t="s">
        <v>590</v>
      </c>
      <c r="I1026">
        <v>10684033</v>
      </c>
      <c r="J1026">
        <v>4</v>
      </c>
      <c r="K1026">
        <v>34.5</v>
      </c>
      <c r="L1026">
        <v>34.5</v>
      </c>
      <c r="M1026">
        <v>1459</v>
      </c>
      <c r="N1026" s="2">
        <v>24768</v>
      </c>
      <c r="O1026" s="2">
        <v>645</v>
      </c>
      <c r="P1026" s="2">
        <v>1548</v>
      </c>
      <c r="Q1026" s="2">
        <v>5836</v>
      </c>
      <c r="R1026" s="2">
        <v>4644</v>
      </c>
      <c r="S1026">
        <v>160.21799999999999</v>
      </c>
      <c r="T1026" s="2">
        <v>24768</v>
      </c>
      <c r="U1026" s="2">
        <v>0</v>
      </c>
      <c r="V1026">
        <v>201.34200000000001</v>
      </c>
      <c r="W1026">
        <v>0</v>
      </c>
      <c r="X1026">
        <v>0</v>
      </c>
      <c r="Y1026">
        <v>0</v>
      </c>
      <c r="Z1026">
        <v>10</v>
      </c>
      <c r="AA1026">
        <v>4.9666736200097344E-2</v>
      </c>
      <c r="AB1026">
        <v>24.1</v>
      </c>
      <c r="AC1026">
        <v>9.7671944444444456</v>
      </c>
      <c r="AD1026">
        <v>16.2</v>
      </c>
      <c r="AE1026" s="7"/>
      <c r="AF1026" s="7"/>
      <c r="AG1026" s="7"/>
      <c r="AH1026" s="7"/>
      <c r="AI1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2.2328055555555544</v>
      </c>
      <c r="AJ1026" s="7"/>
      <c r="AK1026" t="s">
        <v>635</v>
      </c>
      <c r="AN1026">
        <f>IFERROR(INT(Table13[[#This Row],[reject_prod]]/Table13[[#This Row],[part_weight]] * 1000), 0)</f>
        <v>289</v>
      </c>
    </row>
    <row r="1027" spans="1:40" hidden="1">
      <c r="A1027" s="1">
        <v>46053</v>
      </c>
      <c r="B1027">
        <v>2</v>
      </c>
      <c r="C1027">
        <v>7</v>
      </c>
      <c r="D1027" t="s">
        <v>67</v>
      </c>
      <c r="E1027" t="s">
        <v>34</v>
      </c>
      <c r="F1027">
        <v>322444</v>
      </c>
      <c r="G1027" s="6">
        <v>0</v>
      </c>
      <c r="H1027" t="s">
        <v>636</v>
      </c>
      <c r="I1027">
        <v>10684856</v>
      </c>
      <c r="J1027">
        <v>4</v>
      </c>
      <c r="K1027">
        <v>32.74</v>
      </c>
      <c r="L1027">
        <v>34.5</v>
      </c>
      <c r="M1027">
        <v>0</v>
      </c>
      <c r="N1027" s="2">
        <v>16240</v>
      </c>
      <c r="O1027" s="2">
        <v>0</v>
      </c>
      <c r="P1027" s="2">
        <v>0</v>
      </c>
      <c r="Q1027" s="2">
        <v>0</v>
      </c>
      <c r="R1027" s="2">
        <v>0</v>
      </c>
      <c r="S1027">
        <v>0</v>
      </c>
      <c r="T1027" s="2">
        <v>0</v>
      </c>
      <c r="U1027" s="2">
        <v>16240</v>
      </c>
      <c r="V1027">
        <v>0</v>
      </c>
      <c r="W1027">
        <v>0</v>
      </c>
      <c r="X1027">
        <v>0</v>
      </c>
      <c r="Y1027" t="e">
        <v>#DIV/0!</v>
      </c>
      <c r="Z1027">
        <v>0</v>
      </c>
      <c r="AA1027" t="e">
        <v>#DIV/0!</v>
      </c>
      <c r="AB1027">
        <v>24.1</v>
      </c>
      <c r="AC1027">
        <v>0</v>
      </c>
      <c r="AD1027">
        <v>23</v>
      </c>
      <c r="AE1027" s="7"/>
      <c r="AF1027" s="7"/>
      <c r="AG1027" s="7">
        <v>1.5</v>
      </c>
      <c r="AH1027" s="7"/>
      <c r="AI1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027" s="7"/>
      <c r="AK1027" t="s">
        <v>637</v>
      </c>
      <c r="AN1027">
        <f>IFERROR(INT(Table13[[#This Row],[reject_prod]]/Table13[[#This Row],[part_weight]] * 1000), 0)</f>
        <v>0</v>
      </c>
    </row>
    <row r="1028" spans="1:40" hidden="1">
      <c r="A1028" s="1">
        <v>46053</v>
      </c>
      <c r="B1028">
        <v>2</v>
      </c>
      <c r="C1028">
        <v>8</v>
      </c>
      <c r="F1028">
        <v>123456</v>
      </c>
      <c r="G1028" s="6">
        <v>0</v>
      </c>
      <c r="M1028">
        <v>0</v>
      </c>
      <c r="N1028" s="2">
        <v>0</v>
      </c>
      <c r="O1028" s="2">
        <v>0</v>
      </c>
      <c r="P1028" s="2">
        <v>0</v>
      </c>
      <c r="Q1028" s="2"/>
      <c r="R1028" s="2">
        <v>0</v>
      </c>
      <c r="T1028" s="2">
        <v>0</v>
      </c>
      <c r="U1028" s="2"/>
      <c r="X1028">
        <v>0</v>
      </c>
      <c r="Z1028">
        <v>0</v>
      </c>
      <c r="AB1028">
        <v>0</v>
      </c>
      <c r="AC1028">
        <v>0</v>
      </c>
      <c r="AD1028">
        <v>0</v>
      </c>
      <c r="AE1028" s="7"/>
      <c r="AF1028" s="7"/>
      <c r="AG1028" s="7"/>
      <c r="AH1028" s="7"/>
      <c r="AI1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28" s="7">
        <v>12</v>
      </c>
      <c r="AK1028" t="s">
        <v>116</v>
      </c>
      <c r="AN1028">
        <f>IFERROR(INT(Table13[[#This Row],[reject_prod]]/Table13[[#This Row],[part_weight]] * 1000), 0)</f>
        <v>0</v>
      </c>
    </row>
    <row r="1029" spans="1:40" hidden="1">
      <c r="A1029" s="1">
        <v>46053</v>
      </c>
      <c r="B1029">
        <v>2</v>
      </c>
      <c r="C1029">
        <v>9</v>
      </c>
      <c r="D1029" t="s">
        <v>257</v>
      </c>
      <c r="E1029" t="s">
        <v>46</v>
      </c>
      <c r="F1029">
        <v>586276</v>
      </c>
      <c r="G1029" s="6">
        <v>0</v>
      </c>
      <c r="H1029" t="s">
        <v>47</v>
      </c>
      <c r="I1029">
        <v>10682924</v>
      </c>
      <c r="J1029">
        <v>6</v>
      </c>
      <c r="K1029">
        <v>12.3</v>
      </c>
      <c r="L1029">
        <v>12.3</v>
      </c>
      <c r="M1029">
        <v>1574</v>
      </c>
      <c r="N1029" s="2">
        <v>162000</v>
      </c>
      <c r="O1029" s="2">
        <v>7695</v>
      </c>
      <c r="P1029" s="2">
        <v>810</v>
      </c>
      <c r="Q1029" s="2">
        <v>9444</v>
      </c>
      <c r="R1029" s="2">
        <v>16200</v>
      </c>
      <c r="S1029">
        <v>199.26</v>
      </c>
      <c r="T1029" s="2">
        <v>130410</v>
      </c>
      <c r="U1029" s="2">
        <v>31590</v>
      </c>
      <c r="V1029">
        <v>116.16120000000001</v>
      </c>
      <c r="W1029">
        <v>0</v>
      </c>
      <c r="X1029">
        <v>0</v>
      </c>
      <c r="Y1029">
        <v>0</v>
      </c>
      <c r="Z1029">
        <v>1.5</v>
      </c>
      <c r="AA1029">
        <v>1.2913089740808462E-2</v>
      </c>
      <c r="AB1029">
        <v>26.6</v>
      </c>
      <c r="AC1029">
        <v>11.630111111111113</v>
      </c>
      <c r="AD1029">
        <v>26</v>
      </c>
      <c r="AE1029" s="7"/>
      <c r="AF1029" s="7"/>
      <c r="AG1029" s="7"/>
      <c r="AH1029" s="7"/>
      <c r="AI1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0.36988888888888738</v>
      </c>
      <c r="AJ1029" s="7"/>
      <c r="AK1029" t="s">
        <v>51</v>
      </c>
      <c r="AN1029">
        <f>IFERROR(INT(Table13[[#This Row],[reject_prod]]/Table13[[#This Row],[part_weight]] * 1000), 0)</f>
        <v>121</v>
      </c>
    </row>
    <row r="1030" spans="1:40" hidden="1">
      <c r="A1030" s="1">
        <v>46053</v>
      </c>
      <c r="B1030">
        <v>2</v>
      </c>
      <c r="C1030">
        <v>10</v>
      </c>
      <c r="F1030">
        <v>123456</v>
      </c>
      <c r="G1030" s="6">
        <v>0</v>
      </c>
      <c r="M1030">
        <v>0</v>
      </c>
      <c r="N1030" s="2">
        <v>0</v>
      </c>
      <c r="O1030" s="2">
        <v>0</v>
      </c>
      <c r="P1030" s="2">
        <v>0</v>
      </c>
      <c r="Q1030" s="2"/>
      <c r="R1030" s="2">
        <v>0</v>
      </c>
      <c r="T1030" s="2">
        <v>0</v>
      </c>
      <c r="U1030" s="2"/>
      <c r="X1030">
        <v>0</v>
      </c>
      <c r="Z1030">
        <v>0</v>
      </c>
      <c r="AB1030">
        <v>0</v>
      </c>
      <c r="AC1030">
        <v>0</v>
      </c>
      <c r="AD1030">
        <v>0</v>
      </c>
      <c r="AE1030" s="7"/>
      <c r="AF1030" s="7"/>
      <c r="AG1030" s="7"/>
      <c r="AH1030" s="7"/>
      <c r="AI1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0" s="7">
        <v>12</v>
      </c>
      <c r="AK1030" t="s">
        <v>116</v>
      </c>
      <c r="AN1030">
        <f>IFERROR(INT(Table13[[#This Row],[reject_prod]]/Table13[[#This Row],[part_weight]] * 1000), 0)</f>
        <v>0</v>
      </c>
    </row>
    <row r="1031" spans="1:40" hidden="1">
      <c r="A1031" s="1">
        <v>46053</v>
      </c>
      <c r="B1031">
        <v>2</v>
      </c>
      <c r="C1031">
        <v>11</v>
      </c>
      <c r="D1031" t="s">
        <v>112</v>
      </c>
      <c r="E1031" t="s">
        <v>46</v>
      </c>
      <c r="F1031">
        <v>552181</v>
      </c>
      <c r="G1031" s="6">
        <v>1</v>
      </c>
      <c r="H1031" t="s">
        <v>49</v>
      </c>
      <c r="I1031">
        <v>10685338</v>
      </c>
      <c r="J1031">
        <v>6</v>
      </c>
      <c r="K1031">
        <v>18.8</v>
      </c>
      <c r="L1031">
        <v>18.8</v>
      </c>
      <c r="M1031">
        <v>1511</v>
      </c>
      <c r="N1031" s="2">
        <v>108000</v>
      </c>
      <c r="O1031" s="2">
        <v>1080</v>
      </c>
      <c r="P1031" s="2">
        <v>4590</v>
      </c>
      <c r="Q1031" s="2">
        <v>9066</v>
      </c>
      <c r="R1031" s="2">
        <v>5400</v>
      </c>
      <c r="S1031">
        <v>101.52</v>
      </c>
      <c r="T1031" s="2">
        <v>53190</v>
      </c>
      <c r="U1031" s="2">
        <v>54810</v>
      </c>
      <c r="V1031">
        <v>170.44080000000002</v>
      </c>
      <c r="W1031">
        <v>0</v>
      </c>
      <c r="X1031">
        <v>0</v>
      </c>
      <c r="Y1031">
        <v>0</v>
      </c>
      <c r="Z1031">
        <v>3</v>
      </c>
      <c r="AA1031">
        <v>1.7601419378458678E-2</v>
      </c>
      <c r="AB1031">
        <v>28.9</v>
      </c>
      <c r="AC1031">
        <v>12</v>
      </c>
      <c r="AD1031">
        <v>27</v>
      </c>
      <c r="AE1031" s="7"/>
      <c r="AF1031" s="7"/>
      <c r="AG1031" s="7"/>
      <c r="AH1031" s="7"/>
      <c r="AI1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1" s="7"/>
      <c r="AK1031" t="s">
        <v>51</v>
      </c>
      <c r="AN1031">
        <f>IFERROR(INT(Table13[[#This Row],[reject_prod]]/Table13[[#This Row],[part_weight]] * 1000), 0)</f>
        <v>159</v>
      </c>
    </row>
    <row r="1032" spans="1:40" hidden="1">
      <c r="A1032" s="1">
        <v>46053</v>
      </c>
      <c r="B1032">
        <v>2</v>
      </c>
      <c r="C1032">
        <v>12</v>
      </c>
      <c r="F1032">
        <v>123456</v>
      </c>
      <c r="G1032" s="6">
        <v>0</v>
      </c>
      <c r="M1032">
        <v>0</v>
      </c>
      <c r="N1032" s="2">
        <v>0</v>
      </c>
      <c r="O1032" s="2">
        <v>0</v>
      </c>
      <c r="P1032" s="2">
        <v>0</v>
      </c>
      <c r="Q1032" s="2"/>
      <c r="R1032" s="2">
        <v>0</v>
      </c>
      <c r="T1032" s="2">
        <v>0</v>
      </c>
      <c r="U1032" s="2"/>
      <c r="X1032">
        <v>0</v>
      </c>
      <c r="Z1032">
        <v>0</v>
      </c>
      <c r="AB1032">
        <v>0</v>
      </c>
      <c r="AC1032">
        <v>0</v>
      </c>
      <c r="AD1032">
        <v>0</v>
      </c>
      <c r="AE1032" s="7"/>
      <c r="AF1032" s="7"/>
      <c r="AG1032" s="7"/>
      <c r="AH1032" s="7"/>
      <c r="AI1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2" s="7">
        <v>12</v>
      </c>
      <c r="AK1032" t="s">
        <v>116</v>
      </c>
      <c r="AN1032">
        <f>IFERROR(INT(Table13[[#This Row],[reject_prod]]/Table13[[#This Row],[part_weight]] * 1000), 0)</f>
        <v>0</v>
      </c>
    </row>
    <row r="1033" spans="1:40" hidden="1">
      <c r="A1033" s="1">
        <v>46053</v>
      </c>
      <c r="B1033">
        <v>2</v>
      </c>
      <c r="C1033">
        <v>13</v>
      </c>
      <c r="D1033" t="s">
        <v>112</v>
      </c>
      <c r="E1033" t="s">
        <v>46</v>
      </c>
      <c r="F1033">
        <v>586276</v>
      </c>
      <c r="G1033" s="6">
        <v>0</v>
      </c>
      <c r="H1033" t="s">
        <v>47</v>
      </c>
      <c r="I1033">
        <v>10686191</v>
      </c>
      <c r="J1033">
        <v>6</v>
      </c>
      <c r="K1033">
        <v>12.3</v>
      </c>
      <c r="L1033">
        <v>12.3</v>
      </c>
      <c r="M1033">
        <v>1637</v>
      </c>
      <c r="N1033" s="2">
        <v>162000</v>
      </c>
      <c r="O1033" s="2">
        <v>2025</v>
      </c>
      <c r="P1033" s="2">
        <v>3645</v>
      </c>
      <c r="Q1033" s="2">
        <v>9822</v>
      </c>
      <c r="R1033" s="2">
        <v>8100</v>
      </c>
      <c r="S1033">
        <v>99.63</v>
      </c>
      <c r="T1033" s="2">
        <v>19845</v>
      </c>
      <c r="U1033" s="2">
        <v>142155</v>
      </c>
      <c r="V1033">
        <v>120.81060000000001</v>
      </c>
      <c r="W1033">
        <v>0</v>
      </c>
      <c r="X1033">
        <v>0</v>
      </c>
      <c r="Y1033">
        <v>0</v>
      </c>
      <c r="Z1033">
        <v>1.2</v>
      </c>
      <c r="AA1033">
        <v>9.9329032386231003E-3</v>
      </c>
      <c r="AB1033">
        <v>26.2</v>
      </c>
      <c r="AC1033">
        <v>11.913722222222223</v>
      </c>
      <c r="AD1033">
        <v>26</v>
      </c>
      <c r="AE1033" s="7"/>
      <c r="AF1033" s="7"/>
      <c r="AG1033" s="7"/>
      <c r="AH1033" s="7"/>
      <c r="AI1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8.6277777777777231E-2</v>
      </c>
      <c r="AJ1033" s="7"/>
      <c r="AK1033" t="s">
        <v>51</v>
      </c>
      <c r="AN1033">
        <f>IFERROR(INT(Table13[[#This Row],[reject_prod]]/Table13[[#This Row],[part_weight]] * 1000), 0)</f>
        <v>97</v>
      </c>
    </row>
    <row r="1034" spans="1:40" hidden="1">
      <c r="A1034" s="1">
        <v>46053</v>
      </c>
      <c r="B1034">
        <v>2</v>
      </c>
      <c r="C1034">
        <v>14</v>
      </c>
      <c r="F1034">
        <v>123456</v>
      </c>
      <c r="G1034" s="6">
        <v>0</v>
      </c>
      <c r="M1034">
        <v>0</v>
      </c>
      <c r="N1034" s="2">
        <v>0</v>
      </c>
      <c r="O1034" s="2">
        <v>0</v>
      </c>
      <c r="P1034" s="2">
        <v>0</v>
      </c>
      <c r="Q1034" s="2"/>
      <c r="R1034" s="2">
        <v>0</v>
      </c>
      <c r="T1034" s="2">
        <v>0</v>
      </c>
      <c r="U1034" s="2"/>
      <c r="X1034">
        <v>0</v>
      </c>
      <c r="Z1034">
        <v>0</v>
      </c>
      <c r="AB1034">
        <v>0</v>
      </c>
      <c r="AC1034">
        <v>0</v>
      </c>
      <c r="AD1034">
        <v>0</v>
      </c>
      <c r="AE1034" s="7"/>
      <c r="AF1034" s="7"/>
      <c r="AG1034" s="7"/>
      <c r="AH1034" s="7"/>
      <c r="AI1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4" s="7">
        <v>12</v>
      </c>
      <c r="AK1034" t="s">
        <v>116</v>
      </c>
      <c r="AN1034">
        <f>IFERROR(INT(Table13[[#This Row],[reject_prod]]/Table13[[#This Row],[part_weight]] * 1000), 0)</f>
        <v>0</v>
      </c>
    </row>
    <row r="1035" spans="1:40" hidden="1">
      <c r="A1035" s="1">
        <v>46053</v>
      </c>
      <c r="B1035">
        <v>2</v>
      </c>
      <c r="C1035">
        <v>15</v>
      </c>
      <c r="D1035" t="s">
        <v>112</v>
      </c>
      <c r="E1035" t="s">
        <v>46</v>
      </c>
      <c r="F1035">
        <v>552181</v>
      </c>
      <c r="G1035" s="6">
        <v>2</v>
      </c>
      <c r="H1035" t="s">
        <v>49</v>
      </c>
      <c r="I1035">
        <v>10685541</v>
      </c>
      <c r="J1035">
        <v>6</v>
      </c>
      <c r="K1035">
        <v>18.8</v>
      </c>
      <c r="L1035">
        <v>18.8</v>
      </c>
      <c r="M1035">
        <v>1365</v>
      </c>
      <c r="N1035" s="2">
        <v>108000</v>
      </c>
      <c r="O1035" s="2">
        <v>6480</v>
      </c>
      <c r="P1035" s="2">
        <v>2700</v>
      </c>
      <c r="Q1035" s="2">
        <v>8190</v>
      </c>
      <c r="R1035" s="2">
        <v>5400</v>
      </c>
      <c r="S1035">
        <v>101.52</v>
      </c>
      <c r="T1035" s="2">
        <v>37800</v>
      </c>
      <c r="U1035" s="2">
        <v>70200</v>
      </c>
      <c r="V1035">
        <v>153.97200000000001</v>
      </c>
      <c r="W1035">
        <v>0</v>
      </c>
      <c r="X1035">
        <v>0</v>
      </c>
      <c r="Y1035">
        <v>0</v>
      </c>
      <c r="Z1035">
        <v>1</v>
      </c>
      <c r="AA1035">
        <v>6.4946873457511749E-3</v>
      </c>
      <c r="AB1035">
        <v>31.2</v>
      </c>
      <c r="AC1035">
        <v>11.83</v>
      </c>
      <c r="AD1035">
        <v>27</v>
      </c>
      <c r="AE1035" s="7"/>
      <c r="AF1035" s="7"/>
      <c r="AG1035" s="7"/>
      <c r="AH1035" s="7"/>
      <c r="AI1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1035" s="7"/>
      <c r="AK1035" t="s">
        <v>51</v>
      </c>
      <c r="AN1035">
        <f>IFERROR(INT(Table13[[#This Row],[reject_prod]]/Table13[[#This Row],[part_weight]] * 1000), 0)</f>
        <v>53</v>
      </c>
    </row>
    <row r="1036" spans="1:40" s="4" customFormat="1" hidden="1">
      <c r="A1036" s="3">
        <v>46053</v>
      </c>
      <c r="B1036" s="4">
        <v>2</v>
      </c>
      <c r="C1036" s="4">
        <v>16</v>
      </c>
      <c r="D1036" s="4" t="s">
        <v>108</v>
      </c>
      <c r="E1036" s="4" t="s">
        <v>46</v>
      </c>
      <c r="F1036" s="4">
        <v>555979</v>
      </c>
      <c r="G1036" s="9">
        <v>2</v>
      </c>
      <c r="H1036" s="4" t="s">
        <v>52</v>
      </c>
      <c r="I1036" s="4">
        <v>10684863</v>
      </c>
      <c r="J1036" s="4">
        <v>6</v>
      </c>
      <c r="K1036" s="4">
        <v>28</v>
      </c>
      <c r="L1036" s="4">
        <v>28</v>
      </c>
      <c r="M1036" s="4">
        <v>986</v>
      </c>
      <c r="N1036" s="5">
        <v>100800</v>
      </c>
      <c r="O1036" s="5">
        <v>1680</v>
      </c>
      <c r="P1036" s="5">
        <v>840</v>
      </c>
      <c r="Q1036" s="5">
        <v>5916</v>
      </c>
      <c r="R1036" s="5">
        <v>6720</v>
      </c>
      <c r="S1036" s="4">
        <v>188.16</v>
      </c>
      <c r="T1036" s="5">
        <v>94920</v>
      </c>
      <c r="U1036" s="5">
        <v>5880</v>
      </c>
      <c r="V1036" s="4">
        <v>165.648</v>
      </c>
      <c r="W1036" s="4">
        <v>0</v>
      </c>
      <c r="X1036" s="4">
        <v>0</v>
      </c>
      <c r="Y1036" s="4">
        <v>0</v>
      </c>
      <c r="Z1036" s="4">
        <v>1</v>
      </c>
      <c r="AA1036" s="4">
        <v>6.0368975176277413E-3</v>
      </c>
      <c r="AB1036" s="4">
        <v>43.5</v>
      </c>
      <c r="AC1036" s="4">
        <v>11.914166666666667</v>
      </c>
      <c r="AD1036" s="4">
        <v>42</v>
      </c>
      <c r="AE1036" s="8"/>
      <c r="AF1036" s="8"/>
      <c r="AG1036" s="8"/>
      <c r="AH1036" s="8"/>
      <c r="AI1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036" s="8"/>
      <c r="AK1036" s="4" t="s">
        <v>51</v>
      </c>
      <c r="AN1036">
        <f>IFERROR(INT(Table13[[#This Row],[reject_prod]]/Table13[[#This Row],[part_weight]] * 1000), 0)</f>
        <v>35</v>
      </c>
    </row>
    <row r="1037" spans="1:40" hidden="1">
      <c r="A1037" s="1">
        <v>46054</v>
      </c>
      <c r="B1037">
        <v>1</v>
      </c>
      <c r="C1037">
        <v>1</v>
      </c>
      <c r="D1037" t="s">
        <v>53</v>
      </c>
      <c r="E1037" t="s">
        <v>34</v>
      </c>
      <c r="F1037">
        <v>347623</v>
      </c>
      <c r="G1037" s="6">
        <v>0</v>
      </c>
      <c r="H1037" t="s">
        <v>35</v>
      </c>
      <c r="I1037">
        <v>10685631</v>
      </c>
      <c r="J1037">
        <v>4</v>
      </c>
      <c r="K1037">
        <v>35.6</v>
      </c>
      <c r="L1037">
        <v>35.6</v>
      </c>
      <c r="M1037">
        <v>1580</v>
      </c>
      <c r="N1037" s="2">
        <v>36800</v>
      </c>
      <c r="O1037" s="2">
        <v>1472</v>
      </c>
      <c r="P1037" s="2">
        <v>368</v>
      </c>
      <c r="Q1037" s="2">
        <v>6320</v>
      </c>
      <c r="R1037" s="2">
        <v>7360</v>
      </c>
      <c r="S1037">
        <v>262.01600000000002</v>
      </c>
      <c r="T1037" s="2">
        <v>26128</v>
      </c>
      <c r="U1037" s="2">
        <v>10672</v>
      </c>
      <c r="V1037">
        <v>224.99199999999999</v>
      </c>
      <c r="W1037">
        <v>0</v>
      </c>
      <c r="X1037">
        <v>0</v>
      </c>
      <c r="Y1037">
        <v>0</v>
      </c>
      <c r="Z1037">
        <v>1</v>
      </c>
      <c r="AA1037">
        <v>4.4446024747546581E-3</v>
      </c>
      <c r="AB1037">
        <v>26.2</v>
      </c>
      <c r="AC1037">
        <v>11.498888888888889</v>
      </c>
      <c r="AD1037">
        <v>27</v>
      </c>
      <c r="AE1037" s="7"/>
      <c r="AF1037" s="7"/>
      <c r="AG1037" s="7"/>
      <c r="AH1037" s="7"/>
      <c r="AI1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1037" s="7"/>
      <c r="AK1037" t="s">
        <v>642</v>
      </c>
      <c r="AN1037">
        <f>IFERROR(INT(Table13[[#This Row],[reject_prod]]/Table13[[#This Row],[part_weight]] * 1000), 0)</f>
        <v>28</v>
      </c>
    </row>
    <row r="1038" spans="1:40" hidden="1">
      <c r="A1038" s="1">
        <v>46054</v>
      </c>
      <c r="B1038">
        <v>1</v>
      </c>
      <c r="C1038">
        <v>2</v>
      </c>
      <c r="D1038" t="s">
        <v>59</v>
      </c>
      <c r="E1038" t="s">
        <v>34</v>
      </c>
      <c r="F1038">
        <v>416201</v>
      </c>
      <c r="G1038" s="6">
        <v>0</v>
      </c>
      <c r="H1038" t="s">
        <v>36</v>
      </c>
      <c r="I1038">
        <v>10681779</v>
      </c>
      <c r="J1038">
        <v>4</v>
      </c>
      <c r="K1038">
        <v>20</v>
      </c>
      <c r="L1038">
        <v>30</v>
      </c>
      <c r="M1038">
        <v>1335</v>
      </c>
      <c r="N1038" s="2">
        <v>50400</v>
      </c>
      <c r="O1038" s="2">
        <v>4000</v>
      </c>
      <c r="P1038" s="2">
        <v>3780</v>
      </c>
      <c r="Q1038" s="2">
        <v>5340</v>
      </c>
      <c r="R1038" s="2">
        <v>5040</v>
      </c>
      <c r="S1038">
        <v>151.19999999999999</v>
      </c>
      <c r="T1038" s="2">
        <v>34020</v>
      </c>
      <c r="U1038" s="2">
        <v>16380</v>
      </c>
      <c r="V1038">
        <v>160.19999999999999</v>
      </c>
      <c r="W1038">
        <v>0</v>
      </c>
      <c r="X1038">
        <v>0</v>
      </c>
      <c r="Y1038">
        <v>0</v>
      </c>
      <c r="Z1038">
        <v>11</v>
      </c>
      <c r="AA1038">
        <v>6.8664169787765295E-2</v>
      </c>
      <c r="AB1038">
        <v>31.6</v>
      </c>
      <c r="AC1038">
        <v>11.718333333333334</v>
      </c>
      <c r="AD1038">
        <v>38.64</v>
      </c>
      <c r="AE1038" s="7"/>
      <c r="AF1038" s="7"/>
      <c r="AG1038" s="7"/>
      <c r="AH1038" s="7"/>
      <c r="AI1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0.28166666666666629</v>
      </c>
      <c r="AJ1038" s="7"/>
      <c r="AK1038" t="s">
        <v>629</v>
      </c>
      <c r="AN1038">
        <f>IFERROR(INT(Table13[[#This Row],[reject_prod]]/Table13[[#This Row],[part_weight]] * 1000), 0)</f>
        <v>366</v>
      </c>
    </row>
    <row r="1039" spans="1:40" hidden="1">
      <c r="A1039" s="1">
        <v>46054</v>
      </c>
      <c r="B1039">
        <v>1</v>
      </c>
      <c r="C1039">
        <v>3</v>
      </c>
      <c r="D1039" t="s">
        <v>88</v>
      </c>
      <c r="E1039" t="s">
        <v>34</v>
      </c>
      <c r="F1039">
        <v>442034</v>
      </c>
      <c r="G1039" s="6">
        <v>0</v>
      </c>
      <c r="H1039" t="s">
        <v>37</v>
      </c>
      <c r="I1039">
        <v>10681184</v>
      </c>
      <c r="J1039">
        <v>4</v>
      </c>
      <c r="K1039">
        <v>23</v>
      </c>
      <c r="L1039">
        <v>23</v>
      </c>
      <c r="M1039">
        <v>1470</v>
      </c>
      <c r="N1039" s="2">
        <v>139776</v>
      </c>
      <c r="O1039" s="2">
        <v>3072</v>
      </c>
      <c r="P1039" s="2">
        <v>4608</v>
      </c>
      <c r="Q1039" s="2">
        <v>5880</v>
      </c>
      <c r="R1039" s="2">
        <v>4608</v>
      </c>
      <c r="S1039">
        <v>105.98399999999999</v>
      </c>
      <c r="T1039" s="2">
        <v>133632</v>
      </c>
      <c r="U1039" s="2">
        <v>6144</v>
      </c>
      <c r="V1039">
        <v>135.24</v>
      </c>
      <c r="W1039">
        <v>0</v>
      </c>
      <c r="X1039">
        <v>0</v>
      </c>
      <c r="Y1039">
        <v>0</v>
      </c>
      <c r="Z1039">
        <v>3</v>
      </c>
      <c r="AA1039">
        <v>2.2182786157941437E-2</v>
      </c>
      <c r="AB1039">
        <v>29.2</v>
      </c>
      <c r="AC1039">
        <v>11.923333333333332</v>
      </c>
      <c r="AD1039">
        <v>22</v>
      </c>
      <c r="AE1039" s="7"/>
      <c r="AF1039" s="7"/>
      <c r="AG1039" s="7"/>
      <c r="AH1039" s="7"/>
      <c r="AI1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7.6666666666667993E-2</v>
      </c>
      <c r="AJ1039" s="7"/>
      <c r="AK1039" t="s">
        <v>643</v>
      </c>
      <c r="AN1039">
        <f>IFERROR(INT(Table13[[#This Row],[reject_prod]]/Table13[[#This Row],[part_weight]] * 1000), 0)</f>
        <v>130</v>
      </c>
    </row>
    <row r="1040" spans="1:40" hidden="1">
      <c r="A1040" s="1">
        <v>46054</v>
      </c>
      <c r="B1040">
        <v>1</v>
      </c>
      <c r="C1040">
        <v>4</v>
      </c>
      <c r="F1040">
        <v>123456</v>
      </c>
      <c r="G1040" s="6">
        <v>0</v>
      </c>
      <c r="M1040">
        <v>0</v>
      </c>
      <c r="N1040" s="2">
        <v>0</v>
      </c>
      <c r="O1040" s="2">
        <v>0</v>
      </c>
      <c r="P1040" s="2">
        <v>0</v>
      </c>
      <c r="Q1040" s="2"/>
      <c r="R1040" s="2">
        <v>0</v>
      </c>
      <c r="T1040" s="2">
        <v>0</v>
      </c>
      <c r="U1040" s="2"/>
      <c r="X1040">
        <v>0</v>
      </c>
      <c r="Z1040">
        <v>0</v>
      </c>
      <c r="AB1040">
        <v>0</v>
      </c>
      <c r="AC1040">
        <v>0</v>
      </c>
      <c r="AD1040">
        <v>0</v>
      </c>
      <c r="AE1040" s="7"/>
      <c r="AF1040" s="7"/>
      <c r="AG1040" s="7"/>
      <c r="AH1040" s="7"/>
      <c r="AI1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0" s="7">
        <v>12</v>
      </c>
      <c r="AK1040" t="s">
        <v>116</v>
      </c>
      <c r="AN1040">
        <f>IFERROR(INT(Table13[[#This Row],[reject_prod]]/Table13[[#This Row],[part_weight]] * 1000), 0)</f>
        <v>0</v>
      </c>
    </row>
    <row r="1041" spans="1:40" hidden="1">
      <c r="A1041" s="1">
        <v>46054</v>
      </c>
      <c r="B1041">
        <v>1</v>
      </c>
      <c r="C1041">
        <v>5</v>
      </c>
      <c r="D1041" t="s">
        <v>33</v>
      </c>
      <c r="E1041" t="s">
        <v>34</v>
      </c>
      <c r="F1041">
        <v>324198</v>
      </c>
      <c r="G1041" s="6">
        <v>0</v>
      </c>
      <c r="H1041" t="s">
        <v>632</v>
      </c>
      <c r="I1041">
        <v>10685209</v>
      </c>
      <c r="J1041">
        <v>4</v>
      </c>
      <c r="K1041">
        <v>20</v>
      </c>
      <c r="L1041">
        <v>20</v>
      </c>
      <c r="M1041">
        <v>0</v>
      </c>
      <c r="N1041" s="2">
        <v>25920</v>
      </c>
      <c r="O1041" s="2">
        <v>0</v>
      </c>
      <c r="P1041" s="2">
        <v>0</v>
      </c>
      <c r="Q1041" s="2">
        <v>0</v>
      </c>
      <c r="R1041" s="2">
        <v>0</v>
      </c>
      <c r="S1041">
        <v>0</v>
      </c>
      <c r="T1041" s="2">
        <v>0</v>
      </c>
      <c r="U1041" s="2">
        <v>25920</v>
      </c>
      <c r="V1041">
        <v>0</v>
      </c>
      <c r="W1041">
        <v>0</v>
      </c>
      <c r="X1041">
        <v>4</v>
      </c>
      <c r="Y1041" t="e">
        <v>#DIV/0!</v>
      </c>
      <c r="Z1041">
        <v>0</v>
      </c>
      <c r="AA1041" t="e">
        <v>#DIV/0!</v>
      </c>
      <c r="AB1041">
        <v>21.9</v>
      </c>
      <c r="AC1041">
        <v>0</v>
      </c>
      <c r="AD1041">
        <v>19.5</v>
      </c>
      <c r="AE1041" s="7"/>
      <c r="AF1041" s="7"/>
      <c r="AG1041" s="7"/>
      <c r="AH1041" s="7"/>
      <c r="AI1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41" s="7"/>
      <c r="AK1041" t="s">
        <v>633</v>
      </c>
      <c r="AN1041">
        <f>IFERROR(INT(Table13[[#This Row],[reject_prod]]/Table13[[#This Row],[part_weight]] * 1000), 0)</f>
        <v>0</v>
      </c>
    </row>
    <row r="1042" spans="1:40" hidden="1">
      <c r="A1042" s="1">
        <v>46054</v>
      </c>
      <c r="B1042">
        <v>1</v>
      </c>
      <c r="C1042">
        <v>6</v>
      </c>
      <c r="D1042" t="s">
        <v>638</v>
      </c>
      <c r="E1042" t="s">
        <v>34</v>
      </c>
      <c r="F1042">
        <v>324174</v>
      </c>
      <c r="G1042" s="6">
        <v>0</v>
      </c>
      <c r="H1042" t="s">
        <v>558</v>
      </c>
      <c r="I1042">
        <v>10684855</v>
      </c>
      <c r="J1042">
        <v>4</v>
      </c>
      <c r="K1042">
        <v>24</v>
      </c>
      <c r="L1042">
        <v>24</v>
      </c>
      <c r="M1042">
        <v>2030</v>
      </c>
      <c r="N1042" s="2">
        <v>20300</v>
      </c>
      <c r="O1042" s="2">
        <v>1624</v>
      </c>
      <c r="P1042" s="2">
        <v>1624</v>
      </c>
      <c r="Q1042" s="2">
        <v>8120</v>
      </c>
      <c r="R1042" s="2">
        <v>8120</v>
      </c>
      <c r="S1042">
        <v>194.88</v>
      </c>
      <c r="T1042" s="2">
        <v>19894</v>
      </c>
      <c r="U1042" s="2">
        <v>406</v>
      </c>
      <c r="V1042">
        <v>194.88</v>
      </c>
      <c r="W1042">
        <v>0</v>
      </c>
      <c r="X1042">
        <v>0</v>
      </c>
      <c r="Y1042">
        <v>0</v>
      </c>
      <c r="Z1042">
        <v>2</v>
      </c>
      <c r="AA1042">
        <v>1.0262725779967159E-2</v>
      </c>
      <c r="AB1042">
        <v>21.3</v>
      </c>
      <c r="AC1042">
        <v>12</v>
      </c>
      <c r="AD1042">
        <v>20.12</v>
      </c>
      <c r="AE1042" s="7"/>
      <c r="AF1042" s="7"/>
      <c r="AG1042" s="7"/>
      <c r="AH1042" s="7"/>
      <c r="AI1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2" s="7"/>
      <c r="AK1042" t="s">
        <v>103</v>
      </c>
      <c r="AN1042">
        <f>IFERROR(INT(Table13[[#This Row],[reject_prod]]/Table13[[#This Row],[part_weight]] * 1000), 0)</f>
        <v>83</v>
      </c>
    </row>
    <row r="1043" spans="1:40" hidden="1">
      <c r="A1043" s="1">
        <v>46054</v>
      </c>
      <c r="B1043">
        <v>1</v>
      </c>
      <c r="C1043">
        <v>7</v>
      </c>
      <c r="D1043" t="s">
        <v>33</v>
      </c>
      <c r="E1043" t="s">
        <v>34</v>
      </c>
      <c r="F1043">
        <v>323072</v>
      </c>
      <c r="G1043" s="6">
        <v>0</v>
      </c>
      <c r="H1043" t="s">
        <v>590</v>
      </c>
      <c r="I1043">
        <v>10684033</v>
      </c>
      <c r="J1043">
        <v>4</v>
      </c>
      <c r="K1043">
        <v>34.5</v>
      </c>
      <c r="L1043">
        <v>34.5</v>
      </c>
      <c r="M1043">
        <v>0</v>
      </c>
      <c r="N1043" s="2">
        <v>24768</v>
      </c>
      <c r="O1043" s="2">
        <v>1548</v>
      </c>
      <c r="P1043" s="2">
        <v>0</v>
      </c>
      <c r="Q1043" s="2">
        <v>0</v>
      </c>
      <c r="R1043" s="2">
        <v>1548</v>
      </c>
      <c r="S1043">
        <v>53.405999999999999</v>
      </c>
      <c r="T1043" s="2">
        <v>24768</v>
      </c>
      <c r="U1043" s="2">
        <v>0</v>
      </c>
      <c r="V1043">
        <v>0</v>
      </c>
      <c r="W1043">
        <v>0</v>
      </c>
      <c r="X1043">
        <v>0</v>
      </c>
      <c r="Y1043" t="e">
        <v>#DIV/0!</v>
      </c>
      <c r="Z1043">
        <v>0</v>
      </c>
      <c r="AA1043" t="e">
        <v>#DIV/0!</v>
      </c>
      <c r="AB1043">
        <v>24.1</v>
      </c>
      <c r="AC1043">
        <v>0</v>
      </c>
      <c r="AD1043">
        <v>16.2</v>
      </c>
      <c r="AE1043" s="7"/>
      <c r="AF1043" s="7"/>
      <c r="AG1043" s="7"/>
      <c r="AH1043" s="7"/>
      <c r="AI1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43" s="7"/>
      <c r="AK1043" t="s">
        <v>644</v>
      </c>
      <c r="AN1043">
        <f>IFERROR(INT(Table13[[#This Row],[reject_prod]]/Table13[[#This Row],[part_weight]] * 1000), 0)</f>
        <v>0</v>
      </c>
    </row>
    <row r="1044" spans="1:40" hidden="1">
      <c r="A1044" s="1">
        <v>46054</v>
      </c>
      <c r="B1044">
        <v>1</v>
      </c>
      <c r="C1044">
        <v>7</v>
      </c>
      <c r="D1044" t="s">
        <v>639</v>
      </c>
      <c r="E1044" t="s">
        <v>34</v>
      </c>
      <c r="F1044">
        <v>322444</v>
      </c>
      <c r="G1044" s="6">
        <v>0</v>
      </c>
      <c r="H1044" t="s">
        <v>636</v>
      </c>
      <c r="I1044">
        <v>10684856</v>
      </c>
      <c r="J1044">
        <v>4</v>
      </c>
      <c r="K1044">
        <v>32.74</v>
      </c>
      <c r="L1044">
        <v>34.5</v>
      </c>
      <c r="M1044">
        <v>1030</v>
      </c>
      <c r="N1044" s="2">
        <v>16240</v>
      </c>
      <c r="O1044" s="2">
        <v>0</v>
      </c>
      <c r="P1044" s="2">
        <v>4060</v>
      </c>
      <c r="Q1044" s="2">
        <v>4120</v>
      </c>
      <c r="R1044" s="2">
        <v>0</v>
      </c>
      <c r="S1044">
        <v>0</v>
      </c>
      <c r="T1044" s="2">
        <v>4060</v>
      </c>
      <c r="U1044" s="2">
        <v>12180</v>
      </c>
      <c r="V1044">
        <v>142.13999999999999</v>
      </c>
      <c r="W1044">
        <v>0</v>
      </c>
      <c r="X1044">
        <v>6</v>
      </c>
      <c r="Y1044">
        <v>4.2211903756859438E-2</v>
      </c>
      <c r="Z1044">
        <v>1</v>
      </c>
      <c r="AA1044">
        <v>7.0353172928099067E-3</v>
      </c>
      <c r="AB1044">
        <v>24.1</v>
      </c>
      <c r="AC1044">
        <v>6.8952777777777783</v>
      </c>
      <c r="AD1044">
        <v>23</v>
      </c>
      <c r="AE1044" s="7"/>
      <c r="AF1044" s="7"/>
      <c r="AG1044" s="7"/>
      <c r="AH1044" s="7"/>
      <c r="AI1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5.1047222222222217</v>
      </c>
      <c r="AJ1044" s="7"/>
      <c r="AK1044" t="s">
        <v>645</v>
      </c>
      <c r="AN1044">
        <f>IFERROR(INT(Table13[[#This Row],[reject_prod]]/Table13[[#This Row],[part_weight]] * 1000), 0)</f>
        <v>28</v>
      </c>
    </row>
    <row r="1045" spans="1:40" hidden="1">
      <c r="A1045" s="1">
        <v>46054</v>
      </c>
      <c r="B1045">
        <v>1</v>
      </c>
      <c r="C1045">
        <v>8</v>
      </c>
      <c r="F1045">
        <v>123456</v>
      </c>
      <c r="G1045" s="6">
        <v>0</v>
      </c>
      <c r="M1045">
        <v>0</v>
      </c>
      <c r="N1045" s="2">
        <v>0</v>
      </c>
      <c r="O1045" s="2">
        <v>0</v>
      </c>
      <c r="P1045" s="2">
        <v>0</v>
      </c>
      <c r="Q1045" s="2"/>
      <c r="R1045" s="2">
        <v>0</v>
      </c>
      <c r="T1045" s="2">
        <v>0</v>
      </c>
      <c r="U1045" s="2"/>
      <c r="X1045">
        <v>0</v>
      </c>
      <c r="Z1045">
        <v>0</v>
      </c>
      <c r="AB1045">
        <v>0</v>
      </c>
      <c r="AC1045">
        <v>0</v>
      </c>
      <c r="AD1045">
        <v>0</v>
      </c>
      <c r="AE1045" s="7"/>
      <c r="AF1045" s="7"/>
      <c r="AG1045" s="7"/>
      <c r="AH1045" s="7"/>
      <c r="AI1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5" s="7">
        <v>12</v>
      </c>
      <c r="AK1045" t="s">
        <v>116</v>
      </c>
      <c r="AN1045">
        <f>IFERROR(INT(Table13[[#This Row],[reject_prod]]/Table13[[#This Row],[part_weight]] * 1000), 0)</f>
        <v>0</v>
      </c>
    </row>
    <row r="1046" spans="1:40" hidden="1">
      <c r="A1046" s="1">
        <v>46054</v>
      </c>
      <c r="B1046">
        <v>1</v>
      </c>
      <c r="C1046">
        <v>9</v>
      </c>
      <c r="D1046" t="s">
        <v>640</v>
      </c>
      <c r="E1046" t="s">
        <v>46</v>
      </c>
      <c r="F1046">
        <v>586276</v>
      </c>
      <c r="G1046" s="6">
        <v>1</v>
      </c>
      <c r="H1046" t="s">
        <v>47</v>
      </c>
      <c r="I1046">
        <v>10682924</v>
      </c>
      <c r="J1046">
        <v>6</v>
      </c>
      <c r="K1046">
        <v>12.3</v>
      </c>
      <c r="L1046">
        <v>12.3</v>
      </c>
      <c r="M1046">
        <v>1485</v>
      </c>
      <c r="N1046" s="2">
        <v>162000</v>
      </c>
      <c r="O1046" s="2">
        <v>810</v>
      </c>
      <c r="P1046" s="2">
        <v>1620</v>
      </c>
      <c r="Q1046" s="2">
        <v>8910</v>
      </c>
      <c r="R1046" s="2">
        <v>8100</v>
      </c>
      <c r="S1046">
        <v>99.63</v>
      </c>
      <c r="T1046" s="2">
        <v>139320</v>
      </c>
      <c r="U1046" s="2">
        <v>22680</v>
      </c>
      <c r="V1046">
        <v>109.593</v>
      </c>
      <c r="W1046">
        <v>0</v>
      </c>
      <c r="X1046">
        <v>0</v>
      </c>
      <c r="Y1046">
        <v>0</v>
      </c>
      <c r="Z1046">
        <v>2</v>
      </c>
      <c r="AA1046">
        <v>1.8249340742565675E-2</v>
      </c>
      <c r="AB1046">
        <v>26.6</v>
      </c>
      <c r="AC1046">
        <v>10.9725</v>
      </c>
      <c r="AD1046">
        <v>26</v>
      </c>
      <c r="AE1046" s="7"/>
      <c r="AF1046" s="7"/>
      <c r="AG1046" s="7"/>
      <c r="AH1046" s="7">
        <v>1</v>
      </c>
      <c r="AI1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2.7499999999999858E-2</v>
      </c>
      <c r="AJ1046" s="7"/>
      <c r="AK1046" t="s">
        <v>646</v>
      </c>
      <c r="AN1046">
        <f>IFERROR(INT(Table13[[#This Row],[reject_prod]]/Table13[[#This Row],[part_weight]] * 1000), 0)</f>
        <v>162</v>
      </c>
    </row>
    <row r="1047" spans="1:40" hidden="1">
      <c r="A1047" s="1">
        <v>46054</v>
      </c>
      <c r="B1047">
        <v>1</v>
      </c>
      <c r="C1047">
        <v>10</v>
      </c>
      <c r="F1047">
        <v>123456</v>
      </c>
      <c r="G1047" s="6">
        <v>0</v>
      </c>
      <c r="M1047">
        <v>0</v>
      </c>
      <c r="N1047" s="2">
        <v>0</v>
      </c>
      <c r="O1047" s="2">
        <v>0</v>
      </c>
      <c r="P1047" s="2">
        <v>0</v>
      </c>
      <c r="Q1047" s="2"/>
      <c r="R1047" s="2">
        <v>0</v>
      </c>
      <c r="T1047" s="2">
        <v>0</v>
      </c>
      <c r="U1047" s="2"/>
      <c r="X1047">
        <v>0</v>
      </c>
      <c r="Z1047">
        <v>0</v>
      </c>
      <c r="AB1047">
        <v>0</v>
      </c>
      <c r="AC1047">
        <v>0</v>
      </c>
      <c r="AD1047">
        <v>0</v>
      </c>
      <c r="AE1047" s="7"/>
      <c r="AF1047" s="7"/>
      <c r="AG1047" s="7"/>
      <c r="AH1047" s="7"/>
      <c r="AI1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7" s="7">
        <v>12</v>
      </c>
      <c r="AK1047" t="s">
        <v>116</v>
      </c>
      <c r="AN1047">
        <f>IFERROR(INT(Table13[[#This Row],[reject_prod]]/Table13[[#This Row],[part_weight]] * 1000), 0)</f>
        <v>0</v>
      </c>
    </row>
    <row r="1048" spans="1:40" hidden="1">
      <c r="A1048" s="1">
        <v>46054</v>
      </c>
      <c r="B1048">
        <v>1</v>
      </c>
      <c r="C1048">
        <v>11</v>
      </c>
      <c r="D1048" t="s">
        <v>139</v>
      </c>
      <c r="E1048" t="s">
        <v>46</v>
      </c>
      <c r="F1048">
        <v>552181</v>
      </c>
      <c r="G1048" s="6">
        <v>1</v>
      </c>
      <c r="H1048" t="s">
        <v>49</v>
      </c>
      <c r="I1048">
        <v>10685338</v>
      </c>
      <c r="J1048">
        <v>6</v>
      </c>
      <c r="K1048">
        <v>18.8</v>
      </c>
      <c r="L1048">
        <v>18.8</v>
      </c>
      <c r="M1048">
        <v>1460</v>
      </c>
      <c r="N1048" s="2">
        <v>108000</v>
      </c>
      <c r="O1048" s="2">
        <v>4590</v>
      </c>
      <c r="P1048" s="2">
        <v>2430</v>
      </c>
      <c r="Q1048" s="2">
        <v>8760</v>
      </c>
      <c r="R1048" s="2">
        <v>10800</v>
      </c>
      <c r="S1048">
        <v>203.04</v>
      </c>
      <c r="T1048" s="2">
        <v>61830</v>
      </c>
      <c r="U1048" s="2">
        <v>46170</v>
      </c>
      <c r="V1048">
        <v>164.68799999999999</v>
      </c>
      <c r="W1048">
        <v>0</v>
      </c>
      <c r="X1048">
        <v>0</v>
      </c>
      <c r="Y1048">
        <v>0</v>
      </c>
      <c r="Z1048">
        <v>1</v>
      </c>
      <c r="AA1048">
        <v>6.0720878266783259E-3</v>
      </c>
      <c r="AB1048">
        <v>29.2</v>
      </c>
      <c r="AC1048">
        <v>11.842222222222221</v>
      </c>
      <c r="AD1048">
        <v>27</v>
      </c>
      <c r="AE1048" s="7"/>
      <c r="AF1048" s="7"/>
      <c r="AG1048" s="7"/>
      <c r="AH1048" s="7"/>
      <c r="AI1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0.15777777777777935</v>
      </c>
      <c r="AJ1048" s="7"/>
      <c r="AK1048" t="s">
        <v>51</v>
      </c>
      <c r="AN1048">
        <f>IFERROR(INT(Table13[[#This Row],[reject_prod]]/Table13[[#This Row],[part_weight]] * 1000), 0)</f>
        <v>53</v>
      </c>
    </row>
    <row r="1049" spans="1:40" hidden="1">
      <c r="A1049" s="1">
        <v>46054</v>
      </c>
      <c r="B1049">
        <v>1</v>
      </c>
      <c r="C1049">
        <v>12</v>
      </c>
      <c r="F1049">
        <v>123456</v>
      </c>
      <c r="G1049" s="6">
        <v>0</v>
      </c>
      <c r="M1049">
        <v>0</v>
      </c>
      <c r="N1049" s="2">
        <v>0</v>
      </c>
      <c r="O1049" s="2">
        <v>0</v>
      </c>
      <c r="P1049" s="2">
        <v>0</v>
      </c>
      <c r="Q1049" s="2"/>
      <c r="R1049" s="2">
        <v>0</v>
      </c>
      <c r="T1049" s="2">
        <v>0</v>
      </c>
      <c r="U1049" s="2"/>
      <c r="X1049">
        <v>0</v>
      </c>
      <c r="Z1049">
        <v>0</v>
      </c>
      <c r="AB1049">
        <v>0</v>
      </c>
      <c r="AC1049">
        <v>0</v>
      </c>
      <c r="AD1049">
        <v>0</v>
      </c>
      <c r="AE1049" s="7"/>
      <c r="AF1049" s="7"/>
      <c r="AG1049" s="7"/>
      <c r="AH1049" s="7"/>
      <c r="AI1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9" s="7">
        <v>12</v>
      </c>
      <c r="AK1049" t="s">
        <v>116</v>
      </c>
      <c r="AN1049">
        <f>IFERROR(INT(Table13[[#This Row],[reject_prod]]/Table13[[#This Row],[part_weight]] * 1000), 0)</f>
        <v>0</v>
      </c>
    </row>
    <row r="1050" spans="1:40" hidden="1">
      <c r="A1050" s="1">
        <v>46054</v>
      </c>
      <c r="B1050">
        <v>1</v>
      </c>
      <c r="C1050">
        <v>13</v>
      </c>
      <c r="F1050">
        <v>123456</v>
      </c>
      <c r="G1050" s="6">
        <v>0</v>
      </c>
      <c r="M1050">
        <v>0</v>
      </c>
      <c r="N1050" s="2">
        <v>0</v>
      </c>
      <c r="O1050" s="2">
        <v>0</v>
      </c>
      <c r="P1050" s="2">
        <v>0</v>
      </c>
      <c r="Q1050" s="2"/>
      <c r="R1050" s="2">
        <v>0</v>
      </c>
      <c r="T1050" s="2">
        <v>0</v>
      </c>
      <c r="U1050" s="2"/>
      <c r="X1050">
        <v>0</v>
      </c>
      <c r="Z1050">
        <v>0</v>
      </c>
      <c r="AB1050">
        <v>0</v>
      </c>
      <c r="AC1050">
        <v>0</v>
      </c>
      <c r="AD1050">
        <v>0</v>
      </c>
      <c r="AE1050" s="7"/>
      <c r="AF1050" s="7"/>
      <c r="AG1050" s="7"/>
      <c r="AH1050" s="7"/>
      <c r="AI1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0" s="7">
        <v>12</v>
      </c>
      <c r="AK1050" t="s">
        <v>116</v>
      </c>
      <c r="AN1050">
        <f>IFERROR(INT(Table13[[#This Row],[reject_prod]]/Table13[[#This Row],[part_weight]] * 1000), 0)</f>
        <v>0</v>
      </c>
    </row>
    <row r="1051" spans="1:40" hidden="1">
      <c r="A1051" s="1">
        <v>46054</v>
      </c>
      <c r="B1051">
        <v>1</v>
      </c>
      <c r="C1051">
        <v>14</v>
      </c>
      <c r="D1051" t="s">
        <v>139</v>
      </c>
      <c r="E1051" t="s">
        <v>46</v>
      </c>
      <c r="F1051">
        <v>586276</v>
      </c>
      <c r="G1051" s="6">
        <v>2</v>
      </c>
      <c r="H1051" t="s">
        <v>47</v>
      </c>
      <c r="I1051">
        <v>10686191</v>
      </c>
      <c r="J1051">
        <v>6</v>
      </c>
      <c r="K1051">
        <v>12.3</v>
      </c>
      <c r="L1051">
        <v>12.3</v>
      </c>
      <c r="M1051">
        <v>1660</v>
      </c>
      <c r="N1051" s="2">
        <v>162000</v>
      </c>
      <c r="O1051" s="2">
        <v>3645</v>
      </c>
      <c r="P1051" s="2">
        <v>6075</v>
      </c>
      <c r="Q1051" s="2">
        <v>9960</v>
      </c>
      <c r="R1051" s="2">
        <v>8100</v>
      </c>
      <c r="S1051">
        <v>99.63</v>
      </c>
      <c r="T1051" s="2">
        <v>29970</v>
      </c>
      <c r="U1051" s="2">
        <v>132030</v>
      </c>
      <c r="V1051">
        <v>122.508</v>
      </c>
      <c r="W1051">
        <v>0</v>
      </c>
      <c r="X1051">
        <v>0</v>
      </c>
      <c r="Y1051">
        <v>0</v>
      </c>
      <c r="Z1051">
        <v>0.5</v>
      </c>
      <c r="AA1051">
        <v>4.0813661148659678E-3</v>
      </c>
      <c r="AB1051">
        <v>26.2</v>
      </c>
      <c r="AC1051">
        <v>12</v>
      </c>
      <c r="AD1051">
        <v>26</v>
      </c>
      <c r="AE1051" s="7"/>
      <c r="AF1051" s="7"/>
      <c r="AG1051" s="7"/>
      <c r="AH1051" s="7"/>
      <c r="AI1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1" s="7"/>
      <c r="AK1051" t="s">
        <v>51</v>
      </c>
      <c r="AN1051">
        <f>IFERROR(INT(Table13[[#This Row],[reject_prod]]/Table13[[#This Row],[part_weight]] * 1000), 0)</f>
        <v>40</v>
      </c>
    </row>
    <row r="1052" spans="1:40" hidden="1">
      <c r="A1052" s="1">
        <v>46054</v>
      </c>
      <c r="B1052">
        <v>1</v>
      </c>
      <c r="C1052">
        <v>15</v>
      </c>
      <c r="D1052" t="s">
        <v>139</v>
      </c>
      <c r="E1052" t="s">
        <v>46</v>
      </c>
      <c r="F1052">
        <v>552181</v>
      </c>
      <c r="G1052" s="6">
        <v>2</v>
      </c>
      <c r="H1052" t="s">
        <v>49</v>
      </c>
      <c r="I1052">
        <v>10685541</v>
      </c>
      <c r="J1052">
        <v>6</v>
      </c>
      <c r="K1052">
        <v>18.8</v>
      </c>
      <c r="L1052">
        <v>18.8</v>
      </c>
      <c r="M1052">
        <v>1350</v>
      </c>
      <c r="N1052" s="2">
        <v>108000</v>
      </c>
      <c r="O1052" s="2">
        <v>2700</v>
      </c>
      <c r="P1052" s="2">
        <v>0</v>
      </c>
      <c r="Q1052" s="2">
        <v>8100</v>
      </c>
      <c r="R1052" s="2">
        <v>10800</v>
      </c>
      <c r="S1052">
        <v>203.04</v>
      </c>
      <c r="T1052" s="2">
        <v>48600</v>
      </c>
      <c r="U1052" s="2">
        <v>59400</v>
      </c>
      <c r="V1052">
        <v>152.28</v>
      </c>
      <c r="W1052">
        <v>0</v>
      </c>
      <c r="X1052">
        <v>0</v>
      </c>
      <c r="Y1052">
        <v>0</v>
      </c>
      <c r="Z1052">
        <v>0.5</v>
      </c>
      <c r="AA1052">
        <v>3.2834252692408722E-3</v>
      </c>
      <c r="AB1052">
        <v>31.2</v>
      </c>
      <c r="AC1052">
        <v>11.7</v>
      </c>
      <c r="AD1052">
        <v>27</v>
      </c>
      <c r="AE1052" s="7"/>
      <c r="AF1052" s="7"/>
      <c r="AG1052" s="7"/>
      <c r="AH1052" s="7"/>
      <c r="AI1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052" s="7"/>
      <c r="AK1052" t="s">
        <v>51</v>
      </c>
      <c r="AN1052">
        <f>IFERROR(INT(Table13[[#This Row],[reject_prod]]/Table13[[#This Row],[part_weight]] * 1000), 0)</f>
        <v>26</v>
      </c>
    </row>
    <row r="1053" spans="1:40" s="4" customFormat="1" hidden="1">
      <c r="A1053" s="3">
        <v>46054</v>
      </c>
      <c r="B1053" s="4">
        <v>1</v>
      </c>
      <c r="C1053" s="4">
        <v>16</v>
      </c>
      <c r="D1053" s="4" t="s">
        <v>208</v>
      </c>
      <c r="E1053" s="4" t="s">
        <v>46</v>
      </c>
      <c r="F1053" s="4">
        <v>555979</v>
      </c>
      <c r="G1053" s="9">
        <v>2</v>
      </c>
      <c r="H1053" s="4" t="s">
        <v>52</v>
      </c>
      <c r="I1053" s="4">
        <v>10684863</v>
      </c>
      <c r="J1053" s="4">
        <v>6</v>
      </c>
      <c r="K1053" s="4">
        <v>28</v>
      </c>
      <c r="L1053" s="4">
        <v>28</v>
      </c>
      <c r="M1053" s="4">
        <v>960</v>
      </c>
      <c r="N1053" s="5">
        <v>100800</v>
      </c>
      <c r="O1053" s="5">
        <v>840</v>
      </c>
      <c r="P1053" s="5">
        <v>3024</v>
      </c>
      <c r="Q1053" s="5">
        <v>5760</v>
      </c>
      <c r="R1053" s="5">
        <v>3360</v>
      </c>
      <c r="S1053" s="4">
        <v>94.08</v>
      </c>
      <c r="T1053" s="5">
        <v>100464</v>
      </c>
      <c r="U1053" s="5">
        <v>336</v>
      </c>
      <c r="V1053" s="4">
        <v>161.28</v>
      </c>
      <c r="W1053" s="4">
        <v>0</v>
      </c>
      <c r="X1053" s="4">
        <v>0</v>
      </c>
      <c r="Y1053" s="4">
        <v>0</v>
      </c>
      <c r="Z1053" s="4">
        <v>3</v>
      </c>
      <c r="AA1053" s="4">
        <v>1.8601190476190476E-2</v>
      </c>
      <c r="AB1053" s="4">
        <v>43.5</v>
      </c>
      <c r="AC1053" s="4">
        <v>11.6</v>
      </c>
      <c r="AD1053" s="4">
        <v>42</v>
      </c>
      <c r="AE1053" s="8"/>
      <c r="AF1053" s="8"/>
      <c r="AG1053" s="8"/>
      <c r="AH1053" s="8"/>
      <c r="AI1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0.40000000000000036</v>
      </c>
      <c r="AJ1053" s="8"/>
      <c r="AK1053" s="4" t="s">
        <v>51</v>
      </c>
      <c r="AN1053">
        <f>IFERROR(INT(Table13[[#This Row],[reject_prod]]/Table13[[#This Row],[part_weight]] * 1000), 0)</f>
        <v>107</v>
      </c>
    </row>
    <row r="1054" spans="1:40" hidden="1">
      <c r="A1054" s="1">
        <v>46054</v>
      </c>
      <c r="B1054">
        <v>2</v>
      </c>
      <c r="C1054">
        <v>1</v>
      </c>
      <c r="D1054" t="s">
        <v>129</v>
      </c>
      <c r="E1054" t="s">
        <v>34</v>
      </c>
      <c r="F1054">
        <v>347623</v>
      </c>
      <c r="G1054" s="6">
        <v>0</v>
      </c>
      <c r="H1054" t="s">
        <v>35</v>
      </c>
      <c r="I1054">
        <v>10685631</v>
      </c>
      <c r="J1054">
        <v>4</v>
      </c>
      <c r="K1054">
        <v>35.6</v>
      </c>
      <c r="L1054">
        <v>35.6</v>
      </c>
      <c r="M1054">
        <v>1620</v>
      </c>
      <c r="N1054" s="2">
        <v>36800</v>
      </c>
      <c r="O1054" s="2">
        <v>368</v>
      </c>
      <c r="P1054" s="2">
        <v>1104</v>
      </c>
      <c r="Q1054" s="2">
        <v>6480</v>
      </c>
      <c r="R1054" s="2">
        <v>5520</v>
      </c>
      <c r="S1054">
        <v>196.512</v>
      </c>
      <c r="T1054" s="2">
        <v>32384</v>
      </c>
      <c r="U1054" s="2">
        <v>4416</v>
      </c>
      <c r="V1054">
        <v>230.68799999999999</v>
      </c>
      <c r="W1054">
        <v>0</v>
      </c>
      <c r="X1054">
        <v>0</v>
      </c>
      <c r="Y1054">
        <v>0</v>
      </c>
      <c r="Z1054">
        <v>8</v>
      </c>
      <c r="AA1054">
        <v>3.4678873630184494E-2</v>
      </c>
      <c r="AB1054">
        <v>26.2</v>
      </c>
      <c r="AC1054">
        <v>11.790000000000001</v>
      </c>
      <c r="AD1054">
        <v>27</v>
      </c>
      <c r="AE1054" s="7"/>
      <c r="AF1054" s="7"/>
      <c r="AG1054" s="7"/>
      <c r="AH1054" s="7"/>
      <c r="AI1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054" s="7"/>
      <c r="AK1054" t="s">
        <v>647</v>
      </c>
      <c r="AN1054">
        <f>IFERROR(INT(Table13[[#This Row],[reject_prod]]/Table13[[#This Row],[part_weight]] * 1000), 0)</f>
        <v>224</v>
      </c>
    </row>
    <row r="1055" spans="1:40" hidden="1">
      <c r="A1055" s="1">
        <v>46054</v>
      </c>
      <c r="B1055">
        <v>2</v>
      </c>
      <c r="C1055">
        <v>2</v>
      </c>
      <c r="D1055" t="s">
        <v>152</v>
      </c>
      <c r="E1055" t="s">
        <v>34</v>
      </c>
      <c r="F1055">
        <v>416201</v>
      </c>
      <c r="G1055" s="6">
        <v>0</v>
      </c>
      <c r="H1055" t="s">
        <v>36</v>
      </c>
      <c r="I1055">
        <v>10681779</v>
      </c>
      <c r="J1055">
        <v>4</v>
      </c>
      <c r="K1055">
        <v>20</v>
      </c>
      <c r="L1055">
        <v>30</v>
      </c>
      <c r="M1055">
        <v>1343</v>
      </c>
      <c r="N1055" s="2">
        <v>50400</v>
      </c>
      <c r="O1055" s="2">
        <v>3780</v>
      </c>
      <c r="P1055" s="2">
        <v>4000</v>
      </c>
      <c r="Q1055" s="2">
        <v>5372</v>
      </c>
      <c r="R1055" s="2">
        <v>5040</v>
      </c>
      <c r="S1055">
        <v>151.19999999999999</v>
      </c>
      <c r="T1055" s="2">
        <v>39280</v>
      </c>
      <c r="U1055" s="2">
        <v>11120</v>
      </c>
      <c r="V1055">
        <v>161.16</v>
      </c>
      <c r="W1055">
        <v>0</v>
      </c>
      <c r="X1055">
        <v>0</v>
      </c>
      <c r="Y1055">
        <v>0</v>
      </c>
      <c r="Z1055">
        <v>3.4</v>
      </c>
      <c r="AA1055">
        <v>2.1097046413502109E-2</v>
      </c>
      <c r="AB1055">
        <v>31.6</v>
      </c>
      <c r="AC1055">
        <v>11.788555555555556</v>
      </c>
      <c r="AD1055">
        <v>38.64</v>
      </c>
      <c r="AE1055" s="7"/>
      <c r="AF1055" s="7"/>
      <c r="AG1055" s="7"/>
      <c r="AH1055" s="7"/>
      <c r="AI1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0.2114444444444441</v>
      </c>
      <c r="AJ1055" s="7"/>
      <c r="AK1055" t="s">
        <v>103</v>
      </c>
      <c r="AN1055">
        <f>IFERROR(INT(Table13[[#This Row],[reject_prod]]/Table13[[#This Row],[part_weight]] * 1000), 0)</f>
        <v>113</v>
      </c>
    </row>
    <row r="1056" spans="1:40" hidden="1">
      <c r="A1056" s="1">
        <v>46054</v>
      </c>
      <c r="B1056">
        <v>2</v>
      </c>
      <c r="C1056">
        <v>3</v>
      </c>
      <c r="D1056" t="s">
        <v>110</v>
      </c>
      <c r="E1056" t="s">
        <v>34</v>
      </c>
      <c r="F1056">
        <v>442034</v>
      </c>
      <c r="G1056" s="6">
        <v>0</v>
      </c>
      <c r="H1056" t="s">
        <v>37</v>
      </c>
      <c r="I1056">
        <v>10681184</v>
      </c>
      <c r="J1056">
        <v>4</v>
      </c>
      <c r="K1056">
        <v>23</v>
      </c>
      <c r="L1056">
        <v>23</v>
      </c>
      <c r="M1056">
        <v>1473</v>
      </c>
      <c r="N1056" s="2">
        <v>139776</v>
      </c>
      <c r="O1056" s="2">
        <v>4608</v>
      </c>
      <c r="P1056" s="2">
        <v>1152</v>
      </c>
      <c r="Q1056" s="2">
        <v>5892</v>
      </c>
      <c r="R1056" s="2">
        <v>9216</v>
      </c>
      <c r="S1056">
        <v>211.96799999999999</v>
      </c>
      <c r="T1056" s="2">
        <v>138240</v>
      </c>
      <c r="U1056" s="2">
        <v>1536</v>
      </c>
      <c r="V1056">
        <v>135.51599999999999</v>
      </c>
      <c r="W1056">
        <v>0</v>
      </c>
      <c r="X1056">
        <v>0</v>
      </c>
      <c r="Y1056">
        <v>0</v>
      </c>
      <c r="Z1056">
        <v>3</v>
      </c>
      <c r="AA1056">
        <v>2.2137607367395732E-2</v>
      </c>
      <c r="AB1056">
        <v>29.2</v>
      </c>
      <c r="AC1056">
        <v>11.947666666666667</v>
      </c>
      <c r="AD1056">
        <v>22</v>
      </c>
      <c r="AE1056" s="7"/>
      <c r="AF1056" s="7"/>
      <c r="AG1056" s="7"/>
      <c r="AH1056" s="7"/>
      <c r="AI1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5.2333333333333343E-2</v>
      </c>
      <c r="AJ1056" s="7"/>
      <c r="AK1056" t="s">
        <v>168</v>
      </c>
      <c r="AN1056">
        <f>IFERROR(INT(Table13[[#This Row],[reject_prod]]/Table13[[#This Row],[part_weight]] * 1000), 0)</f>
        <v>130</v>
      </c>
    </row>
    <row r="1057" spans="1:40" hidden="1">
      <c r="A1057" s="1">
        <v>46054</v>
      </c>
      <c r="B1057">
        <v>2</v>
      </c>
      <c r="C1057">
        <v>4</v>
      </c>
      <c r="F1057">
        <v>123456</v>
      </c>
      <c r="G1057" s="6">
        <v>0</v>
      </c>
      <c r="M1057">
        <v>0</v>
      </c>
      <c r="N1057" s="2">
        <v>0</v>
      </c>
      <c r="O1057" s="2">
        <v>0</v>
      </c>
      <c r="P1057" s="2">
        <v>0</v>
      </c>
      <c r="Q1057" s="2"/>
      <c r="R1057" s="2">
        <v>0</v>
      </c>
      <c r="T1057" s="2">
        <v>0</v>
      </c>
      <c r="U1057" s="2"/>
      <c r="X1057">
        <v>0</v>
      </c>
      <c r="Z1057">
        <v>0</v>
      </c>
      <c r="AB1057">
        <v>0</v>
      </c>
      <c r="AC1057">
        <v>0</v>
      </c>
      <c r="AD1057">
        <v>0</v>
      </c>
      <c r="AE1057" s="7"/>
      <c r="AF1057" s="7"/>
      <c r="AG1057" s="7"/>
      <c r="AH1057" s="7"/>
      <c r="AI1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7" s="7">
        <v>12</v>
      </c>
      <c r="AK1057" t="s">
        <v>116</v>
      </c>
      <c r="AN1057">
        <f>IFERROR(INT(Table13[[#This Row],[reject_prod]]/Table13[[#This Row],[part_weight]] * 1000), 0)</f>
        <v>0</v>
      </c>
    </row>
    <row r="1058" spans="1:40" hidden="1">
      <c r="A1058" s="1">
        <v>46054</v>
      </c>
      <c r="B1058">
        <v>2</v>
      </c>
      <c r="C1058">
        <v>5</v>
      </c>
      <c r="D1058" t="s">
        <v>33</v>
      </c>
      <c r="E1058" t="s">
        <v>34</v>
      </c>
      <c r="F1058">
        <v>324198</v>
      </c>
      <c r="G1058" s="6">
        <v>0</v>
      </c>
      <c r="H1058" t="s">
        <v>632</v>
      </c>
      <c r="I1058">
        <v>10685209</v>
      </c>
      <c r="J1058">
        <v>4</v>
      </c>
      <c r="K1058">
        <v>20</v>
      </c>
      <c r="L1058">
        <v>20</v>
      </c>
      <c r="M1058">
        <v>0</v>
      </c>
      <c r="N1058" s="2">
        <v>25920</v>
      </c>
      <c r="O1058" s="2">
        <v>0</v>
      </c>
      <c r="P1058" s="2">
        <v>0</v>
      </c>
      <c r="Q1058" s="2">
        <v>0</v>
      </c>
      <c r="R1058" s="2">
        <v>0</v>
      </c>
      <c r="S1058">
        <v>0</v>
      </c>
      <c r="T1058" s="2">
        <v>0</v>
      </c>
      <c r="U1058" s="2">
        <v>25920</v>
      </c>
      <c r="V1058">
        <v>0</v>
      </c>
      <c r="W1058">
        <v>0</v>
      </c>
      <c r="X1058">
        <v>0</v>
      </c>
      <c r="Y1058" t="e">
        <v>#DIV/0!</v>
      </c>
      <c r="Z1058">
        <v>0</v>
      </c>
      <c r="AA1058" t="e">
        <v>#DIV/0!</v>
      </c>
      <c r="AB1058">
        <v>21.9</v>
      </c>
      <c r="AC1058">
        <v>0</v>
      </c>
      <c r="AD1058">
        <v>19.5</v>
      </c>
      <c r="AE1058" s="7"/>
      <c r="AF1058" s="7"/>
      <c r="AG1058" s="7"/>
      <c r="AH1058" s="7"/>
      <c r="AI1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58" s="7"/>
      <c r="AK1058" t="s">
        <v>633</v>
      </c>
      <c r="AN1058">
        <f>IFERROR(INT(Table13[[#This Row],[reject_prod]]/Table13[[#This Row],[part_weight]] * 1000), 0)</f>
        <v>0</v>
      </c>
    </row>
    <row r="1059" spans="1:40" hidden="1">
      <c r="A1059" s="1">
        <v>46054</v>
      </c>
      <c r="B1059">
        <v>2</v>
      </c>
      <c r="C1059">
        <v>6</v>
      </c>
      <c r="D1059" t="s">
        <v>33</v>
      </c>
      <c r="E1059" t="s">
        <v>34</v>
      </c>
      <c r="F1059">
        <v>324174</v>
      </c>
      <c r="G1059" s="6">
        <v>0</v>
      </c>
      <c r="H1059" t="s">
        <v>558</v>
      </c>
      <c r="I1059">
        <v>10684855</v>
      </c>
      <c r="J1059">
        <v>4</v>
      </c>
      <c r="K1059">
        <v>24</v>
      </c>
      <c r="L1059">
        <v>24</v>
      </c>
      <c r="M1059">
        <v>102</v>
      </c>
      <c r="N1059" s="2">
        <v>20300</v>
      </c>
      <c r="O1059" s="2">
        <v>1624</v>
      </c>
      <c r="P1059" s="2">
        <v>0</v>
      </c>
      <c r="Q1059" s="2">
        <v>408</v>
      </c>
      <c r="R1059" s="2">
        <v>2030</v>
      </c>
      <c r="S1059">
        <v>48.72</v>
      </c>
      <c r="T1059" s="2">
        <v>20300</v>
      </c>
      <c r="U1059" s="2">
        <v>0</v>
      </c>
      <c r="V1059">
        <v>9.7919999999999998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21.3</v>
      </c>
      <c r="AC1059">
        <v>0.60350000000000004</v>
      </c>
      <c r="AD1059">
        <v>20.12</v>
      </c>
      <c r="AE1059" s="7"/>
      <c r="AF1059" s="7"/>
      <c r="AG1059" s="7"/>
      <c r="AH1059" s="7"/>
      <c r="AI1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11.3965</v>
      </c>
      <c r="AJ1059" s="7"/>
      <c r="AK1059" t="s">
        <v>102</v>
      </c>
      <c r="AN1059">
        <f>IFERROR(INT(Table13[[#This Row],[reject_prod]]/Table13[[#This Row],[part_weight]] * 1000), 0)</f>
        <v>0</v>
      </c>
    </row>
    <row r="1060" spans="1:40" hidden="1">
      <c r="A1060" s="1">
        <v>46054</v>
      </c>
      <c r="B1060">
        <v>2</v>
      </c>
      <c r="C1060">
        <v>7</v>
      </c>
      <c r="D1060" t="s">
        <v>641</v>
      </c>
      <c r="E1060" t="s">
        <v>34</v>
      </c>
      <c r="F1060">
        <v>322444</v>
      </c>
      <c r="G1060" s="6">
        <v>0</v>
      </c>
      <c r="H1060" t="s">
        <v>636</v>
      </c>
      <c r="I1060">
        <v>10684856</v>
      </c>
      <c r="J1060">
        <v>4</v>
      </c>
      <c r="K1060">
        <v>32.74</v>
      </c>
      <c r="L1060">
        <v>34.5</v>
      </c>
      <c r="M1060">
        <v>1741</v>
      </c>
      <c r="N1060" s="2">
        <v>16240</v>
      </c>
      <c r="O1060" s="2">
        <v>4060</v>
      </c>
      <c r="P1060" s="2">
        <v>10962</v>
      </c>
      <c r="Q1060" s="2">
        <v>6964</v>
      </c>
      <c r="R1060" s="2">
        <v>0</v>
      </c>
      <c r="S1060">
        <v>0</v>
      </c>
      <c r="T1060" s="2">
        <v>10962</v>
      </c>
      <c r="U1060" s="2">
        <v>5278</v>
      </c>
      <c r="V1060">
        <v>240.25800000000001</v>
      </c>
      <c r="W1060">
        <v>0</v>
      </c>
      <c r="X1060">
        <v>0</v>
      </c>
      <c r="Y1060">
        <v>0</v>
      </c>
      <c r="Z1060">
        <v>2.1</v>
      </c>
      <c r="AA1060">
        <v>8.7406038508603245E-3</v>
      </c>
      <c r="AB1060">
        <v>24</v>
      </c>
      <c r="AC1060">
        <v>11.606666666666667</v>
      </c>
      <c r="AD1060">
        <v>23</v>
      </c>
      <c r="AE1060" s="7"/>
      <c r="AF1060" s="7"/>
      <c r="AG1060" s="7"/>
      <c r="AH1060" s="7"/>
      <c r="AI1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0.39333333333333265</v>
      </c>
      <c r="AJ1060" s="7"/>
      <c r="AK1060" t="s">
        <v>168</v>
      </c>
      <c r="AN1060">
        <f>IFERROR(INT(Table13[[#This Row],[reject_prod]]/Table13[[#This Row],[part_weight]] * 1000), 0)</f>
        <v>60</v>
      </c>
    </row>
    <row r="1061" spans="1:40" hidden="1">
      <c r="A1061" s="1">
        <v>46054</v>
      </c>
      <c r="B1061">
        <v>2</v>
      </c>
      <c r="C1061">
        <v>8</v>
      </c>
      <c r="F1061">
        <v>123456</v>
      </c>
      <c r="G1061" s="6">
        <v>0</v>
      </c>
      <c r="M1061">
        <v>0</v>
      </c>
      <c r="N1061" s="2">
        <v>0</v>
      </c>
      <c r="O1061" s="2">
        <v>0</v>
      </c>
      <c r="P1061" s="2">
        <v>0</v>
      </c>
      <c r="Q1061" s="2"/>
      <c r="R1061" s="2">
        <v>0</v>
      </c>
      <c r="T1061" s="2">
        <v>0</v>
      </c>
      <c r="U1061" s="2"/>
      <c r="X1061">
        <v>0</v>
      </c>
      <c r="Z1061">
        <v>0</v>
      </c>
      <c r="AB1061">
        <v>0</v>
      </c>
      <c r="AC1061">
        <v>0</v>
      </c>
      <c r="AD1061">
        <v>0</v>
      </c>
      <c r="AE1061" s="7"/>
      <c r="AF1061" s="7"/>
      <c r="AG1061" s="7"/>
      <c r="AH1061" s="7"/>
      <c r="AI1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1" s="7">
        <v>12</v>
      </c>
      <c r="AK1061" t="s">
        <v>116</v>
      </c>
      <c r="AN1061">
        <f>IFERROR(INT(Table13[[#This Row],[reject_prod]]/Table13[[#This Row],[part_weight]] * 1000), 0)</f>
        <v>0</v>
      </c>
    </row>
    <row r="1062" spans="1:40" hidden="1">
      <c r="A1062" s="1">
        <v>46054</v>
      </c>
      <c r="B1062">
        <v>2</v>
      </c>
      <c r="C1062">
        <v>9</v>
      </c>
      <c r="D1062" t="s">
        <v>641</v>
      </c>
      <c r="E1062" t="s">
        <v>46</v>
      </c>
      <c r="F1062">
        <v>586276</v>
      </c>
      <c r="G1062" s="6">
        <v>1</v>
      </c>
      <c r="H1062" t="s">
        <v>47</v>
      </c>
      <c r="I1062">
        <v>10682924</v>
      </c>
      <c r="J1062">
        <v>6</v>
      </c>
      <c r="K1062">
        <v>12.3</v>
      </c>
      <c r="L1062">
        <v>12.3</v>
      </c>
      <c r="M1062">
        <v>1608</v>
      </c>
      <c r="N1062" s="2">
        <v>162000</v>
      </c>
      <c r="O1062" s="2">
        <v>1620</v>
      </c>
      <c r="P1062" s="2">
        <v>2835</v>
      </c>
      <c r="Q1062" s="2">
        <v>9648</v>
      </c>
      <c r="R1062" s="2">
        <v>8100</v>
      </c>
      <c r="S1062">
        <v>99.63</v>
      </c>
      <c r="T1062" s="2">
        <v>148635</v>
      </c>
      <c r="U1062" s="2">
        <v>13365</v>
      </c>
      <c r="V1062">
        <v>118.67040000000001</v>
      </c>
      <c r="W1062">
        <v>0</v>
      </c>
      <c r="X1062">
        <v>0</v>
      </c>
      <c r="Y1062">
        <v>0</v>
      </c>
      <c r="Z1062">
        <v>2</v>
      </c>
      <c r="AA1062">
        <v>1.6853402364869419E-2</v>
      </c>
      <c r="AB1062">
        <v>26.6</v>
      </c>
      <c r="AC1062">
        <v>11.881333333333334</v>
      </c>
      <c r="AD1062">
        <v>26</v>
      </c>
      <c r="AE1062" s="7"/>
      <c r="AF1062" s="7"/>
      <c r="AG1062" s="7"/>
      <c r="AH1062" s="7"/>
      <c r="AI1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0.11866666666666603</v>
      </c>
      <c r="AJ1062" s="7"/>
      <c r="AK1062" t="s">
        <v>51</v>
      </c>
      <c r="AN1062">
        <f>IFERROR(INT(Table13[[#This Row],[reject_prod]]/Table13[[#This Row],[part_weight]] * 1000), 0)</f>
        <v>162</v>
      </c>
    </row>
    <row r="1063" spans="1:40" hidden="1">
      <c r="A1063" s="1">
        <v>46054</v>
      </c>
      <c r="B1063">
        <v>2</v>
      </c>
      <c r="C1063">
        <v>10</v>
      </c>
      <c r="F1063">
        <v>123456</v>
      </c>
      <c r="G1063" s="6">
        <v>0</v>
      </c>
      <c r="M1063">
        <v>0</v>
      </c>
      <c r="N1063" s="2">
        <v>0</v>
      </c>
      <c r="O1063" s="2">
        <v>0</v>
      </c>
      <c r="P1063" s="2">
        <v>0</v>
      </c>
      <c r="Q1063" s="2"/>
      <c r="R1063" s="2">
        <v>0</v>
      </c>
      <c r="T1063" s="2">
        <v>0</v>
      </c>
      <c r="U1063" s="2"/>
      <c r="X1063">
        <v>0</v>
      </c>
      <c r="Z1063">
        <v>0</v>
      </c>
      <c r="AB1063">
        <v>0</v>
      </c>
      <c r="AC1063">
        <v>0</v>
      </c>
      <c r="AD1063">
        <v>0</v>
      </c>
      <c r="AE1063" s="7"/>
      <c r="AF1063" s="7"/>
      <c r="AG1063" s="7"/>
      <c r="AH1063" s="7"/>
      <c r="AI10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3" s="7">
        <v>12</v>
      </c>
      <c r="AK1063" t="s">
        <v>116</v>
      </c>
      <c r="AN1063">
        <f>IFERROR(INT(Table13[[#This Row],[reject_prod]]/Table13[[#This Row],[part_weight]] * 1000), 0)</f>
        <v>0</v>
      </c>
    </row>
    <row r="1064" spans="1:40" hidden="1">
      <c r="A1064" s="1">
        <v>46054</v>
      </c>
      <c r="B1064">
        <v>2</v>
      </c>
      <c r="C1064">
        <v>11</v>
      </c>
      <c r="D1064" t="s">
        <v>112</v>
      </c>
      <c r="E1064" t="s">
        <v>46</v>
      </c>
      <c r="F1064">
        <v>552181</v>
      </c>
      <c r="G1064" s="6">
        <v>1</v>
      </c>
      <c r="H1064" t="s">
        <v>49</v>
      </c>
      <c r="I1064">
        <v>10685338</v>
      </c>
      <c r="J1064">
        <v>6</v>
      </c>
      <c r="K1064">
        <v>18.8</v>
      </c>
      <c r="L1064">
        <v>18.8</v>
      </c>
      <c r="M1064">
        <v>1470</v>
      </c>
      <c r="N1064" s="2">
        <v>108000</v>
      </c>
      <c r="O1064" s="2">
        <v>2430</v>
      </c>
      <c r="P1064" s="2">
        <v>270</v>
      </c>
      <c r="Q1064" s="2">
        <v>8820</v>
      </c>
      <c r="R1064" s="2">
        <v>10800</v>
      </c>
      <c r="S1064">
        <v>203.04</v>
      </c>
      <c r="T1064" s="2">
        <v>70470</v>
      </c>
      <c r="U1064" s="2">
        <v>37530</v>
      </c>
      <c r="V1064">
        <v>165.816</v>
      </c>
      <c r="W1064">
        <v>0</v>
      </c>
      <c r="X1064">
        <v>0</v>
      </c>
      <c r="Y1064">
        <v>0</v>
      </c>
      <c r="Z1064">
        <v>3.4</v>
      </c>
      <c r="AA1064">
        <v>2.0504655763014426E-2</v>
      </c>
      <c r="AB1064">
        <v>29.2</v>
      </c>
      <c r="AC1064">
        <v>11.923333333333332</v>
      </c>
      <c r="AD1064">
        <v>27</v>
      </c>
      <c r="AE1064" s="7"/>
      <c r="AF1064" s="7"/>
      <c r="AG1064" s="7"/>
      <c r="AH1064" s="7"/>
      <c r="AI1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7.6666666666667993E-2</v>
      </c>
      <c r="AJ1064" s="7"/>
      <c r="AK1064" t="s">
        <v>51</v>
      </c>
      <c r="AN1064">
        <f>IFERROR(INT(Table13[[#This Row],[reject_prod]]/Table13[[#This Row],[part_weight]] * 1000), 0)</f>
        <v>180</v>
      </c>
    </row>
    <row r="1065" spans="1:40" hidden="1">
      <c r="A1065" s="1">
        <v>46054</v>
      </c>
      <c r="B1065">
        <v>2</v>
      </c>
      <c r="C1065">
        <v>12</v>
      </c>
      <c r="F1065">
        <v>123456</v>
      </c>
      <c r="G1065" s="6">
        <v>0</v>
      </c>
      <c r="M1065">
        <v>0</v>
      </c>
      <c r="N1065" s="2">
        <v>0</v>
      </c>
      <c r="O1065" s="2">
        <v>0</v>
      </c>
      <c r="P1065" s="2">
        <v>0</v>
      </c>
      <c r="Q1065" s="2"/>
      <c r="R1065" s="2">
        <v>0</v>
      </c>
      <c r="T1065" s="2">
        <v>0</v>
      </c>
      <c r="U1065" s="2"/>
      <c r="X1065">
        <v>0</v>
      </c>
      <c r="Z1065">
        <v>0</v>
      </c>
      <c r="AB1065">
        <v>0</v>
      </c>
      <c r="AC1065">
        <v>0</v>
      </c>
      <c r="AD1065">
        <v>0</v>
      </c>
      <c r="AE1065" s="7"/>
      <c r="AF1065" s="7"/>
      <c r="AG1065" s="7"/>
      <c r="AH1065" s="7"/>
      <c r="AI1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5" s="7">
        <v>12</v>
      </c>
      <c r="AK1065" t="s">
        <v>116</v>
      </c>
      <c r="AN1065">
        <f>IFERROR(INT(Table13[[#This Row],[reject_prod]]/Table13[[#This Row],[part_weight]] * 1000), 0)</f>
        <v>0</v>
      </c>
    </row>
    <row r="1066" spans="1:40" hidden="1">
      <c r="A1066" s="1">
        <v>46054</v>
      </c>
      <c r="B1066">
        <v>2</v>
      </c>
      <c r="C1066">
        <v>13</v>
      </c>
      <c r="D1066" t="s">
        <v>112</v>
      </c>
      <c r="E1066" t="s">
        <v>46</v>
      </c>
      <c r="F1066">
        <v>586276</v>
      </c>
      <c r="G1066" s="6">
        <v>2</v>
      </c>
      <c r="H1066" t="s">
        <v>47</v>
      </c>
      <c r="I1066">
        <v>10686191</v>
      </c>
      <c r="J1066">
        <v>6</v>
      </c>
      <c r="K1066">
        <v>12.3</v>
      </c>
      <c r="L1066">
        <v>12.3</v>
      </c>
      <c r="M1066">
        <v>1634</v>
      </c>
      <c r="N1066" s="2">
        <v>162000</v>
      </c>
      <c r="O1066" s="2">
        <v>6075</v>
      </c>
      <c r="P1066" s="2">
        <v>0</v>
      </c>
      <c r="Q1066" s="2">
        <v>9804</v>
      </c>
      <c r="R1066" s="2">
        <v>16200</v>
      </c>
      <c r="S1066">
        <v>199.26</v>
      </c>
      <c r="T1066" s="2">
        <v>40500</v>
      </c>
      <c r="U1066" s="2">
        <v>121500</v>
      </c>
      <c r="V1066">
        <v>120.58920000000001</v>
      </c>
      <c r="W1066">
        <v>0</v>
      </c>
      <c r="X1066">
        <v>0</v>
      </c>
      <c r="Y1066">
        <v>0</v>
      </c>
      <c r="Z1066">
        <v>1</v>
      </c>
      <c r="AA1066">
        <v>8.2926165858965804E-3</v>
      </c>
      <c r="AB1066">
        <v>26.2</v>
      </c>
      <c r="AC1066">
        <v>11.891888888888889</v>
      </c>
      <c r="AD1066">
        <v>26</v>
      </c>
      <c r="AE1066" s="7"/>
      <c r="AF1066" s="7"/>
      <c r="AG1066" s="7"/>
      <c r="AH1066" s="7"/>
      <c r="AI1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0.1081111111111106</v>
      </c>
      <c r="AJ1066" s="7"/>
      <c r="AK1066" t="s">
        <v>51</v>
      </c>
      <c r="AN1066">
        <f>IFERROR(INT(Table13[[#This Row],[reject_prod]]/Table13[[#This Row],[part_weight]] * 1000), 0)</f>
        <v>81</v>
      </c>
    </row>
    <row r="1067" spans="1:40" hidden="1">
      <c r="A1067" s="1">
        <v>46054</v>
      </c>
      <c r="B1067">
        <v>2</v>
      </c>
      <c r="C1067">
        <v>14</v>
      </c>
      <c r="F1067">
        <v>123456</v>
      </c>
      <c r="G1067" s="6">
        <v>2</v>
      </c>
      <c r="M1067">
        <v>0</v>
      </c>
      <c r="N1067" s="2">
        <v>0</v>
      </c>
      <c r="O1067" s="2">
        <v>0</v>
      </c>
      <c r="P1067" s="2">
        <v>0</v>
      </c>
      <c r="Q1067" s="2"/>
      <c r="R1067" s="2">
        <v>0</v>
      </c>
      <c r="T1067" s="2">
        <v>0</v>
      </c>
      <c r="U1067" s="2"/>
      <c r="X1067">
        <v>0</v>
      </c>
      <c r="Z1067">
        <v>0</v>
      </c>
      <c r="AB1067">
        <v>0</v>
      </c>
      <c r="AC1067">
        <v>0</v>
      </c>
      <c r="AD1067">
        <v>0</v>
      </c>
      <c r="AE1067" s="7"/>
      <c r="AF1067" s="7"/>
      <c r="AG1067" s="7"/>
      <c r="AH1067" s="7"/>
      <c r="AI1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7" s="7">
        <v>12</v>
      </c>
      <c r="AK1067" t="s">
        <v>116</v>
      </c>
      <c r="AN1067">
        <f>IFERROR(INT(Table13[[#This Row],[reject_prod]]/Table13[[#This Row],[part_weight]] * 1000), 0)</f>
        <v>0</v>
      </c>
    </row>
    <row r="1068" spans="1:40" hidden="1">
      <c r="A1068" s="1">
        <v>46054</v>
      </c>
      <c r="B1068">
        <v>2</v>
      </c>
      <c r="C1068">
        <v>15</v>
      </c>
      <c r="D1068" t="s">
        <v>112</v>
      </c>
      <c r="E1068" t="s">
        <v>46</v>
      </c>
      <c r="F1068">
        <v>552181</v>
      </c>
      <c r="G1068" s="6">
        <v>2</v>
      </c>
      <c r="H1068" t="s">
        <v>49</v>
      </c>
      <c r="I1068">
        <v>10685541</v>
      </c>
      <c r="J1068">
        <v>6</v>
      </c>
      <c r="K1068">
        <v>18.8</v>
      </c>
      <c r="L1068">
        <v>18.8</v>
      </c>
      <c r="M1068">
        <v>1363</v>
      </c>
      <c r="N1068" s="2">
        <v>108000</v>
      </c>
      <c r="O1068" s="2">
        <v>0</v>
      </c>
      <c r="P1068" s="2">
        <v>2700</v>
      </c>
      <c r="Q1068" s="2">
        <v>8178</v>
      </c>
      <c r="R1068" s="2">
        <v>5400</v>
      </c>
      <c r="S1068">
        <v>101.52</v>
      </c>
      <c r="T1068" s="2">
        <v>56700</v>
      </c>
      <c r="U1068" s="2">
        <v>51300</v>
      </c>
      <c r="V1068">
        <v>153.74639999999999</v>
      </c>
      <c r="W1068">
        <v>0</v>
      </c>
      <c r="X1068">
        <v>0</v>
      </c>
      <c r="Y1068">
        <v>0</v>
      </c>
      <c r="Z1068">
        <v>1.5</v>
      </c>
      <c r="AA1068">
        <v>9.7563260017795549E-3</v>
      </c>
      <c r="AB1068">
        <v>31.2</v>
      </c>
      <c r="AC1068">
        <v>11.812666666666667</v>
      </c>
      <c r="AD1068">
        <v>27</v>
      </c>
      <c r="AE1068" s="7"/>
      <c r="AF1068" s="7"/>
      <c r="AG1068" s="7"/>
      <c r="AH1068" s="7"/>
      <c r="AI10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068" s="7"/>
      <c r="AK1068" t="s">
        <v>51</v>
      </c>
      <c r="AN1068">
        <f>IFERROR(INT(Table13[[#This Row],[reject_prod]]/Table13[[#This Row],[part_weight]] * 1000), 0)</f>
        <v>79</v>
      </c>
    </row>
    <row r="1069" spans="1:40" hidden="1">
      <c r="A1069" s="1">
        <v>46054</v>
      </c>
      <c r="B1069">
        <v>2</v>
      </c>
      <c r="C1069">
        <v>16</v>
      </c>
      <c r="D1069" t="s">
        <v>108</v>
      </c>
      <c r="E1069" t="s">
        <v>46</v>
      </c>
      <c r="F1069">
        <v>555979</v>
      </c>
      <c r="G1069" s="6">
        <v>2</v>
      </c>
      <c r="H1069" t="s">
        <v>52</v>
      </c>
      <c r="I1069">
        <v>10684863</v>
      </c>
      <c r="J1069">
        <v>6</v>
      </c>
      <c r="K1069">
        <v>28</v>
      </c>
      <c r="L1069">
        <v>28</v>
      </c>
      <c r="M1069">
        <v>6</v>
      </c>
      <c r="N1069" s="2">
        <v>100800</v>
      </c>
      <c r="O1069" s="2">
        <v>3024</v>
      </c>
      <c r="P1069" s="2">
        <v>0</v>
      </c>
      <c r="Q1069" s="2">
        <v>36</v>
      </c>
      <c r="R1069" s="2">
        <v>3360</v>
      </c>
      <c r="S1069">
        <v>94.08</v>
      </c>
      <c r="T1069" s="2">
        <v>100800</v>
      </c>
      <c r="U1069" s="2">
        <v>0</v>
      </c>
      <c r="V1069">
        <v>1.008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43.5</v>
      </c>
      <c r="AC1069">
        <v>7.2499999999999995E-2</v>
      </c>
      <c r="AD1069">
        <v>42</v>
      </c>
      <c r="AE1069" s="7"/>
      <c r="AF1069" s="7"/>
      <c r="AG1069" s="7"/>
      <c r="AH1069" s="7"/>
      <c r="AI1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11.9275</v>
      </c>
      <c r="AJ1069" s="7"/>
      <c r="AK1069" t="s">
        <v>102</v>
      </c>
      <c r="AN1069">
        <f>IFERROR(INT(Table13[[#This Row],[reject_prod]]/Table13[[#This Row],[part_weight]] * 1000), 0)</f>
        <v>0</v>
      </c>
    </row>
    <row r="1070" spans="1:40" s="4" customFormat="1" hidden="1">
      <c r="A1070" s="3">
        <v>46054</v>
      </c>
      <c r="B1070" s="4">
        <v>2</v>
      </c>
      <c r="C1070" s="4">
        <v>16</v>
      </c>
      <c r="D1070" s="4" t="s">
        <v>108</v>
      </c>
      <c r="E1070" s="4" t="s">
        <v>46</v>
      </c>
      <c r="F1070" s="4">
        <v>555979</v>
      </c>
      <c r="G1070" s="9">
        <v>2</v>
      </c>
      <c r="H1070" s="4" t="s">
        <v>52</v>
      </c>
      <c r="I1070" s="4">
        <v>10685814</v>
      </c>
      <c r="J1070" s="4">
        <v>6</v>
      </c>
      <c r="K1070" s="4">
        <v>28</v>
      </c>
      <c r="L1070" s="4">
        <v>28</v>
      </c>
      <c r="M1070" s="4">
        <v>986</v>
      </c>
      <c r="N1070" s="5">
        <v>100800</v>
      </c>
      <c r="O1070" s="5">
        <v>0</v>
      </c>
      <c r="P1070" s="5">
        <v>2388</v>
      </c>
      <c r="Q1070" s="5">
        <v>5916</v>
      </c>
      <c r="R1070" s="5">
        <v>3360</v>
      </c>
      <c r="S1070" s="4">
        <v>94.08</v>
      </c>
      <c r="T1070" s="5">
        <v>5748</v>
      </c>
      <c r="U1070" s="5">
        <v>95052</v>
      </c>
      <c r="V1070" s="4">
        <v>165.648</v>
      </c>
      <c r="W1070" s="4">
        <v>0</v>
      </c>
      <c r="X1070" s="4">
        <v>0</v>
      </c>
      <c r="Y1070" s="4">
        <v>0</v>
      </c>
      <c r="Z1070" s="4">
        <v>2.2000000000000002</v>
      </c>
      <c r="AA1070" s="4">
        <v>1.3281174538781032E-2</v>
      </c>
      <c r="AB1070" s="4">
        <v>43.5</v>
      </c>
      <c r="AC1070" s="4">
        <v>11.914166666666667</v>
      </c>
      <c r="AD1070" s="4">
        <v>42</v>
      </c>
      <c r="AE1070" s="8"/>
      <c r="AF1070" s="8"/>
      <c r="AG1070" s="8"/>
      <c r="AH1070" s="8"/>
      <c r="AI10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070" s="8"/>
      <c r="AK1070" s="4" t="s">
        <v>51</v>
      </c>
      <c r="AN1070">
        <f>IFERROR(INT(Table13[[#This Row],[reject_prod]]/Table13[[#This Row],[part_weight]] * 1000), 0)</f>
        <v>78</v>
      </c>
    </row>
    <row r="1071" spans="1:40" hidden="1">
      <c r="A1071" s="1">
        <v>46055</v>
      </c>
      <c r="B1071">
        <v>1</v>
      </c>
      <c r="C1071">
        <v>1</v>
      </c>
      <c r="F1071">
        <v>123456</v>
      </c>
      <c r="G1071" s="6">
        <v>0</v>
      </c>
      <c r="M1071">
        <v>0</v>
      </c>
      <c r="N1071" s="2">
        <v>0</v>
      </c>
      <c r="O1071" s="2">
        <v>0</v>
      </c>
      <c r="P1071" s="2">
        <v>0</v>
      </c>
      <c r="Q1071" s="2"/>
      <c r="R1071" s="2">
        <v>0</v>
      </c>
      <c r="T1071" s="2">
        <v>0</v>
      </c>
      <c r="U1071" s="2"/>
      <c r="X1071">
        <v>0</v>
      </c>
      <c r="Z1071">
        <v>0</v>
      </c>
      <c r="AB1071">
        <v>0</v>
      </c>
      <c r="AC1071">
        <v>0</v>
      </c>
      <c r="AD1071">
        <v>0</v>
      </c>
      <c r="AE1071" s="7"/>
      <c r="AF1071" s="7"/>
      <c r="AG1071" s="7"/>
      <c r="AH1071" s="7"/>
      <c r="AI1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1" s="7">
        <v>12</v>
      </c>
      <c r="AK1071" t="s">
        <v>116</v>
      </c>
      <c r="AN1071">
        <f>IFERROR(INT(Table13[[#This Row],[reject_prod]]/Table13[[#This Row],[part_weight]] * 1000), 0)</f>
        <v>0</v>
      </c>
    </row>
    <row r="1072" spans="1:40" hidden="1">
      <c r="A1072" s="1">
        <v>46055</v>
      </c>
      <c r="B1072">
        <v>1</v>
      </c>
      <c r="C1072">
        <v>2</v>
      </c>
      <c r="F1072">
        <v>123456</v>
      </c>
      <c r="G1072" s="6">
        <v>0</v>
      </c>
      <c r="M1072">
        <v>0</v>
      </c>
      <c r="N1072" s="2">
        <v>0</v>
      </c>
      <c r="O1072" s="2">
        <v>0</v>
      </c>
      <c r="P1072" s="2">
        <v>0</v>
      </c>
      <c r="Q1072" s="2"/>
      <c r="R1072" s="2">
        <v>0</v>
      </c>
      <c r="T1072" s="2">
        <v>0</v>
      </c>
      <c r="U1072" s="2"/>
      <c r="X1072">
        <v>0</v>
      </c>
      <c r="Z1072">
        <v>0</v>
      </c>
      <c r="AB1072">
        <v>0</v>
      </c>
      <c r="AC1072">
        <v>0</v>
      </c>
      <c r="AD1072">
        <v>0</v>
      </c>
      <c r="AE1072" s="7"/>
      <c r="AF1072" s="7"/>
      <c r="AG1072" s="7"/>
      <c r="AH1072" s="7"/>
      <c r="AI1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2" s="7">
        <v>12</v>
      </c>
      <c r="AK1072" t="s">
        <v>116</v>
      </c>
      <c r="AN1072">
        <f>IFERROR(INT(Table13[[#This Row],[reject_prod]]/Table13[[#This Row],[part_weight]] * 1000), 0)</f>
        <v>0</v>
      </c>
    </row>
    <row r="1073" spans="1:40" hidden="1">
      <c r="A1073" s="1">
        <v>46055</v>
      </c>
      <c r="B1073">
        <v>1</v>
      </c>
      <c r="C1073">
        <v>3</v>
      </c>
      <c r="F1073">
        <v>123456</v>
      </c>
      <c r="G1073" s="6">
        <v>0</v>
      </c>
      <c r="M1073">
        <v>0</v>
      </c>
      <c r="N1073" s="2">
        <v>0</v>
      </c>
      <c r="O1073" s="2">
        <v>0</v>
      </c>
      <c r="P1073" s="2">
        <v>0</v>
      </c>
      <c r="Q1073" s="2"/>
      <c r="R1073" s="2">
        <v>0</v>
      </c>
      <c r="T1073" s="2">
        <v>0</v>
      </c>
      <c r="U1073" s="2"/>
      <c r="X1073">
        <v>0</v>
      </c>
      <c r="Z1073">
        <v>0</v>
      </c>
      <c r="AB1073">
        <v>0</v>
      </c>
      <c r="AC1073">
        <v>0</v>
      </c>
      <c r="AD1073">
        <v>0</v>
      </c>
      <c r="AE1073" s="7"/>
      <c r="AF1073" s="7"/>
      <c r="AG1073" s="7"/>
      <c r="AH1073" s="7"/>
      <c r="AI1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3" s="7">
        <v>12</v>
      </c>
      <c r="AK1073" t="s">
        <v>116</v>
      </c>
      <c r="AN1073">
        <f>IFERROR(INT(Table13[[#This Row],[reject_prod]]/Table13[[#This Row],[part_weight]] * 1000), 0)</f>
        <v>0</v>
      </c>
    </row>
    <row r="1074" spans="1:40" hidden="1">
      <c r="A1074" s="1">
        <v>46055</v>
      </c>
      <c r="B1074">
        <v>1</v>
      </c>
      <c r="C1074">
        <v>4</v>
      </c>
      <c r="F1074">
        <v>123456</v>
      </c>
      <c r="G1074" s="6">
        <v>0</v>
      </c>
      <c r="M1074">
        <v>0</v>
      </c>
      <c r="N1074" s="2">
        <v>0</v>
      </c>
      <c r="O1074" s="2">
        <v>0</v>
      </c>
      <c r="P1074" s="2">
        <v>0</v>
      </c>
      <c r="Q1074" s="2"/>
      <c r="R1074" s="2">
        <v>0</v>
      </c>
      <c r="T1074" s="2">
        <v>0</v>
      </c>
      <c r="U1074" s="2"/>
      <c r="X1074">
        <v>0</v>
      </c>
      <c r="Z1074">
        <v>0</v>
      </c>
      <c r="AB1074">
        <v>0</v>
      </c>
      <c r="AC1074">
        <v>0</v>
      </c>
      <c r="AD1074">
        <v>0</v>
      </c>
      <c r="AE1074" s="7"/>
      <c r="AF1074" s="7"/>
      <c r="AG1074" s="7"/>
      <c r="AH1074" s="7"/>
      <c r="AI10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4" s="7">
        <v>12</v>
      </c>
      <c r="AK1074" t="s">
        <v>116</v>
      </c>
      <c r="AN1074">
        <f>IFERROR(INT(Table13[[#This Row],[reject_prod]]/Table13[[#This Row],[part_weight]] * 1000), 0)</f>
        <v>0</v>
      </c>
    </row>
    <row r="1075" spans="1:40" hidden="1">
      <c r="A1075" s="1">
        <v>46055</v>
      </c>
      <c r="B1075">
        <v>1</v>
      </c>
      <c r="C1075">
        <v>5</v>
      </c>
      <c r="F1075">
        <v>123456</v>
      </c>
      <c r="G1075" s="6">
        <v>0</v>
      </c>
      <c r="M1075">
        <v>0</v>
      </c>
      <c r="N1075" s="2">
        <v>0</v>
      </c>
      <c r="O1075" s="2">
        <v>0</v>
      </c>
      <c r="P1075" s="2">
        <v>0</v>
      </c>
      <c r="Q1075" s="2"/>
      <c r="R1075" s="2">
        <v>0</v>
      </c>
      <c r="T1075" s="2">
        <v>0</v>
      </c>
      <c r="U1075" s="2"/>
      <c r="X1075">
        <v>0</v>
      </c>
      <c r="Z1075">
        <v>0</v>
      </c>
      <c r="AB1075">
        <v>0</v>
      </c>
      <c r="AC1075">
        <v>0</v>
      </c>
      <c r="AD1075">
        <v>0</v>
      </c>
      <c r="AE1075" s="7"/>
      <c r="AF1075" s="7"/>
      <c r="AG1075" s="7"/>
      <c r="AH1075" s="7"/>
      <c r="AI10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5" s="7">
        <v>12</v>
      </c>
      <c r="AK1075" t="s">
        <v>116</v>
      </c>
      <c r="AN1075">
        <f>IFERROR(INT(Table13[[#This Row],[reject_prod]]/Table13[[#This Row],[part_weight]] * 1000), 0)</f>
        <v>0</v>
      </c>
    </row>
    <row r="1076" spans="1:40" hidden="1">
      <c r="A1076" s="1">
        <v>46055</v>
      </c>
      <c r="B1076">
        <v>1</v>
      </c>
      <c r="C1076">
        <v>6</v>
      </c>
      <c r="F1076">
        <v>123456</v>
      </c>
      <c r="G1076" s="6">
        <v>0</v>
      </c>
      <c r="M1076">
        <v>0</v>
      </c>
      <c r="N1076" s="2">
        <v>0</v>
      </c>
      <c r="O1076" s="2">
        <v>0</v>
      </c>
      <c r="P1076" s="2">
        <v>0</v>
      </c>
      <c r="Q1076" s="2"/>
      <c r="R1076" s="2">
        <v>0</v>
      </c>
      <c r="T1076" s="2">
        <v>0</v>
      </c>
      <c r="U1076" s="2"/>
      <c r="X1076">
        <v>0</v>
      </c>
      <c r="Z1076">
        <v>0</v>
      </c>
      <c r="AB1076">
        <v>0</v>
      </c>
      <c r="AC1076">
        <v>0</v>
      </c>
      <c r="AD1076">
        <v>0</v>
      </c>
      <c r="AE1076" s="7"/>
      <c r="AF1076" s="7"/>
      <c r="AG1076" s="7"/>
      <c r="AH1076" s="7"/>
      <c r="AI10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6" s="7">
        <v>12</v>
      </c>
      <c r="AK1076" t="s">
        <v>116</v>
      </c>
      <c r="AN1076">
        <f>IFERROR(INT(Table13[[#This Row],[reject_prod]]/Table13[[#This Row],[part_weight]] * 1000), 0)</f>
        <v>0</v>
      </c>
    </row>
    <row r="1077" spans="1:40" hidden="1">
      <c r="A1077" s="1">
        <v>46055</v>
      </c>
      <c r="B1077">
        <v>1</v>
      </c>
      <c r="C1077">
        <v>7</v>
      </c>
      <c r="F1077">
        <v>123456</v>
      </c>
      <c r="G1077" s="6">
        <v>0</v>
      </c>
      <c r="M1077">
        <v>0</v>
      </c>
      <c r="N1077" s="2">
        <v>0</v>
      </c>
      <c r="O1077" s="2">
        <v>0</v>
      </c>
      <c r="P1077" s="2">
        <v>0</v>
      </c>
      <c r="Q1077" s="2"/>
      <c r="R1077" s="2">
        <v>0</v>
      </c>
      <c r="T1077" s="2">
        <v>0</v>
      </c>
      <c r="U1077" s="2"/>
      <c r="X1077">
        <v>0</v>
      </c>
      <c r="Z1077">
        <v>0</v>
      </c>
      <c r="AB1077">
        <v>0</v>
      </c>
      <c r="AC1077">
        <v>0</v>
      </c>
      <c r="AD1077">
        <v>0</v>
      </c>
      <c r="AE1077" s="7"/>
      <c r="AF1077" s="7"/>
      <c r="AG1077" s="7"/>
      <c r="AH1077" s="7"/>
      <c r="AI1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7" s="7">
        <v>12</v>
      </c>
      <c r="AK1077" t="s">
        <v>116</v>
      </c>
      <c r="AN1077">
        <f>IFERROR(INT(Table13[[#This Row],[reject_prod]]/Table13[[#This Row],[part_weight]] * 1000), 0)</f>
        <v>0</v>
      </c>
    </row>
    <row r="1078" spans="1:40" hidden="1">
      <c r="A1078" s="1">
        <v>46055</v>
      </c>
      <c r="B1078">
        <v>1</v>
      </c>
      <c r="C1078">
        <v>8</v>
      </c>
      <c r="F1078">
        <v>123456</v>
      </c>
      <c r="G1078" s="6">
        <v>0</v>
      </c>
      <c r="M1078">
        <v>0</v>
      </c>
      <c r="N1078" s="2">
        <v>0</v>
      </c>
      <c r="O1078" s="2">
        <v>0</v>
      </c>
      <c r="P1078" s="2">
        <v>0</v>
      </c>
      <c r="Q1078" s="2"/>
      <c r="R1078" s="2">
        <v>0</v>
      </c>
      <c r="T1078" s="2">
        <v>0</v>
      </c>
      <c r="U1078" s="2"/>
      <c r="X1078">
        <v>0</v>
      </c>
      <c r="Z1078">
        <v>0</v>
      </c>
      <c r="AB1078">
        <v>0</v>
      </c>
      <c r="AC1078">
        <v>0</v>
      </c>
      <c r="AD1078">
        <v>0</v>
      </c>
      <c r="AE1078" s="7"/>
      <c r="AF1078" s="7"/>
      <c r="AG1078" s="7"/>
      <c r="AH1078" s="7"/>
      <c r="AI1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8" s="7">
        <v>12</v>
      </c>
      <c r="AK1078" t="s">
        <v>116</v>
      </c>
      <c r="AN1078">
        <f>IFERROR(INT(Table13[[#This Row],[reject_prod]]/Table13[[#This Row],[part_weight]] * 1000), 0)</f>
        <v>0</v>
      </c>
    </row>
    <row r="1079" spans="1:40" hidden="1">
      <c r="A1079" s="1">
        <v>46055</v>
      </c>
      <c r="B1079">
        <v>1</v>
      </c>
      <c r="C1079">
        <v>9</v>
      </c>
      <c r="F1079">
        <v>123456</v>
      </c>
      <c r="G1079" s="6">
        <v>0</v>
      </c>
      <c r="M1079">
        <v>0</v>
      </c>
      <c r="N1079" s="2">
        <v>0</v>
      </c>
      <c r="O1079" s="2">
        <v>0</v>
      </c>
      <c r="P1079" s="2">
        <v>0</v>
      </c>
      <c r="Q1079" s="2"/>
      <c r="R1079" s="2">
        <v>0</v>
      </c>
      <c r="T1079" s="2">
        <v>0</v>
      </c>
      <c r="U1079" s="2"/>
      <c r="X1079">
        <v>0</v>
      </c>
      <c r="Z1079">
        <v>0</v>
      </c>
      <c r="AB1079">
        <v>0</v>
      </c>
      <c r="AC1079">
        <v>0</v>
      </c>
      <c r="AD1079">
        <v>0</v>
      </c>
      <c r="AE1079" s="7"/>
      <c r="AF1079" s="7"/>
      <c r="AG1079" s="7"/>
      <c r="AH1079" s="7"/>
      <c r="AI1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9" s="7">
        <v>12</v>
      </c>
      <c r="AK1079" t="s">
        <v>116</v>
      </c>
      <c r="AN1079">
        <f>IFERROR(INT(Table13[[#This Row],[reject_prod]]/Table13[[#This Row],[part_weight]] * 1000), 0)</f>
        <v>0</v>
      </c>
    </row>
    <row r="1080" spans="1:40" hidden="1">
      <c r="A1080" s="1">
        <v>46055</v>
      </c>
      <c r="B1080">
        <v>1</v>
      </c>
      <c r="C1080">
        <v>10</v>
      </c>
      <c r="F1080">
        <v>123456</v>
      </c>
      <c r="G1080" s="6">
        <v>0</v>
      </c>
      <c r="M1080">
        <v>0</v>
      </c>
      <c r="N1080" s="2">
        <v>0</v>
      </c>
      <c r="O1080" s="2">
        <v>0</v>
      </c>
      <c r="P1080" s="2">
        <v>0</v>
      </c>
      <c r="Q1080" s="2"/>
      <c r="R1080" s="2">
        <v>0</v>
      </c>
      <c r="T1080" s="2">
        <v>0</v>
      </c>
      <c r="U1080" s="2"/>
      <c r="X1080">
        <v>0</v>
      </c>
      <c r="Z1080">
        <v>0</v>
      </c>
      <c r="AB1080">
        <v>0</v>
      </c>
      <c r="AC1080">
        <v>0</v>
      </c>
      <c r="AD1080">
        <v>0</v>
      </c>
      <c r="AE1080" s="7"/>
      <c r="AF1080" s="7"/>
      <c r="AG1080" s="7"/>
      <c r="AH1080" s="7"/>
      <c r="AI1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0" s="7">
        <v>12</v>
      </c>
      <c r="AK1080" t="s">
        <v>116</v>
      </c>
      <c r="AN1080">
        <f>IFERROR(INT(Table13[[#This Row],[reject_prod]]/Table13[[#This Row],[part_weight]] * 1000), 0)</f>
        <v>0</v>
      </c>
    </row>
    <row r="1081" spans="1:40" hidden="1">
      <c r="A1081" s="1">
        <v>46055</v>
      </c>
      <c r="B1081">
        <v>1</v>
      </c>
      <c r="C1081">
        <v>11</v>
      </c>
      <c r="F1081">
        <v>123456</v>
      </c>
      <c r="G1081" s="6">
        <v>0</v>
      </c>
      <c r="M1081">
        <v>0</v>
      </c>
      <c r="N1081" s="2">
        <v>0</v>
      </c>
      <c r="O1081" s="2">
        <v>0</v>
      </c>
      <c r="P1081" s="2">
        <v>0</v>
      </c>
      <c r="Q1081" s="2"/>
      <c r="R1081" s="2">
        <v>0</v>
      </c>
      <c r="T1081" s="2">
        <v>0</v>
      </c>
      <c r="U1081" s="2"/>
      <c r="X1081">
        <v>0</v>
      </c>
      <c r="Z1081">
        <v>0</v>
      </c>
      <c r="AB1081">
        <v>0</v>
      </c>
      <c r="AC1081">
        <v>0</v>
      </c>
      <c r="AD1081">
        <v>0</v>
      </c>
      <c r="AE1081" s="7"/>
      <c r="AF1081" s="7"/>
      <c r="AG1081" s="7"/>
      <c r="AH1081" s="7"/>
      <c r="AI10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1" s="7">
        <v>12</v>
      </c>
      <c r="AK1081" t="s">
        <v>116</v>
      </c>
      <c r="AN1081">
        <f>IFERROR(INT(Table13[[#This Row],[reject_prod]]/Table13[[#This Row],[part_weight]] * 1000), 0)</f>
        <v>0</v>
      </c>
    </row>
    <row r="1082" spans="1:40" hidden="1">
      <c r="A1082" s="1">
        <v>46055</v>
      </c>
      <c r="B1082">
        <v>1</v>
      </c>
      <c r="C1082">
        <v>12</v>
      </c>
      <c r="F1082">
        <v>123456</v>
      </c>
      <c r="G1082" s="6">
        <v>0</v>
      </c>
      <c r="M1082">
        <v>0</v>
      </c>
      <c r="N1082" s="2">
        <v>0</v>
      </c>
      <c r="O1082" s="2">
        <v>0</v>
      </c>
      <c r="P1082" s="2">
        <v>0</v>
      </c>
      <c r="Q1082" s="2"/>
      <c r="R1082" s="2">
        <v>0</v>
      </c>
      <c r="T1082" s="2">
        <v>0</v>
      </c>
      <c r="U1082" s="2"/>
      <c r="X1082">
        <v>0</v>
      </c>
      <c r="Z1082">
        <v>0</v>
      </c>
      <c r="AB1082">
        <v>0</v>
      </c>
      <c r="AC1082">
        <v>0</v>
      </c>
      <c r="AD1082">
        <v>0</v>
      </c>
      <c r="AE1082" s="7"/>
      <c r="AF1082" s="7"/>
      <c r="AG1082" s="7"/>
      <c r="AH1082" s="7"/>
      <c r="AI10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2" s="7">
        <v>12</v>
      </c>
      <c r="AK1082" t="s">
        <v>116</v>
      </c>
      <c r="AN1082">
        <f>IFERROR(INT(Table13[[#This Row],[reject_prod]]/Table13[[#This Row],[part_weight]] * 1000), 0)</f>
        <v>0</v>
      </c>
    </row>
    <row r="1083" spans="1:40" hidden="1">
      <c r="A1083" s="1">
        <v>46055</v>
      </c>
      <c r="B1083">
        <v>1</v>
      </c>
      <c r="C1083">
        <v>13</v>
      </c>
      <c r="F1083">
        <v>123456</v>
      </c>
      <c r="G1083" s="6">
        <v>0</v>
      </c>
      <c r="M1083">
        <v>0</v>
      </c>
      <c r="N1083" s="2">
        <v>0</v>
      </c>
      <c r="O1083" s="2">
        <v>0</v>
      </c>
      <c r="P1083" s="2">
        <v>0</v>
      </c>
      <c r="Q1083" s="2"/>
      <c r="R1083" s="2">
        <v>0</v>
      </c>
      <c r="T1083" s="2">
        <v>0</v>
      </c>
      <c r="U1083" s="2"/>
      <c r="X1083">
        <v>0</v>
      </c>
      <c r="Z1083">
        <v>0</v>
      </c>
      <c r="AB1083">
        <v>0</v>
      </c>
      <c r="AC1083">
        <v>0</v>
      </c>
      <c r="AD1083">
        <v>0</v>
      </c>
      <c r="AE1083" s="7"/>
      <c r="AF1083" s="7"/>
      <c r="AG1083" s="7"/>
      <c r="AH1083" s="7"/>
      <c r="AI1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3" s="7">
        <v>12</v>
      </c>
      <c r="AK1083" t="s">
        <v>116</v>
      </c>
      <c r="AN1083">
        <f>IFERROR(INT(Table13[[#This Row],[reject_prod]]/Table13[[#This Row],[part_weight]] * 1000), 0)</f>
        <v>0</v>
      </c>
    </row>
    <row r="1084" spans="1:40" hidden="1">
      <c r="A1084" s="1">
        <v>46055</v>
      </c>
      <c r="B1084">
        <v>1</v>
      </c>
      <c r="C1084">
        <v>14</v>
      </c>
      <c r="F1084">
        <v>123456</v>
      </c>
      <c r="G1084" s="6">
        <v>0</v>
      </c>
      <c r="M1084">
        <v>0</v>
      </c>
      <c r="N1084" s="2">
        <v>0</v>
      </c>
      <c r="O1084" s="2">
        <v>0</v>
      </c>
      <c r="P1084" s="2">
        <v>0</v>
      </c>
      <c r="Q1084" s="2"/>
      <c r="R1084" s="2">
        <v>0</v>
      </c>
      <c r="T1084" s="2">
        <v>0</v>
      </c>
      <c r="U1084" s="2"/>
      <c r="X1084">
        <v>0</v>
      </c>
      <c r="Z1084">
        <v>0</v>
      </c>
      <c r="AB1084">
        <v>0</v>
      </c>
      <c r="AC1084">
        <v>0</v>
      </c>
      <c r="AD1084">
        <v>0</v>
      </c>
      <c r="AE1084" s="7"/>
      <c r="AF1084" s="7"/>
      <c r="AG1084" s="7"/>
      <c r="AH1084" s="7"/>
      <c r="AI10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4" s="7">
        <v>12</v>
      </c>
      <c r="AK1084" t="s">
        <v>116</v>
      </c>
      <c r="AN1084">
        <f>IFERROR(INT(Table13[[#This Row],[reject_prod]]/Table13[[#This Row],[part_weight]] * 1000), 0)</f>
        <v>0</v>
      </c>
    </row>
    <row r="1085" spans="1:40" hidden="1">
      <c r="A1085" s="1">
        <v>46055</v>
      </c>
      <c r="B1085">
        <v>1</v>
      </c>
      <c r="C1085">
        <v>15</v>
      </c>
      <c r="F1085">
        <v>123456</v>
      </c>
      <c r="G1085" s="6">
        <v>0</v>
      </c>
      <c r="M1085">
        <v>0</v>
      </c>
      <c r="N1085" s="2">
        <v>0</v>
      </c>
      <c r="O1085" s="2">
        <v>0</v>
      </c>
      <c r="P1085" s="2">
        <v>0</v>
      </c>
      <c r="Q1085" s="2"/>
      <c r="R1085" s="2">
        <v>0</v>
      </c>
      <c r="T1085" s="2">
        <v>0</v>
      </c>
      <c r="U1085" s="2"/>
      <c r="X1085">
        <v>0</v>
      </c>
      <c r="Z1085">
        <v>0</v>
      </c>
      <c r="AB1085">
        <v>0</v>
      </c>
      <c r="AC1085">
        <v>0</v>
      </c>
      <c r="AD1085">
        <v>0</v>
      </c>
      <c r="AE1085" s="7"/>
      <c r="AF1085" s="7"/>
      <c r="AG1085" s="7"/>
      <c r="AH1085" s="7"/>
      <c r="AI10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5" s="7">
        <v>12</v>
      </c>
      <c r="AK1085" t="s">
        <v>116</v>
      </c>
      <c r="AN1085">
        <f>IFERROR(INT(Table13[[#This Row],[reject_prod]]/Table13[[#This Row],[part_weight]] * 1000), 0)</f>
        <v>0</v>
      </c>
    </row>
    <row r="1086" spans="1:40" s="4" customFormat="1" hidden="1">
      <c r="A1086" s="3">
        <v>46055</v>
      </c>
      <c r="B1086" s="4">
        <v>1</v>
      </c>
      <c r="C1086" s="4">
        <v>16</v>
      </c>
      <c r="F1086" s="4">
        <v>123456</v>
      </c>
      <c r="G1086" s="9">
        <v>0</v>
      </c>
      <c r="M1086" s="4">
        <v>0</v>
      </c>
      <c r="N1086" s="5">
        <v>0</v>
      </c>
      <c r="O1086" s="5">
        <v>0</v>
      </c>
      <c r="P1086" s="5">
        <v>0</v>
      </c>
      <c r="Q1086" s="5"/>
      <c r="R1086" s="5">
        <v>0</v>
      </c>
      <c r="T1086" s="5">
        <v>0</v>
      </c>
      <c r="U1086" s="5"/>
      <c r="X1086" s="4">
        <v>0</v>
      </c>
      <c r="Z1086" s="4">
        <v>0</v>
      </c>
      <c r="AB1086" s="4">
        <v>0</v>
      </c>
      <c r="AC1086" s="4">
        <v>0</v>
      </c>
      <c r="AD1086" s="4">
        <v>0</v>
      </c>
      <c r="AE1086" s="8"/>
      <c r="AF1086" s="8"/>
      <c r="AG1086" s="8"/>
      <c r="AH1086" s="8"/>
      <c r="AI108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6" s="8">
        <v>12</v>
      </c>
      <c r="AK1086" s="4" t="s">
        <v>116</v>
      </c>
      <c r="AN1086">
        <f>IFERROR(INT(Table13[[#This Row],[reject_prod]]/Table13[[#This Row],[part_weight]] * 1000), 0)</f>
        <v>0</v>
      </c>
    </row>
    <row r="1087" spans="1:40" hidden="1">
      <c r="A1087" s="1">
        <v>46055</v>
      </c>
      <c r="B1087">
        <v>2</v>
      </c>
      <c r="C1087">
        <v>1</v>
      </c>
      <c r="F1087">
        <v>123456</v>
      </c>
      <c r="G1087" s="6">
        <v>0</v>
      </c>
      <c r="M1087">
        <v>0</v>
      </c>
      <c r="N1087" s="2">
        <v>0</v>
      </c>
      <c r="O1087" s="2">
        <v>0</v>
      </c>
      <c r="P1087" s="2">
        <v>0</v>
      </c>
      <c r="Q1087" s="2"/>
      <c r="R1087" s="2">
        <v>0</v>
      </c>
      <c r="T1087" s="2">
        <v>0</v>
      </c>
      <c r="U1087" s="2"/>
      <c r="X1087">
        <v>0</v>
      </c>
      <c r="Z1087">
        <v>0</v>
      </c>
      <c r="AB1087">
        <v>0</v>
      </c>
      <c r="AC1087">
        <v>0</v>
      </c>
      <c r="AD1087">
        <v>0</v>
      </c>
      <c r="AE1087" s="7"/>
      <c r="AF1087" s="7"/>
      <c r="AG1087" s="7"/>
      <c r="AH1087" s="7"/>
      <c r="AI1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7" s="7">
        <v>12</v>
      </c>
      <c r="AK1087" t="s">
        <v>116</v>
      </c>
      <c r="AN1087">
        <f>IFERROR(INT(Table13[[#This Row],[reject_prod]]/Table13[[#This Row],[part_weight]] * 1000), 0)</f>
        <v>0</v>
      </c>
    </row>
    <row r="1088" spans="1:40" hidden="1">
      <c r="A1088" s="1">
        <v>46055</v>
      </c>
      <c r="B1088">
        <v>2</v>
      </c>
      <c r="C1088">
        <v>2</v>
      </c>
      <c r="F1088">
        <v>123456</v>
      </c>
      <c r="G1088" s="6">
        <v>0</v>
      </c>
      <c r="M1088">
        <v>0</v>
      </c>
      <c r="N1088" s="2">
        <v>0</v>
      </c>
      <c r="O1088" s="2">
        <v>0</v>
      </c>
      <c r="P1088" s="2">
        <v>0</v>
      </c>
      <c r="Q1088" s="2"/>
      <c r="R1088" s="2">
        <v>0</v>
      </c>
      <c r="T1088" s="2">
        <v>0</v>
      </c>
      <c r="U1088" s="2"/>
      <c r="X1088">
        <v>0</v>
      </c>
      <c r="Z1088">
        <v>0</v>
      </c>
      <c r="AB1088">
        <v>0</v>
      </c>
      <c r="AC1088">
        <v>0</v>
      </c>
      <c r="AD1088">
        <v>0</v>
      </c>
      <c r="AE1088" s="7"/>
      <c r="AF1088" s="7"/>
      <c r="AG1088" s="7"/>
      <c r="AH1088" s="7"/>
      <c r="AI10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8" s="7">
        <v>12</v>
      </c>
      <c r="AK1088" t="s">
        <v>116</v>
      </c>
      <c r="AN1088">
        <f>IFERROR(INT(Table13[[#This Row],[reject_prod]]/Table13[[#This Row],[part_weight]] * 1000), 0)</f>
        <v>0</v>
      </c>
    </row>
    <row r="1089" spans="1:40" hidden="1">
      <c r="A1089" s="1">
        <v>46055</v>
      </c>
      <c r="B1089">
        <v>2</v>
      </c>
      <c r="C1089">
        <v>3</v>
      </c>
      <c r="F1089">
        <v>123456</v>
      </c>
      <c r="G1089" s="6">
        <v>0</v>
      </c>
      <c r="M1089">
        <v>0</v>
      </c>
      <c r="N1089" s="2">
        <v>0</v>
      </c>
      <c r="O1089" s="2">
        <v>0</v>
      </c>
      <c r="P1089" s="2">
        <v>0</v>
      </c>
      <c r="Q1089" s="2"/>
      <c r="R1089" s="2">
        <v>0</v>
      </c>
      <c r="T1089" s="2">
        <v>0</v>
      </c>
      <c r="U1089" s="2"/>
      <c r="X1089">
        <v>0</v>
      </c>
      <c r="Z1089">
        <v>0</v>
      </c>
      <c r="AB1089">
        <v>0</v>
      </c>
      <c r="AC1089">
        <v>0</v>
      </c>
      <c r="AD1089">
        <v>0</v>
      </c>
      <c r="AE1089" s="7"/>
      <c r="AF1089" s="7"/>
      <c r="AG1089" s="7"/>
      <c r="AH1089" s="7"/>
      <c r="AI10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9" s="7">
        <v>12</v>
      </c>
      <c r="AK1089" t="s">
        <v>116</v>
      </c>
      <c r="AN1089">
        <f>IFERROR(INT(Table13[[#This Row],[reject_prod]]/Table13[[#This Row],[part_weight]] * 1000), 0)</f>
        <v>0</v>
      </c>
    </row>
    <row r="1090" spans="1:40" hidden="1">
      <c r="A1090" s="1">
        <v>46055</v>
      </c>
      <c r="B1090">
        <v>2</v>
      </c>
      <c r="C1090">
        <v>4</v>
      </c>
      <c r="F1090">
        <v>123456</v>
      </c>
      <c r="G1090" s="6">
        <v>0</v>
      </c>
      <c r="M1090">
        <v>0</v>
      </c>
      <c r="N1090" s="2">
        <v>0</v>
      </c>
      <c r="O1090" s="2">
        <v>0</v>
      </c>
      <c r="P1090" s="2">
        <v>0</v>
      </c>
      <c r="Q1090" s="2"/>
      <c r="R1090" s="2">
        <v>0</v>
      </c>
      <c r="T1090" s="2">
        <v>0</v>
      </c>
      <c r="U1090" s="2"/>
      <c r="X1090">
        <v>0</v>
      </c>
      <c r="Z1090">
        <v>0</v>
      </c>
      <c r="AB1090">
        <v>0</v>
      </c>
      <c r="AC1090">
        <v>0</v>
      </c>
      <c r="AD1090">
        <v>0</v>
      </c>
      <c r="AE1090" s="7"/>
      <c r="AF1090" s="7"/>
      <c r="AG1090" s="7"/>
      <c r="AH1090" s="7"/>
      <c r="AI10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0" s="7">
        <v>12</v>
      </c>
      <c r="AK1090" t="s">
        <v>116</v>
      </c>
      <c r="AN1090">
        <f>IFERROR(INT(Table13[[#This Row],[reject_prod]]/Table13[[#This Row],[part_weight]] * 1000), 0)</f>
        <v>0</v>
      </c>
    </row>
    <row r="1091" spans="1:40" hidden="1">
      <c r="A1091" s="1">
        <v>46055</v>
      </c>
      <c r="B1091">
        <v>2</v>
      </c>
      <c r="C1091">
        <v>5</v>
      </c>
      <c r="F1091">
        <v>123456</v>
      </c>
      <c r="G1091" s="6">
        <v>0</v>
      </c>
      <c r="M1091">
        <v>0</v>
      </c>
      <c r="N1091" s="2">
        <v>0</v>
      </c>
      <c r="O1091" s="2">
        <v>0</v>
      </c>
      <c r="P1091" s="2">
        <v>0</v>
      </c>
      <c r="Q1091" s="2"/>
      <c r="R1091" s="2">
        <v>0</v>
      </c>
      <c r="T1091" s="2">
        <v>0</v>
      </c>
      <c r="U1091" s="2"/>
      <c r="X1091">
        <v>0</v>
      </c>
      <c r="Z1091">
        <v>0</v>
      </c>
      <c r="AB1091">
        <v>0</v>
      </c>
      <c r="AC1091">
        <v>0</v>
      </c>
      <c r="AD1091">
        <v>0</v>
      </c>
      <c r="AE1091" s="7"/>
      <c r="AF1091" s="7"/>
      <c r="AG1091" s="7"/>
      <c r="AH1091" s="7"/>
      <c r="AI1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1" s="7">
        <v>12</v>
      </c>
      <c r="AK1091" t="s">
        <v>116</v>
      </c>
      <c r="AN1091">
        <f>IFERROR(INT(Table13[[#This Row],[reject_prod]]/Table13[[#This Row],[part_weight]] * 1000), 0)</f>
        <v>0</v>
      </c>
    </row>
    <row r="1092" spans="1:40" hidden="1">
      <c r="A1092" s="1">
        <v>46055</v>
      </c>
      <c r="B1092">
        <v>2</v>
      </c>
      <c r="C1092">
        <v>6</v>
      </c>
      <c r="F1092">
        <v>123456</v>
      </c>
      <c r="G1092" s="6">
        <v>0</v>
      </c>
      <c r="M1092">
        <v>0</v>
      </c>
      <c r="N1092" s="2">
        <v>0</v>
      </c>
      <c r="O1092" s="2">
        <v>0</v>
      </c>
      <c r="P1092" s="2">
        <v>0</v>
      </c>
      <c r="Q1092" s="2"/>
      <c r="R1092" s="2">
        <v>0</v>
      </c>
      <c r="T1092" s="2">
        <v>0</v>
      </c>
      <c r="U1092" s="2"/>
      <c r="X1092">
        <v>0</v>
      </c>
      <c r="Z1092">
        <v>0</v>
      </c>
      <c r="AB1092">
        <v>0</v>
      </c>
      <c r="AC1092">
        <v>0</v>
      </c>
      <c r="AD1092">
        <v>0</v>
      </c>
      <c r="AE1092" s="7"/>
      <c r="AF1092" s="7"/>
      <c r="AG1092" s="7"/>
      <c r="AH1092" s="7"/>
      <c r="AI1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2" s="7">
        <v>12</v>
      </c>
      <c r="AK1092" t="s">
        <v>116</v>
      </c>
      <c r="AN1092">
        <f>IFERROR(INT(Table13[[#This Row],[reject_prod]]/Table13[[#This Row],[part_weight]] * 1000), 0)</f>
        <v>0</v>
      </c>
    </row>
    <row r="1093" spans="1:40" hidden="1">
      <c r="A1093" s="1">
        <v>46055</v>
      </c>
      <c r="B1093">
        <v>2</v>
      </c>
      <c r="C1093">
        <v>7</v>
      </c>
      <c r="F1093">
        <v>123456</v>
      </c>
      <c r="G1093" s="6">
        <v>0</v>
      </c>
      <c r="M1093">
        <v>0</v>
      </c>
      <c r="N1093" s="2">
        <v>0</v>
      </c>
      <c r="O1093" s="2">
        <v>0</v>
      </c>
      <c r="P1093" s="2">
        <v>0</v>
      </c>
      <c r="Q1093" s="2"/>
      <c r="R1093" s="2">
        <v>0</v>
      </c>
      <c r="T1093" s="2">
        <v>0</v>
      </c>
      <c r="U1093" s="2"/>
      <c r="X1093">
        <v>0</v>
      </c>
      <c r="Z1093">
        <v>0</v>
      </c>
      <c r="AB1093">
        <v>0</v>
      </c>
      <c r="AC1093">
        <v>0</v>
      </c>
      <c r="AD1093">
        <v>0</v>
      </c>
      <c r="AE1093" s="7"/>
      <c r="AF1093" s="7"/>
      <c r="AG1093" s="7"/>
      <c r="AH1093" s="7"/>
      <c r="AI1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3" s="7">
        <v>12</v>
      </c>
      <c r="AK1093" t="s">
        <v>116</v>
      </c>
      <c r="AN1093">
        <f>IFERROR(INT(Table13[[#This Row],[reject_prod]]/Table13[[#This Row],[part_weight]] * 1000), 0)</f>
        <v>0</v>
      </c>
    </row>
    <row r="1094" spans="1:40" hidden="1">
      <c r="A1094" s="1">
        <v>46055</v>
      </c>
      <c r="B1094">
        <v>2</v>
      </c>
      <c r="C1094">
        <v>8</v>
      </c>
      <c r="F1094">
        <v>123456</v>
      </c>
      <c r="G1094" s="6">
        <v>0</v>
      </c>
      <c r="M1094">
        <v>0</v>
      </c>
      <c r="N1094" s="2">
        <v>0</v>
      </c>
      <c r="O1094" s="2">
        <v>0</v>
      </c>
      <c r="P1094" s="2">
        <v>0</v>
      </c>
      <c r="Q1094" s="2"/>
      <c r="R1094" s="2">
        <v>0</v>
      </c>
      <c r="T1094" s="2">
        <v>0</v>
      </c>
      <c r="U1094" s="2"/>
      <c r="X1094">
        <v>0</v>
      </c>
      <c r="Z1094">
        <v>0</v>
      </c>
      <c r="AB1094">
        <v>0</v>
      </c>
      <c r="AC1094">
        <v>0</v>
      </c>
      <c r="AD1094">
        <v>0</v>
      </c>
      <c r="AE1094" s="7"/>
      <c r="AF1094" s="7"/>
      <c r="AG1094" s="7"/>
      <c r="AH1094" s="7"/>
      <c r="AI10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4" s="7">
        <v>12</v>
      </c>
      <c r="AK1094" t="s">
        <v>116</v>
      </c>
      <c r="AN1094">
        <f>IFERROR(INT(Table13[[#This Row],[reject_prod]]/Table13[[#This Row],[part_weight]] * 1000), 0)</f>
        <v>0</v>
      </c>
    </row>
    <row r="1095" spans="1:40" hidden="1">
      <c r="A1095" s="1">
        <v>46055</v>
      </c>
      <c r="B1095">
        <v>2</v>
      </c>
      <c r="C1095">
        <v>9</v>
      </c>
      <c r="F1095">
        <v>123456</v>
      </c>
      <c r="G1095" s="6">
        <v>0</v>
      </c>
      <c r="M1095">
        <v>0</v>
      </c>
      <c r="N1095" s="2">
        <v>0</v>
      </c>
      <c r="O1095" s="2">
        <v>0</v>
      </c>
      <c r="P1095" s="2">
        <v>0</v>
      </c>
      <c r="Q1095" s="2"/>
      <c r="R1095" s="2">
        <v>0</v>
      </c>
      <c r="T1095" s="2">
        <v>0</v>
      </c>
      <c r="U1095" s="2"/>
      <c r="X1095">
        <v>0</v>
      </c>
      <c r="Z1095">
        <v>0</v>
      </c>
      <c r="AB1095">
        <v>0</v>
      </c>
      <c r="AC1095">
        <v>0</v>
      </c>
      <c r="AD1095">
        <v>0</v>
      </c>
      <c r="AE1095" s="7"/>
      <c r="AF1095" s="7"/>
      <c r="AG1095" s="7"/>
      <c r="AH1095" s="7"/>
      <c r="AI10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5" s="7">
        <v>12</v>
      </c>
      <c r="AK1095" t="s">
        <v>116</v>
      </c>
      <c r="AN1095">
        <f>IFERROR(INT(Table13[[#This Row],[reject_prod]]/Table13[[#This Row],[part_weight]] * 1000), 0)</f>
        <v>0</v>
      </c>
    </row>
    <row r="1096" spans="1:40" hidden="1">
      <c r="A1096" s="1">
        <v>46055</v>
      </c>
      <c r="B1096">
        <v>2</v>
      </c>
      <c r="C1096">
        <v>10</v>
      </c>
      <c r="F1096">
        <v>123456</v>
      </c>
      <c r="G1096" s="6">
        <v>0</v>
      </c>
      <c r="M1096">
        <v>0</v>
      </c>
      <c r="N1096" s="2">
        <v>0</v>
      </c>
      <c r="O1096" s="2">
        <v>0</v>
      </c>
      <c r="P1096" s="2">
        <v>0</v>
      </c>
      <c r="Q1096" s="2"/>
      <c r="R1096" s="2">
        <v>0</v>
      </c>
      <c r="T1096" s="2">
        <v>0</v>
      </c>
      <c r="U1096" s="2"/>
      <c r="X1096">
        <v>0</v>
      </c>
      <c r="Z1096">
        <v>0</v>
      </c>
      <c r="AB1096">
        <v>0</v>
      </c>
      <c r="AC1096">
        <v>0</v>
      </c>
      <c r="AD1096">
        <v>0</v>
      </c>
      <c r="AE1096" s="7"/>
      <c r="AF1096" s="7"/>
      <c r="AG1096" s="7"/>
      <c r="AH1096" s="7"/>
      <c r="AI1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6" s="7">
        <v>12</v>
      </c>
      <c r="AK1096" t="s">
        <v>116</v>
      </c>
      <c r="AN1096">
        <f>IFERROR(INT(Table13[[#This Row],[reject_prod]]/Table13[[#This Row],[part_weight]] * 1000), 0)</f>
        <v>0</v>
      </c>
    </row>
    <row r="1097" spans="1:40" hidden="1">
      <c r="A1097" s="1">
        <v>46055</v>
      </c>
      <c r="B1097">
        <v>2</v>
      </c>
      <c r="C1097">
        <v>11</v>
      </c>
      <c r="F1097">
        <v>123456</v>
      </c>
      <c r="G1097" s="6">
        <v>0</v>
      </c>
      <c r="M1097">
        <v>0</v>
      </c>
      <c r="N1097" s="2">
        <v>0</v>
      </c>
      <c r="O1097" s="2">
        <v>0</v>
      </c>
      <c r="P1097" s="2">
        <v>0</v>
      </c>
      <c r="Q1097" s="2"/>
      <c r="R1097" s="2">
        <v>0</v>
      </c>
      <c r="T1097" s="2">
        <v>0</v>
      </c>
      <c r="U1097" s="2"/>
      <c r="X1097">
        <v>0</v>
      </c>
      <c r="Z1097">
        <v>0</v>
      </c>
      <c r="AB1097">
        <v>0</v>
      </c>
      <c r="AC1097">
        <v>0</v>
      </c>
      <c r="AD1097">
        <v>0</v>
      </c>
      <c r="AE1097" s="7"/>
      <c r="AF1097" s="7"/>
      <c r="AG1097" s="7"/>
      <c r="AH1097" s="7"/>
      <c r="AI1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7" s="7">
        <v>12</v>
      </c>
      <c r="AK1097" t="s">
        <v>116</v>
      </c>
      <c r="AN1097">
        <f>IFERROR(INT(Table13[[#This Row],[reject_prod]]/Table13[[#This Row],[part_weight]] * 1000), 0)</f>
        <v>0</v>
      </c>
    </row>
    <row r="1098" spans="1:40" hidden="1">
      <c r="A1098" s="1">
        <v>46055</v>
      </c>
      <c r="B1098">
        <v>2</v>
      </c>
      <c r="C1098">
        <v>12</v>
      </c>
      <c r="F1098">
        <v>123456</v>
      </c>
      <c r="G1098" s="6">
        <v>0</v>
      </c>
      <c r="M1098">
        <v>0</v>
      </c>
      <c r="N1098" s="2">
        <v>0</v>
      </c>
      <c r="O1098" s="2">
        <v>0</v>
      </c>
      <c r="P1098" s="2">
        <v>0</v>
      </c>
      <c r="Q1098" s="2"/>
      <c r="R1098" s="2">
        <v>0</v>
      </c>
      <c r="T1098" s="2">
        <v>0</v>
      </c>
      <c r="U1098" s="2"/>
      <c r="X1098">
        <v>0</v>
      </c>
      <c r="Z1098">
        <v>0</v>
      </c>
      <c r="AB1098">
        <v>0</v>
      </c>
      <c r="AC1098">
        <v>0</v>
      </c>
      <c r="AD1098">
        <v>0</v>
      </c>
      <c r="AE1098" s="7"/>
      <c r="AF1098" s="7"/>
      <c r="AG1098" s="7"/>
      <c r="AH1098" s="7"/>
      <c r="AI1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8" s="7">
        <v>12</v>
      </c>
      <c r="AK1098" t="s">
        <v>116</v>
      </c>
      <c r="AN1098">
        <f>IFERROR(INT(Table13[[#This Row],[reject_prod]]/Table13[[#This Row],[part_weight]] * 1000), 0)</f>
        <v>0</v>
      </c>
    </row>
    <row r="1099" spans="1:40" hidden="1">
      <c r="A1099" s="1">
        <v>46055</v>
      </c>
      <c r="B1099">
        <v>2</v>
      </c>
      <c r="C1099">
        <v>13</v>
      </c>
      <c r="F1099">
        <v>123456</v>
      </c>
      <c r="G1099" s="6">
        <v>0</v>
      </c>
      <c r="M1099">
        <v>0</v>
      </c>
      <c r="N1099" s="2">
        <v>0</v>
      </c>
      <c r="O1099" s="2">
        <v>0</v>
      </c>
      <c r="P1099" s="2">
        <v>0</v>
      </c>
      <c r="Q1099" s="2"/>
      <c r="R1099" s="2">
        <v>0</v>
      </c>
      <c r="T1099" s="2">
        <v>0</v>
      </c>
      <c r="U1099" s="2"/>
      <c r="X1099">
        <v>0</v>
      </c>
      <c r="Z1099">
        <v>0</v>
      </c>
      <c r="AB1099">
        <v>0</v>
      </c>
      <c r="AC1099">
        <v>0</v>
      </c>
      <c r="AD1099">
        <v>0</v>
      </c>
      <c r="AE1099" s="7"/>
      <c r="AF1099" s="7"/>
      <c r="AG1099" s="7"/>
      <c r="AH1099" s="7"/>
      <c r="AI10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9" s="7">
        <v>12</v>
      </c>
      <c r="AK1099" t="s">
        <v>116</v>
      </c>
      <c r="AN1099">
        <f>IFERROR(INT(Table13[[#This Row],[reject_prod]]/Table13[[#This Row],[part_weight]] * 1000), 0)</f>
        <v>0</v>
      </c>
    </row>
    <row r="1100" spans="1:40" hidden="1">
      <c r="A1100" s="1">
        <v>46055</v>
      </c>
      <c r="B1100">
        <v>2</v>
      </c>
      <c r="C1100">
        <v>14</v>
      </c>
      <c r="F1100">
        <v>123456</v>
      </c>
      <c r="G1100" s="6">
        <v>0</v>
      </c>
      <c r="M1100">
        <v>0</v>
      </c>
      <c r="N1100" s="2">
        <v>0</v>
      </c>
      <c r="O1100" s="2">
        <v>0</v>
      </c>
      <c r="P1100" s="2">
        <v>0</v>
      </c>
      <c r="Q1100" s="2"/>
      <c r="R1100" s="2">
        <v>0</v>
      </c>
      <c r="T1100" s="2">
        <v>0</v>
      </c>
      <c r="U1100" s="2"/>
      <c r="X1100">
        <v>0</v>
      </c>
      <c r="Z1100">
        <v>0</v>
      </c>
      <c r="AB1100">
        <v>0</v>
      </c>
      <c r="AC1100">
        <v>0</v>
      </c>
      <c r="AD1100">
        <v>0</v>
      </c>
      <c r="AE1100" s="7"/>
      <c r="AF1100" s="7"/>
      <c r="AG1100" s="7"/>
      <c r="AH1100" s="7"/>
      <c r="AI1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0" s="7">
        <v>12</v>
      </c>
      <c r="AK1100" t="s">
        <v>116</v>
      </c>
      <c r="AN1100">
        <f>IFERROR(INT(Table13[[#This Row],[reject_prod]]/Table13[[#This Row],[part_weight]] * 1000), 0)</f>
        <v>0</v>
      </c>
    </row>
    <row r="1101" spans="1:40" hidden="1">
      <c r="A1101" s="1">
        <v>46055</v>
      </c>
      <c r="B1101">
        <v>2</v>
      </c>
      <c r="C1101">
        <v>15</v>
      </c>
      <c r="F1101">
        <v>123456</v>
      </c>
      <c r="G1101" s="6">
        <v>0</v>
      </c>
      <c r="M1101">
        <v>0</v>
      </c>
      <c r="N1101" s="2">
        <v>0</v>
      </c>
      <c r="O1101" s="2">
        <v>0</v>
      </c>
      <c r="P1101" s="2">
        <v>0</v>
      </c>
      <c r="Q1101" s="2"/>
      <c r="R1101" s="2">
        <v>0</v>
      </c>
      <c r="T1101" s="2">
        <v>0</v>
      </c>
      <c r="U1101" s="2"/>
      <c r="X1101">
        <v>0</v>
      </c>
      <c r="Z1101">
        <v>0</v>
      </c>
      <c r="AB1101">
        <v>0</v>
      </c>
      <c r="AC1101">
        <v>0</v>
      </c>
      <c r="AD1101">
        <v>0</v>
      </c>
      <c r="AE1101" s="7"/>
      <c r="AF1101" s="7"/>
      <c r="AG1101" s="7"/>
      <c r="AH1101" s="7"/>
      <c r="AI1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1" s="7">
        <v>12</v>
      </c>
      <c r="AK1101" t="s">
        <v>116</v>
      </c>
      <c r="AN1101">
        <f>IFERROR(INT(Table13[[#This Row],[reject_prod]]/Table13[[#This Row],[part_weight]] * 1000), 0)</f>
        <v>0</v>
      </c>
    </row>
    <row r="1102" spans="1:40" s="4" customFormat="1" hidden="1">
      <c r="A1102" s="3">
        <v>46055</v>
      </c>
      <c r="B1102" s="4">
        <v>2</v>
      </c>
      <c r="C1102" s="4">
        <v>16</v>
      </c>
      <c r="F1102" s="4">
        <v>123456</v>
      </c>
      <c r="G1102" s="9">
        <v>0</v>
      </c>
      <c r="M1102" s="4">
        <v>0</v>
      </c>
      <c r="N1102" s="5">
        <v>0</v>
      </c>
      <c r="O1102" s="5">
        <v>0</v>
      </c>
      <c r="P1102" s="5">
        <v>0</v>
      </c>
      <c r="Q1102" s="5"/>
      <c r="R1102" s="5">
        <v>0</v>
      </c>
      <c r="T1102" s="5">
        <v>0</v>
      </c>
      <c r="U1102" s="5"/>
      <c r="X1102" s="4">
        <v>0</v>
      </c>
      <c r="Z1102" s="4">
        <v>0</v>
      </c>
      <c r="AB1102" s="4">
        <v>0</v>
      </c>
      <c r="AC1102" s="4">
        <v>0</v>
      </c>
      <c r="AD1102" s="4">
        <v>0</v>
      </c>
      <c r="AE1102" s="8"/>
      <c r="AF1102" s="8"/>
      <c r="AG1102" s="8"/>
      <c r="AH1102" s="8"/>
      <c r="AI1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2" s="8">
        <v>12</v>
      </c>
      <c r="AK1102" s="4" t="s">
        <v>116</v>
      </c>
      <c r="AN1102">
        <f>IFERROR(INT(Table13[[#This Row],[reject_prod]]/Table13[[#This Row],[part_weight]] * 1000), 0)</f>
        <v>0</v>
      </c>
    </row>
    <row r="1103" spans="1:40" hidden="1">
      <c r="A1103" s="1">
        <v>46056</v>
      </c>
      <c r="B1103">
        <v>1</v>
      </c>
      <c r="C1103">
        <v>1</v>
      </c>
      <c r="D1103" t="s">
        <v>65</v>
      </c>
      <c r="E1103" t="s">
        <v>34</v>
      </c>
      <c r="F1103">
        <v>347623</v>
      </c>
      <c r="G1103" s="6">
        <v>0</v>
      </c>
      <c r="H1103" t="s">
        <v>35</v>
      </c>
      <c r="I1103">
        <v>10685631</v>
      </c>
      <c r="J1103">
        <v>4</v>
      </c>
      <c r="K1103">
        <v>35.6</v>
      </c>
      <c r="L1103">
        <v>35.6</v>
      </c>
      <c r="M1103">
        <v>1140</v>
      </c>
      <c r="N1103" s="2">
        <v>36800</v>
      </c>
      <c r="O1103" s="2">
        <v>1104</v>
      </c>
      <c r="P1103" s="2">
        <v>0</v>
      </c>
      <c r="Q1103" s="2">
        <v>4560</v>
      </c>
      <c r="R1103" s="2">
        <v>5520</v>
      </c>
      <c r="S1103">
        <v>196.512</v>
      </c>
      <c r="T1103" s="2">
        <v>36800</v>
      </c>
      <c r="U1103" s="2">
        <v>0</v>
      </c>
      <c r="V1103">
        <v>162.33600000000001</v>
      </c>
      <c r="W1103">
        <v>0</v>
      </c>
      <c r="X1103">
        <v>4</v>
      </c>
      <c r="Y1103">
        <v>2.4640252316183716E-2</v>
      </c>
      <c r="Z1103">
        <v>1.1000000000000001</v>
      </c>
      <c r="AA1103">
        <v>6.776069386950522E-3</v>
      </c>
      <c r="AB1103">
        <v>27</v>
      </c>
      <c r="AC1103">
        <v>8.5499999999999989</v>
      </c>
      <c r="AD1103">
        <v>27</v>
      </c>
      <c r="AE1103" s="7"/>
      <c r="AF1103" s="7"/>
      <c r="AG1103" s="7"/>
      <c r="AH1103" s="7"/>
      <c r="AI1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3.4500000000000011</v>
      </c>
      <c r="AJ1103" s="7"/>
      <c r="AK1103" t="s">
        <v>102</v>
      </c>
      <c r="AL1103">
        <v>3</v>
      </c>
      <c r="AM1103">
        <v>1</v>
      </c>
      <c r="AN1103">
        <f>IFERROR(INT(Table13[[#This Row],[reject_prod]]/Table13[[#This Row],[part_weight]] * 1000), 0)</f>
        <v>30</v>
      </c>
    </row>
    <row r="1104" spans="1:40" hidden="1">
      <c r="A1104" s="1">
        <v>46056</v>
      </c>
      <c r="B1104">
        <v>1</v>
      </c>
      <c r="C1104">
        <v>1</v>
      </c>
      <c r="D1104" t="s">
        <v>65</v>
      </c>
      <c r="E1104" t="s">
        <v>34</v>
      </c>
      <c r="F1104">
        <v>347623</v>
      </c>
      <c r="G1104" s="6">
        <v>0</v>
      </c>
      <c r="H1104" t="s">
        <v>35</v>
      </c>
      <c r="I1104">
        <v>10686028</v>
      </c>
      <c r="J1104">
        <v>4</v>
      </c>
      <c r="K1104">
        <v>35.6</v>
      </c>
      <c r="L1104">
        <v>35.6</v>
      </c>
      <c r="M1104">
        <v>322</v>
      </c>
      <c r="N1104" s="2">
        <v>20240</v>
      </c>
      <c r="O1104" s="2">
        <v>0</v>
      </c>
      <c r="P1104" s="2">
        <v>1288</v>
      </c>
      <c r="Q1104" s="2">
        <v>1288</v>
      </c>
      <c r="R1104" s="2">
        <v>0</v>
      </c>
      <c r="S1104">
        <v>0</v>
      </c>
      <c r="T1104" s="2">
        <v>1288</v>
      </c>
      <c r="U1104" s="2">
        <v>18952</v>
      </c>
      <c r="V1104">
        <v>45.852800000000002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27</v>
      </c>
      <c r="AC1104">
        <v>2.415</v>
      </c>
      <c r="AD1104">
        <v>27</v>
      </c>
      <c r="AE1104" s="7"/>
      <c r="AF1104" s="7"/>
      <c r="AG1104" s="7"/>
      <c r="AH1104" s="7"/>
      <c r="AI1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9.5850000000000009</v>
      </c>
      <c r="AJ1104" s="7"/>
      <c r="AK1104" t="s">
        <v>653</v>
      </c>
      <c r="AL1104">
        <v>4</v>
      </c>
      <c r="AM1104">
        <v>2</v>
      </c>
      <c r="AN1104">
        <f>IFERROR(INT(Table13[[#This Row],[reject_prod]]/Table13[[#This Row],[part_weight]] * 1000), 0)</f>
        <v>0</v>
      </c>
    </row>
    <row r="1105" spans="1:40" hidden="1">
      <c r="A1105" s="1">
        <v>46056</v>
      </c>
      <c r="B1105">
        <v>1</v>
      </c>
      <c r="C1105">
        <v>2</v>
      </c>
      <c r="D1105" t="s">
        <v>648</v>
      </c>
      <c r="E1105" t="s">
        <v>34</v>
      </c>
      <c r="F1105">
        <v>416201</v>
      </c>
      <c r="G1105" s="6">
        <v>0</v>
      </c>
      <c r="H1105" t="s">
        <v>36</v>
      </c>
      <c r="I1105">
        <v>10681779</v>
      </c>
      <c r="J1105">
        <v>4</v>
      </c>
      <c r="K1105">
        <v>20</v>
      </c>
      <c r="L1105">
        <v>30</v>
      </c>
      <c r="M1105">
        <v>1100</v>
      </c>
      <c r="N1105" s="2">
        <v>50400</v>
      </c>
      <c r="O1105" s="2">
        <v>4000</v>
      </c>
      <c r="P1105" s="2">
        <v>3360</v>
      </c>
      <c r="Q1105" s="2">
        <v>4400</v>
      </c>
      <c r="R1105" s="2">
        <v>5040</v>
      </c>
      <c r="S1105">
        <v>151.19999999999999</v>
      </c>
      <c r="T1105" s="2">
        <v>43680</v>
      </c>
      <c r="U1105" s="2">
        <v>6720</v>
      </c>
      <c r="V1105">
        <v>132</v>
      </c>
      <c r="W1105">
        <v>0</v>
      </c>
      <c r="X1105">
        <v>1</v>
      </c>
      <c r="Y1105">
        <v>7.575757575757576E-3</v>
      </c>
      <c r="Z1105">
        <v>0.9</v>
      </c>
      <c r="AA1105">
        <v>6.8181818181818187E-3</v>
      </c>
      <c r="AB1105">
        <v>31.6</v>
      </c>
      <c r="AC1105">
        <v>9.6555555555555568</v>
      </c>
      <c r="AD1105">
        <v>38.64</v>
      </c>
      <c r="AE1105" s="7"/>
      <c r="AF1105" s="7"/>
      <c r="AG1105" s="7"/>
      <c r="AH1105" s="7"/>
      <c r="AI1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2.3444444444444432</v>
      </c>
      <c r="AJ1105" s="7"/>
      <c r="AK1105" t="s">
        <v>103</v>
      </c>
      <c r="AN1105">
        <f>IFERROR(INT(Table13[[#This Row],[reject_prod]]/Table13[[#This Row],[part_weight]] * 1000), 0)</f>
        <v>30</v>
      </c>
    </row>
    <row r="1106" spans="1:40" hidden="1">
      <c r="A1106" s="1">
        <v>46056</v>
      </c>
      <c r="B1106">
        <v>1</v>
      </c>
      <c r="C1106">
        <v>3</v>
      </c>
      <c r="D1106" t="s">
        <v>43</v>
      </c>
      <c r="E1106" t="s">
        <v>34</v>
      </c>
      <c r="F1106">
        <v>442034</v>
      </c>
      <c r="G1106" s="6">
        <v>0</v>
      </c>
      <c r="H1106" t="s">
        <v>37</v>
      </c>
      <c r="I1106">
        <v>10681184</v>
      </c>
      <c r="J1106">
        <v>4</v>
      </c>
      <c r="K1106">
        <v>23</v>
      </c>
      <c r="L1106">
        <v>23</v>
      </c>
      <c r="M1106">
        <v>96</v>
      </c>
      <c r="N1106" s="2">
        <v>139776</v>
      </c>
      <c r="O1106" s="2">
        <v>1152</v>
      </c>
      <c r="P1106" s="2">
        <v>0</v>
      </c>
      <c r="Q1106" s="2">
        <v>384</v>
      </c>
      <c r="R1106" s="2">
        <v>1536</v>
      </c>
      <c r="S1106">
        <v>35.328000000000003</v>
      </c>
      <c r="T1106" s="2">
        <v>139776</v>
      </c>
      <c r="U1106" s="2">
        <v>0</v>
      </c>
      <c r="V1106">
        <v>8.8320000000000007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29.2</v>
      </c>
      <c r="AC1106">
        <v>0.77866666666666662</v>
      </c>
      <c r="AD1106">
        <v>22</v>
      </c>
      <c r="AE1106" s="7"/>
      <c r="AF1106" s="7"/>
      <c r="AG1106" s="7"/>
      <c r="AH1106" s="7"/>
      <c r="AI1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11.221333333333334</v>
      </c>
      <c r="AJ1106" s="7"/>
      <c r="AK1106" t="s">
        <v>102</v>
      </c>
      <c r="AL1106">
        <v>3</v>
      </c>
      <c r="AM1106">
        <v>2</v>
      </c>
      <c r="AN1106">
        <f>IFERROR(INT(Table13[[#This Row],[reject_prod]]/Table13[[#This Row],[part_weight]] * 1000), 0)</f>
        <v>0</v>
      </c>
    </row>
    <row r="1107" spans="1:40" hidden="1">
      <c r="A1107" s="1">
        <v>46056</v>
      </c>
      <c r="B1107">
        <v>1</v>
      </c>
      <c r="C1107">
        <v>3</v>
      </c>
      <c r="D1107" t="s">
        <v>43</v>
      </c>
      <c r="E1107" t="s">
        <v>34</v>
      </c>
      <c r="F1107">
        <v>442034</v>
      </c>
      <c r="G1107" s="6">
        <v>0</v>
      </c>
      <c r="H1107" t="s">
        <v>37</v>
      </c>
      <c r="I1107">
        <v>10685633</v>
      </c>
      <c r="J1107">
        <v>4</v>
      </c>
      <c r="K1107">
        <v>23</v>
      </c>
      <c r="L1107">
        <v>23</v>
      </c>
      <c r="M1107">
        <v>1248</v>
      </c>
      <c r="N1107" s="2">
        <v>139776</v>
      </c>
      <c r="O1107" s="2">
        <v>0</v>
      </c>
      <c r="P1107" s="2">
        <v>384</v>
      </c>
      <c r="Q1107" s="2">
        <v>4992</v>
      </c>
      <c r="R1107" s="2">
        <v>4608</v>
      </c>
      <c r="S1107">
        <v>105.98399999999999</v>
      </c>
      <c r="T1107" s="2">
        <v>4992</v>
      </c>
      <c r="U1107" s="2">
        <v>134784</v>
      </c>
      <c r="V1107">
        <v>114.816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29.2</v>
      </c>
      <c r="AC1107">
        <v>10.122666666666666</v>
      </c>
      <c r="AD1107">
        <v>22</v>
      </c>
      <c r="AE1107" s="7"/>
      <c r="AF1107" s="7"/>
      <c r="AG1107" s="7"/>
      <c r="AH1107" s="7"/>
      <c r="AI1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1.8773333333333344</v>
      </c>
      <c r="AJ1107" s="7"/>
      <c r="AK1107" t="s">
        <v>103</v>
      </c>
      <c r="AN1107">
        <f>IFERROR(INT(Table13[[#This Row],[reject_prod]]/Table13[[#This Row],[part_weight]] * 1000), 0)</f>
        <v>0</v>
      </c>
    </row>
    <row r="1108" spans="1:40" hidden="1">
      <c r="A1108" s="1">
        <v>46056</v>
      </c>
      <c r="B1108">
        <v>1</v>
      </c>
      <c r="C1108">
        <v>4</v>
      </c>
      <c r="D1108" t="s">
        <v>141</v>
      </c>
      <c r="E1108" t="s">
        <v>34</v>
      </c>
      <c r="F1108">
        <v>414439</v>
      </c>
      <c r="G1108" s="6">
        <v>0</v>
      </c>
      <c r="H1108" t="s">
        <v>587</v>
      </c>
      <c r="I1108">
        <v>10684854</v>
      </c>
      <c r="J1108">
        <v>6</v>
      </c>
      <c r="K1108">
        <v>23</v>
      </c>
      <c r="L1108">
        <v>15</v>
      </c>
      <c r="M1108">
        <v>1510</v>
      </c>
      <c r="N1108" s="2">
        <v>0</v>
      </c>
      <c r="O1108" s="2">
        <v>6160</v>
      </c>
      <c r="P1108" s="2">
        <v>0</v>
      </c>
      <c r="Q1108" s="2">
        <v>9060</v>
      </c>
      <c r="R1108" s="2">
        <v>14784</v>
      </c>
      <c r="S1108">
        <v>221.76</v>
      </c>
      <c r="T1108" s="2">
        <v>14784</v>
      </c>
      <c r="U1108" s="2">
        <v>-14784</v>
      </c>
      <c r="V1108">
        <v>135.9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20</v>
      </c>
      <c r="AC1108">
        <v>8.3888888888888893</v>
      </c>
      <c r="AD1108">
        <v>15</v>
      </c>
      <c r="AE1108" s="7"/>
      <c r="AF1108" s="7"/>
      <c r="AG1108" s="7"/>
      <c r="AH1108" s="7"/>
      <c r="AI1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3.6111111111111107</v>
      </c>
      <c r="AJ1108" s="7"/>
      <c r="AK1108" t="s">
        <v>103</v>
      </c>
      <c r="AL1108">
        <v>3</v>
      </c>
      <c r="AM1108">
        <v>2</v>
      </c>
      <c r="AN1108">
        <f>IFERROR(INT(Table13[[#This Row],[reject_prod]]/Table13[[#This Row],[part_weight]] * 1000), 0)</f>
        <v>0</v>
      </c>
    </row>
    <row r="1109" spans="1:40" hidden="1">
      <c r="A1109" s="1">
        <v>46056</v>
      </c>
      <c r="B1109">
        <v>1</v>
      </c>
      <c r="C1109">
        <v>5</v>
      </c>
      <c r="D1109" t="s">
        <v>33</v>
      </c>
      <c r="E1109" t="s">
        <v>34</v>
      </c>
      <c r="F1109">
        <v>322448</v>
      </c>
      <c r="G1109" s="6">
        <v>0</v>
      </c>
      <c r="H1109" t="s">
        <v>654</v>
      </c>
      <c r="I1109">
        <v>10686572</v>
      </c>
      <c r="J1109">
        <v>4</v>
      </c>
      <c r="K1109">
        <v>40</v>
      </c>
      <c r="L1109">
        <v>40</v>
      </c>
      <c r="M1109">
        <v>0</v>
      </c>
      <c r="N1109" s="2">
        <v>58320</v>
      </c>
      <c r="O1109" s="2">
        <v>0</v>
      </c>
      <c r="P1109" s="2">
        <v>0</v>
      </c>
      <c r="Q1109" s="2">
        <v>0</v>
      </c>
      <c r="R1109" s="2">
        <v>0</v>
      </c>
      <c r="S1109">
        <v>0</v>
      </c>
      <c r="T1109" s="2">
        <v>0</v>
      </c>
      <c r="U1109" s="2">
        <v>58320</v>
      </c>
      <c r="V1109">
        <v>0</v>
      </c>
      <c r="W1109">
        <v>0</v>
      </c>
      <c r="X1109">
        <v>6.6</v>
      </c>
      <c r="Y1109" t="e">
        <v>#DIV/0!</v>
      </c>
      <c r="Z1109">
        <v>0</v>
      </c>
      <c r="AA1109" t="e">
        <v>#DIV/0!</v>
      </c>
      <c r="AB1109">
        <v>21.9</v>
      </c>
      <c r="AC1109">
        <v>0</v>
      </c>
      <c r="AD1109">
        <v>23</v>
      </c>
      <c r="AE1109" s="7">
        <v>5.5</v>
      </c>
      <c r="AF1109" s="7"/>
      <c r="AG1109" s="7"/>
      <c r="AH1109" s="7"/>
      <c r="AI1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109" s="7"/>
      <c r="AK1109" t="s">
        <v>655</v>
      </c>
      <c r="AL1109">
        <v>5</v>
      </c>
      <c r="AM1109">
        <v>7</v>
      </c>
      <c r="AN1109">
        <f>IFERROR(INT(Table13[[#This Row],[reject_prod]]/Table13[[#This Row],[part_weight]] * 1000), 0)</f>
        <v>0</v>
      </c>
    </row>
    <row r="1110" spans="1:40" hidden="1">
      <c r="A1110" s="1">
        <v>46056</v>
      </c>
      <c r="B1110">
        <v>1</v>
      </c>
      <c r="C1110">
        <v>6</v>
      </c>
      <c r="D1110" t="s">
        <v>33</v>
      </c>
      <c r="E1110" t="s">
        <v>34</v>
      </c>
      <c r="F1110">
        <v>322422</v>
      </c>
      <c r="G1110" s="6">
        <v>0</v>
      </c>
      <c r="H1110" t="s">
        <v>656</v>
      </c>
      <c r="I1110">
        <v>10685442</v>
      </c>
      <c r="J1110">
        <v>4</v>
      </c>
      <c r="K1110">
        <v>34</v>
      </c>
      <c r="L1110">
        <v>34</v>
      </c>
      <c r="M1110">
        <v>0</v>
      </c>
      <c r="N1110" s="2">
        <v>9000</v>
      </c>
      <c r="O1110" s="2">
        <v>0</v>
      </c>
      <c r="P1110" s="2">
        <v>0</v>
      </c>
      <c r="Q1110" s="2">
        <v>0</v>
      </c>
      <c r="R1110" s="2">
        <v>0</v>
      </c>
      <c r="S1110">
        <v>0</v>
      </c>
      <c r="T1110" s="2">
        <v>0</v>
      </c>
      <c r="U1110" s="2">
        <v>9000</v>
      </c>
      <c r="V1110">
        <v>0</v>
      </c>
      <c r="W1110">
        <v>0</v>
      </c>
      <c r="X1110">
        <v>0</v>
      </c>
      <c r="Y1110" t="e">
        <v>#DIV/0!</v>
      </c>
      <c r="Z1110">
        <v>0</v>
      </c>
      <c r="AA1110" t="e">
        <v>#DIV/0!</v>
      </c>
      <c r="AB1110">
        <v>21.3</v>
      </c>
      <c r="AC1110">
        <v>0</v>
      </c>
      <c r="AD1110">
        <v>21.68</v>
      </c>
      <c r="AE1110" s="7"/>
      <c r="AF1110" s="7">
        <v>3.5</v>
      </c>
      <c r="AG1110" s="7"/>
      <c r="AH1110" s="7"/>
      <c r="AI1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110" s="7"/>
      <c r="AK1110" t="s">
        <v>588</v>
      </c>
      <c r="AL1110">
        <v>3</v>
      </c>
      <c r="AM1110">
        <v>4</v>
      </c>
      <c r="AN1110">
        <f>IFERROR(INT(Table13[[#This Row],[reject_prod]]/Table13[[#This Row],[part_weight]] * 1000), 0)</f>
        <v>0</v>
      </c>
    </row>
    <row r="1111" spans="1:40" hidden="1">
      <c r="A1111" s="1">
        <v>46056</v>
      </c>
      <c r="B1111">
        <v>1</v>
      </c>
      <c r="C1111">
        <v>7</v>
      </c>
      <c r="D1111" t="s">
        <v>33</v>
      </c>
      <c r="E1111" t="s">
        <v>34</v>
      </c>
      <c r="F1111">
        <v>322444</v>
      </c>
      <c r="G1111" s="6">
        <v>0</v>
      </c>
      <c r="H1111" t="s">
        <v>636</v>
      </c>
      <c r="I1111">
        <v>10684856</v>
      </c>
      <c r="J1111">
        <v>4</v>
      </c>
      <c r="K1111">
        <v>32.74</v>
      </c>
      <c r="L1111">
        <v>34.5</v>
      </c>
      <c r="M1111">
        <v>349</v>
      </c>
      <c r="N1111" s="2">
        <v>16240</v>
      </c>
      <c r="O1111" s="2">
        <v>10962</v>
      </c>
      <c r="P1111" s="2">
        <v>789</v>
      </c>
      <c r="Q1111" s="2">
        <v>1396</v>
      </c>
      <c r="R1111" s="2">
        <v>11368</v>
      </c>
      <c r="S1111">
        <v>392.19600000000003</v>
      </c>
      <c r="T1111" s="2">
        <v>12157</v>
      </c>
      <c r="U1111" s="2">
        <v>4083</v>
      </c>
      <c r="V1111">
        <v>48.161999999999999</v>
      </c>
      <c r="W1111">
        <v>0</v>
      </c>
      <c r="X1111">
        <v>6.9</v>
      </c>
      <c r="Y1111">
        <v>0.14326647564469916</v>
      </c>
      <c r="Z1111">
        <v>0</v>
      </c>
      <c r="AA1111">
        <v>0</v>
      </c>
      <c r="AB1111">
        <v>24.1</v>
      </c>
      <c r="AC1111">
        <v>2.3363611111111111</v>
      </c>
      <c r="AD1111">
        <v>23</v>
      </c>
      <c r="AE1111" s="7"/>
      <c r="AF1111" s="7"/>
      <c r="AG1111" s="7"/>
      <c r="AH1111" s="7"/>
      <c r="AI1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9.6636388888888884</v>
      </c>
      <c r="AJ1111" s="7"/>
      <c r="AK1111" t="s">
        <v>39</v>
      </c>
      <c r="AL1111">
        <v>4</v>
      </c>
      <c r="AM1111">
        <v>3</v>
      </c>
      <c r="AN1111">
        <f>IFERROR(INT(Table13[[#This Row],[reject_prod]]/Table13[[#This Row],[part_weight]] * 1000), 0)</f>
        <v>0</v>
      </c>
    </row>
    <row r="1112" spans="1:40" hidden="1">
      <c r="A1112" s="1">
        <v>46056</v>
      </c>
      <c r="B1112">
        <v>1</v>
      </c>
      <c r="C1112">
        <v>8</v>
      </c>
      <c r="D1112" t="s">
        <v>328</v>
      </c>
      <c r="E1112" t="s">
        <v>41</v>
      </c>
      <c r="F1112">
        <v>593537</v>
      </c>
      <c r="G1112" s="6">
        <v>0</v>
      </c>
      <c r="H1112" t="s">
        <v>48</v>
      </c>
      <c r="I1112">
        <v>10685337</v>
      </c>
      <c r="J1112">
        <v>4</v>
      </c>
      <c r="K1112">
        <v>56.5</v>
      </c>
      <c r="L1112">
        <v>56.8</v>
      </c>
      <c r="M1112">
        <v>1104</v>
      </c>
      <c r="N1112" s="2">
        <v>69000</v>
      </c>
      <c r="O1112" s="2">
        <v>230</v>
      </c>
      <c r="P1112" s="2">
        <v>0</v>
      </c>
      <c r="Q1112" s="2">
        <v>4416</v>
      </c>
      <c r="R1112" s="2">
        <v>4600</v>
      </c>
      <c r="S1112">
        <v>261.27999999999997</v>
      </c>
      <c r="T1112" s="2">
        <v>67275</v>
      </c>
      <c r="U1112" s="2">
        <v>1725</v>
      </c>
      <c r="V1112">
        <v>250.8288</v>
      </c>
      <c r="W1112">
        <v>0</v>
      </c>
      <c r="X1112">
        <v>2</v>
      </c>
      <c r="Y1112">
        <v>7.9735660338844661E-3</v>
      </c>
      <c r="Z1112">
        <v>0.5</v>
      </c>
      <c r="AA1112">
        <v>1.9933915084711165E-3</v>
      </c>
      <c r="AB1112">
        <v>30.5</v>
      </c>
      <c r="AC1112">
        <v>9.3533333333333335</v>
      </c>
      <c r="AD1112">
        <v>28.5</v>
      </c>
      <c r="AE1112" s="7"/>
      <c r="AF1112" s="7"/>
      <c r="AG1112" s="7"/>
      <c r="AH1112" s="7"/>
      <c r="AI1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2.6466666666666665</v>
      </c>
      <c r="AJ1112" s="7"/>
      <c r="AK1112" t="s">
        <v>657</v>
      </c>
      <c r="AL1112">
        <v>3</v>
      </c>
      <c r="AM1112">
        <v>1</v>
      </c>
      <c r="AN1112">
        <f>IFERROR(INT(Table13[[#This Row],[reject_prod]]/Table13[[#This Row],[part_weight]] * 1000), 0)</f>
        <v>8</v>
      </c>
    </row>
    <row r="1113" spans="1:40" hidden="1">
      <c r="A1113" s="1">
        <v>46056</v>
      </c>
      <c r="B1113">
        <v>1</v>
      </c>
      <c r="C1113">
        <v>9</v>
      </c>
      <c r="D1113" t="s">
        <v>40</v>
      </c>
      <c r="E1113" t="s">
        <v>46</v>
      </c>
      <c r="F1113">
        <v>586276</v>
      </c>
      <c r="G1113" s="6">
        <v>1</v>
      </c>
      <c r="H1113" t="s">
        <v>47</v>
      </c>
      <c r="I1113">
        <v>10682924</v>
      </c>
      <c r="J1113">
        <v>6</v>
      </c>
      <c r="K1113">
        <v>12.3</v>
      </c>
      <c r="L1113">
        <v>12.3</v>
      </c>
      <c r="M1113">
        <v>1401</v>
      </c>
      <c r="N1113" s="2">
        <v>162000</v>
      </c>
      <c r="O1113" s="2">
        <v>2935</v>
      </c>
      <c r="P1113" s="2">
        <v>2835</v>
      </c>
      <c r="Q1113" s="2">
        <v>8406</v>
      </c>
      <c r="R1113" s="2">
        <v>8100</v>
      </c>
      <c r="S1113">
        <v>99.63</v>
      </c>
      <c r="T1113" s="2">
        <v>156735</v>
      </c>
      <c r="U1113" s="2">
        <v>5265</v>
      </c>
      <c r="V1113">
        <v>103.3938</v>
      </c>
      <c r="W1113">
        <v>0</v>
      </c>
      <c r="X1113">
        <v>4</v>
      </c>
      <c r="Y1113">
        <v>3.8687039261541795E-2</v>
      </c>
      <c r="Z1113">
        <v>0.8</v>
      </c>
      <c r="AA1113">
        <v>7.7374078523083593E-3</v>
      </c>
      <c r="AB1113">
        <v>26.6</v>
      </c>
      <c r="AC1113">
        <v>10.351833333333333</v>
      </c>
      <c r="AD1113">
        <v>26</v>
      </c>
      <c r="AE1113" s="7"/>
      <c r="AF1113" s="7"/>
      <c r="AG1113" s="7"/>
      <c r="AH1113" s="7"/>
      <c r="AI1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1.6481666666666666</v>
      </c>
      <c r="AJ1113" s="7"/>
      <c r="AK1113" t="s">
        <v>480</v>
      </c>
      <c r="AL1113">
        <v>1</v>
      </c>
      <c r="AM1113">
        <v>1</v>
      </c>
      <c r="AN1113">
        <f>IFERROR(INT(Table13[[#This Row],[reject_prod]]/Table13[[#This Row],[part_weight]] * 1000), 0)</f>
        <v>65</v>
      </c>
    </row>
    <row r="1114" spans="1:40" hidden="1">
      <c r="A1114" s="1">
        <v>46056</v>
      </c>
      <c r="B1114">
        <v>1</v>
      </c>
      <c r="C1114">
        <v>10</v>
      </c>
      <c r="D1114" t="s">
        <v>143</v>
      </c>
      <c r="E1114" t="s">
        <v>34</v>
      </c>
      <c r="F1114">
        <v>323133</v>
      </c>
      <c r="G1114" s="6">
        <v>0</v>
      </c>
      <c r="H1114" t="s">
        <v>568</v>
      </c>
      <c r="I1114">
        <v>10685638</v>
      </c>
      <c r="J1114">
        <v>4</v>
      </c>
      <c r="K1114">
        <v>77</v>
      </c>
      <c r="L1114">
        <v>77</v>
      </c>
      <c r="M1114">
        <v>545</v>
      </c>
      <c r="N1114" s="2">
        <v>13248</v>
      </c>
      <c r="O1114" s="2">
        <v>69</v>
      </c>
      <c r="P1114" s="2">
        <v>69</v>
      </c>
      <c r="Q1114" s="2">
        <v>2180</v>
      </c>
      <c r="R1114" s="2">
        <v>1932</v>
      </c>
      <c r="S1114">
        <v>148.76400000000001</v>
      </c>
      <c r="T1114" s="2">
        <v>4209</v>
      </c>
      <c r="U1114" s="2">
        <v>9039</v>
      </c>
      <c r="V1114">
        <v>167.86</v>
      </c>
      <c r="W1114">
        <v>0</v>
      </c>
      <c r="X1114">
        <v>5</v>
      </c>
      <c r="Y1114">
        <v>2.9786727034433455E-2</v>
      </c>
      <c r="Z1114">
        <v>14.2</v>
      </c>
      <c r="AA1114">
        <v>8.4594304777791007E-2</v>
      </c>
      <c r="AB1114">
        <v>38.6</v>
      </c>
      <c r="AC1114">
        <v>5.8436111111111115</v>
      </c>
      <c r="AD1114">
        <v>35</v>
      </c>
      <c r="AE1114" s="7"/>
      <c r="AF1114" s="7"/>
      <c r="AG1114" s="7"/>
      <c r="AH1114" s="7"/>
      <c r="AI1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6.1563888888888885</v>
      </c>
      <c r="AJ1114" s="7"/>
      <c r="AK1114" t="s">
        <v>658</v>
      </c>
      <c r="AL1114">
        <v>4</v>
      </c>
      <c r="AM1114">
        <v>10</v>
      </c>
      <c r="AN1114">
        <f>IFERROR(INT(Table13[[#This Row],[reject_prod]]/Table13[[#This Row],[part_weight]] * 1000), 0)</f>
        <v>184</v>
      </c>
    </row>
    <row r="1115" spans="1:40" hidden="1">
      <c r="A1115" s="1">
        <v>46056</v>
      </c>
      <c r="B1115">
        <v>1</v>
      </c>
      <c r="C1115">
        <v>11</v>
      </c>
      <c r="D1115" t="s">
        <v>61</v>
      </c>
      <c r="E1115" t="s">
        <v>46</v>
      </c>
      <c r="F1115">
        <v>552181</v>
      </c>
      <c r="G1115" s="6">
        <v>1</v>
      </c>
      <c r="H1115" t="s">
        <v>49</v>
      </c>
      <c r="I1115">
        <v>10685338</v>
      </c>
      <c r="J1115">
        <v>6</v>
      </c>
      <c r="K1115">
        <v>18.8</v>
      </c>
      <c r="L1115">
        <v>18.8</v>
      </c>
      <c r="M1115">
        <v>1059</v>
      </c>
      <c r="N1115" s="2">
        <v>108000</v>
      </c>
      <c r="O1115" s="2">
        <v>270</v>
      </c>
      <c r="P1115" s="2">
        <v>810</v>
      </c>
      <c r="Q1115" s="2">
        <v>6354</v>
      </c>
      <c r="R1115" s="2">
        <v>5400</v>
      </c>
      <c r="S1115">
        <v>101.52</v>
      </c>
      <c r="T1115" s="2">
        <v>76410</v>
      </c>
      <c r="U1115" s="2">
        <v>31590</v>
      </c>
      <c r="V1115">
        <v>119.4552</v>
      </c>
      <c r="W1115">
        <v>0</v>
      </c>
      <c r="X1115">
        <v>5</v>
      </c>
      <c r="Y1115">
        <v>4.185669606680998E-2</v>
      </c>
      <c r="Z1115">
        <v>2.8</v>
      </c>
      <c r="AA1115">
        <v>2.3439749797413589E-2</v>
      </c>
      <c r="AB1115">
        <v>29</v>
      </c>
      <c r="AC1115">
        <v>8.5308333333333337</v>
      </c>
      <c r="AD1115">
        <v>27</v>
      </c>
      <c r="AE1115" s="7"/>
      <c r="AF1115" s="7"/>
      <c r="AG1115" s="7"/>
      <c r="AH1115" s="7"/>
      <c r="AI1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3.4691666666666663</v>
      </c>
      <c r="AJ1115" s="7"/>
      <c r="AK1115" t="s">
        <v>480</v>
      </c>
      <c r="AL1115">
        <v>1</v>
      </c>
      <c r="AM1115">
        <v>1</v>
      </c>
      <c r="AN1115">
        <f>IFERROR(INT(Table13[[#This Row],[reject_prod]]/Table13[[#This Row],[part_weight]] * 1000), 0)</f>
        <v>148</v>
      </c>
    </row>
    <row r="1116" spans="1:40" hidden="1">
      <c r="A1116" s="1">
        <v>46056</v>
      </c>
      <c r="B1116">
        <v>1</v>
      </c>
      <c r="C1116">
        <v>12</v>
      </c>
      <c r="D1116" t="s">
        <v>152</v>
      </c>
      <c r="E1116" t="s">
        <v>34</v>
      </c>
      <c r="F1116">
        <v>620599</v>
      </c>
      <c r="G1116" s="6">
        <v>0</v>
      </c>
      <c r="H1116" t="s">
        <v>50</v>
      </c>
      <c r="I1116">
        <v>10685340</v>
      </c>
      <c r="J1116">
        <v>4</v>
      </c>
      <c r="K1116">
        <v>55</v>
      </c>
      <c r="L1116">
        <v>55</v>
      </c>
      <c r="M1116">
        <v>875</v>
      </c>
      <c r="N1116" s="2">
        <v>72000</v>
      </c>
      <c r="O1116" s="2">
        <v>1125</v>
      </c>
      <c r="P1116" s="2">
        <v>750</v>
      </c>
      <c r="Q1116" s="2">
        <v>3500</v>
      </c>
      <c r="R1116" s="2">
        <v>3600</v>
      </c>
      <c r="S1116">
        <v>198</v>
      </c>
      <c r="T1116" s="2">
        <v>36750</v>
      </c>
      <c r="U1116" s="2">
        <v>35250</v>
      </c>
      <c r="V1116">
        <v>192.5</v>
      </c>
      <c r="W1116">
        <v>0</v>
      </c>
      <c r="X1116">
        <v>5</v>
      </c>
      <c r="Y1116">
        <v>2.5974025974025976E-2</v>
      </c>
      <c r="Z1116">
        <v>10</v>
      </c>
      <c r="AA1116">
        <v>5.1948051948051951E-2</v>
      </c>
      <c r="AB1116">
        <v>29</v>
      </c>
      <c r="AC1116">
        <v>7.0486111111111107</v>
      </c>
      <c r="AD1116">
        <v>28</v>
      </c>
      <c r="AE1116" s="7"/>
      <c r="AF1116" s="7"/>
      <c r="AG1116" s="7"/>
      <c r="AH1116" s="7"/>
      <c r="AI1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4.9513888888888893</v>
      </c>
      <c r="AJ1116" s="7"/>
      <c r="AK1116" t="s">
        <v>659</v>
      </c>
      <c r="AL1116">
        <v>4</v>
      </c>
      <c r="AM1116">
        <v>2</v>
      </c>
      <c r="AN1116">
        <f>IFERROR(INT(Table13[[#This Row],[reject_prod]]/Table13[[#This Row],[part_weight]] * 1000), 0)</f>
        <v>181</v>
      </c>
    </row>
    <row r="1117" spans="1:40" hidden="1">
      <c r="A1117" s="1">
        <v>46056</v>
      </c>
      <c r="B1117">
        <v>1</v>
      </c>
      <c r="C1117">
        <v>13</v>
      </c>
      <c r="D1117" t="s">
        <v>61</v>
      </c>
      <c r="E1117" t="s">
        <v>46</v>
      </c>
      <c r="F1117">
        <v>586276</v>
      </c>
      <c r="G1117" s="6">
        <v>2</v>
      </c>
      <c r="H1117" t="s">
        <v>47</v>
      </c>
      <c r="I1117">
        <v>10686191</v>
      </c>
      <c r="J1117">
        <v>6</v>
      </c>
      <c r="K1117">
        <v>12.3</v>
      </c>
      <c r="L1117">
        <v>12.3</v>
      </c>
      <c r="M1117">
        <v>1364</v>
      </c>
      <c r="N1117" s="2">
        <v>162000</v>
      </c>
      <c r="O1117" s="2">
        <v>0</v>
      </c>
      <c r="P1117" s="2">
        <v>0</v>
      </c>
      <c r="Q1117" s="2">
        <v>8184</v>
      </c>
      <c r="R1117" s="2">
        <v>8100</v>
      </c>
      <c r="S1117">
        <v>99.63</v>
      </c>
      <c r="T1117" s="2">
        <v>48600</v>
      </c>
      <c r="U1117" s="2">
        <v>113400</v>
      </c>
      <c r="V1117">
        <v>100.66320000000002</v>
      </c>
      <c r="W1117">
        <v>0</v>
      </c>
      <c r="X1117">
        <v>1</v>
      </c>
      <c r="Y1117">
        <v>9.9341169364772809E-3</v>
      </c>
      <c r="Z1117">
        <v>0</v>
      </c>
      <c r="AA1117">
        <v>0</v>
      </c>
      <c r="AB1117">
        <v>26.2</v>
      </c>
      <c r="AC1117">
        <v>9.9268888888888895</v>
      </c>
      <c r="AD1117">
        <v>26</v>
      </c>
      <c r="AE1117" s="7"/>
      <c r="AF1117" s="7"/>
      <c r="AG1117" s="7"/>
      <c r="AH1117" s="7"/>
      <c r="AI1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2.0731111111111105</v>
      </c>
      <c r="AJ1117" s="7"/>
      <c r="AK1117" t="s">
        <v>657</v>
      </c>
      <c r="AL1117">
        <v>1</v>
      </c>
      <c r="AM1117">
        <v>1</v>
      </c>
      <c r="AN1117">
        <f>IFERROR(INT(Table13[[#This Row],[reject_prod]]/Table13[[#This Row],[part_weight]] * 1000), 0)</f>
        <v>0</v>
      </c>
    </row>
    <row r="1118" spans="1:40" hidden="1">
      <c r="A1118" s="1">
        <v>46056</v>
      </c>
      <c r="B1118">
        <v>1</v>
      </c>
      <c r="C1118">
        <v>14</v>
      </c>
      <c r="D1118" t="s">
        <v>33</v>
      </c>
      <c r="E1118" t="s">
        <v>46</v>
      </c>
      <c r="F1118">
        <v>555979</v>
      </c>
      <c r="G1118" s="6">
        <v>1</v>
      </c>
      <c r="H1118" t="s">
        <v>52</v>
      </c>
      <c r="I1118" t="s">
        <v>490</v>
      </c>
      <c r="J1118">
        <v>6</v>
      </c>
      <c r="K1118">
        <v>28</v>
      </c>
      <c r="L1118">
        <v>28</v>
      </c>
      <c r="M1118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>
        <v>0</v>
      </c>
      <c r="T1118" s="2">
        <v>0</v>
      </c>
      <c r="U1118" s="2">
        <v>0</v>
      </c>
      <c r="V1118">
        <v>0</v>
      </c>
      <c r="W1118">
        <v>0</v>
      </c>
      <c r="X1118">
        <v>20.5</v>
      </c>
      <c r="Y1118" t="e">
        <v>#DIV/0!</v>
      </c>
      <c r="Z1118">
        <v>0</v>
      </c>
      <c r="AA1118" t="e">
        <v>#DIV/0!</v>
      </c>
      <c r="AB1118">
        <v>43</v>
      </c>
      <c r="AC1118">
        <v>0</v>
      </c>
      <c r="AD1118">
        <v>42</v>
      </c>
      <c r="AE1118" s="7"/>
      <c r="AF1118" s="7"/>
      <c r="AG1118" s="7"/>
      <c r="AH1118" s="7"/>
      <c r="AI1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18" s="7"/>
      <c r="AK1118" t="s">
        <v>593</v>
      </c>
      <c r="AL1118">
        <v>1</v>
      </c>
      <c r="AM1118">
        <v>1</v>
      </c>
      <c r="AN1118">
        <f>IFERROR(INT(Table13[[#This Row],[reject_prod]]/Table13[[#This Row],[part_weight]] * 1000), 0)</f>
        <v>0</v>
      </c>
    </row>
    <row r="1119" spans="1:40" hidden="1">
      <c r="A1119" s="1">
        <v>46056</v>
      </c>
      <c r="B1119">
        <v>1</v>
      </c>
      <c r="C1119">
        <v>15</v>
      </c>
      <c r="D1119" t="s">
        <v>61</v>
      </c>
      <c r="E1119" t="s">
        <v>46</v>
      </c>
      <c r="F1119">
        <v>552181</v>
      </c>
      <c r="G1119" s="6">
        <v>2</v>
      </c>
      <c r="H1119" t="s">
        <v>49</v>
      </c>
      <c r="I1119">
        <v>10685541</v>
      </c>
      <c r="J1119">
        <v>6</v>
      </c>
      <c r="K1119">
        <v>18.8</v>
      </c>
      <c r="L1119">
        <v>18.8</v>
      </c>
      <c r="M1119">
        <v>1269</v>
      </c>
      <c r="N1119" s="2">
        <v>108000</v>
      </c>
      <c r="O1119" s="2">
        <v>2700</v>
      </c>
      <c r="P1119" s="2">
        <v>4860</v>
      </c>
      <c r="Q1119" s="2">
        <v>7614</v>
      </c>
      <c r="R1119" s="2">
        <v>5400</v>
      </c>
      <c r="S1119">
        <v>101.52</v>
      </c>
      <c r="T1119" s="2">
        <v>64260</v>
      </c>
      <c r="U1119" s="2">
        <v>43740</v>
      </c>
      <c r="V1119">
        <v>143.14320000000001</v>
      </c>
      <c r="W1119">
        <v>0</v>
      </c>
      <c r="X1119">
        <v>1</v>
      </c>
      <c r="Y1119">
        <v>6.9860112111507916E-3</v>
      </c>
      <c r="Z1119">
        <v>0</v>
      </c>
      <c r="AA1119">
        <v>0</v>
      </c>
      <c r="AB1119">
        <v>31.2</v>
      </c>
      <c r="AC1119">
        <v>10.997999999999999</v>
      </c>
      <c r="AD1119">
        <v>27</v>
      </c>
      <c r="AE1119" s="7"/>
      <c r="AF1119" s="7"/>
      <c r="AG1119" s="7"/>
      <c r="AH1119" s="7"/>
      <c r="AI1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1.0020000000000007</v>
      </c>
      <c r="AJ1119" s="7"/>
      <c r="AK1119" t="s">
        <v>657</v>
      </c>
      <c r="AL1119">
        <v>1</v>
      </c>
      <c r="AM1119">
        <v>1</v>
      </c>
      <c r="AN1119">
        <f>IFERROR(INT(Table13[[#This Row],[reject_prod]]/Table13[[#This Row],[part_weight]] * 1000), 0)</f>
        <v>0</v>
      </c>
    </row>
    <row r="1120" spans="1:40" s="4" customFormat="1" hidden="1">
      <c r="A1120" s="3">
        <v>46056</v>
      </c>
      <c r="B1120" s="4">
        <v>1</v>
      </c>
      <c r="C1120" s="4">
        <v>16</v>
      </c>
      <c r="D1120" s="4" t="s">
        <v>649</v>
      </c>
      <c r="E1120" s="4" t="s">
        <v>46</v>
      </c>
      <c r="F1120" s="4">
        <v>555979</v>
      </c>
      <c r="G1120" s="9">
        <v>2</v>
      </c>
      <c r="H1120" s="4" t="s">
        <v>52</v>
      </c>
      <c r="I1120" s="4">
        <v>10685814</v>
      </c>
      <c r="J1120" s="4">
        <v>6</v>
      </c>
      <c r="K1120" s="4">
        <v>28</v>
      </c>
      <c r="L1120" s="4">
        <v>28</v>
      </c>
      <c r="M1120" s="4">
        <v>339</v>
      </c>
      <c r="N1120" s="5">
        <v>100800</v>
      </c>
      <c r="O1120" s="5">
        <v>2388</v>
      </c>
      <c r="P1120" s="5">
        <v>1008</v>
      </c>
      <c r="Q1120" s="5">
        <v>2034</v>
      </c>
      <c r="R1120" s="5">
        <v>3360</v>
      </c>
      <c r="S1120" s="4">
        <v>94.08</v>
      </c>
      <c r="T1120" s="5">
        <v>7728</v>
      </c>
      <c r="U1120" s="5">
        <v>93072</v>
      </c>
      <c r="V1120" s="4">
        <v>56.951999999999998</v>
      </c>
      <c r="W1120" s="4">
        <v>0</v>
      </c>
      <c r="X1120" s="4">
        <v>1</v>
      </c>
      <c r="Y1120" s="4">
        <v>1.755864587722995E-2</v>
      </c>
      <c r="Z1120" s="4">
        <v>0.5</v>
      </c>
      <c r="AA1120" s="4">
        <v>8.7793229386149748E-3</v>
      </c>
      <c r="AB1120" s="4">
        <v>43.5</v>
      </c>
      <c r="AC1120" s="4">
        <v>4.0962499999999995</v>
      </c>
      <c r="AD1120" s="4">
        <v>42</v>
      </c>
      <c r="AE1120" s="8"/>
      <c r="AF1120" s="8"/>
      <c r="AG1120" s="8"/>
      <c r="AH1120" s="8">
        <v>6</v>
      </c>
      <c r="AI112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1.9037500000000005</v>
      </c>
      <c r="AJ1120" s="8"/>
      <c r="AK1120" s="4" t="s">
        <v>660</v>
      </c>
      <c r="AL1120" s="4">
        <v>3</v>
      </c>
      <c r="AM1120" s="4">
        <v>2</v>
      </c>
      <c r="AN1120">
        <f>IFERROR(INT(Table13[[#This Row],[reject_prod]]/Table13[[#This Row],[part_weight]] * 1000), 0)</f>
        <v>17</v>
      </c>
    </row>
    <row r="1121" spans="1:40" hidden="1">
      <c r="A1121" s="1">
        <v>46056</v>
      </c>
      <c r="B1121">
        <v>2</v>
      </c>
      <c r="C1121">
        <v>1</v>
      </c>
      <c r="D1121" t="s">
        <v>84</v>
      </c>
      <c r="E1121" t="s">
        <v>34</v>
      </c>
      <c r="F1121">
        <v>347623</v>
      </c>
      <c r="G1121" s="6">
        <v>0</v>
      </c>
      <c r="H1121" t="s">
        <v>35</v>
      </c>
      <c r="I1121">
        <v>10686028</v>
      </c>
      <c r="J1121">
        <v>4</v>
      </c>
      <c r="K1121">
        <v>35.6</v>
      </c>
      <c r="L1121">
        <v>35.6</v>
      </c>
      <c r="M1121">
        <v>1610</v>
      </c>
      <c r="N1121" s="2">
        <v>20240</v>
      </c>
      <c r="O1121" s="2">
        <v>1288</v>
      </c>
      <c r="P1121" s="2">
        <v>368</v>
      </c>
      <c r="Q1121" s="2">
        <v>6440</v>
      </c>
      <c r="R1121" s="2">
        <v>7360</v>
      </c>
      <c r="S1121">
        <v>262.01600000000002</v>
      </c>
      <c r="T1121" s="2">
        <v>7360</v>
      </c>
      <c r="U1121" s="2">
        <v>12880</v>
      </c>
      <c r="V1121">
        <v>229.26400000000001</v>
      </c>
      <c r="W1121">
        <v>0</v>
      </c>
      <c r="X1121">
        <v>0</v>
      </c>
      <c r="Y1121">
        <v>0</v>
      </c>
      <c r="Z1121">
        <v>3</v>
      </c>
      <c r="AA1121">
        <v>1.3085351385302533E-2</v>
      </c>
      <c r="AB1121">
        <v>27</v>
      </c>
      <c r="AC1121">
        <v>12</v>
      </c>
      <c r="AD1121">
        <v>27</v>
      </c>
      <c r="AE1121" s="7"/>
      <c r="AF1121" s="7"/>
      <c r="AG1121" s="7"/>
      <c r="AH1121" s="7"/>
      <c r="AI1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21" s="7"/>
      <c r="AK1121" t="s">
        <v>539</v>
      </c>
      <c r="AN1121">
        <f>IFERROR(INT(Table13[[#This Row],[reject_prod]]/Table13[[#This Row],[part_weight]] * 1000), 0)</f>
        <v>84</v>
      </c>
    </row>
    <row r="1122" spans="1:40" hidden="1">
      <c r="A1122" s="1">
        <v>46056</v>
      </c>
      <c r="B1122">
        <v>2</v>
      </c>
      <c r="C1122">
        <v>2</v>
      </c>
      <c r="D1122" t="s">
        <v>650</v>
      </c>
      <c r="E1122" t="s">
        <v>34</v>
      </c>
      <c r="F1122">
        <v>416201</v>
      </c>
      <c r="G1122" s="6">
        <v>0</v>
      </c>
      <c r="H1122" t="s">
        <v>36</v>
      </c>
      <c r="I1122">
        <v>10681779</v>
      </c>
      <c r="J1122">
        <v>4</v>
      </c>
      <c r="K1122">
        <v>20</v>
      </c>
      <c r="L1122">
        <v>30</v>
      </c>
      <c r="M1122">
        <v>1365</v>
      </c>
      <c r="N1122" s="2">
        <v>50400</v>
      </c>
      <c r="O1122" s="2">
        <v>3360</v>
      </c>
      <c r="P1122" s="2">
        <v>3780</v>
      </c>
      <c r="Q1122" s="2">
        <v>5460</v>
      </c>
      <c r="R1122" s="2">
        <v>5040</v>
      </c>
      <c r="S1122">
        <v>151.19999999999999</v>
      </c>
      <c r="T1122" s="2">
        <v>49140</v>
      </c>
      <c r="U1122" s="2">
        <v>1260</v>
      </c>
      <c r="V1122">
        <v>163.80000000000001</v>
      </c>
      <c r="W1122">
        <v>-54.6</v>
      </c>
      <c r="X1122">
        <v>0</v>
      </c>
      <c r="Y1122">
        <v>0</v>
      </c>
      <c r="Z1122">
        <v>2</v>
      </c>
      <c r="AA1122">
        <v>1.221001221001221E-2</v>
      </c>
      <c r="AB1122">
        <v>31.6</v>
      </c>
      <c r="AC1122">
        <v>11.981666666666667</v>
      </c>
      <c r="AD1122">
        <v>38.64</v>
      </c>
      <c r="AE1122" s="7"/>
      <c r="AF1122" s="7"/>
      <c r="AG1122" s="7"/>
      <c r="AH1122" s="7"/>
      <c r="AI1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1.8333333333332646E-2</v>
      </c>
      <c r="AJ1122" s="7"/>
      <c r="AK1122" t="s">
        <v>540</v>
      </c>
      <c r="AN1122">
        <f>IFERROR(INT(Table13[[#This Row],[reject_prod]]/Table13[[#This Row],[part_weight]] * 1000), 0)</f>
        <v>66</v>
      </c>
    </row>
    <row r="1123" spans="1:40" hidden="1">
      <c r="A1123" s="1">
        <v>46056</v>
      </c>
      <c r="B1123">
        <v>2</v>
      </c>
      <c r="C1123">
        <v>3</v>
      </c>
      <c r="D1123" t="s">
        <v>54</v>
      </c>
      <c r="E1123" t="s">
        <v>34</v>
      </c>
      <c r="F1123">
        <v>442034</v>
      </c>
      <c r="G1123" s="6">
        <v>0</v>
      </c>
      <c r="H1123" t="s">
        <v>37</v>
      </c>
      <c r="I1123">
        <v>10685633</v>
      </c>
      <c r="J1123">
        <v>4</v>
      </c>
      <c r="K1123">
        <v>23</v>
      </c>
      <c r="L1123">
        <v>23</v>
      </c>
      <c r="M1123">
        <v>1440</v>
      </c>
      <c r="N1123" s="2">
        <v>139776</v>
      </c>
      <c r="O1123" s="2">
        <v>384</v>
      </c>
      <c r="P1123" s="2">
        <v>1536</v>
      </c>
      <c r="Q1123" s="2">
        <v>5760</v>
      </c>
      <c r="R1123" s="2">
        <v>4608</v>
      </c>
      <c r="S1123">
        <v>105.98399999999999</v>
      </c>
      <c r="T1123" s="2">
        <v>10752</v>
      </c>
      <c r="U1123" s="2">
        <v>129024</v>
      </c>
      <c r="V1123">
        <v>132.47999999999999</v>
      </c>
      <c r="W1123">
        <v>0</v>
      </c>
      <c r="X1123">
        <v>0</v>
      </c>
      <c r="Y1123">
        <v>0</v>
      </c>
      <c r="Z1123">
        <v>2.6</v>
      </c>
      <c r="AA1123">
        <v>1.9625603864734303E-2</v>
      </c>
      <c r="AB1123">
        <v>29.2</v>
      </c>
      <c r="AC1123">
        <v>11.68</v>
      </c>
      <c r="AD1123">
        <v>22</v>
      </c>
      <c r="AE1123" s="7"/>
      <c r="AF1123" s="7"/>
      <c r="AG1123" s="7"/>
      <c r="AH1123" s="7"/>
      <c r="AI1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0.32000000000000028</v>
      </c>
      <c r="AJ1123" s="7"/>
      <c r="AK1123" t="s">
        <v>103</v>
      </c>
      <c r="AN1123">
        <f>IFERROR(INT(Table13[[#This Row],[reject_prod]]/Table13[[#This Row],[part_weight]] * 1000), 0)</f>
        <v>113</v>
      </c>
    </row>
    <row r="1124" spans="1:40" hidden="1">
      <c r="A1124" s="1">
        <v>46056</v>
      </c>
      <c r="B1124">
        <v>2</v>
      </c>
      <c r="C1124">
        <v>4</v>
      </c>
      <c r="D1124" t="s">
        <v>289</v>
      </c>
      <c r="E1124" t="s">
        <v>34</v>
      </c>
      <c r="F1124">
        <v>414439</v>
      </c>
      <c r="G1124" s="6">
        <v>0</v>
      </c>
      <c r="H1124" t="s">
        <v>587</v>
      </c>
      <c r="I1124">
        <v>10684854</v>
      </c>
      <c r="J1124">
        <v>6</v>
      </c>
      <c r="K1124">
        <v>23</v>
      </c>
      <c r="L1124">
        <v>15</v>
      </c>
      <c r="M1124">
        <v>2156</v>
      </c>
      <c r="N1124" s="2">
        <v>59136</v>
      </c>
      <c r="O1124" s="2">
        <v>0</v>
      </c>
      <c r="P1124" s="2">
        <v>5544</v>
      </c>
      <c r="Q1124" s="2">
        <v>12936</v>
      </c>
      <c r="R1124" s="2">
        <v>7392</v>
      </c>
      <c r="S1124">
        <v>110.88</v>
      </c>
      <c r="T1124" s="2">
        <v>27720</v>
      </c>
      <c r="U1124" s="2">
        <v>31416</v>
      </c>
      <c r="V1124">
        <v>194.04</v>
      </c>
      <c r="W1124">
        <v>103.488</v>
      </c>
      <c r="X1124">
        <v>0</v>
      </c>
      <c r="Y1124">
        <v>0</v>
      </c>
      <c r="Z1124">
        <v>5.8</v>
      </c>
      <c r="AA1124">
        <v>2.9890744176458463E-2</v>
      </c>
      <c r="AB1124">
        <v>20</v>
      </c>
      <c r="AC1124">
        <v>11.977777777777778</v>
      </c>
      <c r="AD1124">
        <v>15</v>
      </c>
      <c r="AE1124" s="7"/>
      <c r="AF1124" s="7"/>
      <c r="AG1124" s="7"/>
      <c r="AH1124" s="7"/>
      <c r="AI1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2.2222222222222143E-2</v>
      </c>
      <c r="AJ1124" s="7"/>
      <c r="AK1124" t="s">
        <v>103</v>
      </c>
      <c r="AN1124">
        <f>IFERROR(INT(Table13[[#This Row],[reject_prod]]/Table13[[#This Row],[part_weight]] * 1000), 0)</f>
        <v>386</v>
      </c>
    </row>
    <row r="1125" spans="1:40" hidden="1">
      <c r="A1125" s="1">
        <v>46056</v>
      </c>
      <c r="B1125">
        <v>2</v>
      </c>
      <c r="C1125">
        <v>5</v>
      </c>
      <c r="D1125" t="s">
        <v>33</v>
      </c>
      <c r="E1125" t="s">
        <v>34</v>
      </c>
      <c r="F1125">
        <v>322448</v>
      </c>
      <c r="G1125" s="6">
        <v>0</v>
      </c>
      <c r="H1125" t="s">
        <v>654</v>
      </c>
      <c r="I1125">
        <v>10686572</v>
      </c>
      <c r="J1125">
        <v>4</v>
      </c>
      <c r="K1125">
        <v>40</v>
      </c>
      <c r="L1125">
        <v>40</v>
      </c>
      <c r="M1125">
        <v>0</v>
      </c>
      <c r="N1125" s="2">
        <v>58320</v>
      </c>
      <c r="O1125" s="2">
        <v>0</v>
      </c>
      <c r="P1125" s="2">
        <v>0</v>
      </c>
      <c r="Q1125" s="2">
        <v>0</v>
      </c>
      <c r="R1125" s="2">
        <v>0</v>
      </c>
      <c r="S1125">
        <v>0</v>
      </c>
      <c r="T1125" s="2">
        <v>0</v>
      </c>
      <c r="U1125" s="2">
        <v>58320</v>
      </c>
      <c r="V1125">
        <v>0</v>
      </c>
      <c r="W1125">
        <v>0</v>
      </c>
      <c r="X1125">
        <v>4</v>
      </c>
      <c r="Y1125" t="e">
        <v>#DIV/0!</v>
      </c>
      <c r="Z1125">
        <v>0</v>
      </c>
      <c r="AA1125" t="e">
        <v>#DIV/0!</v>
      </c>
      <c r="AB1125">
        <v>21.9</v>
      </c>
      <c r="AC1125">
        <v>0</v>
      </c>
      <c r="AD1125">
        <v>23</v>
      </c>
      <c r="AE1125" s="7"/>
      <c r="AF1125" s="7"/>
      <c r="AG1125" s="7"/>
      <c r="AH1125" s="7"/>
      <c r="AI1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5" s="7"/>
      <c r="AK1125" t="s">
        <v>661</v>
      </c>
      <c r="AN1125">
        <f>IFERROR(INT(Table13[[#This Row],[reject_prod]]/Table13[[#This Row],[part_weight]] * 1000), 0)</f>
        <v>0</v>
      </c>
    </row>
    <row r="1126" spans="1:40" hidden="1">
      <c r="A1126" s="1">
        <v>46056</v>
      </c>
      <c r="B1126">
        <v>2</v>
      </c>
      <c r="C1126">
        <v>6</v>
      </c>
      <c r="D1126" t="s">
        <v>33</v>
      </c>
      <c r="E1126" t="s">
        <v>34</v>
      </c>
      <c r="F1126">
        <v>322422</v>
      </c>
      <c r="G1126" s="6">
        <v>0</v>
      </c>
      <c r="H1126" t="s">
        <v>656</v>
      </c>
      <c r="I1126">
        <v>10685442</v>
      </c>
      <c r="J1126">
        <v>4</v>
      </c>
      <c r="K1126">
        <v>34</v>
      </c>
      <c r="L1126">
        <v>34</v>
      </c>
      <c r="M1126">
        <v>0</v>
      </c>
      <c r="N1126" s="2">
        <v>9000</v>
      </c>
      <c r="O1126" s="2">
        <v>0</v>
      </c>
      <c r="P1126" s="2">
        <v>0</v>
      </c>
      <c r="Q1126" s="2">
        <v>0</v>
      </c>
      <c r="R1126" s="2">
        <v>0</v>
      </c>
      <c r="S1126">
        <v>0</v>
      </c>
      <c r="T1126" s="2">
        <v>0</v>
      </c>
      <c r="U1126" s="2">
        <v>9000</v>
      </c>
      <c r="V1126">
        <v>0</v>
      </c>
      <c r="W1126">
        <v>0</v>
      </c>
      <c r="X1126">
        <v>0</v>
      </c>
      <c r="Y1126" t="e">
        <v>#DIV/0!</v>
      </c>
      <c r="Z1126">
        <v>0</v>
      </c>
      <c r="AA1126" t="e">
        <v>#DIV/0!</v>
      </c>
      <c r="AB1126">
        <v>21.3</v>
      </c>
      <c r="AC1126">
        <v>0</v>
      </c>
      <c r="AD1126">
        <v>21.68</v>
      </c>
      <c r="AE1126" s="7"/>
      <c r="AF1126" s="7"/>
      <c r="AG1126" s="7"/>
      <c r="AH1126" s="7"/>
      <c r="AI1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6" s="7"/>
      <c r="AK1126" t="s">
        <v>655</v>
      </c>
      <c r="AN1126">
        <f>IFERROR(INT(Table13[[#This Row],[reject_prod]]/Table13[[#This Row],[part_weight]] * 1000), 0)</f>
        <v>0</v>
      </c>
    </row>
    <row r="1127" spans="1:40" hidden="1">
      <c r="A1127" s="1">
        <v>46056</v>
      </c>
      <c r="B1127">
        <v>2</v>
      </c>
      <c r="C1127">
        <v>7</v>
      </c>
      <c r="D1127" t="s">
        <v>33</v>
      </c>
      <c r="E1127" t="s">
        <v>34</v>
      </c>
      <c r="F1127">
        <v>322444</v>
      </c>
      <c r="G1127" s="6">
        <v>0</v>
      </c>
      <c r="H1127" t="s">
        <v>636</v>
      </c>
      <c r="I1127">
        <v>10684856</v>
      </c>
      <c r="J1127">
        <v>4</v>
      </c>
      <c r="K1127">
        <v>32.74</v>
      </c>
      <c r="L1127">
        <v>34.5</v>
      </c>
      <c r="M1127">
        <v>0</v>
      </c>
      <c r="N1127" s="2">
        <v>16240</v>
      </c>
      <c r="O1127" s="2">
        <v>789</v>
      </c>
      <c r="P1127" s="2">
        <v>789</v>
      </c>
      <c r="Q1127" s="2">
        <v>0</v>
      </c>
      <c r="R1127" s="2">
        <v>0</v>
      </c>
      <c r="S1127">
        <v>0</v>
      </c>
      <c r="T1127" s="2">
        <v>12157</v>
      </c>
      <c r="U1127" s="2">
        <v>4083</v>
      </c>
      <c r="V1127">
        <v>0</v>
      </c>
      <c r="W1127">
        <v>0</v>
      </c>
      <c r="X1127">
        <v>8.3000000000000007</v>
      </c>
      <c r="Y1127" t="e">
        <v>#DIV/0!</v>
      </c>
      <c r="Z1127">
        <v>0</v>
      </c>
      <c r="AA1127" t="e">
        <v>#DIV/0!</v>
      </c>
      <c r="AB1127">
        <v>24.1</v>
      </c>
      <c r="AC1127">
        <v>0</v>
      </c>
      <c r="AD1127">
        <v>23</v>
      </c>
      <c r="AE1127" s="7"/>
      <c r="AF1127" s="7"/>
      <c r="AG1127" s="7"/>
      <c r="AH1127" s="7"/>
      <c r="AI1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7" s="7"/>
      <c r="AK1127" t="s">
        <v>662</v>
      </c>
      <c r="AN1127">
        <f>IFERROR(INT(Table13[[#This Row],[reject_prod]]/Table13[[#This Row],[part_weight]] * 1000), 0)</f>
        <v>0</v>
      </c>
    </row>
    <row r="1128" spans="1:40" hidden="1">
      <c r="A1128" s="1">
        <v>46056</v>
      </c>
      <c r="B1128">
        <v>2</v>
      </c>
      <c r="C1128">
        <v>8</v>
      </c>
      <c r="D1128" t="s">
        <v>651</v>
      </c>
      <c r="E1128" t="s">
        <v>41</v>
      </c>
      <c r="F1128">
        <v>593537</v>
      </c>
      <c r="G1128" s="6">
        <v>0</v>
      </c>
      <c r="H1128" t="s">
        <v>48</v>
      </c>
      <c r="I1128">
        <v>10685337</v>
      </c>
      <c r="J1128">
        <v>4</v>
      </c>
      <c r="K1128">
        <v>56.5</v>
      </c>
      <c r="L1128">
        <v>56.8</v>
      </c>
      <c r="M1128">
        <v>432</v>
      </c>
      <c r="N1128" s="2">
        <v>69000</v>
      </c>
      <c r="O1128" s="2">
        <v>0</v>
      </c>
      <c r="P1128" s="2">
        <v>0</v>
      </c>
      <c r="Q1128" s="2">
        <v>1728</v>
      </c>
      <c r="R1128" s="2">
        <v>1725</v>
      </c>
      <c r="S1128">
        <v>97.98</v>
      </c>
      <c r="T1128" s="2">
        <v>69000</v>
      </c>
      <c r="U1128" s="2">
        <v>0</v>
      </c>
      <c r="V1128">
        <v>98.150399999999991</v>
      </c>
      <c r="W1128">
        <v>-0.51839999999999509</v>
      </c>
      <c r="X1128">
        <v>0</v>
      </c>
      <c r="Y1128">
        <v>0</v>
      </c>
      <c r="Z1128">
        <v>0</v>
      </c>
      <c r="AA1128">
        <v>0</v>
      </c>
      <c r="AB1128">
        <v>30.5</v>
      </c>
      <c r="AC1128">
        <v>3.66</v>
      </c>
      <c r="AD1128">
        <v>28.5</v>
      </c>
      <c r="AE1128" s="7"/>
      <c r="AF1128" s="7"/>
      <c r="AG1128" s="7"/>
      <c r="AH1128" s="7"/>
      <c r="AI1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8.34</v>
      </c>
      <c r="AJ1128" s="7"/>
      <c r="AK1128" t="s">
        <v>102</v>
      </c>
      <c r="AN1128">
        <f>IFERROR(INT(Table13[[#This Row],[reject_prod]]/Table13[[#This Row],[part_weight]] * 1000), 0)</f>
        <v>0</v>
      </c>
    </row>
    <row r="1129" spans="1:40" hidden="1">
      <c r="A1129" s="1">
        <v>46056</v>
      </c>
      <c r="B1129">
        <v>2</v>
      </c>
      <c r="C1129">
        <v>8</v>
      </c>
      <c r="D1129" t="s">
        <v>651</v>
      </c>
      <c r="E1129" t="s">
        <v>41</v>
      </c>
      <c r="F1129">
        <v>593537</v>
      </c>
      <c r="G1129" s="6">
        <v>0</v>
      </c>
      <c r="H1129" t="s">
        <v>48</v>
      </c>
      <c r="I1129">
        <v>10685813</v>
      </c>
      <c r="J1129">
        <v>4</v>
      </c>
      <c r="K1129">
        <v>56.5</v>
      </c>
      <c r="L1129">
        <v>56.8</v>
      </c>
      <c r="M1129">
        <v>1007</v>
      </c>
      <c r="N1129" s="2">
        <v>69000</v>
      </c>
      <c r="O1129" s="2">
        <v>0</v>
      </c>
      <c r="P1129" s="2">
        <v>0</v>
      </c>
      <c r="Q1129" s="2">
        <v>4028</v>
      </c>
      <c r="R1129" s="2">
        <v>4025</v>
      </c>
      <c r="S1129">
        <v>228.62</v>
      </c>
      <c r="T1129" s="2">
        <v>4025</v>
      </c>
      <c r="U1129" s="2">
        <v>64975</v>
      </c>
      <c r="V1129">
        <v>228.79040000000001</v>
      </c>
      <c r="W1129">
        <v>-1.2083999999999886</v>
      </c>
      <c r="X1129">
        <v>0</v>
      </c>
      <c r="Y1129">
        <v>0</v>
      </c>
      <c r="Z1129">
        <v>2</v>
      </c>
      <c r="AA1129">
        <v>8.7416255227492062E-3</v>
      </c>
      <c r="AB1129">
        <v>30.5</v>
      </c>
      <c r="AC1129">
        <v>8.5315277777777787</v>
      </c>
      <c r="AD1129">
        <v>28.5</v>
      </c>
      <c r="AE1129" s="7"/>
      <c r="AF1129" s="7"/>
      <c r="AG1129" s="7"/>
      <c r="AH1129" s="7"/>
      <c r="AI1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3.4684722222222213</v>
      </c>
      <c r="AJ1129" s="7"/>
      <c r="AK1129" t="s">
        <v>178</v>
      </c>
      <c r="AN1129">
        <f>IFERROR(INT(Table13[[#This Row],[reject_prod]]/Table13[[#This Row],[part_weight]] * 1000), 0)</f>
        <v>35</v>
      </c>
    </row>
    <row r="1130" spans="1:40" hidden="1">
      <c r="A1130" s="1">
        <v>46056</v>
      </c>
      <c r="B1130">
        <v>2</v>
      </c>
      <c r="C1130">
        <v>9</v>
      </c>
      <c r="D1130" t="s">
        <v>88</v>
      </c>
      <c r="E1130" t="s">
        <v>46</v>
      </c>
      <c r="F1130">
        <v>586276</v>
      </c>
      <c r="G1130" s="6">
        <v>1</v>
      </c>
      <c r="H1130" t="s">
        <v>47</v>
      </c>
      <c r="I1130">
        <v>10682924</v>
      </c>
      <c r="J1130">
        <v>6</v>
      </c>
      <c r="K1130">
        <v>12.3</v>
      </c>
      <c r="L1130">
        <v>12.3</v>
      </c>
      <c r="M1130">
        <v>877</v>
      </c>
      <c r="N1130" s="2">
        <v>162000</v>
      </c>
      <c r="O1130" s="2">
        <v>2835</v>
      </c>
      <c r="P1130" s="2">
        <v>0</v>
      </c>
      <c r="Q1130" s="2">
        <v>5262</v>
      </c>
      <c r="R1130" s="2">
        <v>8100</v>
      </c>
      <c r="S1130">
        <v>99.63</v>
      </c>
      <c r="T1130" s="2">
        <v>162000</v>
      </c>
      <c r="U1130" s="2">
        <v>0</v>
      </c>
      <c r="V1130">
        <v>64.7226</v>
      </c>
      <c r="W1130">
        <v>0</v>
      </c>
      <c r="X1130">
        <v>0</v>
      </c>
      <c r="Y1130">
        <v>0</v>
      </c>
      <c r="Z1130">
        <v>1</v>
      </c>
      <c r="AA1130">
        <v>1.545055359333525E-2</v>
      </c>
      <c r="AB1130">
        <v>26.6</v>
      </c>
      <c r="AC1130">
        <v>6.4800555555555555</v>
      </c>
      <c r="AD1130">
        <v>26</v>
      </c>
      <c r="AE1130" s="7"/>
      <c r="AF1130" s="7"/>
      <c r="AG1130" s="7"/>
      <c r="AH1130" s="7"/>
      <c r="AI1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5.5199444444444445</v>
      </c>
      <c r="AJ1130" s="7"/>
      <c r="AK1130" t="s">
        <v>102</v>
      </c>
      <c r="AN1130">
        <f>IFERROR(INT(Table13[[#This Row],[reject_prod]]/Table13[[#This Row],[part_weight]] * 1000), 0)</f>
        <v>81</v>
      </c>
    </row>
    <row r="1131" spans="1:40" hidden="1">
      <c r="A1131" s="1">
        <v>46056</v>
      </c>
      <c r="B1131">
        <v>2</v>
      </c>
      <c r="C1131">
        <v>9</v>
      </c>
      <c r="D1131" t="s">
        <v>88</v>
      </c>
      <c r="E1131" t="s">
        <v>46</v>
      </c>
      <c r="F1131">
        <v>586276</v>
      </c>
      <c r="G1131" s="6">
        <v>1</v>
      </c>
      <c r="H1131" t="s">
        <v>47</v>
      </c>
      <c r="I1131">
        <v>10683781</v>
      </c>
      <c r="J1131">
        <v>6</v>
      </c>
      <c r="K1131">
        <v>12.3</v>
      </c>
      <c r="L1131">
        <v>12.3</v>
      </c>
      <c r="M1131">
        <v>743</v>
      </c>
      <c r="N1131" s="2">
        <v>162000</v>
      </c>
      <c r="O1131" s="2">
        <v>0</v>
      </c>
      <c r="P1131" s="2">
        <v>4455</v>
      </c>
      <c r="Q1131" s="2">
        <v>4458</v>
      </c>
      <c r="R1131" s="2">
        <v>0</v>
      </c>
      <c r="S1131">
        <v>0</v>
      </c>
      <c r="T1131" s="2">
        <v>4455</v>
      </c>
      <c r="U1131" s="2">
        <v>157545</v>
      </c>
      <c r="V1131">
        <v>54.833400000000005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26.6</v>
      </c>
      <c r="AC1131">
        <v>5.4899444444444452</v>
      </c>
      <c r="AD1131">
        <v>26</v>
      </c>
      <c r="AE1131" s="7"/>
      <c r="AF1131" s="7"/>
      <c r="AG1131" s="7"/>
      <c r="AH1131" s="7"/>
      <c r="AI1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6.5100555555555548</v>
      </c>
      <c r="AJ1131" s="7"/>
      <c r="AK1131" t="s">
        <v>51</v>
      </c>
      <c r="AN1131">
        <f>IFERROR(INT(Table13[[#This Row],[reject_prod]]/Table13[[#This Row],[part_weight]] * 1000), 0)</f>
        <v>0</v>
      </c>
    </row>
    <row r="1132" spans="1:40" hidden="1">
      <c r="A1132" s="1">
        <v>46056</v>
      </c>
      <c r="B1132">
        <v>2</v>
      </c>
      <c r="C1132">
        <v>10</v>
      </c>
      <c r="D1132" t="s">
        <v>53</v>
      </c>
      <c r="E1132" t="s">
        <v>34</v>
      </c>
      <c r="F1132">
        <v>323133</v>
      </c>
      <c r="G1132" s="6">
        <v>0</v>
      </c>
      <c r="H1132" t="s">
        <v>568</v>
      </c>
      <c r="I1132">
        <v>10685638</v>
      </c>
      <c r="J1132">
        <v>4</v>
      </c>
      <c r="K1132">
        <v>77</v>
      </c>
      <c r="L1132">
        <v>77</v>
      </c>
      <c r="M1132">
        <v>1000</v>
      </c>
      <c r="N1132" s="2">
        <v>13248</v>
      </c>
      <c r="O1132" s="2">
        <v>69</v>
      </c>
      <c r="P1132" s="2">
        <v>138</v>
      </c>
      <c r="Q1132" s="2">
        <v>4000</v>
      </c>
      <c r="R1132" s="2">
        <v>3864</v>
      </c>
      <c r="S1132">
        <v>297.52800000000002</v>
      </c>
      <c r="T1132" s="2">
        <v>8142</v>
      </c>
      <c r="U1132" s="2">
        <v>5106</v>
      </c>
      <c r="V1132">
        <v>308</v>
      </c>
      <c r="W1132">
        <v>0</v>
      </c>
      <c r="X1132">
        <v>0</v>
      </c>
      <c r="Y1132">
        <v>0</v>
      </c>
      <c r="Z1132">
        <v>16.2</v>
      </c>
      <c r="AA1132">
        <v>5.2597402597402594E-2</v>
      </c>
      <c r="AB1132">
        <v>38.6</v>
      </c>
      <c r="AC1132">
        <v>10.722222222222223</v>
      </c>
      <c r="AD1132">
        <v>35</v>
      </c>
      <c r="AE1132" s="7"/>
      <c r="AF1132" s="7"/>
      <c r="AG1132" s="7"/>
      <c r="AH1132" s="7"/>
      <c r="AI1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1.2777777777777768</v>
      </c>
      <c r="AJ1132" s="7"/>
      <c r="AK1132" t="s">
        <v>663</v>
      </c>
      <c r="AN1132">
        <f>IFERROR(INT(Table13[[#This Row],[reject_prod]]/Table13[[#This Row],[part_weight]] * 1000), 0)</f>
        <v>210</v>
      </c>
    </row>
    <row r="1133" spans="1:40" hidden="1">
      <c r="A1133" s="1">
        <v>46056</v>
      </c>
      <c r="B1133">
        <v>2</v>
      </c>
      <c r="C1133">
        <v>11</v>
      </c>
      <c r="D1133" t="s">
        <v>59</v>
      </c>
      <c r="E1133" t="s">
        <v>46</v>
      </c>
      <c r="F1133">
        <v>552181</v>
      </c>
      <c r="G1133" s="6">
        <v>1</v>
      </c>
      <c r="H1133" t="s">
        <v>49</v>
      </c>
      <c r="I1133">
        <v>10685338</v>
      </c>
      <c r="J1133">
        <v>6</v>
      </c>
      <c r="K1133">
        <v>18.8</v>
      </c>
      <c r="L1133">
        <v>18.8</v>
      </c>
      <c r="M1133">
        <v>1410</v>
      </c>
      <c r="N1133" s="2">
        <v>108000</v>
      </c>
      <c r="O1133" s="2">
        <v>810</v>
      </c>
      <c r="P1133" s="2">
        <v>3780</v>
      </c>
      <c r="Q1133" s="2">
        <v>8460</v>
      </c>
      <c r="R1133" s="2">
        <v>5400</v>
      </c>
      <c r="S1133">
        <v>101.52</v>
      </c>
      <c r="T1133" s="2">
        <v>84780</v>
      </c>
      <c r="U1133" s="2">
        <v>23220</v>
      </c>
      <c r="V1133">
        <v>159.048</v>
      </c>
      <c r="W1133">
        <v>0</v>
      </c>
      <c r="X1133">
        <v>0</v>
      </c>
      <c r="Y1133">
        <v>0</v>
      </c>
      <c r="Z1133">
        <v>4.5</v>
      </c>
      <c r="AA1133">
        <v>2.8293345405160705E-2</v>
      </c>
      <c r="AB1133">
        <v>29</v>
      </c>
      <c r="AC1133">
        <v>11.358333333333333</v>
      </c>
      <c r="AD1133">
        <v>27</v>
      </c>
      <c r="AE1133" s="7"/>
      <c r="AF1133" s="7"/>
      <c r="AG1133" s="7"/>
      <c r="AH1133" s="7"/>
      <c r="AI1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0.6416666666666675</v>
      </c>
      <c r="AJ1133" s="7"/>
      <c r="AK1133" t="s">
        <v>57</v>
      </c>
      <c r="AN1133">
        <f>IFERROR(INT(Table13[[#This Row],[reject_prod]]/Table13[[#This Row],[part_weight]] * 1000), 0)</f>
        <v>239</v>
      </c>
    </row>
    <row r="1134" spans="1:40" hidden="1">
      <c r="A1134" s="1">
        <v>46056</v>
      </c>
      <c r="B1134">
        <v>2</v>
      </c>
      <c r="C1134">
        <v>12</v>
      </c>
      <c r="D1134" t="s">
        <v>56</v>
      </c>
      <c r="E1134" t="s">
        <v>34</v>
      </c>
      <c r="F1134">
        <v>620599</v>
      </c>
      <c r="G1134" s="6">
        <v>0</v>
      </c>
      <c r="H1134" t="s">
        <v>50</v>
      </c>
      <c r="I1134">
        <v>10685340</v>
      </c>
      <c r="J1134">
        <v>4</v>
      </c>
      <c r="K1134">
        <v>55</v>
      </c>
      <c r="L1134">
        <v>55</v>
      </c>
      <c r="M1134">
        <v>1400</v>
      </c>
      <c r="N1134" s="2">
        <v>72000</v>
      </c>
      <c r="O1134" s="2">
        <v>750</v>
      </c>
      <c r="P1134" s="2">
        <v>950</v>
      </c>
      <c r="Q1134" s="2">
        <v>5600</v>
      </c>
      <c r="R1134" s="2">
        <v>5400</v>
      </c>
      <c r="S1134">
        <v>297</v>
      </c>
      <c r="T1134" s="2">
        <v>42300</v>
      </c>
      <c r="U1134" s="2">
        <v>29700</v>
      </c>
      <c r="V1134">
        <v>308</v>
      </c>
      <c r="W1134">
        <v>0</v>
      </c>
      <c r="X1134">
        <v>0</v>
      </c>
      <c r="Y1134">
        <v>0</v>
      </c>
      <c r="Z1134">
        <v>21</v>
      </c>
      <c r="AA1134">
        <v>6.8181818181818177E-2</v>
      </c>
      <c r="AB1134">
        <v>29</v>
      </c>
      <c r="AC1134">
        <v>11.277777777777777</v>
      </c>
      <c r="AD1134">
        <v>28</v>
      </c>
      <c r="AE1134" s="7"/>
      <c r="AF1134" s="7"/>
      <c r="AG1134" s="7"/>
      <c r="AH1134" s="7"/>
      <c r="AI1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0.72222222222222321</v>
      </c>
      <c r="AJ1134" s="7"/>
      <c r="AK1134" t="s">
        <v>664</v>
      </c>
      <c r="AN1134">
        <f>IFERROR(INT(Table13[[#This Row],[reject_prod]]/Table13[[#This Row],[part_weight]] * 1000), 0)</f>
        <v>381</v>
      </c>
    </row>
    <row r="1135" spans="1:40" hidden="1">
      <c r="A1135" s="1">
        <v>46056</v>
      </c>
      <c r="B1135">
        <v>2</v>
      </c>
      <c r="C1135">
        <v>13</v>
      </c>
      <c r="D1135" t="s">
        <v>59</v>
      </c>
      <c r="E1135" t="s">
        <v>46</v>
      </c>
      <c r="F1135">
        <v>586276</v>
      </c>
      <c r="G1135" s="6">
        <v>2</v>
      </c>
      <c r="H1135" t="s">
        <v>47</v>
      </c>
      <c r="I1135">
        <v>10686191</v>
      </c>
      <c r="J1135">
        <v>6</v>
      </c>
      <c r="K1135">
        <v>12.3</v>
      </c>
      <c r="L1135">
        <v>12.3</v>
      </c>
      <c r="M1135">
        <v>1630</v>
      </c>
      <c r="N1135" s="2">
        <v>162000</v>
      </c>
      <c r="O1135" s="2">
        <v>0</v>
      </c>
      <c r="P1135" s="2">
        <v>1620</v>
      </c>
      <c r="Q1135" s="2">
        <v>9780</v>
      </c>
      <c r="R1135" s="2">
        <v>8100</v>
      </c>
      <c r="S1135">
        <v>99.63</v>
      </c>
      <c r="T1135" s="2">
        <v>58320</v>
      </c>
      <c r="U1135" s="2">
        <v>103680</v>
      </c>
      <c r="V1135">
        <v>120.294</v>
      </c>
      <c r="W1135">
        <v>0</v>
      </c>
      <c r="X1135">
        <v>0</v>
      </c>
      <c r="Y1135">
        <v>0</v>
      </c>
      <c r="Z1135">
        <v>1</v>
      </c>
      <c r="AA1135">
        <v>8.3129665652484745E-3</v>
      </c>
      <c r="AB1135">
        <v>26.2</v>
      </c>
      <c r="AC1135">
        <v>11.862777777777778</v>
      </c>
      <c r="AD1135">
        <v>26</v>
      </c>
      <c r="AE1135" s="7"/>
      <c r="AF1135" s="7"/>
      <c r="AG1135" s="7"/>
      <c r="AH1135" s="7"/>
      <c r="AI1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1135" s="7"/>
      <c r="AK1135" t="s">
        <v>51</v>
      </c>
      <c r="AN1135">
        <f>IFERROR(INT(Table13[[#This Row],[reject_prod]]/Table13[[#This Row],[part_weight]] * 1000), 0)</f>
        <v>81</v>
      </c>
    </row>
    <row r="1136" spans="1:40" hidden="1">
      <c r="A1136" s="1">
        <v>46056</v>
      </c>
      <c r="B1136">
        <v>2</v>
      </c>
      <c r="C1136">
        <v>14</v>
      </c>
      <c r="D1136" t="s">
        <v>33</v>
      </c>
      <c r="E1136" t="s">
        <v>46</v>
      </c>
      <c r="F1136">
        <v>555979</v>
      </c>
      <c r="G1136" s="6">
        <v>1</v>
      </c>
      <c r="H1136" t="s">
        <v>52</v>
      </c>
      <c r="I1136" t="s">
        <v>490</v>
      </c>
      <c r="J1136">
        <v>6</v>
      </c>
      <c r="K1136">
        <v>28</v>
      </c>
      <c r="L1136">
        <v>28</v>
      </c>
      <c r="M1136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>
        <v>0</v>
      </c>
      <c r="T1136" s="2">
        <v>0</v>
      </c>
      <c r="U1136" s="2">
        <v>0</v>
      </c>
      <c r="V1136">
        <v>0</v>
      </c>
      <c r="W1136">
        <v>0</v>
      </c>
      <c r="X1136">
        <v>0</v>
      </c>
      <c r="Y1136" t="e">
        <v>#DIV/0!</v>
      </c>
      <c r="Z1136">
        <v>0</v>
      </c>
      <c r="AA1136" t="e">
        <v>#DIV/0!</v>
      </c>
      <c r="AB1136">
        <v>43</v>
      </c>
      <c r="AC1136">
        <v>0</v>
      </c>
      <c r="AD1136">
        <v>42</v>
      </c>
      <c r="AE1136" s="7"/>
      <c r="AF1136" s="7"/>
      <c r="AG1136" s="7"/>
      <c r="AH1136" s="7"/>
      <c r="AI1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36" s="7"/>
      <c r="AK1136" t="s">
        <v>593</v>
      </c>
      <c r="AN1136">
        <f>IFERROR(INT(Table13[[#This Row],[reject_prod]]/Table13[[#This Row],[part_weight]] * 1000), 0)</f>
        <v>0</v>
      </c>
    </row>
    <row r="1137" spans="1:40" hidden="1">
      <c r="A1137" s="1">
        <v>46056</v>
      </c>
      <c r="B1137">
        <v>2</v>
      </c>
      <c r="C1137">
        <v>15</v>
      </c>
      <c r="D1137" t="s">
        <v>59</v>
      </c>
      <c r="E1137" t="s">
        <v>46</v>
      </c>
      <c r="F1137">
        <v>552181</v>
      </c>
      <c r="G1137" s="6">
        <v>2</v>
      </c>
      <c r="H1137" t="s">
        <v>49</v>
      </c>
      <c r="I1137">
        <v>10685541</v>
      </c>
      <c r="J1137">
        <v>6</v>
      </c>
      <c r="K1137">
        <v>18.8</v>
      </c>
      <c r="L1137">
        <v>18.8</v>
      </c>
      <c r="M1137">
        <v>1395</v>
      </c>
      <c r="N1137" s="2">
        <v>108000</v>
      </c>
      <c r="O1137" s="2">
        <v>4860</v>
      </c>
      <c r="P1137" s="2">
        <v>2430</v>
      </c>
      <c r="Q1137" s="2">
        <v>8370</v>
      </c>
      <c r="R1137" s="2">
        <v>10800</v>
      </c>
      <c r="S1137">
        <v>203.04</v>
      </c>
      <c r="T1137" s="2">
        <v>72630</v>
      </c>
      <c r="U1137" s="2">
        <v>35370</v>
      </c>
      <c r="V1137">
        <v>157.35599999999999</v>
      </c>
      <c r="W1137">
        <v>0</v>
      </c>
      <c r="X1137">
        <v>0</v>
      </c>
      <c r="Y1137">
        <v>0</v>
      </c>
      <c r="Z1137">
        <v>1</v>
      </c>
      <c r="AA1137">
        <v>6.3550166501436236E-3</v>
      </c>
      <c r="AB1137">
        <v>31.2</v>
      </c>
      <c r="AC1137">
        <v>12</v>
      </c>
      <c r="AD1137">
        <v>27</v>
      </c>
      <c r="AE1137" s="7"/>
      <c r="AF1137" s="7"/>
      <c r="AG1137" s="7"/>
      <c r="AH1137" s="7"/>
      <c r="AI1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37" s="7"/>
      <c r="AK1137" t="s">
        <v>51</v>
      </c>
      <c r="AN1137">
        <f>IFERROR(INT(Table13[[#This Row],[reject_prod]]/Table13[[#This Row],[part_weight]] * 1000), 0)</f>
        <v>53</v>
      </c>
    </row>
    <row r="1138" spans="1:40" hidden="1">
      <c r="A1138" s="1">
        <v>46056</v>
      </c>
      <c r="B1138">
        <v>2</v>
      </c>
      <c r="C1138">
        <v>16</v>
      </c>
      <c r="D1138" t="s">
        <v>652</v>
      </c>
      <c r="E1138" t="s">
        <v>46</v>
      </c>
      <c r="F1138">
        <v>555979</v>
      </c>
      <c r="G1138" s="6">
        <v>2</v>
      </c>
      <c r="H1138" t="s">
        <v>52</v>
      </c>
      <c r="I1138">
        <v>10685814</v>
      </c>
      <c r="J1138">
        <v>6</v>
      </c>
      <c r="K1138">
        <v>28</v>
      </c>
      <c r="L1138">
        <v>28</v>
      </c>
      <c r="M1138">
        <v>952</v>
      </c>
      <c r="N1138" s="2">
        <v>100800</v>
      </c>
      <c r="O1138" s="2">
        <v>1008</v>
      </c>
      <c r="P1138" s="2">
        <v>0</v>
      </c>
      <c r="Q1138" s="2">
        <v>5712</v>
      </c>
      <c r="R1138" s="2">
        <v>6720</v>
      </c>
      <c r="S1138">
        <v>188.16</v>
      </c>
      <c r="T1138" s="2">
        <v>13440</v>
      </c>
      <c r="U1138" s="2">
        <v>87360</v>
      </c>
      <c r="V1138">
        <v>159.93600000000001</v>
      </c>
      <c r="W1138">
        <v>0</v>
      </c>
      <c r="X1138">
        <v>0</v>
      </c>
      <c r="Y1138">
        <v>0</v>
      </c>
      <c r="Z1138">
        <v>5</v>
      </c>
      <c r="AA1138">
        <v>3.1262505002000798E-2</v>
      </c>
      <c r="AB1138">
        <v>43.5</v>
      </c>
      <c r="AC1138">
        <v>11.503333333333334</v>
      </c>
      <c r="AD1138">
        <v>42</v>
      </c>
      <c r="AE1138" s="7"/>
      <c r="AF1138" s="7"/>
      <c r="AG1138" s="7"/>
      <c r="AH1138" s="7"/>
      <c r="AI1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0.49666666666666615</v>
      </c>
      <c r="AJ1138" s="7"/>
      <c r="AK1138" t="s">
        <v>665</v>
      </c>
      <c r="AN1138">
        <f>IFERROR(INT(Table13[[#This Row],[reject_prod]]/Table13[[#This Row],[part_weight]] * 1000), 0)</f>
        <v>178</v>
      </c>
    </row>
    <row r="1139" spans="1:40" s="4" customFormat="1" hidden="1">
      <c r="A1139" s="3">
        <v>46056</v>
      </c>
      <c r="B1139" s="4">
        <v>2</v>
      </c>
      <c r="C1139" s="4">
        <v>16</v>
      </c>
      <c r="D1139" s="4" t="s">
        <v>652</v>
      </c>
      <c r="E1139" s="4" t="s">
        <v>46</v>
      </c>
      <c r="F1139" s="4">
        <v>555979</v>
      </c>
      <c r="G1139" s="9">
        <v>2</v>
      </c>
      <c r="H1139" s="4" t="s">
        <v>52</v>
      </c>
      <c r="I1139" s="4" t="s">
        <v>490</v>
      </c>
      <c r="J1139" s="4">
        <v>6</v>
      </c>
      <c r="K1139" s="4">
        <v>28</v>
      </c>
      <c r="L1139" s="4">
        <v>28</v>
      </c>
      <c r="M1139" s="4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4">
        <v>0</v>
      </c>
      <c r="T1139" s="5">
        <v>0</v>
      </c>
      <c r="U1139" s="5">
        <v>0</v>
      </c>
      <c r="V1139" s="4">
        <v>0</v>
      </c>
      <c r="W1139" s="4">
        <v>0</v>
      </c>
      <c r="X1139" s="4">
        <v>0</v>
      </c>
      <c r="Y1139" s="4" t="e">
        <v>#DIV/0!</v>
      </c>
      <c r="Z1139" s="4">
        <v>0</v>
      </c>
      <c r="AA1139" s="4" t="e">
        <v>#DIV/0!</v>
      </c>
      <c r="AB1139" s="4">
        <v>43.5</v>
      </c>
      <c r="AC1139" s="4">
        <v>0</v>
      </c>
      <c r="AD1139" s="4">
        <v>42</v>
      </c>
      <c r="AE1139" s="8"/>
      <c r="AF1139" s="8"/>
      <c r="AG1139" s="8"/>
      <c r="AH1139" s="8"/>
      <c r="AI1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39" s="8"/>
      <c r="AK1139" s="4" t="s">
        <v>666</v>
      </c>
      <c r="AN1139">
        <f>IFERROR(INT(Table13[[#This Row],[reject_prod]]/Table13[[#This Row],[part_weight]] * 1000), 0)</f>
        <v>0</v>
      </c>
    </row>
    <row r="1140" spans="1:40" hidden="1">
      <c r="A1140" s="1">
        <v>46057</v>
      </c>
      <c r="B1140">
        <v>1</v>
      </c>
      <c r="C1140">
        <v>1</v>
      </c>
      <c r="D1140" t="s">
        <v>67</v>
      </c>
      <c r="E1140" t="s">
        <v>34</v>
      </c>
      <c r="F1140">
        <v>347623</v>
      </c>
      <c r="G1140" s="6">
        <v>0</v>
      </c>
      <c r="H1140" t="s">
        <v>35</v>
      </c>
      <c r="I1140">
        <v>10686028</v>
      </c>
      <c r="J1140">
        <v>4</v>
      </c>
      <c r="K1140">
        <v>35.6</v>
      </c>
      <c r="L1140">
        <v>35.6</v>
      </c>
      <c r="M1140">
        <v>1566</v>
      </c>
      <c r="N1140" s="2">
        <v>20240</v>
      </c>
      <c r="O1140" s="2">
        <v>368</v>
      </c>
      <c r="P1140" s="2">
        <v>1104</v>
      </c>
      <c r="Q1140" s="2">
        <v>6264</v>
      </c>
      <c r="R1140" s="2">
        <v>5520</v>
      </c>
      <c r="S1140">
        <v>196.512</v>
      </c>
      <c r="T1140" s="2">
        <v>13984</v>
      </c>
      <c r="U1140" s="2">
        <v>6256</v>
      </c>
      <c r="V1140">
        <v>222.99840000000003</v>
      </c>
      <c r="W1140">
        <v>0</v>
      </c>
      <c r="X1140">
        <v>0</v>
      </c>
      <c r="Y1140">
        <v>0</v>
      </c>
      <c r="Z1140">
        <v>3.5</v>
      </c>
      <c r="AA1140">
        <v>1.5695179875730048E-2</v>
      </c>
      <c r="AB1140">
        <v>27</v>
      </c>
      <c r="AC1140">
        <v>11.744999999999999</v>
      </c>
      <c r="AD1140">
        <v>27</v>
      </c>
      <c r="AE1140" s="7"/>
      <c r="AF1140" s="7"/>
      <c r="AG1140" s="7"/>
      <c r="AH1140" s="7"/>
      <c r="AI1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1140" s="7"/>
      <c r="AK1140" t="s">
        <v>539</v>
      </c>
      <c r="AN1140">
        <f>IFERROR(INT(Table13[[#This Row],[reject_prod]]/Table13[[#This Row],[part_weight]] * 1000), 0)</f>
        <v>98</v>
      </c>
    </row>
    <row r="1141" spans="1:40" hidden="1">
      <c r="A1141" s="1">
        <v>46057</v>
      </c>
      <c r="B1141">
        <v>1</v>
      </c>
      <c r="C1141">
        <v>2</v>
      </c>
      <c r="D1141" t="s">
        <v>469</v>
      </c>
      <c r="E1141" t="s">
        <v>34</v>
      </c>
      <c r="F1141">
        <v>416201</v>
      </c>
      <c r="G1141" s="6">
        <v>0</v>
      </c>
      <c r="H1141" t="s">
        <v>36</v>
      </c>
      <c r="I1141">
        <v>10681779</v>
      </c>
      <c r="J1141">
        <v>4</v>
      </c>
      <c r="K1141">
        <v>20</v>
      </c>
      <c r="L1141">
        <v>30</v>
      </c>
      <c r="M1141">
        <v>332</v>
      </c>
      <c r="N1141" s="2">
        <v>50400</v>
      </c>
      <c r="O1141" s="2">
        <v>3780</v>
      </c>
      <c r="P1141" s="2">
        <v>0</v>
      </c>
      <c r="Q1141" s="2">
        <v>1328</v>
      </c>
      <c r="R1141" s="2">
        <v>5040</v>
      </c>
      <c r="S1141">
        <v>151.19999999999999</v>
      </c>
      <c r="T1141" s="2">
        <v>50400</v>
      </c>
      <c r="U1141" s="2">
        <v>0</v>
      </c>
      <c r="V1141">
        <v>39.840000000000003</v>
      </c>
      <c r="W1141">
        <v>0</v>
      </c>
      <c r="X1141">
        <v>0</v>
      </c>
      <c r="Y1141">
        <v>0</v>
      </c>
      <c r="Z1141">
        <v>2</v>
      </c>
      <c r="AA1141">
        <v>5.0200803212851398E-2</v>
      </c>
      <c r="AB1141">
        <v>31.6</v>
      </c>
      <c r="AC1141">
        <v>2.9142222222222225</v>
      </c>
      <c r="AD1141">
        <v>38.64</v>
      </c>
      <c r="AE1141" s="7"/>
      <c r="AF1141" s="7"/>
      <c r="AG1141" s="7"/>
      <c r="AH1141" s="7"/>
      <c r="AI1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9.0857777777777784</v>
      </c>
      <c r="AJ1141" s="7"/>
      <c r="AK1141" t="s">
        <v>671</v>
      </c>
      <c r="AN1141">
        <f>IFERROR(INT(Table13[[#This Row],[reject_prod]]/Table13[[#This Row],[part_weight]] * 1000), 0)</f>
        <v>66</v>
      </c>
    </row>
    <row r="1142" spans="1:40" hidden="1">
      <c r="A1142" s="1">
        <v>46057</v>
      </c>
      <c r="B1142">
        <v>1</v>
      </c>
      <c r="C1142">
        <v>2</v>
      </c>
      <c r="D1142" t="s">
        <v>65</v>
      </c>
      <c r="E1142" t="s">
        <v>34</v>
      </c>
      <c r="F1142">
        <v>324163</v>
      </c>
      <c r="G1142" s="6">
        <v>0</v>
      </c>
      <c r="H1142" t="s">
        <v>672</v>
      </c>
      <c r="I1142">
        <v>10684851</v>
      </c>
      <c r="J1142">
        <v>4</v>
      </c>
      <c r="K1142">
        <v>24</v>
      </c>
      <c r="L1142">
        <v>23.5</v>
      </c>
      <c r="M1142">
        <v>148</v>
      </c>
      <c r="N1142" s="2">
        <v>73152</v>
      </c>
      <c r="O1142" s="2">
        <v>0</v>
      </c>
      <c r="P1142" s="2">
        <v>381</v>
      </c>
      <c r="Q1142" s="2">
        <v>592</v>
      </c>
      <c r="R1142" s="2">
        <v>0</v>
      </c>
      <c r="S1142">
        <v>0</v>
      </c>
      <c r="T1142" s="2">
        <v>381</v>
      </c>
      <c r="U1142" s="2">
        <v>72771</v>
      </c>
      <c r="V1142">
        <v>13.912000000000001</v>
      </c>
      <c r="W1142">
        <v>0</v>
      </c>
      <c r="X1142">
        <v>5</v>
      </c>
      <c r="Y1142">
        <v>0.35940195514663598</v>
      </c>
      <c r="Z1142">
        <v>0</v>
      </c>
      <c r="AA1142">
        <v>0</v>
      </c>
      <c r="AB1142">
        <v>22.41</v>
      </c>
      <c r="AC1142">
        <v>0.9212999999999999</v>
      </c>
      <c r="AD1142">
        <v>22.5</v>
      </c>
      <c r="AE1142" s="7"/>
      <c r="AF1142" s="7"/>
      <c r="AG1142" s="7">
        <v>2</v>
      </c>
      <c r="AH1142" s="7"/>
      <c r="AI1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9.0786999999999995</v>
      </c>
      <c r="AJ1142" s="7"/>
      <c r="AK1142" t="s">
        <v>673</v>
      </c>
      <c r="AL1142">
        <v>6</v>
      </c>
      <c r="AM1142">
        <v>6</v>
      </c>
      <c r="AN1142">
        <f>IFERROR(INT(Table13[[#This Row],[reject_prod]]/Table13[[#This Row],[part_weight]] * 1000), 0)</f>
        <v>0</v>
      </c>
    </row>
    <row r="1143" spans="1:40" hidden="1">
      <c r="A1143" s="1">
        <v>46057</v>
      </c>
      <c r="B1143">
        <v>1</v>
      </c>
      <c r="C1143">
        <v>3</v>
      </c>
      <c r="D1143" t="s">
        <v>65</v>
      </c>
      <c r="E1143" t="s">
        <v>34</v>
      </c>
      <c r="F1143">
        <v>442034</v>
      </c>
      <c r="G1143" s="6">
        <v>0</v>
      </c>
      <c r="H1143" t="s">
        <v>37</v>
      </c>
      <c r="I1143">
        <v>10685633</v>
      </c>
      <c r="J1143">
        <v>4</v>
      </c>
      <c r="K1143">
        <v>23</v>
      </c>
      <c r="L1143">
        <v>23</v>
      </c>
      <c r="M1143">
        <v>1490</v>
      </c>
      <c r="N1143" s="2">
        <v>139776</v>
      </c>
      <c r="O1143" s="2">
        <v>1536</v>
      </c>
      <c r="P1143" s="2">
        <v>3072</v>
      </c>
      <c r="Q1143" s="2">
        <v>5960</v>
      </c>
      <c r="R1143" s="2">
        <v>4608</v>
      </c>
      <c r="S1143">
        <v>105.98399999999999</v>
      </c>
      <c r="T1143" s="2">
        <v>16896</v>
      </c>
      <c r="U1143" s="2">
        <v>122880</v>
      </c>
      <c r="V1143">
        <v>137.08000000000001</v>
      </c>
      <c r="W1143">
        <v>0</v>
      </c>
      <c r="X1143">
        <v>0</v>
      </c>
      <c r="Y1143">
        <v>0</v>
      </c>
      <c r="Z1143">
        <v>1</v>
      </c>
      <c r="AA1143">
        <v>7.2950102130142974E-3</v>
      </c>
      <c r="AB1143">
        <v>29.2</v>
      </c>
      <c r="AC1143">
        <v>12</v>
      </c>
      <c r="AD1143">
        <v>22</v>
      </c>
      <c r="AE1143" s="7"/>
      <c r="AF1143" s="7"/>
      <c r="AG1143" s="7"/>
      <c r="AH1143" s="7"/>
      <c r="AI1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43" s="7"/>
      <c r="AK1143" t="s">
        <v>214</v>
      </c>
      <c r="AN1143">
        <f>IFERROR(INT(Table13[[#This Row],[reject_prod]]/Table13[[#This Row],[part_weight]] * 1000), 0)</f>
        <v>43</v>
      </c>
    </row>
    <row r="1144" spans="1:40" hidden="1">
      <c r="A1144" s="1">
        <v>46057</v>
      </c>
      <c r="B1144">
        <v>1</v>
      </c>
      <c r="C1144">
        <v>4</v>
      </c>
      <c r="D1144" t="s">
        <v>152</v>
      </c>
      <c r="E1144" t="s">
        <v>34</v>
      </c>
      <c r="F1144">
        <v>414439</v>
      </c>
      <c r="G1144" s="6">
        <v>0</v>
      </c>
      <c r="H1144" t="s">
        <v>587</v>
      </c>
      <c r="I1144">
        <v>10684854</v>
      </c>
      <c r="J1144">
        <v>6</v>
      </c>
      <c r="K1144">
        <v>23</v>
      </c>
      <c r="L1144">
        <v>15</v>
      </c>
      <c r="M1144">
        <v>2160</v>
      </c>
      <c r="N1144" s="2">
        <v>59136</v>
      </c>
      <c r="O1144" s="2">
        <v>5544</v>
      </c>
      <c r="P1144" s="2">
        <v>3696</v>
      </c>
      <c r="Q1144" s="2">
        <v>12960</v>
      </c>
      <c r="R1144" s="2">
        <v>14784</v>
      </c>
      <c r="S1144">
        <v>221.76</v>
      </c>
      <c r="T1144" s="2">
        <v>40656</v>
      </c>
      <c r="U1144" s="2">
        <v>18480</v>
      </c>
      <c r="V1144">
        <v>194.4</v>
      </c>
      <c r="W1144">
        <v>0</v>
      </c>
      <c r="X1144">
        <v>0</v>
      </c>
      <c r="Y1144">
        <v>0</v>
      </c>
      <c r="Z1144">
        <v>3.6</v>
      </c>
      <c r="AA1144">
        <v>1.8518518518518517E-2</v>
      </c>
      <c r="AB1144">
        <v>20</v>
      </c>
      <c r="AC1144">
        <v>12</v>
      </c>
      <c r="AD1144">
        <v>15</v>
      </c>
      <c r="AE1144" s="7"/>
      <c r="AF1144" s="7"/>
      <c r="AG1144" s="7"/>
      <c r="AH1144" s="7"/>
      <c r="AI1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44" s="7"/>
      <c r="AK1144" t="s">
        <v>103</v>
      </c>
      <c r="AN1144">
        <f>IFERROR(INT(Table13[[#This Row],[reject_prod]]/Table13[[#This Row],[part_weight]] * 1000), 0)</f>
        <v>240</v>
      </c>
    </row>
    <row r="1145" spans="1:40" hidden="1">
      <c r="A1145" s="1">
        <v>46057</v>
      </c>
      <c r="B1145">
        <v>1</v>
      </c>
      <c r="C1145">
        <v>5</v>
      </c>
      <c r="D1145" t="s">
        <v>667</v>
      </c>
      <c r="E1145" t="s">
        <v>34</v>
      </c>
      <c r="F1145">
        <v>322448</v>
      </c>
      <c r="G1145" s="6">
        <v>0</v>
      </c>
      <c r="H1145" t="s">
        <v>654</v>
      </c>
      <c r="I1145">
        <v>10686572</v>
      </c>
      <c r="J1145">
        <v>4</v>
      </c>
      <c r="K1145">
        <v>40</v>
      </c>
      <c r="L1145">
        <v>40</v>
      </c>
      <c r="M1145">
        <v>67</v>
      </c>
      <c r="N1145" s="2">
        <v>58320</v>
      </c>
      <c r="O1145" s="2">
        <v>0</v>
      </c>
      <c r="P1145" s="2">
        <v>162</v>
      </c>
      <c r="Q1145" s="2">
        <v>268</v>
      </c>
      <c r="R1145" s="2">
        <v>0</v>
      </c>
      <c r="S1145">
        <v>0</v>
      </c>
      <c r="T1145" s="2">
        <v>162</v>
      </c>
      <c r="U1145" s="2">
        <v>58158</v>
      </c>
      <c r="V1145">
        <v>10.72</v>
      </c>
      <c r="W1145">
        <v>0</v>
      </c>
      <c r="X1145">
        <v>3.6</v>
      </c>
      <c r="Y1145">
        <v>0.33582089552238803</v>
      </c>
      <c r="Z1145">
        <v>0</v>
      </c>
      <c r="AA1145">
        <v>0</v>
      </c>
      <c r="AB1145">
        <v>28.6</v>
      </c>
      <c r="AC1145">
        <v>0.53227777777777785</v>
      </c>
      <c r="AD1145">
        <v>23</v>
      </c>
      <c r="AE1145" s="7"/>
      <c r="AF1145" s="7"/>
      <c r="AG1145" s="7"/>
      <c r="AH1145" s="7"/>
      <c r="AI1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11.467722222222221</v>
      </c>
      <c r="AJ1145" s="7"/>
      <c r="AK1145" t="s">
        <v>674</v>
      </c>
      <c r="AL1145">
        <v>9</v>
      </c>
      <c r="AM1145">
        <v>15</v>
      </c>
      <c r="AN1145">
        <f>IFERROR(INT(Table13[[#This Row],[reject_prod]]/Table13[[#This Row],[part_weight]] * 1000), 0)</f>
        <v>0</v>
      </c>
    </row>
    <row r="1146" spans="1:40" hidden="1">
      <c r="A1146" s="1">
        <v>46057</v>
      </c>
      <c r="B1146">
        <v>1</v>
      </c>
      <c r="C1146">
        <v>6</v>
      </c>
      <c r="D1146" t="s">
        <v>33</v>
      </c>
      <c r="E1146" t="s">
        <v>34</v>
      </c>
      <c r="F1146">
        <v>322422</v>
      </c>
      <c r="G1146" s="6">
        <v>0</v>
      </c>
      <c r="H1146" t="s">
        <v>656</v>
      </c>
      <c r="I1146">
        <v>10685442</v>
      </c>
      <c r="J1146">
        <v>4</v>
      </c>
      <c r="K1146">
        <v>34</v>
      </c>
      <c r="L1146">
        <v>34</v>
      </c>
      <c r="M1146">
        <v>0</v>
      </c>
      <c r="N1146" s="2">
        <v>9000</v>
      </c>
      <c r="O1146" s="2">
        <v>0</v>
      </c>
      <c r="P1146" s="2">
        <v>0</v>
      </c>
      <c r="Q1146" s="2">
        <v>0</v>
      </c>
      <c r="R1146" s="2">
        <v>0</v>
      </c>
      <c r="S1146">
        <v>0</v>
      </c>
      <c r="T1146" s="2">
        <v>0</v>
      </c>
      <c r="U1146" s="2">
        <v>9000</v>
      </c>
      <c r="V1146">
        <v>0</v>
      </c>
      <c r="W1146">
        <v>0</v>
      </c>
      <c r="X1146">
        <v>0</v>
      </c>
      <c r="Y1146" t="e">
        <v>#DIV/0!</v>
      </c>
      <c r="Z1146">
        <v>0</v>
      </c>
      <c r="AA1146" t="e">
        <v>#DIV/0!</v>
      </c>
      <c r="AB1146">
        <v>21.3</v>
      </c>
      <c r="AC1146">
        <v>0</v>
      </c>
      <c r="AD1146">
        <v>21.68</v>
      </c>
      <c r="AE1146" s="7"/>
      <c r="AF1146" s="7"/>
      <c r="AG1146" s="7"/>
      <c r="AH1146" s="7"/>
      <c r="AI1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46" s="7"/>
      <c r="AK1146" t="s">
        <v>675</v>
      </c>
      <c r="AL1146">
        <v>4</v>
      </c>
      <c r="AM1146">
        <v>5</v>
      </c>
      <c r="AN1146">
        <f>IFERROR(INT(Table13[[#This Row],[reject_prod]]/Table13[[#This Row],[part_weight]] * 1000), 0)</f>
        <v>0</v>
      </c>
    </row>
    <row r="1147" spans="1:40" hidden="1">
      <c r="A1147" s="1">
        <v>46057</v>
      </c>
      <c r="B1147">
        <v>1</v>
      </c>
      <c r="C1147">
        <v>7</v>
      </c>
      <c r="D1147" t="s">
        <v>469</v>
      </c>
      <c r="E1147" t="s">
        <v>34</v>
      </c>
      <c r="F1147">
        <v>322444</v>
      </c>
      <c r="G1147" s="6">
        <v>0</v>
      </c>
      <c r="H1147" t="s">
        <v>636</v>
      </c>
      <c r="I1147">
        <v>10684856</v>
      </c>
      <c r="J1147">
        <v>4</v>
      </c>
      <c r="K1147">
        <v>32.74</v>
      </c>
      <c r="L1147">
        <v>34.5</v>
      </c>
      <c r="M1147">
        <v>1021</v>
      </c>
      <c r="N1147" s="2">
        <v>16240</v>
      </c>
      <c r="O1147" s="2">
        <v>789</v>
      </c>
      <c r="P1147" s="2">
        <v>0</v>
      </c>
      <c r="Q1147" s="2">
        <v>4084</v>
      </c>
      <c r="R1147" s="2">
        <v>4872</v>
      </c>
      <c r="S1147">
        <v>168.084</v>
      </c>
      <c r="T1147" s="2">
        <v>16240</v>
      </c>
      <c r="U1147" s="2">
        <v>0</v>
      </c>
      <c r="V1147">
        <v>140.898</v>
      </c>
      <c r="W1147">
        <v>0</v>
      </c>
      <c r="X1147">
        <v>0</v>
      </c>
      <c r="Y1147">
        <v>0</v>
      </c>
      <c r="Z1147">
        <v>19</v>
      </c>
      <c r="AA1147">
        <v>0.13484932362418203</v>
      </c>
      <c r="AB1147">
        <v>24.1</v>
      </c>
      <c r="AC1147">
        <v>6.8350277777777784</v>
      </c>
      <c r="AD1147">
        <v>23</v>
      </c>
      <c r="AE1147" s="7"/>
      <c r="AF1147" s="7"/>
      <c r="AG1147" s="7"/>
      <c r="AH1147" s="7"/>
      <c r="AI1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5.1649722222222216</v>
      </c>
      <c r="AJ1147" s="7"/>
      <c r="AK1147" t="s">
        <v>676</v>
      </c>
      <c r="AN1147">
        <f>IFERROR(INT(Table13[[#This Row],[reject_prod]]/Table13[[#This Row],[part_weight]] * 1000), 0)</f>
        <v>550</v>
      </c>
    </row>
    <row r="1148" spans="1:40" hidden="1">
      <c r="A1148" s="1">
        <v>46057</v>
      </c>
      <c r="B1148">
        <v>1</v>
      </c>
      <c r="C1148">
        <v>7</v>
      </c>
      <c r="D1148" t="s">
        <v>469</v>
      </c>
      <c r="E1148" t="s">
        <v>34</v>
      </c>
      <c r="F1148">
        <v>324173</v>
      </c>
      <c r="G1148" s="6">
        <v>0</v>
      </c>
      <c r="H1148" t="s">
        <v>677</v>
      </c>
      <c r="I1148">
        <v>10683859</v>
      </c>
      <c r="J1148">
        <v>4</v>
      </c>
      <c r="K1148">
        <v>34</v>
      </c>
      <c r="L1148">
        <v>34.5</v>
      </c>
      <c r="M1148">
        <v>0</v>
      </c>
      <c r="N1148" s="2">
        <v>42000</v>
      </c>
      <c r="O1148" s="2">
        <v>0</v>
      </c>
      <c r="P1148" s="2">
        <v>0</v>
      </c>
      <c r="Q1148" s="2">
        <v>0</v>
      </c>
      <c r="R1148" s="2">
        <v>0</v>
      </c>
      <c r="S1148">
        <v>0</v>
      </c>
      <c r="T1148" s="2">
        <v>0</v>
      </c>
      <c r="U1148" s="2">
        <v>42000</v>
      </c>
      <c r="V1148">
        <v>0</v>
      </c>
      <c r="W1148">
        <v>0</v>
      </c>
      <c r="X1148">
        <v>0</v>
      </c>
      <c r="Y1148" t="e">
        <v>#DIV/0!</v>
      </c>
      <c r="Z1148">
        <v>0</v>
      </c>
      <c r="AA1148" t="e">
        <v>#DIV/0!</v>
      </c>
      <c r="AB1148">
        <v>24.1</v>
      </c>
      <c r="AC1148">
        <v>0</v>
      </c>
      <c r="AD1148">
        <v>20.399999999999999</v>
      </c>
      <c r="AE1148" s="7"/>
      <c r="AF1148" s="7"/>
      <c r="AG1148" s="7"/>
      <c r="AH1148" s="7"/>
      <c r="AI1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48" s="7"/>
      <c r="AK1148" t="s">
        <v>73</v>
      </c>
      <c r="AL1148">
        <v>2</v>
      </c>
      <c r="AM1148">
        <v>6</v>
      </c>
      <c r="AN1148">
        <f>IFERROR(INT(Table13[[#This Row],[reject_prod]]/Table13[[#This Row],[part_weight]] * 1000), 0)</f>
        <v>0</v>
      </c>
    </row>
    <row r="1149" spans="1:40" hidden="1">
      <c r="A1149" s="1">
        <v>46057</v>
      </c>
      <c r="B1149">
        <v>1</v>
      </c>
      <c r="C1149">
        <v>8</v>
      </c>
      <c r="D1149" t="s">
        <v>668</v>
      </c>
      <c r="E1149" t="s">
        <v>41</v>
      </c>
      <c r="F1149">
        <v>593537</v>
      </c>
      <c r="G1149" s="6">
        <v>0</v>
      </c>
      <c r="H1149" t="s">
        <v>48</v>
      </c>
      <c r="I1149">
        <v>10685813</v>
      </c>
      <c r="J1149">
        <v>4</v>
      </c>
      <c r="K1149">
        <v>56.5</v>
      </c>
      <c r="L1149">
        <v>56.8</v>
      </c>
      <c r="M1149">
        <v>1387</v>
      </c>
      <c r="N1149" s="2">
        <v>69000</v>
      </c>
      <c r="O1149" s="2">
        <v>0</v>
      </c>
      <c r="P1149" s="2">
        <v>460</v>
      </c>
      <c r="Q1149" s="2">
        <v>5548</v>
      </c>
      <c r="R1149" s="2">
        <v>5175</v>
      </c>
      <c r="S1149">
        <v>293.94</v>
      </c>
      <c r="T1149" s="2">
        <v>9660</v>
      </c>
      <c r="U1149" s="2">
        <v>59340</v>
      </c>
      <c r="V1149">
        <v>315.12639999999999</v>
      </c>
      <c r="W1149">
        <v>0</v>
      </c>
      <c r="X1149">
        <v>0</v>
      </c>
      <c r="Y1149">
        <v>0</v>
      </c>
      <c r="Z1149">
        <v>2</v>
      </c>
      <c r="AA1149">
        <v>6.3466596261055885E-3</v>
      </c>
      <c r="AB1149">
        <v>31</v>
      </c>
      <c r="AC1149">
        <v>11.94361111111111</v>
      </c>
      <c r="AD1149">
        <v>28.5</v>
      </c>
      <c r="AE1149" s="7"/>
      <c r="AF1149" s="7"/>
      <c r="AG1149" s="7"/>
      <c r="AH1149" s="7"/>
      <c r="AI1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5.638888888888971E-2</v>
      </c>
      <c r="AJ1149" s="7"/>
      <c r="AK1149" t="s">
        <v>657</v>
      </c>
      <c r="AN1149">
        <f>IFERROR(INT(Table13[[#This Row],[reject_prod]]/Table13[[#This Row],[part_weight]] * 1000), 0)</f>
        <v>35</v>
      </c>
    </row>
    <row r="1150" spans="1:40" hidden="1">
      <c r="A1150" s="1">
        <v>46057</v>
      </c>
      <c r="B1150">
        <v>1</v>
      </c>
      <c r="C1150">
        <v>9</v>
      </c>
      <c r="D1150" t="s">
        <v>141</v>
      </c>
      <c r="E1150" t="s">
        <v>46</v>
      </c>
      <c r="F1150">
        <v>586276</v>
      </c>
      <c r="G1150" s="6">
        <v>1</v>
      </c>
      <c r="H1150" t="s">
        <v>47</v>
      </c>
      <c r="I1150">
        <v>10683781</v>
      </c>
      <c r="J1150">
        <v>6</v>
      </c>
      <c r="K1150">
        <v>12.3</v>
      </c>
      <c r="L1150">
        <v>12.3</v>
      </c>
      <c r="M1150">
        <v>1620</v>
      </c>
      <c r="N1150" s="2">
        <v>162000</v>
      </c>
      <c r="O1150" s="2">
        <v>4455</v>
      </c>
      <c r="P1150" s="2">
        <v>6480</v>
      </c>
      <c r="Q1150" s="2">
        <v>9720</v>
      </c>
      <c r="R1150" s="2">
        <v>8100</v>
      </c>
      <c r="S1150">
        <v>99.63</v>
      </c>
      <c r="T1150" s="2">
        <v>14580</v>
      </c>
      <c r="U1150" s="2">
        <v>147420</v>
      </c>
      <c r="V1150">
        <v>119.556</v>
      </c>
      <c r="W1150">
        <v>0</v>
      </c>
      <c r="X1150">
        <v>0</v>
      </c>
      <c r="Y1150">
        <v>0</v>
      </c>
      <c r="Z1150">
        <v>1</v>
      </c>
      <c r="AA1150">
        <v>8.3642811736759342E-3</v>
      </c>
      <c r="AB1150">
        <v>26.6</v>
      </c>
      <c r="AC1150">
        <v>11.97</v>
      </c>
      <c r="AD1150">
        <v>26</v>
      </c>
      <c r="AE1150" s="7"/>
      <c r="AF1150" s="7"/>
      <c r="AG1150" s="7"/>
      <c r="AH1150" s="7"/>
      <c r="AI1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150" s="7"/>
      <c r="AK1150" t="s">
        <v>480</v>
      </c>
      <c r="AN1150">
        <f>IFERROR(INT(Table13[[#This Row],[reject_prod]]/Table13[[#This Row],[part_weight]] * 1000), 0)</f>
        <v>81</v>
      </c>
    </row>
    <row r="1151" spans="1:40" hidden="1">
      <c r="A1151" s="1">
        <v>46057</v>
      </c>
      <c r="B1151">
        <v>1</v>
      </c>
      <c r="C1151">
        <v>10</v>
      </c>
      <c r="D1151" t="s">
        <v>43</v>
      </c>
      <c r="E1151" t="s">
        <v>34</v>
      </c>
      <c r="F1151">
        <v>323133</v>
      </c>
      <c r="G1151" s="6">
        <v>0</v>
      </c>
      <c r="H1151" t="s">
        <v>568</v>
      </c>
      <c r="I1151">
        <v>10685638</v>
      </c>
      <c r="J1151">
        <v>4</v>
      </c>
      <c r="K1151">
        <v>77</v>
      </c>
      <c r="L1151">
        <v>77</v>
      </c>
      <c r="M1151">
        <v>1057</v>
      </c>
      <c r="N1151" s="2">
        <v>13248</v>
      </c>
      <c r="O1151" s="2">
        <v>138</v>
      </c>
      <c r="P1151" s="2">
        <v>69</v>
      </c>
      <c r="Q1151" s="2">
        <v>4228</v>
      </c>
      <c r="R1151" s="2">
        <v>3588</v>
      </c>
      <c r="S1151">
        <v>276.27600000000001</v>
      </c>
      <c r="T1151" s="2">
        <v>11661</v>
      </c>
      <c r="U1151" s="2">
        <v>1587</v>
      </c>
      <c r="V1151">
        <v>325.55599999999998</v>
      </c>
      <c r="W1151">
        <v>0</v>
      </c>
      <c r="X1151">
        <v>0</v>
      </c>
      <c r="Y1151">
        <v>0</v>
      </c>
      <c r="Z1151">
        <v>43</v>
      </c>
      <c r="AA1151">
        <v>0.1320817309464424</v>
      </c>
      <c r="AB1151">
        <v>38.6</v>
      </c>
      <c r="AC1151">
        <v>11.333388888888891</v>
      </c>
      <c r="AD1151">
        <v>35</v>
      </c>
      <c r="AE1151" s="7"/>
      <c r="AF1151" s="7"/>
      <c r="AG1151" s="7"/>
      <c r="AH1151" s="7"/>
      <c r="AI1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0.66661111111110927</v>
      </c>
      <c r="AJ1151" s="7"/>
      <c r="AK1151" t="s">
        <v>75</v>
      </c>
      <c r="AN1151">
        <f>IFERROR(INT(Table13[[#This Row],[reject_prod]]/Table13[[#This Row],[part_weight]] * 1000), 0)</f>
        <v>558</v>
      </c>
    </row>
    <row r="1152" spans="1:40" hidden="1">
      <c r="A1152" s="1">
        <v>46057</v>
      </c>
      <c r="B1152">
        <v>1</v>
      </c>
      <c r="C1152">
        <v>11</v>
      </c>
      <c r="D1152" t="s">
        <v>112</v>
      </c>
      <c r="E1152" t="s">
        <v>46</v>
      </c>
      <c r="F1152">
        <v>552181</v>
      </c>
      <c r="G1152" s="6">
        <v>1</v>
      </c>
      <c r="H1152" t="s">
        <v>49</v>
      </c>
      <c r="I1152">
        <v>10685338</v>
      </c>
      <c r="J1152">
        <v>6</v>
      </c>
      <c r="K1152">
        <v>18.8</v>
      </c>
      <c r="L1152">
        <v>18.8</v>
      </c>
      <c r="M1152">
        <v>1098</v>
      </c>
      <c r="N1152" s="2">
        <v>108000</v>
      </c>
      <c r="O1152" s="2">
        <v>3780</v>
      </c>
      <c r="P1152" s="2">
        <v>4050</v>
      </c>
      <c r="Q1152" s="2">
        <v>6588</v>
      </c>
      <c r="R1152" s="2">
        <v>16200</v>
      </c>
      <c r="S1152">
        <v>304.56</v>
      </c>
      <c r="T1152" s="2">
        <v>101250</v>
      </c>
      <c r="U1152" s="2">
        <v>6750</v>
      </c>
      <c r="V1152">
        <v>123.85440000000001</v>
      </c>
      <c r="W1152">
        <v>0</v>
      </c>
      <c r="X1152">
        <v>0</v>
      </c>
      <c r="Y1152">
        <v>0</v>
      </c>
      <c r="Z1152">
        <v>10</v>
      </c>
      <c r="AA1152">
        <v>8.0739965637070615E-2</v>
      </c>
      <c r="AB1152">
        <v>29</v>
      </c>
      <c r="AC1152">
        <v>8.8450000000000006</v>
      </c>
      <c r="AD1152">
        <v>27</v>
      </c>
      <c r="AE1152" s="7"/>
      <c r="AF1152" s="7"/>
      <c r="AG1152" s="7"/>
      <c r="AH1152" s="7">
        <v>2</v>
      </c>
      <c r="AI1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1.1549999999999994</v>
      </c>
      <c r="AJ1152" s="7"/>
      <c r="AK1152" t="s">
        <v>678</v>
      </c>
      <c r="AN1152">
        <f>IFERROR(INT(Table13[[#This Row],[reject_prod]]/Table13[[#This Row],[part_weight]] * 1000), 0)</f>
        <v>531</v>
      </c>
    </row>
    <row r="1153" spans="1:40" hidden="1">
      <c r="A1153" s="1">
        <v>46057</v>
      </c>
      <c r="B1153">
        <v>1</v>
      </c>
      <c r="C1153">
        <v>12</v>
      </c>
      <c r="D1153" t="s">
        <v>61</v>
      </c>
      <c r="E1153" t="s">
        <v>34</v>
      </c>
      <c r="F1153">
        <v>620599</v>
      </c>
      <c r="G1153" s="6">
        <v>0</v>
      </c>
      <c r="H1153" t="s">
        <v>50</v>
      </c>
      <c r="I1153">
        <v>10675340</v>
      </c>
      <c r="J1153">
        <v>4</v>
      </c>
      <c r="K1153">
        <v>55</v>
      </c>
      <c r="L1153">
        <v>55</v>
      </c>
      <c r="M1153">
        <v>1422</v>
      </c>
      <c r="N1153" s="2">
        <v>72000</v>
      </c>
      <c r="O1153" s="2">
        <v>950</v>
      </c>
      <c r="P1153" s="2">
        <v>675</v>
      </c>
      <c r="Q1153" s="2">
        <v>5688</v>
      </c>
      <c r="R1153" s="2">
        <v>5400</v>
      </c>
      <c r="S1153">
        <v>297</v>
      </c>
      <c r="T1153" s="2">
        <v>47475</v>
      </c>
      <c r="U1153" s="2">
        <v>24525</v>
      </c>
      <c r="V1153">
        <v>312.83999999999997</v>
      </c>
      <c r="W1153">
        <v>0</v>
      </c>
      <c r="X1153">
        <v>0</v>
      </c>
      <c r="Y1153">
        <v>0</v>
      </c>
      <c r="Z1153">
        <v>27.6</v>
      </c>
      <c r="AA1153">
        <v>8.82240122746452E-2</v>
      </c>
      <c r="AB1153">
        <v>29</v>
      </c>
      <c r="AC1153">
        <v>11.455</v>
      </c>
      <c r="AD1153">
        <v>28</v>
      </c>
      <c r="AE1153" s="7"/>
      <c r="AF1153" s="7"/>
      <c r="AG1153" s="7"/>
      <c r="AH1153" s="7"/>
      <c r="AI1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0.54499999999999993</v>
      </c>
      <c r="AJ1153" s="7"/>
      <c r="AK1153" t="s">
        <v>679</v>
      </c>
      <c r="AN1153">
        <f>IFERROR(INT(Table13[[#This Row],[reject_prod]]/Table13[[#This Row],[part_weight]] * 1000), 0)</f>
        <v>501</v>
      </c>
    </row>
    <row r="1154" spans="1:40" hidden="1">
      <c r="A1154" s="1">
        <v>46057</v>
      </c>
      <c r="B1154">
        <v>1</v>
      </c>
      <c r="C1154">
        <v>13</v>
      </c>
      <c r="D1154" t="s">
        <v>112</v>
      </c>
      <c r="E1154" t="s">
        <v>46</v>
      </c>
      <c r="F1154">
        <v>586276</v>
      </c>
      <c r="G1154" s="6">
        <v>2</v>
      </c>
      <c r="H1154" t="s">
        <v>47</v>
      </c>
      <c r="I1154">
        <v>10686191</v>
      </c>
      <c r="J1154">
        <v>6</v>
      </c>
      <c r="K1154">
        <v>12.3</v>
      </c>
      <c r="L1154">
        <v>12.3</v>
      </c>
      <c r="M1154">
        <v>1620</v>
      </c>
      <c r="N1154" s="2">
        <v>162000</v>
      </c>
      <c r="O1154" s="2">
        <v>1620</v>
      </c>
      <c r="P1154" s="2">
        <v>2835</v>
      </c>
      <c r="Q1154" s="2">
        <v>9720</v>
      </c>
      <c r="R1154" s="2">
        <v>8100</v>
      </c>
      <c r="S1154">
        <v>99.63</v>
      </c>
      <c r="T1154" s="2">
        <v>67635</v>
      </c>
      <c r="U1154" s="2">
        <v>94365</v>
      </c>
      <c r="V1154">
        <v>119.556</v>
      </c>
      <c r="W1154">
        <v>0</v>
      </c>
      <c r="X1154">
        <v>0</v>
      </c>
      <c r="Y1154">
        <v>0</v>
      </c>
      <c r="Z1154">
        <v>1.5</v>
      </c>
      <c r="AA1154">
        <v>1.2546421760513902E-2</v>
      </c>
      <c r="AB1154">
        <v>26.2</v>
      </c>
      <c r="AC1154">
        <v>11.790000000000001</v>
      </c>
      <c r="AD1154">
        <v>26</v>
      </c>
      <c r="AE1154" s="7"/>
      <c r="AF1154" s="7"/>
      <c r="AG1154" s="7"/>
      <c r="AH1154" s="7"/>
      <c r="AI1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154" s="7"/>
      <c r="AK1154" t="s">
        <v>657</v>
      </c>
      <c r="AN1154">
        <f>IFERROR(INT(Table13[[#This Row],[reject_prod]]/Table13[[#This Row],[part_weight]] * 1000), 0)</f>
        <v>121</v>
      </c>
    </row>
    <row r="1155" spans="1:40" hidden="1">
      <c r="A1155" s="1">
        <v>46057</v>
      </c>
      <c r="B1155">
        <v>1</v>
      </c>
      <c r="C1155">
        <v>14</v>
      </c>
      <c r="D1155" t="s">
        <v>143</v>
      </c>
      <c r="E1155" t="s">
        <v>46</v>
      </c>
      <c r="F1155">
        <v>555979</v>
      </c>
      <c r="G1155" s="6">
        <v>1</v>
      </c>
      <c r="H1155" t="s">
        <v>52</v>
      </c>
      <c r="I1155" t="s">
        <v>490</v>
      </c>
      <c r="J1155">
        <v>6</v>
      </c>
      <c r="K1155">
        <v>28</v>
      </c>
      <c r="L1155">
        <v>28</v>
      </c>
      <c r="M1155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2016</v>
      </c>
      <c r="S1155">
        <v>56.448</v>
      </c>
      <c r="T1155" s="2">
        <v>0</v>
      </c>
      <c r="U1155" s="2">
        <v>0</v>
      </c>
      <c r="V1155">
        <v>0</v>
      </c>
      <c r="W1155">
        <v>0</v>
      </c>
      <c r="X1155">
        <v>1</v>
      </c>
      <c r="Y1155" t="e">
        <v>#DIV/0!</v>
      </c>
      <c r="Z1155">
        <v>0</v>
      </c>
      <c r="AA1155" t="e">
        <v>#DIV/0!</v>
      </c>
      <c r="AB1155">
        <v>43</v>
      </c>
      <c r="AC1155">
        <v>0</v>
      </c>
      <c r="AD1155">
        <v>42</v>
      </c>
      <c r="AE1155" s="7"/>
      <c r="AF1155" s="7"/>
      <c r="AG1155" s="7"/>
      <c r="AH1155" s="7"/>
      <c r="AI1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55" s="7"/>
      <c r="AK1155" t="s">
        <v>680</v>
      </c>
      <c r="AN1155">
        <f>IFERROR(INT(Table13[[#This Row],[reject_prod]]/Table13[[#This Row],[part_weight]] * 1000), 0)</f>
        <v>0</v>
      </c>
    </row>
    <row r="1156" spans="1:40" hidden="1">
      <c r="A1156" s="1">
        <v>46057</v>
      </c>
      <c r="B1156">
        <v>1</v>
      </c>
      <c r="C1156">
        <v>15</v>
      </c>
      <c r="D1156" t="s">
        <v>112</v>
      </c>
      <c r="E1156" t="s">
        <v>46</v>
      </c>
      <c r="F1156">
        <v>552181</v>
      </c>
      <c r="G1156" s="6">
        <v>2</v>
      </c>
      <c r="H1156" t="s">
        <v>49</v>
      </c>
      <c r="I1156">
        <v>10685541</v>
      </c>
      <c r="J1156">
        <v>6</v>
      </c>
      <c r="K1156">
        <v>18.8</v>
      </c>
      <c r="L1156">
        <v>18.8</v>
      </c>
      <c r="M1156">
        <v>1359</v>
      </c>
      <c r="N1156" s="2">
        <v>108000</v>
      </c>
      <c r="O1156" s="2">
        <v>2430</v>
      </c>
      <c r="P1156" s="2">
        <v>4590</v>
      </c>
      <c r="Q1156" s="2">
        <v>8154</v>
      </c>
      <c r="R1156" s="2">
        <v>10800</v>
      </c>
      <c r="S1156">
        <v>203.04</v>
      </c>
      <c r="T1156" s="2">
        <v>85590</v>
      </c>
      <c r="U1156" s="2">
        <v>22410</v>
      </c>
      <c r="V1156">
        <v>153.29520000000002</v>
      </c>
      <c r="W1156">
        <v>0</v>
      </c>
      <c r="X1156">
        <v>0</v>
      </c>
      <c r="Y1156">
        <v>0</v>
      </c>
      <c r="Z1156">
        <v>2</v>
      </c>
      <c r="AA1156">
        <v>1.3046722924135914E-2</v>
      </c>
      <c r="AB1156">
        <v>31.2</v>
      </c>
      <c r="AC1156">
        <v>11.777999999999999</v>
      </c>
      <c r="AD1156">
        <v>27</v>
      </c>
      <c r="AE1156" s="7"/>
      <c r="AF1156" s="7"/>
      <c r="AG1156" s="7"/>
      <c r="AH1156" s="7"/>
      <c r="AI1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0.22200000000000131</v>
      </c>
      <c r="AJ1156" s="7"/>
      <c r="AK1156" t="s">
        <v>657</v>
      </c>
      <c r="AN1156">
        <f>IFERROR(INT(Table13[[#This Row],[reject_prod]]/Table13[[#This Row],[part_weight]] * 1000), 0)</f>
        <v>106</v>
      </c>
    </row>
    <row r="1157" spans="1:40" s="4" customFormat="1" hidden="1">
      <c r="A1157" s="3">
        <v>46057</v>
      </c>
      <c r="B1157" s="4">
        <v>1</v>
      </c>
      <c r="C1157" s="4">
        <v>16</v>
      </c>
      <c r="D1157" s="4" t="s">
        <v>498</v>
      </c>
      <c r="E1157" s="4" t="s">
        <v>46</v>
      </c>
      <c r="F1157" s="4">
        <v>555979</v>
      </c>
      <c r="G1157" s="9">
        <v>2</v>
      </c>
      <c r="H1157" s="4" t="s">
        <v>52</v>
      </c>
      <c r="I1157" s="4" t="s">
        <v>490</v>
      </c>
      <c r="J1157" s="4">
        <v>6</v>
      </c>
      <c r="K1157" s="4">
        <v>28</v>
      </c>
      <c r="L1157" s="4">
        <v>28</v>
      </c>
      <c r="M1157" s="4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2016</v>
      </c>
      <c r="S1157" s="4">
        <v>56.448</v>
      </c>
      <c r="T1157" s="5">
        <v>0</v>
      </c>
      <c r="U1157" s="5">
        <v>0</v>
      </c>
      <c r="V1157" s="4">
        <v>0</v>
      </c>
      <c r="W1157" s="4">
        <v>0</v>
      </c>
      <c r="X1157" s="4">
        <v>9</v>
      </c>
      <c r="Y1157" s="4" t="e">
        <v>#DIV/0!</v>
      </c>
      <c r="Z1157" s="4">
        <v>0</v>
      </c>
      <c r="AA1157" s="4" t="e">
        <v>#DIV/0!</v>
      </c>
      <c r="AB1157" s="4">
        <v>43.5</v>
      </c>
      <c r="AC1157" s="4">
        <v>0</v>
      </c>
      <c r="AD1157" s="4">
        <v>42</v>
      </c>
      <c r="AE1157" s="8"/>
      <c r="AF1157" s="8"/>
      <c r="AG1157" s="8"/>
      <c r="AH1157" s="8"/>
      <c r="AI1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57" s="8"/>
      <c r="AK1157" s="4" t="s">
        <v>681</v>
      </c>
      <c r="AL1157" s="4">
        <v>2</v>
      </c>
      <c r="AM1157" s="4">
        <v>2</v>
      </c>
      <c r="AN1157">
        <f>IFERROR(INT(Table13[[#This Row],[reject_prod]]/Table13[[#This Row],[part_weight]] * 1000), 0)</f>
        <v>0</v>
      </c>
    </row>
    <row r="1158" spans="1:40" hidden="1">
      <c r="A1158" s="1">
        <v>46057</v>
      </c>
      <c r="B1158">
        <v>2</v>
      </c>
      <c r="C1158">
        <v>1</v>
      </c>
      <c r="D1158" t="s">
        <v>54</v>
      </c>
      <c r="E1158" t="s">
        <v>34</v>
      </c>
      <c r="F1158">
        <v>347623</v>
      </c>
      <c r="G1158" s="6">
        <v>0</v>
      </c>
      <c r="H1158" t="s">
        <v>35</v>
      </c>
      <c r="I1158">
        <v>10686028</v>
      </c>
      <c r="J1158">
        <v>4</v>
      </c>
      <c r="K1158">
        <v>35.6</v>
      </c>
      <c r="L1158">
        <v>35.6</v>
      </c>
      <c r="M1158">
        <v>1520</v>
      </c>
      <c r="N1158" s="2">
        <v>20240</v>
      </c>
      <c r="O1158" s="2">
        <v>1104</v>
      </c>
      <c r="P1158" s="2">
        <v>0</v>
      </c>
      <c r="Q1158" s="2">
        <v>6080</v>
      </c>
      <c r="R1158" s="2">
        <v>7360</v>
      </c>
      <c r="S1158">
        <v>262.01600000000002</v>
      </c>
      <c r="T1158" s="2">
        <v>20240</v>
      </c>
      <c r="U1158" s="2">
        <v>0</v>
      </c>
      <c r="V1158">
        <v>216.44800000000001</v>
      </c>
      <c r="W1158">
        <v>0</v>
      </c>
      <c r="X1158">
        <v>0</v>
      </c>
      <c r="Y1158">
        <v>0</v>
      </c>
      <c r="Z1158">
        <v>3</v>
      </c>
      <c r="AA1158">
        <v>1.386014192785334E-2</v>
      </c>
      <c r="AB1158">
        <v>27</v>
      </c>
      <c r="AC1158">
        <v>11.4</v>
      </c>
      <c r="AD1158">
        <v>27</v>
      </c>
      <c r="AE1158" s="7"/>
      <c r="AF1158" s="7"/>
      <c r="AG1158" s="7"/>
      <c r="AH1158" s="7"/>
      <c r="AI1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0.59999999999999964</v>
      </c>
      <c r="AJ1158" s="7"/>
      <c r="AK1158" t="s">
        <v>102</v>
      </c>
      <c r="AN1158">
        <f>IFERROR(INT(Table13[[#This Row],[reject_prod]]/Table13[[#This Row],[part_weight]] * 1000), 0)</f>
        <v>84</v>
      </c>
    </row>
    <row r="1159" spans="1:40" hidden="1">
      <c r="A1159" s="1">
        <v>46057</v>
      </c>
      <c r="B1159">
        <v>2</v>
      </c>
      <c r="C1159">
        <v>1</v>
      </c>
      <c r="D1159" t="s">
        <v>54</v>
      </c>
      <c r="E1159" t="s">
        <v>34</v>
      </c>
      <c r="F1159">
        <v>347623</v>
      </c>
      <c r="G1159" s="6">
        <v>0</v>
      </c>
      <c r="H1159" t="s">
        <v>35</v>
      </c>
      <c r="I1159">
        <v>10686760</v>
      </c>
      <c r="J1159">
        <v>4</v>
      </c>
      <c r="K1159">
        <v>35.6</v>
      </c>
      <c r="L1159">
        <v>35.6</v>
      </c>
      <c r="M1159">
        <v>92</v>
      </c>
      <c r="N1159" s="2">
        <v>20240</v>
      </c>
      <c r="O1159" s="2">
        <v>0</v>
      </c>
      <c r="P1159" s="2">
        <v>368</v>
      </c>
      <c r="Q1159" s="2">
        <v>368</v>
      </c>
      <c r="R1159" s="2">
        <v>0</v>
      </c>
      <c r="S1159">
        <v>0</v>
      </c>
      <c r="T1159" s="2">
        <v>368</v>
      </c>
      <c r="U1159" s="2">
        <v>19872</v>
      </c>
      <c r="V1159">
        <v>13.100800000000001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27</v>
      </c>
      <c r="AC1159">
        <v>0.69</v>
      </c>
      <c r="AD1159">
        <v>27</v>
      </c>
      <c r="AE1159" s="7"/>
      <c r="AF1159" s="7"/>
      <c r="AG1159" s="7"/>
      <c r="AH1159" s="7"/>
      <c r="AI1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</v>
      </c>
      <c r="AJ1159" s="7"/>
      <c r="AK1159" t="s">
        <v>51</v>
      </c>
      <c r="AN1159">
        <f>IFERROR(INT(Table13[[#This Row],[reject_prod]]/Table13[[#This Row],[part_weight]] * 1000), 0)</f>
        <v>0</v>
      </c>
    </row>
    <row r="1160" spans="1:40" hidden="1">
      <c r="A1160" s="1">
        <v>46057</v>
      </c>
      <c r="B1160">
        <v>2</v>
      </c>
      <c r="C1160">
        <v>2</v>
      </c>
      <c r="D1160" t="s">
        <v>669</v>
      </c>
      <c r="E1160" t="s">
        <v>34</v>
      </c>
      <c r="F1160">
        <v>324163</v>
      </c>
      <c r="G1160" s="6">
        <v>0</v>
      </c>
      <c r="H1160" t="s">
        <v>672</v>
      </c>
      <c r="I1160">
        <v>10684851</v>
      </c>
      <c r="J1160">
        <v>4</v>
      </c>
      <c r="K1160">
        <v>24</v>
      </c>
      <c r="L1160">
        <v>23.5</v>
      </c>
      <c r="M1160">
        <v>1905</v>
      </c>
      <c r="N1160" s="2">
        <v>73152</v>
      </c>
      <c r="O1160" s="2">
        <v>381</v>
      </c>
      <c r="P1160" s="2">
        <v>2429</v>
      </c>
      <c r="Q1160" s="2">
        <v>7620</v>
      </c>
      <c r="R1160" s="2">
        <v>4572</v>
      </c>
      <c r="S1160">
        <v>107.44199999999999</v>
      </c>
      <c r="T1160" s="2">
        <v>7001</v>
      </c>
      <c r="U1160" s="2">
        <v>66151</v>
      </c>
      <c r="V1160">
        <v>179.07</v>
      </c>
      <c r="W1160">
        <v>3.81</v>
      </c>
      <c r="X1160">
        <v>0</v>
      </c>
      <c r="Y1160">
        <v>0</v>
      </c>
      <c r="Z1160">
        <v>6</v>
      </c>
      <c r="AA1160">
        <v>3.3506449991623388E-2</v>
      </c>
      <c r="AB1160">
        <v>22.4</v>
      </c>
      <c r="AC1160">
        <v>11.853333333333333</v>
      </c>
      <c r="AD1160">
        <v>22.5</v>
      </c>
      <c r="AE1160" s="7"/>
      <c r="AF1160" s="7"/>
      <c r="AG1160" s="7"/>
      <c r="AH1160" s="7"/>
      <c r="AI1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0.1466666666666665</v>
      </c>
      <c r="AJ1160" s="7"/>
      <c r="AK1160" t="s">
        <v>214</v>
      </c>
      <c r="AN1160">
        <f>IFERROR(INT(Table13[[#This Row],[reject_prod]]/Table13[[#This Row],[part_weight]] * 1000), 0)</f>
        <v>255</v>
      </c>
    </row>
    <row r="1161" spans="1:40" hidden="1">
      <c r="A1161" s="1">
        <v>46057</v>
      </c>
      <c r="B1161">
        <v>2</v>
      </c>
      <c r="C1161">
        <v>3</v>
      </c>
      <c r="D1161" t="s">
        <v>117</v>
      </c>
      <c r="E1161" t="s">
        <v>34</v>
      </c>
      <c r="F1161">
        <v>442034</v>
      </c>
      <c r="G1161" s="6">
        <v>0</v>
      </c>
      <c r="H1161" t="s">
        <v>37</v>
      </c>
      <c r="I1161">
        <v>10685633</v>
      </c>
      <c r="J1161">
        <v>4</v>
      </c>
      <c r="K1161">
        <v>23</v>
      </c>
      <c r="L1161">
        <v>23</v>
      </c>
      <c r="M1161">
        <v>1530</v>
      </c>
      <c r="N1161" s="2">
        <v>139776</v>
      </c>
      <c r="O1161" s="2">
        <v>3072</v>
      </c>
      <c r="P1161" s="2">
        <v>0</v>
      </c>
      <c r="Q1161" s="2">
        <v>6120</v>
      </c>
      <c r="R1161" s="2">
        <v>9216</v>
      </c>
      <c r="S1161">
        <v>211.96799999999999</v>
      </c>
      <c r="T1161" s="2">
        <v>23040</v>
      </c>
      <c r="U1161" s="2">
        <v>116736</v>
      </c>
      <c r="V1161">
        <v>140.76</v>
      </c>
      <c r="W1161">
        <v>0</v>
      </c>
      <c r="X1161">
        <v>0</v>
      </c>
      <c r="Y1161">
        <v>0</v>
      </c>
      <c r="Z1161">
        <v>1</v>
      </c>
      <c r="AA1161">
        <v>7.1042909917590231E-3</v>
      </c>
      <c r="AB1161">
        <v>29.2</v>
      </c>
      <c r="AC1161">
        <v>12</v>
      </c>
      <c r="AD1161">
        <v>22</v>
      </c>
      <c r="AE1161" s="7"/>
      <c r="AF1161" s="7"/>
      <c r="AG1161" s="7"/>
      <c r="AH1161" s="7"/>
      <c r="AI1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61" s="7"/>
      <c r="AK1161" t="s">
        <v>168</v>
      </c>
      <c r="AN1161">
        <f>IFERROR(INT(Table13[[#This Row],[reject_prod]]/Table13[[#This Row],[part_weight]] * 1000), 0)</f>
        <v>43</v>
      </c>
    </row>
    <row r="1162" spans="1:40" hidden="1">
      <c r="A1162" s="1">
        <v>46057</v>
      </c>
      <c r="B1162">
        <v>2</v>
      </c>
      <c r="C1162">
        <v>4</v>
      </c>
      <c r="D1162" t="s">
        <v>56</v>
      </c>
      <c r="E1162" t="s">
        <v>34</v>
      </c>
      <c r="F1162">
        <v>414439</v>
      </c>
      <c r="G1162" s="6">
        <v>0</v>
      </c>
      <c r="H1162" t="s">
        <v>587</v>
      </c>
      <c r="I1162">
        <v>10684854</v>
      </c>
      <c r="J1162">
        <v>6</v>
      </c>
      <c r="K1162">
        <v>23</v>
      </c>
      <c r="L1162">
        <v>15</v>
      </c>
      <c r="M1162">
        <v>2156</v>
      </c>
      <c r="N1162" s="2">
        <v>59136</v>
      </c>
      <c r="O1162" s="2">
        <v>3696</v>
      </c>
      <c r="P1162" s="2">
        <v>1848</v>
      </c>
      <c r="Q1162" s="2">
        <v>12936</v>
      </c>
      <c r="R1162" s="2">
        <v>14784</v>
      </c>
      <c r="S1162">
        <v>221.76</v>
      </c>
      <c r="T1162" s="2">
        <v>53592</v>
      </c>
      <c r="U1162" s="2">
        <v>5544</v>
      </c>
      <c r="V1162">
        <v>194.04</v>
      </c>
      <c r="W1162">
        <v>103.488</v>
      </c>
      <c r="X1162">
        <v>0</v>
      </c>
      <c r="Y1162">
        <v>0</v>
      </c>
      <c r="Z1162">
        <v>2</v>
      </c>
      <c r="AA1162">
        <v>1.0307153164296022E-2</v>
      </c>
      <c r="AB1162">
        <v>20</v>
      </c>
      <c r="AC1162">
        <v>11.977777777777778</v>
      </c>
      <c r="AD1162">
        <v>15</v>
      </c>
      <c r="AE1162" s="7"/>
      <c r="AF1162" s="7"/>
      <c r="AG1162" s="7"/>
      <c r="AH1162" s="7"/>
      <c r="AI1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2.2222222222222143E-2</v>
      </c>
      <c r="AJ1162" s="7"/>
      <c r="AK1162" t="s">
        <v>51</v>
      </c>
      <c r="AN1162">
        <f>IFERROR(INT(Table13[[#This Row],[reject_prod]]/Table13[[#This Row],[part_weight]] * 1000), 0)</f>
        <v>133</v>
      </c>
    </row>
    <row r="1163" spans="1:40" hidden="1">
      <c r="A1163" s="1">
        <v>46057</v>
      </c>
      <c r="B1163">
        <v>2</v>
      </c>
      <c r="C1163">
        <v>5</v>
      </c>
      <c r="D1163" t="s">
        <v>124</v>
      </c>
      <c r="E1163" t="s">
        <v>34</v>
      </c>
      <c r="F1163">
        <v>322448</v>
      </c>
      <c r="G1163" s="6">
        <v>0</v>
      </c>
      <c r="H1163" t="s">
        <v>654</v>
      </c>
      <c r="I1163">
        <v>10686572</v>
      </c>
      <c r="J1163">
        <v>4</v>
      </c>
      <c r="K1163">
        <v>40</v>
      </c>
      <c r="L1163">
        <v>40</v>
      </c>
      <c r="M1163">
        <v>1580</v>
      </c>
      <c r="N1163" s="2">
        <v>58320</v>
      </c>
      <c r="O1163" s="2">
        <v>162</v>
      </c>
      <c r="P1163" s="2">
        <v>0</v>
      </c>
      <c r="Q1163" s="2">
        <v>6320</v>
      </c>
      <c r="R1163" s="2">
        <v>6480</v>
      </c>
      <c r="S1163">
        <v>259.2</v>
      </c>
      <c r="T1163" s="2">
        <v>6480</v>
      </c>
      <c r="U1163" s="2">
        <v>51840</v>
      </c>
      <c r="V1163">
        <v>252.8</v>
      </c>
      <c r="W1163">
        <v>0</v>
      </c>
      <c r="X1163">
        <v>0</v>
      </c>
      <c r="Y1163">
        <v>0</v>
      </c>
      <c r="Z1163">
        <v>7</v>
      </c>
      <c r="AA1163">
        <v>2.7689873417721517E-2</v>
      </c>
      <c r="AB1163">
        <v>25.53</v>
      </c>
      <c r="AC1163">
        <v>11.204833333333333</v>
      </c>
      <c r="AD1163">
        <v>23</v>
      </c>
      <c r="AE1163" s="7"/>
      <c r="AF1163" s="7"/>
      <c r="AG1163" s="7"/>
      <c r="AH1163" s="7"/>
      <c r="AI1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0.7951666666666668</v>
      </c>
      <c r="AJ1163" s="7"/>
      <c r="AK1163" t="s">
        <v>682</v>
      </c>
      <c r="AN1163">
        <f>IFERROR(INT(Table13[[#This Row],[reject_prod]]/Table13[[#This Row],[part_weight]] * 1000), 0)</f>
        <v>175</v>
      </c>
    </row>
    <row r="1164" spans="1:40" hidden="1">
      <c r="A1164" s="1">
        <v>46057</v>
      </c>
      <c r="B1164">
        <v>2</v>
      </c>
      <c r="C1164">
        <v>6</v>
      </c>
      <c r="D1164" t="s">
        <v>33</v>
      </c>
      <c r="E1164" t="s">
        <v>34</v>
      </c>
      <c r="F1164">
        <v>322422</v>
      </c>
      <c r="G1164" s="6">
        <v>0</v>
      </c>
      <c r="H1164" t="s">
        <v>656</v>
      </c>
      <c r="I1164">
        <v>10685442</v>
      </c>
      <c r="J1164">
        <v>4</v>
      </c>
      <c r="K1164">
        <v>34</v>
      </c>
      <c r="L1164">
        <v>34</v>
      </c>
      <c r="M1164">
        <v>0</v>
      </c>
      <c r="N1164" s="2">
        <v>9000</v>
      </c>
      <c r="O1164" s="2">
        <v>0</v>
      </c>
      <c r="P1164" s="2">
        <v>0</v>
      </c>
      <c r="Q1164" s="2">
        <v>0</v>
      </c>
      <c r="R1164" s="2">
        <v>0</v>
      </c>
      <c r="S1164">
        <v>0</v>
      </c>
      <c r="T1164" s="2">
        <v>0</v>
      </c>
      <c r="U1164" s="2">
        <v>9000</v>
      </c>
      <c r="V1164">
        <v>0</v>
      </c>
      <c r="W1164">
        <v>0</v>
      </c>
      <c r="X1164">
        <v>0</v>
      </c>
      <c r="Y1164" t="e">
        <v>#DIV/0!</v>
      </c>
      <c r="Z1164">
        <v>0</v>
      </c>
      <c r="AA1164" t="e">
        <v>#DIV/0!</v>
      </c>
      <c r="AB1164">
        <v>21.3</v>
      </c>
      <c r="AC1164">
        <v>0</v>
      </c>
      <c r="AD1164">
        <v>21.68</v>
      </c>
      <c r="AE1164" s="7"/>
      <c r="AF1164" s="7"/>
      <c r="AG1164" s="7"/>
      <c r="AH1164" s="7"/>
      <c r="AI1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64" s="7"/>
      <c r="AK1164" t="s">
        <v>683</v>
      </c>
      <c r="AN1164">
        <f>IFERROR(INT(Table13[[#This Row],[reject_prod]]/Table13[[#This Row],[part_weight]] * 1000), 0)</f>
        <v>0</v>
      </c>
    </row>
    <row r="1165" spans="1:40" hidden="1">
      <c r="A1165" s="1">
        <v>46057</v>
      </c>
      <c r="B1165">
        <v>2</v>
      </c>
      <c r="C1165">
        <v>7</v>
      </c>
      <c r="D1165" t="s">
        <v>33</v>
      </c>
      <c r="E1165" t="s">
        <v>34</v>
      </c>
      <c r="F1165">
        <v>324173</v>
      </c>
      <c r="G1165" s="6">
        <v>0</v>
      </c>
      <c r="H1165" t="s">
        <v>677</v>
      </c>
      <c r="I1165">
        <v>10683859</v>
      </c>
      <c r="J1165">
        <v>4</v>
      </c>
      <c r="K1165">
        <v>34</v>
      </c>
      <c r="L1165">
        <v>34.5</v>
      </c>
      <c r="M1165">
        <v>1050</v>
      </c>
      <c r="N1165" s="2">
        <v>42000</v>
      </c>
      <c r="O1165" s="2">
        <v>0</v>
      </c>
      <c r="P1165" s="2">
        <v>0</v>
      </c>
      <c r="Q1165" s="2">
        <v>4200</v>
      </c>
      <c r="R1165" s="2">
        <v>4200</v>
      </c>
      <c r="S1165">
        <v>144.9</v>
      </c>
      <c r="T1165" s="2">
        <v>4200</v>
      </c>
      <c r="U1165" s="2">
        <v>37800</v>
      </c>
      <c r="V1165">
        <v>144.9</v>
      </c>
      <c r="W1165">
        <v>-2.1</v>
      </c>
      <c r="X1165">
        <v>6.2</v>
      </c>
      <c r="Y1165">
        <v>4.2788129744651481E-2</v>
      </c>
      <c r="Z1165">
        <v>4.0999999999999996</v>
      </c>
      <c r="AA1165">
        <v>2.8295376121463073E-2</v>
      </c>
      <c r="AB1165">
        <v>23.85</v>
      </c>
      <c r="AC1165">
        <v>6.9562500000000007</v>
      </c>
      <c r="AD1165">
        <v>20.399999999999999</v>
      </c>
      <c r="AE1165" s="7"/>
      <c r="AF1165" s="7"/>
      <c r="AG1165" s="7">
        <v>1.5</v>
      </c>
      <c r="AH1165" s="7"/>
      <c r="AI1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3.5437499999999993</v>
      </c>
      <c r="AJ1165" s="7"/>
      <c r="AK1165" t="s">
        <v>684</v>
      </c>
      <c r="AN1165">
        <f>IFERROR(INT(Table13[[#This Row],[reject_prod]]/Table13[[#This Row],[part_weight]] * 1000), 0)</f>
        <v>118</v>
      </c>
    </row>
    <row r="1166" spans="1:40" hidden="1">
      <c r="A1166" s="1">
        <v>46057</v>
      </c>
      <c r="B1166">
        <v>2</v>
      </c>
      <c r="C1166">
        <v>8</v>
      </c>
      <c r="D1166" t="s">
        <v>670</v>
      </c>
      <c r="E1166" t="s">
        <v>41</v>
      </c>
      <c r="F1166">
        <v>593537</v>
      </c>
      <c r="G1166" s="6">
        <v>0</v>
      </c>
      <c r="H1166" t="s">
        <v>48</v>
      </c>
      <c r="I1166">
        <v>10685813</v>
      </c>
      <c r="J1166">
        <v>4</v>
      </c>
      <c r="K1166">
        <v>56.5</v>
      </c>
      <c r="L1166">
        <v>56.8</v>
      </c>
      <c r="M1166">
        <v>1215</v>
      </c>
      <c r="N1166" s="2">
        <v>69000</v>
      </c>
      <c r="O1166" s="2">
        <v>460</v>
      </c>
      <c r="P1166" s="2">
        <v>1265</v>
      </c>
      <c r="Q1166" s="2">
        <v>4860</v>
      </c>
      <c r="R1166" s="2">
        <v>4025</v>
      </c>
      <c r="S1166">
        <v>228.62</v>
      </c>
      <c r="T1166" s="2">
        <v>14490</v>
      </c>
      <c r="U1166" s="2">
        <v>54510</v>
      </c>
      <c r="V1166">
        <v>276.048</v>
      </c>
      <c r="W1166">
        <v>-1.4579999999999862</v>
      </c>
      <c r="X1166">
        <v>0</v>
      </c>
      <c r="Y1166">
        <v>0</v>
      </c>
      <c r="Z1166">
        <v>19</v>
      </c>
      <c r="AA1166">
        <v>6.8828609517185418E-2</v>
      </c>
      <c r="AB1166">
        <v>31</v>
      </c>
      <c r="AC1166">
        <v>10.4625</v>
      </c>
      <c r="AD1166">
        <v>28.5</v>
      </c>
      <c r="AE1166" s="7"/>
      <c r="AF1166" s="7"/>
      <c r="AG1166" s="7"/>
      <c r="AH1166" s="7"/>
      <c r="AI1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1.5374999999999996</v>
      </c>
      <c r="AJ1166" s="7"/>
      <c r="AK1166" t="s">
        <v>685</v>
      </c>
      <c r="AN1166">
        <f>IFERROR(INT(Table13[[#This Row],[reject_prod]]/Table13[[#This Row],[part_weight]] * 1000), 0)</f>
        <v>334</v>
      </c>
    </row>
    <row r="1167" spans="1:40" hidden="1">
      <c r="A1167" s="1">
        <v>46057</v>
      </c>
      <c r="B1167">
        <v>2</v>
      </c>
      <c r="C1167">
        <v>9</v>
      </c>
      <c r="D1167" t="s">
        <v>84</v>
      </c>
      <c r="E1167" t="s">
        <v>46</v>
      </c>
      <c r="F1167">
        <v>586276</v>
      </c>
      <c r="G1167" s="6">
        <v>1</v>
      </c>
      <c r="H1167" t="s">
        <v>47</v>
      </c>
      <c r="I1167">
        <v>10683781</v>
      </c>
      <c r="J1167">
        <v>6</v>
      </c>
      <c r="K1167">
        <v>12.3</v>
      </c>
      <c r="L1167">
        <v>12.3</v>
      </c>
      <c r="M1167">
        <v>1620</v>
      </c>
      <c r="N1167" s="2">
        <v>162000</v>
      </c>
      <c r="O1167" s="2">
        <v>6480</v>
      </c>
      <c r="P1167" s="2">
        <v>0</v>
      </c>
      <c r="Q1167" s="2">
        <v>9720</v>
      </c>
      <c r="R1167" s="2">
        <v>16200</v>
      </c>
      <c r="S1167">
        <v>199.26</v>
      </c>
      <c r="T1167" s="2">
        <v>24300</v>
      </c>
      <c r="U1167" s="2">
        <v>137700</v>
      </c>
      <c r="V1167">
        <v>119.556</v>
      </c>
      <c r="W1167">
        <v>0</v>
      </c>
      <c r="X1167">
        <v>0</v>
      </c>
      <c r="Y1167">
        <v>0</v>
      </c>
      <c r="Z1167">
        <v>3</v>
      </c>
      <c r="AA1167">
        <v>2.5092843521027804E-2</v>
      </c>
      <c r="AB1167">
        <v>26.6</v>
      </c>
      <c r="AC1167">
        <v>11.97</v>
      </c>
      <c r="AD1167">
        <v>26</v>
      </c>
      <c r="AE1167" s="7"/>
      <c r="AF1167" s="7"/>
      <c r="AG1167" s="7"/>
      <c r="AH1167" s="7"/>
      <c r="AI1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167" s="7"/>
      <c r="AK1167" t="s">
        <v>51</v>
      </c>
      <c r="AN1167">
        <f>IFERROR(INT(Table13[[#This Row],[reject_prod]]/Table13[[#This Row],[part_weight]] * 1000), 0)</f>
        <v>243</v>
      </c>
    </row>
    <row r="1168" spans="1:40" hidden="1">
      <c r="A1168" s="1">
        <v>46057</v>
      </c>
      <c r="B1168">
        <v>2</v>
      </c>
      <c r="C1168">
        <v>10</v>
      </c>
      <c r="D1168" t="s">
        <v>139</v>
      </c>
      <c r="E1168" t="s">
        <v>34</v>
      </c>
      <c r="F1168">
        <v>323133</v>
      </c>
      <c r="G1168" s="6">
        <v>0</v>
      </c>
      <c r="H1168" t="s">
        <v>568</v>
      </c>
      <c r="I1168">
        <v>10685638</v>
      </c>
      <c r="J1168">
        <v>4</v>
      </c>
      <c r="K1168">
        <v>77</v>
      </c>
      <c r="L1168">
        <v>77</v>
      </c>
      <c r="M1168">
        <v>430</v>
      </c>
      <c r="N1168" s="2">
        <v>13248</v>
      </c>
      <c r="O1168" s="2">
        <v>69</v>
      </c>
      <c r="P1168" s="2">
        <v>0</v>
      </c>
      <c r="Q1168" s="2">
        <v>1720</v>
      </c>
      <c r="R1168" s="2">
        <v>1656</v>
      </c>
      <c r="S1168">
        <v>127.512</v>
      </c>
      <c r="T1168" s="2">
        <v>13248</v>
      </c>
      <c r="U1168" s="2">
        <v>0</v>
      </c>
      <c r="V1168">
        <v>132.44</v>
      </c>
      <c r="W1168">
        <v>0</v>
      </c>
      <c r="X1168">
        <v>0</v>
      </c>
      <c r="Y1168">
        <v>0</v>
      </c>
      <c r="Z1168">
        <v>17</v>
      </c>
      <c r="AA1168">
        <v>0.1283600120809423</v>
      </c>
      <c r="AB1168">
        <v>38.6</v>
      </c>
      <c r="AC1168">
        <v>4.610555555555556</v>
      </c>
      <c r="AD1168">
        <v>35</v>
      </c>
      <c r="AE1168" s="7"/>
      <c r="AF1168" s="7"/>
      <c r="AG1168" s="7"/>
      <c r="AH1168" s="7"/>
      <c r="AI1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7.389444444444444</v>
      </c>
      <c r="AJ1168" s="7"/>
      <c r="AK1168" t="s">
        <v>686</v>
      </c>
      <c r="AN1168">
        <f>IFERROR(INT(Table13[[#This Row],[reject_prod]]/Table13[[#This Row],[part_weight]] * 1000), 0)</f>
        <v>220</v>
      </c>
    </row>
    <row r="1169" spans="1:40" hidden="1">
      <c r="A1169" s="1">
        <v>46057</v>
      </c>
      <c r="B1169">
        <v>2</v>
      </c>
      <c r="C1169">
        <v>10</v>
      </c>
      <c r="D1169" t="s">
        <v>139</v>
      </c>
      <c r="E1169" t="s">
        <v>34</v>
      </c>
      <c r="F1169">
        <v>324638</v>
      </c>
      <c r="G1169" s="6">
        <v>0</v>
      </c>
      <c r="H1169" t="s">
        <v>687</v>
      </c>
      <c r="I1169">
        <v>10685639</v>
      </c>
      <c r="J1169">
        <v>4</v>
      </c>
      <c r="K1169">
        <v>77.5</v>
      </c>
      <c r="L1169">
        <v>77.5</v>
      </c>
      <c r="M1169">
        <v>450</v>
      </c>
      <c r="N1169" s="2">
        <v>26496</v>
      </c>
      <c r="O1169" s="2">
        <v>0</v>
      </c>
      <c r="P1169" s="2">
        <v>138</v>
      </c>
      <c r="Q1169" s="2">
        <v>1800</v>
      </c>
      <c r="R1169" s="2">
        <v>1656</v>
      </c>
      <c r="S1169">
        <v>128.34</v>
      </c>
      <c r="T1169" s="2">
        <v>1794</v>
      </c>
      <c r="U1169" s="2">
        <v>24702</v>
      </c>
      <c r="V1169">
        <v>139.5</v>
      </c>
      <c r="W1169">
        <v>0</v>
      </c>
      <c r="X1169">
        <v>8.1999999999999993</v>
      </c>
      <c r="Y1169">
        <v>5.8781362007168457E-2</v>
      </c>
      <c r="Z1169">
        <v>6.5</v>
      </c>
      <c r="AA1169">
        <v>4.6594982078853049E-2</v>
      </c>
      <c r="AB1169">
        <v>37.74</v>
      </c>
      <c r="AC1169">
        <v>4.7175000000000002</v>
      </c>
      <c r="AD1169">
        <v>36</v>
      </c>
      <c r="AE1169" s="7"/>
      <c r="AF1169" s="7"/>
      <c r="AG1169" s="7">
        <v>1.5</v>
      </c>
      <c r="AH1169" s="7"/>
      <c r="AI1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5.7824999999999998</v>
      </c>
      <c r="AJ1169" s="7"/>
      <c r="AK1169" t="s">
        <v>688</v>
      </c>
      <c r="AN1169">
        <f>IFERROR(INT(Table13[[#This Row],[reject_prod]]/Table13[[#This Row],[part_weight]] * 1000), 0)</f>
        <v>83</v>
      </c>
    </row>
    <row r="1170" spans="1:40" hidden="1">
      <c r="A1170" s="1">
        <v>46057</v>
      </c>
      <c r="B1170">
        <v>2</v>
      </c>
      <c r="C1170">
        <v>11</v>
      </c>
      <c r="D1170" t="s">
        <v>59</v>
      </c>
      <c r="E1170" t="s">
        <v>46</v>
      </c>
      <c r="F1170">
        <v>552181</v>
      </c>
      <c r="G1170" s="6">
        <v>1</v>
      </c>
      <c r="H1170" t="s">
        <v>49</v>
      </c>
      <c r="I1170">
        <v>10685338</v>
      </c>
      <c r="J1170">
        <v>6</v>
      </c>
      <c r="K1170">
        <v>18.8</v>
      </c>
      <c r="L1170">
        <v>18.8</v>
      </c>
      <c r="M1170">
        <v>1125</v>
      </c>
      <c r="N1170" s="2">
        <v>108000</v>
      </c>
      <c r="O1170" s="2">
        <v>4050</v>
      </c>
      <c r="P1170" s="2">
        <v>0</v>
      </c>
      <c r="Q1170" s="2">
        <v>6750</v>
      </c>
      <c r="R1170" s="2">
        <v>10800</v>
      </c>
      <c r="S1170">
        <v>203.04</v>
      </c>
      <c r="T1170" s="2">
        <v>108000</v>
      </c>
      <c r="U1170" s="2">
        <v>0</v>
      </c>
      <c r="V1170">
        <v>126.9</v>
      </c>
      <c r="W1170">
        <v>0</v>
      </c>
      <c r="X1170">
        <v>0</v>
      </c>
      <c r="Y1170">
        <v>0</v>
      </c>
      <c r="Z1170">
        <v>3</v>
      </c>
      <c r="AA1170">
        <v>2.3640661938534278E-2</v>
      </c>
      <c r="AB1170">
        <v>29</v>
      </c>
      <c r="AC1170">
        <v>9.0625</v>
      </c>
      <c r="AD1170">
        <v>27</v>
      </c>
      <c r="AE1170" s="7"/>
      <c r="AF1170" s="7"/>
      <c r="AG1170" s="7"/>
      <c r="AH1170" s="7"/>
      <c r="AI1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2.9375</v>
      </c>
      <c r="AJ1170" s="7"/>
      <c r="AK1170" t="s">
        <v>102</v>
      </c>
      <c r="AN1170">
        <f>IFERROR(INT(Table13[[#This Row],[reject_prod]]/Table13[[#This Row],[part_weight]] * 1000), 0)</f>
        <v>159</v>
      </c>
    </row>
    <row r="1171" spans="1:40" hidden="1">
      <c r="A1171" s="1">
        <v>46057</v>
      </c>
      <c r="B1171">
        <v>2</v>
      </c>
      <c r="C1171">
        <v>11</v>
      </c>
      <c r="D1171" t="s">
        <v>59</v>
      </c>
      <c r="E1171" t="s">
        <v>46</v>
      </c>
      <c r="F1171">
        <v>552181</v>
      </c>
      <c r="G1171" s="6">
        <v>1</v>
      </c>
      <c r="H1171" t="s">
        <v>49</v>
      </c>
      <c r="I1171">
        <v>10685339</v>
      </c>
      <c r="J1171">
        <v>6</v>
      </c>
      <c r="K1171">
        <v>18.8</v>
      </c>
      <c r="L1171">
        <v>18.8</v>
      </c>
      <c r="M1171">
        <v>365</v>
      </c>
      <c r="N1171" s="2">
        <v>108000</v>
      </c>
      <c r="O1171" s="2">
        <v>0</v>
      </c>
      <c r="P1171" s="2">
        <v>2160</v>
      </c>
      <c r="Q1171" s="2">
        <v>2190</v>
      </c>
      <c r="R1171" s="2">
        <v>0</v>
      </c>
      <c r="S1171">
        <v>0</v>
      </c>
      <c r="T1171" s="2">
        <v>2160</v>
      </c>
      <c r="U1171" s="2">
        <v>105840</v>
      </c>
      <c r="V1171">
        <v>41.171999999999997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29</v>
      </c>
      <c r="AC1171">
        <v>2.9402777777777778</v>
      </c>
      <c r="AD1171">
        <v>27</v>
      </c>
      <c r="AE1171" s="7"/>
      <c r="AF1171" s="7"/>
      <c r="AG1171" s="7"/>
      <c r="AH1171" s="7"/>
      <c r="AI1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9.0597222222222218</v>
      </c>
      <c r="AJ1171" s="7"/>
      <c r="AK1171" t="s">
        <v>51</v>
      </c>
      <c r="AN1171">
        <f>IFERROR(INT(Table13[[#This Row],[reject_prod]]/Table13[[#This Row],[part_weight]] * 1000), 0)</f>
        <v>0</v>
      </c>
    </row>
    <row r="1172" spans="1:40" hidden="1">
      <c r="A1172" s="1">
        <v>46057</v>
      </c>
      <c r="B1172">
        <v>2</v>
      </c>
      <c r="C1172">
        <v>12</v>
      </c>
      <c r="D1172" t="s">
        <v>289</v>
      </c>
      <c r="E1172" t="s">
        <v>34</v>
      </c>
      <c r="F1172">
        <v>620599</v>
      </c>
      <c r="G1172" s="6">
        <v>0</v>
      </c>
      <c r="H1172" t="s">
        <v>50</v>
      </c>
      <c r="I1172">
        <v>10675340</v>
      </c>
      <c r="J1172">
        <v>4</v>
      </c>
      <c r="K1172">
        <v>55</v>
      </c>
      <c r="L1172">
        <v>55</v>
      </c>
      <c r="M1172">
        <v>1430</v>
      </c>
      <c r="N1172" s="2">
        <v>72000</v>
      </c>
      <c r="O1172" s="2">
        <v>675</v>
      </c>
      <c r="P1172" s="2">
        <v>950</v>
      </c>
      <c r="Q1172" s="2">
        <v>5720</v>
      </c>
      <c r="R1172" s="2">
        <v>5400</v>
      </c>
      <c r="S1172">
        <v>297</v>
      </c>
      <c r="T1172" s="2">
        <v>53150</v>
      </c>
      <c r="U1172" s="2">
        <v>18850</v>
      </c>
      <c r="V1172">
        <v>314.60000000000002</v>
      </c>
      <c r="W1172">
        <v>0</v>
      </c>
      <c r="X1172">
        <v>0</v>
      </c>
      <c r="Y1172">
        <v>0</v>
      </c>
      <c r="Z1172">
        <v>10.199999999999999</v>
      </c>
      <c r="AA1172">
        <v>3.2422123331214234E-2</v>
      </c>
      <c r="AB1172">
        <v>29</v>
      </c>
      <c r="AC1172">
        <v>11.519444444444444</v>
      </c>
      <c r="AD1172">
        <v>28</v>
      </c>
      <c r="AE1172" s="7"/>
      <c r="AF1172" s="7"/>
      <c r="AG1172" s="7"/>
      <c r="AH1172" s="7"/>
      <c r="AI1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0.48055555555555607</v>
      </c>
      <c r="AJ1172" s="7"/>
      <c r="AK1172" t="s">
        <v>689</v>
      </c>
      <c r="AN1172">
        <f>IFERROR(INT(Table13[[#This Row],[reject_prod]]/Table13[[#This Row],[part_weight]] * 1000), 0)</f>
        <v>185</v>
      </c>
    </row>
    <row r="1173" spans="1:40" hidden="1">
      <c r="A1173" s="1">
        <v>46057</v>
      </c>
      <c r="B1173">
        <v>2</v>
      </c>
      <c r="C1173">
        <v>13</v>
      </c>
      <c r="D1173" t="s">
        <v>59</v>
      </c>
      <c r="E1173" t="s">
        <v>46</v>
      </c>
      <c r="F1173">
        <v>586276</v>
      </c>
      <c r="G1173" s="6">
        <v>2</v>
      </c>
      <c r="H1173" t="s">
        <v>47</v>
      </c>
      <c r="I1173">
        <v>10686191</v>
      </c>
      <c r="J1173">
        <v>6</v>
      </c>
      <c r="K1173">
        <v>12.3</v>
      </c>
      <c r="L1173">
        <v>12.3</v>
      </c>
      <c r="M1173">
        <v>1620</v>
      </c>
      <c r="N1173" s="2">
        <v>162000</v>
      </c>
      <c r="O1173" s="2">
        <v>2835</v>
      </c>
      <c r="P1173" s="2">
        <v>4455</v>
      </c>
      <c r="Q1173" s="2">
        <v>9720</v>
      </c>
      <c r="R1173" s="2">
        <v>8100</v>
      </c>
      <c r="S1173">
        <v>99.63</v>
      </c>
      <c r="T1173" s="2">
        <v>77355</v>
      </c>
      <c r="U1173" s="2">
        <v>84645</v>
      </c>
      <c r="V1173">
        <v>119.556</v>
      </c>
      <c r="W1173">
        <v>0</v>
      </c>
      <c r="X1173">
        <v>0</v>
      </c>
      <c r="Y1173">
        <v>0</v>
      </c>
      <c r="Z1173">
        <v>1</v>
      </c>
      <c r="AA1173">
        <v>8.3642811736759342E-3</v>
      </c>
      <c r="AB1173">
        <v>26.2</v>
      </c>
      <c r="AC1173">
        <v>11.790000000000001</v>
      </c>
      <c r="AD1173">
        <v>26</v>
      </c>
      <c r="AE1173" s="7"/>
      <c r="AF1173" s="7"/>
      <c r="AG1173" s="7"/>
      <c r="AH1173" s="7"/>
      <c r="AI1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173" s="7"/>
      <c r="AK1173" t="s">
        <v>51</v>
      </c>
      <c r="AN1173">
        <f>IFERROR(INT(Table13[[#This Row],[reject_prod]]/Table13[[#This Row],[part_weight]] * 1000), 0)</f>
        <v>81</v>
      </c>
    </row>
    <row r="1174" spans="1:40" hidden="1">
      <c r="A1174" s="1">
        <v>46057</v>
      </c>
      <c r="B1174">
        <v>2</v>
      </c>
      <c r="C1174">
        <v>14</v>
      </c>
      <c r="D1174" t="s">
        <v>33</v>
      </c>
      <c r="E1174" t="s">
        <v>46</v>
      </c>
      <c r="F1174">
        <v>555979</v>
      </c>
      <c r="G1174" s="6">
        <v>1</v>
      </c>
      <c r="H1174" t="s">
        <v>52</v>
      </c>
      <c r="I1174" t="s">
        <v>490</v>
      </c>
      <c r="J1174">
        <v>6</v>
      </c>
      <c r="K1174">
        <v>28</v>
      </c>
      <c r="L1174">
        <v>28</v>
      </c>
      <c r="M1174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>
        <v>0</v>
      </c>
      <c r="T1174" s="2">
        <v>0</v>
      </c>
      <c r="U1174" s="2">
        <v>0</v>
      </c>
      <c r="V1174">
        <v>0</v>
      </c>
      <c r="W1174">
        <v>0</v>
      </c>
      <c r="X1174">
        <v>6.3</v>
      </c>
      <c r="Y1174" t="e">
        <v>#DIV/0!</v>
      </c>
      <c r="Z1174">
        <v>0</v>
      </c>
      <c r="AA1174" t="e">
        <v>#DIV/0!</v>
      </c>
      <c r="AB1174">
        <v>43</v>
      </c>
      <c r="AC1174">
        <v>0</v>
      </c>
      <c r="AD1174">
        <v>42</v>
      </c>
      <c r="AE1174" s="7"/>
      <c r="AF1174" s="7"/>
      <c r="AG1174" s="7"/>
      <c r="AH1174" s="7"/>
      <c r="AI1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74" s="7"/>
      <c r="AK1174" t="s">
        <v>690</v>
      </c>
      <c r="AN1174">
        <f>IFERROR(INT(Table13[[#This Row],[reject_prod]]/Table13[[#This Row],[part_weight]] * 1000), 0)</f>
        <v>0</v>
      </c>
    </row>
    <row r="1175" spans="1:40" hidden="1">
      <c r="A1175" s="1">
        <v>46057</v>
      </c>
      <c r="B1175">
        <v>2</v>
      </c>
      <c r="C1175">
        <v>15</v>
      </c>
      <c r="D1175" t="s">
        <v>59</v>
      </c>
      <c r="E1175" t="s">
        <v>46</v>
      </c>
      <c r="F1175">
        <v>552181</v>
      </c>
      <c r="G1175" s="6">
        <v>2</v>
      </c>
      <c r="H1175" t="s">
        <v>49</v>
      </c>
      <c r="I1175">
        <v>10685541</v>
      </c>
      <c r="J1175">
        <v>6</v>
      </c>
      <c r="K1175">
        <v>18.8</v>
      </c>
      <c r="L1175">
        <v>18.8</v>
      </c>
      <c r="M1175">
        <v>1395</v>
      </c>
      <c r="N1175" s="2">
        <v>108000</v>
      </c>
      <c r="O1175" s="2">
        <v>4590</v>
      </c>
      <c r="P1175" s="2">
        <v>2160</v>
      </c>
      <c r="Q1175" s="2">
        <v>8370</v>
      </c>
      <c r="R1175" s="2">
        <v>10800</v>
      </c>
      <c r="S1175">
        <v>203.04</v>
      </c>
      <c r="T1175" s="2">
        <v>93960</v>
      </c>
      <c r="U1175" s="2">
        <v>14040</v>
      </c>
      <c r="V1175">
        <v>157.35599999999999</v>
      </c>
      <c r="W1175">
        <v>0</v>
      </c>
      <c r="X1175">
        <v>0</v>
      </c>
      <c r="Y1175">
        <v>0</v>
      </c>
      <c r="Z1175">
        <v>1</v>
      </c>
      <c r="AA1175">
        <v>6.3550166501436236E-3</v>
      </c>
      <c r="AB1175">
        <v>31.2</v>
      </c>
      <c r="AC1175">
        <v>12</v>
      </c>
      <c r="AD1175">
        <v>27</v>
      </c>
      <c r="AE1175" s="7"/>
      <c r="AF1175" s="7"/>
      <c r="AG1175" s="7"/>
      <c r="AH1175" s="7"/>
      <c r="AI1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75" s="7"/>
      <c r="AK1175" t="s">
        <v>51</v>
      </c>
      <c r="AN1175">
        <f>IFERROR(INT(Table13[[#This Row],[reject_prod]]/Table13[[#This Row],[part_weight]] * 1000), 0)</f>
        <v>53</v>
      </c>
    </row>
    <row r="1176" spans="1:40" s="4" customFormat="1" hidden="1">
      <c r="A1176" s="3">
        <v>46057</v>
      </c>
      <c r="B1176" s="4">
        <v>2</v>
      </c>
      <c r="C1176" s="4">
        <v>16</v>
      </c>
      <c r="D1176" s="4" t="s">
        <v>33</v>
      </c>
      <c r="E1176" s="4" t="s">
        <v>46</v>
      </c>
      <c r="F1176" s="4">
        <v>555979</v>
      </c>
      <c r="G1176" s="9">
        <v>2</v>
      </c>
      <c r="H1176" s="4" t="s">
        <v>52</v>
      </c>
      <c r="I1176" s="4" t="s">
        <v>490</v>
      </c>
      <c r="J1176" s="4">
        <v>6</v>
      </c>
      <c r="K1176" s="4">
        <v>28</v>
      </c>
      <c r="L1176" s="4">
        <v>28</v>
      </c>
      <c r="M1176" s="4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4">
        <v>0</v>
      </c>
      <c r="T1176" s="5">
        <v>0</v>
      </c>
      <c r="U1176" s="5">
        <v>0</v>
      </c>
      <c r="V1176" s="4">
        <v>0</v>
      </c>
      <c r="W1176" s="4">
        <v>0</v>
      </c>
      <c r="X1176" s="4">
        <v>3.8</v>
      </c>
      <c r="Y1176" s="4" t="e">
        <v>#DIV/0!</v>
      </c>
      <c r="Z1176" s="4">
        <v>0</v>
      </c>
      <c r="AA1176" s="4" t="e">
        <v>#DIV/0!</v>
      </c>
      <c r="AB1176" s="4">
        <v>43.5</v>
      </c>
      <c r="AC1176" s="4">
        <v>0</v>
      </c>
      <c r="AD1176" s="4">
        <v>42</v>
      </c>
      <c r="AE1176" s="8"/>
      <c r="AF1176" s="8"/>
      <c r="AG1176" s="8"/>
      <c r="AH1176" s="8"/>
      <c r="AI117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76" s="8"/>
      <c r="AK1176" s="4" t="s">
        <v>691</v>
      </c>
      <c r="AN1176">
        <f>IFERROR(INT(Table13[[#This Row],[reject_prod]]/Table13[[#This Row],[part_weight]] * 1000), 0)</f>
        <v>0</v>
      </c>
    </row>
    <row r="1177" spans="1:40" hidden="1">
      <c r="A1177" s="1">
        <v>46058</v>
      </c>
      <c r="B1177">
        <v>1</v>
      </c>
      <c r="C1177">
        <v>1</v>
      </c>
      <c r="D1177" t="s">
        <v>40</v>
      </c>
      <c r="E1177" t="s">
        <v>34</v>
      </c>
      <c r="F1177">
        <v>347623</v>
      </c>
      <c r="G1177" s="6">
        <v>0</v>
      </c>
      <c r="H1177" t="s">
        <v>35</v>
      </c>
      <c r="I1177">
        <v>10686760</v>
      </c>
      <c r="J1177">
        <v>4</v>
      </c>
      <c r="K1177">
        <v>35.6</v>
      </c>
      <c r="L1177">
        <v>35.6</v>
      </c>
      <c r="M1177">
        <v>1601</v>
      </c>
      <c r="N1177" s="2">
        <v>20240</v>
      </c>
      <c r="O1177" s="2">
        <v>368</v>
      </c>
      <c r="P1177" s="2">
        <v>1104</v>
      </c>
      <c r="Q1177" s="2">
        <v>6404</v>
      </c>
      <c r="R1177" s="2">
        <v>5520</v>
      </c>
      <c r="S1177">
        <v>196.512</v>
      </c>
      <c r="T1177" s="2">
        <v>6624</v>
      </c>
      <c r="U1177" s="2">
        <v>13616</v>
      </c>
      <c r="V1177">
        <v>227.98240000000001</v>
      </c>
      <c r="W1177">
        <v>0</v>
      </c>
      <c r="X1177">
        <v>0</v>
      </c>
      <c r="Y1177">
        <v>0</v>
      </c>
      <c r="Z1177">
        <v>5.3</v>
      </c>
      <c r="AA1177">
        <v>2.3247408571889758E-2</v>
      </c>
      <c r="AB1177">
        <v>26.7</v>
      </c>
      <c r="AC1177">
        <v>11.874083333333333</v>
      </c>
      <c r="AD1177">
        <v>27</v>
      </c>
      <c r="AE1177" s="7"/>
      <c r="AF1177" s="7"/>
      <c r="AG1177" s="7"/>
      <c r="AH1177" s="7"/>
      <c r="AI1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0.1259166666666669</v>
      </c>
      <c r="AJ1177" s="7"/>
      <c r="AK1177" t="s">
        <v>692</v>
      </c>
      <c r="AM1177">
        <v>2</v>
      </c>
      <c r="AN1177">
        <f>IFERROR(INT(Table13[[#This Row],[reject_prod]]/Table13[[#This Row],[part_weight]] * 1000), 0)</f>
        <v>148</v>
      </c>
    </row>
    <row r="1178" spans="1:40" hidden="1">
      <c r="A1178" s="1">
        <v>46058</v>
      </c>
      <c r="B1178">
        <v>1</v>
      </c>
      <c r="C1178">
        <v>2</v>
      </c>
      <c r="D1178" t="s">
        <v>67</v>
      </c>
      <c r="E1178" t="s">
        <v>34</v>
      </c>
      <c r="F1178">
        <v>324163</v>
      </c>
      <c r="G1178" s="6">
        <v>0</v>
      </c>
      <c r="H1178" t="s">
        <v>672</v>
      </c>
      <c r="I1178">
        <v>10684851</v>
      </c>
      <c r="J1178">
        <v>4</v>
      </c>
      <c r="K1178">
        <v>24</v>
      </c>
      <c r="L1178">
        <v>23.5</v>
      </c>
      <c r="M1178">
        <v>1905</v>
      </c>
      <c r="N1178" s="2">
        <v>73152</v>
      </c>
      <c r="O1178" s="2">
        <v>2429</v>
      </c>
      <c r="P1178" s="2">
        <v>1905</v>
      </c>
      <c r="Q1178" s="2">
        <v>7620</v>
      </c>
      <c r="R1178" s="2">
        <v>9144</v>
      </c>
      <c r="S1178">
        <v>214.88399999999999</v>
      </c>
      <c r="T1178" s="2">
        <v>15729</v>
      </c>
      <c r="U1178" s="2">
        <v>57423</v>
      </c>
      <c r="V1178">
        <v>179.07</v>
      </c>
      <c r="W1178">
        <v>0</v>
      </c>
      <c r="X1178">
        <v>0</v>
      </c>
      <c r="Y1178">
        <v>0</v>
      </c>
      <c r="Z1178">
        <v>0.5</v>
      </c>
      <c r="AA1178">
        <v>2.7922041659686155E-3</v>
      </c>
      <c r="AB1178">
        <v>22.2</v>
      </c>
      <c r="AC1178">
        <v>11.7475</v>
      </c>
      <c r="AD1178">
        <v>22.5</v>
      </c>
      <c r="AE1178" s="7"/>
      <c r="AF1178" s="7"/>
      <c r="AG1178" s="7"/>
      <c r="AH1178" s="7"/>
      <c r="AI1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0.2524999999999995</v>
      </c>
      <c r="AJ1178" s="7"/>
      <c r="AK1178" t="s">
        <v>79</v>
      </c>
      <c r="AN1178">
        <f>IFERROR(INT(Table13[[#This Row],[reject_prod]]/Table13[[#This Row],[part_weight]] * 1000), 0)</f>
        <v>21</v>
      </c>
    </row>
    <row r="1179" spans="1:40" hidden="1">
      <c r="A1179" s="1">
        <v>46058</v>
      </c>
      <c r="B1179">
        <v>1</v>
      </c>
      <c r="C1179">
        <v>3</v>
      </c>
      <c r="D1179" t="s">
        <v>141</v>
      </c>
      <c r="E1179" t="s">
        <v>34</v>
      </c>
      <c r="F1179">
        <v>442034</v>
      </c>
      <c r="G1179" s="6">
        <v>0</v>
      </c>
      <c r="H1179" t="s">
        <v>37</v>
      </c>
      <c r="I1179">
        <v>10685633</v>
      </c>
      <c r="J1179">
        <v>4</v>
      </c>
      <c r="K1179">
        <v>23</v>
      </c>
      <c r="L1179">
        <v>23</v>
      </c>
      <c r="M1179">
        <v>1451</v>
      </c>
      <c r="N1179" s="2">
        <v>139776</v>
      </c>
      <c r="O1179" s="2">
        <v>0</v>
      </c>
      <c r="P1179" s="2">
        <v>1152</v>
      </c>
      <c r="Q1179" s="2">
        <v>5804</v>
      </c>
      <c r="R1179" s="2">
        <v>4608</v>
      </c>
      <c r="S1179">
        <v>105.98399999999999</v>
      </c>
      <c r="T1179" s="2">
        <v>28800</v>
      </c>
      <c r="U1179" s="2">
        <v>110976</v>
      </c>
      <c r="V1179">
        <v>133.49199999999999</v>
      </c>
      <c r="W1179">
        <v>0</v>
      </c>
      <c r="X1179">
        <v>0</v>
      </c>
      <c r="Y1179">
        <v>0</v>
      </c>
      <c r="Z1179">
        <v>1</v>
      </c>
      <c r="AA1179">
        <v>7.4910856081263303E-3</v>
      </c>
      <c r="AB1179">
        <v>28.5</v>
      </c>
      <c r="AC1179">
        <v>11.487083333333334</v>
      </c>
      <c r="AD1179">
        <v>22</v>
      </c>
      <c r="AE1179" s="7"/>
      <c r="AF1179" s="7"/>
      <c r="AG1179" s="7"/>
      <c r="AH1179" s="7"/>
      <c r="AI1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0.51291666666666558</v>
      </c>
      <c r="AJ1179" s="7"/>
      <c r="AK1179" t="s">
        <v>214</v>
      </c>
      <c r="AN1179">
        <f>IFERROR(INT(Table13[[#This Row],[reject_prod]]/Table13[[#This Row],[part_weight]] * 1000), 0)</f>
        <v>43</v>
      </c>
    </row>
    <row r="1180" spans="1:40" hidden="1">
      <c r="A1180" s="1">
        <v>46058</v>
      </c>
      <c r="B1180">
        <v>1</v>
      </c>
      <c r="C1180">
        <v>4</v>
      </c>
      <c r="D1180" t="s">
        <v>65</v>
      </c>
      <c r="E1180" t="s">
        <v>34</v>
      </c>
      <c r="F1180">
        <v>414439</v>
      </c>
      <c r="G1180" s="6">
        <v>0</v>
      </c>
      <c r="H1180" t="s">
        <v>587</v>
      </c>
      <c r="I1180">
        <v>10684854</v>
      </c>
      <c r="J1180">
        <v>6</v>
      </c>
      <c r="K1180">
        <v>23</v>
      </c>
      <c r="L1180">
        <v>15</v>
      </c>
      <c r="M1180">
        <v>935</v>
      </c>
      <c r="N1180" s="2">
        <v>59136</v>
      </c>
      <c r="O1180" s="2">
        <v>1848</v>
      </c>
      <c r="P1180" s="2">
        <v>0</v>
      </c>
      <c r="Q1180" s="2">
        <v>5610</v>
      </c>
      <c r="R1180" s="2">
        <v>7392</v>
      </c>
      <c r="S1180">
        <v>110.88</v>
      </c>
      <c r="T1180" s="2">
        <v>59136</v>
      </c>
      <c r="U1180" s="2">
        <v>0</v>
      </c>
      <c r="V1180">
        <v>84.15</v>
      </c>
      <c r="W1180">
        <v>0</v>
      </c>
      <c r="X1180">
        <v>0</v>
      </c>
      <c r="Y1180">
        <v>0</v>
      </c>
      <c r="Z1180">
        <v>1</v>
      </c>
      <c r="AA1180">
        <v>1.1883541295306001E-2</v>
      </c>
      <c r="AB1180">
        <v>20</v>
      </c>
      <c r="AC1180">
        <v>5.1944444444444446</v>
      </c>
      <c r="AD1180">
        <v>15</v>
      </c>
      <c r="AE1180" s="7">
        <v>5.25</v>
      </c>
      <c r="AF1180" s="7"/>
      <c r="AG1180" s="7"/>
      <c r="AH1180" s="7"/>
      <c r="AI1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1.5555555555555554</v>
      </c>
      <c r="AJ1180" s="7"/>
      <c r="AK1180" t="s">
        <v>693</v>
      </c>
      <c r="AL1180">
        <v>5</v>
      </c>
      <c r="AM1180">
        <v>5</v>
      </c>
      <c r="AN1180">
        <f>IFERROR(INT(Table13[[#This Row],[reject_prod]]/Table13[[#This Row],[part_weight]] * 1000), 0)</f>
        <v>66</v>
      </c>
    </row>
    <row r="1181" spans="1:40" hidden="1">
      <c r="A1181" s="1">
        <v>46058</v>
      </c>
      <c r="B1181">
        <v>1</v>
      </c>
      <c r="C1181">
        <v>4</v>
      </c>
      <c r="D1181" t="s">
        <v>65</v>
      </c>
      <c r="E1181" t="s">
        <v>34</v>
      </c>
      <c r="F1181">
        <v>322477</v>
      </c>
      <c r="G1181" s="6">
        <v>0</v>
      </c>
      <c r="H1181" t="s">
        <v>694</v>
      </c>
      <c r="I1181">
        <v>10685205</v>
      </c>
      <c r="J1181">
        <v>4</v>
      </c>
      <c r="K1181">
        <v>44</v>
      </c>
      <c r="L1181">
        <v>44</v>
      </c>
      <c r="M1181">
        <v>198</v>
      </c>
      <c r="N1181" s="2">
        <v>3150</v>
      </c>
      <c r="O1181" s="2">
        <v>0</v>
      </c>
      <c r="P1181" s="2">
        <v>630</v>
      </c>
      <c r="Q1181" s="2">
        <v>792</v>
      </c>
      <c r="R1181" s="2">
        <v>0</v>
      </c>
      <c r="S1181">
        <v>0</v>
      </c>
      <c r="T1181" s="2">
        <v>630</v>
      </c>
      <c r="U1181" s="2">
        <v>2520</v>
      </c>
      <c r="V1181">
        <v>34.847999999999999</v>
      </c>
      <c r="W1181">
        <v>0</v>
      </c>
      <c r="X1181">
        <v>7</v>
      </c>
      <c r="Y1181">
        <v>0.20087235996326905</v>
      </c>
      <c r="Z1181">
        <v>0</v>
      </c>
      <c r="AA1181">
        <v>0</v>
      </c>
      <c r="AB1181">
        <v>28</v>
      </c>
      <c r="AC1181">
        <v>1.54</v>
      </c>
      <c r="AD1181">
        <v>26</v>
      </c>
      <c r="AE1181" s="7"/>
      <c r="AF1181" s="7"/>
      <c r="AG1181" s="7"/>
      <c r="AH1181" s="7"/>
      <c r="AI1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10.46</v>
      </c>
      <c r="AJ1181" s="7"/>
      <c r="AK1181" t="s">
        <v>695</v>
      </c>
      <c r="AN1181">
        <f>IFERROR(INT(Table13[[#This Row],[reject_prod]]/Table13[[#This Row],[part_weight]] * 1000), 0)</f>
        <v>0</v>
      </c>
    </row>
    <row r="1182" spans="1:40" hidden="1">
      <c r="A1182" s="1">
        <v>46058</v>
      </c>
      <c r="B1182">
        <v>1</v>
      </c>
      <c r="C1182">
        <v>5</v>
      </c>
      <c r="D1182" t="s">
        <v>536</v>
      </c>
      <c r="E1182" t="s">
        <v>34</v>
      </c>
      <c r="F1182">
        <v>322448</v>
      </c>
      <c r="G1182" s="6">
        <v>0</v>
      </c>
      <c r="H1182" t="s">
        <v>654</v>
      </c>
      <c r="I1182">
        <v>10686572</v>
      </c>
      <c r="J1182">
        <v>4</v>
      </c>
      <c r="K1182">
        <v>40</v>
      </c>
      <c r="L1182">
        <v>40</v>
      </c>
      <c r="M1182">
        <v>1338</v>
      </c>
      <c r="N1182" s="2">
        <v>58320</v>
      </c>
      <c r="O1182" s="2">
        <v>0</v>
      </c>
      <c r="P1182" s="2">
        <v>324</v>
      </c>
      <c r="Q1182" s="2">
        <v>5352</v>
      </c>
      <c r="R1182" s="2">
        <v>4860</v>
      </c>
      <c r="S1182">
        <v>194.4</v>
      </c>
      <c r="T1182" s="2">
        <v>11664</v>
      </c>
      <c r="U1182" s="2">
        <v>46656</v>
      </c>
      <c r="V1182">
        <v>214.08</v>
      </c>
      <c r="W1182">
        <v>0</v>
      </c>
      <c r="X1182">
        <v>0</v>
      </c>
      <c r="Y1182">
        <v>0</v>
      </c>
      <c r="Z1182">
        <v>6.7</v>
      </c>
      <c r="AA1182">
        <v>3.1296711509715996E-2</v>
      </c>
      <c r="AB1182">
        <v>25.5</v>
      </c>
      <c r="AC1182">
        <v>9.4774999999999991</v>
      </c>
      <c r="AD1182">
        <v>23</v>
      </c>
      <c r="AE1182" s="7"/>
      <c r="AF1182" s="7"/>
      <c r="AG1182" s="7"/>
      <c r="AH1182" s="7">
        <v>2.5</v>
      </c>
      <c r="AI1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2.2500000000000853E-2</v>
      </c>
      <c r="AJ1182" s="7"/>
      <c r="AK1182" t="s">
        <v>696</v>
      </c>
      <c r="AL1182">
        <v>3</v>
      </c>
      <c r="AM1182">
        <v>5</v>
      </c>
      <c r="AN1182">
        <f>IFERROR(INT(Table13[[#This Row],[reject_prod]]/Table13[[#This Row],[part_weight]] * 1000), 0)</f>
        <v>167</v>
      </c>
    </row>
    <row r="1183" spans="1:40" hidden="1">
      <c r="A1183" s="1">
        <v>46058</v>
      </c>
      <c r="B1183">
        <v>1</v>
      </c>
      <c r="C1183">
        <v>6</v>
      </c>
      <c r="E1183" t="s">
        <v>34</v>
      </c>
      <c r="F1183">
        <v>322422</v>
      </c>
      <c r="G1183" s="6">
        <v>0</v>
      </c>
      <c r="H1183" t="s">
        <v>656</v>
      </c>
      <c r="I1183">
        <v>10685442</v>
      </c>
      <c r="J1183">
        <v>4</v>
      </c>
      <c r="K1183">
        <v>34</v>
      </c>
      <c r="L1183">
        <v>34</v>
      </c>
      <c r="M1183">
        <v>0</v>
      </c>
      <c r="N1183" s="2">
        <v>9000</v>
      </c>
      <c r="O1183" s="2">
        <v>0</v>
      </c>
      <c r="P1183" s="2">
        <v>0</v>
      </c>
      <c r="Q1183" s="2">
        <v>0</v>
      </c>
      <c r="R1183" s="2">
        <v>0</v>
      </c>
      <c r="S1183">
        <v>0</v>
      </c>
      <c r="T1183" s="2">
        <v>0</v>
      </c>
      <c r="U1183" s="2">
        <v>9000</v>
      </c>
      <c r="V1183">
        <v>0</v>
      </c>
      <c r="W1183">
        <v>0</v>
      </c>
      <c r="X1183">
        <v>0</v>
      </c>
      <c r="Y1183" t="e">
        <v>#DIV/0!</v>
      </c>
      <c r="Z1183">
        <v>0</v>
      </c>
      <c r="AA1183" t="e">
        <v>#DIV/0!</v>
      </c>
      <c r="AB1183">
        <v>21.3</v>
      </c>
      <c r="AC1183">
        <v>0</v>
      </c>
      <c r="AD1183">
        <v>21.68</v>
      </c>
      <c r="AE1183" s="7"/>
      <c r="AF1183" s="7"/>
      <c r="AG1183" s="7"/>
      <c r="AH1183" s="7">
        <v>12</v>
      </c>
      <c r="AI1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3" s="7"/>
      <c r="AK1183" t="s">
        <v>697</v>
      </c>
      <c r="AL1183">
        <v>7</v>
      </c>
      <c r="AM1183">
        <v>5</v>
      </c>
      <c r="AN1183">
        <f>IFERROR(INT(Table13[[#This Row],[reject_prod]]/Table13[[#This Row],[part_weight]] * 1000), 0)</f>
        <v>0</v>
      </c>
    </row>
    <row r="1184" spans="1:40" hidden="1">
      <c r="A1184" s="1">
        <v>46058</v>
      </c>
      <c r="B1184">
        <v>1</v>
      </c>
      <c r="C1184">
        <v>7</v>
      </c>
      <c r="D1184" t="s">
        <v>698</v>
      </c>
      <c r="E1184" t="s">
        <v>34</v>
      </c>
      <c r="F1184">
        <v>324173</v>
      </c>
      <c r="G1184" s="6">
        <v>0</v>
      </c>
      <c r="H1184" t="s">
        <v>677</v>
      </c>
      <c r="I1184">
        <v>10683859</v>
      </c>
      <c r="J1184">
        <v>4</v>
      </c>
      <c r="K1184">
        <v>34</v>
      </c>
      <c r="L1184">
        <v>34.5</v>
      </c>
      <c r="M1184">
        <v>1718</v>
      </c>
      <c r="N1184" s="2">
        <v>42000</v>
      </c>
      <c r="O1184" s="2">
        <v>0</v>
      </c>
      <c r="P1184" s="2">
        <v>300</v>
      </c>
      <c r="Q1184" s="2">
        <v>6872</v>
      </c>
      <c r="R1184" s="2">
        <v>6300</v>
      </c>
      <c r="S1184">
        <v>217.35</v>
      </c>
      <c r="T1184" s="2">
        <v>10800</v>
      </c>
      <c r="U1184" s="2">
        <v>31200</v>
      </c>
      <c r="V1184">
        <v>237.084</v>
      </c>
      <c r="W1184">
        <v>0</v>
      </c>
      <c r="X1184">
        <v>0</v>
      </c>
      <c r="Y1184">
        <v>0</v>
      </c>
      <c r="Z1184">
        <v>9.5</v>
      </c>
      <c r="AA1184">
        <v>4.0070186094380053E-2</v>
      </c>
      <c r="AB1184">
        <v>24.1</v>
      </c>
      <c r="AC1184">
        <v>11.501055555555556</v>
      </c>
      <c r="AD1184">
        <v>20.399999999999999</v>
      </c>
      <c r="AE1184" s="7"/>
      <c r="AF1184" s="7"/>
      <c r="AG1184" s="7"/>
      <c r="AH1184" s="7"/>
      <c r="AI1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0.49894444444444375</v>
      </c>
      <c r="AJ1184" s="7"/>
      <c r="AK1184" t="s">
        <v>168</v>
      </c>
      <c r="AL1184">
        <v>3</v>
      </c>
      <c r="AM1184">
        <v>4</v>
      </c>
      <c r="AN1184">
        <f>IFERROR(INT(Table13[[#This Row],[reject_prod]]/Table13[[#This Row],[part_weight]] * 1000), 0)</f>
        <v>275</v>
      </c>
    </row>
    <row r="1185" spans="1:40" hidden="1">
      <c r="A1185" s="1">
        <v>46058</v>
      </c>
      <c r="B1185">
        <v>1</v>
      </c>
      <c r="C1185">
        <v>8</v>
      </c>
      <c r="D1185" t="s">
        <v>170</v>
      </c>
      <c r="E1185" t="s">
        <v>41</v>
      </c>
      <c r="F1185">
        <v>593537</v>
      </c>
      <c r="G1185" s="6">
        <v>0</v>
      </c>
      <c r="H1185" t="s">
        <v>48</v>
      </c>
      <c r="I1185">
        <v>10685813</v>
      </c>
      <c r="J1185">
        <v>4</v>
      </c>
      <c r="K1185">
        <v>56.5</v>
      </c>
      <c r="L1185">
        <v>56.8</v>
      </c>
      <c r="M1185">
        <v>1410</v>
      </c>
      <c r="N1185" s="2">
        <v>69000</v>
      </c>
      <c r="O1185" s="2">
        <v>1265</v>
      </c>
      <c r="P1185" s="2">
        <v>230</v>
      </c>
      <c r="Q1185" s="2">
        <v>5640</v>
      </c>
      <c r="R1185" s="2">
        <v>6325</v>
      </c>
      <c r="S1185">
        <v>359.26</v>
      </c>
      <c r="T1185" s="2">
        <v>19780</v>
      </c>
      <c r="U1185" s="2">
        <v>49220</v>
      </c>
      <c r="V1185">
        <v>320.35199999999998</v>
      </c>
      <c r="W1185">
        <v>0</v>
      </c>
      <c r="X1185">
        <v>7.5</v>
      </c>
      <c r="Y1185">
        <v>2.3411747078213967E-2</v>
      </c>
      <c r="Z1185">
        <v>2</v>
      </c>
      <c r="AA1185">
        <v>6.2431325541903908E-3</v>
      </c>
      <c r="AB1185">
        <v>31</v>
      </c>
      <c r="AC1185">
        <v>12</v>
      </c>
      <c r="AD1185">
        <v>28.5</v>
      </c>
      <c r="AE1185" s="7"/>
      <c r="AF1185" s="7"/>
      <c r="AG1185" s="7"/>
      <c r="AH1185" s="7"/>
      <c r="AI1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5" s="7"/>
      <c r="AK1185" t="s">
        <v>51</v>
      </c>
      <c r="AL1185">
        <v>4</v>
      </c>
      <c r="AM1185">
        <v>3</v>
      </c>
      <c r="AN1185">
        <f>IFERROR(INT(Table13[[#This Row],[reject_prod]]/Table13[[#This Row],[part_weight]] * 1000), 0)</f>
        <v>35</v>
      </c>
    </row>
    <row r="1186" spans="1:40" hidden="1">
      <c r="A1186" s="1">
        <v>46058</v>
      </c>
      <c r="B1186">
        <v>1</v>
      </c>
      <c r="C1186">
        <v>9</v>
      </c>
      <c r="D1186" t="s">
        <v>152</v>
      </c>
      <c r="E1186" t="s">
        <v>46</v>
      </c>
      <c r="F1186">
        <v>586276</v>
      </c>
      <c r="G1186" s="6">
        <v>1</v>
      </c>
      <c r="H1186" t="s">
        <v>47</v>
      </c>
      <c r="I1186">
        <v>10683781</v>
      </c>
      <c r="J1186">
        <v>6</v>
      </c>
      <c r="K1186">
        <v>12.3</v>
      </c>
      <c r="L1186">
        <v>12.3</v>
      </c>
      <c r="M1186">
        <v>1581</v>
      </c>
      <c r="N1186" s="2">
        <v>162000</v>
      </c>
      <c r="O1186" s="2">
        <v>0</v>
      </c>
      <c r="P1186" s="2">
        <v>1215</v>
      </c>
      <c r="Q1186" s="2">
        <v>9486</v>
      </c>
      <c r="R1186" s="2">
        <v>8100</v>
      </c>
      <c r="S1186">
        <v>99.63</v>
      </c>
      <c r="T1186" s="2">
        <v>33615</v>
      </c>
      <c r="U1186" s="2">
        <v>128385</v>
      </c>
      <c r="V1186">
        <v>116.6778</v>
      </c>
      <c r="W1186">
        <v>0</v>
      </c>
      <c r="X1186">
        <v>0</v>
      </c>
      <c r="Y1186">
        <v>0</v>
      </c>
      <c r="Z1186">
        <v>2</v>
      </c>
      <c r="AA1186">
        <v>1.714122138058825E-2</v>
      </c>
      <c r="AB1186">
        <v>26.6</v>
      </c>
      <c r="AC1186">
        <v>11.681833333333334</v>
      </c>
      <c r="AD1186">
        <v>26</v>
      </c>
      <c r="AE1186" s="7"/>
      <c r="AF1186" s="7"/>
      <c r="AG1186" s="7"/>
      <c r="AH1186" s="7"/>
      <c r="AI1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0.31816666666666649</v>
      </c>
      <c r="AJ1186" s="7"/>
      <c r="AK1186" t="s">
        <v>699</v>
      </c>
      <c r="AN1186">
        <f>IFERROR(INT(Table13[[#This Row],[reject_prod]]/Table13[[#This Row],[part_weight]] * 1000), 0)</f>
        <v>162</v>
      </c>
    </row>
    <row r="1187" spans="1:40" hidden="1">
      <c r="A1187" s="1">
        <v>46058</v>
      </c>
      <c r="B1187">
        <v>1</v>
      </c>
      <c r="C1187">
        <v>10</v>
      </c>
      <c r="D1187" t="s">
        <v>112</v>
      </c>
      <c r="E1187" t="s">
        <v>34</v>
      </c>
      <c r="F1187">
        <v>324638</v>
      </c>
      <c r="G1187" s="6">
        <v>0</v>
      </c>
      <c r="H1187" t="s">
        <v>687</v>
      </c>
      <c r="I1187">
        <v>10685639</v>
      </c>
      <c r="J1187">
        <v>4</v>
      </c>
      <c r="K1187">
        <v>77.5</v>
      </c>
      <c r="L1187">
        <v>77.5</v>
      </c>
      <c r="M1187">
        <v>1094</v>
      </c>
      <c r="N1187" s="2">
        <v>26496</v>
      </c>
      <c r="O1187" s="2">
        <v>0</v>
      </c>
      <c r="P1187" s="2">
        <v>0</v>
      </c>
      <c r="Q1187" s="2">
        <v>4376</v>
      </c>
      <c r="R1187" s="2">
        <v>4140</v>
      </c>
      <c r="S1187">
        <v>320.85000000000002</v>
      </c>
      <c r="T1187" s="2">
        <v>5796</v>
      </c>
      <c r="U1187" s="2">
        <v>20700</v>
      </c>
      <c r="V1187">
        <v>339.14</v>
      </c>
      <c r="W1187">
        <v>0</v>
      </c>
      <c r="X1187">
        <v>0</v>
      </c>
      <c r="Y1187">
        <v>0</v>
      </c>
      <c r="Z1187">
        <v>18</v>
      </c>
      <c r="AA1187">
        <v>5.3075426077726015E-2</v>
      </c>
      <c r="AB1187">
        <v>38.1</v>
      </c>
      <c r="AC1187">
        <v>11.578166666666666</v>
      </c>
      <c r="AD1187">
        <v>36</v>
      </c>
      <c r="AE1187" s="7"/>
      <c r="AF1187" s="7"/>
      <c r="AG1187" s="7"/>
      <c r="AH1187" s="7"/>
      <c r="AI1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0.42183333333333373</v>
      </c>
      <c r="AJ1187" s="7"/>
      <c r="AK1187" t="s">
        <v>700</v>
      </c>
      <c r="AL1187">
        <v>4</v>
      </c>
      <c r="AM1187">
        <v>13</v>
      </c>
      <c r="AN1187">
        <f>IFERROR(INT(Table13[[#This Row],[reject_prod]]/Table13[[#This Row],[part_weight]] * 1000), 0)</f>
        <v>232</v>
      </c>
    </row>
    <row r="1188" spans="1:40" hidden="1">
      <c r="A1188" s="1">
        <v>46058</v>
      </c>
      <c r="B1188">
        <v>1</v>
      </c>
      <c r="C1188">
        <v>11</v>
      </c>
      <c r="D1188" t="s">
        <v>149</v>
      </c>
      <c r="E1188" t="s">
        <v>46</v>
      </c>
      <c r="F1188">
        <v>552181</v>
      </c>
      <c r="G1188" s="6">
        <v>1</v>
      </c>
      <c r="H1188" t="s">
        <v>49</v>
      </c>
      <c r="I1188">
        <v>10685339</v>
      </c>
      <c r="J1188">
        <v>6</v>
      </c>
      <c r="K1188">
        <v>18.8</v>
      </c>
      <c r="L1188">
        <v>18.8</v>
      </c>
      <c r="M1188">
        <v>1425</v>
      </c>
      <c r="N1188" s="2">
        <v>108000</v>
      </c>
      <c r="O1188" s="2">
        <v>2160</v>
      </c>
      <c r="P1188" s="2">
        <v>4860</v>
      </c>
      <c r="Q1188" s="2">
        <v>8550</v>
      </c>
      <c r="R1188" s="2">
        <v>5400</v>
      </c>
      <c r="S1188">
        <v>101.52</v>
      </c>
      <c r="T1188" s="2">
        <v>10260</v>
      </c>
      <c r="U1188" s="2">
        <v>97740</v>
      </c>
      <c r="V1188">
        <v>160.74</v>
      </c>
      <c r="W1188">
        <v>0</v>
      </c>
      <c r="X1188">
        <v>33.700000000000003</v>
      </c>
      <c r="Y1188">
        <v>0.20965534403384348</v>
      </c>
      <c r="Z1188">
        <v>8.5</v>
      </c>
      <c r="AA1188">
        <v>5.2880428020405622E-2</v>
      </c>
      <c r="AB1188">
        <v>29.4</v>
      </c>
      <c r="AC1188">
        <v>11.637499999999999</v>
      </c>
      <c r="AD1188">
        <v>27</v>
      </c>
      <c r="AE1188" s="7"/>
      <c r="AF1188" s="7"/>
      <c r="AG1188" s="7"/>
      <c r="AH1188" s="7"/>
      <c r="AI1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0.36250000000000071</v>
      </c>
      <c r="AJ1188" s="7"/>
      <c r="AK1188" t="s">
        <v>237</v>
      </c>
      <c r="AN1188">
        <f>IFERROR(INT(Table13[[#This Row],[reject_prod]]/Table13[[#This Row],[part_weight]] * 1000), 0)</f>
        <v>452</v>
      </c>
    </row>
    <row r="1189" spans="1:40" hidden="1">
      <c r="A1189" s="1">
        <v>46058</v>
      </c>
      <c r="B1189">
        <v>1</v>
      </c>
      <c r="C1189">
        <v>12</v>
      </c>
      <c r="D1189" t="s">
        <v>43</v>
      </c>
      <c r="E1189" t="s">
        <v>34</v>
      </c>
      <c r="F1189">
        <v>620599</v>
      </c>
      <c r="G1189" s="6">
        <v>0</v>
      </c>
      <c r="H1189" t="s">
        <v>50</v>
      </c>
      <c r="I1189">
        <v>10685340</v>
      </c>
      <c r="J1189">
        <v>4</v>
      </c>
      <c r="K1189">
        <v>55</v>
      </c>
      <c r="L1189">
        <v>55</v>
      </c>
      <c r="M1189">
        <v>1456</v>
      </c>
      <c r="N1189" s="2">
        <v>72000</v>
      </c>
      <c r="O1189" s="2">
        <v>950</v>
      </c>
      <c r="P1189" s="2">
        <v>1350</v>
      </c>
      <c r="Q1189" s="2">
        <v>5824</v>
      </c>
      <c r="R1189" s="2">
        <v>5400</v>
      </c>
      <c r="S1189">
        <v>297</v>
      </c>
      <c r="T1189" s="2">
        <v>58950</v>
      </c>
      <c r="U1189" s="2">
        <v>13050</v>
      </c>
      <c r="V1189">
        <v>320.32</v>
      </c>
      <c r="W1189">
        <v>0</v>
      </c>
      <c r="X1189">
        <v>0</v>
      </c>
      <c r="Y1189">
        <v>0</v>
      </c>
      <c r="Z1189">
        <v>1.2</v>
      </c>
      <c r="AA1189">
        <v>3.746253746253746E-3</v>
      </c>
      <c r="AB1189">
        <v>29</v>
      </c>
      <c r="AC1189">
        <v>11.728888888888889</v>
      </c>
      <c r="AD1189">
        <v>28</v>
      </c>
      <c r="AE1189" s="7"/>
      <c r="AF1189" s="7"/>
      <c r="AG1189" s="7"/>
      <c r="AH1189" s="7"/>
      <c r="AI1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0.27111111111111086</v>
      </c>
      <c r="AJ1189" s="7"/>
      <c r="AK1189" t="s">
        <v>178</v>
      </c>
      <c r="AN1189">
        <f>IFERROR(INT(Table13[[#This Row],[reject_prod]]/Table13[[#This Row],[part_weight]] * 1000), 0)</f>
        <v>21</v>
      </c>
    </row>
    <row r="1190" spans="1:40" hidden="1">
      <c r="A1190" s="1">
        <v>46058</v>
      </c>
      <c r="B1190">
        <v>1</v>
      </c>
      <c r="C1190">
        <v>13</v>
      </c>
      <c r="D1190" t="s">
        <v>149</v>
      </c>
      <c r="E1190" t="s">
        <v>46</v>
      </c>
      <c r="F1190">
        <v>586276</v>
      </c>
      <c r="G1190" s="6">
        <v>2</v>
      </c>
      <c r="H1190" t="s">
        <v>47</v>
      </c>
      <c r="I1190">
        <v>10686191</v>
      </c>
      <c r="J1190">
        <v>6</v>
      </c>
      <c r="K1190">
        <v>12.3</v>
      </c>
      <c r="L1190">
        <v>12.3</v>
      </c>
      <c r="M1190">
        <v>1638</v>
      </c>
      <c r="N1190" s="2">
        <v>162000</v>
      </c>
      <c r="O1190" s="2">
        <v>4455</v>
      </c>
      <c r="P1190" s="2">
        <v>7290</v>
      </c>
      <c r="Q1190" s="2">
        <v>9828</v>
      </c>
      <c r="R1190" s="2">
        <v>8100</v>
      </c>
      <c r="S1190">
        <v>99.63</v>
      </c>
      <c r="T1190" s="2">
        <v>88290</v>
      </c>
      <c r="U1190" s="2">
        <v>73710</v>
      </c>
      <c r="V1190">
        <v>120.88440000000001</v>
      </c>
      <c r="W1190">
        <v>0</v>
      </c>
      <c r="X1190">
        <v>0</v>
      </c>
      <c r="Y1190">
        <v>0</v>
      </c>
      <c r="Z1190">
        <v>1.3</v>
      </c>
      <c r="AA1190">
        <v>1.07540757947262E-2</v>
      </c>
      <c r="AB1190">
        <v>26.2</v>
      </c>
      <c r="AC1190">
        <v>11.921000000000001</v>
      </c>
      <c r="AD1190">
        <v>26</v>
      </c>
      <c r="AE1190" s="7"/>
      <c r="AF1190" s="7"/>
      <c r="AG1190" s="7"/>
      <c r="AH1190" s="7"/>
      <c r="AI1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7.8999999999998849E-2</v>
      </c>
      <c r="AJ1190" s="7"/>
      <c r="AK1190" t="s">
        <v>657</v>
      </c>
      <c r="AN1190">
        <f>IFERROR(INT(Table13[[#This Row],[reject_prod]]/Table13[[#This Row],[part_weight]] * 1000), 0)</f>
        <v>105</v>
      </c>
    </row>
    <row r="1191" spans="1:40" hidden="1">
      <c r="A1191" s="1">
        <v>46058</v>
      </c>
      <c r="B1191">
        <v>1</v>
      </c>
      <c r="C1191">
        <v>14</v>
      </c>
      <c r="D1191" t="s">
        <v>701</v>
      </c>
      <c r="E1191" t="s">
        <v>46</v>
      </c>
      <c r="F1191">
        <v>555979</v>
      </c>
      <c r="G1191" s="6">
        <v>1</v>
      </c>
      <c r="H1191" t="s">
        <v>52</v>
      </c>
      <c r="I1191">
        <v>10683785</v>
      </c>
      <c r="J1191">
        <v>6</v>
      </c>
      <c r="K1191">
        <v>28</v>
      </c>
      <c r="L1191">
        <v>28</v>
      </c>
      <c r="M1191">
        <v>336</v>
      </c>
      <c r="N1191" s="2">
        <v>0</v>
      </c>
      <c r="O1191" s="2">
        <v>0</v>
      </c>
      <c r="P1191" s="2">
        <v>0</v>
      </c>
      <c r="Q1191" s="2">
        <v>2016</v>
      </c>
      <c r="R1191" s="2">
        <v>2016</v>
      </c>
      <c r="S1191">
        <v>56.448</v>
      </c>
      <c r="T1191" s="2">
        <v>0</v>
      </c>
      <c r="U1191" s="2">
        <v>0</v>
      </c>
      <c r="V1191">
        <v>56.448</v>
      </c>
      <c r="W1191">
        <v>0</v>
      </c>
      <c r="X1191">
        <v>12</v>
      </c>
      <c r="Y1191">
        <v>0.21258503401360543</v>
      </c>
      <c r="Z1191">
        <v>0</v>
      </c>
      <c r="AA1191">
        <v>0</v>
      </c>
      <c r="AB1191">
        <v>43</v>
      </c>
      <c r="AC1191">
        <v>4.0133333333333336</v>
      </c>
      <c r="AD1191">
        <v>42</v>
      </c>
      <c r="AE1191" s="7"/>
      <c r="AF1191" s="7"/>
      <c r="AG1191" s="7"/>
      <c r="AH1191" s="7"/>
      <c r="AI1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7.9866666666666664</v>
      </c>
      <c r="AJ1191" s="7"/>
      <c r="AK1191" t="s">
        <v>702</v>
      </c>
      <c r="AL1191">
        <v>6</v>
      </c>
      <c r="AM1191">
        <v>5</v>
      </c>
      <c r="AN1191">
        <f>IFERROR(INT(Table13[[#This Row],[reject_prod]]/Table13[[#This Row],[part_weight]] * 1000), 0)</f>
        <v>0</v>
      </c>
    </row>
    <row r="1192" spans="1:40" hidden="1">
      <c r="A1192" s="1">
        <v>46058</v>
      </c>
      <c r="B1192">
        <v>1</v>
      </c>
      <c r="C1192">
        <v>15</v>
      </c>
      <c r="D1192" t="s">
        <v>149</v>
      </c>
      <c r="E1192" t="s">
        <v>46</v>
      </c>
      <c r="F1192">
        <v>552181</v>
      </c>
      <c r="G1192" s="6">
        <v>2</v>
      </c>
      <c r="H1192" t="s">
        <v>49</v>
      </c>
      <c r="I1192">
        <v>10685541</v>
      </c>
      <c r="J1192">
        <v>6</v>
      </c>
      <c r="K1192">
        <v>18.8</v>
      </c>
      <c r="L1192">
        <v>18.8</v>
      </c>
      <c r="M1192">
        <v>1363</v>
      </c>
      <c r="N1192" s="2">
        <v>108000</v>
      </c>
      <c r="O1192" s="2">
        <v>2160</v>
      </c>
      <c r="P1192" s="2">
        <v>4320</v>
      </c>
      <c r="Q1192" s="2">
        <v>8178</v>
      </c>
      <c r="R1192" s="2">
        <v>10800</v>
      </c>
      <c r="S1192">
        <v>203.04</v>
      </c>
      <c r="T1192" s="2">
        <v>106920</v>
      </c>
      <c r="U1192" s="2">
        <v>1080</v>
      </c>
      <c r="V1192">
        <v>153.74639999999999</v>
      </c>
      <c r="W1192">
        <v>0</v>
      </c>
      <c r="X1192">
        <v>55</v>
      </c>
      <c r="Y1192">
        <v>0.35773195339858366</v>
      </c>
      <c r="Z1192">
        <v>1.5</v>
      </c>
      <c r="AA1192">
        <v>9.7563260017795549E-3</v>
      </c>
      <c r="AB1192">
        <v>31.2</v>
      </c>
      <c r="AC1192">
        <v>11.812666666666667</v>
      </c>
      <c r="AD1192">
        <v>27</v>
      </c>
      <c r="AE1192" s="7"/>
      <c r="AF1192" s="7"/>
      <c r="AG1192" s="7"/>
      <c r="AH1192" s="7"/>
      <c r="AI1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192" s="7"/>
      <c r="AK1192" t="s">
        <v>51</v>
      </c>
      <c r="AN1192">
        <f>IFERROR(INT(Table13[[#This Row],[reject_prod]]/Table13[[#This Row],[part_weight]] * 1000), 0)</f>
        <v>79</v>
      </c>
    </row>
    <row r="1193" spans="1:40" s="4" customFormat="1" hidden="1">
      <c r="A1193" s="3">
        <v>46058</v>
      </c>
      <c r="B1193" s="4">
        <v>1</v>
      </c>
      <c r="C1193" s="4">
        <v>16</v>
      </c>
      <c r="D1193" s="4" t="s">
        <v>703</v>
      </c>
      <c r="E1193" s="4" t="s">
        <v>46</v>
      </c>
      <c r="F1193" s="4">
        <v>555979</v>
      </c>
      <c r="G1193" s="9">
        <v>2</v>
      </c>
      <c r="H1193" s="4" t="s">
        <v>52</v>
      </c>
      <c r="I1193" s="4">
        <v>10685814</v>
      </c>
      <c r="J1193" s="4">
        <v>6</v>
      </c>
      <c r="K1193" s="4">
        <v>28</v>
      </c>
      <c r="L1193" s="4">
        <v>28</v>
      </c>
      <c r="M1193" s="4">
        <v>336</v>
      </c>
      <c r="N1193" s="5">
        <v>0</v>
      </c>
      <c r="O1193" s="5">
        <v>0</v>
      </c>
      <c r="P1193" s="5">
        <v>0</v>
      </c>
      <c r="Q1193" s="5">
        <v>2016</v>
      </c>
      <c r="R1193" s="5">
        <v>2016</v>
      </c>
      <c r="S1193" s="4">
        <v>56.448</v>
      </c>
      <c r="T1193" s="5">
        <v>0</v>
      </c>
      <c r="U1193" s="5">
        <v>0</v>
      </c>
      <c r="V1193" s="4">
        <v>56.448</v>
      </c>
      <c r="W1193" s="4">
        <v>0</v>
      </c>
      <c r="X1193" s="4">
        <v>15.9</v>
      </c>
      <c r="Y1193" s="4">
        <v>0.28167517006802723</v>
      </c>
      <c r="Z1193" s="4">
        <v>0</v>
      </c>
      <c r="AA1193" s="4">
        <v>0</v>
      </c>
      <c r="AB1193" s="4">
        <v>43.5</v>
      </c>
      <c r="AC1193" s="4">
        <v>4.0599999999999996</v>
      </c>
      <c r="AD1193" s="4">
        <v>42</v>
      </c>
      <c r="AE1193" s="8"/>
      <c r="AF1193" s="8"/>
      <c r="AG1193" s="8"/>
      <c r="AH1193" s="8"/>
      <c r="AI119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7.94</v>
      </c>
      <c r="AJ1193" s="8"/>
      <c r="AK1193" s="4" t="s">
        <v>704</v>
      </c>
      <c r="AL1193" s="4">
        <v>3</v>
      </c>
      <c r="AM1193" s="4">
        <v>4</v>
      </c>
      <c r="AN1193">
        <f>IFERROR(INT(Table13[[#This Row],[reject_prod]]/Table13[[#This Row],[part_weight]] * 1000), 0)</f>
        <v>0</v>
      </c>
    </row>
    <row r="1194" spans="1:40" hidden="1">
      <c r="A1194" s="1">
        <v>46058</v>
      </c>
      <c r="B1194">
        <v>2</v>
      </c>
      <c r="C1194">
        <v>1</v>
      </c>
      <c r="D1194" t="s">
        <v>59</v>
      </c>
      <c r="E1194" t="s">
        <v>34</v>
      </c>
      <c r="F1194">
        <v>347623</v>
      </c>
      <c r="G1194" s="6">
        <v>0</v>
      </c>
      <c r="H1194" t="s">
        <v>35</v>
      </c>
      <c r="I1194">
        <v>10686760</v>
      </c>
      <c r="J1194">
        <v>4</v>
      </c>
      <c r="K1194">
        <v>35.6</v>
      </c>
      <c r="L1194">
        <v>35.6</v>
      </c>
      <c r="M1194">
        <v>1635</v>
      </c>
      <c r="N1194" s="2">
        <v>20240</v>
      </c>
      <c r="O1194" s="2">
        <v>1104</v>
      </c>
      <c r="P1194" s="2">
        <v>368</v>
      </c>
      <c r="Q1194" s="2">
        <v>6540</v>
      </c>
      <c r="R1194" s="2">
        <v>7360</v>
      </c>
      <c r="S1194">
        <v>262.01600000000002</v>
      </c>
      <c r="T1194" s="2">
        <v>13248</v>
      </c>
      <c r="U1194" s="2">
        <v>6992</v>
      </c>
      <c r="V1194">
        <v>232.82400000000001</v>
      </c>
      <c r="W1194">
        <v>0</v>
      </c>
      <c r="X1194">
        <v>0</v>
      </c>
      <c r="Y1194">
        <v>0</v>
      </c>
      <c r="Z1194">
        <v>2.5</v>
      </c>
      <c r="AA1194">
        <v>1.0737724633199325E-2</v>
      </c>
      <c r="AB1194">
        <v>26.7</v>
      </c>
      <c r="AC1194">
        <v>12</v>
      </c>
      <c r="AD1194">
        <v>27</v>
      </c>
      <c r="AE1194" s="7"/>
      <c r="AF1194" s="7"/>
      <c r="AG1194" s="7"/>
      <c r="AH1194" s="7"/>
      <c r="AI1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94" s="7"/>
      <c r="AK1194" t="s">
        <v>539</v>
      </c>
      <c r="AN1194">
        <f>IFERROR(INT(Table13[[#This Row],[reject_prod]]/Table13[[#This Row],[part_weight]] * 1000), 0)</f>
        <v>70</v>
      </c>
    </row>
    <row r="1195" spans="1:40" hidden="1">
      <c r="A1195" s="1">
        <v>46058</v>
      </c>
      <c r="B1195">
        <v>2</v>
      </c>
      <c r="C1195">
        <v>2</v>
      </c>
      <c r="D1195" t="s">
        <v>56</v>
      </c>
      <c r="E1195" t="s">
        <v>34</v>
      </c>
      <c r="F1195">
        <v>324163</v>
      </c>
      <c r="G1195" s="6">
        <v>0</v>
      </c>
      <c r="H1195" t="s">
        <v>672</v>
      </c>
      <c r="I1195">
        <v>10684851</v>
      </c>
      <c r="J1195">
        <v>4</v>
      </c>
      <c r="K1195">
        <v>24</v>
      </c>
      <c r="L1195">
        <v>23.5</v>
      </c>
      <c r="M1195">
        <v>1905</v>
      </c>
      <c r="N1195" s="2">
        <v>73152</v>
      </c>
      <c r="O1195" s="2">
        <v>1905</v>
      </c>
      <c r="P1195" s="2">
        <v>381</v>
      </c>
      <c r="Q1195" s="2">
        <v>7620</v>
      </c>
      <c r="R1195" s="2">
        <v>9144</v>
      </c>
      <c r="S1195">
        <v>214.88399999999999</v>
      </c>
      <c r="T1195" s="2">
        <v>23241</v>
      </c>
      <c r="U1195" s="2">
        <v>49911</v>
      </c>
      <c r="V1195">
        <v>179.07</v>
      </c>
      <c r="W1195">
        <v>3.81</v>
      </c>
      <c r="X1195">
        <v>0</v>
      </c>
      <c r="Y1195">
        <v>0</v>
      </c>
      <c r="Z1195">
        <v>1.8</v>
      </c>
      <c r="AA1195">
        <v>1.0051934997487017E-2</v>
      </c>
      <c r="AB1195">
        <v>22.2</v>
      </c>
      <c r="AC1195">
        <v>11.7475</v>
      </c>
      <c r="AD1195">
        <v>22.5</v>
      </c>
      <c r="AE1195" s="7"/>
      <c r="AF1195" s="7"/>
      <c r="AG1195" s="7"/>
      <c r="AH1195" s="7"/>
      <c r="AI1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0.2524999999999995</v>
      </c>
      <c r="AJ1195" s="7"/>
      <c r="AK1195" t="s">
        <v>200</v>
      </c>
      <c r="AN1195">
        <f>IFERROR(INT(Table13[[#This Row],[reject_prod]]/Table13[[#This Row],[part_weight]] * 1000), 0)</f>
        <v>76</v>
      </c>
    </row>
    <row r="1196" spans="1:40" hidden="1">
      <c r="A1196" s="1">
        <v>46058</v>
      </c>
      <c r="B1196">
        <v>2</v>
      </c>
      <c r="C1196">
        <v>3</v>
      </c>
      <c r="D1196" t="s">
        <v>289</v>
      </c>
      <c r="E1196" t="s">
        <v>34</v>
      </c>
      <c r="F1196">
        <v>442034</v>
      </c>
      <c r="G1196" s="6">
        <v>0</v>
      </c>
      <c r="H1196" t="s">
        <v>37</v>
      </c>
      <c r="I1196">
        <v>10685633</v>
      </c>
      <c r="J1196">
        <v>4</v>
      </c>
      <c r="K1196">
        <v>23</v>
      </c>
      <c r="L1196">
        <v>23</v>
      </c>
      <c r="M1196">
        <v>1530</v>
      </c>
      <c r="N1196" s="2">
        <v>139776</v>
      </c>
      <c r="O1196" s="2">
        <v>1152</v>
      </c>
      <c r="P1196" s="2">
        <v>2688</v>
      </c>
      <c r="Q1196" s="2">
        <v>6120</v>
      </c>
      <c r="R1196" s="2">
        <v>4608</v>
      </c>
      <c r="S1196">
        <v>105.98399999999999</v>
      </c>
      <c r="T1196" s="2">
        <v>34944</v>
      </c>
      <c r="U1196" s="2">
        <v>104832</v>
      </c>
      <c r="V1196">
        <v>140.76</v>
      </c>
      <c r="W1196">
        <v>0</v>
      </c>
      <c r="X1196">
        <v>0</v>
      </c>
      <c r="Y1196">
        <v>0</v>
      </c>
      <c r="Z1196">
        <v>1</v>
      </c>
      <c r="AA1196">
        <v>7.1042909917590231E-3</v>
      </c>
      <c r="AB1196">
        <v>28.5</v>
      </c>
      <c r="AC1196">
        <v>12</v>
      </c>
      <c r="AD1196">
        <v>22</v>
      </c>
      <c r="AE1196" s="7"/>
      <c r="AF1196" s="7"/>
      <c r="AG1196" s="7"/>
      <c r="AH1196" s="7"/>
      <c r="AI1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96" s="7"/>
      <c r="AK1196" t="s">
        <v>103</v>
      </c>
      <c r="AN1196">
        <f>IFERROR(INT(Table13[[#This Row],[reject_prod]]/Table13[[#This Row],[part_weight]] * 1000), 0)</f>
        <v>43</v>
      </c>
    </row>
    <row r="1197" spans="1:40" hidden="1">
      <c r="A1197" s="1">
        <v>46058</v>
      </c>
      <c r="B1197">
        <v>2</v>
      </c>
      <c r="C1197">
        <v>4</v>
      </c>
      <c r="D1197" t="s">
        <v>54</v>
      </c>
      <c r="E1197" t="s">
        <v>34</v>
      </c>
      <c r="F1197">
        <v>322477</v>
      </c>
      <c r="G1197" s="6">
        <v>0</v>
      </c>
      <c r="H1197" t="s">
        <v>694</v>
      </c>
      <c r="I1197">
        <v>10685205</v>
      </c>
      <c r="J1197">
        <v>4</v>
      </c>
      <c r="K1197">
        <v>44</v>
      </c>
      <c r="L1197">
        <v>44</v>
      </c>
      <c r="M1197">
        <v>630</v>
      </c>
      <c r="N1197" s="2">
        <v>3150</v>
      </c>
      <c r="O1197" s="2">
        <v>630</v>
      </c>
      <c r="P1197" s="2">
        <v>0</v>
      </c>
      <c r="Q1197" s="2">
        <v>2520</v>
      </c>
      <c r="R1197" s="2">
        <v>3150</v>
      </c>
      <c r="S1197">
        <v>138.6</v>
      </c>
      <c r="T1197" s="2">
        <v>3150</v>
      </c>
      <c r="U1197" s="2">
        <v>0</v>
      </c>
      <c r="V1197">
        <v>110.88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28</v>
      </c>
      <c r="AC1197">
        <v>4.8999999999999995</v>
      </c>
      <c r="AD1197">
        <v>26</v>
      </c>
      <c r="AE1197" s="7"/>
      <c r="AF1197" s="7"/>
      <c r="AG1197" s="7"/>
      <c r="AH1197" s="7"/>
      <c r="AI1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7.1000000000000005</v>
      </c>
      <c r="AJ1197" s="7"/>
      <c r="AK1197" t="s">
        <v>102</v>
      </c>
      <c r="AN1197">
        <f>IFERROR(INT(Table13[[#This Row],[reject_prod]]/Table13[[#This Row],[part_weight]] * 1000), 0)</f>
        <v>0</v>
      </c>
    </row>
    <row r="1198" spans="1:40" hidden="1">
      <c r="A1198" s="1">
        <v>46058</v>
      </c>
      <c r="B1198">
        <v>2</v>
      </c>
      <c r="C1198">
        <v>4</v>
      </c>
      <c r="D1198" t="s">
        <v>54</v>
      </c>
      <c r="E1198" t="s">
        <v>34</v>
      </c>
      <c r="F1198">
        <v>322477</v>
      </c>
      <c r="G1198" s="6">
        <v>0</v>
      </c>
      <c r="H1198" t="s">
        <v>694</v>
      </c>
      <c r="I1198">
        <v>10685206</v>
      </c>
      <c r="J1198">
        <v>4</v>
      </c>
      <c r="K1198">
        <v>44</v>
      </c>
      <c r="L1198">
        <v>44</v>
      </c>
      <c r="M1198">
        <v>936</v>
      </c>
      <c r="N1198" s="2">
        <v>24960</v>
      </c>
      <c r="O1198" s="2">
        <v>0</v>
      </c>
      <c r="P1198" s="2">
        <v>0</v>
      </c>
      <c r="Q1198" s="2">
        <v>3744</v>
      </c>
      <c r="R1198" s="2">
        <v>3744</v>
      </c>
      <c r="S1198">
        <v>164.73599999999999</v>
      </c>
      <c r="T1198" s="2">
        <v>3744</v>
      </c>
      <c r="U1198" s="2">
        <v>21216</v>
      </c>
      <c r="V1198">
        <v>164.73599999999999</v>
      </c>
      <c r="W1198">
        <v>0</v>
      </c>
      <c r="X1198">
        <v>0</v>
      </c>
      <c r="Y1198">
        <v>0</v>
      </c>
      <c r="Z1198">
        <v>5.3</v>
      </c>
      <c r="AA1198">
        <v>3.2172688422688424E-2</v>
      </c>
      <c r="AB1198">
        <v>28</v>
      </c>
      <c r="AC1198">
        <v>7.2799999999999994</v>
      </c>
      <c r="AD1198">
        <v>26</v>
      </c>
      <c r="AE1198" s="7"/>
      <c r="AF1198" s="7"/>
      <c r="AG1198" s="7"/>
      <c r="AH1198" s="7"/>
      <c r="AI1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4.7200000000000006</v>
      </c>
      <c r="AJ1198" s="7"/>
      <c r="AK1198" t="s">
        <v>705</v>
      </c>
      <c r="AN1198">
        <f>IFERROR(INT(Table13[[#This Row],[reject_prod]]/Table13[[#This Row],[part_weight]] * 1000), 0)</f>
        <v>120</v>
      </c>
    </row>
    <row r="1199" spans="1:40" hidden="1">
      <c r="A1199" s="1">
        <v>46058</v>
      </c>
      <c r="B1199">
        <v>2</v>
      </c>
      <c r="C1199">
        <v>5</v>
      </c>
      <c r="D1199" t="s">
        <v>706</v>
      </c>
      <c r="E1199" t="s">
        <v>34</v>
      </c>
      <c r="F1199">
        <v>322448</v>
      </c>
      <c r="G1199" s="6">
        <v>0</v>
      </c>
      <c r="H1199" t="s">
        <v>654</v>
      </c>
      <c r="I1199">
        <v>10686572</v>
      </c>
      <c r="J1199">
        <v>4</v>
      </c>
      <c r="K1199">
        <v>40</v>
      </c>
      <c r="L1199">
        <v>40</v>
      </c>
      <c r="M1199">
        <v>1665</v>
      </c>
      <c r="N1199" s="2">
        <v>58320</v>
      </c>
      <c r="O1199" s="2">
        <v>324</v>
      </c>
      <c r="P1199" s="2">
        <v>486</v>
      </c>
      <c r="Q1199" s="2">
        <v>6660</v>
      </c>
      <c r="R1199" s="2">
        <v>6480</v>
      </c>
      <c r="S1199">
        <v>259.2</v>
      </c>
      <c r="T1199" s="2">
        <v>18306</v>
      </c>
      <c r="U1199" s="2">
        <v>40014</v>
      </c>
      <c r="V1199">
        <v>266.39999999999998</v>
      </c>
      <c r="W1199">
        <v>0</v>
      </c>
      <c r="X1199">
        <v>0</v>
      </c>
      <c r="Y1199">
        <v>0</v>
      </c>
      <c r="Z1199">
        <v>4</v>
      </c>
      <c r="AA1199">
        <v>1.5015015015015017E-2</v>
      </c>
      <c r="AB1199">
        <v>25.5</v>
      </c>
      <c r="AC1199">
        <v>11.793749999999999</v>
      </c>
      <c r="AD1199">
        <v>23</v>
      </c>
      <c r="AE1199" s="7"/>
      <c r="AF1199" s="7"/>
      <c r="AG1199" s="7"/>
      <c r="AH1199" s="7"/>
      <c r="AI1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0.20625000000000071</v>
      </c>
      <c r="AJ1199" s="7"/>
      <c r="AK1199" t="s">
        <v>193</v>
      </c>
      <c r="AN1199">
        <f>IFERROR(INT(Table13[[#This Row],[reject_prod]]/Table13[[#This Row],[part_weight]] * 1000), 0)</f>
        <v>100</v>
      </c>
    </row>
    <row r="1200" spans="1:40" hidden="1">
      <c r="A1200" s="1">
        <v>46058</v>
      </c>
      <c r="B1200">
        <v>2</v>
      </c>
      <c r="C1200">
        <v>6</v>
      </c>
      <c r="D1200" t="s">
        <v>33</v>
      </c>
      <c r="E1200" t="s">
        <v>34</v>
      </c>
      <c r="F1200">
        <v>322422</v>
      </c>
      <c r="G1200" s="6">
        <v>0</v>
      </c>
      <c r="H1200" t="s">
        <v>656</v>
      </c>
      <c r="I1200">
        <v>10685442</v>
      </c>
      <c r="J1200">
        <v>4</v>
      </c>
      <c r="K1200">
        <v>34</v>
      </c>
      <c r="L1200">
        <v>34</v>
      </c>
      <c r="M1200">
        <v>0</v>
      </c>
      <c r="N1200" s="2">
        <v>9000</v>
      </c>
      <c r="O1200" s="2">
        <v>0</v>
      </c>
      <c r="P1200" s="2">
        <v>0</v>
      </c>
      <c r="Q1200" s="2">
        <v>0</v>
      </c>
      <c r="R1200" s="2">
        <v>0</v>
      </c>
      <c r="S1200">
        <v>0</v>
      </c>
      <c r="T1200" s="2">
        <v>0</v>
      </c>
      <c r="U1200" s="2">
        <v>9000</v>
      </c>
      <c r="V1200">
        <v>0</v>
      </c>
      <c r="W1200">
        <v>0</v>
      </c>
      <c r="X1200">
        <v>0</v>
      </c>
      <c r="Y1200" t="e">
        <v>#DIV/0!</v>
      </c>
      <c r="Z1200">
        <v>0</v>
      </c>
      <c r="AA1200" t="e">
        <v>#DIV/0!</v>
      </c>
      <c r="AB1200">
        <v>21.3</v>
      </c>
      <c r="AC1200">
        <v>0</v>
      </c>
      <c r="AD1200">
        <v>21.68</v>
      </c>
      <c r="AE1200" s="7"/>
      <c r="AF1200" s="7"/>
      <c r="AG1200" s="7"/>
      <c r="AH1200" s="7">
        <v>12</v>
      </c>
      <c r="AI1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0" s="7"/>
      <c r="AK1200" t="s">
        <v>697</v>
      </c>
      <c r="AN1200">
        <f>IFERROR(INT(Table13[[#This Row],[reject_prod]]/Table13[[#This Row],[part_weight]] * 1000), 0)</f>
        <v>0</v>
      </c>
    </row>
    <row r="1201" spans="1:40" hidden="1">
      <c r="A1201" s="1">
        <v>46058</v>
      </c>
      <c r="B1201">
        <v>2</v>
      </c>
      <c r="C1201">
        <v>7</v>
      </c>
      <c r="D1201" t="s">
        <v>707</v>
      </c>
      <c r="E1201" t="s">
        <v>34</v>
      </c>
      <c r="F1201">
        <v>324173</v>
      </c>
      <c r="G1201" s="6">
        <v>0</v>
      </c>
      <c r="H1201" t="s">
        <v>677</v>
      </c>
      <c r="I1201">
        <v>10683859</v>
      </c>
      <c r="J1201">
        <v>4</v>
      </c>
      <c r="K1201">
        <v>34</v>
      </c>
      <c r="L1201">
        <v>34.5</v>
      </c>
      <c r="M1201">
        <v>1630</v>
      </c>
      <c r="N1201" s="2">
        <v>42000</v>
      </c>
      <c r="O1201" s="2">
        <v>300</v>
      </c>
      <c r="P1201" s="2">
        <v>400</v>
      </c>
      <c r="Q1201" s="2">
        <v>6520</v>
      </c>
      <c r="R1201" s="2">
        <v>6300</v>
      </c>
      <c r="S1201">
        <v>217.35</v>
      </c>
      <c r="T1201" s="2">
        <v>17200</v>
      </c>
      <c r="U1201" s="2">
        <v>24800</v>
      </c>
      <c r="V1201">
        <v>224.94</v>
      </c>
      <c r="W1201">
        <v>-3.26</v>
      </c>
      <c r="X1201">
        <v>0</v>
      </c>
      <c r="Y1201">
        <v>0</v>
      </c>
      <c r="Z1201">
        <v>22</v>
      </c>
      <c r="AA1201">
        <v>9.7803858806792918E-2</v>
      </c>
      <c r="AB1201">
        <v>24.1</v>
      </c>
      <c r="AC1201">
        <v>10.911944444444444</v>
      </c>
      <c r="AD1201">
        <v>20.399999999999999</v>
      </c>
      <c r="AE1201" s="7"/>
      <c r="AF1201" s="7"/>
      <c r="AG1201" s="7"/>
      <c r="AH1201" s="7"/>
      <c r="AI1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1.088055555555556</v>
      </c>
      <c r="AJ1201" s="7"/>
      <c r="AK1201" t="s">
        <v>708</v>
      </c>
      <c r="AN1201">
        <f>IFERROR(INT(Table13[[#This Row],[reject_prod]]/Table13[[#This Row],[part_weight]] * 1000), 0)</f>
        <v>637</v>
      </c>
    </row>
    <row r="1202" spans="1:40" hidden="1">
      <c r="A1202" s="1">
        <v>46058</v>
      </c>
      <c r="B1202">
        <v>2</v>
      </c>
      <c r="C1202">
        <v>8</v>
      </c>
      <c r="D1202" t="s">
        <v>639</v>
      </c>
      <c r="E1202" t="s">
        <v>41</v>
      </c>
      <c r="F1202">
        <v>593537</v>
      </c>
      <c r="G1202" s="6">
        <v>0</v>
      </c>
      <c r="H1202" t="s">
        <v>48</v>
      </c>
      <c r="I1202">
        <v>10685813</v>
      </c>
      <c r="J1202">
        <v>4</v>
      </c>
      <c r="K1202">
        <v>56.5</v>
      </c>
      <c r="L1202">
        <v>56.8</v>
      </c>
      <c r="M1202">
        <v>1410</v>
      </c>
      <c r="N1202" s="2">
        <v>69000</v>
      </c>
      <c r="O1202" s="2">
        <v>230</v>
      </c>
      <c r="P1202" s="2">
        <v>115</v>
      </c>
      <c r="Q1202" s="2">
        <v>5640</v>
      </c>
      <c r="R1202" s="2">
        <v>5750</v>
      </c>
      <c r="S1202">
        <v>326.60000000000002</v>
      </c>
      <c r="T1202" s="2">
        <v>24415</v>
      </c>
      <c r="U1202" s="2">
        <v>44585</v>
      </c>
      <c r="V1202">
        <v>320.35199999999998</v>
      </c>
      <c r="W1202">
        <v>-1.6919999999999842</v>
      </c>
      <c r="X1202">
        <v>0</v>
      </c>
      <c r="Y1202">
        <v>0</v>
      </c>
      <c r="Z1202">
        <v>1</v>
      </c>
      <c r="AA1202">
        <v>3.1215662770951954E-3</v>
      </c>
      <c r="AB1202">
        <v>31</v>
      </c>
      <c r="AC1202">
        <v>12</v>
      </c>
      <c r="AD1202">
        <v>28.5</v>
      </c>
      <c r="AE1202" s="7"/>
      <c r="AF1202" s="7"/>
      <c r="AG1202" s="7"/>
      <c r="AH1202" s="7"/>
      <c r="AI1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2" s="7"/>
      <c r="AK1202" t="s">
        <v>51</v>
      </c>
      <c r="AN1202">
        <f>IFERROR(INT(Table13[[#This Row],[reject_prod]]/Table13[[#This Row],[part_weight]] * 1000), 0)</f>
        <v>17</v>
      </c>
    </row>
    <row r="1203" spans="1:40" hidden="1">
      <c r="A1203" s="1">
        <v>46058</v>
      </c>
      <c r="B1203">
        <v>2</v>
      </c>
      <c r="C1203">
        <v>9</v>
      </c>
      <c r="D1203" t="s">
        <v>208</v>
      </c>
      <c r="E1203" t="s">
        <v>46</v>
      </c>
      <c r="F1203">
        <v>586276</v>
      </c>
      <c r="G1203" s="6">
        <v>1</v>
      </c>
      <c r="H1203" t="s">
        <v>47</v>
      </c>
      <c r="I1203">
        <v>10683781</v>
      </c>
      <c r="J1203">
        <v>6</v>
      </c>
      <c r="K1203">
        <v>12.3</v>
      </c>
      <c r="L1203">
        <v>12.3</v>
      </c>
      <c r="M1203">
        <v>1620</v>
      </c>
      <c r="N1203" s="2">
        <v>162000</v>
      </c>
      <c r="O1203" s="2">
        <v>1215</v>
      </c>
      <c r="P1203" s="2">
        <v>2835</v>
      </c>
      <c r="Q1203" s="2">
        <v>9720</v>
      </c>
      <c r="R1203" s="2">
        <v>8100</v>
      </c>
      <c r="S1203">
        <v>99.63</v>
      </c>
      <c r="T1203" s="2">
        <v>43335</v>
      </c>
      <c r="U1203" s="2">
        <v>118665</v>
      </c>
      <c r="V1203">
        <v>119.556</v>
      </c>
      <c r="W1203">
        <v>0</v>
      </c>
      <c r="X1203">
        <v>0</v>
      </c>
      <c r="Y1203">
        <v>0</v>
      </c>
      <c r="Z1203">
        <v>1.2</v>
      </c>
      <c r="AA1203">
        <v>1.0037137408411121E-2</v>
      </c>
      <c r="AB1203">
        <v>26.6</v>
      </c>
      <c r="AC1203">
        <v>11.97</v>
      </c>
      <c r="AD1203">
        <v>26</v>
      </c>
      <c r="AE1203" s="7"/>
      <c r="AF1203" s="7"/>
      <c r="AG1203" s="7"/>
      <c r="AH1203" s="7"/>
      <c r="AI1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203" s="7"/>
      <c r="AK1203" t="s">
        <v>51</v>
      </c>
      <c r="AN1203">
        <f>IFERROR(INT(Table13[[#This Row],[reject_prod]]/Table13[[#This Row],[part_weight]] * 1000), 0)</f>
        <v>97</v>
      </c>
    </row>
    <row r="1204" spans="1:40" hidden="1">
      <c r="A1204" s="1">
        <v>46058</v>
      </c>
      <c r="B1204">
        <v>2</v>
      </c>
      <c r="C1204">
        <v>10</v>
      </c>
      <c r="D1204" t="s">
        <v>84</v>
      </c>
      <c r="E1204" t="s">
        <v>34</v>
      </c>
      <c r="F1204">
        <v>324638</v>
      </c>
      <c r="G1204" s="6">
        <v>0</v>
      </c>
      <c r="H1204" t="s">
        <v>687</v>
      </c>
      <c r="I1204">
        <v>10685639</v>
      </c>
      <c r="J1204">
        <v>4</v>
      </c>
      <c r="K1204">
        <v>77.5</v>
      </c>
      <c r="L1204">
        <v>77.5</v>
      </c>
      <c r="M1204">
        <v>1105</v>
      </c>
      <c r="N1204" s="2">
        <v>26496</v>
      </c>
      <c r="O1204" s="2">
        <v>0</v>
      </c>
      <c r="P1204" s="2">
        <v>0</v>
      </c>
      <c r="Q1204" s="2">
        <v>4420</v>
      </c>
      <c r="R1204" s="2">
        <v>4416</v>
      </c>
      <c r="S1204">
        <v>342.24</v>
      </c>
      <c r="T1204" s="2">
        <v>10212</v>
      </c>
      <c r="U1204" s="2">
        <v>16284</v>
      </c>
      <c r="V1204">
        <v>342.55</v>
      </c>
      <c r="W1204">
        <v>0</v>
      </c>
      <c r="X1204">
        <v>0</v>
      </c>
      <c r="Y1204">
        <v>0</v>
      </c>
      <c r="Z1204">
        <v>5.3</v>
      </c>
      <c r="AA1204">
        <v>1.5472193840315281E-2</v>
      </c>
      <c r="AB1204">
        <v>38.1</v>
      </c>
      <c r="AC1204">
        <v>11.694583333333334</v>
      </c>
      <c r="AD1204">
        <v>36</v>
      </c>
      <c r="AE1204" s="7"/>
      <c r="AF1204" s="7"/>
      <c r="AG1204" s="7"/>
      <c r="AH1204" s="7"/>
      <c r="AI1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0.305416666666666</v>
      </c>
      <c r="AJ1204" s="7"/>
      <c r="AK1204" t="s">
        <v>109</v>
      </c>
      <c r="AN1204">
        <f>IFERROR(INT(Table13[[#This Row],[reject_prod]]/Table13[[#This Row],[part_weight]] * 1000), 0)</f>
        <v>68</v>
      </c>
    </row>
    <row r="1205" spans="1:40" hidden="1">
      <c r="A1205" s="1">
        <v>46058</v>
      </c>
      <c r="B1205">
        <v>2</v>
      </c>
      <c r="C1205">
        <v>11</v>
      </c>
      <c r="D1205" t="s">
        <v>139</v>
      </c>
      <c r="E1205" t="s">
        <v>46</v>
      </c>
      <c r="F1205">
        <v>552181</v>
      </c>
      <c r="G1205" s="6">
        <v>1</v>
      </c>
      <c r="H1205" t="s">
        <v>49</v>
      </c>
      <c r="I1205">
        <v>10685339</v>
      </c>
      <c r="J1205">
        <v>6</v>
      </c>
      <c r="K1205">
        <v>18.8</v>
      </c>
      <c r="L1205">
        <v>18.8</v>
      </c>
      <c r="M1205">
        <v>1440</v>
      </c>
      <c r="N1205" s="2">
        <v>108000</v>
      </c>
      <c r="O1205" s="2">
        <v>4860</v>
      </c>
      <c r="P1205" s="2">
        <v>2700</v>
      </c>
      <c r="Q1205" s="2">
        <v>8640</v>
      </c>
      <c r="R1205" s="2">
        <v>10800</v>
      </c>
      <c r="S1205">
        <v>203.04</v>
      </c>
      <c r="T1205" s="2">
        <v>18900</v>
      </c>
      <c r="U1205" s="2">
        <v>89100</v>
      </c>
      <c r="V1205">
        <v>162.43199999999999</v>
      </c>
      <c r="W1205">
        <v>0</v>
      </c>
      <c r="X1205">
        <v>0</v>
      </c>
      <c r="Y1205">
        <v>0</v>
      </c>
      <c r="Z1205">
        <v>3</v>
      </c>
      <c r="AA1205">
        <v>1.8469267139479908E-2</v>
      </c>
      <c r="AB1205">
        <v>29.4</v>
      </c>
      <c r="AC1205">
        <v>11.759999999999998</v>
      </c>
      <c r="AD1205">
        <v>27</v>
      </c>
      <c r="AE1205" s="7"/>
      <c r="AF1205" s="7"/>
      <c r="AG1205" s="7"/>
      <c r="AH1205" s="7"/>
      <c r="AI1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1205" s="7"/>
      <c r="AK1205" t="s">
        <v>57</v>
      </c>
      <c r="AN1205">
        <f>IFERROR(INT(Table13[[#This Row],[reject_prod]]/Table13[[#This Row],[part_weight]] * 1000), 0)</f>
        <v>159</v>
      </c>
    </row>
    <row r="1206" spans="1:40" hidden="1">
      <c r="A1206" s="1">
        <v>46058</v>
      </c>
      <c r="B1206">
        <v>2</v>
      </c>
      <c r="C1206">
        <v>12</v>
      </c>
      <c r="D1206" t="s">
        <v>88</v>
      </c>
      <c r="E1206" t="s">
        <v>34</v>
      </c>
      <c r="F1206">
        <v>620599</v>
      </c>
      <c r="G1206" s="6">
        <v>0</v>
      </c>
      <c r="H1206" t="s">
        <v>50</v>
      </c>
      <c r="I1206">
        <v>10685340</v>
      </c>
      <c r="J1206">
        <v>4</v>
      </c>
      <c r="K1206">
        <v>55</v>
      </c>
      <c r="L1206">
        <v>55</v>
      </c>
      <c r="M1206">
        <v>1505</v>
      </c>
      <c r="N1206" s="2">
        <v>72000</v>
      </c>
      <c r="O1206" s="2">
        <v>1350</v>
      </c>
      <c r="P1206" s="2">
        <v>225</v>
      </c>
      <c r="Q1206" s="2">
        <v>6020</v>
      </c>
      <c r="R1206" s="2">
        <v>7200</v>
      </c>
      <c r="S1206">
        <v>396</v>
      </c>
      <c r="T1206" s="2">
        <v>65025</v>
      </c>
      <c r="U1206" s="2">
        <v>6975</v>
      </c>
      <c r="V1206">
        <v>331.1</v>
      </c>
      <c r="W1206">
        <v>0</v>
      </c>
      <c r="X1206">
        <v>0</v>
      </c>
      <c r="Y1206">
        <v>0</v>
      </c>
      <c r="Z1206">
        <v>3</v>
      </c>
      <c r="AA1206">
        <v>9.060706735125339E-3</v>
      </c>
      <c r="AB1206">
        <v>29</v>
      </c>
      <c r="AC1206">
        <v>12</v>
      </c>
      <c r="AD1206">
        <v>28</v>
      </c>
      <c r="AE1206" s="7"/>
      <c r="AF1206" s="7"/>
      <c r="AG1206" s="7"/>
      <c r="AH1206" s="7"/>
      <c r="AI1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6" s="7"/>
      <c r="AK1206" t="s">
        <v>709</v>
      </c>
      <c r="AN1206">
        <f>IFERROR(INT(Table13[[#This Row],[reject_prod]]/Table13[[#This Row],[part_weight]] * 1000), 0)</f>
        <v>54</v>
      </c>
    </row>
    <row r="1207" spans="1:40" hidden="1">
      <c r="A1207" s="1">
        <v>46058</v>
      </c>
      <c r="B1207">
        <v>2</v>
      </c>
      <c r="C1207">
        <v>13</v>
      </c>
      <c r="D1207" t="s">
        <v>139</v>
      </c>
      <c r="E1207" t="s">
        <v>46</v>
      </c>
      <c r="F1207">
        <v>586276</v>
      </c>
      <c r="G1207" s="6">
        <v>2</v>
      </c>
      <c r="H1207" t="s">
        <v>47</v>
      </c>
      <c r="I1207">
        <v>10686191</v>
      </c>
      <c r="J1207">
        <v>6</v>
      </c>
      <c r="K1207">
        <v>12.3</v>
      </c>
      <c r="L1207">
        <v>12.3</v>
      </c>
      <c r="M1207">
        <v>1620</v>
      </c>
      <c r="N1207" s="2">
        <v>162000</v>
      </c>
      <c r="O1207" s="2">
        <v>7290</v>
      </c>
      <c r="P1207" s="2">
        <v>810</v>
      </c>
      <c r="Q1207" s="2">
        <v>9720</v>
      </c>
      <c r="R1207" s="2">
        <v>16200</v>
      </c>
      <c r="S1207">
        <v>199.26</v>
      </c>
      <c r="T1207" s="2">
        <v>98010</v>
      </c>
      <c r="U1207" s="2">
        <v>63990</v>
      </c>
      <c r="V1207">
        <v>119.556</v>
      </c>
      <c r="W1207">
        <v>0</v>
      </c>
      <c r="X1207">
        <v>0</v>
      </c>
      <c r="Y1207">
        <v>0</v>
      </c>
      <c r="Z1207">
        <v>1</v>
      </c>
      <c r="AA1207">
        <v>8.3642811736759342E-3</v>
      </c>
      <c r="AB1207">
        <v>26.2</v>
      </c>
      <c r="AC1207">
        <v>11.790000000000001</v>
      </c>
      <c r="AD1207">
        <v>26</v>
      </c>
      <c r="AE1207" s="7"/>
      <c r="AF1207" s="7"/>
      <c r="AG1207" s="7"/>
      <c r="AH1207" s="7"/>
      <c r="AI1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207" s="7"/>
      <c r="AK1207" t="s">
        <v>51</v>
      </c>
      <c r="AN1207">
        <f>IFERROR(INT(Table13[[#This Row],[reject_prod]]/Table13[[#This Row],[part_weight]] * 1000), 0)</f>
        <v>81</v>
      </c>
    </row>
    <row r="1208" spans="1:40" hidden="1">
      <c r="A1208" s="1">
        <v>46058</v>
      </c>
      <c r="B1208">
        <v>2</v>
      </c>
      <c r="C1208">
        <v>14</v>
      </c>
      <c r="D1208" t="s">
        <v>33</v>
      </c>
      <c r="E1208" t="s">
        <v>46</v>
      </c>
      <c r="F1208">
        <v>555979</v>
      </c>
      <c r="G1208" s="6">
        <v>1</v>
      </c>
      <c r="H1208" t="s">
        <v>52</v>
      </c>
      <c r="I1208">
        <v>10683785</v>
      </c>
      <c r="J1208">
        <v>6</v>
      </c>
      <c r="K1208">
        <v>28</v>
      </c>
      <c r="L1208">
        <v>28</v>
      </c>
      <c r="M1208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>
        <v>0</v>
      </c>
      <c r="T1208" s="2">
        <v>0</v>
      </c>
      <c r="U1208" s="2">
        <v>0</v>
      </c>
      <c r="V1208">
        <v>0</v>
      </c>
      <c r="W1208">
        <v>0</v>
      </c>
      <c r="X1208">
        <v>19</v>
      </c>
      <c r="Y1208" t="e">
        <v>#DIV/0!</v>
      </c>
      <c r="Z1208">
        <v>0</v>
      </c>
      <c r="AA1208" t="e">
        <v>#DIV/0!</v>
      </c>
      <c r="AB1208">
        <v>43</v>
      </c>
      <c r="AC1208">
        <v>0</v>
      </c>
      <c r="AD1208">
        <v>42</v>
      </c>
      <c r="AE1208" s="7"/>
      <c r="AF1208" s="7"/>
      <c r="AG1208" s="7"/>
      <c r="AH1208" s="7"/>
      <c r="AI1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08" s="7"/>
      <c r="AK1208" t="s">
        <v>710</v>
      </c>
      <c r="AN1208">
        <f>IFERROR(INT(Table13[[#This Row],[reject_prod]]/Table13[[#This Row],[part_weight]] * 1000), 0)</f>
        <v>0</v>
      </c>
    </row>
    <row r="1209" spans="1:40" hidden="1">
      <c r="A1209" s="1">
        <v>46058</v>
      </c>
      <c r="B1209">
        <v>2</v>
      </c>
      <c r="C1209">
        <v>15</v>
      </c>
      <c r="D1209" t="s">
        <v>139</v>
      </c>
      <c r="E1209" t="s">
        <v>46</v>
      </c>
      <c r="F1209">
        <v>552181</v>
      </c>
      <c r="G1209" s="6">
        <v>2</v>
      </c>
      <c r="H1209" t="s">
        <v>49</v>
      </c>
      <c r="I1209">
        <v>10685541</v>
      </c>
      <c r="J1209">
        <v>6</v>
      </c>
      <c r="K1209">
        <v>18.8</v>
      </c>
      <c r="L1209">
        <v>18.8</v>
      </c>
      <c r="M1209">
        <v>180</v>
      </c>
      <c r="N1209" s="2">
        <v>108000</v>
      </c>
      <c r="O1209" s="2">
        <v>4320</v>
      </c>
      <c r="P1209" s="2">
        <v>0</v>
      </c>
      <c r="Q1209" s="2">
        <v>1080</v>
      </c>
      <c r="R1209" s="2">
        <v>5400</v>
      </c>
      <c r="S1209">
        <v>101.52</v>
      </c>
      <c r="T1209" s="2">
        <v>108000</v>
      </c>
      <c r="U1209" s="2">
        <v>0</v>
      </c>
      <c r="V1209">
        <v>20.303999999999998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31.2</v>
      </c>
      <c r="AC1209">
        <v>1.5599999999999998</v>
      </c>
      <c r="AD1209">
        <v>27</v>
      </c>
      <c r="AE1209" s="7"/>
      <c r="AF1209" s="7"/>
      <c r="AG1209" s="7"/>
      <c r="AH1209" s="7"/>
      <c r="AI1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10.44</v>
      </c>
      <c r="AJ1209" s="7"/>
      <c r="AK1209" t="s">
        <v>102</v>
      </c>
      <c r="AN1209">
        <f>IFERROR(INT(Table13[[#This Row],[reject_prod]]/Table13[[#This Row],[part_weight]] * 1000), 0)</f>
        <v>0</v>
      </c>
    </row>
    <row r="1210" spans="1:40" hidden="1">
      <c r="A1210" s="1">
        <v>46058</v>
      </c>
      <c r="B1210">
        <v>2</v>
      </c>
      <c r="C1210">
        <v>15</v>
      </c>
      <c r="D1210" t="s">
        <v>139</v>
      </c>
      <c r="E1210" t="s">
        <v>46</v>
      </c>
      <c r="F1210">
        <v>552181</v>
      </c>
      <c r="G1210" s="6">
        <v>2</v>
      </c>
      <c r="H1210" t="s">
        <v>49</v>
      </c>
      <c r="I1210">
        <v>10685542</v>
      </c>
      <c r="J1210">
        <v>6</v>
      </c>
      <c r="K1210">
        <v>18.8</v>
      </c>
      <c r="L1210">
        <v>18.8</v>
      </c>
      <c r="M1210">
        <v>1215</v>
      </c>
      <c r="N1210" s="2">
        <v>108000</v>
      </c>
      <c r="O1210" s="2">
        <v>0</v>
      </c>
      <c r="P1210" s="2">
        <v>1890</v>
      </c>
      <c r="Q1210" s="2">
        <v>7290</v>
      </c>
      <c r="R1210" s="2">
        <v>5400</v>
      </c>
      <c r="S1210">
        <v>101.52</v>
      </c>
      <c r="T1210" s="2">
        <v>7290</v>
      </c>
      <c r="U1210" s="2">
        <v>100710</v>
      </c>
      <c r="V1210">
        <v>137.05199999999999</v>
      </c>
      <c r="W1210">
        <v>0</v>
      </c>
      <c r="X1210">
        <v>0</v>
      </c>
      <c r="Y1210">
        <v>0</v>
      </c>
      <c r="Z1210">
        <v>1</v>
      </c>
      <c r="AA1210">
        <v>7.2965005983130493E-3</v>
      </c>
      <c r="AB1210">
        <v>31.2</v>
      </c>
      <c r="AC1210">
        <v>10.53</v>
      </c>
      <c r="AD1210">
        <v>27</v>
      </c>
      <c r="AE1210" s="7"/>
      <c r="AF1210" s="7"/>
      <c r="AG1210" s="7"/>
      <c r="AH1210" s="7"/>
      <c r="AI1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1.4700000000000006</v>
      </c>
      <c r="AJ1210" s="7"/>
      <c r="AK1210" t="s">
        <v>51</v>
      </c>
      <c r="AN1210">
        <f>IFERROR(INT(Table13[[#This Row],[reject_prod]]/Table13[[#This Row],[part_weight]] * 1000), 0)</f>
        <v>53</v>
      </c>
    </row>
    <row r="1211" spans="1:40" s="4" customFormat="1" hidden="1">
      <c r="A1211" s="3">
        <v>46058</v>
      </c>
      <c r="B1211" s="4">
        <v>2</v>
      </c>
      <c r="C1211" s="4">
        <v>16</v>
      </c>
      <c r="D1211" s="4" t="s">
        <v>33</v>
      </c>
      <c r="E1211" s="4" t="s">
        <v>46</v>
      </c>
      <c r="F1211" s="4">
        <v>555979</v>
      </c>
      <c r="G1211" s="9">
        <v>2</v>
      </c>
      <c r="H1211" s="4" t="s">
        <v>52</v>
      </c>
      <c r="I1211" s="4">
        <v>10685814</v>
      </c>
      <c r="J1211" s="4">
        <v>6</v>
      </c>
      <c r="K1211" s="4">
        <v>28</v>
      </c>
      <c r="L1211" s="4">
        <v>28</v>
      </c>
      <c r="M1211" s="4">
        <v>0</v>
      </c>
      <c r="N1211" s="5">
        <v>100800</v>
      </c>
      <c r="O1211" s="5">
        <v>0</v>
      </c>
      <c r="P1211" s="5">
        <v>0</v>
      </c>
      <c r="Q1211" s="5">
        <v>0</v>
      </c>
      <c r="R1211" s="5">
        <v>0</v>
      </c>
      <c r="S1211" s="4">
        <v>0</v>
      </c>
      <c r="T1211" s="5">
        <v>13440</v>
      </c>
      <c r="U1211" s="5">
        <v>87360</v>
      </c>
      <c r="V1211" s="4">
        <v>0</v>
      </c>
      <c r="W1211" s="4">
        <v>0</v>
      </c>
      <c r="X1211" s="4">
        <v>5</v>
      </c>
      <c r="Y1211" s="4" t="e">
        <v>#DIV/0!</v>
      </c>
      <c r="Z1211" s="4">
        <v>0</v>
      </c>
      <c r="AA1211" s="4" t="e">
        <v>#DIV/0!</v>
      </c>
      <c r="AB1211" s="4">
        <v>43.5</v>
      </c>
      <c r="AC1211" s="4">
        <v>0</v>
      </c>
      <c r="AD1211" s="4">
        <v>42</v>
      </c>
      <c r="AE1211" s="8"/>
      <c r="AF1211" s="8"/>
      <c r="AG1211" s="8"/>
      <c r="AH1211" s="8"/>
      <c r="AI121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11" s="8"/>
      <c r="AK1211" s="4" t="s">
        <v>584</v>
      </c>
      <c r="AN1211">
        <f>IFERROR(INT(Table13[[#This Row],[reject_prod]]/Table13[[#This Row],[part_weight]] * 1000), 0)</f>
        <v>0</v>
      </c>
    </row>
    <row r="1212" spans="1:40" hidden="1">
      <c r="A1212" s="1">
        <v>46059</v>
      </c>
      <c r="B1212">
        <v>1</v>
      </c>
      <c r="C1212">
        <v>1</v>
      </c>
      <c r="D1212" t="s">
        <v>112</v>
      </c>
      <c r="E1212" t="s">
        <v>34</v>
      </c>
      <c r="F1212">
        <v>347623</v>
      </c>
      <c r="G1212" s="6">
        <v>0</v>
      </c>
      <c r="H1212" t="s">
        <v>35</v>
      </c>
      <c r="I1212">
        <v>10686760</v>
      </c>
      <c r="J1212">
        <v>4</v>
      </c>
      <c r="K1212">
        <v>35.6</v>
      </c>
      <c r="L1212">
        <v>35.6</v>
      </c>
      <c r="M1212">
        <v>1668</v>
      </c>
      <c r="N1212" s="2">
        <v>20240</v>
      </c>
      <c r="O1212" s="2">
        <v>368</v>
      </c>
      <c r="P1212" s="2">
        <v>1472</v>
      </c>
      <c r="Q1212" s="2">
        <v>6672</v>
      </c>
      <c r="R1212" s="2">
        <v>5520</v>
      </c>
      <c r="S1212">
        <v>196.512</v>
      </c>
      <c r="T1212" s="2">
        <v>19872</v>
      </c>
      <c r="U1212" s="2">
        <v>368</v>
      </c>
      <c r="V1212">
        <v>237.5232</v>
      </c>
      <c r="W1212">
        <v>0</v>
      </c>
      <c r="X1212">
        <v>0</v>
      </c>
      <c r="Y1212">
        <v>0</v>
      </c>
      <c r="Z1212">
        <v>1.7</v>
      </c>
      <c r="AA1212">
        <v>7.1571955918411333E-3</v>
      </c>
      <c r="AB1212">
        <v>26.2</v>
      </c>
      <c r="AC1212">
        <v>12</v>
      </c>
      <c r="AD1212">
        <v>27</v>
      </c>
      <c r="AE1212" s="7"/>
      <c r="AF1212" s="7"/>
      <c r="AG1212" s="7"/>
      <c r="AH1212" s="7"/>
      <c r="AI1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12" s="7"/>
      <c r="AK1212" t="s">
        <v>711</v>
      </c>
      <c r="AN1212">
        <f>IFERROR(INT(Table13[[#This Row],[reject_prod]]/Table13[[#This Row],[part_weight]] * 1000), 0)</f>
        <v>47</v>
      </c>
    </row>
    <row r="1213" spans="1:40" hidden="1">
      <c r="A1213" s="1">
        <v>46059</v>
      </c>
      <c r="B1213">
        <v>1</v>
      </c>
      <c r="C1213">
        <v>2</v>
      </c>
      <c r="D1213" t="s">
        <v>152</v>
      </c>
      <c r="E1213" t="s">
        <v>34</v>
      </c>
      <c r="F1213">
        <v>324163</v>
      </c>
      <c r="G1213" s="6">
        <v>0</v>
      </c>
      <c r="H1213" t="s">
        <v>672</v>
      </c>
      <c r="I1213">
        <v>10684851</v>
      </c>
      <c r="J1213">
        <v>4</v>
      </c>
      <c r="K1213">
        <v>24</v>
      </c>
      <c r="L1213">
        <v>23.5</v>
      </c>
      <c r="M1213">
        <v>1927</v>
      </c>
      <c r="N1213" s="2">
        <v>73152</v>
      </c>
      <c r="O1213" s="2">
        <v>381</v>
      </c>
      <c r="P1213" s="2">
        <v>3429</v>
      </c>
      <c r="Q1213" s="2">
        <v>7708</v>
      </c>
      <c r="R1213" s="2">
        <v>4572</v>
      </c>
      <c r="S1213">
        <v>107.44199999999999</v>
      </c>
      <c r="T1213" s="2">
        <v>30861</v>
      </c>
      <c r="U1213" s="2">
        <v>42291</v>
      </c>
      <c r="V1213">
        <v>181.13800000000001</v>
      </c>
      <c r="W1213">
        <v>0</v>
      </c>
      <c r="X1213">
        <v>0</v>
      </c>
      <c r="Y1213">
        <v>0</v>
      </c>
      <c r="Z1213">
        <v>2</v>
      </c>
      <c r="AA1213">
        <v>1.1041305523965154E-2</v>
      </c>
      <c r="AB1213">
        <v>22.2</v>
      </c>
      <c r="AC1213">
        <v>11.883166666666666</v>
      </c>
      <c r="AD1213">
        <v>22.5</v>
      </c>
      <c r="AE1213" s="7"/>
      <c r="AF1213" s="7"/>
      <c r="AG1213" s="7"/>
      <c r="AH1213" s="7"/>
      <c r="AI1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0.11683333333333401</v>
      </c>
      <c r="AJ1213" s="7"/>
      <c r="AK1213" t="s">
        <v>214</v>
      </c>
      <c r="AN1213">
        <f>IFERROR(INT(Table13[[#This Row],[reject_prod]]/Table13[[#This Row],[part_weight]] * 1000), 0)</f>
        <v>85</v>
      </c>
    </row>
    <row r="1214" spans="1:40" hidden="1">
      <c r="A1214" s="1">
        <v>46059</v>
      </c>
      <c r="B1214">
        <v>1</v>
      </c>
      <c r="C1214">
        <v>3</v>
      </c>
      <c r="D1214" t="s">
        <v>40</v>
      </c>
      <c r="E1214" t="s">
        <v>34</v>
      </c>
      <c r="F1214">
        <v>442034</v>
      </c>
      <c r="G1214" s="6">
        <v>0</v>
      </c>
      <c r="H1214" t="s">
        <v>37</v>
      </c>
      <c r="I1214">
        <v>10685633</v>
      </c>
      <c r="J1214">
        <v>4</v>
      </c>
      <c r="K1214">
        <v>23</v>
      </c>
      <c r="L1214">
        <v>23</v>
      </c>
      <c r="M1214">
        <v>1320</v>
      </c>
      <c r="N1214" s="2">
        <v>139776</v>
      </c>
      <c r="O1214" s="2">
        <v>2688</v>
      </c>
      <c r="P1214" s="2">
        <v>3072</v>
      </c>
      <c r="Q1214" s="2">
        <v>5280</v>
      </c>
      <c r="R1214" s="2">
        <v>4608</v>
      </c>
      <c r="S1214">
        <v>105.98399999999999</v>
      </c>
      <c r="T1214" s="2">
        <v>39936</v>
      </c>
      <c r="U1214" s="2">
        <v>99840</v>
      </c>
      <c r="V1214">
        <v>121.44</v>
      </c>
      <c r="W1214">
        <v>0</v>
      </c>
      <c r="X1214">
        <v>0</v>
      </c>
      <c r="Y1214">
        <v>0</v>
      </c>
      <c r="Z1214">
        <v>6.6</v>
      </c>
      <c r="AA1214">
        <v>5.434782608695652E-2</v>
      </c>
      <c r="AB1214">
        <v>28.5</v>
      </c>
      <c r="AC1214">
        <v>10.450000000000001</v>
      </c>
      <c r="AD1214">
        <v>22</v>
      </c>
      <c r="AE1214" s="7"/>
      <c r="AF1214" s="7"/>
      <c r="AG1214" s="7"/>
      <c r="AH1214" s="7"/>
      <c r="AI1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1.5499999999999989</v>
      </c>
      <c r="AJ1214" s="7"/>
      <c r="AK1214" t="s">
        <v>712</v>
      </c>
      <c r="AN1214">
        <f>IFERROR(INT(Table13[[#This Row],[reject_prod]]/Table13[[#This Row],[part_weight]] * 1000), 0)</f>
        <v>286</v>
      </c>
    </row>
    <row r="1215" spans="1:40" hidden="1">
      <c r="A1215" s="1">
        <v>46059</v>
      </c>
      <c r="B1215">
        <v>1</v>
      </c>
      <c r="C1215">
        <v>4</v>
      </c>
      <c r="D1215" t="s">
        <v>141</v>
      </c>
      <c r="E1215" t="s">
        <v>34</v>
      </c>
      <c r="F1215">
        <v>322477</v>
      </c>
      <c r="G1215" s="6">
        <v>0</v>
      </c>
      <c r="H1215" t="s">
        <v>694</v>
      </c>
      <c r="I1215">
        <v>10685206</v>
      </c>
      <c r="J1215">
        <v>4</v>
      </c>
      <c r="K1215">
        <v>44</v>
      </c>
      <c r="L1215">
        <v>44</v>
      </c>
      <c r="M1215">
        <v>1498</v>
      </c>
      <c r="N1215" s="2">
        <v>24960</v>
      </c>
      <c r="O1215" s="2">
        <v>0</v>
      </c>
      <c r="P1215" s="2">
        <v>312</v>
      </c>
      <c r="Q1215" s="2">
        <v>5992</v>
      </c>
      <c r="R1215" s="2">
        <v>5616</v>
      </c>
      <c r="S1215">
        <v>247.10400000000001</v>
      </c>
      <c r="T1215" s="2">
        <v>9672</v>
      </c>
      <c r="U1215" s="2">
        <v>15288</v>
      </c>
      <c r="V1215">
        <v>263.64800000000002</v>
      </c>
      <c r="W1215">
        <v>0</v>
      </c>
      <c r="X1215">
        <v>0</v>
      </c>
      <c r="Y1215">
        <v>0</v>
      </c>
      <c r="Z1215">
        <v>2.7</v>
      </c>
      <c r="AA1215">
        <v>1.0240927297002064E-2</v>
      </c>
      <c r="AB1215">
        <v>26.1</v>
      </c>
      <c r="AC1215">
        <v>10.8605</v>
      </c>
      <c r="AD1215">
        <v>26</v>
      </c>
      <c r="AE1215" s="7"/>
      <c r="AF1215" s="7"/>
      <c r="AG1215" s="7"/>
      <c r="AH1215" s="7"/>
      <c r="AI1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1.1395</v>
      </c>
      <c r="AJ1215" s="7"/>
      <c r="AK1215" t="s">
        <v>713</v>
      </c>
      <c r="AL1215">
        <v>2</v>
      </c>
      <c r="AM1215">
        <v>5</v>
      </c>
      <c r="AN1215">
        <f>IFERROR(INT(Table13[[#This Row],[reject_prod]]/Table13[[#This Row],[part_weight]] * 1000), 0)</f>
        <v>61</v>
      </c>
    </row>
    <row r="1216" spans="1:40" hidden="1">
      <c r="A1216" s="1">
        <v>46059</v>
      </c>
      <c r="B1216">
        <v>1</v>
      </c>
      <c r="C1216">
        <v>5</v>
      </c>
      <c r="D1216" t="s">
        <v>714</v>
      </c>
      <c r="E1216" t="s">
        <v>34</v>
      </c>
      <c r="F1216">
        <v>322448</v>
      </c>
      <c r="G1216" s="6">
        <v>0</v>
      </c>
      <c r="H1216" t="s">
        <v>654</v>
      </c>
      <c r="I1216">
        <v>10686572</v>
      </c>
      <c r="J1216">
        <v>4</v>
      </c>
      <c r="K1216">
        <v>40</v>
      </c>
      <c r="L1216">
        <v>40</v>
      </c>
      <c r="M1216">
        <v>1663</v>
      </c>
      <c r="N1216" s="2">
        <v>58320</v>
      </c>
      <c r="O1216" s="2">
        <v>486</v>
      </c>
      <c r="P1216" s="2">
        <v>486</v>
      </c>
      <c r="Q1216" s="2">
        <v>6652</v>
      </c>
      <c r="R1216" s="2">
        <v>6480</v>
      </c>
      <c r="S1216">
        <v>259.2</v>
      </c>
      <c r="T1216" s="2">
        <v>24786</v>
      </c>
      <c r="U1216" s="2">
        <v>33534</v>
      </c>
      <c r="V1216">
        <v>266.08</v>
      </c>
      <c r="W1216">
        <v>0</v>
      </c>
      <c r="X1216">
        <v>0</v>
      </c>
      <c r="Y1216">
        <v>0</v>
      </c>
      <c r="Z1216">
        <v>6.9</v>
      </c>
      <c r="AA1216">
        <v>2.5932050511124478E-2</v>
      </c>
      <c r="AB1216">
        <v>25.5</v>
      </c>
      <c r="AC1216">
        <v>11.779583333333333</v>
      </c>
      <c r="AD1216">
        <v>23</v>
      </c>
      <c r="AE1216" s="7"/>
      <c r="AF1216" s="7"/>
      <c r="AG1216" s="7"/>
      <c r="AH1216" s="7"/>
      <c r="AI1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0.22041666666666693</v>
      </c>
      <c r="AJ1216" s="7"/>
      <c r="AK1216" t="s">
        <v>715</v>
      </c>
      <c r="AN1216">
        <f>IFERROR(INT(Table13[[#This Row],[reject_prod]]/Table13[[#This Row],[part_weight]] * 1000), 0)</f>
        <v>172</v>
      </c>
    </row>
    <row r="1217" spans="1:40" hidden="1">
      <c r="A1217" s="1">
        <v>46059</v>
      </c>
      <c r="B1217">
        <v>1</v>
      </c>
      <c r="C1217">
        <v>6</v>
      </c>
      <c r="D1217" t="s">
        <v>67</v>
      </c>
      <c r="E1217" t="s">
        <v>34</v>
      </c>
      <c r="F1217">
        <v>322422</v>
      </c>
      <c r="G1217" s="6">
        <v>0</v>
      </c>
      <c r="H1217" t="s">
        <v>656</v>
      </c>
      <c r="I1217">
        <v>10685442</v>
      </c>
      <c r="J1217">
        <v>4</v>
      </c>
      <c r="K1217">
        <v>34</v>
      </c>
      <c r="L1217">
        <v>34</v>
      </c>
      <c r="M1217">
        <v>719</v>
      </c>
      <c r="N1217" s="2">
        <v>9000</v>
      </c>
      <c r="O1217" s="2">
        <v>0</v>
      </c>
      <c r="P1217" s="2"/>
      <c r="Q1217" s="2">
        <v>2876</v>
      </c>
      <c r="R1217" s="2">
        <v>2700</v>
      </c>
      <c r="S1217">
        <v>91.8</v>
      </c>
      <c r="T1217" s="2">
        <v>2700</v>
      </c>
      <c r="U1217" s="2">
        <v>6300</v>
      </c>
      <c r="V1217">
        <v>97.784000000000006</v>
      </c>
      <c r="W1217">
        <v>0</v>
      </c>
      <c r="X1217">
        <v>5</v>
      </c>
      <c r="Y1217">
        <v>5.1133109711200192E-2</v>
      </c>
      <c r="Z1217">
        <v>1</v>
      </c>
      <c r="AA1217">
        <v>1.0226621942240039E-2</v>
      </c>
      <c r="AB1217">
        <v>22.8</v>
      </c>
      <c r="AC1217">
        <v>4.5536666666666665</v>
      </c>
      <c r="AD1217">
        <v>21.68</v>
      </c>
      <c r="AE1217" s="7"/>
      <c r="AF1217" s="7"/>
      <c r="AG1217" s="7"/>
      <c r="AH1217" s="7">
        <v>7</v>
      </c>
      <c r="AI1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0.44633333333333347</v>
      </c>
      <c r="AJ1217" s="7"/>
      <c r="AK1217" t="s">
        <v>716</v>
      </c>
      <c r="AL1217">
        <v>13</v>
      </c>
      <c r="AM1217">
        <v>6</v>
      </c>
      <c r="AN1217">
        <f>IFERROR(INT(Table13[[#This Row],[reject_prod]]/Table13[[#This Row],[part_weight]] * 1000), 0)</f>
        <v>29</v>
      </c>
    </row>
    <row r="1218" spans="1:40" hidden="1">
      <c r="A1218" s="1">
        <v>46059</v>
      </c>
      <c r="B1218">
        <v>1</v>
      </c>
      <c r="C1218">
        <v>7</v>
      </c>
      <c r="D1218" t="s">
        <v>717</v>
      </c>
      <c r="E1218" t="s">
        <v>34</v>
      </c>
      <c r="F1218">
        <v>324173</v>
      </c>
      <c r="G1218" s="6">
        <v>0</v>
      </c>
      <c r="H1218" t="s">
        <v>677</v>
      </c>
      <c r="I1218">
        <v>10683859</v>
      </c>
      <c r="J1218">
        <v>4</v>
      </c>
      <c r="K1218">
        <v>34</v>
      </c>
      <c r="L1218">
        <v>34.5</v>
      </c>
      <c r="M1218">
        <v>1749</v>
      </c>
      <c r="N1218" s="2">
        <v>42000</v>
      </c>
      <c r="O1218" s="2">
        <v>400</v>
      </c>
      <c r="P1218" s="2">
        <v>600</v>
      </c>
      <c r="Q1218" s="2">
        <v>6996</v>
      </c>
      <c r="R1218" s="2">
        <v>6300</v>
      </c>
      <c r="S1218">
        <v>217.35</v>
      </c>
      <c r="T1218" s="2">
        <v>23700</v>
      </c>
      <c r="U1218" s="2">
        <v>18300</v>
      </c>
      <c r="V1218">
        <v>241.36199999999999</v>
      </c>
      <c r="W1218">
        <v>0</v>
      </c>
      <c r="X1218">
        <v>0</v>
      </c>
      <c r="Y1218">
        <v>0</v>
      </c>
      <c r="Z1218">
        <v>17.399999999999999</v>
      </c>
      <c r="AA1218">
        <v>7.2090884231983496E-2</v>
      </c>
      <c r="AB1218">
        <v>24.1</v>
      </c>
      <c r="AC1218">
        <v>11.708583333333333</v>
      </c>
      <c r="AD1218">
        <v>20.399999999999999</v>
      </c>
      <c r="AE1218" s="7"/>
      <c r="AF1218" s="7"/>
      <c r="AG1218" s="7"/>
      <c r="AH1218" s="7"/>
      <c r="AI1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0.29141666666666666</v>
      </c>
      <c r="AJ1218" s="7"/>
      <c r="AK1218" t="s">
        <v>168</v>
      </c>
      <c r="AM1218">
        <v>3</v>
      </c>
      <c r="AN1218">
        <f>IFERROR(INT(Table13[[#This Row],[reject_prod]]/Table13[[#This Row],[part_weight]] * 1000), 0)</f>
        <v>504</v>
      </c>
    </row>
    <row r="1219" spans="1:40" hidden="1">
      <c r="A1219" s="1">
        <v>46059</v>
      </c>
      <c r="B1219">
        <v>1</v>
      </c>
      <c r="C1219">
        <v>8</v>
      </c>
      <c r="D1219" t="s">
        <v>718</v>
      </c>
      <c r="E1219" t="s">
        <v>41</v>
      </c>
      <c r="F1219">
        <v>593537</v>
      </c>
      <c r="G1219" s="6">
        <v>0</v>
      </c>
      <c r="H1219" t="s">
        <v>48</v>
      </c>
      <c r="I1219">
        <v>10685813</v>
      </c>
      <c r="J1219">
        <v>4</v>
      </c>
      <c r="K1219">
        <v>56.5</v>
      </c>
      <c r="L1219">
        <v>56.8</v>
      </c>
      <c r="M1219">
        <v>1419</v>
      </c>
      <c r="N1219" s="2">
        <v>69000</v>
      </c>
      <c r="O1219" s="2">
        <v>115</v>
      </c>
      <c r="P1219" s="2">
        <v>0</v>
      </c>
      <c r="Q1219" s="2">
        <v>5676</v>
      </c>
      <c r="R1219" s="2">
        <v>5750</v>
      </c>
      <c r="S1219">
        <v>326.60000000000002</v>
      </c>
      <c r="T1219" s="2">
        <v>31050</v>
      </c>
      <c r="U1219" s="2">
        <v>37950</v>
      </c>
      <c r="V1219">
        <v>322.39679999999998</v>
      </c>
      <c r="W1219">
        <v>0</v>
      </c>
      <c r="X1219">
        <v>0</v>
      </c>
      <c r="Y1219">
        <v>0</v>
      </c>
      <c r="Z1219">
        <v>2.2000000000000002</v>
      </c>
      <c r="AA1219">
        <v>6.8238890708592652E-3</v>
      </c>
      <c r="AB1219">
        <v>30.5</v>
      </c>
      <c r="AC1219">
        <v>12</v>
      </c>
      <c r="AD1219">
        <v>28.5</v>
      </c>
      <c r="AE1219" s="7"/>
      <c r="AF1219" s="7"/>
      <c r="AG1219" s="7"/>
      <c r="AH1219" s="7"/>
      <c r="AI1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19" s="7"/>
      <c r="AK1219" t="s">
        <v>51</v>
      </c>
      <c r="AN1219">
        <f>IFERROR(INT(Table13[[#This Row],[reject_prod]]/Table13[[#This Row],[part_weight]] * 1000), 0)</f>
        <v>38</v>
      </c>
    </row>
    <row r="1220" spans="1:40" hidden="1">
      <c r="A1220" s="1">
        <v>46059</v>
      </c>
      <c r="B1220">
        <v>1</v>
      </c>
      <c r="C1220">
        <v>9</v>
      </c>
      <c r="D1220" t="s">
        <v>67</v>
      </c>
      <c r="E1220" t="s">
        <v>46</v>
      </c>
      <c r="F1220">
        <v>586276</v>
      </c>
      <c r="G1220" s="6">
        <v>1</v>
      </c>
      <c r="H1220" t="s">
        <v>47</v>
      </c>
      <c r="I1220">
        <v>10683781</v>
      </c>
      <c r="J1220">
        <v>6</v>
      </c>
      <c r="K1220">
        <v>12.3</v>
      </c>
      <c r="L1220">
        <v>12.3</v>
      </c>
      <c r="M1220">
        <v>1264</v>
      </c>
      <c r="N1220" s="2">
        <v>162000</v>
      </c>
      <c r="O1220" s="2">
        <v>2835</v>
      </c>
      <c r="P1220" s="2">
        <v>10125</v>
      </c>
      <c r="Q1220" s="2">
        <v>7584</v>
      </c>
      <c r="R1220" s="2">
        <v>0</v>
      </c>
      <c r="S1220">
        <v>0</v>
      </c>
      <c r="T1220" s="2">
        <v>50625</v>
      </c>
      <c r="U1220" s="2">
        <v>111375</v>
      </c>
      <c r="V1220">
        <v>93.283200000000008</v>
      </c>
      <c r="W1220">
        <v>0</v>
      </c>
      <c r="X1220">
        <v>0</v>
      </c>
      <c r="Y1220">
        <v>0</v>
      </c>
      <c r="Z1220">
        <v>3.5</v>
      </c>
      <c r="AA1220">
        <v>3.7520153682549483E-2</v>
      </c>
      <c r="AB1220">
        <v>26.6</v>
      </c>
      <c r="AC1220">
        <v>9.3395555555555561</v>
      </c>
      <c r="AD1220">
        <v>26</v>
      </c>
      <c r="AE1220" s="7"/>
      <c r="AF1220" s="7"/>
      <c r="AG1220" s="7"/>
      <c r="AH1220" s="7"/>
      <c r="AI1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2.6604444444444439</v>
      </c>
      <c r="AJ1220" s="7"/>
      <c r="AK1220" t="s">
        <v>719</v>
      </c>
      <c r="AN1220">
        <f>IFERROR(INT(Table13[[#This Row],[reject_prod]]/Table13[[#This Row],[part_weight]] * 1000), 0)</f>
        <v>284</v>
      </c>
    </row>
    <row r="1221" spans="1:40" hidden="1">
      <c r="A1221" s="1">
        <v>46059</v>
      </c>
      <c r="B1221">
        <v>1</v>
      </c>
      <c r="C1221">
        <v>10</v>
      </c>
      <c r="D1221" t="s">
        <v>129</v>
      </c>
      <c r="E1221" t="s">
        <v>34</v>
      </c>
      <c r="F1221">
        <v>324638</v>
      </c>
      <c r="G1221" s="6">
        <v>0</v>
      </c>
      <c r="H1221" t="s">
        <v>687</v>
      </c>
      <c r="I1221">
        <v>10685639</v>
      </c>
      <c r="J1221">
        <v>4</v>
      </c>
      <c r="K1221">
        <v>77.5</v>
      </c>
      <c r="L1221">
        <v>77.5</v>
      </c>
      <c r="M1221">
        <v>1025</v>
      </c>
      <c r="N1221" s="2">
        <v>26496</v>
      </c>
      <c r="O1221" s="2">
        <v>0</v>
      </c>
      <c r="P1221" s="2">
        <v>138</v>
      </c>
      <c r="Q1221" s="2">
        <v>4100</v>
      </c>
      <c r="R1221" s="2">
        <v>3864</v>
      </c>
      <c r="S1221">
        <v>299.45999999999998</v>
      </c>
      <c r="T1221" s="2">
        <v>14214</v>
      </c>
      <c r="U1221" s="2">
        <v>12282</v>
      </c>
      <c r="V1221">
        <v>317.75</v>
      </c>
      <c r="W1221">
        <v>0</v>
      </c>
      <c r="X1221">
        <v>0</v>
      </c>
      <c r="Y1221">
        <v>0</v>
      </c>
      <c r="Z1221">
        <v>4</v>
      </c>
      <c r="AA1221">
        <v>1.2588512981904013E-2</v>
      </c>
      <c r="AB1221">
        <v>38.6</v>
      </c>
      <c r="AC1221">
        <v>10.990277777777779</v>
      </c>
      <c r="AD1221">
        <v>36</v>
      </c>
      <c r="AE1221" s="7"/>
      <c r="AF1221" s="7"/>
      <c r="AG1221" s="7"/>
      <c r="AH1221" s="7"/>
      <c r="AI1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1.0097222222222211</v>
      </c>
      <c r="AJ1221" s="7"/>
      <c r="AK1221" t="s">
        <v>720</v>
      </c>
      <c r="AN1221">
        <f>IFERROR(INT(Table13[[#This Row],[reject_prod]]/Table13[[#This Row],[part_weight]] * 1000), 0)</f>
        <v>51</v>
      </c>
    </row>
    <row r="1222" spans="1:40" hidden="1">
      <c r="A1222" s="1">
        <v>46059</v>
      </c>
      <c r="B1222">
        <v>1</v>
      </c>
      <c r="C1222">
        <v>11</v>
      </c>
      <c r="D1222" t="s">
        <v>61</v>
      </c>
      <c r="E1222" t="s">
        <v>46</v>
      </c>
      <c r="F1222">
        <v>552181</v>
      </c>
      <c r="G1222" s="6">
        <v>1</v>
      </c>
      <c r="H1222" t="s">
        <v>49</v>
      </c>
      <c r="I1222">
        <v>10685339</v>
      </c>
      <c r="J1222">
        <v>6</v>
      </c>
      <c r="K1222">
        <v>18.8</v>
      </c>
      <c r="L1222">
        <v>18.8</v>
      </c>
      <c r="M1222">
        <v>1455</v>
      </c>
      <c r="N1222" s="2">
        <v>108000</v>
      </c>
      <c r="O1222" s="2">
        <v>2700</v>
      </c>
      <c r="P1222" s="2">
        <v>540</v>
      </c>
      <c r="Q1222" s="2">
        <v>8730</v>
      </c>
      <c r="R1222" s="2">
        <v>16200</v>
      </c>
      <c r="S1222">
        <v>304.56</v>
      </c>
      <c r="T1222" s="2">
        <v>32940</v>
      </c>
      <c r="U1222" s="2">
        <v>75060</v>
      </c>
      <c r="V1222">
        <v>164.124</v>
      </c>
      <c r="W1222">
        <v>0</v>
      </c>
      <c r="X1222">
        <v>15.4</v>
      </c>
      <c r="Y1222">
        <v>9.3831493261192764E-2</v>
      </c>
      <c r="Z1222">
        <v>1.5</v>
      </c>
      <c r="AA1222">
        <v>9.1394311618044899E-3</v>
      </c>
      <c r="AB1222">
        <v>29.4</v>
      </c>
      <c r="AC1222">
        <v>11.882499999999999</v>
      </c>
      <c r="AD1222">
        <v>27</v>
      </c>
      <c r="AE1222" s="7"/>
      <c r="AF1222" s="7"/>
      <c r="AG1222" s="7"/>
      <c r="AH1222" s="7"/>
      <c r="AI1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0.11750000000000149</v>
      </c>
      <c r="AJ1222" s="7"/>
      <c r="AK1222" t="s">
        <v>51</v>
      </c>
      <c r="AN1222">
        <f>IFERROR(INT(Table13[[#This Row],[reject_prod]]/Table13[[#This Row],[part_weight]] * 1000), 0)</f>
        <v>79</v>
      </c>
    </row>
    <row r="1223" spans="1:40" hidden="1">
      <c r="A1223" s="1">
        <v>46059</v>
      </c>
      <c r="B1223">
        <v>1</v>
      </c>
      <c r="C1223">
        <v>12</v>
      </c>
      <c r="D1223" t="s">
        <v>65</v>
      </c>
      <c r="E1223" t="s">
        <v>34</v>
      </c>
      <c r="F1223">
        <v>620599</v>
      </c>
      <c r="G1223" s="6">
        <v>0</v>
      </c>
      <c r="H1223" t="s">
        <v>50</v>
      </c>
      <c r="I1223">
        <v>10685340</v>
      </c>
      <c r="J1223">
        <v>4</v>
      </c>
      <c r="K1223">
        <v>55</v>
      </c>
      <c r="L1223">
        <v>55</v>
      </c>
      <c r="M1223">
        <v>1480</v>
      </c>
      <c r="N1223" s="2">
        <v>72000</v>
      </c>
      <c r="O1223" s="2">
        <v>225</v>
      </c>
      <c r="P1223" s="2">
        <v>675</v>
      </c>
      <c r="Q1223" s="2">
        <v>5920</v>
      </c>
      <c r="R1223" s="2">
        <v>5400</v>
      </c>
      <c r="S1223">
        <v>297</v>
      </c>
      <c r="T1223" s="2">
        <v>70875</v>
      </c>
      <c r="U1223" s="2">
        <v>1125</v>
      </c>
      <c r="V1223">
        <v>325.60000000000002</v>
      </c>
      <c r="W1223">
        <v>0</v>
      </c>
      <c r="X1223">
        <v>0</v>
      </c>
      <c r="Y1223">
        <v>0</v>
      </c>
      <c r="Z1223">
        <v>3.8</v>
      </c>
      <c r="AA1223">
        <v>1.167076167076167E-2</v>
      </c>
      <c r="AB1223">
        <v>28.8</v>
      </c>
      <c r="AC1223">
        <v>11.84</v>
      </c>
      <c r="AD1223">
        <v>28</v>
      </c>
      <c r="AE1223" s="7"/>
      <c r="AF1223" s="7"/>
      <c r="AG1223" s="7"/>
      <c r="AH1223" s="7"/>
      <c r="AI1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223" s="7"/>
      <c r="AK1223" t="s">
        <v>178</v>
      </c>
      <c r="AN1223">
        <f>IFERROR(INT(Table13[[#This Row],[reject_prod]]/Table13[[#This Row],[part_weight]] * 1000), 0)</f>
        <v>69</v>
      </c>
    </row>
    <row r="1224" spans="1:40" hidden="1">
      <c r="A1224" s="1">
        <v>46059</v>
      </c>
      <c r="B1224">
        <v>1</v>
      </c>
      <c r="C1224">
        <v>13</v>
      </c>
      <c r="D1224" t="s">
        <v>61</v>
      </c>
      <c r="E1224" t="s">
        <v>46</v>
      </c>
      <c r="F1224">
        <v>586276</v>
      </c>
      <c r="G1224" s="6">
        <v>2</v>
      </c>
      <c r="H1224" t="s">
        <v>47</v>
      </c>
      <c r="I1224">
        <v>10686191</v>
      </c>
      <c r="J1224">
        <v>6</v>
      </c>
      <c r="K1224">
        <v>12.3</v>
      </c>
      <c r="L1224">
        <v>12.3</v>
      </c>
      <c r="M1224">
        <v>1627</v>
      </c>
      <c r="N1224" s="2">
        <v>162000</v>
      </c>
      <c r="O1224" s="2">
        <v>810</v>
      </c>
      <c r="P1224" s="2">
        <v>2430</v>
      </c>
      <c r="Q1224" s="2">
        <v>9762</v>
      </c>
      <c r="R1224" s="2">
        <v>8100</v>
      </c>
      <c r="S1224">
        <v>99.63</v>
      </c>
      <c r="T1224" s="2">
        <v>107730</v>
      </c>
      <c r="U1224" s="2">
        <v>54270</v>
      </c>
      <c r="V1224">
        <v>120.07260000000001</v>
      </c>
      <c r="W1224">
        <v>0</v>
      </c>
      <c r="X1224">
        <v>0</v>
      </c>
      <c r="Y1224">
        <v>0</v>
      </c>
      <c r="Z1224">
        <v>0.5</v>
      </c>
      <c r="AA1224">
        <v>4.1641473575153697E-3</v>
      </c>
      <c r="AB1224">
        <v>26.2</v>
      </c>
      <c r="AC1224">
        <v>11.840944444444444</v>
      </c>
      <c r="AD1224">
        <v>26</v>
      </c>
      <c r="AE1224" s="7"/>
      <c r="AF1224" s="7"/>
      <c r="AG1224" s="7"/>
      <c r="AH1224" s="7"/>
      <c r="AI1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1224" s="7"/>
      <c r="AK1224" t="s">
        <v>51</v>
      </c>
      <c r="AN1224">
        <f>IFERROR(INT(Table13[[#This Row],[reject_prod]]/Table13[[#This Row],[part_weight]] * 1000), 0)</f>
        <v>40</v>
      </c>
    </row>
    <row r="1225" spans="1:40" hidden="1">
      <c r="A1225" s="1">
        <v>46059</v>
      </c>
      <c r="B1225">
        <v>1</v>
      </c>
      <c r="C1225">
        <v>14</v>
      </c>
      <c r="D1225" t="s">
        <v>33</v>
      </c>
      <c r="E1225" t="s">
        <v>46</v>
      </c>
      <c r="F1225">
        <v>555979</v>
      </c>
      <c r="G1225" s="6">
        <v>1</v>
      </c>
      <c r="H1225" t="s">
        <v>52</v>
      </c>
      <c r="I1225">
        <v>10683785</v>
      </c>
      <c r="J1225">
        <v>6</v>
      </c>
      <c r="K1225">
        <v>28</v>
      </c>
      <c r="L1225">
        <v>28</v>
      </c>
      <c r="M1225">
        <v>0</v>
      </c>
      <c r="N1225" s="2">
        <v>100800</v>
      </c>
      <c r="O1225" s="2">
        <v>0</v>
      </c>
      <c r="P1225" s="2">
        <v>0</v>
      </c>
      <c r="Q1225" s="2">
        <v>0</v>
      </c>
      <c r="R1225" s="2">
        <v>0</v>
      </c>
      <c r="S1225">
        <v>0</v>
      </c>
      <c r="T1225" s="2">
        <v>30240</v>
      </c>
      <c r="U1225" s="2">
        <v>70560</v>
      </c>
      <c r="V1225">
        <v>0</v>
      </c>
      <c r="W1225">
        <v>0</v>
      </c>
      <c r="X1225">
        <v>10.6</v>
      </c>
      <c r="Y1225" t="e">
        <v>#DIV/0!</v>
      </c>
      <c r="Z1225">
        <v>0</v>
      </c>
      <c r="AA1225" t="e">
        <v>#DIV/0!</v>
      </c>
      <c r="AB1225">
        <v>43</v>
      </c>
      <c r="AC1225">
        <v>0</v>
      </c>
      <c r="AD1225">
        <v>42</v>
      </c>
      <c r="AE1225" s="7"/>
      <c r="AF1225" s="7"/>
      <c r="AG1225" s="7"/>
      <c r="AH1225" s="7"/>
      <c r="AI1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25" s="7"/>
      <c r="AK1225" t="s">
        <v>721</v>
      </c>
      <c r="AL1225">
        <v>6</v>
      </c>
      <c r="AM1225">
        <v>7</v>
      </c>
      <c r="AN1225">
        <f>IFERROR(INT(Table13[[#This Row],[reject_prod]]/Table13[[#This Row],[part_weight]] * 1000), 0)</f>
        <v>0</v>
      </c>
    </row>
    <row r="1226" spans="1:40" hidden="1">
      <c r="A1226" s="1">
        <v>46059</v>
      </c>
      <c r="B1226">
        <v>1</v>
      </c>
      <c r="C1226">
        <v>15</v>
      </c>
      <c r="D1226" t="s">
        <v>61</v>
      </c>
      <c r="E1226" t="s">
        <v>46</v>
      </c>
      <c r="F1226">
        <v>552181</v>
      </c>
      <c r="G1226" s="6">
        <v>2</v>
      </c>
      <c r="H1226" t="s">
        <v>49</v>
      </c>
      <c r="I1226">
        <v>10685542</v>
      </c>
      <c r="J1226">
        <v>6</v>
      </c>
      <c r="K1226">
        <v>18.8</v>
      </c>
      <c r="L1226">
        <v>18.8</v>
      </c>
      <c r="M1226">
        <v>1361</v>
      </c>
      <c r="N1226" s="2">
        <v>108000</v>
      </c>
      <c r="O1226" s="2">
        <v>1890</v>
      </c>
      <c r="P1226" s="2">
        <v>2700</v>
      </c>
      <c r="Q1226" s="2">
        <v>8166</v>
      </c>
      <c r="R1226" s="2">
        <v>10800</v>
      </c>
      <c r="S1226">
        <v>203.04</v>
      </c>
      <c r="T1226" s="2">
        <v>18900</v>
      </c>
      <c r="U1226" s="2">
        <v>89100</v>
      </c>
      <c r="V1226">
        <v>153.52080000000001</v>
      </c>
      <c r="W1226">
        <v>0</v>
      </c>
      <c r="X1226">
        <v>15.4</v>
      </c>
      <c r="Y1226">
        <v>0.1003121401139129</v>
      </c>
      <c r="Z1226">
        <v>1.2</v>
      </c>
      <c r="AA1226">
        <v>7.8165303984867197E-3</v>
      </c>
      <c r="AB1226">
        <v>31.2</v>
      </c>
      <c r="AC1226">
        <v>11.795333333333334</v>
      </c>
      <c r="AD1226">
        <v>27</v>
      </c>
      <c r="AE1226" s="7"/>
      <c r="AF1226" s="7"/>
      <c r="AG1226" s="7"/>
      <c r="AH1226" s="7"/>
      <c r="AI1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1226" s="7"/>
      <c r="AK1226" t="s">
        <v>51</v>
      </c>
      <c r="AN1226">
        <f>IFERROR(INT(Table13[[#This Row],[reject_prod]]/Table13[[#This Row],[part_weight]] * 1000), 0)</f>
        <v>63</v>
      </c>
    </row>
    <row r="1227" spans="1:40" s="4" customFormat="1" hidden="1">
      <c r="A1227" s="3">
        <v>46059</v>
      </c>
      <c r="B1227" s="4">
        <v>1</v>
      </c>
      <c r="C1227" s="4">
        <v>16</v>
      </c>
      <c r="D1227" s="4" t="s">
        <v>221</v>
      </c>
      <c r="E1227" s="4" t="s">
        <v>46</v>
      </c>
      <c r="F1227" s="4">
        <v>555979</v>
      </c>
      <c r="G1227" s="9">
        <v>2</v>
      </c>
      <c r="H1227" s="4" t="s">
        <v>52</v>
      </c>
      <c r="I1227" s="4">
        <v>10685814</v>
      </c>
      <c r="J1227" s="4">
        <v>6</v>
      </c>
      <c r="K1227" s="4">
        <v>28</v>
      </c>
      <c r="L1227" s="4">
        <v>28</v>
      </c>
      <c r="M1227" s="4">
        <v>561</v>
      </c>
      <c r="N1227" s="5">
        <v>100800</v>
      </c>
      <c r="O1227" s="5">
        <v>0</v>
      </c>
      <c r="P1227" s="5">
        <v>2856</v>
      </c>
      <c r="Q1227" s="5">
        <v>3366</v>
      </c>
      <c r="R1227" s="5">
        <v>0</v>
      </c>
      <c r="S1227" s="4">
        <v>0</v>
      </c>
      <c r="T1227" s="5">
        <v>16296</v>
      </c>
      <c r="U1227" s="5">
        <v>84504</v>
      </c>
      <c r="V1227" s="4">
        <v>94.248000000000005</v>
      </c>
      <c r="W1227" s="4">
        <v>0</v>
      </c>
      <c r="X1227" s="4">
        <v>13</v>
      </c>
      <c r="Y1227" s="4">
        <v>0.13793396146337322</v>
      </c>
      <c r="Z1227" s="4">
        <v>1.2</v>
      </c>
      <c r="AA1227" s="4">
        <v>1.2732365673542143E-2</v>
      </c>
      <c r="AB1227" s="4">
        <v>43.5</v>
      </c>
      <c r="AC1227" s="4">
        <v>6.7787499999999996</v>
      </c>
      <c r="AD1227" s="4">
        <v>42</v>
      </c>
      <c r="AE1227" s="8"/>
      <c r="AF1227" s="8"/>
      <c r="AG1227" s="8"/>
      <c r="AH1227" s="8"/>
      <c r="AI122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5.2212500000000004</v>
      </c>
      <c r="AJ1227" s="8"/>
      <c r="AK1227" s="4" t="s">
        <v>722</v>
      </c>
      <c r="AN1227">
        <f>IFERROR(INT(Table13[[#This Row],[reject_prod]]/Table13[[#This Row],[part_weight]] * 1000), 0)</f>
        <v>42</v>
      </c>
    </row>
    <row r="1228" spans="1:40" hidden="1">
      <c r="A1228" s="1">
        <v>46059</v>
      </c>
      <c r="B1228">
        <v>2</v>
      </c>
      <c r="C1228">
        <v>1</v>
      </c>
      <c r="D1228" t="s">
        <v>33</v>
      </c>
      <c r="E1228" t="s">
        <v>34</v>
      </c>
      <c r="F1228">
        <v>347623</v>
      </c>
      <c r="G1228" s="6">
        <v>0</v>
      </c>
      <c r="H1228" t="s">
        <v>35</v>
      </c>
      <c r="I1228">
        <v>10686760</v>
      </c>
      <c r="J1228">
        <v>4</v>
      </c>
      <c r="K1228">
        <v>35.6</v>
      </c>
      <c r="L1228">
        <v>35.6</v>
      </c>
      <c r="M1228">
        <v>92</v>
      </c>
      <c r="N1228" s="2">
        <v>20240</v>
      </c>
      <c r="O1228" s="2">
        <v>1472</v>
      </c>
      <c r="P1228" s="2">
        <v>0</v>
      </c>
      <c r="Q1228" s="2">
        <v>368</v>
      </c>
      <c r="R1228" s="2">
        <v>1840</v>
      </c>
      <c r="S1228">
        <v>65.504000000000005</v>
      </c>
      <c r="T1228" s="2">
        <v>20240</v>
      </c>
      <c r="U1228" s="2">
        <v>0</v>
      </c>
      <c r="V1228">
        <v>13.100800000000001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26.7</v>
      </c>
      <c r="AC1228">
        <v>0.68233333333333335</v>
      </c>
      <c r="AD1228">
        <v>27</v>
      </c>
      <c r="AE1228" s="7"/>
      <c r="AF1228" s="7"/>
      <c r="AG1228" s="7"/>
      <c r="AH1228" s="7"/>
      <c r="AI1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11.317666666666666</v>
      </c>
      <c r="AJ1228" s="7"/>
      <c r="AK1228" t="s">
        <v>102</v>
      </c>
      <c r="AN1228">
        <f>IFERROR(INT(Table13[[#This Row],[reject_prod]]/Table13[[#This Row],[part_weight]] * 1000), 0)</f>
        <v>0</v>
      </c>
    </row>
    <row r="1229" spans="1:40" hidden="1">
      <c r="A1229" s="1">
        <v>46059</v>
      </c>
      <c r="B1229">
        <v>2</v>
      </c>
      <c r="C1229">
        <v>1</v>
      </c>
      <c r="D1229" t="s">
        <v>33</v>
      </c>
      <c r="E1229" t="s">
        <v>34</v>
      </c>
      <c r="F1229">
        <v>529004</v>
      </c>
      <c r="G1229" s="6">
        <v>0</v>
      </c>
      <c r="H1229" t="s">
        <v>723</v>
      </c>
      <c r="I1229">
        <v>10685632</v>
      </c>
      <c r="J1229">
        <v>4</v>
      </c>
      <c r="K1229">
        <v>31</v>
      </c>
      <c r="L1229">
        <v>31</v>
      </c>
      <c r="M1229">
        <v>0</v>
      </c>
      <c r="N1229" s="2">
        <v>20400</v>
      </c>
      <c r="O1229" s="2">
        <v>0</v>
      </c>
      <c r="P1229" s="2">
        <v>0</v>
      </c>
      <c r="Q1229" s="2">
        <v>0</v>
      </c>
      <c r="R1229" s="2">
        <v>0</v>
      </c>
      <c r="S1229">
        <v>0</v>
      </c>
      <c r="T1229" s="2">
        <v>0</v>
      </c>
      <c r="U1229" s="2">
        <v>20400</v>
      </c>
      <c r="V1229">
        <v>0</v>
      </c>
      <c r="W1229">
        <v>0</v>
      </c>
      <c r="X1229">
        <v>6</v>
      </c>
      <c r="Y1229" t="e">
        <v>#DIV/0!</v>
      </c>
      <c r="Z1229">
        <v>0</v>
      </c>
      <c r="AA1229" t="e">
        <v>#DIV/0!</v>
      </c>
      <c r="AB1229">
        <v>26.7</v>
      </c>
      <c r="AC1229">
        <v>0</v>
      </c>
      <c r="AD1229">
        <v>29</v>
      </c>
      <c r="AE1229" s="7"/>
      <c r="AF1229" s="7"/>
      <c r="AG1229" s="7">
        <v>1.5</v>
      </c>
      <c r="AH1229" s="7"/>
      <c r="AI1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</v>
      </c>
      <c r="AJ1229" s="7">
        <v>8</v>
      </c>
      <c r="AK1229" t="s">
        <v>724</v>
      </c>
      <c r="AN1229">
        <f>IFERROR(INT(Table13[[#This Row],[reject_prod]]/Table13[[#This Row],[part_weight]] * 1000), 0)</f>
        <v>0</v>
      </c>
    </row>
    <row r="1230" spans="1:40" hidden="1">
      <c r="A1230" s="1">
        <v>46059</v>
      </c>
      <c r="B1230">
        <v>2</v>
      </c>
      <c r="C1230">
        <v>2</v>
      </c>
      <c r="D1230" t="s">
        <v>84</v>
      </c>
      <c r="E1230" t="s">
        <v>34</v>
      </c>
      <c r="F1230">
        <v>324163</v>
      </c>
      <c r="G1230" s="6">
        <v>0</v>
      </c>
      <c r="H1230" t="s">
        <v>672</v>
      </c>
      <c r="I1230">
        <v>10684851</v>
      </c>
      <c r="J1230">
        <v>4</v>
      </c>
      <c r="K1230">
        <v>24</v>
      </c>
      <c r="L1230">
        <v>23.5</v>
      </c>
      <c r="M1230">
        <v>1935</v>
      </c>
      <c r="N1230" s="2">
        <v>73152</v>
      </c>
      <c r="O1230" s="2">
        <v>3429</v>
      </c>
      <c r="P1230" s="2">
        <v>1905</v>
      </c>
      <c r="Q1230" s="2">
        <v>7740</v>
      </c>
      <c r="R1230" s="2">
        <v>9144</v>
      </c>
      <c r="S1230">
        <v>214.88399999999999</v>
      </c>
      <c r="T1230" s="2">
        <v>38481</v>
      </c>
      <c r="U1230" s="2">
        <v>34671</v>
      </c>
      <c r="V1230">
        <v>181.89</v>
      </c>
      <c r="W1230">
        <v>3.87</v>
      </c>
      <c r="X1230">
        <v>0</v>
      </c>
      <c r="Y1230">
        <v>0</v>
      </c>
      <c r="Z1230">
        <v>2</v>
      </c>
      <c r="AA1230">
        <v>1.099565671559734E-2</v>
      </c>
      <c r="AB1230">
        <v>22.2</v>
      </c>
      <c r="AC1230">
        <v>11.932499999999999</v>
      </c>
      <c r="AD1230">
        <v>22.5</v>
      </c>
      <c r="AE1230" s="7"/>
      <c r="AF1230" s="7"/>
      <c r="AG1230" s="7"/>
      <c r="AH1230" s="7"/>
      <c r="AI1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6.7500000000000782E-2</v>
      </c>
      <c r="AJ1230" s="7"/>
      <c r="AK1230" t="s">
        <v>214</v>
      </c>
      <c r="AN1230">
        <f>IFERROR(INT(Table13[[#This Row],[reject_prod]]/Table13[[#This Row],[part_weight]] * 1000), 0)</f>
        <v>85</v>
      </c>
    </row>
    <row r="1231" spans="1:40" hidden="1">
      <c r="A1231" s="1">
        <v>46059</v>
      </c>
      <c r="B1231">
        <v>2</v>
      </c>
      <c r="C1231">
        <v>3</v>
      </c>
      <c r="D1231" t="s">
        <v>117</v>
      </c>
      <c r="E1231" t="s">
        <v>34</v>
      </c>
      <c r="F1231">
        <v>442034</v>
      </c>
      <c r="G1231" s="6">
        <v>0</v>
      </c>
      <c r="H1231" t="s">
        <v>37</v>
      </c>
      <c r="I1231">
        <v>10685633</v>
      </c>
      <c r="J1231">
        <v>4</v>
      </c>
      <c r="K1231">
        <v>23</v>
      </c>
      <c r="L1231">
        <v>23</v>
      </c>
      <c r="M1231">
        <v>1070</v>
      </c>
      <c r="N1231" s="2">
        <v>139776</v>
      </c>
      <c r="O1231" s="2">
        <v>3072</v>
      </c>
      <c r="P1231" s="2">
        <v>2688</v>
      </c>
      <c r="Q1231" s="2">
        <v>4280</v>
      </c>
      <c r="R1231" s="2">
        <v>4608</v>
      </c>
      <c r="S1231">
        <v>105.98399999999999</v>
      </c>
      <c r="T1231" s="2">
        <v>48768</v>
      </c>
      <c r="U1231" s="2">
        <v>91008</v>
      </c>
      <c r="V1231">
        <v>98.44</v>
      </c>
      <c r="W1231">
        <v>0</v>
      </c>
      <c r="X1231">
        <v>5</v>
      </c>
      <c r="Y1231">
        <v>5.0792360828931328E-2</v>
      </c>
      <c r="Z1231">
        <v>0.5</v>
      </c>
      <c r="AA1231">
        <v>5.0792360828931333E-3</v>
      </c>
      <c r="AB1231">
        <v>28.5</v>
      </c>
      <c r="AC1231">
        <v>8.4708333333333332</v>
      </c>
      <c r="AD1231">
        <v>22</v>
      </c>
      <c r="AE1231" s="7"/>
      <c r="AF1231" s="7"/>
      <c r="AG1231" s="7"/>
      <c r="AH1231" s="7"/>
      <c r="AI1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3.5291666666666668</v>
      </c>
      <c r="AJ1231" s="7"/>
      <c r="AK1231" t="s">
        <v>725</v>
      </c>
      <c r="AN1231">
        <f>IFERROR(INT(Table13[[#This Row],[reject_prod]]/Table13[[#This Row],[part_weight]] * 1000), 0)</f>
        <v>21</v>
      </c>
    </row>
    <row r="1232" spans="1:40" hidden="1">
      <c r="A1232" s="1">
        <v>46059</v>
      </c>
      <c r="B1232">
        <v>2</v>
      </c>
      <c r="C1232">
        <v>4</v>
      </c>
      <c r="D1232" t="s">
        <v>289</v>
      </c>
      <c r="E1232" t="s">
        <v>34</v>
      </c>
      <c r="F1232">
        <v>322477</v>
      </c>
      <c r="G1232" s="6">
        <v>0</v>
      </c>
      <c r="H1232" t="s">
        <v>694</v>
      </c>
      <c r="I1232">
        <v>10685206</v>
      </c>
      <c r="J1232">
        <v>4</v>
      </c>
      <c r="K1232">
        <v>44</v>
      </c>
      <c r="L1232">
        <v>44</v>
      </c>
      <c r="M1232">
        <v>1665</v>
      </c>
      <c r="N1232" s="2">
        <v>24960</v>
      </c>
      <c r="O1232" s="2">
        <v>312</v>
      </c>
      <c r="P1232" s="2">
        <v>104</v>
      </c>
      <c r="Q1232" s="2">
        <v>6660</v>
      </c>
      <c r="R1232" s="2">
        <v>6864</v>
      </c>
      <c r="S1232">
        <v>302.01600000000002</v>
      </c>
      <c r="T1232" s="2">
        <v>16328</v>
      </c>
      <c r="U1232" s="2">
        <v>8632</v>
      </c>
      <c r="V1232">
        <v>293.04000000000002</v>
      </c>
      <c r="W1232">
        <v>0</v>
      </c>
      <c r="X1232">
        <v>0</v>
      </c>
      <c r="Y1232">
        <v>0</v>
      </c>
      <c r="Z1232">
        <v>4</v>
      </c>
      <c r="AA1232">
        <v>1.365001365001365E-2</v>
      </c>
      <c r="AB1232">
        <v>26.1</v>
      </c>
      <c r="AC1232">
        <v>12</v>
      </c>
      <c r="AD1232">
        <v>26</v>
      </c>
      <c r="AE1232" s="7"/>
      <c r="AF1232" s="7"/>
      <c r="AG1232" s="7"/>
      <c r="AH1232" s="7"/>
      <c r="AI1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2" s="7"/>
      <c r="AK1232" t="s">
        <v>103</v>
      </c>
      <c r="AN1232">
        <f>IFERROR(INT(Table13[[#This Row],[reject_prod]]/Table13[[#This Row],[part_weight]] * 1000), 0)</f>
        <v>90</v>
      </c>
    </row>
    <row r="1233" spans="1:40" hidden="1">
      <c r="A1233" s="1">
        <v>46059</v>
      </c>
      <c r="B1233">
        <v>2</v>
      </c>
      <c r="C1233">
        <v>5</v>
      </c>
      <c r="D1233" t="s">
        <v>726</v>
      </c>
      <c r="E1233" t="s">
        <v>34</v>
      </c>
      <c r="F1233">
        <v>322448</v>
      </c>
      <c r="G1233" s="6">
        <v>0</v>
      </c>
      <c r="H1233" t="s">
        <v>654</v>
      </c>
      <c r="I1233">
        <v>10686572</v>
      </c>
      <c r="J1233">
        <v>4</v>
      </c>
      <c r="K1233">
        <v>40</v>
      </c>
      <c r="L1233">
        <v>40</v>
      </c>
      <c r="M1233">
        <v>1705</v>
      </c>
      <c r="N1233" s="2">
        <v>58320</v>
      </c>
      <c r="O1233" s="2">
        <v>486</v>
      </c>
      <c r="P1233" s="2">
        <v>0</v>
      </c>
      <c r="Q1233" s="2">
        <v>6820</v>
      </c>
      <c r="R1233" s="2">
        <v>7290</v>
      </c>
      <c r="S1233">
        <v>291.60000000000002</v>
      </c>
      <c r="T1233" s="2">
        <v>31590</v>
      </c>
      <c r="U1233" s="2">
        <v>26730</v>
      </c>
      <c r="V1233">
        <v>272.8</v>
      </c>
      <c r="W1233">
        <v>0</v>
      </c>
      <c r="X1233">
        <v>0</v>
      </c>
      <c r="Y1233">
        <v>0</v>
      </c>
      <c r="Z1233">
        <v>3</v>
      </c>
      <c r="AA1233">
        <v>1.0997067448680351E-2</v>
      </c>
      <c r="AB1233">
        <v>25.5</v>
      </c>
      <c r="AC1233">
        <v>12</v>
      </c>
      <c r="AD1233">
        <v>23</v>
      </c>
      <c r="AE1233" s="7"/>
      <c r="AF1233" s="7"/>
      <c r="AG1233" s="7"/>
      <c r="AH1233" s="7"/>
      <c r="AI1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3" s="7"/>
      <c r="AK1233" t="s">
        <v>193</v>
      </c>
      <c r="AN1233">
        <f>IFERROR(INT(Table13[[#This Row],[reject_prod]]/Table13[[#This Row],[part_weight]] * 1000), 0)</f>
        <v>75</v>
      </c>
    </row>
    <row r="1234" spans="1:40" hidden="1">
      <c r="A1234" s="1">
        <v>46059</v>
      </c>
      <c r="B1234">
        <v>2</v>
      </c>
      <c r="C1234">
        <v>6</v>
      </c>
      <c r="D1234" t="s">
        <v>33</v>
      </c>
      <c r="E1234" t="s">
        <v>34</v>
      </c>
      <c r="F1234">
        <v>322422</v>
      </c>
      <c r="G1234" s="6">
        <v>0</v>
      </c>
      <c r="H1234" t="s">
        <v>656</v>
      </c>
      <c r="I1234">
        <v>10685442</v>
      </c>
      <c r="J1234">
        <v>4</v>
      </c>
      <c r="K1234">
        <v>34</v>
      </c>
      <c r="L1234">
        <v>34</v>
      </c>
      <c r="M1234">
        <v>0</v>
      </c>
      <c r="N1234" s="2">
        <v>9000</v>
      </c>
      <c r="O1234" s="2">
        <v>0</v>
      </c>
      <c r="P1234" s="2">
        <v>0</v>
      </c>
      <c r="Q1234" s="2">
        <v>0</v>
      </c>
      <c r="R1234" s="2">
        <v>0</v>
      </c>
      <c r="S1234">
        <v>0</v>
      </c>
      <c r="T1234" s="2">
        <v>2700</v>
      </c>
      <c r="U1234" s="2">
        <v>6300</v>
      </c>
      <c r="V1234">
        <v>0</v>
      </c>
      <c r="W1234">
        <v>0</v>
      </c>
      <c r="X1234">
        <v>0</v>
      </c>
      <c r="Y1234" t="e">
        <v>#DIV/0!</v>
      </c>
      <c r="Z1234">
        <v>0</v>
      </c>
      <c r="AA1234" t="e">
        <v>#DIV/0!</v>
      </c>
      <c r="AB1234">
        <v>21.3</v>
      </c>
      <c r="AC1234">
        <v>0</v>
      </c>
      <c r="AD1234">
        <v>21.68</v>
      </c>
      <c r="AE1234" s="7"/>
      <c r="AF1234" s="7"/>
      <c r="AG1234" s="7"/>
      <c r="AH1234" s="7">
        <v>12</v>
      </c>
      <c r="AI1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4" s="7"/>
      <c r="AK1234" t="s">
        <v>727</v>
      </c>
      <c r="AN1234">
        <f>IFERROR(INT(Table13[[#This Row],[reject_prod]]/Table13[[#This Row],[part_weight]] * 1000), 0)</f>
        <v>0</v>
      </c>
    </row>
    <row r="1235" spans="1:40" hidden="1">
      <c r="A1235" s="1">
        <v>46059</v>
      </c>
      <c r="B1235">
        <v>2</v>
      </c>
      <c r="C1235">
        <v>7</v>
      </c>
      <c r="D1235" t="s">
        <v>728</v>
      </c>
      <c r="E1235" t="s">
        <v>34</v>
      </c>
      <c r="F1235">
        <v>324173</v>
      </c>
      <c r="G1235" s="6">
        <v>0</v>
      </c>
      <c r="H1235" t="s">
        <v>677</v>
      </c>
      <c r="I1235">
        <v>10683859</v>
      </c>
      <c r="J1235">
        <v>4</v>
      </c>
      <c r="K1235">
        <v>34</v>
      </c>
      <c r="L1235">
        <v>34.5</v>
      </c>
      <c r="M1235">
        <v>1800</v>
      </c>
      <c r="N1235" s="2">
        <v>42000</v>
      </c>
      <c r="O1235" s="2">
        <v>600</v>
      </c>
      <c r="P1235" s="2">
        <v>450</v>
      </c>
      <c r="Q1235" s="2">
        <v>7200</v>
      </c>
      <c r="R1235" s="2">
        <v>7350</v>
      </c>
      <c r="S1235">
        <v>253.57499999999999</v>
      </c>
      <c r="T1235" s="2">
        <v>30900</v>
      </c>
      <c r="U1235" s="2">
        <v>11100</v>
      </c>
      <c r="V1235">
        <v>248.4</v>
      </c>
      <c r="W1235">
        <v>-3.6</v>
      </c>
      <c r="X1235">
        <v>0</v>
      </c>
      <c r="Y1235">
        <v>0</v>
      </c>
      <c r="Z1235">
        <v>14.4</v>
      </c>
      <c r="AA1235">
        <v>5.7971014492753624E-2</v>
      </c>
      <c r="AB1235">
        <v>24.1</v>
      </c>
      <c r="AC1235">
        <v>12</v>
      </c>
      <c r="AD1235">
        <v>20.399999999999999</v>
      </c>
      <c r="AE1235" s="7"/>
      <c r="AF1235" s="7"/>
      <c r="AG1235" s="7"/>
      <c r="AH1235" s="7"/>
      <c r="AI1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5" s="7"/>
      <c r="AK1235" t="s">
        <v>729</v>
      </c>
      <c r="AN1235">
        <f>IFERROR(INT(Table13[[#This Row],[reject_prod]]/Table13[[#This Row],[part_weight]] * 1000), 0)</f>
        <v>417</v>
      </c>
    </row>
    <row r="1236" spans="1:40" hidden="1">
      <c r="A1236" s="1">
        <v>46059</v>
      </c>
      <c r="B1236">
        <v>2</v>
      </c>
      <c r="C1236">
        <v>8</v>
      </c>
      <c r="D1236" t="s">
        <v>54</v>
      </c>
      <c r="E1236" t="s">
        <v>41</v>
      </c>
      <c r="F1236">
        <v>593537</v>
      </c>
      <c r="G1236" s="6">
        <v>0</v>
      </c>
      <c r="H1236" t="s">
        <v>48</v>
      </c>
      <c r="I1236">
        <v>10685813</v>
      </c>
      <c r="J1236">
        <v>4</v>
      </c>
      <c r="K1236">
        <v>56.5</v>
      </c>
      <c r="L1236">
        <v>56.8</v>
      </c>
      <c r="M1236">
        <v>1438</v>
      </c>
      <c r="N1236" s="2">
        <v>69000</v>
      </c>
      <c r="O1236" s="2">
        <v>0</v>
      </c>
      <c r="P1236" s="2">
        <v>0</v>
      </c>
      <c r="Q1236" s="2">
        <v>5752</v>
      </c>
      <c r="R1236" s="2">
        <v>5750</v>
      </c>
      <c r="S1236">
        <v>326.60000000000002</v>
      </c>
      <c r="T1236" s="2">
        <v>36800</v>
      </c>
      <c r="U1236" s="2">
        <v>32200</v>
      </c>
      <c r="V1236">
        <v>326.71359999999999</v>
      </c>
      <c r="W1236">
        <v>-1.7255999999999836</v>
      </c>
      <c r="X1236">
        <v>0</v>
      </c>
      <c r="Y1236">
        <v>0</v>
      </c>
      <c r="Z1236">
        <v>2</v>
      </c>
      <c r="AA1236">
        <v>6.1215694724676296E-3</v>
      </c>
      <c r="AB1236">
        <v>30.4</v>
      </c>
      <c r="AC1236">
        <v>12</v>
      </c>
      <c r="AD1236">
        <v>28.5</v>
      </c>
      <c r="AE1236" s="7"/>
      <c r="AF1236" s="7"/>
      <c r="AG1236" s="7"/>
      <c r="AH1236" s="7"/>
      <c r="AI1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6" s="7"/>
      <c r="AK1236" t="s">
        <v>51</v>
      </c>
      <c r="AN1236">
        <f>IFERROR(INT(Table13[[#This Row],[reject_prod]]/Table13[[#This Row],[part_weight]] * 1000), 0)</f>
        <v>35</v>
      </c>
    </row>
    <row r="1237" spans="1:40" hidden="1">
      <c r="A1237" s="1">
        <v>46059</v>
      </c>
      <c r="B1237">
        <v>2</v>
      </c>
      <c r="C1237">
        <v>9</v>
      </c>
      <c r="D1237" t="s">
        <v>33</v>
      </c>
      <c r="E1237" t="s">
        <v>46</v>
      </c>
      <c r="F1237">
        <v>586276</v>
      </c>
      <c r="G1237" s="6">
        <v>1</v>
      </c>
      <c r="H1237" t="s">
        <v>47</v>
      </c>
      <c r="I1237">
        <v>10683781</v>
      </c>
      <c r="J1237">
        <v>6</v>
      </c>
      <c r="K1237">
        <v>12.3</v>
      </c>
      <c r="L1237">
        <v>12.3</v>
      </c>
      <c r="M1237">
        <v>0</v>
      </c>
      <c r="N1237" s="2">
        <v>162000</v>
      </c>
      <c r="O1237" s="2">
        <v>10125</v>
      </c>
      <c r="P1237" s="2">
        <v>10125</v>
      </c>
      <c r="Q1237" s="2">
        <v>0</v>
      </c>
      <c r="R1237" s="2">
        <v>0</v>
      </c>
      <c r="S1237">
        <v>0</v>
      </c>
      <c r="T1237" s="2">
        <v>50625</v>
      </c>
      <c r="U1237" s="2">
        <v>111375</v>
      </c>
      <c r="V1237">
        <v>0</v>
      </c>
      <c r="W1237">
        <v>0</v>
      </c>
      <c r="X1237">
        <v>0</v>
      </c>
      <c r="Y1237" t="e">
        <v>#DIV/0!</v>
      </c>
      <c r="Z1237">
        <v>0</v>
      </c>
      <c r="AA1237" t="e">
        <v>#DIV/0!</v>
      </c>
      <c r="AB1237">
        <v>26.6</v>
      </c>
      <c r="AC1237">
        <v>0</v>
      </c>
      <c r="AD1237">
        <v>26</v>
      </c>
      <c r="AE1237" s="7"/>
      <c r="AF1237" s="7"/>
      <c r="AG1237" s="7"/>
      <c r="AH1237" s="7"/>
      <c r="AI1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37" s="7"/>
      <c r="AK1237" t="s">
        <v>730</v>
      </c>
      <c r="AN1237">
        <f>IFERROR(INT(Table13[[#This Row],[reject_prod]]/Table13[[#This Row],[part_weight]] * 1000), 0)</f>
        <v>0</v>
      </c>
    </row>
    <row r="1238" spans="1:40" hidden="1">
      <c r="A1238" s="1">
        <v>46059</v>
      </c>
      <c r="B1238">
        <v>2</v>
      </c>
      <c r="C1238">
        <v>10</v>
      </c>
      <c r="D1238" t="s">
        <v>208</v>
      </c>
      <c r="E1238" t="s">
        <v>34</v>
      </c>
      <c r="F1238">
        <v>324638</v>
      </c>
      <c r="G1238" s="6">
        <v>0</v>
      </c>
      <c r="H1238" t="s">
        <v>687</v>
      </c>
      <c r="I1238">
        <v>10685639</v>
      </c>
      <c r="J1238">
        <v>4</v>
      </c>
      <c r="K1238">
        <v>77.5</v>
      </c>
      <c r="L1238">
        <v>77.5</v>
      </c>
      <c r="M1238">
        <v>1100</v>
      </c>
      <c r="N1238" s="2">
        <v>26496</v>
      </c>
      <c r="O1238" s="2">
        <v>138</v>
      </c>
      <c r="P1238" s="2">
        <v>69</v>
      </c>
      <c r="Q1238" s="2">
        <v>4400</v>
      </c>
      <c r="R1238" s="2">
        <v>4416</v>
      </c>
      <c r="S1238">
        <v>342.24</v>
      </c>
      <c r="T1238" s="2">
        <v>18561</v>
      </c>
      <c r="U1238" s="2">
        <v>7935</v>
      </c>
      <c r="V1238">
        <v>341</v>
      </c>
      <c r="W1238">
        <v>0</v>
      </c>
      <c r="X1238">
        <v>0</v>
      </c>
      <c r="Y1238">
        <v>0</v>
      </c>
      <c r="Z1238">
        <v>4</v>
      </c>
      <c r="AA1238">
        <v>1.1730205278592375E-2</v>
      </c>
      <c r="AB1238">
        <v>38.1</v>
      </c>
      <c r="AC1238">
        <v>11.641666666666667</v>
      </c>
      <c r="AD1238">
        <v>36</v>
      </c>
      <c r="AE1238" s="7"/>
      <c r="AF1238" s="7"/>
      <c r="AG1238" s="7"/>
      <c r="AH1238" s="7"/>
      <c r="AI1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0.3583333333333325</v>
      </c>
      <c r="AJ1238" s="7"/>
      <c r="AK1238" t="s">
        <v>214</v>
      </c>
      <c r="AN1238">
        <f>IFERROR(INT(Table13[[#This Row],[reject_prod]]/Table13[[#This Row],[part_weight]] * 1000), 0)</f>
        <v>51</v>
      </c>
    </row>
    <row r="1239" spans="1:40" hidden="1">
      <c r="A1239" s="1">
        <v>46059</v>
      </c>
      <c r="B1239">
        <v>2</v>
      </c>
      <c r="C1239">
        <v>11</v>
      </c>
      <c r="D1239" t="s">
        <v>59</v>
      </c>
      <c r="E1239" t="s">
        <v>46</v>
      </c>
      <c r="F1239">
        <v>552181</v>
      </c>
      <c r="G1239" s="6">
        <v>1</v>
      </c>
      <c r="H1239" t="s">
        <v>49</v>
      </c>
      <c r="I1239">
        <v>10685339</v>
      </c>
      <c r="J1239">
        <v>6</v>
      </c>
      <c r="K1239">
        <v>18.8</v>
      </c>
      <c r="L1239">
        <v>18.8</v>
      </c>
      <c r="M1239">
        <v>1485</v>
      </c>
      <c r="N1239" s="2">
        <v>108000</v>
      </c>
      <c r="O1239" s="2">
        <v>540</v>
      </c>
      <c r="P1239" s="2">
        <v>4050</v>
      </c>
      <c r="Q1239" s="2">
        <v>8910</v>
      </c>
      <c r="R1239" s="2">
        <v>5400</v>
      </c>
      <c r="S1239">
        <v>101.52</v>
      </c>
      <c r="T1239" s="2">
        <v>41850</v>
      </c>
      <c r="U1239" s="2">
        <v>66150</v>
      </c>
      <c r="V1239">
        <v>167.50800000000001</v>
      </c>
      <c r="W1239">
        <v>0</v>
      </c>
      <c r="X1239">
        <v>0</v>
      </c>
      <c r="Y1239">
        <v>0</v>
      </c>
      <c r="Z1239">
        <v>0.4</v>
      </c>
      <c r="AA1239">
        <v>2.3879456503569977E-3</v>
      </c>
      <c r="AB1239">
        <v>29.4</v>
      </c>
      <c r="AC1239">
        <v>12</v>
      </c>
      <c r="AD1239">
        <v>27</v>
      </c>
      <c r="AE1239" s="7"/>
      <c r="AF1239" s="7"/>
      <c r="AG1239" s="7"/>
      <c r="AH1239" s="7"/>
      <c r="AI1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9" s="7"/>
      <c r="AK1239" t="s">
        <v>51</v>
      </c>
      <c r="AN1239">
        <f>IFERROR(INT(Table13[[#This Row],[reject_prod]]/Table13[[#This Row],[part_weight]] * 1000), 0)</f>
        <v>21</v>
      </c>
    </row>
    <row r="1240" spans="1:40" hidden="1">
      <c r="A1240" s="1">
        <v>46059</v>
      </c>
      <c r="B1240">
        <v>2</v>
      </c>
      <c r="C1240">
        <v>12</v>
      </c>
      <c r="D1240" t="s">
        <v>56</v>
      </c>
      <c r="E1240" t="s">
        <v>34</v>
      </c>
      <c r="F1240">
        <v>620599</v>
      </c>
      <c r="G1240" s="6">
        <v>0</v>
      </c>
      <c r="H1240" t="s">
        <v>50</v>
      </c>
      <c r="I1240">
        <v>10686674</v>
      </c>
      <c r="J1240">
        <v>4</v>
      </c>
      <c r="K1240">
        <v>55</v>
      </c>
      <c r="L1240">
        <v>55</v>
      </c>
      <c r="M1240">
        <v>1515</v>
      </c>
      <c r="N1240" s="2">
        <v>72000</v>
      </c>
      <c r="O1240" s="2">
        <v>675</v>
      </c>
      <c r="P1240" s="2">
        <v>1350</v>
      </c>
      <c r="Q1240" s="2">
        <v>6060</v>
      </c>
      <c r="R1240" s="2">
        <v>5400</v>
      </c>
      <c r="S1240">
        <v>297</v>
      </c>
      <c r="T1240" s="2">
        <v>4950</v>
      </c>
      <c r="U1240" s="2">
        <v>67050</v>
      </c>
      <c r="V1240">
        <v>333.3</v>
      </c>
      <c r="W1240">
        <v>0</v>
      </c>
      <c r="X1240">
        <v>0</v>
      </c>
      <c r="Y1240">
        <v>0</v>
      </c>
      <c r="Z1240">
        <v>3</v>
      </c>
      <c r="AA1240">
        <v>9.0009000900090012E-3</v>
      </c>
      <c r="AB1240">
        <v>28.8</v>
      </c>
      <c r="AC1240">
        <v>12</v>
      </c>
      <c r="AD1240">
        <v>28</v>
      </c>
      <c r="AE1240" s="7"/>
      <c r="AF1240" s="7"/>
      <c r="AG1240" s="7"/>
      <c r="AH1240" s="7"/>
      <c r="AI1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0" s="7"/>
      <c r="AK1240" t="s">
        <v>628</v>
      </c>
      <c r="AN1240">
        <f>IFERROR(INT(Table13[[#This Row],[reject_prod]]/Table13[[#This Row],[part_weight]] * 1000), 0)</f>
        <v>54</v>
      </c>
    </row>
    <row r="1241" spans="1:40" hidden="1">
      <c r="A1241" s="1">
        <v>46059</v>
      </c>
      <c r="B1241">
        <v>2</v>
      </c>
      <c r="C1241">
        <v>13</v>
      </c>
      <c r="D1241" t="s">
        <v>59</v>
      </c>
      <c r="E1241" t="s">
        <v>46</v>
      </c>
      <c r="F1241">
        <v>586276</v>
      </c>
      <c r="G1241" s="6">
        <v>2</v>
      </c>
      <c r="H1241" t="s">
        <v>47</v>
      </c>
      <c r="I1241">
        <v>10686191</v>
      </c>
      <c r="J1241">
        <v>6</v>
      </c>
      <c r="K1241">
        <v>12.3</v>
      </c>
      <c r="L1241">
        <v>12.3</v>
      </c>
      <c r="M1241">
        <v>1665</v>
      </c>
      <c r="N1241" s="2">
        <v>162000</v>
      </c>
      <c r="O1241" s="2">
        <v>2430</v>
      </c>
      <c r="P1241" s="2">
        <v>4455</v>
      </c>
      <c r="Q1241" s="2">
        <v>9990</v>
      </c>
      <c r="R1241" s="2">
        <v>8100</v>
      </c>
      <c r="S1241">
        <v>99.63</v>
      </c>
      <c r="T1241" s="2">
        <v>117855</v>
      </c>
      <c r="U1241" s="2">
        <v>44145</v>
      </c>
      <c r="V1241">
        <v>122.877</v>
      </c>
      <c r="W1241">
        <v>0</v>
      </c>
      <c r="X1241">
        <v>0</v>
      </c>
      <c r="Y1241">
        <v>0</v>
      </c>
      <c r="Z1241">
        <v>0.4</v>
      </c>
      <c r="AA1241">
        <v>3.2552878081333371E-3</v>
      </c>
      <c r="AB1241">
        <v>26.2</v>
      </c>
      <c r="AC1241">
        <v>12</v>
      </c>
      <c r="AD1241">
        <v>26</v>
      </c>
      <c r="AE1241" s="7"/>
      <c r="AF1241" s="7"/>
      <c r="AG1241" s="7"/>
      <c r="AH1241" s="7"/>
      <c r="AI1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1" s="7"/>
      <c r="AK1241" t="s">
        <v>51</v>
      </c>
      <c r="AN1241">
        <f>IFERROR(INT(Table13[[#This Row],[reject_prod]]/Table13[[#This Row],[part_weight]] * 1000), 0)</f>
        <v>32</v>
      </c>
    </row>
    <row r="1242" spans="1:40" hidden="1">
      <c r="A1242" s="1">
        <v>46059</v>
      </c>
      <c r="B1242">
        <v>2</v>
      </c>
      <c r="C1242">
        <v>14</v>
      </c>
      <c r="D1242" t="s">
        <v>33</v>
      </c>
      <c r="E1242" t="s">
        <v>46</v>
      </c>
      <c r="F1242">
        <v>555979</v>
      </c>
      <c r="G1242" s="6">
        <v>1</v>
      </c>
      <c r="H1242" t="s">
        <v>52</v>
      </c>
      <c r="I1242">
        <v>10683785</v>
      </c>
      <c r="J1242">
        <v>6</v>
      </c>
      <c r="K1242">
        <v>28</v>
      </c>
      <c r="L1242">
        <v>28</v>
      </c>
      <c r="M1242">
        <v>0</v>
      </c>
      <c r="N1242" s="2">
        <v>100800</v>
      </c>
      <c r="O1242" s="2">
        <v>0</v>
      </c>
      <c r="P1242" s="2">
        <v>0</v>
      </c>
      <c r="Q1242" s="2">
        <v>0</v>
      </c>
      <c r="R1242" s="2">
        <v>0</v>
      </c>
      <c r="S1242">
        <v>0</v>
      </c>
      <c r="T1242" s="2">
        <v>0</v>
      </c>
      <c r="U1242" s="2">
        <v>100800</v>
      </c>
      <c r="V1242">
        <v>0</v>
      </c>
      <c r="W1242">
        <v>0</v>
      </c>
      <c r="X1242">
        <v>0</v>
      </c>
      <c r="Y1242" t="e">
        <v>#DIV/0!</v>
      </c>
      <c r="Z1242">
        <v>0</v>
      </c>
      <c r="AA1242" t="e">
        <v>#DIV/0!</v>
      </c>
      <c r="AB1242">
        <v>43</v>
      </c>
      <c r="AC1242">
        <v>0</v>
      </c>
      <c r="AD1242">
        <v>42</v>
      </c>
      <c r="AE1242" s="7"/>
      <c r="AF1242" s="7"/>
      <c r="AG1242" s="7"/>
      <c r="AH1242" s="7"/>
      <c r="AI1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42" s="7"/>
      <c r="AK1242" t="s">
        <v>721</v>
      </c>
      <c r="AN1242">
        <f>IFERROR(INT(Table13[[#This Row],[reject_prod]]/Table13[[#This Row],[part_weight]] * 1000), 0)</f>
        <v>0</v>
      </c>
    </row>
    <row r="1243" spans="1:40" hidden="1">
      <c r="A1243" s="1">
        <v>46059</v>
      </c>
      <c r="B1243">
        <v>2</v>
      </c>
      <c r="C1243">
        <v>15</v>
      </c>
      <c r="D1243" t="s">
        <v>59</v>
      </c>
      <c r="E1243" t="s">
        <v>46</v>
      </c>
      <c r="F1243">
        <v>552181</v>
      </c>
      <c r="G1243" s="6">
        <v>2</v>
      </c>
      <c r="H1243" t="s">
        <v>49</v>
      </c>
      <c r="I1243">
        <v>10685542</v>
      </c>
      <c r="J1243">
        <v>6</v>
      </c>
      <c r="K1243">
        <v>18.8</v>
      </c>
      <c r="L1243">
        <v>18.8</v>
      </c>
      <c r="M1243">
        <v>1400</v>
      </c>
      <c r="N1243" s="2">
        <v>108000</v>
      </c>
      <c r="O1243" s="2">
        <v>2700</v>
      </c>
      <c r="P1243" s="2">
        <v>1080</v>
      </c>
      <c r="Q1243" s="2">
        <v>8400</v>
      </c>
      <c r="R1243" s="2">
        <v>10800</v>
      </c>
      <c r="S1243">
        <v>203.04</v>
      </c>
      <c r="T1243" s="2">
        <v>28080</v>
      </c>
      <c r="U1243" s="2">
        <v>79920</v>
      </c>
      <c r="V1243">
        <v>157.91999999999999</v>
      </c>
      <c r="W1243">
        <v>0</v>
      </c>
      <c r="X1243">
        <v>0</v>
      </c>
      <c r="Y1243">
        <v>0</v>
      </c>
      <c r="Z1243">
        <v>0.4</v>
      </c>
      <c r="AA1243">
        <v>2.532928064842959E-3</v>
      </c>
      <c r="AB1243">
        <v>31.2</v>
      </c>
      <c r="AC1243">
        <v>12</v>
      </c>
      <c r="AD1243">
        <v>27</v>
      </c>
      <c r="AE1243" s="7"/>
      <c r="AF1243" s="7"/>
      <c r="AG1243" s="7"/>
      <c r="AH1243" s="7"/>
      <c r="AI1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3" s="7"/>
      <c r="AK1243" t="s">
        <v>51</v>
      </c>
      <c r="AN1243">
        <f>IFERROR(INT(Table13[[#This Row],[reject_prod]]/Table13[[#This Row],[part_weight]] * 1000), 0)</f>
        <v>21</v>
      </c>
    </row>
    <row r="1244" spans="1:40" s="4" customFormat="1" hidden="1">
      <c r="A1244" s="3">
        <v>46059</v>
      </c>
      <c r="B1244" s="4">
        <v>2</v>
      </c>
      <c r="C1244" s="4">
        <v>16</v>
      </c>
      <c r="D1244" s="4" t="s">
        <v>731</v>
      </c>
      <c r="E1244" s="4" t="s">
        <v>46</v>
      </c>
      <c r="F1244" s="4">
        <v>555979</v>
      </c>
      <c r="G1244" s="9">
        <v>2</v>
      </c>
      <c r="H1244" s="4" t="s">
        <v>52</v>
      </c>
      <c r="I1244" s="4">
        <v>10685814</v>
      </c>
      <c r="J1244" s="4">
        <v>6</v>
      </c>
      <c r="K1244" s="4">
        <v>28</v>
      </c>
      <c r="L1244" s="4">
        <v>28</v>
      </c>
      <c r="M1244" s="4">
        <v>990</v>
      </c>
      <c r="N1244" s="5">
        <v>100800</v>
      </c>
      <c r="O1244" s="5">
        <v>2856</v>
      </c>
      <c r="P1244" s="5">
        <v>2016</v>
      </c>
      <c r="Q1244" s="5">
        <v>5940</v>
      </c>
      <c r="R1244" s="5">
        <v>6720</v>
      </c>
      <c r="S1244" s="4">
        <v>188.16</v>
      </c>
      <c r="T1244" s="5">
        <v>22176</v>
      </c>
      <c r="U1244" s="5">
        <v>78624</v>
      </c>
      <c r="V1244" s="4">
        <v>166.32</v>
      </c>
      <c r="W1244" s="4">
        <v>0</v>
      </c>
      <c r="X1244" s="4">
        <v>0</v>
      </c>
      <c r="Y1244" s="4">
        <v>0</v>
      </c>
      <c r="Z1244" s="4">
        <v>1</v>
      </c>
      <c r="AA1244" s="4">
        <v>6.0125060125060126E-3</v>
      </c>
      <c r="AB1244" s="4">
        <v>43.5</v>
      </c>
      <c r="AC1244" s="4">
        <v>11.9625</v>
      </c>
      <c r="AD1244" s="4">
        <v>42</v>
      </c>
      <c r="AE1244" s="8"/>
      <c r="AF1244" s="8"/>
      <c r="AG1244" s="8"/>
      <c r="AH1244" s="8"/>
      <c r="AI124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3.7499999999999645E-2</v>
      </c>
      <c r="AJ1244" s="8"/>
      <c r="AK1244" s="4" t="s">
        <v>51</v>
      </c>
      <c r="AN1244">
        <f>IFERROR(INT(Table13[[#This Row],[reject_prod]]/Table13[[#This Row],[part_weight]] * 1000), 0)</f>
        <v>35</v>
      </c>
    </row>
    <row r="1245" spans="1:40" hidden="1">
      <c r="A1245" s="1">
        <v>46060</v>
      </c>
      <c r="B1245">
        <v>1</v>
      </c>
      <c r="C1245">
        <v>1</v>
      </c>
      <c r="D1245" t="s">
        <v>43</v>
      </c>
      <c r="E1245" t="s">
        <v>34</v>
      </c>
      <c r="F1245">
        <v>529004</v>
      </c>
      <c r="G1245" s="6">
        <v>0</v>
      </c>
      <c r="H1245" t="s">
        <v>723</v>
      </c>
      <c r="I1245">
        <v>10686802</v>
      </c>
      <c r="J1245">
        <v>4</v>
      </c>
      <c r="K1245">
        <v>31</v>
      </c>
      <c r="L1245">
        <v>31</v>
      </c>
      <c r="M1245">
        <v>960</v>
      </c>
      <c r="N1245" s="2">
        <v>20400</v>
      </c>
      <c r="O1245" s="2">
        <v>0</v>
      </c>
      <c r="P1245" s="2">
        <v>960</v>
      </c>
      <c r="Q1245" s="2">
        <v>3840</v>
      </c>
      <c r="R1245" s="2">
        <v>2400</v>
      </c>
      <c r="S1245">
        <v>74.400000000000006</v>
      </c>
      <c r="T1245" s="2">
        <v>3360</v>
      </c>
      <c r="U1245" s="2">
        <v>17040</v>
      </c>
      <c r="V1245">
        <v>119.04</v>
      </c>
      <c r="W1245">
        <v>0</v>
      </c>
      <c r="X1245">
        <v>3.4</v>
      </c>
      <c r="Y1245">
        <v>2.8561827956989246E-2</v>
      </c>
      <c r="Z1245">
        <v>0</v>
      </c>
      <c r="AA1245">
        <v>0</v>
      </c>
      <c r="AB1245">
        <v>33.700000000000003</v>
      </c>
      <c r="AC1245">
        <v>8.9866666666666681</v>
      </c>
      <c r="AD1245">
        <v>29</v>
      </c>
      <c r="AE1245" s="7"/>
      <c r="AF1245" s="7"/>
      <c r="AG1245" s="7"/>
      <c r="AH1245" s="7"/>
      <c r="AI1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3.0133333333333319</v>
      </c>
      <c r="AJ1245" s="7"/>
      <c r="AK1245" t="s">
        <v>732</v>
      </c>
      <c r="AL1245">
        <v>8</v>
      </c>
      <c r="AM1245">
        <v>2</v>
      </c>
      <c r="AN1245">
        <f>IFERROR(INT(Table13[[#This Row],[reject_prod]]/Table13[[#This Row],[part_weight]] * 1000), 0)</f>
        <v>0</v>
      </c>
    </row>
    <row r="1246" spans="1:40" hidden="1">
      <c r="A1246" s="1">
        <v>46060</v>
      </c>
      <c r="B1246">
        <v>1</v>
      </c>
      <c r="C1246">
        <v>2</v>
      </c>
      <c r="D1246" t="s">
        <v>141</v>
      </c>
      <c r="E1246" t="s">
        <v>34</v>
      </c>
      <c r="F1246">
        <v>324163</v>
      </c>
      <c r="G1246" s="6">
        <v>0</v>
      </c>
      <c r="H1246" t="s">
        <v>672</v>
      </c>
      <c r="I1246">
        <v>10684851</v>
      </c>
      <c r="J1246">
        <v>4</v>
      </c>
      <c r="K1246">
        <v>24</v>
      </c>
      <c r="L1246">
        <v>23.5</v>
      </c>
      <c r="M1246">
        <v>1694</v>
      </c>
      <c r="N1246" s="2">
        <v>73152</v>
      </c>
      <c r="O1246" s="2">
        <v>1905</v>
      </c>
      <c r="P1246" s="2">
        <v>0</v>
      </c>
      <c r="Q1246" s="2">
        <v>6776</v>
      </c>
      <c r="R1246" s="2">
        <v>9144</v>
      </c>
      <c r="S1246">
        <v>214.88399999999999</v>
      </c>
      <c r="T1246" s="2">
        <v>45720</v>
      </c>
      <c r="U1246" s="2">
        <v>27432</v>
      </c>
      <c r="V1246">
        <v>159.23599999999999</v>
      </c>
      <c r="W1246">
        <v>0</v>
      </c>
      <c r="X1246">
        <v>0</v>
      </c>
      <c r="Y1246">
        <v>0</v>
      </c>
      <c r="Z1246">
        <v>3.7</v>
      </c>
      <c r="AA1246">
        <v>2.3235951669220531E-2</v>
      </c>
      <c r="AB1246">
        <v>22.2</v>
      </c>
      <c r="AC1246">
        <v>10.446333333333333</v>
      </c>
      <c r="AD1246">
        <v>22.5</v>
      </c>
      <c r="AE1246" s="7"/>
      <c r="AF1246" s="7"/>
      <c r="AG1246" s="7"/>
      <c r="AH1246" s="7"/>
      <c r="AI1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1.5536666666666665</v>
      </c>
      <c r="AJ1246" s="7"/>
      <c r="AK1246" t="s">
        <v>103</v>
      </c>
      <c r="AM1246">
        <v>2</v>
      </c>
      <c r="AN1246">
        <f>IFERROR(INT(Table13[[#This Row],[reject_prod]]/Table13[[#This Row],[part_weight]] * 1000), 0)</f>
        <v>157</v>
      </c>
    </row>
    <row r="1247" spans="1:40" hidden="1">
      <c r="A1247" s="1">
        <v>46060</v>
      </c>
      <c r="B1247">
        <v>1</v>
      </c>
      <c r="C1247">
        <v>3</v>
      </c>
      <c r="D1247" t="s">
        <v>67</v>
      </c>
      <c r="E1247" t="s">
        <v>34</v>
      </c>
      <c r="F1247">
        <v>442034</v>
      </c>
      <c r="G1247" s="6">
        <v>0</v>
      </c>
      <c r="H1247" t="s">
        <v>37</v>
      </c>
      <c r="I1247">
        <v>10685633</v>
      </c>
      <c r="J1247">
        <v>4</v>
      </c>
      <c r="K1247">
        <v>23</v>
      </c>
      <c r="L1247">
        <v>23</v>
      </c>
      <c r="M1247">
        <v>1486</v>
      </c>
      <c r="N1247" s="2">
        <v>139776</v>
      </c>
      <c r="O1247" s="2">
        <v>2688</v>
      </c>
      <c r="P1247" s="2">
        <v>3840</v>
      </c>
      <c r="Q1247" s="2">
        <v>5944</v>
      </c>
      <c r="R1247" s="2">
        <v>4608</v>
      </c>
      <c r="S1247">
        <v>105.98399999999999</v>
      </c>
      <c r="T1247" s="2">
        <v>49920</v>
      </c>
      <c r="U1247" s="2">
        <v>89856</v>
      </c>
      <c r="V1247">
        <v>136.71199999999999</v>
      </c>
      <c r="W1247">
        <v>0</v>
      </c>
      <c r="X1247">
        <v>0</v>
      </c>
      <c r="Y1247">
        <v>0</v>
      </c>
      <c r="Z1247">
        <v>3.5</v>
      </c>
      <c r="AA1247">
        <v>2.5601263970975483E-2</v>
      </c>
      <c r="AB1247">
        <v>28.5</v>
      </c>
      <c r="AC1247">
        <v>11.764166666666668</v>
      </c>
      <c r="AD1247">
        <v>22</v>
      </c>
      <c r="AE1247" s="7"/>
      <c r="AF1247" s="7"/>
      <c r="AG1247" s="7"/>
      <c r="AH1247" s="7"/>
      <c r="AI1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0.23583333333333201</v>
      </c>
      <c r="AJ1247" s="7"/>
      <c r="AK1247" t="s">
        <v>168</v>
      </c>
      <c r="AL1247">
        <v>3</v>
      </c>
      <c r="AM1247">
        <v>2</v>
      </c>
      <c r="AN1247">
        <f>IFERROR(INT(Table13[[#This Row],[reject_prod]]/Table13[[#This Row],[part_weight]] * 1000), 0)</f>
        <v>152</v>
      </c>
    </row>
    <row r="1248" spans="1:40" hidden="1">
      <c r="A1248" s="1">
        <v>46060</v>
      </c>
      <c r="B1248">
        <v>1</v>
      </c>
      <c r="C1248">
        <v>4</v>
      </c>
      <c r="D1248" t="s">
        <v>65</v>
      </c>
      <c r="E1248" t="s">
        <v>34</v>
      </c>
      <c r="F1248">
        <v>322477</v>
      </c>
      <c r="G1248" s="6">
        <v>0</v>
      </c>
      <c r="H1248" t="s">
        <v>694</v>
      </c>
      <c r="I1248">
        <v>10685206</v>
      </c>
      <c r="J1248">
        <v>4</v>
      </c>
      <c r="K1248">
        <v>44</v>
      </c>
      <c r="L1248">
        <v>44</v>
      </c>
      <c r="M1248">
        <v>1493</v>
      </c>
      <c r="N1248" s="2">
        <v>24960</v>
      </c>
      <c r="O1248" s="2">
        <v>104</v>
      </c>
      <c r="P1248" s="2">
        <v>416</v>
      </c>
      <c r="Q1248" s="2">
        <v>5972</v>
      </c>
      <c r="R1248" s="2">
        <v>5616</v>
      </c>
      <c r="S1248">
        <v>247.10400000000001</v>
      </c>
      <c r="T1248" s="2">
        <v>22256</v>
      </c>
      <c r="U1248" s="2">
        <v>2704</v>
      </c>
      <c r="V1248">
        <v>262.76799999999997</v>
      </c>
      <c r="W1248">
        <v>0</v>
      </c>
      <c r="X1248">
        <v>0</v>
      </c>
      <c r="Y1248">
        <v>0</v>
      </c>
      <c r="Z1248">
        <v>5.6</v>
      </c>
      <c r="AA1248">
        <v>2.1311575229860564E-2</v>
      </c>
      <c r="AB1248">
        <v>26.1</v>
      </c>
      <c r="AC1248">
        <v>10.824250000000001</v>
      </c>
      <c r="AD1248">
        <v>26</v>
      </c>
      <c r="AE1248" s="7"/>
      <c r="AF1248" s="7"/>
      <c r="AG1248" s="7"/>
      <c r="AH1248" s="7"/>
      <c r="AI1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1.175749999999999</v>
      </c>
      <c r="AJ1248" s="7"/>
      <c r="AK1248" t="s">
        <v>733</v>
      </c>
      <c r="AL1248">
        <v>2</v>
      </c>
      <c r="AM1248">
        <v>3</v>
      </c>
      <c r="AN1248">
        <f>IFERROR(INT(Table13[[#This Row],[reject_prod]]/Table13[[#This Row],[part_weight]] * 1000), 0)</f>
        <v>127</v>
      </c>
    </row>
    <row r="1249" spans="1:40" hidden="1">
      <c r="A1249" s="1">
        <v>46060</v>
      </c>
      <c r="B1249">
        <v>1</v>
      </c>
      <c r="C1249">
        <v>5</v>
      </c>
      <c r="D1249" t="s">
        <v>734</v>
      </c>
      <c r="E1249" t="s">
        <v>34</v>
      </c>
      <c r="F1249">
        <v>322448</v>
      </c>
      <c r="G1249" s="6">
        <v>0</v>
      </c>
      <c r="H1249" t="s">
        <v>654</v>
      </c>
      <c r="I1249">
        <v>10686572</v>
      </c>
      <c r="J1249">
        <v>4</v>
      </c>
      <c r="K1249">
        <v>40</v>
      </c>
      <c r="L1249">
        <v>40</v>
      </c>
      <c r="M1249">
        <v>977</v>
      </c>
      <c r="N1249" s="2">
        <v>58320</v>
      </c>
      <c r="O1249" s="2">
        <v>0</v>
      </c>
      <c r="P1249" s="2">
        <v>648</v>
      </c>
      <c r="Q1249" s="2">
        <v>3908</v>
      </c>
      <c r="R1249" s="2">
        <v>2430</v>
      </c>
      <c r="S1249">
        <v>97.2</v>
      </c>
      <c r="T1249" s="2">
        <v>34668</v>
      </c>
      <c r="U1249" s="2">
        <v>23652</v>
      </c>
      <c r="V1249">
        <v>156.32</v>
      </c>
      <c r="W1249">
        <v>0</v>
      </c>
      <c r="X1249">
        <v>0</v>
      </c>
      <c r="Y1249">
        <v>0</v>
      </c>
      <c r="Z1249">
        <v>33.6</v>
      </c>
      <c r="AA1249">
        <v>0.21494370522006143</v>
      </c>
      <c r="AB1249">
        <v>25.5</v>
      </c>
      <c r="AC1249">
        <v>6.9204166666666662</v>
      </c>
      <c r="AD1249">
        <v>23</v>
      </c>
      <c r="AE1249" s="7"/>
      <c r="AF1249" s="7"/>
      <c r="AG1249" s="7"/>
      <c r="AH1249" s="7"/>
      <c r="AI1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5.0795833333333338</v>
      </c>
      <c r="AJ1249" s="7"/>
      <c r="AK1249" t="s">
        <v>735</v>
      </c>
      <c r="AL1249">
        <v>5</v>
      </c>
      <c r="AM1249">
        <v>3</v>
      </c>
      <c r="AN1249">
        <f>IFERROR(INT(Table13[[#This Row],[reject_prod]]/Table13[[#This Row],[part_weight]] * 1000), 0)</f>
        <v>840</v>
      </c>
    </row>
    <row r="1250" spans="1:40" hidden="1">
      <c r="A1250" s="1">
        <v>46060</v>
      </c>
      <c r="B1250">
        <v>1</v>
      </c>
      <c r="C1250">
        <v>6</v>
      </c>
      <c r="D1250" t="s">
        <v>257</v>
      </c>
      <c r="E1250" t="s">
        <v>34</v>
      </c>
      <c r="F1250">
        <v>322422</v>
      </c>
      <c r="G1250" s="6">
        <v>0</v>
      </c>
      <c r="H1250" t="s">
        <v>656</v>
      </c>
      <c r="I1250">
        <v>10685442</v>
      </c>
      <c r="J1250">
        <v>4</v>
      </c>
      <c r="K1250">
        <v>34</v>
      </c>
      <c r="L1250">
        <v>34</v>
      </c>
      <c r="M1250">
        <v>0</v>
      </c>
      <c r="N1250" s="2">
        <v>9000</v>
      </c>
      <c r="O1250" s="2">
        <v>0</v>
      </c>
      <c r="P1250" s="2">
        <v>180</v>
      </c>
      <c r="Q1250" s="2">
        <v>0</v>
      </c>
      <c r="R1250" s="2">
        <v>3600</v>
      </c>
      <c r="S1250">
        <v>122.4</v>
      </c>
      <c r="T1250" s="2">
        <v>6480</v>
      </c>
      <c r="U1250" s="2">
        <v>2520</v>
      </c>
      <c r="V1250">
        <v>0</v>
      </c>
      <c r="W1250">
        <v>0</v>
      </c>
      <c r="X1250">
        <v>0</v>
      </c>
      <c r="Y1250" t="e">
        <v>#DIV/0!</v>
      </c>
      <c r="Z1250">
        <v>2.5</v>
      </c>
      <c r="AA1250" t="e">
        <v>#DIV/0!</v>
      </c>
      <c r="AB1250">
        <v>22.8</v>
      </c>
      <c r="AC1250">
        <v>0</v>
      </c>
      <c r="AD1250">
        <v>21.68</v>
      </c>
      <c r="AE1250" s="7"/>
      <c r="AF1250" s="7"/>
      <c r="AG1250" s="7"/>
      <c r="AH1250" s="7">
        <v>5.5</v>
      </c>
      <c r="AI1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250" s="7"/>
      <c r="AK1250" t="s">
        <v>736</v>
      </c>
      <c r="AL1250">
        <v>8</v>
      </c>
      <c r="AM1250">
        <v>5</v>
      </c>
      <c r="AN1250">
        <f>IFERROR(INT(Table13[[#This Row],[reject_prod]]/Table13[[#This Row],[part_weight]] * 1000), 0)</f>
        <v>73</v>
      </c>
    </row>
    <row r="1251" spans="1:40" hidden="1">
      <c r="A1251" s="1">
        <v>46060</v>
      </c>
      <c r="B1251">
        <v>1</v>
      </c>
      <c r="C1251">
        <v>7</v>
      </c>
      <c r="D1251" t="s">
        <v>698</v>
      </c>
      <c r="E1251" t="s">
        <v>34</v>
      </c>
      <c r="F1251">
        <v>324173</v>
      </c>
      <c r="G1251" s="6">
        <v>0</v>
      </c>
      <c r="H1251" t="s">
        <v>677</v>
      </c>
      <c r="I1251">
        <v>10683859</v>
      </c>
      <c r="J1251">
        <v>4</v>
      </c>
      <c r="K1251">
        <v>34</v>
      </c>
      <c r="L1251">
        <v>34.5</v>
      </c>
      <c r="M1251">
        <v>1887</v>
      </c>
      <c r="N1251" s="2">
        <v>42000</v>
      </c>
      <c r="O1251" s="2">
        <v>450</v>
      </c>
      <c r="P1251" s="2">
        <v>600</v>
      </c>
      <c r="Q1251" s="2">
        <v>7548</v>
      </c>
      <c r="R1251" s="2">
        <v>7350</v>
      </c>
      <c r="S1251">
        <v>253.57499999999999</v>
      </c>
      <c r="T1251" s="2">
        <v>38400</v>
      </c>
      <c r="U1251" s="2">
        <v>3600</v>
      </c>
      <c r="V1251">
        <v>260.40600000000001</v>
      </c>
      <c r="W1251">
        <v>0</v>
      </c>
      <c r="X1251">
        <v>0</v>
      </c>
      <c r="Y1251">
        <v>0</v>
      </c>
      <c r="Z1251">
        <v>5.7</v>
      </c>
      <c r="AA1251">
        <v>2.1888896569203474E-2</v>
      </c>
      <c r="AB1251">
        <v>24.1</v>
      </c>
      <c r="AC1251">
        <v>12</v>
      </c>
      <c r="AD1251">
        <v>20.399999999999999</v>
      </c>
      <c r="AE1251" s="7"/>
      <c r="AF1251" s="7"/>
      <c r="AG1251" s="7"/>
      <c r="AH1251" s="7"/>
      <c r="AI1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51" s="7"/>
      <c r="AK1251" t="s">
        <v>168</v>
      </c>
      <c r="AN1251">
        <f>IFERROR(INT(Table13[[#This Row],[reject_prod]]/Table13[[#This Row],[part_weight]] * 1000), 0)</f>
        <v>165</v>
      </c>
    </row>
    <row r="1252" spans="1:40" hidden="1">
      <c r="A1252" s="1">
        <v>46060</v>
      </c>
      <c r="B1252">
        <v>1</v>
      </c>
      <c r="C1252">
        <v>8</v>
      </c>
      <c r="D1252" t="s">
        <v>281</v>
      </c>
      <c r="E1252" t="s">
        <v>41</v>
      </c>
      <c r="F1252">
        <v>593537</v>
      </c>
      <c r="G1252" s="6">
        <v>0</v>
      </c>
      <c r="H1252" t="s">
        <v>48</v>
      </c>
      <c r="I1252">
        <v>10685813</v>
      </c>
      <c r="J1252">
        <v>4</v>
      </c>
      <c r="K1252">
        <v>56.5</v>
      </c>
      <c r="L1252">
        <v>56.8</v>
      </c>
      <c r="M1252">
        <v>1392</v>
      </c>
      <c r="N1252" s="2">
        <v>69000</v>
      </c>
      <c r="O1252" s="2">
        <v>0</v>
      </c>
      <c r="P1252" s="2">
        <v>345</v>
      </c>
      <c r="Q1252" s="2">
        <v>5568</v>
      </c>
      <c r="R1252" s="2">
        <v>5175</v>
      </c>
      <c r="S1252">
        <v>293.94</v>
      </c>
      <c r="T1252" s="2">
        <v>42320</v>
      </c>
      <c r="U1252" s="2">
        <v>26680</v>
      </c>
      <c r="V1252">
        <v>316.26239999999996</v>
      </c>
      <c r="W1252">
        <v>0</v>
      </c>
      <c r="X1252">
        <v>0</v>
      </c>
      <c r="Y1252">
        <v>0</v>
      </c>
      <c r="Z1252">
        <v>1.2</v>
      </c>
      <c r="AA1252">
        <v>3.7943176299174361E-3</v>
      </c>
      <c r="AB1252">
        <v>30.5</v>
      </c>
      <c r="AC1252">
        <v>11.793333333333335</v>
      </c>
      <c r="AD1252">
        <v>28.5</v>
      </c>
      <c r="AE1252" s="7"/>
      <c r="AF1252" s="7"/>
      <c r="AG1252" s="7"/>
      <c r="AH1252" s="7"/>
      <c r="AI1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0.20666666666666522</v>
      </c>
      <c r="AJ1252" s="7"/>
      <c r="AK1252" t="s">
        <v>51</v>
      </c>
      <c r="AN1252">
        <f>IFERROR(INT(Table13[[#This Row],[reject_prod]]/Table13[[#This Row],[part_weight]] * 1000), 0)</f>
        <v>21</v>
      </c>
    </row>
    <row r="1253" spans="1:40" hidden="1">
      <c r="A1253" s="1">
        <v>46060</v>
      </c>
      <c r="B1253">
        <v>1</v>
      </c>
      <c r="C1253">
        <v>9</v>
      </c>
      <c r="D1253" t="s">
        <v>33</v>
      </c>
      <c r="E1253" t="s">
        <v>46</v>
      </c>
      <c r="F1253">
        <v>586276</v>
      </c>
      <c r="G1253" s="6">
        <v>1</v>
      </c>
      <c r="H1253" t="s">
        <v>47</v>
      </c>
      <c r="I1253">
        <v>10683781</v>
      </c>
      <c r="J1253">
        <v>6</v>
      </c>
      <c r="K1253">
        <v>12.3</v>
      </c>
      <c r="L1253">
        <v>12.3</v>
      </c>
      <c r="M1253">
        <v>0</v>
      </c>
      <c r="N1253" s="2">
        <v>162000</v>
      </c>
      <c r="O1253" s="2">
        <v>10125</v>
      </c>
      <c r="P1253" s="2">
        <v>10125</v>
      </c>
      <c r="Q1253" s="2">
        <v>0</v>
      </c>
      <c r="R1253" s="2">
        <v>0</v>
      </c>
      <c r="S1253">
        <v>0</v>
      </c>
      <c r="T1253" s="2">
        <v>50625</v>
      </c>
      <c r="U1253" s="2">
        <v>111375</v>
      </c>
      <c r="V1253">
        <v>0</v>
      </c>
      <c r="W1253">
        <v>0</v>
      </c>
      <c r="X1253">
        <v>8</v>
      </c>
      <c r="Y1253" t="e">
        <v>#DIV/0!</v>
      </c>
      <c r="Z1253">
        <v>0</v>
      </c>
      <c r="AA1253" t="e">
        <v>#DIV/0!</v>
      </c>
      <c r="AB1253">
        <v>26.6</v>
      </c>
      <c r="AC1253">
        <v>0</v>
      </c>
      <c r="AD1253">
        <v>26</v>
      </c>
      <c r="AE1253" s="7"/>
      <c r="AF1253" s="7"/>
      <c r="AG1253" s="7"/>
      <c r="AH1253" s="7"/>
      <c r="AI1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3" s="7"/>
      <c r="AK1253" t="s">
        <v>737</v>
      </c>
      <c r="AL1253">
        <v>2</v>
      </c>
      <c r="AM1253">
        <v>3</v>
      </c>
      <c r="AN1253">
        <f>IFERROR(INT(Table13[[#This Row],[reject_prod]]/Table13[[#This Row],[part_weight]] * 1000), 0)</f>
        <v>0</v>
      </c>
    </row>
    <row r="1254" spans="1:40" hidden="1">
      <c r="A1254" s="1">
        <v>46060</v>
      </c>
      <c r="B1254">
        <v>1</v>
      </c>
      <c r="C1254">
        <v>10</v>
      </c>
      <c r="D1254" t="s">
        <v>61</v>
      </c>
      <c r="E1254" t="s">
        <v>34</v>
      </c>
      <c r="F1254">
        <v>324638</v>
      </c>
      <c r="G1254" s="6">
        <v>0</v>
      </c>
      <c r="H1254" t="s">
        <v>687</v>
      </c>
      <c r="I1254">
        <v>10685639</v>
      </c>
      <c r="J1254">
        <v>4</v>
      </c>
      <c r="K1254">
        <v>77.5</v>
      </c>
      <c r="L1254">
        <v>77.5</v>
      </c>
      <c r="M1254">
        <v>1116</v>
      </c>
      <c r="N1254" s="2">
        <v>26496</v>
      </c>
      <c r="O1254" s="2">
        <v>69</v>
      </c>
      <c r="P1254" s="2">
        <v>138</v>
      </c>
      <c r="Q1254" s="2">
        <v>4464</v>
      </c>
      <c r="R1254" s="2">
        <v>4692</v>
      </c>
      <c r="S1254">
        <v>363.63</v>
      </c>
      <c r="T1254" s="2">
        <v>23322</v>
      </c>
      <c r="U1254" s="2">
        <v>3174</v>
      </c>
      <c r="V1254">
        <v>345.96</v>
      </c>
      <c r="W1254">
        <v>0</v>
      </c>
      <c r="X1254">
        <v>0</v>
      </c>
      <c r="Y1254">
        <v>0</v>
      </c>
      <c r="Z1254">
        <v>6.5</v>
      </c>
      <c r="AA1254">
        <v>1.8788299225343971E-2</v>
      </c>
      <c r="AB1254">
        <v>38.6</v>
      </c>
      <c r="AC1254">
        <v>11.966000000000001</v>
      </c>
      <c r="AD1254">
        <v>36</v>
      </c>
      <c r="AE1254" s="7"/>
      <c r="AF1254" s="7"/>
      <c r="AG1254" s="7"/>
      <c r="AH1254" s="7"/>
      <c r="AI1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3.399999999999892E-2</v>
      </c>
      <c r="AJ1254" s="7"/>
      <c r="AK1254" t="s">
        <v>168</v>
      </c>
      <c r="AN1254">
        <f>IFERROR(INT(Table13[[#This Row],[reject_prod]]/Table13[[#This Row],[part_weight]] * 1000), 0)</f>
        <v>83</v>
      </c>
    </row>
    <row r="1255" spans="1:40" hidden="1">
      <c r="A1255" s="1">
        <v>46060</v>
      </c>
      <c r="B1255">
        <v>1</v>
      </c>
      <c r="C1255">
        <v>11</v>
      </c>
      <c r="D1255" t="s">
        <v>112</v>
      </c>
      <c r="E1255" t="s">
        <v>46</v>
      </c>
      <c r="F1255">
        <v>552181</v>
      </c>
      <c r="G1255" s="6">
        <v>1</v>
      </c>
      <c r="H1255" t="s">
        <v>49</v>
      </c>
      <c r="I1255">
        <v>10685339</v>
      </c>
      <c r="J1255">
        <v>6</v>
      </c>
      <c r="K1255">
        <v>18.8</v>
      </c>
      <c r="L1255">
        <v>18.8</v>
      </c>
      <c r="M1255">
        <v>1448</v>
      </c>
      <c r="N1255" s="2">
        <v>108000</v>
      </c>
      <c r="O1255" s="2">
        <v>4050</v>
      </c>
      <c r="P1255" s="2">
        <v>6075</v>
      </c>
      <c r="Q1255" s="2">
        <v>8688</v>
      </c>
      <c r="R1255" s="2">
        <v>10800</v>
      </c>
      <c r="S1255">
        <v>203.04</v>
      </c>
      <c r="T1255" s="2">
        <v>54675</v>
      </c>
      <c r="U1255" s="2">
        <v>53325</v>
      </c>
      <c r="V1255">
        <v>163.33439999999999</v>
      </c>
      <c r="W1255">
        <v>0</v>
      </c>
      <c r="X1255">
        <v>0</v>
      </c>
      <c r="Y1255">
        <v>0</v>
      </c>
      <c r="Z1255">
        <v>3.5</v>
      </c>
      <c r="AA1255">
        <v>2.1428431487794369E-2</v>
      </c>
      <c r="AB1255">
        <v>29.4</v>
      </c>
      <c r="AC1255">
        <v>11.825333333333331</v>
      </c>
      <c r="AD1255">
        <v>27</v>
      </c>
      <c r="AE1255" s="7"/>
      <c r="AF1255" s="7"/>
      <c r="AG1255" s="7"/>
      <c r="AH1255" s="7"/>
      <c r="AI1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0.17466666666666875</v>
      </c>
      <c r="AJ1255" s="7"/>
      <c r="AK1255" t="s">
        <v>51</v>
      </c>
      <c r="AN1255">
        <f>IFERROR(INT(Table13[[#This Row],[reject_prod]]/Table13[[#This Row],[part_weight]] * 1000), 0)</f>
        <v>186</v>
      </c>
    </row>
    <row r="1256" spans="1:40" hidden="1">
      <c r="A1256" s="1">
        <v>46060</v>
      </c>
      <c r="B1256">
        <v>1</v>
      </c>
      <c r="C1256">
        <v>12</v>
      </c>
      <c r="D1256" t="s">
        <v>152</v>
      </c>
      <c r="E1256" t="s">
        <v>34</v>
      </c>
      <c r="F1256">
        <v>620599</v>
      </c>
      <c r="G1256" s="6">
        <v>0</v>
      </c>
      <c r="H1256" t="s">
        <v>50</v>
      </c>
      <c r="I1256">
        <v>10686674</v>
      </c>
      <c r="J1256">
        <v>4</v>
      </c>
      <c r="K1256">
        <v>55</v>
      </c>
      <c r="L1256">
        <v>55</v>
      </c>
      <c r="M1256">
        <v>0</v>
      </c>
      <c r="N1256" s="2">
        <v>72000</v>
      </c>
      <c r="O1256" s="2">
        <v>1350</v>
      </c>
      <c r="P1256" s="2">
        <v>1350</v>
      </c>
      <c r="Q1256" s="2">
        <v>0</v>
      </c>
      <c r="R1256" s="2">
        <v>5400</v>
      </c>
      <c r="S1256">
        <v>297</v>
      </c>
      <c r="T1256" s="2">
        <v>10350</v>
      </c>
      <c r="U1256" s="2">
        <v>61650</v>
      </c>
      <c r="V1256">
        <v>0</v>
      </c>
      <c r="W1256">
        <v>0</v>
      </c>
      <c r="X1256">
        <v>0</v>
      </c>
      <c r="Y1256" t="e">
        <v>#DIV/0!</v>
      </c>
      <c r="Z1256">
        <v>4.5</v>
      </c>
      <c r="AA1256" t="e">
        <v>#DIV/0!</v>
      </c>
      <c r="AB1256">
        <v>28.8</v>
      </c>
      <c r="AC1256">
        <v>0</v>
      </c>
      <c r="AD1256">
        <v>28</v>
      </c>
      <c r="AE1256" s="7"/>
      <c r="AF1256" s="7"/>
      <c r="AG1256" s="7"/>
      <c r="AH1256" s="7"/>
      <c r="AI1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6" s="7"/>
      <c r="AK1256" t="s">
        <v>178</v>
      </c>
      <c r="AN1256">
        <f>IFERROR(INT(Table13[[#This Row],[reject_prod]]/Table13[[#This Row],[part_weight]] * 1000), 0)</f>
        <v>81</v>
      </c>
    </row>
    <row r="1257" spans="1:40" hidden="1">
      <c r="A1257" s="1">
        <v>46060</v>
      </c>
      <c r="B1257">
        <v>1</v>
      </c>
      <c r="C1257">
        <v>13</v>
      </c>
      <c r="D1257" t="s">
        <v>112</v>
      </c>
      <c r="E1257" t="s">
        <v>46</v>
      </c>
      <c r="F1257">
        <v>586276</v>
      </c>
      <c r="G1257" s="6">
        <v>2</v>
      </c>
      <c r="H1257" t="s">
        <v>47</v>
      </c>
      <c r="I1257">
        <v>10686191</v>
      </c>
      <c r="J1257">
        <v>6</v>
      </c>
      <c r="K1257">
        <v>12.3</v>
      </c>
      <c r="L1257">
        <v>12.3</v>
      </c>
      <c r="M1257">
        <v>1617</v>
      </c>
      <c r="N1257" s="2">
        <v>162000</v>
      </c>
      <c r="O1257" s="2">
        <v>4455</v>
      </c>
      <c r="P1257" s="2">
        <v>4050</v>
      </c>
      <c r="Q1257" s="2">
        <v>9702</v>
      </c>
      <c r="R1257" s="2">
        <v>8100</v>
      </c>
      <c r="S1257">
        <v>99.63</v>
      </c>
      <c r="T1257" s="2">
        <v>125550</v>
      </c>
      <c r="U1257" s="2">
        <v>36450</v>
      </c>
      <c r="V1257">
        <v>119.33460000000001</v>
      </c>
      <c r="W1257">
        <v>0</v>
      </c>
      <c r="X1257">
        <v>0</v>
      </c>
      <c r="Y1257">
        <v>0</v>
      </c>
      <c r="Z1257">
        <v>1</v>
      </c>
      <c r="AA1257">
        <v>8.379799320565871E-3</v>
      </c>
      <c r="AB1257">
        <v>26.2</v>
      </c>
      <c r="AC1257">
        <v>11.768166666666668</v>
      </c>
      <c r="AD1257">
        <v>26</v>
      </c>
      <c r="AE1257" s="7"/>
      <c r="AF1257" s="7"/>
      <c r="AG1257" s="7"/>
      <c r="AH1257" s="7"/>
      <c r="AI1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0.23183333333333245</v>
      </c>
      <c r="AJ1257" s="7"/>
      <c r="AK1257" t="s">
        <v>51</v>
      </c>
      <c r="AN1257">
        <f>IFERROR(INT(Table13[[#This Row],[reject_prod]]/Table13[[#This Row],[part_weight]] * 1000), 0)</f>
        <v>81</v>
      </c>
    </row>
    <row r="1258" spans="1:40" hidden="1">
      <c r="A1258" s="1">
        <v>46060</v>
      </c>
      <c r="B1258">
        <v>1</v>
      </c>
      <c r="C1258">
        <v>14</v>
      </c>
      <c r="D1258" t="s">
        <v>33</v>
      </c>
      <c r="E1258" t="s">
        <v>46</v>
      </c>
      <c r="F1258">
        <v>555979</v>
      </c>
      <c r="G1258" s="6">
        <v>1</v>
      </c>
      <c r="H1258" t="s">
        <v>52</v>
      </c>
      <c r="I1258">
        <v>10683785</v>
      </c>
      <c r="J1258">
        <v>6</v>
      </c>
      <c r="K1258">
        <v>28</v>
      </c>
      <c r="L1258">
        <v>28</v>
      </c>
      <c r="M1258">
        <v>0</v>
      </c>
      <c r="N1258" s="2">
        <v>100800</v>
      </c>
      <c r="O1258" s="2">
        <v>0</v>
      </c>
      <c r="P1258" s="2">
        <v>0</v>
      </c>
      <c r="Q1258" s="2">
        <v>0</v>
      </c>
      <c r="R1258" s="2">
        <v>0</v>
      </c>
      <c r="S1258">
        <v>0</v>
      </c>
      <c r="T1258" s="2">
        <v>30240</v>
      </c>
      <c r="U1258" s="2">
        <v>70560</v>
      </c>
      <c r="V1258">
        <v>0</v>
      </c>
      <c r="W1258">
        <v>0</v>
      </c>
      <c r="X1258">
        <v>1</v>
      </c>
      <c r="Y1258" t="e">
        <v>#DIV/0!</v>
      </c>
      <c r="Z1258">
        <v>0</v>
      </c>
      <c r="AA1258" t="e">
        <v>#DIV/0!</v>
      </c>
      <c r="AB1258">
        <v>43</v>
      </c>
      <c r="AC1258">
        <v>0</v>
      </c>
      <c r="AD1258">
        <v>42</v>
      </c>
      <c r="AE1258" s="7"/>
      <c r="AF1258" s="7"/>
      <c r="AG1258" s="7"/>
      <c r="AH1258" s="7"/>
      <c r="AI1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8" s="7"/>
      <c r="AK1258" t="s">
        <v>738</v>
      </c>
      <c r="AM1258">
        <v>2</v>
      </c>
      <c r="AN1258">
        <f>IFERROR(INT(Table13[[#This Row],[reject_prod]]/Table13[[#This Row],[part_weight]] * 1000), 0)</f>
        <v>0</v>
      </c>
    </row>
    <row r="1259" spans="1:40" hidden="1">
      <c r="A1259" s="1">
        <v>46060</v>
      </c>
      <c r="B1259">
        <v>1</v>
      </c>
      <c r="C1259">
        <v>15</v>
      </c>
      <c r="D1259" t="s">
        <v>112</v>
      </c>
      <c r="E1259" t="s">
        <v>46</v>
      </c>
      <c r="F1259">
        <v>552181</v>
      </c>
      <c r="G1259" s="6">
        <v>2</v>
      </c>
      <c r="H1259" t="s">
        <v>49</v>
      </c>
      <c r="I1259">
        <v>10685542</v>
      </c>
      <c r="J1259">
        <v>6</v>
      </c>
      <c r="K1259">
        <v>18.8</v>
      </c>
      <c r="L1259">
        <v>18.8</v>
      </c>
      <c r="M1259">
        <v>1356</v>
      </c>
      <c r="N1259" s="2">
        <v>108000</v>
      </c>
      <c r="O1259" s="2">
        <v>1080</v>
      </c>
      <c r="P1259" s="2">
        <v>1620</v>
      </c>
      <c r="Q1259" s="2">
        <v>8136</v>
      </c>
      <c r="R1259" s="2">
        <v>5400</v>
      </c>
      <c r="S1259">
        <v>101.52</v>
      </c>
      <c r="T1259" s="2">
        <v>34020</v>
      </c>
      <c r="U1259" s="2">
        <v>73980</v>
      </c>
      <c r="V1259">
        <v>152.95680000000002</v>
      </c>
      <c r="W1259">
        <v>0</v>
      </c>
      <c r="X1259">
        <v>0</v>
      </c>
      <c r="Y1259">
        <v>0</v>
      </c>
      <c r="Z1259">
        <v>1</v>
      </c>
      <c r="AA1259">
        <v>6.5377936776920016E-3</v>
      </c>
      <c r="AB1259">
        <v>31.2</v>
      </c>
      <c r="AC1259">
        <v>11.751999999999999</v>
      </c>
      <c r="AD1259">
        <v>27</v>
      </c>
      <c r="AE1259" s="7"/>
      <c r="AF1259" s="7"/>
      <c r="AG1259" s="7"/>
      <c r="AH1259" s="7"/>
      <c r="AI1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0.24800000000000111</v>
      </c>
      <c r="AJ1259" s="7"/>
      <c r="AK1259" t="s">
        <v>51</v>
      </c>
      <c r="AN1259">
        <f>IFERROR(INT(Table13[[#This Row],[reject_prod]]/Table13[[#This Row],[part_weight]] * 1000), 0)</f>
        <v>53</v>
      </c>
    </row>
    <row r="1260" spans="1:40" s="4" customFormat="1" hidden="1">
      <c r="A1260" s="3">
        <v>46060</v>
      </c>
      <c r="B1260" s="4">
        <v>1</v>
      </c>
      <c r="C1260" s="4">
        <v>16</v>
      </c>
      <c r="D1260" s="4" t="s">
        <v>221</v>
      </c>
      <c r="E1260" s="4" t="s">
        <v>46</v>
      </c>
      <c r="F1260" s="4">
        <v>555979</v>
      </c>
      <c r="G1260" s="9">
        <v>2</v>
      </c>
      <c r="H1260" s="4" t="s">
        <v>52</v>
      </c>
      <c r="I1260" s="4">
        <v>10685814</v>
      </c>
      <c r="J1260" s="4">
        <v>6</v>
      </c>
      <c r="K1260" s="4">
        <v>28</v>
      </c>
      <c r="L1260" s="4">
        <v>28</v>
      </c>
      <c r="M1260" s="4">
        <v>978</v>
      </c>
      <c r="N1260" s="5">
        <v>100800</v>
      </c>
      <c r="O1260" s="5">
        <v>2016</v>
      </c>
      <c r="P1260" s="5">
        <v>1344</v>
      </c>
      <c r="Q1260" s="5">
        <v>5868</v>
      </c>
      <c r="R1260" s="5">
        <v>6720</v>
      </c>
      <c r="S1260" s="4">
        <v>188.16</v>
      </c>
      <c r="T1260" s="5">
        <v>28224</v>
      </c>
      <c r="U1260" s="5">
        <v>72576</v>
      </c>
      <c r="V1260" s="4">
        <v>164.304</v>
      </c>
      <c r="W1260" s="4">
        <v>0</v>
      </c>
      <c r="X1260" s="4">
        <v>0</v>
      </c>
      <c r="Y1260" s="4">
        <v>0</v>
      </c>
      <c r="Z1260" s="4">
        <v>1.5</v>
      </c>
      <c r="AA1260" s="4">
        <v>9.129418638621092E-3</v>
      </c>
      <c r="AB1260" s="4">
        <v>43.5</v>
      </c>
      <c r="AC1260" s="4">
        <v>11.817499999999999</v>
      </c>
      <c r="AD1260" s="4">
        <v>42</v>
      </c>
      <c r="AE1260" s="8"/>
      <c r="AF1260" s="8"/>
      <c r="AG1260" s="8"/>
      <c r="AH1260" s="8"/>
      <c r="AI126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0.18250000000000099</v>
      </c>
      <c r="AJ1260" s="8"/>
      <c r="AK1260" s="4" t="s">
        <v>51</v>
      </c>
      <c r="AM1260" s="4">
        <v>2</v>
      </c>
      <c r="AN1260">
        <f>IFERROR(INT(Table13[[#This Row],[reject_prod]]/Table13[[#This Row],[part_weight]] * 1000), 0)</f>
        <v>53</v>
      </c>
    </row>
    <row r="1261" spans="1:40" hidden="1">
      <c r="A1261" s="1">
        <v>46060</v>
      </c>
      <c r="B1261">
        <v>2</v>
      </c>
      <c r="C1261">
        <v>1</v>
      </c>
      <c r="D1261" t="s">
        <v>54</v>
      </c>
      <c r="E1261" t="s">
        <v>34</v>
      </c>
      <c r="F1261">
        <v>529004</v>
      </c>
      <c r="G1261" s="6">
        <v>0</v>
      </c>
      <c r="H1261" t="s">
        <v>723</v>
      </c>
      <c r="I1261">
        <v>10685632</v>
      </c>
      <c r="J1261">
        <v>4</v>
      </c>
      <c r="K1261">
        <v>31</v>
      </c>
      <c r="L1261">
        <v>31</v>
      </c>
      <c r="M1261">
        <v>1262</v>
      </c>
      <c r="N1261" s="2">
        <v>20400</v>
      </c>
      <c r="O1261" s="2">
        <v>960</v>
      </c>
      <c r="P1261" s="2">
        <v>0</v>
      </c>
      <c r="Q1261" s="2">
        <v>5048</v>
      </c>
      <c r="R1261" s="2">
        <v>6000</v>
      </c>
      <c r="S1261">
        <v>186</v>
      </c>
      <c r="T1261" s="2">
        <v>8400</v>
      </c>
      <c r="U1261" s="2">
        <v>12000</v>
      </c>
      <c r="V1261">
        <v>156.488</v>
      </c>
      <c r="W1261">
        <v>0</v>
      </c>
      <c r="X1261">
        <v>0</v>
      </c>
      <c r="Y1261">
        <v>0</v>
      </c>
      <c r="Z1261">
        <v>2.6</v>
      </c>
      <c r="AA1261">
        <v>1.6614692500383416E-2</v>
      </c>
      <c r="AB1261">
        <v>33.700000000000003</v>
      </c>
      <c r="AC1261">
        <v>11.813722222222223</v>
      </c>
      <c r="AD1261">
        <v>29</v>
      </c>
      <c r="AE1261" s="7"/>
      <c r="AF1261" s="7"/>
      <c r="AG1261" s="7"/>
      <c r="AH1261" s="7"/>
      <c r="AI1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0.18627777777777688</v>
      </c>
      <c r="AJ1261" s="7"/>
      <c r="AK1261" t="s">
        <v>93</v>
      </c>
      <c r="AN1261">
        <f>IFERROR(INT(Table13[[#This Row],[reject_prod]]/Table13[[#This Row],[part_weight]] * 1000), 0)</f>
        <v>83</v>
      </c>
    </row>
    <row r="1262" spans="1:40" hidden="1">
      <c r="A1262" s="1">
        <v>46060</v>
      </c>
      <c r="B1262">
        <v>2</v>
      </c>
      <c r="C1262">
        <v>2</v>
      </c>
      <c r="D1262" t="s">
        <v>88</v>
      </c>
      <c r="E1262" t="s">
        <v>34</v>
      </c>
      <c r="F1262">
        <v>324163</v>
      </c>
      <c r="G1262" s="6">
        <v>0</v>
      </c>
      <c r="H1262" t="s">
        <v>672</v>
      </c>
      <c r="I1262">
        <v>10684851</v>
      </c>
      <c r="J1262">
        <v>4</v>
      </c>
      <c r="K1262">
        <v>24</v>
      </c>
      <c r="L1262">
        <v>23.5</v>
      </c>
      <c r="M1262">
        <v>1714</v>
      </c>
      <c r="N1262" s="2">
        <v>73152</v>
      </c>
      <c r="O1262" s="2">
        <v>0</v>
      </c>
      <c r="P1262" s="2">
        <v>2286</v>
      </c>
      <c r="Q1262" s="2">
        <v>6856</v>
      </c>
      <c r="R1262" s="2">
        <v>4572</v>
      </c>
      <c r="S1262">
        <v>107.44199999999999</v>
      </c>
      <c r="T1262" s="2">
        <v>52578</v>
      </c>
      <c r="U1262" s="2">
        <v>20574</v>
      </c>
      <c r="V1262">
        <v>161.11600000000001</v>
      </c>
      <c r="W1262">
        <v>3.4279999999999999</v>
      </c>
      <c r="X1262">
        <v>0</v>
      </c>
      <c r="Y1262">
        <v>0</v>
      </c>
      <c r="Z1262">
        <v>6.3</v>
      </c>
      <c r="AA1262">
        <v>3.9102261724471801E-2</v>
      </c>
      <c r="AB1262">
        <v>22.2</v>
      </c>
      <c r="AC1262">
        <v>10.569666666666667</v>
      </c>
      <c r="AD1262">
        <v>22.5</v>
      </c>
      <c r="AE1262" s="7"/>
      <c r="AF1262" s="7"/>
      <c r="AG1262" s="7"/>
      <c r="AH1262" s="7"/>
      <c r="AI1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1.4303333333333335</v>
      </c>
      <c r="AJ1262" s="7"/>
      <c r="AK1262" t="s">
        <v>739</v>
      </c>
      <c r="AN1262">
        <f>IFERROR(INT(Table13[[#This Row],[reject_prod]]/Table13[[#This Row],[part_weight]] * 1000), 0)</f>
        <v>268</v>
      </c>
    </row>
    <row r="1263" spans="1:40" hidden="1">
      <c r="A1263" s="1">
        <v>46060</v>
      </c>
      <c r="B1263">
        <v>2</v>
      </c>
      <c r="C1263">
        <v>3</v>
      </c>
      <c r="D1263" t="s">
        <v>53</v>
      </c>
      <c r="E1263" t="s">
        <v>34</v>
      </c>
      <c r="F1263">
        <v>442034</v>
      </c>
      <c r="G1263" s="6">
        <v>0</v>
      </c>
      <c r="H1263" t="s">
        <v>37</v>
      </c>
      <c r="I1263">
        <v>10685633</v>
      </c>
      <c r="J1263">
        <v>4</v>
      </c>
      <c r="K1263">
        <v>23</v>
      </c>
      <c r="L1263">
        <v>23</v>
      </c>
      <c r="M1263">
        <v>1516</v>
      </c>
      <c r="N1263" s="2">
        <v>139776</v>
      </c>
      <c r="O1263" s="2">
        <v>3840</v>
      </c>
      <c r="P1263" s="2">
        <v>768</v>
      </c>
      <c r="Q1263" s="2">
        <v>6064</v>
      </c>
      <c r="R1263" s="2">
        <v>9216</v>
      </c>
      <c r="S1263">
        <v>211.96799999999999</v>
      </c>
      <c r="T1263" s="2">
        <v>56064</v>
      </c>
      <c r="U1263" s="2">
        <v>83712</v>
      </c>
      <c r="V1263">
        <v>139.47200000000001</v>
      </c>
      <c r="W1263">
        <v>0</v>
      </c>
      <c r="X1263">
        <v>0</v>
      </c>
      <c r="Y1263">
        <v>0</v>
      </c>
      <c r="Z1263">
        <v>4</v>
      </c>
      <c r="AA1263">
        <v>2.8679591602615576E-2</v>
      </c>
      <c r="AB1263">
        <v>28.5</v>
      </c>
      <c r="AC1263">
        <v>12</v>
      </c>
      <c r="AD1263">
        <v>22</v>
      </c>
      <c r="AE1263" s="7"/>
      <c r="AF1263" s="7"/>
      <c r="AG1263" s="7"/>
      <c r="AH1263" s="7"/>
      <c r="AI1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63" s="7"/>
      <c r="AK1263" t="s">
        <v>200</v>
      </c>
      <c r="AN1263">
        <f>IFERROR(INT(Table13[[#This Row],[reject_prod]]/Table13[[#This Row],[part_weight]] * 1000), 0)</f>
        <v>173</v>
      </c>
    </row>
    <row r="1264" spans="1:40" hidden="1">
      <c r="A1264" s="1">
        <v>46060</v>
      </c>
      <c r="B1264">
        <v>2</v>
      </c>
      <c r="C1264">
        <v>4</v>
      </c>
      <c r="D1264" t="s">
        <v>56</v>
      </c>
      <c r="E1264" t="s">
        <v>34</v>
      </c>
      <c r="F1264">
        <v>322477</v>
      </c>
      <c r="G1264" s="6">
        <v>0</v>
      </c>
      <c r="H1264" t="s">
        <v>694</v>
      </c>
      <c r="I1264">
        <v>10685206</v>
      </c>
      <c r="J1264">
        <v>4</v>
      </c>
      <c r="K1264">
        <v>44</v>
      </c>
      <c r="L1264">
        <v>44</v>
      </c>
      <c r="M1264">
        <v>686</v>
      </c>
      <c r="N1264" s="2">
        <v>24960</v>
      </c>
      <c r="O1264" s="2">
        <v>416</v>
      </c>
      <c r="P1264" s="2">
        <v>0</v>
      </c>
      <c r="Q1264" s="2">
        <v>2744</v>
      </c>
      <c r="R1264" s="2">
        <v>3120</v>
      </c>
      <c r="S1264">
        <v>137.28</v>
      </c>
      <c r="T1264" s="2">
        <v>24960</v>
      </c>
      <c r="U1264" s="2">
        <v>0</v>
      </c>
      <c r="V1264">
        <v>120.736</v>
      </c>
      <c r="W1264">
        <v>0</v>
      </c>
      <c r="X1264">
        <v>0</v>
      </c>
      <c r="Y1264">
        <v>0</v>
      </c>
      <c r="Z1264">
        <v>4.3</v>
      </c>
      <c r="AA1264">
        <v>3.5614895308772855E-2</v>
      </c>
      <c r="AB1264">
        <v>26.1</v>
      </c>
      <c r="AC1264">
        <v>4.9735000000000005</v>
      </c>
      <c r="AD1264">
        <v>26</v>
      </c>
      <c r="AE1264" s="7"/>
      <c r="AF1264" s="7"/>
      <c r="AG1264" s="7"/>
      <c r="AH1264" s="7"/>
      <c r="AI1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7.0264999999999995</v>
      </c>
      <c r="AJ1264" s="7"/>
      <c r="AK1264" t="s">
        <v>457</v>
      </c>
      <c r="AN1264">
        <f>IFERROR(INT(Table13[[#This Row],[reject_prod]]/Table13[[#This Row],[part_weight]] * 1000), 0)</f>
        <v>97</v>
      </c>
    </row>
    <row r="1265" spans="1:40" hidden="1">
      <c r="A1265" s="1">
        <v>46060</v>
      </c>
      <c r="B1265">
        <v>2</v>
      </c>
      <c r="C1265">
        <v>4</v>
      </c>
      <c r="D1265" t="s">
        <v>56</v>
      </c>
      <c r="E1265" t="s">
        <v>34</v>
      </c>
      <c r="F1265">
        <v>322477</v>
      </c>
      <c r="G1265" s="6">
        <v>0</v>
      </c>
      <c r="H1265" t="s">
        <v>694</v>
      </c>
      <c r="I1265">
        <v>10686801</v>
      </c>
      <c r="J1265">
        <v>4</v>
      </c>
      <c r="K1265">
        <v>44</v>
      </c>
      <c r="L1265">
        <v>44</v>
      </c>
      <c r="M1265">
        <v>735</v>
      </c>
      <c r="N1265" s="2">
        <v>38850</v>
      </c>
      <c r="O1265" s="2">
        <v>0</v>
      </c>
      <c r="P1265" s="2">
        <v>420</v>
      </c>
      <c r="Q1265" s="2">
        <v>2940</v>
      </c>
      <c r="R1265" s="2">
        <v>2520</v>
      </c>
      <c r="S1265">
        <v>110.88</v>
      </c>
      <c r="T1265" s="2">
        <v>2835</v>
      </c>
      <c r="U1265" s="2">
        <v>36015</v>
      </c>
      <c r="V1265">
        <v>129.36000000000001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26.1</v>
      </c>
      <c r="AC1265">
        <v>5.3287500000000003</v>
      </c>
      <c r="AD1265">
        <v>26</v>
      </c>
      <c r="AE1265" s="7"/>
      <c r="AF1265" s="7"/>
      <c r="AG1265" s="7"/>
      <c r="AH1265" s="7"/>
      <c r="AI1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6.6712499999999997</v>
      </c>
      <c r="AJ1265" s="7"/>
      <c r="AK1265" t="s">
        <v>740</v>
      </c>
      <c r="AN1265">
        <f>IFERROR(INT(Table13[[#This Row],[reject_prod]]/Table13[[#This Row],[part_weight]] * 1000), 0)</f>
        <v>0</v>
      </c>
    </row>
    <row r="1266" spans="1:40" hidden="1">
      <c r="A1266" s="1">
        <v>46060</v>
      </c>
      <c r="B1266">
        <v>2</v>
      </c>
      <c r="C1266">
        <v>5</v>
      </c>
      <c r="D1266" t="s">
        <v>741</v>
      </c>
      <c r="E1266" t="s">
        <v>34</v>
      </c>
      <c r="F1266">
        <v>322448</v>
      </c>
      <c r="G1266" s="6">
        <v>0</v>
      </c>
      <c r="H1266" t="s">
        <v>654</v>
      </c>
      <c r="I1266">
        <v>10686572</v>
      </c>
      <c r="J1266">
        <v>4</v>
      </c>
      <c r="K1266">
        <v>40</v>
      </c>
      <c r="L1266">
        <v>40</v>
      </c>
      <c r="M1266">
        <v>1678</v>
      </c>
      <c r="N1266" s="2">
        <v>58320</v>
      </c>
      <c r="O1266" s="2">
        <v>648</v>
      </c>
      <c r="P1266" s="2">
        <v>0</v>
      </c>
      <c r="Q1266" s="2">
        <v>6712</v>
      </c>
      <c r="R1266" s="2">
        <v>7290</v>
      </c>
      <c r="S1266">
        <v>291.60000000000002</v>
      </c>
      <c r="T1266" s="2">
        <v>41310</v>
      </c>
      <c r="U1266" s="2">
        <v>17010</v>
      </c>
      <c r="V1266">
        <v>268.48</v>
      </c>
      <c r="W1266">
        <v>0</v>
      </c>
      <c r="X1266">
        <v>0</v>
      </c>
      <c r="Y1266">
        <v>0</v>
      </c>
      <c r="Z1266">
        <v>5</v>
      </c>
      <c r="AA1266">
        <v>1.8623361144219308E-2</v>
      </c>
      <c r="AB1266">
        <v>25.5</v>
      </c>
      <c r="AC1266">
        <v>11.885833333333332</v>
      </c>
      <c r="AD1266">
        <v>23</v>
      </c>
      <c r="AE1266" s="7"/>
      <c r="AF1266" s="7"/>
      <c r="AG1266" s="7"/>
      <c r="AH1266" s="7"/>
      <c r="AI1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0.11416666666666764</v>
      </c>
      <c r="AJ1266" s="7"/>
      <c r="AK1266" t="s">
        <v>742</v>
      </c>
      <c r="AN1266">
        <f>IFERROR(INT(Table13[[#This Row],[reject_prod]]/Table13[[#This Row],[part_weight]] * 1000), 0)</f>
        <v>125</v>
      </c>
    </row>
    <row r="1267" spans="1:40" hidden="1">
      <c r="A1267" s="1">
        <v>46060</v>
      </c>
      <c r="B1267">
        <v>2</v>
      </c>
      <c r="C1267">
        <v>6</v>
      </c>
      <c r="D1267" t="s">
        <v>428</v>
      </c>
      <c r="E1267" t="s">
        <v>34</v>
      </c>
      <c r="F1267">
        <v>322422</v>
      </c>
      <c r="G1267" s="6">
        <v>0</v>
      </c>
      <c r="H1267" t="s">
        <v>656</v>
      </c>
      <c r="I1267">
        <v>10685442</v>
      </c>
      <c r="J1267">
        <v>4</v>
      </c>
      <c r="K1267">
        <v>34</v>
      </c>
      <c r="L1267">
        <v>34</v>
      </c>
      <c r="M1267">
        <v>635</v>
      </c>
      <c r="N1267" s="2">
        <v>9000</v>
      </c>
      <c r="O1267" s="2">
        <v>180</v>
      </c>
      <c r="P1267" s="2">
        <v>0</v>
      </c>
      <c r="Q1267" s="2">
        <v>2540</v>
      </c>
      <c r="R1267" s="2">
        <v>2700</v>
      </c>
      <c r="S1267">
        <v>91.8</v>
      </c>
      <c r="T1267" s="2">
        <v>9000</v>
      </c>
      <c r="U1267" s="2">
        <v>0</v>
      </c>
      <c r="V1267">
        <v>86.36</v>
      </c>
      <c r="W1267">
        <v>0</v>
      </c>
      <c r="Y1267">
        <v>0</v>
      </c>
      <c r="Z1267">
        <v>1</v>
      </c>
      <c r="AA1267">
        <v>1.1579434923575729E-2</v>
      </c>
      <c r="AB1267">
        <v>21.3</v>
      </c>
      <c r="AC1267">
        <v>3.7570833333333336</v>
      </c>
      <c r="AD1267">
        <v>21.68</v>
      </c>
      <c r="AE1267" s="7"/>
      <c r="AF1267" s="7"/>
      <c r="AG1267" s="7"/>
      <c r="AH1267" s="7"/>
      <c r="AI1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8.242916666666666</v>
      </c>
      <c r="AJ1267" s="7"/>
      <c r="AK1267" t="s">
        <v>457</v>
      </c>
      <c r="AN1267">
        <f>IFERROR(INT(Table13[[#This Row],[reject_prod]]/Table13[[#This Row],[part_weight]] * 1000), 0)</f>
        <v>29</v>
      </c>
    </row>
    <row r="1268" spans="1:40" hidden="1">
      <c r="A1268" s="1">
        <v>46060</v>
      </c>
      <c r="B1268">
        <v>2</v>
      </c>
      <c r="C1268">
        <v>6</v>
      </c>
      <c r="D1268" t="s">
        <v>428</v>
      </c>
      <c r="E1268" t="s">
        <v>34</v>
      </c>
      <c r="F1268">
        <v>322445</v>
      </c>
      <c r="G1268" s="6">
        <v>0</v>
      </c>
      <c r="H1268" t="s">
        <v>743</v>
      </c>
      <c r="I1268">
        <v>10685637</v>
      </c>
      <c r="J1268">
        <v>4</v>
      </c>
      <c r="K1268">
        <v>32.74</v>
      </c>
      <c r="L1268">
        <v>33</v>
      </c>
      <c r="M1268">
        <v>1035</v>
      </c>
      <c r="N1268" s="2">
        <v>72000</v>
      </c>
      <c r="O1268" s="2"/>
      <c r="P1268" s="2">
        <v>540</v>
      </c>
      <c r="Q1268" s="2">
        <v>4140</v>
      </c>
      <c r="R1268" s="2">
        <v>3600</v>
      </c>
      <c r="S1268">
        <v>118.8</v>
      </c>
      <c r="T1268" s="2">
        <v>4140</v>
      </c>
      <c r="U1268" s="2">
        <v>67860</v>
      </c>
      <c r="V1268">
        <v>136.62</v>
      </c>
      <c r="W1268">
        <v>-1.0763999999999916</v>
      </c>
      <c r="X1268">
        <v>4</v>
      </c>
      <c r="Y1268">
        <v>2.9278290147855365E-2</v>
      </c>
      <c r="Z1268">
        <v>0</v>
      </c>
      <c r="AA1268">
        <v>0</v>
      </c>
      <c r="AB1268">
        <v>23.38</v>
      </c>
      <c r="AC1268">
        <v>6.7217500000000001</v>
      </c>
      <c r="AD1268">
        <v>22</v>
      </c>
      <c r="AE1268" s="7"/>
      <c r="AF1268" s="7"/>
      <c r="AG1268" s="7">
        <v>1.5</v>
      </c>
      <c r="AH1268" s="7"/>
      <c r="AI1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3.7782499999999999</v>
      </c>
      <c r="AJ1268" s="7"/>
      <c r="AK1268" t="s">
        <v>90</v>
      </c>
      <c r="AN1268">
        <f>IFERROR(INT(Table13[[#This Row],[reject_prod]]/Table13[[#This Row],[part_weight]] * 1000), 0)</f>
        <v>0</v>
      </c>
    </row>
    <row r="1269" spans="1:40" hidden="1">
      <c r="A1269" s="1">
        <v>46060</v>
      </c>
      <c r="B1269">
        <v>2</v>
      </c>
      <c r="C1269">
        <v>7</v>
      </c>
      <c r="D1269" t="s">
        <v>744</v>
      </c>
      <c r="E1269" t="s">
        <v>34</v>
      </c>
      <c r="F1269">
        <v>324173</v>
      </c>
      <c r="G1269" s="6">
        <v>0</v>
      </c>
      <c r="H1269" t="s">
        <v>677</v>
      </c>
      <c r="I1269">
        <v>10683859</v>
      </c>
      <c r="J1269">
        <v>4</v>
      </c>
      <c r="K1269">
        <v>34</v>
      </c>
      <c r="L1269">
        <v>34.5</v>
      </c>
      <c r="M1269">
        <v>912</v>
      </c>
      <c r="N1269" s="2">
        <v>42000</v>
      </c>
      <c r="O1269" s="2">
        <v>600</v>
      </c>
      <c r="P1269" s="2">
        <v>0</v>
      </c>
      <c r="Q1269" s="2">
        <v>3648</v>
      </c>
      <c r="R1269" s="2">
        <v>4200</v>
      </c>
      <c r="S1269">
        <v>144.9</v>
      </c>
      <c r="T1269" s="2">
        <v>42000</v>
      </c>
      <c r="U1269" s="2">
        <v>0</v>
      </c>
      <c r="V1269">
        <v>125.85599999999999</v>
      </c>
      <c r="W1269">
        <v>-1.8240000000000001</v>
      </c>
      <c r="X1269">
        <v>0</v>
      </c>
      <c r="Y1269">
        <v>0</v>
      </c>
      <c r="Z1269">
        <v>5</v>
      </c>
      <c r="AA1269">
        <v>3.9727943046020849E-2</v>
      </c>
      <c r="AB1269">
        <v>24.1</v>
      </c>
      <c r="AC1269">
        <v>6.1053333333333333</v>
      </c>
      <c r="AD1269">
        <v>20.399999999999999</v>
      </c>
      <c r="AE1269" s="7"/>
      <c r="AF1269" s="7"/>
      <c r="AG1269" s="7"/>
      <c r="AH1269" s="7"/>
      <c r="AI1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5.8946666666666667</v>
      </c>
      <c r="AJ1269" s="7"/>
      <c r="AK1269" t="s">
        <v>745</v>
      </c>
      <c r="AN1269">
        <f>IFERROR(INT(Table13[[#This Row],[reject_prod]]/Table13[[#This Row],[part_weight]] * 1000), 0)</f>
        <v>144</v>
      </c>
    </row>
    <row r="1270" spans="1:40" hidden="1">
      <c r="A1270" s="1">
        <v>46060</v>
      </c>
      <c r="B1270">
        <v>2</v>
      </c>
      <c r="C1270">
        <v>7</v>
      </c>
      <c r="D1270" t="s">
        <v>744</v>
      </c>
      <c r="E1270" t="s">
        <v>34</v>
      </c>
      <c r="F1270">
        <v>647556</v>
      </c>
      <c r="G1270" s="6">
        <v>0</v>
      </c>
      <c r="H1270" t="s">
        <v>458</v>
      </c>
      <c r="I1270">
        <v>10685214</v>
      </c>
      <c r="J1270">
        <v>4</v>
      </c>
      <c r="K1270">
        <v>35</v>
      </c>
      <c r="L1270">
        <v>34.5</v>
      </c>
      <c r="M1270">
        <v>561</v>
      </c>
      <c r="N1270" s="2">
        <v>27720</v>
      </c>
      <c r="O1270" s="2">
        <v>0</v>
      </c>
      <c r="P1270" s="2">
        <v>2244</v>
      </c>
      <c r="Q1270" s="2">
        <v>2244</v>
      </c>
      <c r="R1270" s="2">
        <v>0</v>
      </c>
      <c r="S1270">
        <v>0</v>
      </c>
      <c r="T1270" s="2">
        <v>2244</v>
      </c>
      <c r="U1270" s="2">
        <v>25476</v>
      </c>
      <c r="V1270">
        <v>77.418000000000006</v>
      </c>
      <c r="W1270">
        <v>1.1220000000000001</v>
      </c>
      <c r="X1270">
        <v>5</v>
      </c>
      <c r="Y1270">
        <v>6.4584463561445649E-2</v>
      </c>
      <c r="Z1270">
        <v>2</v>
      </c>
      <c r="AA1270">
        <v>2.5833785424578263E-2</v>
      </c>
      <c r="AB1270">
        <v>23.31</v>
      </c>
      <c r="AC1270">
        <v>3.6324749999999999</v>
      </c>
      <c r="AD1270">
        <v>20.399999999999999</v>
      </c>
      <c r="AE1270" s="7"/>
      <c r="AF1270" s="7"/>
      <c r="AG1270" s="7">
        <v>1.5</v>
      </c>
      <c r="AH1270" s="7"/>
      <c r="AI1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6.8675250000000005</v>
      </c>
      <c r="AJ1270" s="7"/>
      <c r="AK1270" t="s">
        <v>133</v>
      </c>
      <c r="AN1270">
        <f>IFERROR(INT(Table13[[#This Row],[reject_prod]]/Table13[[#This Row],[part_weight]] * 1000), 0)</f>
        <v>57</v>
      </c>
    </row>
    <row r="1271" spans="1:40" hidden="1">
      <c r="A1271" s="1">
        <v>46060</v>
      </c>
      <c r="B1271">
        <v>2</v>
      </c>
      <c r="C1271">
        <v>8</v>
      </c>
      <c r="D1271" t="s">
        <v>208</v>
      </c>
      <c r="E1271" t="s">
        <v>41</v>
      </c>
      <c r="F1271">
        <v>593537</v>
      </c>
      <c r="G1271" s="6">
        <v>0</v>
      </c>
      <c r="H1271" t="s">
        <v>48</v>
      </c>
      <c r="I1271">
        <v>10685813</v>
      </c>
      <c r="J1271">
        <v>4</v>
      </c>
      <c r="K1271">
        <v>56.5</v>
      </c>
      <c r="L1271">
        <v>56.8</v>
      </c>
      <c r="M1271">
        <v>1394</v>
      </c>
      <c r="N1271" s="2">
        <v>69000</v>
      </c>
      <c r="O1271" s="2">
        <v>345</v>
      </c>
      <c r="P1271" s="2">
        <v>345</v>
      </c>
      <c r="Q1271" s="2">
        <v>5576</v>
      </c>
      <c r="R1271" s="2">
        <v>5750</v>
      </c>
      <c r="S1271">
        <v>326.60000000000002</v>
      </c>
      <c r="T1271" s="2">
        <v>48070</v>
      </c>
      <c r="U1271" s="2">
        <v>20930</v>
      </c>
      <c r="V1271">
        <v>316.71679999999998</v>
      </c>
      <c r="W1271">
        <v>-1.6727999999999843</v>
      </c>
      <c r="X1271">
        <v>0</v>
      </c>
      <c r="Y1271">
        <v>0</v>
      </c>
      <c r="Z1271">
        <v>2</v>
      </c>
      <c r="AA1271">
        <v>6.3147897427607257E-3</v>
      </c>
      <c r="AB1271">
        <v>30.4</v>
      </c>
      <c r="AC1271">
        <v>11.771555555555555</v>
      </c>
      <c r="AD1271">
        <v>28.5</v>
      </c>
      <c r="AE1271" s="7"/>
      <c r="AF1271" s="7"/>
      <c r="AG1271" s="7"/>
      <c r="AH1271" s="7"/>
      <c r="AI1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0.22844444444444534</v>
      </c>
      <c r="AJ1271" s="7"/>
      <c r="AK1271" t="s">
        <v>90</v>
      </c>
      <c r="AN1271">
        <f>IFERROR(INT(Table13[[#This Row],[reject_prod]]/Table13[[#This Row],[part_weight]] * 1000), 0)</f>
        <v>35</v>
      </c>
    </row>
    <row r="1272" spans="1:40" hidden="1">
      <c r="A1272" s="1">
        <v>46060</v>
      </c>
      <c r="B1272">
        <v>2</v>
      </c>
      <c r="C1272">
        <v>9</v>
      </c>
      <c r="F1272">
        <v>123456</v>
      </c>
      <c r="G1272" s="6">
        <v>0</v>
      </c>
      <c r="M1272">
        <v>0</v>
      </c>
      <c r="N1272" s="2">
        <v>0</v>
      </c>
      <c r="O1272" s="2">
        <v>0</v>
      </c>
      <c r="P1272" s="2">
        <v>0</v>
      </c>
      <c r="Q1272" s="2"/>
      <c r="R1272" s="2">
        <v>0</v>
      </c>
      <c r="T1272" s="2">
        <v>0</v>
      </c>
      <c r="U1272" s="2"/>
      <c r="X1272">
        <v>0</v>
      </c>
      <c r="Z1272">
        <v>0</v>
      </c>
      <c r="AB1272">
        <v>0</v>
      </c>
      <c r="AC1272">
        <v>0</v>
      </c>
      <c r="AD1272">
        <v>0</v>
      </c>
      <c r="AE1272" s="7"/>
      <c r="AF1272" s="7"/>
      <c r="AG1272" s="7"/>
      <c r="AH1272" s="7"/>
      <c r="AI1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72" s="7">
        <v>12</v>
      </c>
      <c r="AK1272" t="s">
        <v>116</v>
      </c>
      <c r="AN1272">
        <f>IFERROR(INT(Table13[[#This Row],[reject_prod]]/Table13[[#This Row],[part_weight]] * 1000), 0)</f>
        <v>0</v>
      </c>
    </row>
    <row r="1273" spans="1:40" hidden="1">
      <c r="A1273" s="1">
        <v>46060</v>
      </c>
      <c r="B1273">
        <v>2</v>
      </c>
      <c r="C1273">
        <v>10</v>
      </c>
      <c r="D1273" t="s">
        <v>134</v>
      </c>
      <c r="E1273" t="s">
        <v>34</v>
      </c>
      <c r="F1273">
        <v>324638</v>
      </c>
      <c r="G1273" s="6">
        <v>0</v>
      </c>
      <c r="H1273" t="s">
        <v>687</v>
      </c>
      <c r="I1273">
        <v>10685639</v>
      </c>
      <c r="J1273">
        <v>4</v>
      </c>
      <c r="K1273">
        <v>77.5</v>
      </c>
      <c r="L1273">
        <v>77.5</v>
      </c>
      <c r="M1273">
        <v>680</v>
      </c>
      <c r="N1273" s="2">
        <v>26496</v>
      </c>
      <c r="O1273" s="2">
        <v>138</v>
      </c>
      <c r="P1273" s="2">
        <v>0</v>
      </c>
      <c r="Q1273" s="2">
        <v>2720</v>
      </c>
      <c r="R1273" s="2">
        <v>3312</v>
      </c>
      <c r="S1273">
        <v>256.68</v>
      </c>
      <c r="T1273" s="2">
        <v>26496</v>
      </c>
      <c r="U1273" s="2">
        <v>0</v>
      </c>
      <c r="V1273">
        <v>210.8</v>
      </c>
      <c r="W1273">
        <v>0</v>
      </c>
      <c r="X1273">
        <v>0</v>
      </c>
      <c r="Y1273">
        <v>0</v>
      </c>
      <c r="Z1273">
        <v>7</v>
      </c>
      <c r="AA1273">
        <v>3.3206831119544589E-2</v>
      </c>
      <c r="AB1273">
        <v>38.1</v>
      </c>
      <c r="AC1273">
        <v>7.1966666666666672</v>
      </c>
      <c r="AD1273">
        <v>36</v>
      </c>
      <c r="AE1273" s="7"/>
      <c r="AF1273" s="7"/>
      <c r="AG1273" s="7"/>
      <c r="AH1273" s="7"/>
      <c r="AI1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4.8033333333333328</v>
      </c>
      <c r="AJ1273" s="7"/>
      <c r="AK1273" t="s">
        <v>457</v>
      </c>
      <c r="AN1273">
        <f>IFERROR(INT(Table13[[#This Row],[reject_prod]]/Table13[[#This Row],[part_weight]] * 1000), 0)</f>
        <v>90</v>
      </c>
    </row>
    <row r="1274" spans="1:40" hidden="1">
      <c r="A1274" s="1">
        <v>46060</v>
      </c>
      <c r="B1274">
        <v>2</v>
      </c>
      <c r="C1274">
        <v>10</v>
      </c>
      <c r="D1274" t="s">
        <v>134</v>
      </c>
      <c r="E1274" t="s">
        <v>34</v>
      </c>
      <c r="F1274">
        <v>324638</v>
      </c>
      <c r="G1274" s="6">
        <v>0</v>
      </c>
      <c r="H1274" t="s">
        <v>687</v>
      </c>
      <c r="I1274">
        <v>10686808</v>
      </c>
      <c r="J1274">
        <v>4</v>
      </c>
      <c r="K1274">
        <v>77.5</v>
      </c>
      <c r="L1274">
        <v>77.5</v>
      </c>
      <c r="M1274">
        <v>389</v>
      </c>
      <c r="N1274" s="2">
        <v>19872</v>
      </c>
      <c r="O1274" s="2"/>
      <c r="P1274" s="2">
        <v>1104</v>
      </c>
      <c r="Q1274" s="2">
        <v>1556</v>
      </c>
      <c r="R1274" s="2">
        <v>0</v>
      </c>
      <c r="S1274">
        <v>0</v>
      </c>
      <c r="T1274" s="2">
        <v>1104</v>
      </c>
      <c r="U1274" s="2">
        <v>18768</v>
      </c>
      <c r="V1274">
        <v>120.59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38.1</v>
      </c>
      <c r="AC1274">
        <v>4.1169166666666666</v>
      </c>
      <c r="AD1274">
        <v>36</v>
      </c>
      <c r="AE1274" s="7"/>
      <c r="AF1274" s="7"/>
      <c r="AG1274" s="7"/>
      <c r="AH1274" s="7"/>
      <c r="AI1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7.8830833333333334</v>
      </c>
      <c r="AJ1274" s="7"/>
      <c r="AK1274" t="s">
        <v>746</v>
      </c>
      <c r="AN1274">
        <f>IFERROR(INT(Table13[[#This Row],[reject_prod]]/Table13[[#This Row],[part_weight]] * 1000), 0)</f>
        <v>0</v>
      </c>
    </row>
    <row r="1275" spans="1:40" hidden="1">
      <c r="A1275" s="1">
        <v>46060</v>
      </c>
      <c r="B1275">
        <v>2</v>
      </c>
      <c r="C1275">
        <v>11</v>
      </c>
      <c r="D1275" t="s">
        <v>59</v>
      </c>
      <c r="E1275" t="s">
        <v>46</v>
      </c>
      <c r="F1275">
        <v>552181</v>
      </c>
      <c r="G1275" s="6">
        <v>1</v>
      </c>
      <c r="H1275" t="s">
        <v>49</v>
      </c>
      <c r="I1275">
        <v>10685339</v>
      </c>
      <c r="J1275">
        <v>6</v>
      </c>
      <c r="K1275">
        <v>18.8</v>
      </c>
      <c r="L1275">
        <v>18.8</v>
      </c>
      <c r="M1275">
        <v>1462</v>
      </c>
      <c r="N1275" s="2">
        <v>108000</v>
      </c>
      <c r="O1275" s="2">
        <v>6075</v>
      </c>
      <c r="P1275" s="2">
        <v>4050</v>
      </c>
      <c r="Q1275" s="2">
        <v>8772</v>
      </c>
      <c r="R1275" s="2">
        <v>10800</v>
      </c>
      <c r="S1275">
        <v>203.04</v>
      </c>
      <c r="T1275" s="2">
        <v>63450</v>
      </c>
      <c r="U1275" s="2">
        <v>44550</v>
      </c>
      <c r="V1275">
        <v>164.9136</v>
      </c>
      <c r="W1275">
        <v>0</v>
      </c>
      <c r="X1275">
        <v>0</v>
      </c>
      <c r="Y1275">
        <v>0</v>
      </c>
      <c r="Z1275">
        <v>1</v>
      </c>
      <c r="AA1275">
        <v>6.0637812769838264E-3</v>
      </c>
      <c r="AB1275">
        <v>29.4</v>
      </c>
      <c r="AC1275">
        <v>11.939666666666666</v>
      </c>
      <c r="AD1275">
        <v>27</v>
      </c>
      <c r="AE1275" s="7"/>
      <c r="AF1275" s="7"/>
      <c r="AG1275" s="7"/>
      <c r="AH1275" s="7"/>
      <c r="AI1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6.0333333333334238E-2</v>
      </c>
      <c r="AJ1275" s="7"/>
      <c r="AK1275" t="s">
        <v>94</v>
      </c>
      <c r="AN1275">
        <f>IFERROR(INT(Table13[[#This Row],[reject_prod]]/Table13[[#This Row],[part_weight]] * 1000), 0)</f>
        <v>53</v>
      </c>
    </row>
    <row r="1276" spans="1:40" hidden="1">
      <c r="A1276" s="1">
        <v>46060</v>
      </c>
      <c r="B1276">
        <v>2</v>
      </c>
      <c r="C1276">
        <v>12</v>
      </c>
      <c r="F1276">
        <v>123456</v>
      </c>
      <c r="G1276" s="6">
        <v>0</v>
      </c>
      <c r="M1276">
        <v>0</v>
      </c>
      <c r="N1276" s="2">
        <v>0</v>
      </c>
      <c r="O1276" s="2">
        <v>0</v>
      </c>
      <c r="P1276" s="2">
        <v>0</v>
      </c>
      <c r="Q1276" s="2"/>
      <c r="R1276" s="2">
        <v>0</v>
      </c>
      <c r="T1276" s="2">
        <v>0</v>
      </c>
      <c r="U1276" s="2"/>
      <c r="X1276">
        <v>0</v>
      </c>
      <c r="Z1276">
        <v>0</v>
      </c>
      <c r="AB1276">
        <v>0</v>
      </c>
      <c r="AC1276">
        <v>0</v>
      </c>
      <c r="AD1276">
        <v>0</v>
      </c>
      <c r="AE1276" s="7"/>
      <c r="AF1276" s="7"/>
      <c r="AG1276" s="7"/>
      <c r="AH1276" s="7"/>
      <c r="AI1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76" s="7">
        <v>12</v>
      </c>
      <c r="AK1276" t="s">
        <v>116</v>
      </c>
      <c r="AN1276">
        <f>IFERROR(INT(Table13[[#This Row],[reject_prod]]/Table13[[#This Row],[part_weight]] * 1000), 0)</f>
        <v>0</v>
      </c>
    </row>
    <row r="1277" spans="1:40" hidden="1">
      <c r="A1277" s="1">
        <v>46060</v>
      </c>
      <c r="B1277">
        <v>2</v>
      </c>
      <c r="C1277">
        <v>13</v>
      </c>
      <c r="D1277" t="s">
        <v>59</v>
      </c>
      <c r="E1277" t="s">
        <v>46</v>
      </c>
      <c r="F1277">
        <v>586276</v>
      </c>
      <c r="G1277" s="6">
        <v>2</v>
      </c>
      <c r="H1277" t="s">
        <v>47</v>
      </c>
      <c r="I1277">
        <v>10686191</v>
      </c>
      <c r="J1277">
        <v>6</v>
      </c>
      <c r="K1277">
        <v>12.3</v>
      </c>
      <c r="L1277">
        <v>12.3</v>
      </c>
      <c r="M1277">
        <v>1624</v>
      </c>
      <c r="N1277" s="2">
        <v>162000</v>
      </c>
      <c r="O1277" s="2">
        <v>4050</v>
      </c>
      <c r="P1277" s="2">
        <v>0</v>
      </c>
      <c r="Q1277" s="2">
        <v>9744</v>
      </c>
      <c r="R1277" s="2">
        <v>16200</v>
      </c>
      <c r="S1277">
        <v>199.26</v>
      </c>
      <c r="T1277" s="2">
        <v>137700</v>
      </c>
      <c r="U1277" s="2">
        <v>24300</v>
      </c>
      <c r="V1277">
        <v>119.85120000000001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26.2</v>
      </c>
      <c r="AC1277">
        <v>11.819111111111111</v>
      </c>
      <c r="AD1277">
        <v>26</v>
      </c>
      <c r="AE1277" s="7"/>
      <c r="AF1277" s="7"/>
      <c r="AG1277" s="7"/>
      <c r="AH1277" s="7"/>
      <c r="AI1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0.1808888888888891</v>
      </c>
      <c r="AJ1277" s="7"/>
      <c r="AK1277" t="s">
        <v>90</v>
      </c>
      <c r="AN1277">
        <f>IFERROR(INT(Table13[[#This Row],[reject_prod]]/Table13[[#This Row],[part_weight]] * 1000), 0)</f>
        <v>0</v>
      </c>
    </row>
    <row r="1278" spans="1:40" hidden="1">
      <c r="A1278" s="1">
        <v>46060</v>
      </c>
      <c r="B1278">
        <v>2</v>
      </c>
      <c r="C1278">
        <v>15</v>
      </c>
      <c r="D1278" t="s">
        <v>59</v>
      </c>
      <c r="E1278" t="s">
        <v>46</v>
      </c>
      <c r="F1278">
        <v>552181</v>
      </c>
      <c r="G1278" s="6">
        <v>2</v>
      </c>
      <c r="H1278" t="s">
        <v>49</v>
      </c>
      <c r="I1278">
        <v>10685542</v>
      </c>
      <c r="J1278">
        <v>6</v>
      </c>
      <c r="K1278">
        <v>18.8</v>
      </c>
      <c r="L1278">
        <v>18.8</v>
      </c>
      <c r="M1278">
        <v>1361</v>
      </c>
      <c r="N1278" s="2">
        <v>108000</v>
      </c>
      <c r="O1278" s="2">
        <v>1620</v>
      </c>
      <c r="P1278" s="2">
        <v>1620</v>
      </c>
      <c r="Q1278" s="2">
        <v>8166</v>
      </c>
      <c r="R1278" s="2">
        <v>10800</v>
      </c>
      <c r="S1278">
        <v>203.04</v>
      </c>
      <c r="T1278" s="2">
        <v>43200</v>
      </c>
      <c r="U1278" s="2">
        <v>64800</v>
      </c>
      <c r="V1278">
        <v>153.52080000000001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31.2</v>
      </c>
      <c r="AC1278">
        <v>11.795333333333334</v>
      </c>
      <c r="AD1278">
        <v>27</v>
      </c>
      <c r="AE1278" s="7"/>
      <c r="AF1278" s="7"/>
      <c r="AG1278" s="7"/>
      <c r="AH1278" s="7"/>
      <c r="AI1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1278" s="7"/>
      <c r="AK1278" t="s">
        <v>90</v>
      </c>
      <c r="AN1278">
        <f>IFERROR(INT(Table13[[#This Row],[reject_prod]]/Table13[[#This Row],[part_weight]] * 1000), 0)</f>
        <v>0</v>
      </c>
    </row>
    <row r="1279" spans="1:40" s="4" customFormat="1" hidden="1">
      <c r="A1279" s="3">
        <v>46060</v>
      </c>
      <c r="B1279" s="4">
        <v>2</v>
      </c>
      <c r="C1279" s="4">
        <v>16</v>
      </c>
      <c r="D1279" s="4" t="s">
        <v>747</v>
      </c>
      <c r="E1279" s="4" t="s">
        <v>46</v>
      </c>
      <c r="F1279" s="4">
        <v>555979</v>
      </c>
      <c r="G1279" s="9">
        <v>2</v>
      </c>
      <c r="H1279" s="4" t="s">
        <v>52</v>
      </c>
      <c r="I1279" s="4">
        <v>10685814</v>
      </c>
      <c r="J1279" s="4">
        <v>6</v>
      </c>
      <c r="K1279" s="4">
        <v>28</v>
      </c>
      <c r="L1279" s="4">
        <v>28</v>
      </c>
      <c r="M1279" s="4">
        <v>982</v>
      </c>
      <c r="N1279" s="5">
        <v>100800</v>
      </c>
      <c r="O1279" s="5">
        <v>1344</v>
      </c>
      <c r="P1279" s="5">
        <v>336</v>
      </c>
      <c r="Q1279" s="5">
        <v>5892</v>
      </c>
      <c r="R1279" s="5">
        <v>6720</v>
      </c>
      <c r="S1279" s="4">
        <v>188.16</v>
      </c>
      <c r="T1279" s="5">
        <v>33936</v>
      </c>
      <c r="U1279" s="5">
        <v>66864</v>
      </c>
      <c r="V1279" s="4">
        <v>164.976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43.5</v>
      </c>
      <c r="AC1279" s="4">
        <v>11.865833333333333</v>
      </c>
      <c r="AD1279" s="4">
        <v>42</v>
      </c>
      <c r="AE1279" s="8"/>
      <c r="AF1279" s="8"/>
      <c r="AG1279" s="8"/>
      <c r="AH1279" s="8"/>
      <c r="AI127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0.13416666666666721</v>
      </c>
      <c r="AJ1279" s="8"/>
      <c r="AK1279" s="4" t="s">
        <v>90</v>
      </c>
      <c r="AN1279">
        <f>IFERROR(INT(Table13[[#This Row],[reject_prod]]/Table13[[#This Row],[part_weight]] * 1000), 0)</f>
        <v>0</v>
      </c>
    </row>
    <row r="1280" spans="1:40" hidden="1">
      <c r="A1280" s="1">
        <v>46061</v>
      </c>
      <c r="B1280">
        <v>1</v>
      </c>
      <c r="C1280">
        <v>1</v>
      </c>
      <c r="D1280" t="s">
        <v>748</v>
      </c>
      <c r="E1280" t="s">
        <v>34</v>
      </c>
      <c r="F1280">
        <v>529004</v>
      </c>
      <c r="G1280" s="6">
        <v>0</v>
      </c>
      <c r="H1280" t="s">
        <v>723</v>
      </c>
      <c r="I1280">
        <v>10685632</v>
      </c>
      <c r="J1280">
        <v>4</v>
      </c>
      <c r="K1280">
        <v>31</v>
      </c>
      <c r="L1280">
        <v>31</v>
      </c>
      <c r="M1280">
        <v>1228</v>
      </c>
      <c r="N1280" s="2">
        <v>20400</v>
      </c>
      <c r="O1280" s="2">
        <v>0</v>
      </c>
      <c r="P1280" s="2">
        <v>0</v>
      </c>
      <c r="Q1280" s="2">
        <v>4912</v>
      </c>
      <c r="R1280" s="2">
        <v>4800</v>
      </c>
      <c r="S1280">
        <v>148.80000000000001</v>
      </c>
      <c r="T1280" s="2">
        <v>13200</v>
      </c>
      <c r="U1280" s="2">
        <v>7200</v>
      </c>
      <c r="V1280">
        <v>152.27199999999999</v>
      </c>
      <c r="W1280">
        <v>0</v>
      </c>
      <c r="X1280">
        <v>0</v>
      </c>
      <c r="Y1280">
        <v>0</v>
      </c>
      <c r="Z1280">
        <v>3.4</v>
      </c>
      <c r="AA1280">
        <v>2.2328464852369445E-2</v>
      </c>
      <c r="AB1280">
        <v>33.700000000000003</v>
      </c>
      <c r="AC1280">
        <v>11.495444444444445</v>
      </c>
      <c r="AD1280">
        <v>29</v>
      </c>
      <c r="AE1280" s="7"/>
      <c r="AF1280" s="7"/>
      <c r="AG1280" s="7"/>
      <c r="AH1280" s="7"/>
      <c r="AI1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0.5045555555555552</v>
      </c>
      <c r="AJ1280" s="7"/>
      <c r="AK1280" t="s">
        <v>732</v>
      </c>
      <c r="AN1280">
        <f>IFERROR(INT(Table13[[#This Row],[reject_prod]]/Table13[[#This Row],[part_weight]] * 1000), 0)</f>
        <v>109</v>
      </c>
    </row>
    <row r="1281" spans="1:40" hidden="1">
      <c r="A1281" s="1">
        <v>46061</v>
      </c>
      <c r="B1281">
        <v>1</v>
      </c>
      <c r="C1281">
        <v>2</v>
      </c>
      <c r="D1281" t="s">
        <v>141</v>
      </c>
      <c r="E1281" t="s">
        <v>34</v>
      </c>
      <c r="F1281">
        <v>324163</v>
      </c>
      <c r="G1281" s="6">
        <v>0</v>
      </c>
      <c r="H1281" t="s">
        <v>672</v>
      </c>
      <c r="I1281">
        <v>10684851</v>
      </c>
      <c r="J1281">
        <v>4</v>
      </c>
      <c r="K1281">
        <v>24</v>
      </c>
      <c r="L1281">
        <v>23.5</v>
      </c>
      <c r="M1281">
        <v>486</v>
      </c>
      <c r="N1281" s="2">
        <v>73152</v>
      </c>
      <c r="O1281" s="2">
        <v>2286</v>
      </c>
      <c r="P1281" s="2">
        <v>4191</v>
      </c>
      <c r="Q1281" s="2">
        <v>1944</v>
      </c>
      <c r="R1281" s="2">
        <v>0</v>
      </c>
      <c r="S1281">
        <v>0</v>
      </c>
      <c r="T1281" s="2">
        <v>54483</v>
      </c>
      <c r="U1281" s="2">
        <v>18669</v>
      </c>
      <c r="V1281">
        <v>45.683999999999997</v>
      </c>
      <c r="W1281">
        <v>0</v>
      </c>
      <c r="X1281">
        <v>0</v>
      </c>
      <c r="Y1281">
        <v>0</v>
      </c>
      <c r="Z1281">
        <v>4.5</v>
      </c>
      <c r="AA1281">
        <v>9.8502758077226166E-2</v>
      </c>
      <c r="AB1281">
        <v>22.2</v>
      </c>
      <c r="AC1281">
        <v>2.9969999999999999</v>
      </c>
      <c r="AD1281">
        <v>22.5</v>
      </c>
      <c r="AE1281" s="7"/>
      <c r="AF1281" s="7"/>
      <c r="AG1281" s="7"/>
      <c r="AH1281" s="7"/>
      <c r="AI1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9.0030000000000001</v>
      </c>
      <c r="AJ1281" s="7"/>
      <c r="AK1281" t="s">
        <v>749</v>
      </c>
      <c r="AN1281">
        <f>IFERROR(INT(Table13[[#This Row],[reject_prod]]/Table13[[#This Row],[part_weight]] * 1000), 0)</f>
        <v>191</v>
      </c>
    </row>
    <row r="1282" spans="1:40" hidden="1">
      <c r="A1282" s="1">
        <v>46061</v>
      </c>
      <c r="B1282">
        <v>1</v>
      </c>
      <c r="C1282">
        <v>3</v>
      </c>
      <c r="D1282" t="s">
        <v>110</v>
      </c>
      <c r="E1282" t="s">
        <v>34</v>
      </c>
      <c r="F1282">
        <v>442034</v>
      </c>
      <c r="G1282" s="6">
        <v>0</v>
      </c>
      <c r="H1282" t="s">
        <v>37</v>
      </c>
      <c r="I1282">
        <v>10685633</v>
      </c>
      <c r="J1282">
        <v>4</v>
      </c>
      <c r="K1282">
        <v>23</v>
      </c>
      <c r="L1282">
        <v>23</v>
      </c>
      <c r="M1282">
        <v>1532</v>
      </c>
      <c r="N1282" s="2">
        <v>139776</v>
      </c>
      <c r="O1282" s="2">
        <v>768</v>
      </c>
      <c r="P1282" s="2">
        <v>2286</v>
      </c>
      <c r="Q1282" s="2">
        <v>6128</v>
      </c>
      <c r="R1282" s="2">
        <v>4608</v>
      </c>
      <c r="S1282">
        <v>105.98399999999999</v>
      </c>
      <c r="T1282" s="2">
        <v>62190</v>
      </c>
      <c r="U1282" s="2">
        <v>77586</v>
      </c>
      <c r="V1282">
        <v>140.94399999999999</v>
      </c>
      <c r="W1282">
        <v>0</v>
      </c>
      <c r="X1282">
        <v>0</v>
      </c>
      <c r="Y1282">
        <v>0</v>
      </c>
      <c r="Z1282">
        <v>3.6</v>
      </c>
      <c r="AA1282">
        <v>2.5542059257577479E-2</v>
      </c>
      <c r="AB1282">
        <v>28.5</v>
      </c>
      <c r="AC1282">
        <v>12</v>
      </c>
      <c r="AD1282">
        <v>22</v>
      </c>
      <c r="AE1282" s="7"/>
      <c r="AF1282" s="7"/>
      <c r="AG1282" s="7"/>
      <c r="AH1282" s="7"/>
      <c r="AI1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2" s="7"/>
      <c r="AK1282" t="s">
        <v>168</v>
      </c>
      <c r="AN1282">
        <f>IFERROR(INT(Table13[[#This Row],[reject_prod]]/Table13[[#This Row],[part_weight]] * 1000), 0)</f>
        <v>156</v>
      </c>
    </row>
    <row r="1283" spans="1:40" hidden="1">
      <c r="A1283" s="1">
        <v>46061</v>
      </c>
      <c r="B1283">
        <v>1</v>
      </c>
      <c r="C1283">
        <v>4</v>
      </c>
      <c r="D1283" t="s">
        <v>152</v>
      </c>
      <c r="E1283" t="s">
        <v>34</v>
      </c>
      <c r="F1283">
        <v>322477</v>
      </c>
      <c r="G1283" s="6">
        <v>0</v>
      </c>
      <c r="H1283" t="s">
        <v>694</v>
      </c>
      <c r="I1283">
        <v>10686801</v>
      </c>
      <c r="J1283">
        <v>4</v>
      </c>
      <c r="K1283">
        <v>44</v>
      </c>
      <c r="L1283">
        <v>44</v>
      </c>
      <c r="M1283">
        <v>1612</v>
      </c>
      <c r="N1283" s="2">
        <v>38850</v>
      </c>
      <c r="O1283" s="2">
        <v>420</v>
      </c>
      <c r="P1283" s="2">
        <v>525</v>
      </c>
      <c r="Q1283" s="2">
        <v>6448</v>
      </c>
      <c r="R1283" s="2">
        <v>6300</v>
      </c>
      <c r="S1283">
        <v>277.2</v>
      </c>
      <c r="T1283" s="2">
        <v>9345</v>
      </c>
      <c r="U1283" s="2">
        <v>29505</v>
      </c>
      <c r="V1283">
        <v>283.71199999999999</v>
      </c>
      <c r="W1283">
        <v>0</v>
      </c>
      <c r="X1283">
        <v>0</v>
      </c>
      <c r="Y1283">
        <v>0</v>
      </c>
      <c r="Z1283">
        <v>3.8</v>
      </c>
      <c r="AA1283">
        <v>1.3393864200315813E-2</v>
      </c>
      <c r="AB1283">
        <v>26.1</v>
      </c>
      <c r="AC1283">
        <v>11.687000000000001</v>
      </c>
      <c r="AD1283">
        <v>26</v>
      </c>
      <c r="AE1283" s="7"/>
      <c r="AF1283" s="7"/>
      <c r="AG1283" s="7"/>
      <c r="AH1283" s="7"/>
      <c r="AI1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0.31299999999999883</v>
      </c>
      <c r="AJ1283" s="7"/>
      <c r="AK1283" t="s">
        <v>118</v>
      </c>
      <c r="AL1283">
        <v>2</v>
      </c>
      <c r="AM1283">
        <v>5</v>
      </c>
      <c r="AN1283">
        <f>IFERROR(INT(Table13[[#This Row],[reject_prod]]/Table13[[#This Row],[part_weight]] * 1000), 0)</f>
        <v>86</v>
      </c>
    </row>
    <row r="1284" spans="1:40" hidden="1">
      <c r="A1284" s="1">
        <v>46061</v>
      </c>
      <c r="B1284">
        <v>1</v>
      </c>
      <c r="C1284">
        <v>5</v>
      </c>
      <c r="D1284" t="s">
        <v>750</v>
      </c>
      <c r="E1284" t="s">
        <v>34</v>
      </c>
      <c r="F1284">
        <v>322448</v>
      </c>
      <c r="G1284" s="6">
        <v>0</v>
      </c>
      <c r="H1284" t="s">
        <v>654</v>
      </c>
      <c r="I1284">
        <v>10686572</v>
      </c>
      <c r="J1284">
        <v>4</v>
      </c>
      <c r="K1284">
        <v>40</v>
      </c>
      <c r="L1284">
        <v>40</v>
      </c>
      <c r="M1284">
        <v>1682</v>
      </c>
      <c r="N1284" s="2">
        <v>58320</v>
      </c>
      <c r="O1284" s="2">
        <v>0</v>
      </c>
      <c r="P1284" s="2">
        <v>162</v>
      </c>
      <c r="Q1284" s="2">
        <v>6728</v>
      </c>
      <c r="R1284" s="2">
        <v>6480</v>
      </c>
      <c r="S1284">
        <v>259.2</v>
      </c>
      <c r="T1284" s="2">
        <v>47952</v>
      </c>
      <c r="U1284" s="2">
        <v>10368</v>
      </c>
      <c r="V1284">
        <v>269.12</v>
      </c>
      <c r="W1284">
        <v>0</v>
      </c>
      <c r="X1284">
        <v>0</v>
      </c>
      <c r="Y1284">
        <v>0</v>
      </c>
      <c r="Z1284">
        <v>5.5</v>
      </c>
      <c r="AA1284">
        <v>2.0436979785969082E-2</v>
      </c>
      <c r="AB1284">
        <v>25.5</v>
      </c>
      <c r="AC1284">
        <v>11.914166666666667</v>
      </c>
      <c r="AD1284">
        <v>23</v>
      </c>
      <c r="AE1284" s="7"/>
      <c r="AF1284" s="7"/>
      <c r="AG1284" s="7"/>
      <c r="AH1284" s="7"/>
      <c r="AI1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284" s="7"/>
      <c r="AK1284" t="s">
        <v>751</v>
      </c>
      <c r="AN1284">
        <f>IFERROR(INT(Table13[[#This Row],[reject_prod]]/Table13[[#This Row],[part_weight]] * 1000), 0)</f>
        <v>137</v>
      </c>
    </row>
    <row r="1285" spans="1:40" hidden="1">
      <c r="A1285" s="1">
        <v>46061</v>
      </c>
      <c r="B1285">
        <v>1</v>
      </c>
      <c r="C1285">
        <v>6</v>
      </c>
      <c r="D1285" t="s">
        <v>752</v>
      </c>
      <c r="E1285" t="s">
        <v>34</v>
      </c>
      <c r="F1285">
        <v>322445</v>
      </c>
      <c r="G1285" s="6">
        <v>0</v>
      </c>
      <c r="H1285" t="s">
        <v>743</v>
      </c>
      <c r="I1285">
        <v>10685637</v>
      </c>
      <c r="J1285">
        <v>4</v>
      </c>
      <c r="K1285">
        <v>32.74</v>
      </c>
      <c r="L1285">
        <v>33</v>
      </c>
      <c r="M1285">
        <v>585</v>
      </c>
      <c r="N1285" s="2">
        <v>72000</v>
      </c>
      <c r="O1285" s="2">
        <v>540</v>
      </c>
      <c r="P1285" s="2">
        <v>540</v>
      </c>
      <c r="Q1285" s="2">
        <v>2340</v>
      </c>
      <c r="R1285" s="2">
        <v>1800</v>
      </c>
      <c r="S1285">
        <v>59.4</v>
      </c>
      <c r="T1285" s="2">
        <v>5940</v>
      </c>
      <c r="U1285" s="2">
        <v>66060</v>
      </c>
      <c r="V1285">
        <v>77.22</v>
      </c>
      <c r="W1285">
        <v>-0.60839999999999528</v>
      </c>
      <c r="X1285">
        <v>0</v>
      </c>
      <c r="Y1285">
        <v>0</v>
      </c>
      <c r="Z1285">
        <v>1</v>
      </c>
      <c r="AA1285">
        <v>1.2950012950012951E-2</v>
      </c>
      <c r="AB1285">
        <v>22</v>
      </c>
      <c r="AC1285">
        <v>3.5750000000000002</v>
      </c>
      <c r="AD1285">
        <v>22</v>
      </c>
      <c r="AE1285" s="7"/>
      <c r="AF1285" s="7"/>
      <c r="AG1285" s="7"/>
      <c r="AH1285" s="7">
        <v>8.4</v>
      </c>
      <c r="AI1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2.5000000000000355E-2</v>
      </c>
      <c r="AJ1285" s="7"/>
      <c r="AK1285" t="s">
        <v>753</v>
      </c>
      <c r="AN1285">
        <f>IFERROR(INT(Table13[[#This Row],[reject_prod]]/Table13[[#This Row],[part_weight]] * 1000), 0)</f>
        <v>30</v>
      </c>
    </row>
    <row r="1286" spans="1:40" hidden="1">
      <c r="A1286" s="1">
        <v>46061</v>
      </c>
      <c r="B1286">
        <v>1</v>
      </c>
      <c r="C1286">
        <v>7</v>
      </c>
      <c r="D1286" t="s">
        <v>754</v>
      </c>
      <c r="E1286" t="s">
        <v>34</v>
      </c>
      <c r="F1286">
        <v>647556</v>
      </c>
      <c r="G1286" s="6">
        <v>0</v>
      </c>
      <c r="H1286" t="s">
        <v>458</v>
      </c>
      <c r="I1286">
        <v>10685214</v>
      </c>
      <c r="J1286">
        <v>4</v>
      </c>
      <c r="K1286">
        <v>35</v>
      </c>
      <c r="L1286">
        <v>34.5</v>
      </c>
      <c r="M1286">
        <v>1862</v>
      </c>
      <c r="N1286" s="2">
        <v>27720</v>
      </c>
      <c r="O1286" s="2">
        <v>2244</v>
      </c>
      <c r="P1286" s="2">
        <v>264</v>
      </c>
      <c r="Q1286" s="2">
        <v>7448</v>
      </c>
      <c r="R1286" s="2">
        <v>9240</v>
      </c>
      <c r="S1286">
        <v>318.77999999999997</v>
      </c>
      <c r="T1286" s="2">
        <v>9504</v>
      </c>
      <c r="U1286" s="2">
        <v>18216</v>
      </c>
      <c r="V1286">
        <v>256.95600000000002</v>
      </c>
      <c r="W1286">
        <v>3.7240000000000002</v>
      </c>
      <c r="X1286">
        <v>0</v>
      </c>
      <c r="Y1286">
        <v>0</v>
      </c>
      <c r="Z1286">
        <v>6.5</v>
      </c>
      <c r="AA1286">
        <v>2.5296159653792866E-2</v>
      </c>
      <c r="AB1286">
        <v>23.31</v>
      </c>
      <c r="AC1286">
        <v>12</v>
      </c>
      <c r="AD1286">
        <v>20.399999999999999</v>
      </c>
      <c r="AE1286" s="7"/>
      <c r="AF1286" s="7"/>
      <c r="AG1286" s="7"/>
      <c r="AH1286" s="7"/>
      <c r="AI1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6" s="7"/>
      <c r="AK1286" t="s">
        <v>133</v>
      </c>
      <c r="AN1286">
        <f>IFERROR(INT(Table13[[#This Row],[reject_prod]]/Table13[[#This Row],[part_weight]] * 1000), 0)</f>
        <v>188</v>
      </c>
    </row>
    <row r="1287" spans="1:40" hidden="1">
      <c r="A1287" s="1">
        <v>46061</v>
      </c>
      <c r="B1287">
        <v>1</v>
      </c>
      <c r="C1287">
        <v>8</v>
      </c>
      <c r="D1287" t="s">
        <v>755</v>
      </c>
      <c r="E1287" t="s">
        <v>41</v>
      </c>
      <c r="F1287">
        <v>593537</v>
      </c>
      <c r="G1287" s="6">
        <v>0</v>
      </c>
      <c r="H1287" t="s">
        <v>48</v>
      </c>
      <c r="I1287">
        <v>10685813</v>
      </c>
      <c r="J1287">
        <v>4</v>
      </c>
      <c r="K1287">
        <v>56.5</v>
      </c>
      <c r="L1287">
        <v>56.8</v>
      </c>
      <c r="M1287">
        <v>1088</v>
      </c>
      <c r="N1287" s="2">
        <v>69000</v>
      </c>
      <c r="O1287" s="2">
        <v>345</v>
      </c>
      <c r="P1287" s="2">
        <v>115</v>
      </c>
      <c r="Q1287" s="2">
        <v>4352</v>
      </c>
      <c r="R1287" s="2">
        <v>4600</v>
      </c>
      <c r="S1287">
        <v>261.27999999999997</v>
      </c>
      <c r="T1287" s="2">
        <v>52440</v>
      </c>
      <c r="U1287" s="2">
        <v>16560</v>
      </c>
      <c r="V1287">
        <v>247.19359999999998</v>
      </c>
      <c r="W1287">
        <v>0</v>
      </c>
      <c r="X1287">
        <v>0</v>
      </c>
      <c r="Y1287">
        <v>0</v>
      </c>
      <c r="Z1287">
        <v>3.5</v>
      </c>
      <c r="AA1287">
        <v>1.4158942626346314E-2</v>
      </c>
      <c r="AB1287">
        <v>30.5</v>
      </c>
      <c r="AC1287">
        <v>9.2177777777777781</v>
      </c>
      <c r="AD1287">
        <v>28.5</v>
      </c>
      <c r="AE1287" s="7"/>
      <c r="AF1287" s="7"/>
      <c r="AG1287" s="7"/>
      <c r="AH1287" s="7"/>
      <c r="AI1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2.7822222222222219</v>
      </c>
      <c r="AJ1287" s="7"/>
      <c r="AK1287" t="s">
        <v>51</v>
      </c>
      <c r="AN1287">
        <f>IFERROR(INT(Table13[[#This Row],[reject_prod]]/Table13[[#This Row],[part_weight]] * 1000), 0)</f>
        <v>61</v>
      </c>
    </row>
    <row r="1288" spans="1:40" hidden="1">
      <c r="A1288" s="1">
        <v>46061</v>
      </c>
      <c r="B1288">
        <v>1</v>
      </c>
      <c r="C1288">
        <v>9</v>
      </c>
      <c r="D1288" t="s">
        <v>33</v>
      </c>
      <c r="E1288" t="s">
        <v>46</v>
      </c>
      <c r="F1288">
        <v>586276</v>
      </c>
      <c r="G1288" s="6">
        <v>1</v>
      </c>
      <c r="H1288" t="s">
        <v>47</v>
      </c>
      <c r="I1288">
        <v>10683781</v>
      </c>
      <c r="J1288">
        <v>6</v>
      </c>
      <c r="K1288">
        <v>12.3</v>
      </c>
      <c r="L1288">
        <v>12.3</v>
      </c>
      <c r="M1288">
        <v>0</v>
      </c>
      <c r="N1288" s="2">
        <v>162000</v>
      </c>
      <c r="O1288" s="2">
        <v>0</v>
      </c>
      <c r="P1288" s="2">
        <v>0</v>
      </c>
      <c r="Q1288" s="2">
        <v>0</v>
      </c>
      <c r="R1288" s="2">
        <v>0</v>
      </c>
      <c r="S1288">
        <v>0</v>
      </c>
      <c r="T1288" s="2">
        <v>50625</v>
      </c>
      <c r="U1288" s="2">
        <v>111375</v>
      </c>
      <c r="V1288">
        <v>0</v>
      </c>
      <c r="W1288">
        <v>0</v>
      </c>
      <c r="X1288">
        <v>8.5</v>
      </c>
      <c r="Y1288" t="e">
        <v>#DIV/0!</v>
      </c>
      <c r="Z1288">
        <v>0</v>
      </c>
      <c r="AA1288" t="e">
        <v>#DIV/0!</v>
      </c>
      <c r="AB1288">
        <v>26.6</v>
      </c>
      <c r="AC1288">
        <v>0</v>
      </c>
      <c r="AD1288">
        <v>26</v>
      </c>
      <c r="AE1288" s="7"/>
      <c r="AF1288" s="7"/>
      <c r="AG1288" s="7"/>
      <c r="AH1288" s="7"/>
      <c r="AI1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88" s="7"/>
      <c r="AK1288" t="s">
        <v>756</v>
      </c>
      <c r="AN1288">
        <f>IFERROR(INT(Table13[[#This Row],[reject_prod]]/Table13[[#This Row],[part_weight]] * 1000), 0)</f>
        <v>0</v>
      </c>
    </row>
    <row r="1289" spans="1:40" hidden="1">
      <c r="A1289" s="1">
        <v>46061</v>
      </c>
      <c r="B1289">
        <v>1</v>
      </c>
      <c r="C1289">
        <v>10</v>
      </c>
      <c r="D1289" t="s">
        <v>143</v>
      </c>
      <c r="E1289" t="s">
        <v>34</v>
      </c>
      <c r="F1289">
        <v>324638</v>
      </c>
      <c r="G1289" s="6">
        <v>0</v>
      </c>
      <c r="H1289" t="s">
        <v>687</v>
      </c>
      <c r="I1289">
        <v>10686808</v>
      </c>
      <c r="J1289">
        <v>4</v>
      </c>
      <c r="K1289">
        <v>77.5</v>
      </c>
      <c r="L1289">
        <v>77.5</v>
      </c>
      <c r="M1289">
        <v>1140</v>
      </c>
      <c r="N1289" s="2">
        <v>19872</v>
      </c>
      <c r="O1289" s="2">
        <v>1104</v>
      </c>
      <c r="P1289" s="2">
        <v>0</v>
      </c>
      <c r="Q1289" s="2">
        <v>4560</v>
      </c>
      <c r="R1289" s="2">
        <v>5520</v>
      </c>
      <c r="S1289">
        <v>427.8</v>
      </c>
      <c r="T1289" s="2">
        <v>5520</v>
      </c>
      <c r="U1289" s="2">
        <v>14352</v>
      </c>
      <c r="V1289">
        <v>353.4</v>
      </c>
      <c r="W1289">
        <v>0</v>
      </c>
      <c r="X1289">
        <v>0</v>
      </c>
      <c r="Y1289">
        <v>0</v>
      </c>
      <c r="Z1289">
        <v>11.5</v>
      </c>
      <c r="AA1289">
        <v>3.2541029994340692E-2</v>
      </c>
      <c r="AB1289">
        <v>38.6</v>
      </c>
      <c r="AC1289">
        <v>12</v>
      </c>
      <c r="AD1289">
        <v>36</v>
      </c>
      <c r="AE1289" s="7"/>
      <c r="AF1289" s="7"/>
      <c r="AG1289" s="7"/>
      <c r="AH1289" s="7"/>
      <c r="AI1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9" s="7"/>
      <c r="AK1289" t="s">
        <v>168</v>
      </c>
      <c r="AN1289">
        <f>IFERROR(INT(Table13[[#This Row],[reject_prod]]/Table13[[#This Row],[part_weight]] * 1000), 0)</f>
        <v>148</v>
      </c>
    </row>
    <row r="1290" spans="1:40" hidden="1">
      <c r="A1290" s="1">
        <v>46061</v>
      </c>
      <c r="B1290">
        <v>1</v>
      </c>
      <c r="C1290">
        <v>11</v>
      </c>
      <c r="D1290" t="s">
        <v>61</v>
      </c>
      <c r="E1290" t="s">
        <v>46</v>
      </c>
      <c r="F1290">
        <v>552181</v>
      </c>
      <c r="G1290" s="6">
        <v>1</v>
      </c>
      <c r="H1290" t="s">
        <v>49</v>
      </c>
      <c r="I1290">
        <v>10685339</v>
      </c>
      <c r="J1290">
        <v>6</v>
      </c>
      <c r="K1290">
        <v>18.8</v>
      </c>
      <c r="L1290">
        <v>18.8</v>
      </c>
      <c r="M1290">
        <v>1441</v>
      </c>
      <c r="N1290" s="2">
        <v>108000</v>
      </c>
      <c r="O1290" s="2">
        <v>4050</v>
      </c>
      <c r="P1290" s="2">
        <v>2430</v>
      </c>
      <c r="Q1290" s="2">
        <v>8646</v>
      </c>
      <c r="R1290" s="2">
        <v>5400</v>
      </c>
      <c r="S1290">
        <v>101.52</v>
      </c>
      <c r="T1290" s="2">
        <v>67230</v>
      </c>
      <c r="U1290" s="2">
        <v>40770</v>
      </c>
      <c r="V1290">
        <v>162.54480000000001</v>
      </c>
      <c r="W1290">
        <v>0</v>
      </c>
      <c r="X1290">
        <v>0</v>
      </c>
      <c r="Y1290">
        <v>0</v>
      </c>
      <c r="Z1290">
        <v>4.5</v>
      </c>
      <c r="AA1290">
        <v>2.7684675240302978E-2</v>
      </c>
      <c r="AB1290">
        <v>29.4</v>
      </c>
      <c r="AC1290">
        <v>11.768166666666666</v>
      </c>
      <c r="AD1290">
        <v>27</v>
      </c>
      <c r="AE1290" s="7"/>
      <c r="AF1290" s="7"/>
      <c r="AG1290" s="7"/>
      <c r="AH1290" s="7"/>
      <c r="AI1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0.23183333333333422</v>
      </c>
      <c r="AJ1290" s="7"/>
      <c r="AK1290" t="s">
        <v>51</v>
      </c>
      <c r="AN1290">
        <f>IFERROR(INT(Table13[[#This Row],[reject_prod]]/Table13[[#This Row],[part_weight]] * 1000), 0)</f>
        <v>239</v>
      </c>
    </row>
    <row r="1291" spans="1:40" hidden="1">
      <c r="A1291" s="1">
        <v>46061</v>
      </c>
      <c r="B1291">
        <v>1</v>
      </c>
      <c r="C1291">
        <v>12</v>
      </c>
      <c r="F1291">
        <v>123456</v>
      </c>
      <c r="G1291" s="6">
        <v>0</v>
      </c>
      <c r="M1291">
        <v>0</v>
      </c>
      <c r="N1291" s="2">
        <v>0</v>
      </c>
      <c r="O1291" s="2">
        <v>0</v>
      </c>
      <c r="P1291" s="2">
        <v>0</v>
      </c>
      <c r="Q1291" s="2"/>
      <c r="R1291" s="2">
        <v>0</v>
      </c>
      <c r="T1291" s="2">
        <v>0</v>
      </c>
      <c r="U1291" s="2"/>
      <c r="X1291">
        <v>0</v>
      </c>
      <c r="Z1291">
        <v>0</v>
      </c>
      <c r="AB1291">
        <v>0</v>
      </c>
      <c r="AC1291">
        <v>0</v>
      </c>
      <c r="AD1291">
        <v>0</v>
      </c>
      <c r="AE1291" s="7"/>
      <c r="AF1291" s="7"/>
      <c r="AG1291" s="7"/>
      <c r="AH1291" s="7"/>
      <c r="AI1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91" s="7">
        <v>12</v>
      </c>
      <c r="AK1291" t="s">
        <v>116</v>
      </c>
      <c r="AN1291">
        <f>IFERROR(INT(Table13[[#This Row],[reject_prod]]/Table13[[#This Row],[part_weight]] * 1000), 0)</f>
        <v>0</v>
      </c>
    </row>
    <row r="1292" spans="1:40" hidden="1">
      <c r="A1292" s="1">
        <v>46061</v>
      </c>
      <c r="B1292">
        <v>1</v>
      </c>
      <c r="C1292">
        <v>13</v>
      </c>
      <c r="D1292" t="s">
        <v>61</v>
      </c>
      <c r="E1292" t="s">
        <v>46</v>
      </c>
      <c r="F1292">
        <v>586276</v>
      </c>
      <c r="G1292" s="6">
        <v>2</v>
      </c>
      <c r="H1292" t="s">
        <v>47</v>
      </c>
      <c r="I1292">
        <v>10686191</v>
      </c>
      <c r="J1292">
        <v>6</v>
      </c>
      <c r="K1292">
        <v>12.3</v>
      </c>
      <c r="L1292">
        <v>12.3</v>
      </c>
      <c r="M1292">
        <v>1622</v>
      </c>
      <c r="N1292" s="2">
        <v>162000</v>
      </c>
      <c r="O1292" s="2">
        <v>0</v>
      </c>
      <c r="P1292" s="2">
        <v>1215</v>
      </c>
      <c r="Q1292" s="2">
        <v>9732</v>
      </c>
      <c r="R1292" s="2">
        <v>8100</v>
      </c>
      <c r="S1292">
        <v>99.63</v>
      </c>
      <c r="T1292" s="2">
        <v>147015</v>
      </c>
      <c r="U1292" s="2">
        <v>14985</v>
      </c>
      <c r="V1292">
        <v>119.70360000000001</v>
      </c>
      <c r="W1292">
        <v>0</v>
      </c>
      <c r="X1292">
        <v>0</v>
      </c>
      <c r="Y1292">
        <v>0</v>
      </c>
      <c r="Z1292">
        <v>1</v>
      </c>
      <c r="AA1292">
        <v>8.3539676333878009E-3</v>
      </c>
      <c r="AB1292">
        <v>26.2</v>
      </c>
      <c r="AC1292">
        <v>11.804555555555556</v>
      </c>
      <c r="AD1292">
        <v>26</v>
      </c>
      <c r="AE1292" s="7"/>
      <c r="AF1292" s="7"/>
      <c r="AG1292" s="7"/>
      <c r="AH1292" s="7"/>
      <c r="AI1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0.19544444444444409</v>
      </c>
      <c r="AJ1292" s="7"/>
      <c r="AK1292" t="s">
        <v>51</v>
      </c>
      <c r="AN1292">
        <f>IFERROR(INT(Table13[[#This Row],[reject_prod]]/Table13[[#This Row],[part_weight]] * 1000), 0)</f>
        <v>81</v>
      </c>
    </row>
    <row r="1293" spans="1:40" hidden="1">
      <c r="A1293" s="1">
        <v>46061</v>
      </c>
      <c r="B1293">
        <v>1</v>
      </c>
      <c r="C1293">
        <v>14</v>
      </c>
      <c r="D1293" t="s">
        <v>33</v>
      </c>
      <c r="E1293" t="s">
        <v>46</v>
      </c>
      <c r="F1293">
        <v>555979</v>
      </c>
      <c r="G1293" s="6">
        <v>1</v>
      </c>
      <c r="H1293" t="s">
        <v>52</v>
      </c>
      <c r="I1293">
        <v>10683785</v>
      </c>
      <c r="J1293">
        <v>6</v>
      </c>
      <c r="K1293">
        <v>28</v>
      </c>
      <c r="L1293">
        <v>28</v>
      </c>
      <c r="M1293">
        <v>0</v>
      </c>
      <c r="N1293" s="2">
        <v>100800</v>
      </c>
      <c r="O1293" s="2">
        <v>0</v>
      </c>
      <c r="P1293" s="2">
        <v>0</v>
      </c>
      <c r="Q1293" s="2">
        <v>0</v>
      </c>
      <c r="R1293" s="2">
        <v>0</v>
      </c>
      <c r="S1293">
        <v>0</v>
      </c>
      <c r="T1293" s="2">
        <v>30240</v>
      </c>
      <c r="U1293" s="2">
        <v>70560</v>
      </c>
      <c r="V1293">
        <v>0</v>
      </c>
      <c r="W1293">
        <v>0</v>
      </c>
      <c r="X1293">
        <v>0</v>
      </c>
      <c r="Y1293" t="e">
        <v>#DIV/0!</v>
      </c>
      <c r="Z1293">
        <v>0</v>
      </c>
      <c r="AA1293" t="e">
        <v>#DIV/0!</v>
      </c>
      <c r="AB1293">
        <v>43</v>
      </c>
      <c r="AC1293">
        <v>0</v>
      </c>
      <c r="AD1293">
        <v>42</v>
      </c>
      <c r="AE1293" s="7"/>
      <c r="AF1293" s="7"/>
      <c r="AG1293" s="7"/>
      <c r="AH1293" s="7"/>
      <c r="AI1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93" s="7"/>
      <c r="AK1293" t="s">
        <v>738</v>
      </c>
      <c r="AL1293">
        <v>6</v>
      </c>
      <c r="AM1293">
        <v>7</v>
      </c>
      <c r="AN1293">
        <f>IFERROR(INT(Table13[[#This Row],[reject_prod]]/Table13[[#This Row],[part_weight]] * 1000), 0)</f>
        <v>0</v>
      </c>
    </row>
    <row r="1294" spans="1:40" hidden="1">
      <c r="A1294" s="1">
        <v>46061</v>
      </c>
      <c r="B1294">
        <v>1</v>
      </c>
      <c r="C1294">
        <v>15</v>
      </c>
      <c r="D1294" t="s">
        <v>61</v>
      </c>
      <c r="E1294" t="s">
        <v>46</v>
      </c>
      <c r="F1294">
        <v>552181</v>
      </c>
      <c r="G1294" s="6">
        <v>2</v>
      </c>
      <c r="H1294" t="s">
        <v>49</v>
      </c>
      <c r="I1294">
        <v>10685542</v>
      </c>
      <c r="J1294">
        <v>6</v>
      </c>
      <c r="K1294">
        <v>18.8</v>
      </c>
      <c r="L1294">
        <v>18.8</v>
      </c>
      <c r="M1294">
        <v>1362</v>
      </c>
      <c r="N1294" s="2">
        <v>108000</v>
      </c>
      <c r="O1294" s="2">
        <v>1620</v>
      </c>
      <c r="P1294" s="2">
        <v>0</v>
      </c>
      <c r="Q1294" s="2">
        <v>8172</v>
      </c>
      <c r="R1294" s="2">
        <v>10800</v>
      </c>
      <c r="S1294">
        <v>203.04</v>
      </c>
      <c r="T1294" s="2">
        <v>54000</v>
      </c>
      <c r="U1294" s="2">
        <v>54000</v>
      </c>
      <c r="V1294">
        <v>153.6336</v>
      </c>
      <c r="W1294">
        <v>0</v>
      </c>
      <c r="X1294">
        <v>0</v>
      </c>
      <c r="Y1294">
        <v>0</v>
      </c>
      <c r="Z1294">
        <v>1</v>
      </c>
      <c r="AA1294">
        <v>6.5089928244863099E-3</v>
      </c>
      <c r="AB1294">
        <v>31.2</v>
      </c>
      <c r="AC1294">
        <v>11.804</v>
      </c>
      <c r="AD1294">
        <v>27</v>
      </c>
      <c r="AE1294" s="7"/>
      <c r="AF1294" s="7"/>
      <c r="AG1294" s="7"/>
      <c r="AH1294" s="7"/>
      <c r="AI1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0.19599999999999973</v>
      </c>
      <c r="AJ1294" s="7"/>
      <c r="AK1294" t="s">
        <v>51</v>
      </c>
      <c r="AN1294">
        <f>IFERROR(INT(Table13[[#This Row],[reject_prod]]/Table13[[#This Row],[part_weight]] * 1000), 0)</f>
        <v>53</v>
      </c>
    </row>
    <row r="1295" spans="1:40" s="4" customFormat="1" hidden="1">
      <c r="A1295" s="3">
        <v>46061</v>
      </c>
      <c r="B1295" s="4">
        <v>1</v>
      </c>
      <c r="C1295" s="4">
        <v>16</v>
      </c>
      <c r="D1295" s="4" t="s">
        <v>757</v>
      </c>
      <c r="E1295" s="4" t="s">
        <v>46</v>
      </c>
      <c r="F1295" s="4">
        <v>555979</v>
      </c>
      <c r="G1295" s="9">
        <v>2</v>
      </c>
      <c r="H1295" s="4" t="s">
        <v>52</v>
      </c>
      <c r="I1295" s="4">
        <v>10685814</v>
      </c>
      <c r="J1295" s="4">
        <v>6</v>
      </c>
      <c r="K1295" s="4">
        <v>28</v>
      </c>
      <c r="L1295" s="4">
        <v>28</v>
      </c>
      <c r="M1295" s="4">
        <v>998</v>
      </c>
      <c r="N1295" s="5">
        <v>100800</v>
      </c>
      <c r="O1295" s="5">
        <v>336</v>
      </c>
      <c r="P1295" s="5">
        <v>3024</v>
      </c>
      <c r="Q1295" s="5">
        <v>5988</v>
      </c>
      <c r="R1295" s="5">
        <v>3360</v>
      </c>
      <c r="S1295" s="4">
        <v>94.08</v>
      </c>
      <c r="T1295" s="5">
        <v>39984</v>
      </c>
      <c r="U1295" s="5">
        <v>60816</v>
      </c>
      <c r="V1295" s="4">
        <v>167.66399999999999</v>
      </c>
      <c r="W1295" s="4">
        <v>0</v>
      </c>
      <c r="X1295" s="4">
        <v>0</v>
      </c>
      <c r="Y1295" s="4">
        <v>0</v>
      </c>
      <c r="Z1295" s="4">
        <v>6.5</v>
      </c>
      <c r="AA1295" s="4">
        <v>3.8768012214906007E-2</v>
      </c>
      <c r="AB1295" s="4">
        <v>43.5</v>
      </c>
      <c r="AC1295" s="4">
        <v>12</v>
      </c>
      <c r="AD1295" s="4">
        <v>42</v>
      </c>
      <c r="AE1295" s="8"/>
      <c r="AF1295" s="8"/>
      <c r="AG1295" s="8"/>
      <c r="AH1295" s="8"/>
      <c r="AI129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95" s="8"/>
      <c r="AK1295" s="4" t="s">
        <v>51</v>
      </c>
      <c r="AN1295">
        <f>IFERROR(INT(Table13[[#This Row],[reject_prod]]/Table13[[#This Row],[part_weight]] * 1000), 0)</f>
        <v>232</v>
      </c>
    </row>
    <row r="1296" spans="1:40" hidden="1">
      <c r="A1296" s="1">
        <v>46061</v>
      </c>
      <c r="B1296">
        <v>2</v>
      </c>
      <c r="C1296">
        <v>1</v>
      </c>
      <c r="D1296" t="s">
        <v>134</v>
      </c>
      <c r="E1296" t="s">
        <v>34</v>
      </c>
      <c r="F1296">
        <v>529004</v>
      </c>
      <c r="G1296" s="6">
        <v>0</v>
      </c>
      <c r="H1296" t="s">
        <v>723</v>
      </c>
      <c r="I1296">
        <v>10685632</v>
      </c>
      <c r="J1296">
        <v>4</v>
      </c>
      <c r="K1296">
        <v>31</v>
      </c>
      <c r="L1296">
        <v>31</v>
      </c>
      <c r="M1296">
        <v>1260</v>
      </c>
      <c r="N1296" s="2">
        <v>20400</v>
      </c>
      <c r="O1296" s="2">
        <v>0</v>
      </c>
      <c r="P1296" s="2">
        <v>240</v>
      </c>
      <c r="Q1296" s="2">
        <v>5040</v>
      </c>
      <c r="R1296" s="2">
        <v>4800</v>
      </c>
      <c r="S1296">
        <v>148.80000000000001</v>
      </c>
      <c r="T1296" s="2">
        <v>18240</v>
      </c>
      <c r="U1296" s="2">
        <v>2160</v>
      </c>
      <c r="V1296">
        <v>156.24</v>
      </c>
      <c r="W1296">
        <v>0</v>
      </c>
      <c r="X1296">
        <v>0</v>
      </c>
      <c r="Y1296">
        <v>0</v>
      </c>
      <c r="Z1296">
        <v>1</v>
      </c>
      <c r="AA1296">
        <v>6.4004096262160774E-3</v>
      </c>
      <c r="AB1296">
        <v>34.200000000000003</v>
      </c>
      <c r="AC1296">
        <v>11.970000000000002</v>
      </c>
      <c r="AD1296">
        <v>29</v>
      </c>
      <c r="AE1296" s="7"/>
      <c r="AF1296" s="7"/>
      <c r="AG1296" s="7"/>
      <c r="AH1296" s="7"/>
      <c r="AI1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2.9999999999997584E-2</v>
      </c>
      <c r="AJ1296" s="7"/>
      <c r="AK1296" t="s">
        <v>51</v>
      </c>
      <c r="AN1296">
        <f>IFERROR(INT(Table13[[#This Row],[reject_prod]]/Table13[[#This Row],[part_weight]] * 1000), 0)</f>
        <v>32</v>
      </c>
    </row>
    <row r="1297" spans="1:40" hidden="1">
      <c r="A1297" s="1">
        <v>46061</v>
      </c>
      <c r="B1297">
        <v>2</v>
      </c>
      <c r="C1297">
        <v>2</v>
      </c>
      <c r="D1297" t="s">
        <v>33</v>
      </c>
      <c r="E1297" t="s">
        <v>34</v>
      </c>
      <c r="F1297">
        <v>324163</v>
      </c>
      <c r="G1297" s="6">
        <v>0</v>
      </c>
      <c r="H1297" t="s">
        <v>672</v>
      </c>
      <c r="I1297">
        <v>10684851</v>
      </c>
      <c r="J1297">
        <v>4</v>
      </c>
      <c r="K1297">
        <v>24</v>
      </c>
      <c r="L1297">
        <v>23.5</v>
      </c>
      <c r="M1297">
        <v>0</v>
      </c>
      <c r="N1297" s="2">
        <v>73152</v>
      </c>
      <c r="O1297" s="2">
        <v>4191</v>
      </c>
      <c r="P1297" s="2">
        <v>4191</v>
      </c>
      <c r="Q1297" s="2">
        <v>0</v>
      </c>
      <c r="R1297" s="2">
        <v>0</v>
      </c>
      <c r="S1297">
        <v>0</v>
      </c>
      <c r="T1297" s="2">
        <v>54483</v>
      </c>
      <c r="U1297" s="2">
        <v>18669</v>
      </c>
      <c r="V1297">
        <v>0</v>
      </c>
      <c r="W1297">
        <v>0</v>
      </c>
      <c r="X1297">
        <v>0</v>
      </c>
      <c r="Y1297" t="e">
        <v>#DIV/0!</v>
      </c>
      <c r="Z1297">
        <v>0</v>
      </c>
      <c r="AA1297" t="e">
        <v>#DIV/0!</v>
      </c>
      <c r="AB1297">
        <v>22.2</v>
      </c>
      <c r="AC1297">
        <v>0</v>
      </c>
      <c r="AD1297">
        <v>22.5</v>
      </c>
      <c r="AE1297" s="7"/>
      <c r="AF1297" s="7"/>
      <c r="AG1297" s="7"/>
      <c r="AH1297" s="7"/>
      <c r="AI1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97" s="7"/>
      <c r="AK1297" t="s">
        <v>758</v>
      </c>
      <c r="AN1297">
        <f>IFERROR(INT(Table13[[#This Row],[reject_prod]]/Table13[[#This Row],[part_weight]] * 1000), 0)</f>
        <v>0</v>
      </c>
    </row>
    <row r="1298" spans="1:40" hidden="1">
      <c r="A1298" s="1">
        <v>46061</v>
      </c>
      <c r="B1298">
        <v>2</v>
      </c>
      <c r="C1298">
        <v>3</v>
      </c>
      <c r="D1298" t="s">
        <v>53</v>
      </c>
      <c r="E1298" t="s">
        <v>34</v>
      </c>
      <c r="F1298">
        <v>442034</v>
      </c>
      <c r="G1298" s="6">
        <v>0</v>
      </c>
      <c r="H1298" t="s">
        <v>37</v>
      </c>
      <c r="I1298">
        <v>10685633</v>
      </c>
      <c r="J1298">
        <v>4</v>
      </c>
      <c r="K1298">
        <v>23</v>
      </c>
      <c r="L1298">
        <v>23</v>
      </c>
      <c r="M1298">
        <v>1460</v>
      </c>
      <c r="N1298" s="2">
        <v>139776</v>
      </c>
      <c r="O1298" s="2">
        <v>2286</v>
      </c>
      <c r="P1298" s="2">
        <v>3456</v>
      </c>
      <c r="Q1298" s="2">
        <v>5840</v>
      </c>
      <c r="R1298" s="2">
        <v>4608</v>
      </c>
      <c r="S1298">
        <v>105.98399999999999</v>
      </c>
      <c r="T1298" s="2">
        <v>72576</v>
      </c>
      <c r="U1298" s="2">
        <v>67200</v>
      </c>
      <c r="V1298">
        <v>134.32</v>
      </c>
      <c r="W1298">
        <v>0</v>
      </c>
      <c r="X1298">
        <v>0</v>
      </c>
      <c r="Y1298">
        <v>0</v>
      </c>
      <c r="Z1298">
        <v>1.2</v>
      </c>
      <c r="AA1298">
        <v>8.9338892197736754E-3</v>
      </c>
      <c r="AB1298">
        <v>28.5</v>
      </c>
      <c r="AC1298">
        <v>11.558333333333334</v>
      </c>
      <c r="AD1298">
        <v>22</v>
      </c>
      <c r="AE1298" s="7"/>
      <c r="AF1298" s="7"/>
      <c r="AG1298" s="7"/>
      <c r="AH1298" s="7"/>
      <c r="AI1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298" s="7"/>
      <c r="AK1298" t="s">
        <v>103</v>
      </c>
      <c r="AN1298">
        <f>IFERROR(INT(Table13[[#This Row],[reject_prod]]/Table13[[#This Row],[part_weight]] * 1000), 0)</f>
        <v>52</v>
      </c>
    </row>
    <row r="1299" spans="1:40" hidden="1">
      <c r="A1299" s="1">
        <v>46061</v>
      </c>
      <c r="B1299">
        <v>2</v>
      </c>
      <c r="C1299">
        <v>4</v>
      </c>
      <c r="D1299" t="s">
        <v>88</v>
      </c>
      <c r="E1299" t="s">
        <v>34</v>
      </c>
      <c r="F1299">
        <v>322477</v>
      </c>
      <c r="G1299" s="6">
        <v>0</v>
      </c>
      <c r="H1299" t="s">
        <v>694</v>
      </c>
      <c r="I1299">
        <v>10686801</v>
      </c>
      <c r="J1299">
        <v>4</v>
      </c>
      <c r="K1299">
        <v>44</v>
      </c>
      <c r="L1299">
        <v>44</v>
      </c>
      <c r="M1299">
        <v>1655</v>
      </c>
      <c r="N1299" s="2">
        <v>38850</v>
      </c>
      <c r="O1299" s="2">
        <v>525</v>
      </c>
      <c r="P1299" s="2">
        <v>840</v>
      </c>
      <c r="Q1299" s="2">
        <v>6620</v>
      </c>
      <c r="R1299" s="2">
        <v>6300</v>
      </c>
      <c r="S1299">
        <v>277.2</v>
      </c>
      <c r="T1299" s="2">
        <v>15960</v>
      </c>
      <c r="U1299" s="2">
        <v>22890</v>
      </c>
      <c r="V1299">
        <v>291.27999999999997</v>
      </c>
      <c r="W1299">
        <v>0</v>
      </c>
      <c r="X1299">
        <v>0</v>
      </c>
      <c r="Y1299">
        <v>0</v>
      </c>
      <c r="Z1299">
        <v>2</v>
      </c>
      <c r="AA1299">
        <v>6.8662455369404019E-3</v>
      </c>
      <c r="AB1299">
        <v>26.1</v>
      </c>
      <c r="AC1299">
        <v>11.998750000000001</v>
      </c>
      <c r="AD1299">
        <v>26</v>
      </c>
      <c r="AE1299" s="7"/>
      <c r="AF1299" s="7"/>
      <c r="AG1299" s="7"/>
      <c r="AH1299" s="7"/>
      <c r="AI1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1.2499999999988631E-3</v>
      </c>
      <c r="AJ1299" s="7"/>
      <c r="AK1299" t="s">
        <v>75</v>
      </c>
      <c r="AN1299">
        <f>IFERROR(INT(Table13[[#This Row],[reject_prod]]/Table13[[#This Row],[part_weight]] * 1000), 0)</f>
        <v>45</v>
      </c>
    </row>
    <row r="1300" spans="1:40" hidden="1">
      <c r="A1300" s="1">
        <v>46061</v>
      </c>
      <c r="B1300">
        <v>2</v>
      </c>
      <c r="C1300">
        <v>5</v>
      </c>
      <c r="D1300" t="s">
        <v>759</v>
      </c>
      <c r="E1300" t="s">
        <v>34</v>
      </c>
      <c r="F1300">
        <v>322448</v>
      </c>
      <c r="G1300" s="6">
        <v>0</v>
      </c>
      <c r="H1300" t="s">
        <v>654</v>
      </c>
      <c r="I1300">
        <v>10686572</v>
      </c>
      <c r="J1300">
        <v>4</v>
      </c>
      <c r="K1300">
        <v>40</v>
      </c>
      <c r="L1300">
        <v>40</v>
      </c>
      <c r="M1300">
        <v>1410</v>
      </c>
      <c r="N1300" s="2">
        <v>58320</v>
      </c>
      <c r="O1300" s="2">
        <v>0</v>
      </c>
      <c r="P1300" s="2">
        <v>324</v>
      </c>
      <c r="Q1300" s="2">
        <v>5640</v>
      </c>
      <c r="R1300" s="2">
        <v>4860</v>
      </c>
      <c r="S1300">
        <v>194.4</v>
      </c>
      <c r="T1300" s="2">
        <v>52974</v>
      </c>
      <c r="U1300" s="2">
        <v>5346</v>
      </c>
      <c r="V1300">
        <v>225.6</v>
      </c>
      <c r="W1300">
        <v>0</v>
      </c>
      <c r="X1300">
        <v>9</v>
      </c>
      <c r="Y1300">
        <v>3.9893617021276598E-2</v>
      </c>
      <c r="Z1300">
        <v>12.4</v>
      </c>
      <c r="AA1300">
        <v>5.4964539007092202E-2</v>
      </c>
      <c r="AB1300">
        <v>25.6</v>
      </c>
      <c r="AC1300">
        <v>10.026666666666667</v>
      </c>
      <c r="AD1300">
        <v>23</v>
      </c>
      <c r="AE1300" s="7"/>
      <c r="AF1300" s="7"/>
      <c r="AG1300" s="7"/>
      <c r="AH1300" s="7"/>
      <c r="AI1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1.9733333333333327</v>
      </c>
      <c r="AJ1300" s="7"/>
      <c r="AK1300" t="s">
        <v>760</v>
      </c>
      <c r="AN1300">
        <f>IFERROR(INT(Table13[[#This Row],[reject_prod]]/Table13[[#This Row],[part_weight]] * 1000), 0)</f>
        <v>310</v>
      </c>
    </row>
    <row r="1301" spans="1:40" hidden="1">
      <c r="A1301" s="1">
        <v>46061</v>
      </c>
      <c r="B1301">
        <v>2</v>
      </c>
      <c r="C1301">
        <v>6</v>
      </c>
      <c r="D1301" t="s">
        <v>761</v>
      </c>
      <c r="E1301" t="s">
        <v>34</v>
      </c>
      <c r="F1301">
        <v>322445</v>
      </c>
      <c r="G1301" s="6">
        <v>0</v>
      </c>
      <c r="H1301" t="s">
        <v>743</v>
      </c>
      <c r="I1301">
        <v>10685637</v>
      </c>
      <c r="J1301">
        <v>4</v>
      </c>
      <c r="K1301">
        <v>32.74</v>
      </c>
      <c r="L1301">
        <v>33</v>
      </c>
      <c r="M1301">
        <v>1280</v>
      </c>
      <c r="N1301" s="2">
        <v>72000</v>
      </c>
      <c r="O1301" s="2">
        <v>540</v>
      </c>
      <c r="P1301" s="2">
        <v>180</v>
      </c>
      <c r="Q1301" s="2">
        <v>5120</v>
      </c>
      <c r="R1301" s="2">
        <v>5400</v>
      </c>
      <c r="S1301">
        <v>178.2</v>
      </c>
      <c r="T1301" s="2">
        <v>10980</v>
      </c>
      <c r="U1301" s="2">
        <v>61020</v>
      </c>
      <c r="V1301">
        <v>168.96</v>
      </c>
      <c r="W1301">
        <v>-1.3311999999999897</v>
      </c>
      <c r="X1301">
        <v>3</v>
      </c>
      <c r="Y1301">
        <v>1.7755681818181816E-2</v>
      </c>
      <c r="Z1301">
        <v>0.8</v>
      </c>
      <c r="AA1301">
        <v>4.734848484848485E-3</v>
      </c>
      <c r="AB1301">
        <v>23.26</v>
      </c>
      <c r="AC1301">
        <v>8.2702222222222233</v>
      </c>
      <c r="AD1301">
        <v>22</v>
      </c>
      <c r="AE1301" s="7"/>
      <c r="AF1301" s="7"/>
      <c r="AG1301" s="7"/>
      <c r="AH1301" s="7"/>
      <c r="AI1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3.7297777777777767</v>
      </c>
      <c r="AJ1301" s="7"/>
      <c r="AK1301" t="s">
        <v>762</v>
      </c>
      <c r="AN1301">
        <f>IFERROR(INT(Table13[[#This Row],[reject_prod]]/Table13[[#This Row],[part_weight]] * 1000), 0)</f>
        <v>24</v>
      </c>
    </row>
    <row r="1302" spans="1:40" hidden="1">
      <c r="A1302" s="1">
        <v>46061</v>
      </c>
      <c r="B1302">
        <v>2</v>
      </c>
      <c r="C1302">
        <v>7</v>
      </c>
      <c r="D1302" t="s">
        <v>84</v>
      </c>
      <c r="E1302" t="s">
        <v>34</v>
      </c>
      <c r="F1302">
        <v>647556</v>
      </c>
      <c r="G1302" s="6">
        <v>0</v>
      </c>
      <c r="H1302" t="s">
        <v>458</v>
      </c>
      <c r="I1302">
        <v>10685214</v>
      </c>
      <c r="J1302">
        <v>4</v>
      </c>
      <c r="K1302">
        <v>35</v>
      </c>
      <c r="L1302">
        <v>34.5</v>
      </c>
      <c r="M1302">
        <v>1820</v>
      </c>
      <c r="N1302" s="2">
        <v>27720</v>
      </c>
      <c r="O1302" s="2">
        <v>264</v>
      </c>
      <c r="P1302" s="2">
        <v>132</v>
      </c>
      <c r="Q1302" s="2">
        <v>7280</v>
      </c>
      <c r="R1302" s="2">
        <v>7392</v>
      </c>
      <c r="S1302">
        <v>255.024</v>
      </c>
      <c r="T1302" s="2">
        <v>16764</v>
      </c>
      <c r="U1302" s="2">
        <v>10956</v>
      </c>
      <c r="V1302">
        <v>251.16</v>
      </c>
      <c r="W1302">
        <v>3.64</v>
      </c>
      <c r="X1302">
        <v>0</v>
      </c>
      <c r="Y1302">
        <v>0</v>
      </c>
      <c r="Z1302">
        <v>8.3000000000000007</v>
      </c>
      <c r="AA1302">
        <v>3.3046663481446095E-2</v>
      </c>
      <c r="AB1302">
        <v>23.31</v>
      </c>
      <c r="AC1302">
        <v>11.7845</v>
      </c>
      <c r="AD1302">
        <v>20.399999999999999</v>
      </c>
      <c r="AE1302" s="7"/>
      <c r="AF1302" s="7"/>
      <c r="AG1302" s="7"/>
      <c r="AH1302" s="7"/>
      <c r="AI1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1302" s="7"/>
      <c r="AK1302" t="s">
        <v>168</v>
      </c>
      <c r="AN1302">
        <f>IFERROR(INT(Table13[[#This Row],[reject_prod]]/Table13[[#This Row],[part_weight]] * 1000), 0)</f>
        <v>240</v>
      </c>
    </row>
    <row r="1303" spans="1:40" hidden="1">
      <c r="A1303" s="1">
        <v>46061</v>
      </c>
      <c r="B1303">
        <v>2</v>
      </c>
      <c r="C1303">
        <v>8</v>
      </c>
      <c r="D1303" t="s">
        <v>763</v>
      </c>
      <c r="E1303" t="s">
        <v>41</v>
      </c>
      <c r="F1303">
        <v>593537</v>
      </c>
      <c r="G1303" s="6">
        <v>0</v>
      </c>
      <c r="H1303" t="s">
        <v>48</v>
      </c>
      <c r="I1303">
        <v>10685813</v>
      </c>
      <c r="J1303">
        <v>4</v>
      </c>
      <c r="K1303">
        <v>56.5</v>
      </c>
      <c r="L1303">
        <v>56.8</v>
      </c>
      <c r="M1303">
        <v>405</v>
      </c>
      <c r="N1303" s="2">
        <v>69000</v>
      </c>
      <c r="O1303" s="2">
        <v>115</v>
      </c>
      <c r="P1303" s="2">
        <v>0</v>
      </c>
      <c r="Q1303" s="2">
        <v>1620</v>
      </c>
      <c r="R1303" s="2">
        <v>1725</v>
      </c>
      <c r="S1303">
        <v>97.98</v>
      </c>
      <c r="T1303" s="2">
        <v>54050</v>
      </c>
      <c r="U1303" s="2">
        <v>14950</v>
      </c>
      <c r="V1303">
        <v>92.016000000000005</v>
      </c>
      <c r="W1303">
        <v>-0.48599999999999538</v>
      </c>
      <c r="X1303">
        <v>0</v>
      </c>
      <c r="Y1303">
        <v>0</v>
      </c>
      <c r="Z1303">
        <v>0</v>
      </c>
      <c r="AA1303">
        <v>0</v>
      </c>
      <c r="AB1303">
        <v>30.4</v>
      </c>
      <c r="AC1303">
        <v>3.4199999999999995</v>
      </c>
      <c r="AD1303">
        <v>28.5</v>
      </c>
      <c r="AE1303" s="7"/>
      <c r="AF1303" s="7"/>
      <c r="AG1303" s="7"/>
      <c r="AH1303" s="7"/>
      <c r="AI1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</v>
      </c>
      <c r="AJ1303" s="7"/>
      <c r="AK1303" t="s">
        <v>764</v>
      </c>
      <c r="AN1303">
        <f>IFERROR(INT(Table13[[#This Row],[reject_prod]]/Table13[[#This Row],[part_weight]] * 1000), 0)</f>
        <v>0</v>
      </c>
    </row>
    <row r="1304" spans="1:40" hidden="1">
      <c r="A1304" s="1">
        <v>46061</v>
      </c>
      <c r="B1304">
        <v>2</v>
      </c>
      <c r="C1304">
        <v>9</v>
      </c>
      <c r="D1304" t="s">
        <v>765</v>
      </c>
      <c r="E1304" t="s">
        <v>46</v>
      </c>
      <c r="F1304">
        <v>586276</v>
      </c>
      <c r="G1304" s="6">
        <v>1</v>
      </c>
      <c r="H1304" t="s">
        <v>47</v>
      </c>
      <c r="I1304">
        <v>10683781</v>
      </c>
      <c r="J1304">
        <v>6</v>
      </c>
      <c r="K1304">
        <v>12.3</v>
      </c>
      <c r="L1304">
        <v>12.3</v>
      </c>
      <c r="M1304">
        <v>1620</v>
      </c>
      <c r="N1304" s="2">
        <v>162000</v>
      </c>
      <c r="O1304" s="2">
        <v>0</v>
      </c>
      <c r="P1304" s="2">
        <v>1620</v>
      </c>
      <c r="Q1304" s="2">
        <v>9720</v>
      </c>
      <c r="R1304" s="2">
        <v>8100</v>
      </c>
      <c r="S1304">
        <v>99.63</v>
      </c>
      <c r="T1304" s="2">
        <v>50220</v>
      </c>
      <c r="U1304" s="2">
        <v>111780</v>
      </c>
      <c r="V1304">
        <v>119.556</v>
      </c>
      <c r="W1304">
        <v>0</v>
      </c>
      <c r="X1304">
        <v>0</v>
      </c>
      <c r="Y1304">
        <v>0</v>
      </c>
      <c r="Z1304">
        <v>2</v>
      </c>
      <c r="AA1304">
        <v>1.6728562347351868E-2</v>
      </c>
      <c r="AB1304">
        <v>26.3</v>
      </c>
      <c r="AC1304">
        <v>11.835000000000001</v>
      </c>
      <c r="AD1304">
        <v>26</v>
      </c>
      <c r="AE1304" s="7"/>
      <c r="AF1304" s="7"/>
      <c r="AG1304" s="7"/>
      <c r="AH1304" s="7"/>
      <c r="AI1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1304" s="7"/>
      <c r="AK1304" t="s">
        <v>51</v>
      </c>
      <c r="AN1304">
        <f>IFERROR(INT(Table13[[#This Row],[reject_prod]]/Table13[[#This Row],[part_weight]] * 1000), 0)</f>
        <v>162</v>
      </c>
    </row>
    <row r="1305" spans="1:40" hidden="1">
      <c r="A1305" s="1">
        <v>46061</v>
      </c>
      <c r="B1305">
        <v>2</v>
      </c>
      <c r="C1305">
        <v>10</v>
      </c>
      <c r="D1305" t="s">
        <v>33</v>
      </c>
      <c r="E1305" t="s">
        <v>34</v>
      </c>
      <c r="F1305">
        <v>324638</v>
      </c>
      <c r="G1305" s="6">
        <v>0</v>
      </c>
      <c r="H1305" t="s">
        <v>687</v>
      </c>
      <c r="I1305">
        <v>10686808</v>
      </c>
      <c r="J1305">
        <v>4</v>
      </c>
      <c r="K1305">
        <v>77.5</v>
      </c>
      <c r="L1305">
        <v>77.5</v>
      </c>
      <c r="M1305">
        <v>0</v>
      </c>
      <c r="N1305" s="2">
        <v>19872</v>
      </c>
      <c r="O1305" s="2">
        <v>138</v>
      </c>
      <c r="P1305" s="2">
        <v>138</v>
      </c>
      <c r="Q1305" s="2">
        <v>0</v>
      </c>
      <c r="R1305" s="2">
        <v>0</v>
      </c>
      <c r="S1305">
        <v>0</v>
      </c>
      <c r="T1305" s="2">
        <v>5520</v>
      </c>
      <c r="U1305" s="2">
        <v>14352</v>
      </c>
      <c r="V1305">
        <v>0</v>
      </c>
      <c r="W1305">
        <v>0</v>
      </c>
      <c r="X1305">
        <v>0</v>
      </c>
      <c r="Y1305" t="e">
        <v>#DIV/0!</v>
      </c>
      <c r="Z1305">
        <v>0</v>
      </c>
      <c r="AA1305" t="e">
        <v>#DIV/0!</v>
      </c>
      <c r="AB1305">
        <v>38.1</v>
      </c>
      <c r="AC1305">
        <v>0</v>
      </c>
      <c r="AD1305">
        <v>36</v>
      </c>
      <c r="AE1305" s="7"/>
      <c r="AF1305" s="7"/>
      <c r="AG1305" s="7"/>
      <c r="AH1305" s="7"/>
      <c r="AI1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05" s="7"/>
      <c r="AK1305" t="s">
        <v>766</v>
      </c>
      <c r="AN1305">
        <f>IFERROR(INT(Table13[[#This Row],[reject_prod]]/Table13[[#This Row],[part_weight]] * 1000), 0)</f>
        <v>0</v>
      </c>
    </row>
    <row r="1306" spans="1:40" hidden="1">
      <c r="A1306" s="1">
        <v>46061</v>
      </c>
      <c r="B1306">
        <v>2</v>
      </c>
      <c r="C1306">
        <v>11</v>
      </c>
      <c r="D1306" t="s">
        <v>59</v>
      </c>
      <c r="E1306" t="s">
        <v>46</v>
      </c>
      <c r="F1306">
        <v>552181</v>
      </c>
      <c r="G1306" s="6">
        <v>1</v>
      </c>
      <c r="H1306" t="s">
        <v>49</v>
      </c>
      <c r="I1306">
        <v>10685339</v>
      </c>
      <c r="J1306">
        <v>6</v>
      </c>
      <c r="K1306">
        <v>18.8</v>
      </c>
      <c r="L1306">
        <v>18.8</v>
      </c>
      <c r="M1306">
        <v>1485</v>
      </c>
      <c r="N1306" s="2">
        <v>108000</v>
      </c>
      <c r="O1306" s="2">
        <v>2430</v>
      </c>
      <c r="P1306" s="2">
        <v>540</v>
      </c>
      <c r="Q1306" s="2">
        <v>8910</v>
      </c>
      <c r="R1306" s="2">
        <v>10800</v>
      </c>
      <c r="S1306">
        <v>203.04</v>
      </c>
      <c r="T1306" s="2">
        <v>76140</v>
      </c>
      <c r="U1306" s="2">
        <v>31860</v>
      </c>
      <c r="V1306">
        <v>167.50800000000001</v>
      </c>
      <c r="W1306">
        <v>0</v>
      </c>
      <c r="X1306">
        <v>0</v>
      </c>
      <c r="Y1306">
        <v>0</v>
      </c>
      <c r="Z1306">
        <v>2</v>
      </c>
      <c r="AA1306">
        <v>1.1939728251784989E-2</v>
      </c>
      <c r="AB1306">
        <v>29.4</v>
      </c>
      <c r="AC1306">
        <v>12</v>
      </c>
      <c r="AD1306">
        <v>27</v>
      </c>
      <c r="AE1306" s="7"/>
      <c r="AF1306" s="7"/>
      <c r="AG1306" s="7"/>
      <c r="AH1306" s="7"/>
      <c r="AI1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6" s="7"/>
      <c r="AK1306" t="s">
        <v>51</v>
      </c>
      <c r="AN1306">
        <f>IFERROR(INT(Table13[[#This Row],[reject_prod]]/Table13[[#This Row],[part_weight]] * 1000), 0)</f>
        <v>106</v>
      </c>
    </row>
    <row r="1307" spans="1:40" hidden="1">
      <c r="A1307" s="1">
        <v>46061</v>
      </c>
      <c r="B1307">
        <v>2</v>
      </c>
      <c r="C1307">
        <v>12</v>
      </c>
      <c r="F1307">
        <v>123456</v>
      </c>
      <c r="G1307" s="6">
        <v>0</v>
      </c>
      <c r="M1307">
        <v>0</v>
      </c>
      <c r="N1307" s="2">
        <v>0</v>
      </c>
      <c r="O1307" s="2">
        <v>0</v>
      </c>
      <c r="P1307" s="2">
        <v>0</v>
      </c>
      <c r="Q1307" s="2"/>
      <c r="R1307" s="2">
        <v>0</v>
      </c>
      <c r="T1307" s="2">
        <v>0</v>
      </c>
      <c r="U1307" s="2"/>
      <c r="X1307">
        <v>0</v>
      </c>
      <c r="Z1307">
        <v>0</v>
      </c>
      <c r="AB1307">
        <v>0</v>
      </c>
      <c r="AC1307">
        <v>0</v>
      </c>
      <c r="AD1307">
        <v>0</v>
      </c>
      <c r="AE1307" s="7"/>
      <c r="AF1307" s="7"/>
      <c r="AG1307" s="7"/>
      <c r="AH1307" s="7"/>
      <c r="AI1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7" s="7">
        <v>12</v>
      </c>
      <c r="AK1307" t="s">
        <v>116</v>
      </c>
      <c r="AN1307">
        <f>IFERROR(INT(Table13[[#This Row],[reject_prod]]/Table13[[#This Row],[part_weight]] * 1000), 0)</f>
        <v>0</v>
      </c>
    </row>
    <row r="1308" spans="1:40" hidden="1">
      <c r="A1308" s="1">
        <v>46061</v>
      </c>
      <c r="B1308">
        <v>2</v>
      </c>
      <c r="C1308">
        <v>13</v>
      </c>
      <c r="D1308" t="s">
        <v>59</v>
      </c>
      <c r="E1308" t="s">
        <v>46</v>
      </c>
      <c r="F1308">
        <v>586276</v>
      </c>
      <c r="G1308" s="6">
        <v>2</v>
      </c>
      <c r="H1308" t="s">
        <v>47</v>
      </c>
      <c r="I1308">
        <v>10686191</v>
      </c>
      <c r="J1308">
        <v>6</v>
      </c>
      <c r="K1308">
        <v>12.3</v>
      </c>
      <c r="L1308">
        <v>12.3</v>
      </c>
      <c r="M1308">
        <v>1620</v>
      </c>
      <c r="N1308" s="2">
        <v>162000</v>
      </c>
      <c r="O1308" s="2">
        <v>1215</v>
      </c>
      <c r="P1308" s="2">
        <v>2835</v>
      </c>
      <c r="Q1308" s="2">
        <v>9720</v>
      </c>
      <c r="R1308" s="2">
        <v>8100</v>
      </c>
      <c r="S1308">
        <v>99.63</v>
      </c>
      <c r="T1308" s="2">
        <v>156735</v>
      </c>
      <c r="U1308" s="2">
        <v>5265</v>
      </c>
      <c r="V1308">
        <v>119.556</v>
      </c>
      <c r="W1308">
        <v>0</v>
      </c>
      <c r="X1308">
        <v>0</v>
      </c>
      <c r="Y1308">
        <v>0</v>
      </c>
      <c r="Z1308">
        <v>1.8</v>
      </c>
      <c r="AA1308">
        <v>1.5055706112616682E-2</v>
      </c>
      <c r="AB1308">
        <v>26.2</v>
      </c>
      <c r="AC1308">
        <v>11.790000000000001</v>
      </c>
      <c r="AD1308">
        <v>26</v>
      </c>
      <c r="AE1308" s="7"/>
      <c r="AF1308" s="7"/>
      <c r="AG1308" s="7"/>
      <c r="AH1308" s="7"/>
      <c r="AI1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08" s="7"/>
      <c r="AK1308" t="s">
        <v>51</v>
      </c>
      <c r="AN1308">
        <f>IFERROR(INT(Table13[[#This Row],[reject_prod]]/Table13[[#This Row],[part_weight]] * 1000), 0)</f>
        <v>146</v>
      </c>
    </row>
    <row r="1309" spans="1:40" hidden="1">
      <c r="A1309" s="1">
        <v>46061</v>
      </c>
      <c r="B1309">
        <v>2</v>
      </c>
      <c r="C1309">
        <v>14</v>
      </c>
      <c r="F1309">
        <v>123456</v>
      </c>
      <c r="G1309" s="6">
        <v>0</v>
      </c>
      <c r="M1309">
        <v>0</v>
      </c>
      <c r="N1309" s="2">
        <v>0</v>
      </c>
      <c r="O1309" s="2">
        <v>0</v>
      </c>
      <c r="P1309" s="2">
        <v>0</v>
      </c>
      <c r="Q1309" s="2"/>
      <c r="R1309" s="2">
        <v>0</v>
      </c>
      <c r="T1309" s="2">
        <v>0</v>
      </c>
      <c r="U1309" s="2"/>
      <c r="X1309">
        <v>0</v>
      </c>
      <c r="Z1309">
        <v>0</v>
      </c>
      <c r="AB1309">
        <v>0</v>
      </c>
      <c r="AC1309">
        <v>0</v>
      </c>
      <c r="AD1309">
        <v>0</v>
      </c>
      <c r="AE1309" s="7"/>
      <c r="AF1309" s="7"/>
      <c r="AG1309" s="7"/>
      <c r="AH1309" s="7"/>
      <c r="AI1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9" s="7">
        <v>12</v>
      </c>
      <c r="AK1309" t="s">
        <v>116</v>
      </c>
      <c r="AN1309">
        <f>IFERROR(INT(Table13[[#This Row],[reject_prod]]/Table13[[#This Row],[part_weight]] * 1000), 0)</f>
        <v>0</v>
      </c>
    </row>
    <row r="1310" spans="1:40" hidden="1">
      <c r="A1310" s="1">
        <v>46061</v>
      </c>
      <c r="B1310">
        <v>2</v>
      </c>
      <c r="C1310">
        <v>15</v>
      </c>
      <c r="D1310" t="s">
        <v>59</v>
      </c>
      <c r="E1310" t="s">
        <v>46</v>
      </c>
      <c r="F1310">
        <v>552181</v>
      </c>
      <c r="G1310" s="6">
        <v>2</v>
      </c>
      <c r="H1310" t="s">
        <v>49</v>
      </c>
      <c r="I1310">
        <v>10685542</v>
      </c>
      <c r="J1310">
        <v>6</v>
      </c>
      <c r="K1310">
        <v>18.8</v>
      </c>
      <c r="L1310">
        <v>18.8</v>
      </c>
      <c r="M1310">
        <v>1350</v>
      </c>
      <c r="N1310" s="2">
        <v>108000</v>
      </c>
      <c r="O1310" s="2">
        <v>0</v>
      </c>
      <c r="P1310" s="2">
        <v>2700</v>
      </c>
      <c r="Q1310" s="2">
        <v>8100</v>
      </c>
      <c r="R1310" s="2">
        <v>5400</v>
      </c>
      <c r="S1310">
        <v>101.52</v>
      </c>
      <c r="T1310" s="2">
        <v>62100</v>
      </c>
      <c r="U1310" s="2">
        <v>45900</v>
      </c>
      <c r="V1310">
        <v>152.28</v>
      </c>
      <c r="W1310">
        <v>0</v>
      </c>
      <c r="X1310">
        <v>0</v>
      </c>
      <c r="Y1310">
        <v>0</v>
      </c>
      <c r="Z1310">
        <v>1.6</v>
      </c>
      <c r="AA1310">
        <v>1.0506960861570791E-2</v>
      </c>
      <c r="AB1310">
        <v>31.2</v>
      </c>
      <c r="AC1310">
        <v>11.7</v>
      </c>
      <c r="AD1310">
        <v>27</v>
      </c>
      <c r="AE1310" s="7"/>
      <c r="AF1310" s="7"/>
      <c r="AG1310" s="7"/>
      <c r="AH1310" s="7"/>
      <c r="AI1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310" s="7"/>
      <c r="AK1310" t="s">
        <v>51</v>
      </c>
      <c r="AN1310">
        <f>IFERROR(INT(Table13[[#This Row],[reject_prod]]/Table13[[#This Row],[part_weight]] * 1000), 0)</f>
        <v>85</v>
      </c>
    </row>
    <row r="1311" spans="1:40" s="4" customFormat="1" hidden="1">
      <c r="A1311" s="3">
        <v>46061</v>
      </c>
      <c r="B1311" s="4">
        <v>2</v>
      </c>
      <c r="C1311" s="4">
        <v>16</v>
      </c>
      <c r="D1311" s="4" t="s">
        <v>767</v>
      </c>
      <c r="E1311" s="4" t="s">
        <v>46</v>
      </c>
      <c r="F1311" s="4">
        <v>555979</v>
      </c>
      <c r="G1311" s="9">
        <v>2</v>
      </c>
      <c r="H1311" s="4" t="s">
        <v>52</v>
      </c>
      <c r="I1311" s="4">
        <v>10685814</v>
      </c>
      <c r="J1311" s="4">
        <v>6</v>
      </c>
      <c r="K1311" s="4">
        <v>28</v>
      </c>
      <c r="L1311" s="4">
        <v>28</v>
      </c>
      <c r="M1311" s="4">
        <v>980</v>
      </c>
      <c r="N1311" s="5">
        <v>100800</v>
      </c>
      <c r="O1311" s="5">
        <v>3024</v>
      </c>
      <c r="P1311" s="5">
        <v>2016</v>
      </c>
      <c r="Q1311" s="5">
        <v>5880</v>
      </c>
      <c r="R1311" s="5">
        <v>6720</v>
      </c>
      <c r="S1311" s="4">
        <v>188.16</v>
      </c>
      <c r="T1311" s="5">
        <v>45696</v>
      </c>
      <c r="U1311" s="5">
        <v>55104</v>
      </c>
      <c r="V1311" s="4">
        <v>164.64</v>
      </c>
      <c r="W1311" s="4">
        <v>0</v>
      </c>
      <c r="X1311" s="4">
        <v>0</v>
      </c>
      <c r="Y1311" s="4">
        <v>0</v>
      </c>
      <c r="Z1311" s="4">
        <v>1.8</v>
      </c>
      <c r="AA1311" s="4">
        <v>1.0932944606413995E-2</v>
      </c>
      <c r="AB1311" s="4">
        <v>43.5</v>
      </c>
      <c r="AC1311" s="4">
        <v>11.841666666666667</v>
      </c>
      <c r="AD1311" s="4">
        <v>42</v>
      </c>
      <c r="AE1311" s="8"/>
      <c r="AF1311" s="8"/>
      <c r="AG1311" s="8"/>
      <c r="AH1311" s="8"/>
      <c r="AI131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311" s="8"/>
      <c r="AK1311" s="4" t="s">
        <v>51</v>
      </c>
      <c r="AN1311">
        <f>IFERROR(INT(Table13[[#This Row],[reject_prod]]/Table13[[#This Row],[part_weight]] * 1000), 0)</f>
        <v>64</v>
      </c>
    </row>
    <row r="1312" spans="1:40" hidden="1">
      <c r="A1312" s="1">
        <v>46062</v>
      </c>
      <c r="B1312">
        <v>1</v>
      </c>
      <c r="C1312">
        <v>1</v>
      </c>
      <c r="D1312" t="s">
        <v>141</v>
      </c>
      <c r="E1312" t="s">
        <v>34</v>
      </c>
      <c r="F1312">
        <v>529004</v>
      </c>
      <c r="G1312" s="6">
        <v>0</v>
      </c>
      <c r="H1312" t="s">
        <v>723</v>
      </c>
      <c r="I1312">
        <v>10685632</v>
      </c>
      <c r="J1312">
        <v>4</v>
      </c>
      <c r="K1312">
        <v>31</v>
      </c>
      <c r="L1312">
        <v>31</v>
      </c>
      <c r="M1312">
        <v>540</v>
      </c>
      <c r="N1312" s="2">
        <v>20400</v>
      </c>
      <c r="O1312" s="2">
        <v>240</v>
      </c>
      <c r="P1312" s="2">
        <v>0</v>
      </c>
      <c r="Q1312" s="2">
        <v>2160</v>
      </c>
      <c r="R1312" s="2">
        <v>2400</v>
      </c>
      <c r="S1312">
        <v>74.400000000000006</v>
      </c>
      <c r="T1312" s="2">
        <v>20400</v>
      </c>
      <c r="U1312" s="2">
        <v>0</v>
      </c>
      <c r="V1312">
        <v>66.959999999999994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34.1</v>
      </c>
      <c r="AC1312">
        <v>5.1150000000000002</v>
      </c>
      <c r="AD1312">
        <v>29</v>
      </c>
      <c r="AE1312" s="7"/>
      <c r="AF1312" s="7"/>
      <c r="AG1312" s="7"/>
      <c r="AH1312" s="7"/>
      <c r="AI1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6.8849999999999998</v>
      </c>
      <c r="AJ1312" s="7"/>
      <c r="AK1312" t="s">
        <v>102</v>
      </c>
      <c r="AN1312">
        <f>IFERROR(INT(Table13[[#This Row],[reject_prod]]/Table13[[#This Row],[part_weight]] * 1000), 0)</f>
        <v>0</v>
      </c>
    </row>
    <row r="1313" spans="1:40" hidden="1">
      <c r="A1313" s="1">
        <v>46062</v>
      </c>
      <c r="B1313">
        <v>1</v>
      </c>
      <c r="C1313">
        <v>1</v>
      </c>
      <c r="D1313" t="s">
        <v>141</v>
      </c>
      <c r="E1313" t="s">
        <v>34</v>
      </c>
      <c r="F1313">
        <v>529004</v>
      </c>
      <c r="G1313" s="6">
        <v>0</v>
      </c>
      <c r="H1313" t="s">
        <v>723</v>
      </c>
      <c r="I1313">
        <v>10686802</v>
      </c>
      <c r="J1313">
        <v>4</v>
      </c>
      <c r="K1313">
        <v>31</v>
      </c>
      <c r="L1313">
        <v>31</v>
      </c>
      <c r="M1313">
        <v>717</v>
      </c>
      <c r="N1313" s="2">
        <v>8400</v>
      </c>
      <c r="O1313" s="2">
        <v>0</v>
      </c>
      <c r="P1313" s="2">
        <v>360</v>
      </c>
      <c r="Q1313" s="2">
        <v>2868</v>
      </c>
      <c r="R1313" s="2">
        <v>2400</v>
      </c>
      <c r="S1313">
        <v>74.400000000000006</v>
      </c>
      <c r="T1313" s="2">
        <v>2760</v>
      </c>
      <c r="U1313" s="2">
        <v>5640</v>
      </c>
      <c r="V1313">
        <v>88.908000000000001</v>
      </c>
      <c r="W1313">
        <v>0</v>
      </c>
      <c r="X1313">
        <v>0</v>
      </c>
      <c r="Y1313">
        <v>0</v>
      </c>
      <c r="Z1313">
        <v>3.4</v>
      </c>
      <c r="AA1313">
        <v>3.8241778017726186E-2</v>
      </c>
      <c r="AB1313">
        <v>34.1</v>
      </c>
      <c r="AC1313">
        <v>6.7915833333333335</v>
      </c>
      <c r="AD1313">
        <v>29</v>
      </c>
      <c r="AE1313" s="7"/>
      <c r="AF1313" s="7"/>
      <c r="AG1313" s="7"/>
      <c r="AH1313" s="7"/>
      <c r="AI1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5.2084166666666665</v>
      </c>
      <c r="AJ1313" s="7"/>
      <c r="AK1313" t="s">
        <v>768</v>
      </c>
      <c r="AN1313">
        <f>IFERROR(INT(Table13[[#This Row],[reject_prod]]/Table13[[#This Row],[part_weight]] * 1000), 0)</f>
        <v>109</v>
      </c>
    </row>
    <row r="1314" spans="1:40" hidden="1">
      <c r="A1314" s="1">
        <v>46062</v>
      </c>
      <c r="B1314">
        <v>1</v>
      </c>
      <c r="C1314">
        <v>2</v>
      </c>
      <c r="D1314" t="s">
        <v>61</v>
      </c>
      <c r="E1314" t="s">
        <v>34</v>
      </c>
      <c r="F1314">
        <v>324163</v>
      </c>
      <c r="G1314" s="6">
        <v>0</v>
      </c>
      <c r="H1314" t="s">
        <v>672</v>
      </c>
      <c r="I1314">
        <v>10684851</v>
      </c>
      <c r="J1314">
        <v>4</v>
      </c>
      <c r="K1314">
        <v>24</v>
      </c>
      <c r="L1314">
        <v>23.5</v>
      </c>
      <c r="M1314">
        <v>199</v>
      </c>
      <c r="N1314" s="2">
        <v>73152</v>
      </c>
      <c r="O1314" s="2">
        <v>4191</v>
      </c>
      <c r="P1314" s="2">
        <v>4953</v>
      </c>
      <c r="Q1314" s="2">
        <v>796</v>
      </c>
      <c r="R1314" s="2">
        <v>0</v>
      </c>
      <c r="S1314">
        <v>0</v>
      </c>
      <c r="T1314" s="2">
        <v>55245</v>
      </c>
      <c r="U1314" s="2">
        <v>17907</v>
      </c>
      <c r="V1314">
        <v>18.706</v>
      </c>
      <c r="W1314">
        <v>0</v>
      </c>
      <c r="X1314">
        <v>15</v>
      </c>
      <c r="Y1314">
        <v>0.80188174917138888</v>
      </c>
      <c r="Z1314">
        <v>0.7</v>
      </c>
      <c r="AA1314">
        <v>3.7421148294664815E-2</v>
      </c>
      <c r="AB1314">
        <v>22</v>
      </c>
      <c r="AC1314">
        <v>1.2161111111111111</v>
      </c>
      <c r="AD1314">
        <v>22.5</v>
      </c>
      <c r="AE1314" s="7"/>
      <c r="AF1314" s="7"/>
      <c r="AG1314" s="7"/>
      <c r="AH1314" s="7"/>
      <c r="AI1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10.783888888888889</v>
      </c>
      <c r="AJ1314" s="7"/>
      <c r="AK1314" t="s">
        <v>769</v>
      </c>
      <c r="AL1314">
        <v>8</v>
      </c>
      <c r="AM1314">
        <v>11</v>
      </c>
      <c r="AN1314">
        <f>IFERROR(INT(Table13[[#This Row],[reject_prod]]/Table13[[#This Row],[part_weight]] * 1000), 0)</f>
        <v>29</v>
      </c>
    </row>
    <row r="1315" spans="1:40" hidden="1">
      <c r="A1315" s="1">
        <v>46062</v>
      </c>
      <c r="B1315">
        <v>1</v>
      </c>
      <c r="C1315">
        <v>3</v>
      </c>
      <c r="D1315" t="s">
        <v>65</v>
      </c>
      <c r="E1315" t="s">
        <v>34</v>
      </c>
      <c r="F1315">
        <v>442034</v>
      </c>
      <c r="G1315" s="6">
        <v>0</v>
      </c>
      <c r="H1315" t="s">
        <v>37</v>
      </c>
      <c r="I1315">
        <v>10685633</v>
      </c>
      <c r="J1315">
        <v>4</v>
      </c>
      <c r="K1315">
        <v>23</v>
      </c>
      <c r="L1315">
        <v>23</v>
      </c>
      <c r="M1315">
        <v>1535</v>
      </c>
      <c r="N1315" s="2">
        <v>139776</v>
      </c>
      <c r="O1315" s="2">
        <v>3456</v>
      </c>
      <c r="P1315" s="2">
        <v>0</v>
      </c>
      <c r="Q1315" s="2">
        <v>6140</v>
      </c>
      <c r="R1315" s="2">
        <v>9216</v>
      </c>
      <c r="S1315">
        <v>211.96799999999999</v>
      </c>
      <c r="T1315" s="2">
        <v>73728</v>
      </c>
      <c r="U1315" s="2">
        <v>66048</v>
      </c>
      <c r="V1315">
        <v>141.22</v>
      </c>
      <c r="W1315">
        <v>0</v>
      </c>
      <c r="X1315">
        <v>0</v>
      </c>
      <c r="Y1315">
        <v>0</v>
      </c>
      <c r="Z1315">
        <v>8.6999999999999993</v>
      </c>
      <c r="AA1315">
        <v>6.1606004815181983E-2</v>
      </c>
      <c r="AB1315">
        <v>28.5</v>
      </c>
      <c r="AC1315">
        <v>12</v>
      </c>
      <c r="AD1315">
        <v>22</v>
      </c>
      <c r="AE1315" s="7"/>
      <c r="AF1315" s="7"/>
      <c r="AG1315" s="7"/>
      <c r="AH1315" s="7"/>
      <c r="AI1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15" s="7"/>
      <c r="AK1315" t="s">
        <v>770</v>
      </c>
      <c r="AN1315">
        <f>IFERROR(INT(Table13[[#This Row],[reject_prod]]/Table13[[#This Row],[part_weight]] * 1000), 0)</f>
        <v>378</v>
      </c>
    </row>
    <row r="1316" spans="1:40" hidden="1">
      <c r="A1316" s="1">
        <v>46062</v>
      </c>
      <c r="B1316">
        <v>1</v>
      </c>
      <c r="C1316">
        <v>4</v>
      </c>
      <c r="D1316" t="s">
        <v>67</v>
      </c>
      <c r="E1316" t="s">
        <v>34</v>
      </c>
      <c r="F1316">
        <v>322477</v>
      </c>
      <c r="G1316" s="6">
        <v>0</v>
      </c>
      <c r="H1316" t="s">
        <v>694</v>
      </c>
      <c r="I1316">
        <v>10686801</v>
      </c>
      <c r="J1316">
        <v>4</v>
      </c>
      <c r="K1316">
        <v>44</v>
      </c>
      <c r="L1316">
        <v>44</v>
      </c>
      <c r="M1316">
        <v>1643</v>
      </c>
      <c r="N1316" s="2">
        <v>38850</v>
      </c>
      <c r="O1316" s="2">
        <v>840</v>
      </c>
      <c r="P1316" s="2">
        <v>1050</v>
      </c>
      <c r="Q1316" s="2">
        <v>6572</v>
      </c>
      <c r="R1316" s="2">
        <v>6300</v>
      </c>
      <c r="S1316">
        <v>277.2</v>
      </c>
      <c r="T1316" s="2">
        <v>22470</v>
      </c>
      <c r="U1316" s="2">
        <v>16380</v>
      </c>
      <c r="V1316">
        <v>289.16800000000001</v>
      </c>
      <c r="W1316">
        <v>0</v>
      </c>
      <c r="X1316">
        <v>0</v>
      </c>
      <c r="Y1316">
        <v>0</v>
      </c>
      <c r="Z1316">
        <v>2.7</v>
      </c>
      <c r="AA1316">
        <v>9.3371327394455826E-3</v>
      </c>
      <c r="AB1316">
        <v>26.1</v>
      </c>
      <c r="AC1316">
        <v>11.911750000000001</v>
      </c>
      <c r="AD1316">
        <v>26</v>
      </c>
      <c r="AE1316" s="7"/>
      <c r="AF1316" s="7"/>
      <c r="AG1316" s="7"/>
      <c r="AH1316" s="7"/>
      <c r="AI1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8.8249999999998607E-2</v>
      </c>
      <c r="AJ1316" s="7"/>
      <c r="AK1316" t="s">
        <v>771</v>
      </c>
      <c r="AN1316">
        <f>IFERROR(INT(Table13[[#This Row],[reject_prod]]/Table13[[#This Row],[part_weight]] * 1000), 0)</f>
        <v>61</v>
      </c>
    </row>
    <row r="1317" spans="1:40" hidden="1">
      <c r="A1317" s="1">
        <v>46062</v>
      </c>
      <c r="B1317">
        <v>1</v>
      </c>
      <c r="C1317">
        <v>5</v>
      </c>
      <c r="D1317" t="s">
        <v>127</v>
      </c>
      <c r="E1317" t="s">
        <v>34</v>
      </c>
      <c r="F1317">
        <v>322448</v>
      </c>
      <c r="G1317" s="6">
        <v>0</v>
      </c>
      <c r="H1317" t="s">
        <v>654</v>
      </c>
      <c r="I1317">
        <v>10686572</v>
      </c>
      <c r="J1317">
        <v>4</v>
      </c>
      <c r="K1317">
        <v>40</v>
      </c>
      <c r="L1317">
        <v>40</v>
      </c>
      <c r="M1317">
        <v>1376</v>
      </c>
      <c r="N1317" s="2">
        <v>58320</v>
      </c>
      <c r="O1317" s="2">
        <v>324</v>
      </c>
      <c r="P1317" s="2">
        <v>0</v>
      </c>
      <c r="Q1317" s="2">
        <v>5504</v>
      </c>
      <c r="R1317" s="2">
        <v>5670</v>
      </c>
      <c r="S1317">
        <v>226.8</v>
      </c>
      <c r="T1317" s="2">
        <v>58320</v>
      </c>
      <c r="U1317" s="2">
        <v>0</v>
      </c>
      <c r="V1317">
        <v>220.16</v>
      </c>
      <c r="W1317">
        <v>0</v>
      </c>
      <c r="X1317">
        <v>0</v>
      </c>
      <c r="Y1317">
        <v>0</v>
      </c>
      <c r="Z1317">
        <v>6.2</v>
      </c>
      <c r="AA1317">
        <v>2.8161337209302327E-2</v>
      </c>
      <c r="AB1317">
        <v>25.7</v>
      </c>
      <c r="AC1317">
        <v>9.8231111111111105</v>
      </c>
      <c r="AD1317">
        <v>23</v>
      </c>
      <c r="AE1317" s="7"/>
      <c r="AF1317" s="7"/>
      <c r="AG1317" s="7"/>
      <c r="AH1317" s="7"/>
      <c r="AI1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2.1768888888888895</v>
      </c>
      <c r="AJ1317" s="7"/>
      <c r="AK1317" t="s">
        <v>102</v>
      </c>
      <c r="AL1317">
        <v>2</v>
      </c>
      <c r="AM1317">
        <v>2</v>
      </c>
      <c r="AN1317">
        <f>IFERROR(INT(Table13[[#This Row],[reject_prod]]/Table13[[#This Row],[part_weight]] * 1000), 0)</f>
        <v>155</v>
      </c>
    </row>
    <row r="1318" spans="1:40" hidden="1">
      <c r="A1318" s="1">
        <v>46062</v>
      </c>
      <c r="B1318">
        <v>1</v>
      </c>
      <c r="C1318">
        <v>5</v>
      </c>
      <c r="D1318" t="s">
        <v>127</v>
      </c>
      <c r="E1318" t="s">
        <v>34</v>
      </c>
      <c r="F1318">
        <v>322448</v>
      </c>
      <c r="G1318" s="6">
        <v>0</v>
      </c>
      <c r="H1318" t="s">
        <v>654</v>
      </c>
      <c r="I1318">
        <v>10686670</v>
      </c>
      <c r="J1318">
        <v>4</v>
      </c>
      <c r="K1318">
        <v>40</v>
      </c>
      <c r="L1318">
        <v>40</v>
      </c>
      <c r="M1318">
        <v>284</v>
      </c>
      <c r="N1318" s="2">
        <v>29160</v>
      </c>
      <c r="O1318" s="2">
        <v>0</v>
      </c>
      <c r="P1318" s="2">
        <v>324</v>
      </c>
      <c r="Q1318" s="2">
        <v>1136</v>
      </c>
      <c r="R1318" s="2">
        <v>810</v>
      </c>
      <c r="S1318">
        <v>32.4</v>
      </c>
      <c r="T1318" s="2">
        <v>1134</v>
      </c>
      <c r="U1318" s="2">
        <v>28026</v>
      </c>
      <c r="V1318">
        <v>45.44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25.7</v>
      </c>
      <c r="AC1318">
        <v>2.0274444444444444</v>
      </c>
      <c r="AD1318">
        <v>23</v>
      </c>
      <c r="AE1318" s="7"/>
      <c r="AF1318" s="7"/>
      <c r="AG1318" s="7"/>
      <c r="AH1318" s="7"/>
      <c r="AI1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9.9725555555555552</v>
      </c>
      <c r="AJ1318" s="7"/>
      <c r="AK1318" t="s">
        <v>540</v>
      </c>
      <c r="AN1318">
        <f>IFERROR(INT(Table13[[#This Row],[reject_prod]]/Table13[[#This Row],[part_weight]] * 1000), 0)</f>
        <v>0</v>
      </c>
    </row>
    <row r="1319" spans="1:40" hidden="1">
      <c r="A1319" s="1">
        <v>46062</v>
      </c>
      <c r="B1319">
        <v>1</v>
      </c>
      <c r="C1319">
        <v>6</v>
      </c>
      <c r="D1319" t="s">
        <v>170</v>
      </c>
      <c r="E1319" t="s">
        <v>34</v>
      </c>
      <c r="F1319">
        <v>322445</v>
      </c>
      <c r="G1319" s="6">
        <v>0</v>
      </c>
      <c r="H1319" t="s">
        <v>743</v>
      </c>
      <c r="I1319">
        <v>10685637</v>
      </c>
      <c r="J1319">
        <v>4</v>
      </c>
      <c r="K1319">
        <v>32.74</v>
      </c>
      <c r="L1319">
        <v>33</v>
      </c>
      <c r="M1319">
        <v>1805</v>
      </c>
      <c r="N1319" s="2">
        <v>72000</v>
      </c>
      <c r="O1319" s="2">
        <v>180</v>
      </c>
      <c r="P1319" s="2">
        <v>180</v>
      </c>
      <c r="Q1319" s="2">
        <v>7220</v>
      </c>
      <c r="R1319" s="2">
        <v>7200</v>
      </c>
      <c r="S1319">
        <v>237.6</v>
      </c>
      <c r="T1319" s="2">
        <v>18180</v>
      </c>
      <c r="U1319" s="2">
        <v>53820</v>
      </c>
      <c r="V1319">
        <v>238.26</v>
      </c>
      <c r="W1319">
        <v>0</v>
      </c>
      <c r="X1319">
        <v>0</v>
      </c>
      <c r="Y1319">
        <v>0</v>
      </c>
      <c r="Z1319">
        <v>0.5</v>
      </c>
      <c r="AA1319">
        <v>2.0985478049189961E-3</v>
      </c>
      <c r="AB1319">
        <v>23.3</v>
      </c>
      <c r="AC1319">
        <v>11.682361111111112</v>
      </c>
      <c r="AD1319">
        <v>22</v>
      </c>
      <c r="AE1319" s="7"/>
      <c r="AF1319" s="7"/>
      <c r="AG1319" s="7"/>
      <c r="AH1319" s="7"/>
      <c r="AI1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0.31763888888888836</v>
      </c>
      <c r="AJ1319" s="7"/>
      <c r="AK1319" t="s">
        <v>214</v>
      </c>
      <c r="AL1319">
        <v>10</v>
      </c>
      <c r="AM1319">
        <v>4</v>
      </c>
      <c r="AN1319">
        <f>IFERROR(INT(Table13[[#This Row],[reject_prod]]/Table13[[#This Row],[part_weight]] * 1000), 0)</f>
        <v>15</v>
      </c>
    </row>
    <row r="1320" spans="1:40" hidden="1">
      <c r="A1320" s="1">
        <v>46062</v>
      </c>
      <c r="B1320">
        <v>1</v>
      </c>
      <c r="C1320">
        <v>7</v>
      </c>
      <c r="D1320" t="s">
        <v>698</v>
      </c>
      <c r="E1320" t="s">
        <v>34</v>
      </c>
      <c r="F1320">
        <v>647556</v>
      </c>
      <c r="G1320" s="6">
        <v>0</v>
      </c>
      <c r="H1320" t="s">
        <v>458</v>
      </c>
      <c r="I1320">
        <v>10685214</v>
      </c>
      <c r="J1320">
        <v>4</v>
      </c>
      <c r="K1320">
        <v>35</v>
      </c>
      <c r="L1320">
        <v>34.5</v>
      </c>
      <c r="M1320">
        <v>1841</v>
      </c>
      <c r="N1320" s="2">
        <v>27720</v>
      </c>
      <c r="O1320" s="2">
        <v>132</v>
      </c>
      <c r="P1320" s="2">
        <v>0</v>
      </c>
      <c r="Q1320" s="2">
        <v>7364</v>
      </c>
      <c r="R1320" s="2">
        <v>7392</v>
      </c>
      <c r="S1320">
        <v>255.024</v>
      </c>
      <c r="T1320" s="2">
        <v>24024</v>
      </c>
      <c r="U1320" s="2">
        <v>3696</v>
      </c>
      <c r="V1320">
        <v>254.05799999999999</v>
      </c>
      <c r="W1320">
        <v>3.6819999999999999</v>
      </c>
      <c r="X1320">
        <v>0</v>
      </c>
      <c r="Y1320">
        <v>0</v>
      </c>
      <c r="Z1320">
        <v>3.7</v>
      </c>
      <c r="AA1320">
        <v>1.4563603586582593E-2</v>
      </c>
      <c r="AB1320">
        <v>23.31</v>
      </c>
      <c r="AC1320">
        <v>11.920475</v>
      </c>
      <c r="AD1320">
        <v>20.399999999999999</v>
      </c>
      <c r="AE1320" s="7"/>
      <c r="AF1320" s="7"/>
      <c r="AG1320" s="7"/>
      <c r="AH1320" s="7"/>
      <c r="AI1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7.952500000000029E-2</v>
      </c>
      <c r="AJ1320" s="7"/>
      <c r="AK1320" t="s">
        <v>168</v>
      </c>
      <c r="AL1320">
        <v>3</v>
      </c>
      <c r="AM1320">
        <v>4</v>
      </c>
      <c r="AN1320">
        <f>IFERROR(INT(Table13[[#This Row],[reject_prod]]/Table13[[#This Row],[part_weight]] * 1000), 0)</f>
        <v>107</v>
      </c>
    </row>
    <row r="1321" spans="1:40" hidden="1">
      <c r="A1321" s="1">
        <v>46062</v>
      </c>
      <c r="B1321">
        <v>1</v>
      </c>
      <c r="C1321">
        <v>8</v>
      </c>
      <c r="D1321" t="s">
        <v>43</v>
      </c>
      <c r="E1321" t="s">
        <v>41</v>
      </c>
      <c r="F1321">
        <v>593537</v>
      </c>
      <c r="G1321" s="6">
        <v>0</v>
      </c>
      <c r="H1321" t="s">
        <v>48</v>
      </c>
      <c r="I1321">
        <v>10685813</v>
      </c>
      <c r="J1321">
        <v>4</v>
      </c>
      <c r="K1321">
        <v>56.5</v>
      </c>
      <c r="L1321">
        <v>56.8</v>
      </c>
      <c r="M1321">
        <v>1051</v>
      </c>
      <c r="N1321" s="2">
        <v>69000</v>
      </c>
      <c r="O1321" s="2">
        <v>0</v>
      </c>
      <c r="P1321" s="2">
        <v>115</v>
      </c>
      <c r="Q1321" s="2">
        <v>4204</v>
      </c>
      <c r="R1321" s="2">
        <v>4025</v>
      </c>
      <c r="S1321">
        <v>228.62</v>
      </c>
      <c r="T1321" s="2">
        <v>58190</v>
      </c>
      <c r="U1321" s="2">
        <v>10810</v>
      </c>
      <c r="V1321">
        <v>238.78719999999998</v>
      </c>
      <c r="W1321">
        <v>0</v>
      </c>
      <c r="X1321">
        <v>3</v>
      </c>
      <c r="Y1321">
        <v>1.2563487490116723E-2</v>
      </c>
      <c r="Z1321">
        <v>0.5</v>
      </c>
      <c r="AA1321">
        <v>2.0939145816861208E-3</v>
      </c>
      <c r="AB1321">
        <v>30.5</v>
      </c>
      <c r="AC1321">
        <v>8.9043055555555561</v>
      </c>
      <c r="AD1321">
        <v>28.5</v>
      </c>
      <c r="AE1321" s="7"/>
      <c r="AF1321" s="7"/>
      <c r="AG1321" s="7"/>
      <c r="AH1321" s="7"/>
      <c r="AI1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3.0956944444444439</v>
      </c>
      <c r="AJ1321" s="7"/>
      <c r="AK1321" t="s">
        <v>51</v>
      </c>
      <c r="AL1321">
        <v>6</v>
      </c>
      <c r="AM1321">
        <v>3</v>
      </c>
      <c r="AN1321">
        <f>IFERROR(INT(Table13[[#This Row],[reject_prod]]/Table13[[#This Row],[part_weight]] * 1000), 0)</f>
        <v>8</v>
      </c>
    </row>
    <row r="1322" spans="1:40" hidden="1">
      <c r="A1322" s="1">
        <v>46062</v>
      </c>
      <c r="B1322">
        <v>1</v>
      </c>
      <c r="C1322">
        <v>9</v>
      </c>
      <c r="D1322" t="s">
        <v>772</v>
      </c>
      <c r="E1322" t="s">
        <v>46</v>
      </c>
      <c r="F1322">
        <v>586276</v>
      </c>
      <c r="G1322" s="6">
        <v>1</v>
      </c>
      <c r="H1322" t="s">
        <v>47</v>
      </c>
      <c r="I1322">
        <v>10683781</v>
      </c>
      <c r="J1322">
        <v>6</v>
      </c>
      <c r="K1322">
        <v>12.3</v>
      </c>
      <c r="L1322">
        <v>12.3</v>
      </c>
      <c r="M1322">
        <v>1632</v>
      </c>
      <c r="N1322" s="2">
        <v>162000</v>
      </c>
      <c r="O1322" s="2">
        <v>1620</v>
      </c>
      <c r="P1322" s="2">
        <v>3240</v>
      </c>
      <c r="Q1322" s="2">
        <v>9792</v>
      </c>
      <c r="R1322" s="2">
        <v>8100</v>
      </c>
      <c r="S1322">
        <v>99.63</v>
      </c>
      <c r="T1322" s="2">
        <v>59940</v>
      </c>
      <c r="U1322" s="2">
        <v>102060</v>
      </c>
      <c r="V1322">
        <v>120.44160000000001</v>
      </c>
      <c r="W1322">
        <v>0</v>
      </c>
      <c r="X1322">
        <v>0</v>
      </c>
      <c r="Y1322">
        <v>0</v>
      </c>
      <c r="Z1322">
        <v>0.8</v>
      </c>
      <c r="AA1322">
        <v>6.6422232849779475E-3</v>
      </c>
      <c r="AB1322">
        <v>25.7</v>
      </c>
      <c r="AC1322">
        <v>11.650666666666666</v>
      </c>
      <c r="AD1322">
        <v>26</v>
      </c>
      <c r="AE1322" s="7"/>
      <c r="AF1322" s="7"/>
      <c r="AG1322" s="7"/>
      <c r="AH1322" s="7"/>
      <c r="AI1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0.34933333333333394</v>
      </c>
      <c r="AJ1322" s="7"/>
      <c r="AK1322" t="s">
        <v>51</v>
      </c>
      <c r="AN1322">
        <f>IFERROR(INT(Table13[[#This Row],[reject_prod]]/Table13[[#This Row],[part_weight]] * 1000), 0)</f>
        <v>65</v>
      </c>
    </row>
    <row r="1323" spans="1:40" hidden="1">
      <c r="A1323" s="1">
        <v>46062</v>
      </c>
      <c r="B1323">
        <v>1</v>
      </c>
      <c r="C1323">
        <v>10</v>
      </c>
      <c r="D1323" t="s">
        <v>40</v>
      </c>
      <c r="E1323" t="s">
        <v>34</v>
      </c>
      <c r="F1323">
        <v>324638</v>
      </c>
      <c r="G1323" s="6">
        <v>0</v>
      </c>
      <c r="H1323" t="s">
        <v>687</v>
      </c>
      <c r="I1323">
        <v>10686808</v>
      </c>
      <c r="J1323">
        <v>4</v>
      </c>
      <c r="K1323">
        <v>77.5</v>
      </c>
      <c r="L1323">
        <v>77.5</v>
      </c>
      <c r="M1323">
        <v>106</v>
      </c>
      <c r="N1323" s="2">
        <v>19872</v>
      </c>
      <c r="O1323" s="2">
        <v>138</v>
      </c>
      <c r="P1323" s="2">
        <v>138</v>
      </c>
      <c r="Q1323" s="2">
        <v>424</v>
      </c>
      <c r="R1323" s="2">
        <v>276</v>
      </c>
      <c r="S1323">
        <v>21.39</v>
      </c>
      <c r="T1323" s="2">
        <v>5935</v>
      </c>
      <c r="U1323" s="2">
        <v>13937</v>
      </c>
      <c r="V1323">
        <v>32.86</v>
      </c>
      <c r="W1323">
        <v>0</v>
      </c>
      <c r="X1323">
        <v>11.3</v>
      </c>
      <c r="Y1323">
        <v>0.34388314059646991</v>
      </c>
      <c r="Z1323">
        <v>0</v>
      </c>
      <c r="AA1323">
        <v>0</v>
      </c>
      <c r="AB1323">
        <v>38.6</v>
      </c>
      <c r="AC1323">
        <v>1.1365555555555558</v>
      </c>
      <c r="AD1323">
        <v>36</v>
      </c>
      <c r="AE1323" s="7"/>
      <c r="AF1323" s="7"/>
      <c r="AG1323" s="7"/>
      <c r="AH1323" s="7"/>
      <c r="AI1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10.863444444444443</v>
      </c>
      <c r="AJ1323" s="7"/>
      <c r="AK1323" t="s">
        <v>773</v>
      </c>
      <c r="AL1323">
        <v>6</v>
      </c>
      <c r="AM1323">
        <v>12</v>
      </c>
      <c r="AN1323">
        <f>IFERROR(INT(Table13[[#This Row],[reject_prod]]/Table13[[#This Row],[part_weight]] * 1000), 0)</f>
        <v>0</v>
      </c>
    </row>
    <row r="1324" spans="1:40" hidden="1">
      <c r="A1324" s="1">
        <v>46062</v>
      </c>
      <c r="B1324">
        <v>1</v>
      </c>
      <c r="C1324">
        <v>11</v>
      </c>
      <c r="D1324" t="s">
        <v>112</v>
      </c>
      <c r="E1324" t="s">
        <v>46</v>
      </c>
      <c r="F1324">
        <v>552181</v>
      </c>
      <c r="G1324" s="6">
        <v>1</v>
      </c>
      <c r="H1324" t="s">
        <v>49</v>
      </c>
      <c r="I1324">
        <v>10685339</v>
      </c>
      <c r="J1324">
        <v>6</v>
      </c>
      <c r="K1324">
        <v>18.8</v>
      </c>
      <c r="L1324">
        <v>18.8</v>
      </c>
      <c r="M1324">
        <v>1464</v>
      </c>
      <c r="N1324" s="2">
        <v>108000</v>
      </c>
      <c r="O1324" s="2">
        <v>540</v>
      </c>
      <c r="P1324" s="2">
        <v>3780</v>
      </c>
      <c r="Q1324" s="2">
        <v>8784</v>
      </c>
      <c r="R1324" s="2">
        <v>5400</v>
      </c>
      <c r="S1324">
        <v>101.52</v>
      </c>
      <c r="T1324" s="2">
        <v>81000</v>
      </c>
      <c r="U1324" s="2">
        <v>27000</v>
      </c>
      <c r="V1324">
        <v>165.13920000000002</v>
      </c>
      <c r="W1324">
        <v>0</v>
      </c>
      <c r="X1324">
        <v>0</v>
      </c>
      <c r="Y1324">
        <v>0</v>
      </c>
      <c r="Z1324">
        <v>2.7</v>
      </c>
      <c r="AA1324">
        <v>1.6349843041506801E-2</v>
      </c>
      <c r="AB1324">
        <v>29.4</v>
      </c>
      <c r="AC1324">
        <v>11.956</v>
      </c>
      <c r="AD1324">
        <v>27</v>
      </c>
      <c r="AE1324" s="7"/>
      <c r="AF1324" s="7"/>
      <c r="AG1324" s="7"/>
      <c r="AH1324" s="7"/>
      <c r="AI1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4.4000000000000483E-2</v>
      </c>
      <c r="AJ1324" s="7"/>
      <c r="AK1324" t="s">
        <v>480</v>
      </c>
      <c r="AN1324">
        <f>IFERROR(INT(Table13[[#This Row],[reject_prod]]/Table13[[#This Row],[part_weight]] * 1000), 0)</f>
        <v>143</v>
      </c>
    </row>
    <row r="1325" spans="1:40" hidden="1">
      <c r="A1325" s="1">
        <v>46062</v>
      </c>
      <c r="B1325">
        <v>1</v>
      </c>
      <c r="C1325">
        <v>12</v>
      </c>
      <c r="D1325" t="s">
        <v>152</v>
      </c>
      <c r="E1325" t="s">
        <v>34</v>
      </c>
      <c r="F1325">
        <v>620599</v>
      </c>
      <c r="G1325" s="6">
        <v>0</v>
      </c>
      <c r="H1325" t="s">
        <v>50</v>
      </c>
      <c r="I1325">
        <v>10686674</v>
      </c>
      <c r="J1325">
        <v>4</v>
      </c>
      <c r="K1325">
        <v>55</v>
      </c>
      <c r="L1325">
        <v>55</v>
      </c>
      <c r="M1325">
        <v>1428</v>
      </c>
      <c r="N1325" s="2">
        <v>72000</v>
      </c>
      <c r="O1325" s="2">
        <v>0</v>
      </c>
      <c r="P1325" s="2">
        <v>225</v>
      </c>
      <c r="Q1325" s="2">
        <v>5712</v>
      </c>
      <c r="R1325" s="2">
        <v>5400</v>
      </c>
      <c r="S1325">
        <v>297</v>
      </c>
      <c r="T1325" s="2">
        <v>14400</v>
      </c>
      <c r="U1325" s="2">
        <v>57600</v>
      </c>
      <c r="V1325">
        <v>314.16000000000003</v>
      </c>
      <c r="W1325">
        <v>0</v>
      </c>
      <c r="X1325">
        <v>3</v>
      </c>
      <c r="Y1325">
        <v>9.5492742551566076E-3</v>
      </c>
      <c r="Z1325">
        <v>1.5</v>
      </c>
      <c r="AA1325">
        <v>4.7746371275783038E-3</v>
      </c>
      <c r="AB1325">
        <v>28.8</v>
      </c>
      <c r="AC1325">
        <v>11.423999999999999</v>
      </c>
      <c r="AD1325">
        <v>28</v>
      </c>
      <c r="AE1325" s="7"/>
      <c r="AF1325" s="7"/>
      <c r="AG1325" s="7"/>
      <c r="AH1325" s="7"/>
      <c r="AI1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0.57600000000000051</v>
      </c>
      <c r="AJ1325" s="7"/>
      <c r="AK1325" t="s">
        <v>178</v>
      </c>
      <c r="AN1325">
        <f>IFERROR(INT(Table13[[#This Row],[reject_prod]]/Table13[[#This Row],[part_weight]] * 1000), 0)</f>
        <v>27</v>
      </c>
    </row>
    <row r="1326" spans="1:40" hidden="1">
      <c r="A1326" s="1">
        <v>46062</v>
      </c>
      <c r="B1326">
        <v>1</v>
      </c>
      <c r="C1326">
        <v>13</v>
      </c>
      <c r="D1326" t="s">
        <v>112</v>
      </c>
      <c r="E1326" t="s">
        <v>46</v>
      </c>
      <c r="F1326">
        <v>586276</v>
      </c>
      <c r="G1326" s="6">
        <v>2</v>
      </c>
      <c r="H1326" t="s">
        <v>47</v>
      </c>
      <c r="I1326">
        <v>10686191</v>
      </c>
      <c r="J1326">
        <v>6</v>
      </c>
      <c r="K1326">
        <v>12.3</v>
      </c>
      <c r="L1326">
        <v>12.3</v>
      </c>
      <c r="M1326">
        <v>885</v>
      </c>
      <c r="N1326" s="2">
        <v>162000</v>
      </c>
      <c r="O1326" s="2">
        <v>2835</v>
      </c>
      <c r="P1326" s="2">
        <v>0</v>
      </c>
      <c r="Q1326" s="2">
        <v>5310</v>
      </c>
      <c r="R1326" s="2">
        <v>8100</v>
      </c>
      <c r="S1326">
        <v>99.63</v>
      </c>
      <c r="T1326" s="2">
        <v>162000</v>
      </c>
      <c r="U1326" s="2">
        <v>0</v>
      </c>
      <c r="V1326">
        <v>65.313000000000002</v>
      </c>
      <c r="W1326">
        <v>0</v>
      </c>
      <c r="X1326">
        <v>0</v>
      </c>
      <c r="Y1326">
        <v>0</v>
      </c>
      <c r="Z1326">
        <v>0.5</v>
      </c>
      <c r="AA1326">
        <v>7.6554437860762783E-3</v>
      </c>
      <c r="AB1326">
        <v>26.2</v>
      </c>
      <c r="AC1326">
        <v>6.4408333333333339</v>
      </c>
      <c r="AD1326">
        <v>26</v>
      </c>
      <c r="AE1326" s="7"/>
      <c r="AF1326" s="7"/>
      <c r="AG1326" s="7"/>
      <c r="AH1326" s="7"/>
      <c r="AI1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5.5591666666666661</v>
      </c>
      <c r="AJ1326" s="7"/>
      <c r="AK1326" t="s">
        <v>102</v>
      </c>
      <c r="AN1326">
        <f>IFERROR(INT(Table13[[#This Row],[reject_prod]]/Table13[[#This Row],[part_weight]] * 1000), 0)</f>
        <v>40</v>
      </c>
    </row>
    <row r="1327" spans="1:40" hidden="1">
      <c r="A1327" s="1">
        <v>46062</v>
      </c>
      <c r="B1327">
        <v>1</v>
      </c>
      <c r="C1327">
        <v>13</v>
      </c>
      <c r="D1327" t="s">
        <v>112</v>
      </c>
      <c r="E1327" t="s">
        <v>46</v>
      </c>
      <c r="F1327">
        <v>586276</v>
      </c>
      <c r="G1327" s="6">
        <v>2</v>
      </c>
      <c r="H1327" t="s">
        <v>47</v>
      </c>
      <c r="I1327">
        <v>10686676</v>
      </c>
      <c r="J1327">
        <v>6</v>
      </c>
      <c r="K1327">
        <v>12.3</v>
      </c>
      <c r="L1327">
        <v>12.3</v>
      </c>
      <c r="M1327">
        <v>743</v>
      </c>
      <c r="N1327" s="2">
        <v>162000</v>
      </c>
      <c r="O1327" s="2">
        <v>0</v>
      </c>
      <c r="P1327" s="2">
        <v>4455</v>
      </c>
      <c r="Q1327" s="2">
        <v>4458</v>
      </c>
      <c r="R1327" s="2">
        <v>0</v>
      </c>
      <c r="S1327">
        <v>0</v>
      </c>
      <c r="T1327" s="2">
        <v>4455</v>
      </c>
      <c r="U1327" s="2">
        <v>157545</v>
      </c>
      <c r="V1327">
        <v>54.833400000000005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26.2</v>
      </c>
      <c r="AC1327">
        <v>5.4073888888888888</v>
      </c>
      <c r="AD1327">
        <v>26</v>
      </c>
      <c r="AE1327" s="7"/>
      <c r="AF1327" s="7"/>
      <c r="AG1327" s="7"/>
      <c r="AH1327" s="7"/>
      <c r="AI1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6.5926111111111112</v>
      </c>
      <c r="AJ1327" s="7"/>
      <c r="AK1327" t="s">
        <v>51</v>
      </c>
      <c r="AN1327">
        <f>IFERROR(INT(Table13[[#This Row],[reject_prod]]/Table13[[#This Row],[part_weight]] * 1000), 0)</f>
        <v>0</v>
      </c>
    </row>
    <row r="1328" spans="1:40" hidden="1">
      <c r="A1328" s="1">
        <v>46062</v>
      </c>
      <c r="B1328">
        <v>1</v>
      </c>
      <c r="C1328">
        <v>14</v>
      </c>
      <c r="D1328" t="s">
        <v>33</v>
      </c>
      <c r="E1328" t="s">
        <v>46</v>
      </c>
      <c r="F1328">
        <v>555979</v>
      </c>
      <c r="G1328" s="6">
        <v>1</v>
      </c>
      <c r="H1328" t="s">
        <v>52</v>
      </c>
      <c r="I1328">
        <v>10683785</v>
      </c>
      <c r="J1328">
        <v>6</v>
      </c>
      <c r="K1328">
        <v>28</v>
      </c>
      <c r="L1328">
        <v>28</v>
      </c>
      <c r="M1328">
        <v>0</v>
      </c>
      <c r="N1328" s="2">
        <v>100800</v>
      </c>
      <c r="O1328" s="2">
        <v>0</v>
      </c>
      <c r="P1328" s="2">
        <v>0</v>
      </c>
      <c r="Q1328" s="2">
        <v>0</v>
      </c>
      <c r="R1328" s="2">
        <v>0</v>
      </c>
      <c r="S1328">
        <v>0</v>
      </c>
      <c r="T1328" s="2">
        <v>30240</v>
      </c>
      <c r="U1328" s="2">
        <v>70560</v>
      </c>
      <c r="V1328">
        <v>0</v>
      </c>
      <c r="W1328">
        <v>0</v>
      </c>
      <c r="X1328">
        <v>0</v>
      </c>
      <c r="Y1328" t="e">
        <v>#DIV/0!</v>
      </c>
      <c r="Z1328">
        <v>0</v>
      </c>
      <c r="AA1328" t="e">
        <v>#DIV/0!</v>
      </c>
      <c r="AB1328">
        <v>43</v>
      </c>
      <c r="AC1328">
        <v>0</v>
      </c>
      <c r="AD1328">
        <v>42</v>
      </c>
      <c r="AE1328" s="7"/>
      <c r="AF1328" s="7"/>
      <c r="AG1328" s="7"/>
      <c r="AH1328" s="7"/>
      <c r="AI1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28" s="7"/>
      <c r="AK1328" t="s">
        <v>774</v>
      </c>
      <c r="AL1328">
        <v>3</v>
      </c>
      <c r="AM1328">
        <v>2</v>
      </c>
      <c r="AN1328">
        <f>IFERROR(INT(Table13[[#This Row],[reject_prod]]/Table13[[#This Row],[part_weight]] * 1000), 0)</f>
        <v>0</v>
      </c>
    </row>
    <row r="1329" spans="1:40" hidden="1">
      <c r="A1329" s="1">
        <v>46062</v>
      </c>
      <c r="B1329">
        <v>1</v>
      </c>
      <c r="C1329">
        <v>15</v>
      </c>
      <c r="D1329" t="s">
        <v>112</v>
      </c>
      <c r="E1329" t="s">
        <v>46</v>
      </c>
      <c r="F1329">
        <v>552181</v>
      </c>
      <c r="G1329" s="6">
        <v>2</v>
      </c>
      <c r="H1329" t="s">
        <v>49</v>
      </c>
      <c r="I1329">
        <v>10685542</v>
      </c>
      <c r="J1329">
        <v>6</v>
      </c>
      <c r="K1329">
        <v>18.8</v>
      </c>
      <c r="L1329">
        <v>18.8</v>
      </c>
      <c r="M1329">
        <v>1355</v>
      </c>
      <c r="N1329" s="2">
        <v>108000</v>
      </c>
      <c r="O1329" s="2">
        <v>2700</v>
      </c>
      <c r="P1329" s="2">
        <v>1080</v>
      </c>
      <c r="Q1329" s="2">
        <v>8130</v>
      </c>
      <c r="R1329" s="2">
        <v>10800</v>
      </c>
      <c r="S1329">
        <v>203.04</v>
      </c>
      <c r="T1329" s="2">
        <v>71280</v>
      </c>
      <c r="U1329" s="2">
        <v>36720</v>
      </c>
      <c r="V1329">
        <v>152.84399999999999</v>
      </c>
      <c r="W1329">
        <v>0</v>
      </c>
      <c r="X1329">
        <v>9.6999999999999993</v>
      </c>
      <c r="Y1329">
        <v>6.3463400591452723E-2</v>
      </c>
      <c r="Z1329">
        <v>0</v>
      </c>
      <c r="AA1329">
        <v>0</v>
      </c>
      <c r="AB1329">
        <v>31.2</v>
      </c>
      <c r="AC1329">
        <v>11.743333333333332</v>
      </c>
      <c r="AD1329">
        <v>27</v>
      </c>
      <c r="AE1329" s="7"/>
      <c r="AF1329" s="7"/>
      <c r="AG1329" s="7"/>
      <c r="AH1329" s="7"/>
      <c r="AI1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1329" s="7"/>
      <c r="AK1329" t="s">
        <v>51</v>
      </c>
      <c r="AN1329">
        <f>IFERROR(INT(Table13[[#This Row],[reject_prod]]/Table13[[#This Row],[part_weight]] * 1000), 0)</f>
        <v>0</v>
      </c>
    </row>
    <row r="1330" spans="1:40" hidden="1">
      <c r="A1330" s="1">
        <v>46062</v>
      </c>
      <c r="B1330">
        <v>1</v>
      </c>
      <c r="C1330">
        <v>15</v>
      </c>
      <c r="D1330" t="s">
        <v>112</v>
      </c>
      <c r="E1330" t="s">
        <v>46</v>
      </c>
      <c r="F1330">
        <v>552181</v>
      </c>
      <c r="G1330" s="6">
        <v>2</v>
      </c>
      <c r="H1330" t="s">
        <v>49</v>
      </c>
      <c r="I1330">
        <v>10685542</v>
      </c>
      <c r="J1330">
        <v>6</v>
      </c>
      <c r="K1330">
        <v>18.8</v>
      </c>
      <c r="L1330">
        <v>18.8</v>
      </c>
      <c r="M1330">
        <v>455</v>
      </c>
      <c r="N1330" s="2">
        <v>0</v>
      </c>
      <c r="O1330" s="2">
        <v>0</v>
      </c>
      <c r="P1330" s="2">
        <v>0</v>
      </c>
      <c r="Q1330" s="2">
        <v>2730</v>
      </c>
      <c r="R1330" s="2">
        <v>2729</v>
      </c>
      <c r="S1330">
        <v>51.305200000000006</v>
      </c>
      <c r="T1330" s="2">
        <v>0</v>
      </c>
      <c r="U1330" s="2">
        <v>0</v>
      </c>
      <c r="V1330">
        <v>51.323999999999998</v>
      </c>
      <c r="W1330">
        <v>0</v>
      </c>
      <c r="X1330">
        <v>0</v>
      </c>
      <c r="Y1330">
        <v>0</v>
      </c>
      <c r="Z1330">
        <v>0.5</v>
      </c>
      <c r="AA1330">
        <v>9.7420310186267633E-3</v>
      </c>
      <c r="AB1330">
        <v>31.2</v>
      </c>
      <c r="AC1330">
        <v>3.9433333333333334</v>
      </c>
      <c r="AD1330">
        <v>27</v>
      </c>
      <c r="AE1330" s="7"/>
      <c r="AF1330" s="7"/>
      <c r="AG1330" s="7"/>
      <c r="AH1330" s="7"/>
      <c r="AI1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8.0566666666666666</v>
      </c>
      <c r="AJ1330" s="7"/>
      <c r="AK1330" t="s">
        <v>775</v>
      </c>
      <c r="AN1330">
        <f>IFERROR(INT(Table13[[#This Row],[reject_prod]]/Table13[[#This Row],[part_weight]] * 1000), 0)</f>
        <v>26</v>
      </c>
    </row>
    <row r="1331" spans="1:40" s="4" customFormat="1" hidden="1">
      <c r="A1331" s="3">
        <v>46062</v>
      </c>
      <c r="B1331" s="4">
        <v>1</v>
      </c>
      <c r="C1331" s="4">
        <v>16</v>
      </c>
      <c r="D1331" s="4" t="s">
        <v>776</v>
      </c>
      <c r="E1331" s="4" t="s">
        <v>46</v>
      </c>
      <c r="F1331" s="4">
        <v>555979</v>
      </c>
      <c r="G1331" s="9">
        <v>2</v>
      </c>
      <c r="H1331" s="4" t="s">
        <v>52</v>
      </c>
      <c r="I1331" s="4">
        <v>10685814</v>
      </c>
      <c r="J1331" s="4">
        <v>6</v>
      </c>
      <c r="K1331" s="4">
        <v>28</v>
      </c>
      <c r="L1331" s="4">
        <v>28</v>
      </c>
      <c r="M1331" s="4">
        <v>961</v>
      </c>
      <c r="N1331" s="5">
        <v>100800</v>
      </c>
      <c r="O1331" s="5">
        <v>2016</v>
      </c>
      <c r="P1331" s="5">
        <v>1008</v>
      </c>
      <c r="Q1331" s="5">
        <v>5766</v>
      </c>
      <c r="R1331" s="5">
        <v>6720</v>
      </c>
      <c r="S1331" s="4">
        <v>188.16</v>
      </c>
      <c r="T1331" s="5">
        <v>51408</v>
      </c>
      <c r="U1331" s="5">
        <v>49392</v>
      </c>
      <c r="V1331" s="4">
        <v>161.44800000000001</v>
      </c>
      <c r="W1331" s="4">
        <v>0</v>
      </c>
      <c r="X1331" s="4">
        <v>0</v>
      </c>
      <c r="Y1331" s="4">
        <v>0</v>
      </c>
      <c r="Z1331" s="4">
        <v>1.5</v>
      </c>
      <c r="AA1331" s="4">
        <v>9.2909171993459192E-3</v>
      </c>
      <c r="AB1331" s="4">
        <v>43.5</v>
      </c>
      <c r="AC1331" s="4">
        <v>11.612083333333333</v>
      </c>
      <c r="AD1331" s="4">
        <v>42</v>
      </c>
      <c r="AE1331" s="8"/>
      <c r="AF1331" s="8"/>
      <c r="AG1331" s="8"/>
      <c r="AH1331" s="8"/>
      <c r="AI133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0.38791666666666735</v>
      </c>
      <c r="AJ1331" s="8"/>
      <c r="AK1331" s="4" t="s">
        <v>51</v>
      </c>
      <c r="AN1331">
        <f>IFERROR(INT(Table13[[#This Row],[reject_prod]]/Table13[[#This Row],[part_weight]] * 1000), 0)</f>
        <v>53</v>
      </c>
    </row>
    <row r="1332" spans="1:40" hidden="1">
      <c r="A1332" s="1">
        <v>46062</v>
      </c>
      <c r="B1332">
        <v>2</v>
      </c>
      <c r="C1332">
        <v>1</v>
      </c>
      <c r="D1332" t="s">
        <v>134</v>
      </c>
      <c r="E1332" t="s">
        <v>34</v>
      </c>
      <c r="F1332">
        <v>529004</v>
      </c>
      <c r="G1332" s="6">
        <v>0</v>
      </c>
      <c r="H1332" t="s">
        <v>723</v>
      </c>
      <c r="I1332">
        <v>10686802</v>
      </c>
      <c r="J1332">
        <v>4</v>
      </c>
      <c r="K1332">
        <v>31</v>
      </c>
      <c r="L1332">
        <v>31</v>
      </c>
      <c r="M1332">
        <v>1250</v>
      </c>
      <c r="N1332" s="2">
        <v>8400</v>
      </c>
      <c r="O1332" s="2">
        <v>360</v>
      </c>
      <c r="P1332" s="2">
        <v>480</v>
      </c>
      <c r="Q1332" s="2">
        <v>5000</v>
      </c>
      <c r="R1332" s="2">
        <v>4800</v>
      </c>
      <c r="S1332">
        <v>148.80000000000001</v>
      </c>
      <c r="T1332" s="2">
        <v>7680</v>
      </c>
      <c r="U1332" s="2">
        <v>720</v>
      </c>
      <c r="V1332">
        <v>155</v>
      </c>
      <c r="W1332">
        <v>0</v>
      </c>
      <c r="X1332">
        <v>0</v>
      </c>
      <c r="Y1332">
        <v>0</v>
      </c>
      <c r="Z1332">
        <v>1</v>
      </c>
      <c r="AA1332">
        <v>6.4516129032258064E-3</v>
      </c>
      <c r="AB1332">
        <v>34.1</v>
      </c>
      <c r="AC1332">
        <v>11.840277777777779</v>
      </c>
      <c r="AD1332">
        <v>29</v>
      </c>
      <c r="AE1332" s="7"/>
      <c r="AF1332" s="7"/>
      <c r="AG1332" s="7"/>
      <c r="AH1332" s="7"/>
      <c r="AI1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0.15972222222222143</v>
      </c>
      <c r="AJ1332" s="7"/>
      <c r="AK1332" t="s">
        <v>51</v>
      </c>
      <c r="AN1332">
        <f>IFERROR(INT(Table13[[#This Row],[reject_prod]]/Table13[[#This Row],[part_weight]] * 1000), 0)</f>
        <v>32</v>
      </c>
    </row>
    <row r="1333" spans="1:40" hidden="1">
      <c r="A1333" s="1">
        <v>46062</v>
      </c>
      <c r="B1333">
        <v>2</v>
      </c>
      <c r="C1333">
        <v>2</v>
      </c>
      <c r="D1333" t="s">
        <v>56</v>
      </c>
      <c r="E1333" t="s">
        <v>34</v>
      </c>
      <c r="F1333">
        <v>324163</v>
      </c>
      <c r="G1333" s="6">
        <v>0</v>
      </c>
      <c r="H1333" t="s">
        <v>672</v>
      </c>
      <c r="I1333">
        <v>10684851</v>
      </c>
      <c r="J1333">
        <v>4</v>
      </c>
      <c r="K1333">
        <v>24</v>
      </c>
      <c r="L1333">
        <v>23.5</v>
      </c>
      <c r="M1333">
        <v>1815</v>
      </c>
      <c r="N1333" s="2">
        <v>73152</v>
      </c>
      <c r="O1333" s="2">
        <v>4953</v>
      </c>
      <c r="P1333" s="2">
        <v>3048</v>
      </c>
      <c r="Q1333" s="2">
        <v>7260</v>
      </c>
      <c r="R1333" s="2">
        <v>9144</v>
      </c>
      <c r="S1333">
        <v>214.88399999999999</v>
      </c>
      <c r="T1333" s="2">
        <v>62484</v>
      </c>
      <c r="U1333" s="2">
        <v>10668</v>
      </c>
      <c r="V1333">
        <v>170.61</v>
      </c>
      <c r="W1333">
        <v>0</v>
      </c>
      <c r="X1333">
        <v>0</v>
      </c>
      <c r="Y1333">
        <v>0</v>
      </c>
      <c r="Z1333">
        <v>4</v>
      </c>
      <c r="AA1333">
        <v>2.3445284567141431E-2</v>
      </c>
      <c r="AB1333">
        <v>22</v>
      </c>
      <c r="AC1333">
        <v>11.091666666666667</v>
      </c>
      <c r="AD1333">
        <v>22.5</v>
      </c>
      <c r="AE1333" s="7"/>
      <c r="AF1333" s="7"/>
      <c r="AG1333" s="7"/>
      <c r="AH1333" s="7"/>
      <c r="AI1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0.90833333333333321</v>
      </c>
      <c r="AJ1333" s="7"/>
      <c r="AK1333" t="s">
        <v>777</v>
      </c>
      <c r="AN1333">
        <f>IFERROR(INT(Table13[[#This Row],[reject_prod]]/Table13[[#This Row],[part_weight]] * 1000), 0)</f>
        <v>170</v>
      </c>
    </row>
    <row r="1334" spans="1:40" hidden="1">
      <c r="A1334" s="1">
        <v>46062</v>
      </c>
      <c r="B1334">
        <v>2</v>
      </c>
      <c r="C1334">
        <v>3</v>
      </c>
      <c r="D1334" t="s">
        <v>54</v>
      </c>
      <c r="E1334" t="s">
        <v>34</v>
      </c>
      <c r="F1334">
        <v>442034</v>
      </c>
      <c r="G1334" s="6">
        <v>0</v>
      </c>
      <c r="H1334" t="s">
        <v>37</v>
      </c>
      <c r="I1334">
        <v>10685633</v>
      </c>
      <c r="J1334">
        <v>4</v>
      </c>
      <c r="K1334">
        <v>23</v>
      </c>
      <c r="L1334">
        <v>23</v>
      </c>
      <c r="M1334">
        <v>1344</v>
      </c>
      <c r="N1334" s="2">
        <v>139776</v>
      </c>
      <c r="O1334" s="2">
        <v>0</v>
      </c>
      <c r="P1334" s="2">
        <v>768</v>
      </c>
      <c r="Q1334" s="2">
        <v>5376</v>
      </c>
      <c r="R1334" s="2">
        <v>4608</v>
      </c>
      <c r="S1334">
        <v>105.98399999999999</v>
      </c>
      <c r="T1334" s="2">
        <v>79104</v>
      </c>
      <c r="U1334" s="2">
        <v>60672</v>
      </c>
      <c r="V1334">
        <v>123.648</v>
      </c>
      <c r="W1334">
        <v>0</v>
      </c>
      <c r="X1334">
        <v>0</v>
      </c>
      <c r="Y1334">
        <v>0</v>
      </c>
      <c r="Z1334">
        <v>7.5</v>
      </c>
      <c r="AA1334">
        <v>6.065605590062112E-2</v>
      </c>
      <c r="AB1334">
        <v>28.5</v>
      </c>
      <c r="AC1334">
        <v>10.64</v>
      </c>
      <c r="AD1334">
        <v>22</v>
      </c>
      <c r="AE1334" s="7"/>
      <c r="AF1334" s="7"/>
      <c r="AG1334" s="7"/>
      <c r="AH1334" s="7"/>
      <c r="AI1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1.3599999999999994</v>
      </c>
      <c r="AJ1334" s="7"/>
      <c r="AK1334" t="s">
        <v>778</v>
      </c>
      <c r="AN1334">
        <f>IFERROR(INT(Table13[[#This Row],[reject_prod]]/Table13[[#This Row],[part_weight]] * 1000), 0)</f>
        <v>326</v>
      </c>
    </row>
    <row r="1335" spans="1:40" hidden="1">
      <c r="A1335" s="1">
        <v>46062</v>
      </c>
      <c r="B1335">
        <v>2</v>
      </c>
      <c r="C1335">
        <v>4</v>
      </c>
      <c r="D1335" t="s">
        <v>84</v>
      </c>
      <c r="E1335" t="s">
        <v>34</v>
      </c>
      <c r="F1335">
        <v>322477</v>
      </c>
      <c r="G1335" s="6">
        <v>0</v>
      </c>
      <c r="H1335" t="s">
        <v>694</v>
      </c>
      <c r="I1335">
        <v>10686801</v>
      </c>
      <c r="J1335">
        <v>4</v>
      </c>
      <c r="K1335">
        <v>44</v>
      </c>
      <c r="L1335">
        <v>44</v>
      </c>
      <c r="M1335">
        <v>1660</v>
      </c>
      <c r="N1335" s="2">
        <v>38850</v>
      </c>
      <c r="O1335" s="2">
        <v>1050</v>
      </c>
      <c r="P1335" s="2">
        <v>105</v>
      </c>
      <c r="Q1335" s="2">
        <v>6640</v>
      </c>
      <c r="R1335" s="2">
        <v>7560</v>
      </c>
      <c r="S1335">
        <v>332.64</v>
      </c>
      <c r="T1335" s="2">
        <v>29085</v>
      </c>
      <c r="U1335" s="2">
        <v>9765</v>
      </c>
      <c r="V1335">
        <v>292.16000000000003</v>
      </c>
      <c r="W1335">
        <v>0</v>
      </c>
      <c r="X1335">
        <v>0</v>
      </c>
      <c r="Y1335">
        <v>0</v>
      </c>
      <c r="Z1335">
        <v>4</v>
      </c>
      <c r="AA1335">
        <v>1.3691128148959474E-2</v>
      </c>
      <c r="AB1335">
        <v>26.1</v>
      </c>
      <c r="AC1335">
        <v>12</v>
      </c>
      <c r="AD1335">
        <v>26</v>
      </c>
      <c r="AE1335" s="7"/>
      <c r="AF1335" s="7"/>
      <c r="AG1335" s="7"/>
      <c r="AH1335" s="7"/>
      <c r="AI1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35" s="7"/>
      <c r="AK1335" t="s">
        <v>75</v>
      </c>
      <c r="AN1335">
        <f>IFERROR(INT(Table13[[#This Row],[reject_prod]]/Table13[[#This Row],[part_weight]] * 1000), 0)</f>
        <v>90</v>
      </c>
    </row>
    <row r="1336" spans="1:40" hidden="1">
      <c r="A1336" s="1">
        <v>46062</v>
      </c>
      <c r="B1336">
        <v>2</v>
      </c>
      <c r="C1336">
        <v>5</v>
      </c>
      <c r="D1336" t="s">
        <v>779</v>
      </c>
      <c r="E1336" t="s">
        <v>34</v>
      </c>
      <c r="F1336">
        <v>322448</v>
      </c>
      <c r="G1336" s="6">
        <v>0</v>
      </c>
      <c r="H1336" t="s">
        <v>654</v>
      </c>
      <c r="I1336">
        <v>10686670</v>
      </c>
      <c r="J1336">
        <v>4</v>
      </c>
      <c r="K1336">
        <v>40</v>
      </c>
      <c r="L1336">
        <v>40</v>
      </c>
      <c r="M1336">
        <v>1620</v>
      </c>
      <c r="N1336" s="2">
        <v>29160</v>
      </c>
      <c r="O1336" s="2">
        <v>324</v>
      </c>
      <c r="P1336" s="2">
        <v>200</v>
      </c>
      <c r="Q1336" s="2">
        <v>6480</v>
      </c>
      <c r="R1336" s="2">
        <v>6480</v>
      </c>
      <c r="S1336">
        <v>259.2</v>
      </c>
      <c r="T1336" s="2">
        <v>7452</v>
      </c>
      <c r="U1336" s="2">
        <v>21708</v>
      </c>
      <c r="V1336">
        <v>259.2</v>
      </c>
      <c r="W1336">
        <v>0</v>
      </c>
      <c r="X1336">
        <v>0</v>
      </c>
      <c r="Y1336">
        <v>0</v>
      </c>
      <c r="Z1336">
        <v>3</v>
      </c>
      <c r="AA1336">
        <v>1.1574074074074075E-2</v>
      </c>
      <c r="AB1336">
        <v>25.7</v>
      </c>
      <c r="AC1336">
        <v>11.565</v>
      </c>
      <c r="AD1336">
        <v>23</v>
      </c>
      <c r="AE1336" s="7"/>
      <c r="AF1336" s="7"/>
      <c r="AG1336" s="7"/>
      <c r="AH1336" s="7"/>
      <c r="AI1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336" s="7"/>
      <c r="AK1336" t="s">
        <v>539</v>
      </c>
      <c r="AN1336">
        <f>IFERROR(INT(Table13[[#This Row],[reject_prod]]/Table13[[#This Row],[part_weight]] * 1000), 0)</f>
        <v>75</v>
      </c>
    </row>
    <row r="1337" spans="1:40" hidden="1">
      <c r="A1337" s="1">
        <v>46062</v>
      </c>
      <c r="B1337">
        <v>2</v>
      </c>
      <c r="C1337">
        <v>6</v>
      </c>
      <c r="D1337" t="s">
        <v>780</v>
      </c>
      <c r="E1337" t="s">
        <v>34</v>
      </c>
      <c r="F1337">
        <v>322445</v>
      </c>
      <c r="G1337" s="6">
        <v>0</v>
      </c>
      <c r="H1337" t="s">
        <v>743</v>
      </c>
      <c r="I1337">
        <v>10685637</v>
      </c>
      <c r="J1337">
        <v>4</v>
      </c>
      <c r="K1337">
        <v>32.74</v>
      </c>
      <c r="L1337">
        <v>33</v>
      </c>
      <c r="M1337">
        <v>1845</v>
      </c>
      <c r="N1337" s="2">
        <v>72000</v>
      </c>
      <c r="O1337" s="2">
        <v>180</v>
      </c>
      <c r="P1337" s="2">
        <v>360</v>
      </c>
      <c r="Q1337" s="2">
        <v>7380</v>
      </c>
      <c r="R1337" s="2">
        <v>7200</v>
      </c>
      <c r="S1337">
        <v>237.6</v>
      </c>
      <c r="T1337" s="2">
        <v>25560</v>
      </c>
      <c r="U1337" s="2">
        <v>46440</v>
      </c>
      <c r="V1337">
        <v>243.54</v>
      </c>
      <c r="W1337">
        <v>0</v>
      </c>
      <c r="X1337">
        <v>0</v>
      </c>
      <c r="Y1337">
        <v>0</v>
      </c>
      <c r="Z1337">
        <v>2.2000000000000002</v>
      </c>
      <c r="AA1337">
        <v>9.0334236675700102E-3</v>
      </c>
      <c r="AB1337">
        <v>23.3</v>
      </c>
      <c r="AC1337">
        <v>11.94125</v>
      </c>
      <c r="AD1337">
        <v>22</v>
      </c>
      <c r="AE1337" s="7"/>
      <c r="AF1337" s="7"/>
      <c r="AG1337" s="7"/>
      <c r="AH1337" s="7"/>
      <c r="AI1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5.8749999999999858E-2</v>
      </c>
      <c r="AJ1337" s="7"/>
      <c r="AK1337" t="s">
        <v>214</v>
      </c>
      <c r="AN1337">
        <f>IFERROR(INT(Table13[[#This Row],[reject_prod]]/Table13[[#This Row],[part_weight]] * 1000), 0)</f>
        <v>66</v>
      </c>
    </row>
    <row r="1338" spans="1:40" hidden="1">
      <c r="A1338" s="1">
        <v>46062</v>
      </c>
      <c r="B1338">
        <v>2</v>
      </c>
      <c r="C1338">
        <v>7</v>
      </c>
      <c r="D1338" t="s">
        <v>309</v>
      </c>
      <c r="E1338" t="s">
        <v>34</v>
      </c>
      <c r="F1338">
        <v>647556</v>
      </c>
      <c r="G1338" s="6">
        <v>0</v>
      </c>
      <c r="H1338" t="s">
        <v>458</v>
      </c>
      <c r="I1338">
        <v>10685214</v>
      </c>
      <c r="J1338">
        <v>4</v>
      </c>
      <c r="K1338">
        <v>35</v>
      </c>
      <c r="L1338">
        <v>34.5</v>
      </c>
      <c r="M1338">
        <v>924</v>
      </c>
      <c r="N1338" s="2">
        <v>27720</v>
      </c>
      <c r="O1338" s="2">
        <v>0</v>
      </c>
      <c r="P1338" s="2">
        <v>0</v>
      </c>
      <c r="Q1338" s="2">
        <v>3696</v>
      </c>
      <c r="R1338" s="2">
        <v>3696</v>
      </c>
      <c r="S1338">
        <v>127.512</v>
      </c>
      <c r="T1338" s="2">
        <v>27720</v>
      </c>
      <c r="U1338" s="2">
        <v>0</v>
      </c>
      <c r="V1338">
        <v>127.512</v>
      </c>
      <c r="W1338">
        <v>1.8480000000000001</v>
      </c>
      <c r="X1338">
        <v>0</v>
      </c>
      <c r="Y1338">
        <v>0</v>
      </c>
      <c r="Z1338">
        <v>2.6</v>
      </c>
      <c r="AA1338">
        <v>2.0390237781542132E-2</v>
      </c>
      <c r="AB1338">
        <v>23.31</v>
      </c>
      <c r="AC1338">
        <v>5.9828999999999999</v>
      </c>
      <c r="AD1338">
        <v>20.399999999999999</v>
      </c>
      <c r="AE1338" s="7"/>
      <c r="AF1338" s="7"/>
      <c r="AG1338" s="7"/>
      <c r="AH1338" s="7"/>
      <c r="AI1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6.0171000000000001</v>
      </c>
      <c r="AJ1338" s="7"/>
      <c r="AK1338" t="s">
        <v>781</v>
      </c>
      <c r="AN1338">
        <f>IFERROR(INT(Table13[[#This Row],[reject_prod]]/Table13[[#This Row],[part_weight]] * 1000), 0)</f>
        <v>75</v>
      </c>
    </row>
    <row r="1339" spans="1:40" hidden="1">
      <c r="A1339" s="1">
        <v>46062</v>
      </c>
      <c r="B1339">
        <v>2</v>
      </c>
      <c r="C1339">
        <v>7</v>
      </c>
      <c r="D1339" t="s">
        <v>33</v>
      </c>
      <c r="E1339" t="s">
        <v>34</v>
      </c>
      <c r="F1339">
        <v>647684</v>
      </c>
      <c r="G1339" s="6">
        <v>0</v>
      </c>
      <c r="H1339" t="s">
        <v>782</v>
      </c>
      <c r="I1339">
        <v>10685213</v>
      </c>
      <c r="J1339">
        <v>4</v>
      </c>
      <c r="K1339">
        <v>34.200000000000003</v>
      </c>
      <c r="L1339">
        <v>34.5</v>
      </c>
      <c r="M1339">
        <v>0</v>
      </c>
      <c r="N1339" s="2">
        <v>10780</v>
      </c>
      <c r="O1339" s="2">
        <v>0</v>
      </c>
      <c r="P1339" s="2">
        <v>0</v>
      </c>
      <c r="Q1339" s="2">
        <v>0</v>
      </c>
      <c r="R1339" s="2">
        <v>0</v>
      </c>
      <c r="S1339">
        <v>0</v>
      </c>
      <c r="T1339" s="2">
        <v>0</v>
      </c>
      <c r="U1339" s="2">
        <v>10780</v>
      </c>
      <c r="V1339">
        <v>0</v>
      </c>
      <c r="W1339">
        <v>0</v>
      </c>
      <c r="X1339">
        <v>0</v>
      </c>
      <c r="Y1339" t="e">
        <v>#DIV/0!</v>
      </c>
      <c r="Z1339">
        <v>0</v>
      </c>
      <c r="AA1339" t="e">
        <v>#DIV/0!</v>
      </c>
      <c r="AB1339">
        <v>0</v>
      </c>
      <c r="AC1339">
        <v>0</v>
      </c>
      <c r="AD1339">
        <v>20.399999999999999</v>
      </c>
      <c r="AE1339" s="7"/>
      <c r="AF1339" s="7"/>
      <c r="AG1339" s="7">
        <v>1.5</v>
      </c>
      <c r="AH1339" s="7"/>
      <c r="AI1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39" s="7"/>
      <c r="AK1339" t="s">
        <v>783</v>
      </c>
      <c r="AN1339">
        <f>IFERROR(INT(Table13[[#This Row],[reject_prod]]/Table13[[#This Row],[part_weight]] * 1000), 0)</f>
        <v>0</v>
      </c>
    </row>
    <row r="1340" spans="1:40" hidden="1">
      <c r="A1340" s="1">
        <v>46062</v>
      </c>
      <c r="B1340">
        <v>2</v>
      </c>
      <c r="C1340">
        <v>8</v>
      </c>
      <c r="D1340" t="s">
        <v>784</v>
      </c>
      <c r="E1340" t="s">
        <v>41</v>
      </c>
      <c r="F1340">
        <v>593537</v>
      </c>
      <c r="G1340" s="6">
        <v>0</v>
      </c>
      <c r="H1340" t="s">
        <v>48</v>
      </c>
      <c r="I1340">
        <v>10685813</v>
      </c>
      <c r="J1340">
        <v>4</v>
      </c>
      <c r="K1340">
        <v>56.5</v>
      </c>
      <c r="L1340">
        <v>56.8</v>
      </c>
      <c r="M1340">
        <v>1365</v>
      </c>
      <c r="N1340" s="2">
        <v>69000</v>
      </c>
      <c r="O1340" s="2">
        <v>115</v>
      </c>
      <c r="P1340" s="2">
        <v>345</v>
      </c>
      <c r="Q1340" s="2">
        <v>5460</v>
      </c>
      <c r="R1340" s="2">
        <v>5175</v>
      </c>
      <c r="S1340">
        <v>293.94</v>
      </c>
      <c r="T1340" s="2">
        <v>63595</v>
      </c>
      <c r="U1340" s="2">
        <v>5405</v>
      </c>
      <c r="V1340">
        <v>310.12799999999999</v>
      </c>
      <c r="W1340">
        <v>0</v>
      </c>
      <c r="X1340">
        <v>0</v>
      </c>
      <c r="Y1340">
        <v>0</v>
      </c>
      <c r="Z1340">
        <v>3</v>
      </c>
      <c r="AA1340">
        <v>9.6734251663829138E-3</v>
      </c>
      <c r="AB1340">
        <v>30.5</v>
      </c>
      <c r="AC1340">
        <v>11.564583333333335</v>
      </c>
      <c r="AD1340">
        <v>28.5</v>
      </c>
      <c r="AE1340" s="7"/>
      <c r="AF1340" s="7"/>
      <c r="AG1340" s="7"/>
      <c r="AH1340" s="7"/>
      <c r="AI1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0.43541666666666501</v>
      </c>
      <c r="AJ1340" s="7"/>
      <c r="AK1340" t="s">
        <v>178</v>
      </c>
      <c r="AN1340">
        <f>IFERROR(INT(Table13[[#This Row],[reject_prod]]/Table13[[#This Row],[part_weight]] * 1000), 0)</f>
        <v>52</v>
      </c>
    </row>
    <row r="1341" spans="1:40" hidden="1">
      <c r="A1341" s="1">
        <v>46062</v>
      </c>
      <c r="B1341">
        <v>2</v>
      </c>
      <c r="C1341">
        <v>9</v>
      </c>
      <c r="D1341" t="s">
        <v>53</v>
      </c>
      <c r="E1341" t="s">
        <v>46</v>
      </c>
      <c r="F1341">
        <v>586276</v>
      </c>
      <c r="G1341" s="6">
        <v>1</v>
      </c>
      <c r="H1341" t="s">
        <v>47</v>
      </c>
      <c r="I1341">
        <v>10683781</v>
      </c>
      <c r="J1341">
        <v>6</v>
      </c>
      <c r="K1341">
        <v>12.3</v>
      </c>
      <c r="L1341">
        <v>12.3</v>
      </c>
      <c r="M1341">
        <v>1420</v>
      </c>
      <c r="N1341" s="2">
        <v>162000</v>
      </c>
      <c r="O1341" s="2">
        <v>3240</v>
      </c>
      <c r="P1341" s="2">
        <v>11745</v>
      </c>
      <c r="Q1341" s="2">
        <v>8520</v>
      </c>
      <c r="R1341" s="2">
        <v>0</v>
      </c>
      <c r="S1341">
        <v>0</v>
      </c>
      <c r="T1341" s="2">
        <v>76545</v>
      </c>
      <c r="U1341" s="2">
        <v>85455</v>
      </c>
      <c r="V1341">
        <v>104.79600000000001</v>
      </c>
      <c r="W1341">
        <v>0</v>
      </c>
      <c r="X1341">
        <v>0</v>
      </c>
      <c r="Y1341">
        <v>0</v>
      </c>
      <c r="Z1341">
        <v>2</v>
      </c>
      <c r="AA1341">
        <v>1.9084697889232411E-2</v>
      </c>
      <c r="AB1341">
        <v>25.7</v>
      </c>
      <c r="AC1341">
        <v>10.137222222222222</v>
      </c>
      <c r="AD1341">
        <v>26</v>
      </c>
      <c r="AE1341" s="7"/>
      <c r="AF1341" s="7"/>
      <c r="AG1341" s="7"/>
      <c r="AH1341" s="7"/>
      <c r="AI1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1.8627777777777776</v>
      </c>
      <c r="AJ1341" s="7"/>
      <c r="AK1341" t="s">
        <v>785</v>
      </c>
      <c r="AN1341">
        <f>IFERROR(INT(Table13[[#This Row],[reject_prod]]/Table13[[#This Row],[part_weight]] * 1000), 0)</f>
        <v>162</v>
      </c>
    </row>
    <row r="1342" spans="1:40" hidden="1">
      <c r="A1342" s="1">
        <v>46062</v>
      </c>
      <c r="B1342">
        <v>2</v>
      </c>
      <c r="C1342">
        <v>10</v>
      </c>
      <c r="D1342" t="s">
        <v>124</v>
      </c>
      <c r="E1342" t="s">
        <v>34</v>
      </c>
      <c r="F1342">
        <v>324638</v>
      </c>
      <c r="G1342" s="6">
        <v>0</v>
      </c>
      <c r="H1342" t="s">
        <v>687</v>
      </c>
      <c r="I1342">
        <v>10686808</v>
      </c>
      <c r="J1342">
        <v>4</v>
      </c>
      <c r="K1342">
        <v>77.5</v>
      </c>
      <c r="L1342">
        <v>77.5</v>
      </c>
      <c r="M1342">
        <v>1040</v>
      </c>
      <c r="N1342" s="2">
        <v>19872</v>
      </c>
      <c r="O1342" s="2">
        <v>138</v>
      </c>
      <c r="P1342" s="2">
        <v>138</v>
      </c>
      <c r="Q1342" s="2">
        <v>4160</v>
      </c>
      <c r="R1342" s="2">
        <v>4140</v>
      </c>
      <c r="S1342">
        <v>320.85000000000002</v>
      </c>
      <c r="T1342" s="2">
        <v>10074</v>
      </c>
      <c r="U1342" s="2">
        <v>9798</v>
      </c>
      <c r="V1342">
        <v>322.39999999999998</v>
      </c>
      <c r="W1342">
        <v>0</v>
      </c>
      <c r="X1342">
        <v>0</v>
      </c>
      <c r="Y1342">
        <v>0</v>
      </c>
      <c r="Z1342">
        <v>10.3</v>
      </c>
      <c r="AA1342">
        <v>3.1947890818858564E-2</v>
      </c>
      <c r="AB1342">
        <v>38.6</v>
      </c>
      <c r="AC1342">
        <v>11.151111111111112</v>
      </c>
      <c r="AD1342">
        <v>36</v>
      </c>
      <c r="AE1342" s="7"/>
      <c r="AF1342" s="7"/>
      <c r="AG1342" s="7"/>
      <c r="AH1342" s="7"/>
      <c r="AI13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0.84888888888888836</v>
      </c>
      <c r="AJ1342" s="7"/>
      <c r="AK1342" t="s">
        <v>786</v>
      </c>
      <c r="AN1342">
        <f>IFERROR(INT(Table13[[#This Row],[reject_prod]]/Table13[[#This Row],[part_weight]] * 1000), 0)</f>
        <v>132</v>
      </c>
    </row>
    <row r="1343" spans="1:40" hidden="1">
      <c r="A1343" s="1">
        <v>46062</v>
      </c>
      <c r="B1343">
        <v>2</v>
      </c>
      <c r="C1343">
        <v>11</v>
      </c>
      <c r="D1343" t="s">
        <v>59</v>
      </c>
      <c r="E1343" t="s">
        <v>46</v>
      </c>
      <c r="F1343">
        <v>552181</v>
      </c>
      <c r="G1343" s="6">
        <v>1</v>
      </c>
      <c r="H1343" t="s">
        <v>49</v>
      </c>
      <c r="I1343">
        <v>10685339</v>
      </c>
      <c r="J1343">
        <v>6</v>
      </c>
      <c r="K1343">
        <v>18.8</v>
      </c>
      <c r="L1343">
        <v>18.8</v>
      </c>
      <c r="M1343">
        <v>1445</v>
      </c>
      <c r="N1343" s="2">
        <v>108000</v>
      </c>
      <c r="O1343" s="2">
        <v>3780</v>
      </c>
      <c r="P1343" s="2">
        <v>1620</v>
      </c>
      <c r="Q1343" s="2">
        <v>8670</v>
      </c>
      <c r="R1343" s="2">
        <v>10800</v>
      </c>
      <c r="S1343">
        <v>203.04</v>
      </c>
      <c r="T1343" s="2">
        <v>93420</v>
      </c>
      <c r="U1343" s="2">
        <v>14580</v>
      </c>
      <c r="V1343">
        <v>162.99600000000001</v>
      </c>
      <c r="W1343">
        <v>0</v>
      </c>
      <c r="X1343">
        <v>0</v>
      </c>
      <c r="Y1343">
        <v>0</v>
      </c>
      <c r="Z1343">
        <v>1</v>
      </c>
      <c r="AA1343">
        <v>6.1351198802424593E-3</v>
      </c>
      <c r="AB1343">
        <v>29.4</v>
      </c>
      <c r="AC1343">
        <v>11.800833333333332</v>
      </c>
      <c r="AD1343">
        <v>27</v>
      </c>
      <c r="AE1343" s="7"/>
      <c r="AF1343" s="7"/>
      <c r="AG1343" s="7"/>
      <c r="AH1343" s="7"/>
      <c r="AI1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0.19916666666666849</v>
      </c>
      <c r="AJ1343" s="7"/>
      <c r="AK1343" t="s">
        <v>51</v>
      </c>
      <c r="AN1343">
        <f>IFERROR(INT(Table13[[#This Row],[reject_prod]]/Table13[[#This Row],[part_weight]] * 1000), 0)</f>
        <v>53</v>
      </c>
    </row>
    <row r="1344" spans="1:40" hidden="1">
      <c r="A1344" s="1">
        <v>46062</v>
      </c>
      <c r="B1344">
        <v>2</v>
      </c>
      <c r="C1344">
        <v>12</v>
      </c>
      <c r="D1344" t="s">
        <v>289</v>
      </c>
      <c r="E1344" t="s">
        <v>34</v>
      </c>
      <c r="F1344">
        <v>620599</v>
      </c>
      <c r="G1344" s="6">
        <v>0</v>
      </c>
      <c r="H1344" t="s">
        <v>50</v>
      </c>
      <c r="I1344">
        <v>10686674</v>
      </c>
      <c r="J1344">
        <v>4</v>
      </c>
      <c r="K1344">
        <v>55</v>
      </c>
      <c r="L1344">
        <v>55</v>
      </c>
      <c r="M1344">
        <v>1470</v>
      </c>
      <c r="N1344" s="2">
        <v>72000</v>
      </c>
      <c r="O1344" s="2">
        <v>225</v>
      </c>
      <c r="P1344" s="2">
        <v>675</v>
      </c>
      <c r="Q1344" s="2">
        <v>5880</v>
      </c>
      <c r="R1344" s="2">
        <v>5400</v>
      </c>
      <c r="S1344">
        <v>297</v>
      </c>
      <c r="T1344" s="2">
        <v>20475</v>
      </c>
      <c r="U1344" s="2">
        <v>51525</v>
      </c>
      <c r="V1344">
        <v>323.39999999999998</v>
      </c>
      <c r="W1344">
        <v>0</v>
      </c>
      <c r="X1344">
        <v>0</v>
      </c>
      <c r="Y1344">
        <v>0</v>
      </c>
      <c r="Z1344">
        <v>4.5999999999999996</v>
      </c>
      <c r="AA1344">
        <v>1.4223871366728509E-2</v>
      </c>
      <c r="AB1344">
        <v>28.8</v>
      </c>
      <c r="AC1344">
        <v>11.76</v>
      </c>
      <c r="AD1344">
        <v>28</v>
      </c>
      <c r="AE1344" s="7"/>
      <c r="AF1344" s="7"/>
      <c r="AG1344" s="7"/>
      <c r="AH1344" s="7"/>
      <c r="AI1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1344" s="7"/>
      <c r="AK1344" t="s">
        <v>787</v>
      </c>
      <c r="AN1344">
        <f>IFERROR(INT(Table13[[#This Row],[reject_prod]]/Table13[[#This Row],[part_weight]] * 1000), 0)</f>
        <v>83</v>
      </c>
    </row>
    <row r="1345" spans="1:40" hidden="1">
      <c r="A1345" s="1">
        <v>46062</v>
      </c>
      <c r="B1345">
        <v>2</v>
      </c>
      <c r="C1345">
        <v>13</v>
      </c>
      <c r="D1345" t="s">
        <v>59</v>
      </c>
      <c r="E1345" t="s">
        <v>46</v>
      </c>
      <c r="F1345">
        <v>586276</v>
      </c>
      <c r="G1345" s="6">
        <v>2</v>
      </c>
      <c r="H1345" t="s">
        <v>47</v>
      </c>
      <c r="I1345">
        <v>10686676</v>
      </c>
      <c r="J1345">
        <v>6</v>
      </c>
      <c r="K1345">
        <v>12.3</v>
      </c>
      <c r="L1345">
        <v>12.3</v>
      </c>
      <c r="M1345">
        <v>1620</v>
      </c>
      <c r="N1345" s="2">
        <v>162000</v>
      </c>
      <c r="O1345" s="2">
        <v>4455</v>
      </c>
      <c r="P1345" s="2">
        <v>6075</v>
      </c>
      <c r="Q1345" s="2">
        <v>9720</v>
      </c>
      <c r="R1345" s="2">
        <v>8100</v>
      </c>
      <c r="S1345">
        <v>99.63</v>
      </c>
      <c r="T1345" s="2">
        <v>14175</v>
      </c>
      <c r="U1345" s="2">
        <v>147825</v>
      </c>
      <c r="V1345">
        <v>119.556</v>
      </c>
      <c r="W1345">
        <v>0</v>
      </c>
      <c r="X1345">
        <v>0</v>
      </c>
      <c r="Y1345">
        <v>0</v>
      </c>
      <c r="Z1345">
        <v>1</v>
      </c>
      <c r="AA1345">
        <v>8.3642811736759342E-3</v>
      </c>
      <c r="AB1345">
        <v>26.2</v>
      </c>
      <c r="AC1345">
        <v>11.790000000000001</v>
      </c>
      <c r="AD1345">
        <v>26</v>
      </c>
      <c r="AE1345" s="7"/>
      <c r="AF1345" s="7"/>
      <c r="AG1345" s="7"/>
      <c r="AH1345" s="7"/>
      <c r="AI1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45" s="7"/>
      <c r="AK1345" t="s">
        <v>51</v>
      </c>
      <c r="AN1345">
        <f>IFERROR(INT(Table13[[#This Row],[reject_prod]]/Table13[[#This Row],[part_weight]] * 1000), 0)</f>
        <v>81</v>
      </c>
    </row>
    <row r="1346" spans="1:40" hidden="1">
      <c r="A1346" s="1">
        <v>46062</v>
      </c>
      <c r="B1346">
        <v>2</v>
      </c>
      <c r="C1346">
        <v>14</v>
      </c>
      <c r="D1346" t="s">
        <v>33</v>
      </c>
      <c r="E1346" t="s">
        <v>46</v>
      </c>
      <c r="F1346">
        <v>555979</v>
      </c>
      <c r="G1346" s="6">
        <v>1</v>
      </c>
      <c r="H1346" t="s">
        <v>52</v>
      </c>
      <c r="I1346">
        <v>10683785</v>
      </c>
      <c r="J1346">
        <v>6</v>
      </c>
      <c r="K1346">
        <v>28</v>
      </c>
      <c r="L1346">
        <v>28</v>
      </c>
      <c r="M1346">
        <v>0</v>
      </c>
      <c r="N1346" s="2">
        <v>100800</v>
      </c>
      <c r="O1346" s="2">
        <v>0</v>
      </c>
      <c r="P1346" s="2">
        <v>0</v>
      </c>
      <c r="Q1346" s="2">
        <v>0</v>
      </c>
      <c r="R1346" s="2">
        <v>0</v>
      </c>
      <c r="S1346">
        <v>0</v>
      </c>
      <c r="T1346" s="2">
        <v>30240</v>
      </c>
      <c r="U1346" s="2">
        <v>70560</v>
      </c>
      <c r="V1346">
        <v>0</v>
      </c>
      <c r="W1346">
        <v>0</v>
      </c>
      <c r="X1346">
        <v>0</v>
      </c>
      <c r="Y1346" t="e">
        <v>#DIV/0!</v>
      </c>
      <c r="Z1346">
        <v>0</v>
      </c>
      <c r="AA1346" t="e">
        <v>#DIV/0!</v>
      </c>
      <c r="AB1346">
        <v>43</v>
      </c>
      <c r="AC1346">
        <v>0</v>
      </c>
      <c r="AD1346">
        <v>42</v>
      </c>
      <c r="AE1346" s="7"/>
      <c r="AF1346" s="7"/>
      <c r="AG1346" s="7"/>
      <c r="AH1346" s="7"/>
      <c r="AI1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46" s="7"/>
      <c r="AK1346" t="s">
        <v>774</v>
      </c>
      <c r="AN1346">
        <f>IFERROR(INT(Table13[[#This Row],[reject_prod]]/Table13[[#This Row],[part_weight]] * 1000), 0)</f>
        <v>0</v>
      </c>
    </row>
    <row r="1347" spans="1:40" hidden="1">
      <c r="A1347" s="1">
        <v>46062</v>
      </c>
      <c r="B1347">
        <v>2</v>
      </c>
      <c r="C1347">
        <v>15</v>
      </c>
      <c r="D1347" t="s">
        <v>59</v>
      </c>
      <c r="E1347" t="s">
        <v>46</v>
      </c>
      <c r="F1347">
        <v>552181</v>
      </c>
      <c r="G1347" s="6">
        <v>2</v>
      </c>
      <c r="H1347" t="s">
        <v>49</v>
      </c>
      <c r="I1347">
        <v>10685542</v>
      </c>
      <c r="J1347">
        <v>6</v>
      </c>
      <c r="K1347">
        <v>18.8</v>
      </c>
      <c r="L1347">
        <v>18.8</v>
      </c>
      <c r="M1347">
        <v>1395</v>
      </c>
      <c r="N1347" s="2">
        <v>108000</v>
      </c>
      <c r="O1347" s="2">
        <v>1080</v>
      </c>
      <c r="P1347" s="2">
        <v>4050</v>
      </c>
      <c r="Q1347" s="2">
        <v>8370</v>
      </c>
      <c r="R1347" s="2">
        <v>5400</v>
      </c>
      <c r="S1347">
        <v>101.52</v>
      </c>
      <c r="T1347" s="2">
        <v>79650</v>
      </c>
      <c r="U1347" s="2">
        <v>28350</v>
      </c>
      <c r="V1347">
        <v>157.35599999999999</v>
      </c>
      <c r="W1347">
        <v>0</v>
      </c>
      <c r="X1347">
        <v>0</v>
      </c>
      <c r="Y1347">
        <v>0</v>
      </c>
      <c r="Z1347">
        <v>1.1000000000000001</v>
      </c>
      <c r="AA1347">
        <v>6.9905183151579868E-3</v>
      </c>
      <c r="AB1347">
        <v>31.2</v>
      </c>
      <c r="AC1347">
        <v>12</v>
      </c>
      <c r="AD1347">
        <v>27</v>
      </c>
      <c r="AE1347" s="7"/>
      <c r="AF1347" s="7"/>
      <c r="AG1347" s="7"/>
      <c r="AH1347" s="7"/>
      <c r="AI1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47" s="7"/>
      <c r="AK1347" t="s">
        <v>51</v>
      </c>
      <c r="AN1347">
        <f>IFERROR(INT(Table13[[#This Row],[reject_prod]]/Table13[[#This Row],[part_weight]] * 1000), 0)</f>
        <v>58</v>
      </c>
    </row>
    <row r="1348" spans="1:40" s="4" customFormat="1" hidden="1">
      <c r="A1348" s="3">
        <v>46062</v>
      </c>
      <c r="B1348" s="4">
        <v>2</v>
      </c>
      <c r="C1348" s="4">
        <v>16</v>
      </c>
      <c r="D1348" s="4" t="s">
        <v>788</v>
      </c>
      <c r="E1348" s="4" t="s">
        <v>46</v>
      </c>
      <c r="F1348" s="4">
        <v>555979</v>
      </c>
      <c r="G1348" s="9">
        <v>2</v>
      </c>
      <c r="H1348" s="4" t="s">
        <v>52</v>
      </c>
      <c r="I1348" s="4">
        <v>10685814</v>
      </c>
      <c r="J1348" s="4">
        <v>6</v>
      </c>
      <c r="K1348" s="4">
        <v>28</v>
      </c>
      <c r="L1348" s="4">
        <v>28</v>
      </c>
      <c r="M1348" s="4">
        <v>970</v>
      </c>
      <c r="N1348" s="5">
        <v>100800</v>
      </c>
      <c r="O1348" s="5">
        <v>1008</v>
      </c>
      <c r="P1348" s="5">
        <v>3192</v>
      </c>
      <c r="Q1348" s="5">
        <v>5820</v>
      </c>
      <c r="R1348" s="5">
        <v>3360</v>
      </c>
      <c r="S1348" s="4">
        <v>94.08</v>
      </c>
      <c r="T1348" s="5">
        <v>56952</v>
      </c>
      <c r="U1348" s="5">
        <v>43848</v>
      </c>
      <c r="V1348" s="4">
        <v>162.96</v>
      </c>
      <c r="W1348" s="4">
        <v>0</v>
      </c>
      <c r="X1348" s="4">
        <v>0</v>
      </c>
      <c r="Y1348" s="4">
        <v>0</v>
      </c>
      <c r="Z1348" s="4">
        <v>1.3</v>
      </c>
      <c r="AA1348" s="4">
        <v>7.9774177712322036E-3</v>
      </c>
      <c r="AB1348" s="4">
        <v>43.5</v>
      </c>
      <c r="AC1348" s="4">
        <v>11.720833333333333</v>
      </c>
      <c r="AD1348" s="4">
        <v>42</v>
      </c>
      <c r="AE1348" s="8"/>
      <c r="AF1348" s="8"/>
      <c r="AG1348" s="8"/>
      <c r="AH1348" s="8"/>
      <c r="AI134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1348" s="8"/>
      <c r="AK1348" s="4" t="s">
        <v>51</v>
      </c>
      <c r="AN1348">
        <f>IFERROR(INT(Table13[[#This Row],[reject_prod]]/Table13[[#This Row],[part_weight]] * 1000), 0)</f>
        <v>46</v>
      </c>
    </row>
    <row r="1349" spans="1:40" hidden="1">
      <c r="A1349" s="1">
        <v>46063</v>
      </c>
      <c r="B1349">
        <v>1</v>
      </c>
      <c r="C1349">
        <v>1</v>
      </c>
      <c r="D1349" t="s">
        <v>33</v>
      </c>
      <c r="E1349" t="s">
        <v>34</v>
      </c>
      <c r="F1349">
        <v>529004</v>
      </c>
      <c r="G1349" s="6">
        <v>0</v>
      </c>
      <c r="H1349" t="s">
        <v>723</v>
      </c>
      <c r="I1349">
        <v>10686802</v>
      </c>
      <c r="J1349">
        <v>4</v>
      </c>
      <c r="K1349">
        <v>31</v>
      </c>
      <c r="L1349">
        <v>31</v>
      </c>
      <c r="M1349">
        <v>188</v>
      </c>
      <c r="N1349" s="2">
        <v>8400</v>
      </c>
      <c r="O1349" s="2">
        <v>480</v>
      </c>
      <c r="P1349" s="2">
        <v>0</v>
      </c>
      <c r="Q1349" s="2">
        <v>752</v>
      </c>
      <c r="R1349" s="2">
        <v>1200</v>
      </c>
      <c r="S1349">
        <v>37.200000000000003</v>
      </c>
      <c r="T1349" s="2">
        <v>8400</v>
      </c>
      <c r="U1349" s="2">
        <v>0</v>
      </c>
      <c r="V1349">
        <v>23.312000000000001</v>
      </c>
      <c r="W1349">
        <v>0</v>
      </c>
      <c r="X1349">
        <v>0</v>
      </c>
      <c r="Y1349">
        <v>0</v>
      </c>
      <c r="Z1349">
        <v>1</v>
      </c>
      <c r="AA1349">
        <v>4.2896362388469458E-2</v>
      </c>
      <c r="AB1349">
        <v>34.1</v>
      </c>
      <c r="AC1349">
        <v>1.7807777777777778</v>
      </c>
      <c r="AD1349">
        <v>29</v>
      </c>
      <c r="AE1349" s="7"/>
      <c r="AF1349" s="7"/>
      <c r="AG1349" s="7"/>
      <c r="AH1349" s="7"/>
      <c r="AI1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10.219222222222221</v>
      </c>
      <c r="AJ1349" s="7"/>
      <c r="AK1349" t="s">
        <v>102</v>
      </c>
      <c r="AN1349">
        <f>IFERROR(INT(Table13[[#This Row],[reject_prod]]/Table13[[#This Row],[part_weight]] * 1000), 0)</f>
        <v>32</v>
      </c>
    </row>
    <row r="1350" spans="1:40" hidden="1">
      <c r="A1350" s="1">
        <v>46063</v>
      </c>
      <c r="B1350">
        <v>1</v>
      </c>
      <c r="C1350">
        <v>1</v>
      </c>
      <c r="D1350" t="s">
        <v>33</v>
      </c>
      <c r="E1350" t="s">
        <v>34</v>
      </c>
      <c r="F1350">
        <v>424597</v>
      </c>
      <c r="G1350" s="6">
        <v>0</v>
      </c>
      <c r="H1350" t="s">
        <v>789</v>
      </c>
      <c r="I1350" t="s">
        <v>490</v>
      </c>
      <c r="J1350">
        <v>2</v>
      </c>
      <c r="K1350">
        <v>76</v>
      </c>
      <c r="L1350">
        <v>73</v>
      </c>
      <c r="M1350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>
        <v>0</v>
      </c>
      <c r="T1350" s="2">
        <v>0</v>
      </c>
      <c r="U1350" s="2">
        <v>0</v>
      </c>
      <c r="V1350">
        <v>0</v>
      </c>
      <c r="W1350">
        <v>0</v>
      </c>
      <c r="X1350">
        <v>5.0999999999999996</v>
      </c>
      <c r="Y1350" t="e">
        <v>#DIV/0!</v>
      </c>
      <c r="Z1350">
        <v>0</v>
      </c>
      <c r="AA1350" t="e">
        <v>#DIV/0!</v>
      </c>
      <c r="AB1350">
        <v>34.1</v>
      </c>
      <c r="AC1350">
        <v>0</v>
      </c>
      <c r="AD1350">
        <v>40.4</v>
      </c>
      <c r="AE1350" s="7"/>
      <c r="AF1350" s="7"/>
      <c r="AG1350" s="7"/>
      <c r="AH1350" s="7"/>
      <c r="AI1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50" s="7"/>
      <c r="AK1350" t="s">
        <v>437</v>
      </c>
      <c r="AL1350">
        <v>4</v>
      </c>
      <c r="AM1350">
        <v>3</v>
      </c>
      <c r="AN1350">
        <f>IFERROR(INT(Table13[[#This Row],[reject_prod]]/Table13[[#This Row],[part_weight]] * 1000), 0)</f>
        <v>0</v>
      </c>
    </row>
    <row r="1351" spans="1:40" hidden="1">
      <c r="A1351" s="1">
        <v>46063</v>
      </c>
      <c r="B1351">
        <v>1</v>
      </c>
      <c r="C1351">
        <v>2</v>
      </c>
      <c r="D1351" t="s">
        <v>152</v>
      </c>
      <c r="E1351" t="s">
        <v>34</v>
      </c>
      <c r="F1351">
        <v>324163</v>
      </c>
      <c r="G1351" s="6">
        <v>0</v>
      </c>
      <c r="H1351" t="s">
        <v>672</v>
      </c>
      <c r="I1351">
        <v>10684851</v>
      </c>
      <c r="J1351">
        <v>4</v>
      </c>
      <c r="K1351">
        <v>24</v>
      </c>
      <c r="L1351">
        <v>23.5</v>
      </c>
      <c r="M1351">
        <v>1941</v>
      </c>
      <c r="N1351" s="2">
        <v>73152</v>
      </c>
      <c r="O1351" s="2">
        <v>3048</v>
      </c>
      <c r="P1351" s="2">
        <v>1524</v>
      </c>
      <c r="Q1351" s="2">
        <v>7764</v>
      </c>
      <c r="R1351" s="2">
        <v>9144</v>
      </c>
      <c r="S1351">
        <v>214.88399999999999</v>
      </c>
      <c r="T1351" s="2">
        <v>70104</v>
      </c>
      <c r="U1351" s="2">
        <v>3048</v>
      </c>
      <c r="V1351">
        <v>182.45400000000001</v>
      </c>
      <c r="W1351">
        <v>0</v>
      </c>
      <c r="X1351">
        <v>0</v>
      </c>
      <c r="Y1351">
        <v>0</v>
      </c>
      <c r="Z1351">
        <v>3.2</v>
      </c>
      <c r="AA1351">
        <v>1.7538667280520021E-2</v>
      </c>
      <c r="AB1351">
        <v>22</v>
      </c>
      <c r="AC1351">
        <v>11.861666666666668</v>
      </c>
      <c r="AD1351">
        <v>22.5</v>
      </c>
      <c r="AE1351" s="7"/>
      <c r="AF1351" s="7"/>
      <c r="AG1351" s="7"/>
      <c r="AH1351" s="7"/>
      <c r="AI1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0.13833333333333186</v>
      </c>
      <c r="AJ1351" s="7"/>
      <c r="AK1351" t="s">
        <v>168</v>
      </c>
      <c r="AN1351">
        <f>IFERROR(INT(Table13[[#This Row],[reject_prod]]/Table13[[#This Row],[part_weight]] * 1000), 0)</f>
        <v>136</v>
      </c>
    </row>
    <row r="1352" spans="1:40" hidden="1">
      <c r="A1352" s="1">
        <v>46063</v>
      </c>
      <c r="B1352">
        <v>1</v>
      </c>
      <c r="C1352">
        <v>3</v>
      </c>
      <c r="D1352" t="s">
        <v>65</v>
      </c>
      <c r="E1352" t="s">
        <v>34</v>
      </c>
      <c r="F1352">
        <v>442034</v>
      </c>
      <c r="G1352" s="6">
        <v>0</v>
      </c>
      <c r="H1352" t="s">
        <v>37</v>
      </c>
      <c r="I1352">
        <v>10685633</v>
      </c>
      <c r="J1352">
        <v>4</v>
      </c>
      <c r="K1352">
        <v>23</v>
      </c>
      <c r="L1352">
        <v>23</v>
      </c>
      <c r="M1352">
        <v>1457</v>
      </c>
      <c r="N1352" s="2">
        <v>139776</v>
      </c>
      <c r="O1352" s="2">
        <v>768</v>
      </c>
      <c r="P1352" s="2">
        <v>1920</v>
      </c>
      <c r="Q1352" s="2">
        <v>5828</v>
      </c>
      <c r="R1352" s="2">
        <v>4608</v>
      </c>
      <c r="S1352">
        <v>105.98399999999999</v>
      </c>
      <c r="T1352" s="2">
        <v>84864</v>
      </c>
      <c r="U1352" s="2">
        <v>54912</v>
      </c>
      <c r="V1352">
        <v>134.04400000000001</v>
      </c>
      <c r="W1352">
        <v>0</v>
      </c>
      <c r="X1352">
        <v>0</v>
      </c>
      <c r="Y1352">
        <v>0</v>
      </c>
      <c r="Z1352">
        <v>1.6</v>
      </c>
      <c r="AA1352">
        <v>1.1936379099400197E-2</v>
      </c>
      <c r="AB1352">
        <v>28.5</v>
      </c>
      <c r="AC1352">
        <v>11.534583333333334</v>
      </c>
      <c r="AD1352">
        <v>22</v>
      </c>
      <c r="AE1352" s="7"/>
      <c r="AF1352" s="7"/>
      <c r="AG1352" s="7"/>
      <c r="AH1352" s="7"/>
      <c r="AI1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0.46541666666666615</v>
      </c>
      <c r="AJ1352" s="7"/>
      <c r="AK1352" t="s">
        <v>168</v>
      </c>
      <c r="AL1352">
        <v>2</v>
      </c>
      <c r="AM1352">
        <v>1</v>
      </c>
      <c r="AN1352">
        <f>IFERROR(INT(Table13[[#This Row],[reject_prod]]/Table13[[#This Row],[part_weight]] * 1000), 0)</f>
        <v>69</v>
      </c>
    </row>
    <row r="1353" spans="1:40" hidden="1">
      <c r="A1353" s="1">
        <v>46063</v>
      </c>
      <c r="B1353">
        <v>1</v>
      </c>
      <c r="C1353">
        <v>4</v>
      </c>
      <c r="D1353" t="s">
        <v>112</v>
      </c>
      <c r="E1353" t="s">
        <v>34</v>
      </c>
      <c r="F1353">
        <v>322477</v>
      </c>
      <c r="G1353" s="6">
        <v>0</v>
      </c>
      <c r="H1353" t="s">
        <v>694</v>
      </c>
      <c r="I1353">
        <v>10686801</v>
      </c>
      <c r="J1353">
        <v>4</v>
      </c>
      <c r="K1353">
        <v>44</v>
      </c>
      <c r="L1353">
        <v>44</v>
      </c>
      <c r="M1353">
        <v>1623</v>
      </c>
      <c r="N1353" s="2">
        <v>38850</v>
      </c>
      <c r="O1353" s="2">
        <v>105</v>
      </c>
      <c r="P1353" s="2">
        <v>210</v>
      </c>
      <c r="Q1353" s="2">
        <v>6492</v>
      </c>
      <c r="R1353" s="2">
        <v>6300</v>
      </c>
      <c r="S1353">
        <v>277.2</v>
      </c>
      <c r="T1353" s="2">
        <v>35490</v>
      </c>
      <c r="U1353" s="2">
        <v>3360</v>
      </c>
      <c r="V1353">
        <v>285.64800000000002</v>
      </c>
      <c r="W1353">
        <v>0</v>
      </c>
      <c r="X1353">
        <v>0</v>
      </c>
      <c r="Y1353">
        <v>0</v>
      </c>
      <c r="Z1353">
        <v>3.7</v>
      </c>
      <c r="AA1353">
        <v>1.2953005097182545E-2</v>
      </c>
      <c r="AB1353">
        <v>26.1</v>
      </c>
      <c r="AC1353">
        <v>11.76675</v>
      </c>
      <c r="AD1353">
        <v>26</v>
      </c>
      <c r="AE1353" s="7"/>
      <c r="AF1353" s="7"/>
      <c r="AG1353" s="7"/>
      <c r="AH1353" s="7"/>
      <c r="AI1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0.23324999999999996</v>
      </c>
      <c r="AJ1353" s="7"/>
      <c r="AK1353" t="s">
        <v>771</v>
      </c>
      <c r="AL1353">
        <v>1</v>
      </c>
      <c r="AM1353">
        <v>4</v>
      </c>
      <c r="AN1353">
        <f>IFERROR(INT(Table13[[#This Row],[reject_prod]]/Table13[[#This Row],[part_weight]] * 1000), 0)</f>
        <v>84</v>
      </c>
    </row>
    <row r="1354" spans="1:40" hidden="1">
      <c r="A1354" s="1">
        <v>46063</v>
      </c>
      <c r="B1354">
        <v>1</v>
      </c>
      <c r="C1354">
        <v>5</v>
      </c>
      <c r="D1354" t="s">
        <v>790</v>
      </c>
      <c r="E1354" t="s">
        <v>34</v>
      </c>
      <c r="F1354">
        <v>322448</v>
      </c>
      <c r="G1354" s="6">
        <v>0</v>
      </c>
      <c r="H1354" t="s">
        <v>654</v>
      </c>
      <c r="I1354">
        <v>10686670</v>
      </c>
      <c r="J1354">
        <v>4</v>
      </c>
      <c r="K1354">
        <v>40</v>
      </c>
      <c r="L1354">
        <v>40</v>
      </c>
      <c r="M1354">
        <v>1673</v>
      </c>
      <c r="N1354" s="2">
        <v>29160</v>
      </c>
      <c r="O1354" s="2">
        <v>200</v>
      </c>
      <c r="P1354" s="2">
        <v>324</v>
      </c>
      <c r="Q1354" s="2">
        <v>6692</v>
      </c>
      <c r="R1354" s="2">
        <v>6480</v>
      </c>
      <c r="S1354">
        <v>259.2</v>
      </c>
      <c r="T1354" s="2">
        <v>14094</v>
      </c>
      <c r="U1354" s="2">
        <v>15066</v>
      </c>
      <c r="V1354">
        <v>267.68</v>
      </c>
      <c r="W1354">
        <v>0</v>
      </c>
      <c r="X1354">
        <v>0</v>
      </c>
      <c r="Y1354">
        <v>0</v>
      </c>
      <c r="Z1354">
        <v>3.5</v>
      </c>
      <c r="AA1354">
        <v>1.307531380753138E-2</v>
      </c>
      <c r="AB1354">
        <v>25.7</v>
      </c>
      <c r="AC1354">
        <v>11.943361111111111</v>
      </c>
      <c r="AD1354">
        <v>23</v>
      </c>
      <c r="AE1354" s="7"/>
      <c r="AF1354" s="7"/>
      <c r="AG1354" s="7"/>
      <c r="AH1354" s="7"/>
      <c r="AI1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5.6638888888889127E-2</v>
      </c>
      <c r="AJ1354" s="7"/>
      <c r="AK1354" t="s">
        <v>540</v>
      </c>
      <c r="AN1354">
        <f>IFERROR(INT(Table13[[#This Row],[reject_prod]]/Table13[[#This Row],[part_weight]] * 1000), 0)</f>
        <v>87</v>
      </c>
    </row>
    <row r="1355" spans="1:40" hidden="1">
      <c r="A1355" s="1">
        <v>46063</v>
      </c>
      <c r="B1355">
        <v>1</v>
      </c>
      <c r="C1355">
        <v>6</v>
      </c>
      <c r="D1355" t="s">
        <v>305</v>
      </c>
      <c r="E1355" t="s">
        <v>34</v>
      </c>
      <c r="F1355">
        <v>322445</v>
      </c>
      <c r="G1355" s="6">
        <v>0</v>
      </c>
      <c r="H1355" t="s">
        <v>743</v>
      </c>
      <c r="I1355">
        <v>10685637</v>
      </c>
      <c r="J1355">
        <v>4</v>
      </c>
      <c r="K1355">
        <v>32.74</v>
      </c>
      <c r="L1355">
        <v>33</v>
      </c>
      <c r="M1355">
        <v>1807</v>
      </c>
      <c r="N1355" s="2">
        <v>72000</v>
      </c>
      <c r="O1355" s="2">
        <v>360</v>
      </c>
      <c r="P1355" s="2">
        <v>360</v>
      </c>
      <c r="Q1355" s="2">
        <v>7228</v>
      </c>
      <c r="R1355" s="2">
        <v>7200</v>
      </c>
      <c r="S1355">
        <v>237.6</v>
      </c>
      <c r="T1355" s="2">
        <v>32760</v>
      </c>
      <c r="U1355" s="2">
        <v>39240</v>
      </c>
      <c r="V1355">
        <v>238.524</v>
      </c>
      <c r="W1355">
        <v>0</v>
      </c>
      <c r="X1355">
        <v>0</v>
      </c>
      <c r="Y1355">
        <v>0</v>
      </c>
      <c r="Z1355">
        <v>0.8</v>
      </c>
      <c r="AA1355">
        <v>3.3539601884925627E-3</v>
      </c>
      <c r="AB1355">
        <v>23.3</v>
      </c>
      <c r="AC1355">
        <v>11.695305555555555</v>
      </c>
      <c r="AD1355">
        <v>22</v>
      </c>
      <c r="AE1355" s="7"/>
      <c r="AF1355" s="7"/>
      <c r="AG1355" s="7"/>
      <c r="AH1355" s="7"/>
      <c r="AI1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0.30469444444444527</v>
      </c>
      <c r="AJ1355" s="7"/>
      <c r="AK1355" t="s">
        <v>214</v>
      </c>
      <c r="AM1355">
        <v>2</v>
      </c>
      <c r="AN1355">
        <f>IFERROR(INT(Table13[[#This Row],[reject_prod]]/Table13[[#This Row],[part_weight]] * 1000), 0)</f>
        <v>24</v>
      </c>
    </row>
    <row r="1356" spans="1:40" hidden="1">
      <c r="A1356" s="1">
        <v>46063</v>
      </c>
      <c r="B1356">
        <v>1</v>
      </c>
      <c r="C1356">
        <v>7</v>
      </c>
      <c r="D1356" t="s">
        <v>554</v>
      </c>
      <c r="E1356" t="s">
        <v>34</v>
      </c>
      <c r="F1356">
        <v>647684</v>
      </c>
      <c r="G1356" s="6">
        <v>0</v>
      </c>
      <c r="H1356" t="s">
        <v>782</v>
      </c>
      <c r="I1356">
        <v>10685213</v>
      </c>
      <c r="J1356">
        <v>4</v>
      </c>
      <c r="K1356">
        <v>34.200000000000003</v>
      </c>
      <c r="L1356">
        <v>34.5</v>
      </c>
      <c r="M1356">
        <v>1136</v>
      </c>
      <c r="N1356" s="2">
        <v>10780</v>
      </c>
      <c r="O1356" s="2">
        <v>0</v>
      </c>
      <c r="P1356" s="2">
        <v>616</v>
      </c>
      <c r="Q1356" s="2">
        <v>4544</v>
      </c>
      <c r="R1356" s="2">
        <v>3234</v>
      </c>
      <c r="S1356">
        <v>111.57299999999999</v>
      </c>
      <c r="T1356" s="2">
        <v>3850</v>
      </c>
      <c r="U1356" s="2">
        <v>6930</v>
      </c>
      <c r="V1356">
        <v>156.768</v>
      </c>
      <c r="W1356">
        <v>0</v>
      </c>
      <c r="X1356">
        <v>20</v>
      </c>
      <c r="Y1356">
        <v>0.12757705654215146</v>
      </c>
      <c r="Z1356">
        <v>4.0999999999999996</v>
      </c>
      <c r="AA1356">
        <v>2.6153296591141045E-2</v>
      </c>
      <c r="AB1356">
        <v>23.31</v>
      </c>
      <c r="AC1356">
        <v>7.3555999999999999</v>
      </c>
      <c r="AD1356">
        <v>20.399999999999999</v>
      </c>
      <c r="AE1356" s="7"/>
      <c r="AF1356" s="7"/>
      <c r="AG1356" s="7"/>
      <c r="AH1356" s="7"/>
      <c r="AI1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4.6444000000000001</v>
      </c>
      <c r="AJ1356" s="7"/>
      <c r="AK1356" t="s">
        <v>791</v>
      </c>
      <c r="AL1356">
        <v>5</v>
      </c>
      <c r="AM1356">
        <v>4</v>
      </c>
      <c r="AN1356">
        <f>IFERROR(INT(Table13[[#This Row],[reject_prod]]/Table13[[#This Row],[part_weight]] * 1000), 0)</f>
        <v>118</v>
      </c>
    </row>
    <row r="1357" spans="1:40" hidden="1">
      <c r="A1357" s="1">
        <v>46063</v>
      </c>
      <c r="B1357">
        <v>1</v>
      </c>
      <c r="C1357">
        <v>8</v>
      </c>
      <c r="D1357" t="s">
        <v>141</v>
      </c>
      <c r="E1357" t="s">
        <v>41</v>
      </c>
      <c r="F1357">
        <v>593537</v>
      </c>
      <c r="G1357" s="6">
        <v>0</v>
      </c>
      <c r="H1357" t="s">
        <v>48</v>
      </c>
      <c r="I1357">
        <v>10685813</v>
      </c>
      <c r="J1357">
        <v>4</v>
      </c>
      <c r="K1357">
        <v>56.5</v>
      </c>
      <c r="L1357">
        <v>56.8</v>
      </c>
      <c r="M1357">
        <v>1366</v>
      </c>
      <c r="N1357" s="2">
        <v>69000</v>
      </c>
      <c r="O1357" s="2">
        <v>345</v>
      </c>
      <c r="P1357" s="2">
        <v>0</v>
      </c>
      <c r="Q1357" s="2">
        <v>5464</v>
      </c>
      <c r="R1357" s="2">
        <v>5750</v>
      </c>
      <c r="S1357">
        <v>326.60000000000002</v>
      </c>
      <c r="T1357" s="2">
        <v>69000</v>
      </c>
      <c r="U1357" s="2">
        <v>0</v>
      </c>
      <c r="V1357">
        <v>310.35520000000002</v>
      </c>
      <c r="W1357">
        <v>0</v>
      </c>
      <c r="X1357">
        <v>0</v>
      </c>
      <c r="Y1357">
        <v>0</v>
      </c>
      <c r="Z1357">
        <v>3.5</v>
      </c>
      <c r="AA1357">
        <v>1.1277400861980079E-2</v>
      </c>
      <c r="AB1357">
        <v>30.5</v>
      </c>
      <c r="AC1357">
        <v>11.573055555555557</v>
      </c>
      <c r="AD1357">
        <v>28.5</v>
      </c>
      <c r="AE1357" s="7"/>
      <c r="AF1357" s="7"/>
      <c r="AG1357" s="7"/>
      <c r="AH1357" s="7"/>
      <c r="AI1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0.42694444444444279</v>
      </c>
      <c r="AJ1357" s="7"/>
      <c r="AK1357" t="s">
        <v>51</v>
      </c>
      <c r="AM1357">
        <v>2</v>
      </c>
      <c r="AN1357">
        <f>IFERROR(INT(Table13[[#This Row],[reject_prod]]/Table13[[#This Row],[part_weight]] * 1000), 0)</f>
        <v>61</v>
      </c>
    </row>
    <row r="1358" spans="1:40" hidden="1">
      <c r="A1358" s="1">
        <v>46063</v>
      </c>
      <c r="B1358">
        <v>1</v>
      </c>
      <c r="C1358">
        <v>8</v>
      </c>
      <c r="D1358" t="s">
        <v>141</v>
      </c>
      <c r="E1358" t="s">
        <v>41</v>
      </c>
      <c r="F1358">
        <v>593537</v>
      </c>
      <c r="G1358" s="6">
        <v>0</v>
      </c>
      <c r="H1358" t="s">
        <v>48</v>
      </c>
      <c r="I1358">
        <v>10687586</v>
      </c>
      <c r="J1358">
        <v>4</v>
      </c>
      <c r="K1358">
        <v>56.5</v>
      </c>
      <c r="L1358">
        <v>56.8</v>
      </c>
      <c r="M1358">
        <v>58</v>
      </c>
      <c r="N1358" s="2">
        <v>69000</v>
      </c>
      <c r="O1358" s="2">
        <v>0</v>
      </c>
      <c r="P1358" s="2">
        <v>230</v>
      </c>
      <c r="Q1358" s="2">
        <v>232</v>
      </c>
      <c r="R1358" s="2">
        <v>0</v>
      </c>
      <c r="S1358">
        <v>0</v>
      </c>
      <c r="T1358" s="2">
        <v>230</v>
      </c>
      <c r="U1358" s="2">
        <v>68770</v>
      </c>
      <c r="V1358">
        <v>13.177599999999998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30.5</v>
      </c>
      <c r="AC1358">
        <v>0.49138888888888893</v>
      </c>
      <c r="AD1358">
        <v>28.5</v>
      </c>
      <c r="AE1358" s="7"/>
      <c r="AF1358" s="7"/>
      <c r="AG1358" s="7"/>
      <c r="AH1358" s="7"/>
      <c r="AI1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11.508611111111112</v>
      </c>
      <c r="AJ1358" s="7"/>
      <c r="AK1358" t="s">
        <v>51</v>
      </c>
      <c r="AN1358">
        <f>IFERROR(INT(Table13[[#This Row],[reject_prod]]/Table13[[#This Row],[part_weight]] * 1000), 0)</f>
        <v>0</v>
      </c>
    </row>
    <row r="1359" spans="1:40" hidden="1">
      <c r="A1359" s="1">
        <v>46063</v>
      </c>
      <c r="B1359">
        <v>1</v>
      </c>
      <c r="C1359">
        <v>9</v>
      </c>
      <c r="D1359" t="s">
        <v>143</v>
      </c>
      <c r="E1359" t="s">
        <v>46</v>
      </c>
      <c r="F1359">
        <v>586276</v>
      </c>
      <c r="G1359" s="6">
        <v>1</v>
      </c>
      <c r="H1359" t="s">
        <v>47</v>
      </c>
      <c r="I1359">
        <v>10683781</v>
      </c>
      <c r="J1359">
        <v>6</v>
      </c>
      <c r="K1359">
        <v>12.3</v>
      </c>
      <c r="L1359">
        <v>12.3</v>
      </c>
      <c r="M1359">
        <v>0</v>
      </c>
      <c r="N1359" s="2">
        <v>162000</v>
      </c>
      <c r="O1359" s="2">
        <v>11745</v>
      </c>
      <c r="P1359" s="2">
        <v>11745</v>
      </c>
      <c r="Q1359" s="2">
        <v>0</v>
      </c>
      <c r="R1359" s="2">
        <v>0</v>
      </c>
      <c r="S1359">
        <v>0</v>
      </c>
      <c r="T1359" s="2">
        <v>76545</v>
      </c>
      <c r="U1359" s="2">
        <v>85455</v>
      </c>
      <c r="V1359">
        <v>0</v>
      </c>
      <c r="W1359">
        <v>0</v>
      </c>
      <c r="X1359">
        <v>11.5</v>
      </c>
      <c r="Y1359" t="e">
        <v>#DIV/0!</v>
      </c>
      <c r="Z1359">
        <v>0</v>
      </c>
      <c r="AA1359" t="e">
        <v>#DIV/0!</v>
      </c>
      <c r="AB1359">
        <v>25.7</v>
      </c>
      <c r="AC1359">
        <v>0</v>
      </c>
      <c r="AD1359">
        <v>26</v>
      </c>
      <c r="AE1359" s="7"/>
      <c r="AF1359" s="7"/>
      <c r="AG1359" s="7"/>
      <c r="AH1359" s="7"/>
      <c r="AI13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59" s="7"/>
      <c r="AK1359" t="s">
        <v>792</v>
      </c>
      <c r="AL1359">
        <v>7</v>
      </c>
      <c r="AM1359">
        <v>6</v>
      </c>
      <c r="AN1359">
        <f>IFERROR(INT(Table13[[#This Row],[reject_prod]]/Table13[[#This Row],[part_weight]] * 1000), 0)</f>
        <v>0</v>
      </c>
    </row>
    <row r="1360" spans="1:40" hidden="1">
      <c r="A1360" s="1">
        <v>46063</v>
      </c>
      <c r="B1360">
        <v>1</v>
      </c>
      <c r="C1360">
        <v>10</v>
      </c>
      <c r="D1360" t="s">
        <v>149</v>
      </c>
      <c r="E1360" t="s">
        <v>34</v>
      </c>
      <c r="F1360">
        <v>324638</v>
      </c>
      <c r="G1360" s="6">
        <v>0</v>
      </c>
      <c r="H1360" t="s">
        <v>687</v>
      </c>
      <c r="I1360">
        <v>10686808</v>
      </c>
      <c r="J1360">
        <v>4</v>
      </c>
      <c r="K1360">
        <v>77.5</v>
      </c>
      <c r="L1360">
        <v>77.5</v>
      </c>
      <c r="M1360">
        <v>1127</v>
      </c>
      <c r="N1360" s="2">
        <v>19872</v>
      </c>
      <c r="O1360" s="2">
        <v>138</v>
      </c>
      <c r="P1360" s="2">
        <v>0</v>
      </c>
      <c r="Q1360" s="2">
        <v>4508</v>
      </c>
      <c r="R1360" s="2">
        <v>4416</v>
      </c>
      <c r="S1360">
        <v>342.24</v>
      </c>
      <c r="T1360" s="2">
        <v>14352</v>
      </c>
      <c r="U1360" s="2">
        <v>5520</v>
      </c>
      <c r="V1360">
        <v>349.37</v>
      </c>
      <c r="W1360">
        <v>0</v>
      </c>
      <c r="X1360">
        <v>0</v>
      </c>
      <c r="Y1360">
        <v>0</v>
      </c>
      <c r="Z1360">
        <v>17.600000000000001</v>
      </c>
      <c r="AA1360">
        <v>5.0376391790937974E-2</v>
      </c>
      <c r="AB1360">
        <v>38.6</v>
      </c>
      <c r="AC1360">
        <v>12</v>
      </c>
      <c r="AD1360">
        <v>36</v>
      </c>
      <c r="AE1360" s="7"/>
      <c r="AF1360" s="7"/>
      <c r="AG1360" s="7"/>
      <c r="AH1360" s="7"/>
      <c r="AI1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60" s="7"/>
      <c r="AK1360" t="s">
        <v>793</v>
      </c>
      <c r="AL1360">
        <v>4</v>
      </c>
      <c r="AN1360">
        <f>IFERROR(INT(Table13[[#This Row],[reject_prod]]/Table13[[#This Row],[part_weight]] * 1000), 0)</f>
        <v>227</v>
      </c>
    </row>
    <row r="1361" spans="1:40" hidden="1">
      <c r="A1361" s="1">
        <v>46063</v>
      </c>
      <c r="B1361">
        <v>1</v>
      </c>
      <c r="C1361">
        <v>11</v>
      </c>
      <c r="D1361" t="s">
        <v>61</v>
      </c>
      <c r="E1361" t="s">
        <v>46</v>
      </c>
      <c r="F1361">
        <v>552181</v>
      </c>
      <c r="G1361" s="6">
        <v>1</v>
      </c>
      <c r="H1361" t="s">
        <v>49</v>
      </c>
      <c r="I1361">
        <v>10685339</v>
      </c>
      <c r="J1361">
        <v>6</v>
      </c>
      <c r="K1361">
        <v>18.8</v>
      </c>
      <c r="L1361">
        <v>18.8</v>
      </c>
      <c r="M1361">
        <v>1426</v>
      </c>
      <c r="N1361" s="2">
        <v>108000</v>
      </c>
      <c r="O1361" s="2">
        <v>1620</v>
      </c>
      <c r="P1361" s="2">
        <v>4590</v>
      </c>
      <c r="Q1361" s="2">
        <v>8556</v>
      </c>
      <c r="R1361" s="2">
        <v>5400</v>
      </c>
      <c r="S1361">
        <v>101.52</v>
      </c>
      <c r="T1361" s="2">
        <v>101790</v>
      </c>
      <c r="U1361" s="2">
        <v>6210</v>
      </c>
      <c r="V1361">
        <v>160.85280000000003</v>
      </c>
      <c r="W1361">
        <v>0</v>
      </c>
      <c r="X1361">
        <v>0</v>
      </c>
      <c r="Y1361">
        <v>0</v>
      </c>
      <c r="Z1361">
        <v>3.5</v>
      </c>
      <c r="AA1361">
        <v>2.1759024399948271E-2</v>
      </c>
      <c r="AB1361">
        <v>29.4</v>
      </c>
      <c r="AC1361">
        <v>11.645666666666665</v>
      </c>
      <c r="AD1361">
        <v>27</v>
      </c>
      <c r="AE1361" s="7"/>
      <c r="AF1361" s="7"/>
      <c r="AG1361" s="7"/>
      <c r="AH1361" s="7"/>
      <c r="AI1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0.35433333333333472</v>
      </c>
      <c r="AJ1361" s="7"/>
      <c r="AK1361" t="s">
        <v>480</v>
      </c>
      <c r="AN1361">
        <f>IFERROR(INT(Table13[[#This Row],[reject_prod]]/Table13[[#This Row],[part_weight]] * 1000), 0)</f>
        <v>186</v>
      </c>
    </row>
    <row r="1362" spans="1:40" hidden="1">
      <c r="A1362" s="1">
        <v>46063</v>
      </c>
      <c r="B1362">
        <v>1</v>
      </c>
      <c r="C1362">
        <v>12</v>
      </c>
      <c r="D1362" t="s">
        <v>67</v>
      </c>
      <c r="E1362" t="s">
        <v>34</v>
      </c>
      <c r="F1362">
        <v>620599</v>
      </c>
      <c r="G1362" s="6">
        <v>0</v>
      </c>
      <c r="H1362" t="s">
        <v>50</v>
      </c>
      <c r="I1362">
        <v>10686674</v>
      </c>
      <c r="J1362">
        <v>4</v>
      </c>
      <c r="K1362">
        <v>55</v>
      </c>
      <c r="L1362">
        <v>55</v>
      </c>
      <c r="M1362">
        <v>1480</v>
      </c>
      <c r="N1362" s="2">
        <v>72000</v>
      </c>
      <c r="O1362" s="2">
        <v>675</v>
      </c>
      <c r="P1362" s="2">
        <v>1125</v>
      </c>
      <c r="Q1362" s="2">
        <v>5920</v>
      </c>
      <c r="R1362" s="2">
        <v>5400</v>
      </c>
      <c r="S1362">
        <v>297</v>
      </c>
      <c r="T1362" s="2">
        <v>26325</v>
      </c>
      <c r="U1362" s="2">
        <v>45675</v>
      </c>
      <c r="V1362">
        <v>325.60000000000002</v>
      </c>
      <c r="W1362">
        <v>0</v>
      </c>
      <c r="X1362">
        <v>0</v>
      </c>
      <c r="Y1362">
        <v>0</v>
      </c>
      <c r="Z1362">
        <v>3.5</v>
      </c>
      <c r="AA1362">
        <v>1.0749385749385748E-2</v>
      </c>
      <c r="AB1362">
        <v>28.8</v>
      </c>
      <c r="AC1362">
        <v>11.84</v>
      </c>
      <c r="AD1362">
        <v>28</v>
      </c>
      <c r="AE1362" s="7"/>
      <c r="AF1362" s="7"/>
      <c r="AG1362" s="7"/>
      <c r="AH1362" s="7"/>
      <c r="AI1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362" s="7"/>
      <c r="AK1362" t="s">
        <v>178</v>
      </c>
      <c r="AN1362">
        <f>IFERROR(INT(Table13[[#This Row],[reject_prod]]/Table13[[#This Row],[part_weight]] * 1000), 0)</f>
        <v>63</v>
      </c>
    </row>
    <row r="1363" spans="1:40" hidden="1">
      <c r="A1363" s="1">
        <v>46063</v>
      </c>
      <c r="B1363">
        <v>1</v>
      </c>
      <c r="C1363">
        <v>13</v>
      </c>
      <c r="D1363" t="s">
        <v>61</v>
      </c>
      <c r="E1363" t="s">
        <v>46</v>
      </c>
      <c r="F1363">
        <v>586276</v>
      </c>
      <c r="G1363" s="6">
        <v>2</v>
      </c>
      <c r="H1363" t="s">
        <v>47</v>
      </c>
      <c r="I1363">
        <v>10686676</v>
      </c>
      <c r="J1363">
        <v>6</v>
      </c>
      <c r="K1363">
        <v>12.3</v>
      </c>
      <c r="L1363">
        <v>12.3</v>
      </c>
      <c r="M1363">
        <v>1632</v>
      </c>
      <c r="N1363" s="2">
        <v>162000</v>
      </c>
      <c r="O1363" s="2">
        <v>6480</v>
      </c>
      <c r="P1363" s="2">
        <v>0</v>
      </c>
      <c r="Q1363" s="2">
        <v>9792</v>
      </c>
      <c r="R1363" s="2">
        <v>16200</v>
      </c>
      <c r="S1363">
        <v>199.26</v>
      </c>
      <c r="T1363" s="2">
        <v>24300</v>
      </c>
      <c r="U1363" s="2">
        <v>137700</v>
      </c>
      <c r="V1363">
        <v>120.44160000000001</v>
      </c>
      <c r="W1363">
        <v>0</v>
      </c>
      <c r="X1363">
        <v>0</v>
      </c>
      <c r="Y1363">
        <v>0</v>
      </c>
      <c r="Z1363">
        <v>0.8</v>
      </c>
      <c r="AA1363">
        <v>6.6422232849779475E-3</v>
      </c>
      <c r="AB1363">
        <v>26.2</v>
      </c>
      <c r="AC1363">
        <v>11.877333333333334</v>
      </c>
      <c r="AD1363">
        <v>26</v>
      </c>
      <c r="AE1363" s="7"/>
      <c r="AF1363" s="7"/>
      <c r="AG1363" s="7"/>
      <c r="AH1363" s="7"/>
      <c r="AI1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363" s="7"/>
      <c r="AK1363" t="s">
        <v>51</v>
      </c>
      <c r="AN1363">
        <f>IFERROR(INT(Table13[[#This Row],[reject_prod]]/Table13[[#This Row],[part_weight]] * 1000), 0)</f>
        <v>65</v>
      </c>
    </row>
    <row r="1364" spans="1:40" hidden="1">
      <c r="A1364" s="1">
        <v>46063</v>
      </c>
      <c r="B1364">
        <v>1</v>
      </c>
      <c r="C1364">
        <v>14</v>
      </c>
      <c r="D1364" t="s">
        <v>33</v>
      </c>
      <c r="E1364" t="s">
        <v>46</v>
      </c>
      <c r="F1364">
        <v>555979</v>
      </c>
      <c r="G1364" s="6">
        <v>1</v>
      </c>
      <c r="H1364" t="s">
        <v>52</v>
      </c>
      <c r="I1364">
        <v>10683785</v>
      </c>
      <c r="J1364">
        <v>6</v>
      </c>
      <c r="K1364">
        <v>28</v>
      </c>
      <c r="L1364">
        <v>28</v>
      </c>
      <c r="M1364">
        <v>0</v>
      </c>
      <c r="N1364" s="2">
        <v>100800</v>
      </c>
      <c r="O1364" s="2">
        <v>0</v>
      </c>
      <c r="P1364" s="2">
        <v>0</v>
      </c>
      <c r="Q1364" s="2">
        <v>0</v>
      </c>
      <c r="R1364" s="2">
        <v>0</v>
      </c>
      <c r="S1364">
        <v>0</v>
      </c>
      <c r="T1364" s="2">
        <v>30240</v>
      </c>
      <c r="U1364" s="2">
        <v>70560</v>
      </c>
      <c r="V1364">
        <v>0</v>
      </c>
      <c r="W1364">
        <v>0</v>
      </c>
      <c r="X1364">
        <v>0</v>
      </c>
      <c r="Y1364" t="e">
        <v>#DIV/0!</v>
      </c>
      <c r="Z1364">
        <v>0</v>
      </c>
      <c r="AA1364" t="e">
        <v>#DIV/0!</v>
      </c>
      <c r="AB1364">
        <v>43</v>
      </c>
      <c r="AC1364">
        <v>0</v>
      </c>
      <c r="AD1364">
        <v>42</v>
      </c>
      <c r="AE1364" s="7"/>
      <c r="AF1364" s="7"/>
      <c r="AG1364" s="7"/>
      <c r="AH1364" s="7"/>
      <c r="AI1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64" s="7"/>
      <c r="AK1364" t="s">
        <v>774</v>
      </c>
      <c r="AN1364">
        <f>IFERROR(INT(Table13[[#This Row],[reject_prod]]/Table13[[#This Row],[part_weight]] * 1000), 0)</f>
        <v>0</v>
      </c>
    </row>
    <row r="1365" spans="1:40" hidden="1">
      <c r="A1365" s="1">
        <v>46063</v>
      </c>
      <c r="B1365">
        <v>1</v>
      </c>
      <c r="C1365">
        <v>15</v>
      </c>
      <c r="D1365" t="s">
        <v>61</v>
      </c>
      <c r="E1365" t="s">
        <v>46</v>
      </c>
      <c r="F1365">
        <v>552181</v>
      </c>
      <c r="G1365" s="6">
        <v>2</v>
      </c>
      <c r="H1365" t="s">
        <v>49</v>
      </c>
      <c r="I1365">
        <v>10685542</v>
      </c>
      <c r="J1365">
        <v>6</v>
      </c>
      <c r="K1365">
        <v>18.8</v>
      </c>
      <c r="L1365">
        <v>18.8</v>
      </c>
      <c r="M1365">
        <v>1355</v>
      </c>
      <c r="N1365" s="2">
        <v>108000</v>
      </c>
      <c r="O1365" s="2">
        <v>4050</v>
      </c>
      <c r="P1365" s="2">
        <v>1350</v>
      </c>
      <c r="Q1365" s="2">
        <v>8130</v>
      </c>
      <c r="R1365" s="2">
        <v>10800</v>
      </c>
      <c r="S1365">
        <v>203.04</v>
      </c>
      <c r="T1365" s="2">
        <v>87750</v>
      </c>
      <c r="U1365" s="2">
        <v>20250</v>
      </c>
      <c r="V1365">
        <v>152.84399999999999</v>
      </c>
      <c r="W1365">
        <v>0</v>
      </c>
      <c r="X1365">
        <v>0</v>
      </c>
      <c r="Y1365">
        <v>0</v>
      </c>
      <c r="Z1365">
        <v>0.5</v>
      </c>
      <c r="AA1365">
        <v>3.2713093088377692E-3</v>
      </c>
      <c r="AB1365">
        <v>31.2</v>
      </c>
      <c r="AC1365">
        <v>11.743333333333332</v>
      </c>
      <c r="AD1365">
        <v>27</v>
      </c>
      <c r="AE1365" s="7"/>
      <c r="AF1365" s="7"/>
      <c r="AG1365" s="7"/>
      <c r="AH1365" s="7"/>
      <c r="AI1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1365" s="7"/>
      <c r="AK1365" t="s">
        <v>51</v>
      </c>
      <c r="AN1365">
        <f>IFERROR(INT(Table13[[#This Row],[reject_prod]]/Table13[[#This Row],[part_weight]] * 1000), 0)</f>
        <v>26</v>
      </c>
    </row>
    <row r="1366" spans="1:40" s="4" customFormat="1" hidden="1">
      <c r="A1366" s="3">
        <v>46063</v>
      </c>
      <c r="B1366" s="4">
        <v>1</v>
      </c>
      <c r="C1366" s="4">
        <v>16</v>
      </c>
      <c r="D1366" s="4" t="s">
        <v>794</v>
      </c>
      <c r="E1366" s="4" t="s">
        <v>46</v>
      </c>
      <c r="F1366" s="4">
        <v>555979</v>
      </c>
      <c r="G1366" s="9">
        <v>2</v>
      </c>
      <c r="H1366" s="4" t="s">
        <v>52</v>
      </c>
      <c r="I1366" s="4">
        <v>10685814</v>
      </c>
      <c r="J1366" s="4">
        <v>6</v>
      </c>
      <c r="K1366" s="4">
        <v>28</v>
      </c>
      <c r="L1366" s="4">
        <v>28</v>
      </c>
      <c r="M1366" s="4">
        <v>1002</v>
      </c>
      <c r="N1366" s="5">
        <v>100800</v>
      </c>
      <c r="O1366" s="5">
        <v>3192</v>
      </c>
      <c r="P1366" s="5">
        <v>2352</v>
      </c>
      <c r="Q1366" s="5">
        <v>6012</v>
      </c>
      <c r="R1366" s="5">
        <v>6720</v>
      </c>
      <c r="S1366" s="4">
        <v>188.16</v>
      </c>
      <c r="T1366" s="5">
        <v>62832</v>
      </c>
      <c r="U1366" s="5">
        <v>37968</v>
      </c>
      <c r="V1366" s="4">
        <v>168.33600000000001</v>
      </c>
      <c r="W1366" s="4">
        <v>0</v>
      </c>
      <c r="X1366" s="4">
        <v>0</v>
      </c>
      <c r="Y1366" s="4">
        <v>0</v>
      </c>
      <c r="Z1366" s="4">
        <v>3.5</v>
      </c>
      <c r="AA1366" s="4">
        <v>2.0791749833665999E-2</v>
      </c>
      <c r="AB1366" s="4">
        <v>43.5</v>
      </c>
      <c r="AC1366" s="4">
        <v>12</v>
      </c>
      <c r="AD1366" s="4">
        <v>42</v>
      </c>
      <c r="AE1366" s="8"/>
      <c r="AF1366" s="8"/>
      <c r="AG1366" s="8"/>
      <c r="AH1366" s="8"/>
      <c r="AI136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66" s="8"/>
      <c r="AK1366" s="4" t="s">
        <v>51</v>
      </c>
      <c r="AN1366">
        <f>IFERROR(INT(Table13[[#This Row],[reject_prod]]/Table13[[#This Row],[part_weight]] * 1000), 0)</f>
        <v>125</v>
      </c>
    </row>
    <row r="1367" spans="1:40" hidden="1">
      <c r="A1367" s="1">
        <v>46063</v>
      </c>
      <c r="B1367">
        <v>2</v>
      </c>
      <c r="C1367">
        <v>1</v>
      </c>
      <c r="D1367" t="s">
        <v>33</v>
      </c>
      <c r="E1367" t="s">
        <v>34</v>
      </c>
      <c r="F1367">
        <v>424597</v>
      </c>
      <c r="G1367" s="6">
        <v>0</v>
      </c>
      <c r="H1367" t="s">
        <v>789</v>
      </c>
      <c r="I1367" t="s">
        <v>490</v>
      </c>
      <c r="J1367">
        <v>2</v>
      </c>
      <c r="K1367">
        <v>76</v>
      </c>
      <c r="L1367">
        <v>73</v>
      </c>
      <c r="M1367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>
        <v>0</v>
      </c>
      <c r="T1367" s="2">
        <v>0</v>
      </c>
      <c r="U1367" s="2">
        <v>0</v>
      </c>
      <c r="V1367">
        <v>0</v>
      </c>
      <c r="W1367">
        <v>0</v>
      </c>
      <c r="X1367">
        <v>0</v>
      </c>
      <c r="Y1367" t="e">
        <v>#DIV/0!</v>
      </c>
      <c r="Z1367">
        <v>0</v>
      </c>
      <c r="AA1367" t="e">
        <v>#DIV/0!</v>
      </c>
      <c r="AB1367">
        <v>34.1</v>
      </c>
      <c r="AC1367">
        <v>0</v>
      </c>
      <c r="AD1367">
        <v>40.4</v>
      </c>
      <c r="AE1367" s="7"/>
      <c r="AF1367" s="7"/>
      <c r="AG1367" s="7"/>
      <c r="AH1367" s="7"/>
      <c r="AI1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67" s="7"/>
      <c r="AK1367" t="s">
        <v>437</v>
      </c>
      <c r="AN1367">
        <f>IFERROR(INT(Table13[[#This Row],[reject_prod]]/Table13[[#This Row],[part_weight]] * 1000), 0)</f>
        <v>0</v>
      </c>
    </row>
    <row r="1368" spans="1:40" hidden="1">
      <c r="A1368" s="1">
        <v>46063</v>
      </c>
      <c r="B1368">
        <v>2</v>
      </c>
      <c r="C1368">
        <v>2</v>
      </c>
      <c r="D1368" t="s">
        <v>84</v>
      </c>
      <c r="E1368" t="s">
        <v>34</v>
      </c>
      <c r="F1368">
        <v>324163</v>
      </c>
      <c r="G1368" s="6">
        <v>0</v>
      </c>
      <c r="H1368" t="s">
        <v>672</v>
      </c>
      <c r="I1368">
        <v>10684851</v>
      </c>
      <c r="J1368">
        <v>4</v>
      </c>
      <c r="K1368">
        <v>24</v>
      </c>
      <c r="L1368">
        <v>23.5</v>
      </c>
      <c r="M1368">
        <v>810</v>
      </c>
      <c r="N1368" s="2">
        <v>73152</v>
      </c>
      <c r="O1368" s="2">
        <v>1524</v>
      </c>
      <c r="P1368" s="2">
        <v>0</v>
      </c>
      <c r="Q1368" s="2">
        <v>3240</v>
      </c>
      <c r="R1368" s="2">
        <v>4572</v>
      </c>
      <c r="S1368">
        <v>107.44199999999999</v>
      </c>
      <c r="T1368" s="2">
        <v>73152</v>
      </c>
      <c r="U1368" s="2">
        <v>0</v>
      </c>
      <c r="V1368">
        <v>76.14</v>
      </c>
      <c r="W1368">
        <v>0</v>
      </c>
      <c r="X1368">
        <v>0</v>
      </c>
      <c r="Y1368">
        <v>0</v>
      </c>
      <c r="Z1368">
        <v>6</v>
      </c>
      <c r="AA1368">
        <v>7.8802206461780933E-2</v>
      </c>
      <c r="AB1368">
        <v>22</v>
      </c>
      <c r="AC1368">
        <v>4.95</v>
      </c>
      <c r="AD1368">
        <v>22.5</v>
      </c>
      <c r="AE1368" s="7"/>
      <c r="AF1368" s="7"/>
      <c r="AG1368" s="7"/>
      <c r="AH1368" s="7"/>
      <c r="AI1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7.05</v>
      </c>
      <c r="AJ1368" s="7"/>
      <c r="AK1368" t="s">
        <v>795</v>
      </c>
      <c r="AN1368">
        <f>IFERROR(INT(Table13[[#This Row],[reject_prod]]/Table13[[#This Row],[part_weight]] * 1000), 0)</f>
        <v>255</v>
      </c>
    </row>
    <row r="1369" spans="1:40" hidden="1">
      <c r="A1369" s="1">
        <v>46063</v>
      </c>
      <c r="B1369">
        <v>2</v>
      </c>
      <c r="C1369">
        <v>2</v>
      </c>
      <c r="D1369" t="s">
        <v>84</v>
      </c>
      <c r="E1369" t="s">
        <v>34</v>
      </c>
      <c r="F1369">
        <v>549814</v>
      </c>
      <c r="G1369" s="6">
        <v>0</v>
      </c>
      <c r="H1369" t="s">
        <v>796</v>
      </c>
      <c r="I1369">
        <v>10685210</v>
      </c>
      <c r="J1369">
        <v>4</v>
      </c>
      <c r="K1369">
        <v>11.3</v>
      </c>
      <c r="L1369">
        <v>18.349999999999998</v>
      </c>
      <c r="M1369">
        <v>0</v>
      </c>
      <c r="N1369" s="2">
        <v>11000</v>
      </c>
      <c r="O1369" s="2">
        <v>0</v>
      </c>
      <c r="P1369" s="2">
        <v>0</v>
      </c>
      <c r="Q1369" s="2">
        <v>0</v>
      </c>
      <c r="R1369" s="2">
        <v>0</v>
      </c>
      <c r="S1369">
        <v>0</v>
      </c>
      <c r="T1369" s="2">
        <v>0</v>
      </c>
      <c r="U1369" s="2">
        <v>11000</v>
      </c>
      <c r="V1369">
        <v>0</v>
      </c>
      <c r="W1369">
        <v>0</v>
      </c>
      <c r="X1369">
        <v>4</v>
      </c>
      <c r="Y1369" t="e">
        <v>#DIV/0!</v>
      </c>
      <c r="Z1369">
        <v>0</v>
      </c>
      <c r="AA1369" t="e">
        <v>#DIV/0!</v>
      </c>
      <c r="AB1369">
        <v>22</v>
      </c>
      <c r="AC1369">
        <v>0</v>
      </c>
      <c r="AD1369">
        <v>19.239999999999998</v>
      </c>
      <c r="AE1369" s="7"/>
      <c r="AF1369" s="7"/>
      <c r="AG1369" s="7">
        <v>1.5</v>
      </c>
      <c r="AH1369" s="7"/>
      <c r="AI1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69" s="7">
        <v>4</v>
      </c>
      <c r="AK1369" t="s">
        <v>797</v>
      </c>
      <c r="AN1369">
        <f>IFERROR(INT(Table13[[#This Row],[reject_prod]]/Table13[[#This Row],[part_weight]] * 1000), 0)</f>
        <v>0</v>
      </c>
    </row>
    <row r="1370" spans="1:40" hidden="1">
      <c r="A1370" s="1">
        <v>46063</v>
      </c>
      <c r="B1370">
        <v>2</v>
      </c>
      <c r="C1370">
        <v>3</v>
      </c>
      <c r="D1370" t="s">
        <v>289</v>
      </c>
      <c r="E1370" t="s">
        <v>34</v>
      </c>
      <c r="F1370">
        <v>442034</v>
      </c>
      <c r="G1370" s="6">
        <v>0</v>
      </c>
      <c r="H1370" t="s">
        <v>37</v>
      </c>
      <c r="I1370">
        <v>10685633</v>
      </c>
      <c r="J1370">
        <v>4</v>
      </c>
      <c r="K1370">
        <v>23</v>
      </c>
      <c r="L1370">
        <v>23</v>
      </c>
      <c r="M1370">
        <v>1530</v>
      </c>
      <c r="N1370" s="2">
        <v>139776</v>
      </c>
      <c r="O1370" s="2">
        <v>1920</v>
      </c>
      <c r="P1370" s="2">
        <v>3456</v>
      </c>
      <c r="Q1370" s="2">
        <v>6120</v>
      </c>
      <c r="R1370" s="2">
        <v>4608</v>
      </c>
      <c r="S1370">
        <v>105.98399999999999</v>
      </c>
      <c r="T1370" s="2">
        <v>91008</v>
      </c>
      <c r="U1370" s="2">
        <v>48768</v>
      </c>
      <c r="V1370">
        <v>140.76</v>
      </c>
      <c r="W1370">
        <v>0</v>
      </c>
      <c r="X1370">
        <v>0</v>
      </c>
      <c r="Y1370">
        <v>0</v>
      </c>
      <c r="Z1370">
        <v>0.5</v>
      </c>
      <c r="AA1370">
        <v>3.5521454958795115E-3</v>
      </c>
      <c r="AB1370">
        <v>28.5</v>
      </c>
      <c r="AC1370">
        <v>12</v>
      </c>
      <c r="AD1370">
        <v>22</v>
      </c>
      <c r="AE1370" s="7"/>
      <c r="AF1370" s="7"/>
      <c r="AG1370" s="7"/>
      <c r="AH1370" s="7"/>
      <c r="AI1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0" s="7"/>
      <c r="AK1370" t="s">
        <v>103</v>
      </c>
      <c r="AN1370">
        <f>IFERROR(INT(Table13[[#This Row],[reject_prod]]/Table13[[#This Row],[part_weight]] * 1000), 0)</f>
        <v>21</v>
      </c>
    </row>
    <row r="1371" spans="1:40" hidden="1">
      <c r="A1371" s="1">
        <v>46063</v>
      </c>
      <c r="B1371">
        <v>2</v>
      </c>
      <c r="C1371">
        <v>4</v>
      </c>
      <c r="D1371" t="s">
        <v>59</v>
      </c>
      <c r="E1371" t="s">
        <v>34</v>
      </c>
      <c r="F1371">
        <v>322477</v>
      </c>
      <c r="G1371" s="6">
        <v>0</v>
      </c>
      <c r="H1371" t="s">
        <v>694</v>
      </c>
      <c r="I1371">
        <v>10686801</v>
      </c>
      <c r="J1371">
        <v>4</v>
      </c>
      <c r="K1371">
        <v>44</v>
      </c>
      <c r="L1371">
        <v>44</v>
      </c>
      <c r="M1371">
        <v>840</v>
      </c>
      <c r="N1371" s="2">
        <v>38850</v>
      </c>
      <c r="O1371" s="2">
        <v>210</v>
      </c>
      <c r="P1371" s="2">
        <v>0</v>
      </c>
      <c r="Q1371" s="2">
        <v>3360</v>
      </c>
      <c r="R1371" s="2">
        <v>3570</v>
      </c>
      <c r="S1371">
        <v>157.08000000000001</v>
      </c>
      <c r="T1371" s="2">
        <v>38850</v>
      </c>
      <c r="U1371" s="2">
        <v>0</v>
      </c>
      <c r="V1371">
        <v>147.84</v>
      </c>
      <c r="W1371">
        <v>0</v>
      </c>
      <c r="X1371">
        <v>0</v>
      </c>
      <c r="Y1371">
        <v>0</v>
      </c>
      <c r="Z1371">
        <v>3.5</v>
      </c>
      <c r="AA1371">
        <v>2.3674242424242424E-2</v>
      </c>
      <c r="AB1371">
        <v>26.1</v>
      </c>
      <c r="AC1371">
        <v>6.0900000000000007</v>
      </c>
      <c r="AD1371">
        <v>26</v>
      </c>
      <c r="AE1371" s="7"/>
      <c r="AF1371" s="7"/>
      <c r="AG1371" s="7"/>
      <c r="AH1371" s="7"/>
      <c r="AI1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5.9099999999999993</v>
      </c>
      <c r="AJ1371" s="7"/>
      <c r="AK1371" t="s">
        <v>102</v>
      </c>
      <c r="AN1371">
        <f>IFERROR(INT(Table13[[#This Row],[reject_prod]]/Table13[[#This Row],[part_weight]] * 1000), 0)</f>
        <v>79</v>
      </c>
    </row>
    <row r="1372" spans="1:40" hidden="1">
      <c r="A1372" s="1">
        <v>46063</v>
      </c>
      <c r="B1372">
        <v>2</v>
      </c>
      <c r="C1372">
        <v>5</v>
      </c>
      <c r="D1372" t="s">
        <v>798</v>
      </c>
      <c r="E1372" t="s">
        <v>34</v>
      </c>
      <c r="F1372">
        <v>322448</v>
      </c>
      <c r="G1372" s="6">
        <v>0</v>
      </c>
      <c r="H1372" t="s">
        <v>654</v>
      </c>
      <c r="I1372">
        <v>10686670</v>
      </c>
      <c r="J1372">
        <v>4</v>
      </c>
      <c r="K1372">
        <v>40</v>
      </c>
      <c r="L1372">
        <v>40</v>
      </c>
      <c r="M1372">
        <v>1700</v>
      </c>
      <c r="N1372" s="2">
        <v>29160</v>
      </c>
      <c r="O1372" s="2">
        <v>324</v>
      </c>
      <c r="P1372" s="2">
        <v>0</v>
      </c>
      <c r="Q1372" s="2">
        <v>6800</v>
      </c>
      <c r="R1372" s="2">
        <v>7290</v>
      </c>
      <c r="S1372">
        <v>291.60000000000002</v>
      </c>
      <c r="T1372" s="2">
        <v>21060</v>
      </c>
      <c r="U1372" s="2">
        <v>8100</v>
      </c>
      <c r="V1372">
        <v>272</v>
      </c>
      <c r="W1372">
        <v>0</v>
      </c>
      <c r="X1372">
        <v>0</v>
      </c>
      <c r="Y1372">
        <v>0</v>
      </c>
      <c r="Z1372">
        <v>1</v>
      </c>
      <c r="AA1372">
        <v>3.6764705882352941E-3</v>
      </c>
      <c r="AB1372">
        <v>25.7</v>
      </c>
      <c r="AC1372">
        <v>12</v>
      </c>
      <c r="AD1372">
        <v>23</v>
      </c>
      <c r="AE1372" s="7"/>
      <c r="AF1372" s="7"/>
      <c r="AG1372" s="7"/>
      <c r="AH1372" s="7"/>
      <c r="AI1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2" s="7"/>
      <c r="AK1372" t="s">
        <v>51</v>
      </c>
      <c r="AN1372">
        <f>IFERROR(INT(Table13[[#This Row],[reject_prod]]/Table13[[#This Row],[part_weight]] * 1000), 0)</f>
        <v>25</v>
      </c>
    </row>
    <row r="1373" spans="1:40" hidden="1">
      <c r="A1373" s="1">
        <v>46063</v>
      </c>
      <c r="B1373">
        <v>2</v>
      </c>
      <c r="C1373">
        <v>6</v>
      </c>
      <c r="D1373" t="s">
        <v>799</v>
      </c>
      <c r="E1373" t="s">
        <v>34</v>
      </c>
      <c r="F1373">
        <v>322445</v>
      </c>
      <c r="G1373" s="6">
        <v>0</v>
      </c>
      <c r="H1373" t="s">
        <v>743</v>
      </c>
      <c r="I1373">
        <v>10685637</v>
      </c>
      <c r="J1373">
        <v>4</v>
      </c>
      <c r="K1373">
        <v>32.74</v>
      </c>
      <c r="L1373">
        <v>33</v>
      </c>
      <c r="M1373">
        <v>1820</v>
      </c>
      <c r="N1373" s="2">
        <v>72000</v>
      </c>
      <c r="O1373" s="2">
        <v>360</v>
      </c>
      <c r="P1373" s="2">
        <v>360</v>
      </c>
      <c r="Q1373" s="2">
        <v>7280</v>
      </c>
      <c r="R1373" s="2">
        <v>7200</v>
      </c>
      <c r="S1373">
        <v>237.6</v>
      </c>
      <c r="T1373" s="2">
        <v>39960</v>
      </c>
      <c r="U1373" s="2">
        <v>32040</v>
      </c>
      <c r="V1373">
        <v>240.24</v>
      </c>
      <c r="W1373">
        <v>0</v>
      </c>
      <c r="X1373">
        <v>0</v>
      </c>
      <c r="Y1373">
        <v>0</v>
      </c>
      <c r="Z1373">
        <v>4.8</v>
      </c>
      <c r="AA1373">
        <v>1.998001998001998E-2</v>
      </c>
      <c r="AB1373">
        <v>23.3</v>
      </c>
      <c r="AC1373">
        <v>11.779444444444444</v>
      </c>
      <c r="AD1373">
        <v>22</v>
      </c>
      <c r="AE1373" s="7"/>
      <c r="AF1373" s="7"/>
      <c r="AG1373" s="7"/>
      <c r="AH1373" s="7"/>
      <c r="AI1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0.22055555555555628</v>
      </c>
      <c r="AJ1373" s="7"/>
      <c r="AK1373" t="s">
        <v>103</v>
      </c>
      <c r="AN1373">
        <f>IFERROR(INT(Table13[[#This Row],[reject_prod]]/Table13[[#This Row],[part_weight]] * 1000), 0)</f>
        <v>145</v>
      </c>
    </row>
    <row r="1374" spans="1:40" hidden="1">
      <c r="A1374" s="1">
        <v>46063</v>
      </c>
      <c r="B1374">
        <v>2</v>
      </c>
      <c r="C1374">
        <v>7</v>
      </c>
      <c r="D1374" t="s">
        <v>427</v>
      </c>
      <c r="E1374" t="s">
        <v>34</v>
      </c>
      <c r="F1374">
        <v>647684</v>
      </c>
      <c r="G1374" s="6">
        <v>0</v>
      </c>
      <c r="H1374" t="s">
        <v>782</v>
      </c>
      <c r="I1374">
        <v>10685213</v>
      </c>
      <c r="J1374">
        <v>4</v>
      </c>
      <c r="K1374">
        <v>34.200000000000003</v>
      </c>
      <c r="L1374">
        <v>34.5</v>
      </c>
      <c r="M1374">
        <v>1732</v>
      </c>
      <c r="N1374" s="2">
        <v>10780</v>
      </c>
      <c r="O1374" s="2">
        <v>616</v>
      </c>
      <c r="P1374" s="2">
        <v>0</v>
      </c>
      <c r="Q1374" s="2">
        <v>6928</v>
      </c>
      <c r="R1374" s="2">
        <v>7546</v>
      </c>
      <c r="S1374">
        <v>260.33699999999999</v>
      </c>
      <c r="T1374" s="2">
        <v>10780</v>
      </c>
      <c r="U1374" s="2">
        <v>0</v>
      </c>
      <c r="V1374">
        <v>239.01599999999999</v>
      </c>
      <c r="W1374">
        <v>-2.0783999999999807</v>
      </c>
      <c r="X1374">
        <v>0</v>
      </c>
      <c r="Y1374">
        <v>0</v>
      </c>
      <c r="Z1374">
        <v>5.2</v>
      </c>
      <c r="AA1374">
        <v>2.175586571610269E-2</v>
      </c>
      <c r="AB1374">
        <v>23.3</v>
      </c>
      <c r="AC1374">
        <v>11.209888888888889</v>
      </c>
      <c r="AD1374">
        <v>20.399999999999999</v>
      </c>
      <c r="AE1374" s="7"/>
      <c r="AF1374" s="7"/>
      <c r="AG1374" s="7"/>
      <c r="AH1374" s="7"/>
      <c r="AI1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0.79011111111111099</v>
      </c>
      <c r="AJ1374" s="7"/>
      <c r="AK1374" t="s">
        <v>800</v>
      </c>
      <c r="AN1374">
        <f>IFERROR(INT(Table13[[#This Row],[reject_prod]]/Table13[[#This Row],[part_weight]] * 1000), 0)</f>
        <v>150</v>
      </c>
    </row>
    <row r="1375" spans="1:40" hidden="1">
      <c r="A1375" s="1">
        <v>46063</v>
      </c>
      <c r="B1375">
        <v>2</v>
      </c>
      <c r="C1375">
        <v>7</v>
      </c>
      <c r="D1375" t="s">
        <v>33</v>
      </c>
      <c r="E1375" t="s">
        <v>34</v>
      </c>
      <c r="F1375">
        <v>324177</v>
      </c>
      <c r="G1375" s="6">
        <v>0</v>
      </c>
      <c r="H1375" t="s">
        <v>246</v>
      </c>
      <c r="I1375">
        <v>10686803</v>
      </c>
      <c r="J1375">
        <v>4</v>
      </c>
      <c r="K1375">
        <v>34.5</v>
      </c>
      <c r="L1375">
        <v>34.5</v>
      </c>
      <c r="M1375">
        <v>0</v>
      </c>
      <c r="N1375" s="2">
        <v>93600</v>
      </c>
      <c r="O1375" s="2">
        <v>0</v>
      </c>
      <c r="P1375" s="2">
        <v>0</v>
      </c>
      <c r="Q1375" s="2">
        <v>0</v>
      </c>
      <c r="R1375" s="2">
        <v>0</v>
      </c>
      <c r="S1375">
        <v>0</v>
      </c>
      <c r="T1375" s="2">
        <v>0</v>
      </c>
      <c r="U1375" s="2">
        <v>93600</v>
      </c>
      <c r="V1375">
        <v>0</v>
      </c>
      <c r="W1375">
        <v>0</v>
      </c>
      <c r="X1375">
        <v>0</v>
      </c>
      <c r="Y1375" t="e">
        <v>#DIV/0!</v>
      </c>
      <c r="Z1375">
        <v>0</v>
      </c>
      <c r="AA1375" t="e">
        <v>#DIV/0!</v>
      </c>
      <c r="AB1375">
        <v>0</v>
      </c>
      <c r="AC1375">
        <v>0</v>
      </c>
      <c r="AD1375">
        <v>22</v>
      </c>
      <c r="AE1375" s="7"/>
      <c r="AF1375" s="7"/>
      <c r="AG1375" s="7">
        <v>1.5</v>
      </c>
      <c r="AH1375" s="7"/>
      <c r="AI1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75" s="7"/>
      <c r="AK1375" t="s">
        <v>801</v>
      </c>
      <c r="AN1375">
        <f>IFERROR(INT(Table13[[#This Row],[reject_prod]]/Table13[[#This Row],[part_weight]] * 1000), 0)</f>
        <v>0</v>
      </c>
    </row>
    <row r="1376" spans="1:40" hidden="1">
      <c r="A1376" s="1">
        <v>46063</v>
      </c>
      <c r="B1376">
        <v>2</v>
      </c>
      <c r="C1376">
        <v>8</v>
      </c>
      <c r="D1376" t="s">
        <v>54</v>
      </c>
      <c r="E1376" t="s">
        <v>41</v>
      </c>
      <c r="F1376">
        <v>593537</v>
      </c>
      <c r="G1376" s="6">
        <v>0</v>
      </c>
      <c r="H1376" t="s">
        <v>48</v>
      </c>
      <c r="I1376">
        <v>10687586</v>
      </c>
      <c r="J1376">
        <v>4</v>
      </c>
      <c r="K1376">
        <v>56.5</v>
      </c>
      <c r="L1376">
        <v>56.8</v>
      </c>
      <c r="M1376">
        <v>1430</v>
      </c>
      <c r="N1376" s="2">
        <v>69000</v>
      </c>
      <c r="O1376" s="2">
        <v>230</v>
      </c>
      <c r="P1376" s="2">
        <v>200</v>
      </c>
      <c r="Q1376" s="2">
        <v>5720</v>
      </c>
      <c r="R1376" s="2">
        <v>5750</v>
      </c>
      <c r="S1376">
        <v>326.60000000000002</v>
      </c>
      <c r="T1376" s="2">
        <v>5750</v>
      </c>
      <c r="U1376" s="2">
        <v>63250</v>
      </c>
      <c r="V1376">
        <v>324.89600000000002</v>
      </c>
      <c r="W1376">
        <v>0</v>
      </c>
      <c r="X1376">
        <v>0</v>
      </c>
      <c r="Y1376">
        <v>0</v>
      </c>
      <c r="Z1376">
        <v>4</v>
      </c>
      <c r="AA1376">
        <v>1.2311632029941889E-2</v>
      </c>
      <c r="AB1376">
        <v>30.5</v>
      </c>
      <c r="AC1376">
        <v>12</v>
      </c>
      <c r="AD1376">
        <v>28.5</v>
      </c>
      <c r="AE1376" s="7"/>
      <c r="AF1376" s="7"/>
      <c r="AG1376" s="7"/>
      <c r="AH1376" s="7"/>
      <c r="AI1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6" s="7"/>
      <c r="AK1376" t="s">
        <v>51</v>
      </c>
      <c r="AN1376">
        <f>IFERROR(INT(Table13[[#This Row],[reject_prod]]/Table13[[#This Row],[part_weight]] * 1000), 0)</f>
        <v>70</v>
      </c>
    </row>
    <row r="1377" spans="1:40" hidden="1">
      <c r="A1377" s="1">
        <v>46063</v>
      </c>
      <c r="B1377">
        <v>2</v>
      </c>
      <c r="C1377">
        <v>9</v>
      </c>
      <c r="D1377" t="s">
        <v>56</v>
      </c>
      <c r="E1377" t="s">
        <v>46</v>
      </c>
      <c r="F1377">
        <v>586276</v>
      </c>
      <c r="G1377" s="6">
        <v>1</v>
      </c>
      <c r="H1377" t="s">
        <v>47</v>
      </c>
      <c r="I1377">
        <v>10683781</v>
      </c>
      <c r="J1377">
        <v>6</v>
      </c>
      <c r="K1377">
        <v>12.3</v>
      </c>
      <c r="L1377">
        <v>12.3</v>
      </c>
      <c r="M1377">
        <v>1620</v>
      </c>
      <c r="N1377" s="2">
        <v>162000</v>
      </c>
      <c r="O1377" s="2">
        <v>11745</v>
      </c>
      <c r="P1377" s="2">
        <v>10125</v>
      </c>
      <c r="Q1377" s="2">
        <v>9720</v>
      </c>
      <c r="R1377" s="2">
        <v>16200</v>
      </c>
      <c r="S1377">
        <v>199.26</v>
      </c>
      <c r="T1377" s="2">
        <v>74925</v>
      </c>
      <c r="U1377" s="2">
        <v>87075</v>
      </c>
      <c r="V1377">
        <v>119.556</v>
      </c>
      <c r="W1377">
        <v>0</v>
      </c>
      <c r="X1377">
        <v>0</v>
      </c>
      <c r="Y1377">
        <v>0</v>
      </c>
      <c r="Z1377">
        <v>1</v>
      </c>
      <c r="AA1377">
        <v>8.3642811736759342E-3</v>
      </c>
      <c r="AB1377">
        <v>25.7</v>
      </c>
      <c r="AC1377">
        <v>11.565</v>
      </c>
      <c r="AD1377">
        <v>26</v>
      </c>
      <c r="AE1377" s="7"/>
      <c r="AF1377" s="7"/>
      <c r="AG1377" s="7"/>
      <c r="AH1377" s="7"/>
      <c r="AI1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377" s="7"/>
      <c r="AK1377" t="s">
        <v>51</v>
      </c>
      <c r="AN1377">
        <f>IFERROR(INT(Table13[[#This Row],[reject_prod]]/Table13[[#This Row],[part_weight]] * 1000), 0)</f>
        <v>81</v>
      </c>
    </row>
    <row r="1378" spans="1:40" hidden="1">
      <c r="A1378" s="1">
        <v>46063</v>
      </c>
      <c r="B1378">
        <v>2</v>
      </c>
      <c r="C1378">
        <v>10</v>
      </c>
      <c r="D1378" t="s">
        <v>117</v>
      </c>
      <c r="E1378" t="s">
        <v>34</v>
      </c>
      <c r="F1378">
        <v>324638</v>
      </c>
      <c r="G1378" s="6">
        <v>0</v>
      </c>
      <c r="H1378" t="s">
        <v>687</v>
      </c>
      <c r="I1378">
        <v>10686808</v>
      </c>
      <c r="J1378">
        <v>4</v>
      </c>
      <c r="K1378">
        <v>77.5</v>
      </c>
      <c r="L1378">
        <v>77.5</v>
      </c>
      <c r="M1378">
        <v>1080</v>
      </c>
      <c r="N1378" s="2">
        <v>19872</v>
      </c>
      <c r="O1378" s="2">
        <v>0</v>
      </c>
      <c r="P1378" s="2">
        <v>138</v>
      </c>
      <c r="Q1378" s="2">
        <v>4320</v>
      </c>
      <c r="R1378" s="2">
        <v>4140</v>
      </c>
      <c r="S1378">
        <v>320.85000000000002</v>
      </c>
      <c r="T1378" s="2">
        <v>18630</v>
      </c>
      <c r="U1378" s="2">
        <v>1242</v>
      </c>
      <c r="V1378">
        <v>334.8</v>
      </c>
      <c r="W1378">
        <v>0</v>
      </c>
      <c r="X1378">
        <v>0</v>
      </c>
      <c r="Y1378">
        <v>0</v>
      </c>
      <c r="Z1378">
        <v>24</v>
      </c>
      <c r="AA1378">
        <v>7.1684587813620068E-2</v>
      </c>
      <c r="AB1378">
        <v>38.6</v>
      </c>
      <c r="AC1378">
        <v>11.580000000000002</v>
      </c>
      <c r="AD1378">
        <v>36</v>
      </c>
      <c r="AE1378" s="7"/>
      <c r="AF1378" s="7"/>
      <c r="AG1378" s="7"/>
      <c r="AH1378" s="7"/>
      <c r="AI1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0.41999999999999815</v>
      </c>
      <c r="AJ1378" s="7"/>
      <c r="AK1378" t="s">
        <v>802</v>
      </c>
      <c r="AN1378">
        <f>IFERROR(INT(Table13[[#This Row],[reject_prod]]/Table13[[#This Row],[part_weight]] * 1000), 0)</f>
        <v>309</v>
      </c>
    </row>
    <row r="1379" spans="1:40" hidden="1">
      <c r="A1379" s="1">
        <v>46063</v>
      </c>
      <c r="B1379">
        <v>2</v>
      </c>
      <c r="C1379">
        <v>11</v>
      </c>
      <c r="D1379" t="s">
        <v>208</v>
      </c>
      <c r="E1379" t="s">
        <v>46</v>
      </c>
      <c r="F1379">
        <v>552181</v>
      </c>
      <c r="G1379" s="6">
        <v>1</v>
      </c>
      <c r="H1379" t="s">
        <v>49</v>
      </c>
      <c r="I1379">
        <v>10685339</v>
      </c>
      <c r="J1379">
        <v>6</v>
      </c>
      <c r="K1379">
        <v>18.8</v>
      </c>
      <c r="L1379">
        <v>18.8</v>
      </c>
      <c r="M1379">
        <v>1035</v>
      </c>
      <c r="N1379" s="2">
        <v>108000</v>
      </c>
      <c r="O1379" s="2">
        <v>4590</v>
      </c>
      <c r="P1379" s="2">
        <v>0</v>
      </c>
      <c r="Q1379" s="2">
        <v>6210</v>
      </c>
      <c r="R1379" s="2">
        <v>10800</v>
      </c>
      <c r="S1379">
        <v>203.04</v>
      </c>
      <c r="T1379" s="2">
        <v>108000</v>
      </c>
      <c r="U1379" s="2">
        <v>0</v>
      </c>
      <c r="V1379">
        <v>116.748</v>
      </c>
      <c r="W1379">
        <v>0</v>
      </c>
      <c r="X1379">
        <v>0</v>
      </c>
      <c r="Y1379">
        <v>0</v>
      </c>
      <c r="Z1379">
        <v>1</v>
      </c>
      <c r="AA1379">
        <v>8.5654572241066224E-3</v>
      </c>
      <c r="AB1379">
        <v>29.4</v>
      </c>
      <c r="AC1379">
        <v>8.4524999999999988</v>
      </c>
      <c r="AD1379">
        <v>27</v>
      </c>
      <c r="AE1379" s="7"/>
      <c r="AF1379" s="7"/>
      <c r="AG1379" s="7"/>
      <c r="AH1379" s="7"/>
      <c r="AI1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3.5475000000000012</v>
      </c>
      <c r="AJ1379" s="7"/>
      <c r="AK1379" t="s">
        <v>102</v>
      </c>
      <c r="AN1379">
        <f>IFERROR(INT(Table13[[#This Row],[reject_prod]]/Table13[[#This Row],[part_weight]] * 1000), 0)</f>
        <v>53</v>
      </c>
    </row>
    <row r="1380" spans="1:40" hidden="1">
      <c r="A1380" s="1">
        <v>46063</v>
      </c>
      <c r="B1380">
        <v>2</v>
      </c>
      <c r="C1380">
        <v>11</v>
      </c>
      <c r="D1380" t="s">
        <v>208</v>
      </c>
      <c r="E1380" t="s">
        <v>46</v>
      </c>
      <c r="F1380">
        <v>552181</v>
      </c>
      <c r="G1380" s="6">
        <v>1</v>
      </c>
      <c r="H1380" t="s">
        <v>49</v>
      </c>
      <c r="I1380">
        <v>10686672</v>
      </c>
      <c r="J1380">
        <v>6</v>
      </c>
      <c r="K1380">
        <v>18.8</v>
      </c>
      <c r="L1380">
        <v>18.8</v>
      </c>
      <c r="M1380">
        <v>450</v>
      </c>
      <c r="N1380" s="2">
        <v>108000</v>
      </c>
      <c r="O1380" s="2">
        <v>0</v>
      </c>
      <c r="P1380" s="2">
        <v>2700</v>
      </c>
      <c r="Q1380" s="2">
        <v>2700</v>
      </c>
      <c r="R1380" s="2">
        <v>0</v>
      </c>
      <c r="S1380">
        <v>0</v>
      </c>
      <c r="T1380" s="2">
        <v>2700</v>
      </c>
      <c r="U1380" s="2">
        <v>105300</v>
      </c>
      <c r="V1380">
        <v>50.76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29.4</v>
      </c>
      <c r="AC1380">
        <v>3.6749999999999998</v>
      </c>
      <c r="AD1380">
        <v>27</v>
      </c>
      <c r="AE1380" s="7"/>
      <c r="AF1380" s="7"/>
      <c r="AG1380" s="7"/>
      <c r="AH1380" s="7"/>
      <c r="AI1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8.3249999999999993</v>
      </c>
      <c r="AJ1380" s="7"/>
      <c r="AK1380" t="s">
        <v>51</v>
      </c>
      <c r="AN1380">
        <f>IFERROR(INT(Table13[[#This Row],[reject_prod]]/Table13[[#This Row],[part_weight]] * 1000), 0)</f>
        <v>0</v>
      </c>
    </row>
    <row r="1381" spans="1:40" hidden="1">
      <c r="A1381" s="1">
        <v>46063</v>
      </c>
      <c r="B1381">
        <v>2</v>
      </c>
      <c r="C1381">
        <v>12</v>
      </c>
      <c r="D1381" t="s">
        <v>53</v>
      </c>
      <c r="E1381" t="s">
        <v>34</v>
      </c>
      <c r="F1381">
        <v>620599</v>
      </c>
      <c r="G1381" s="6">
        <v>0</v>
      </c>
      <c r="H1381" t="s">
        <v>50</v>
      </c>
      <c r="I1381">
        <v>10686674</v>
      </c>
      <c r="J1381">
        <v>4</v>
      </c>
      <c r="K1381">
        <v>55</v>
      </c>
      <c r="L1381">
        <v>55</v>
      </c>
      <c r="M1381">
        <v>1440</v>
      </c>
      <c r="N1381" s="2">
        <v>72000</v>
      </c>
      <c r="O1381" s="2">
        <v>1125</v>
      </c>
      <c r="P1381" s="2">
        <v>1125</v>
      </c>
      <c r="Q1381" s="2">
        <v>5760</v>
      </c>
      <c r="R1381" s="2">
        <v>5400</v>
      </c>
      <c r="S1381">
        <v>297</v>
      </c>
      <c r="T1381" s="2">
        <v>30825</v>
      </c>
      <c r="U1381" s="2">
        <v>41175</v>
      </c>
      <c r="V1381">
        <v>316.8</v>
      </c>
      <c r="W1381">
        <v>0</v>
      </c>
      <c r="X1381">
        <v>0</v>
      </c>
      <c r="Y1381">
        <v>0</v>
      </c>
      <c r="Z1381">
        <v>18.5</v>
      </c>
      <c r="AA1381">
        <v>5.8396464646464648E-2</v>
      </c>
      <c r="AB1381">
        <v>28.8</v>
      </c>
      <c r="AC1381">
        <v>11.52</v>
      </c>
      <c r="AD1381">
        <v>28</v>
      </c>
      <c r="AE1381" s="7"/>
      <c r="AF1381" s="7"/>
      <c r="AG1381" s="7"/>
      <c r="AH1381" s="7"/>
      <c r="AI1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0.48000000000000043</v>
      </c>
      <c r="AJ1381" s="7"/>
      <c r="AK1381" t="s">
        <v>803</v>
      </c>
      <c r="AN1381">
        <f>IFERROR(INT(Table13[[#This Row],[reject_prod]]/Table13[[#This Row],[part_weight]] * 1000), 0)</f>
        <v>336</v>
      </c>
    </row>
    <row r="1382" spans="1:40" hidden="1">
      <c r="A1382" s="1">
        <v>46063</v>
      </c>
      <c r="B1382">
        <v>2</v>
      </c>
      <c r="C1382">
        <v>13</v>
      </c>
      <c r="D1382" t="s">
        <v>208</v>
      </c>
      <c r="E1382" t="s">
        <v>46</v>
      </c>
      <c r="F1382">
        <v>586276</v>
      </c>
      <c r="G1382" s="6">
        <v>2</v>
      </c>
      <c r="H1382" t="s">
        <v>47</v>
      </c>
      <c r="I1382">
        <v>10686676</v>
      </c>
      <c r="J1382">
        <v>6</v>
      </c>
      <c r="K1382">
        <v>12.3</v>
      </c>
      <c r="L1382">
        <v>12.3</v>
      </c>
      <c r="M1382">
        <v>1620</v>
      </c>
      <c r="N1382" s="2">
        <v>162000</v>
      </c>
      <c r="O1382" s="2">
        <v>0</v>
      </c>
      <c r="P1382" s="2">
        <v>1620</v>
      </c>
      <c r="Q1382" s="2">
        <v>9720</v>
      </c>
      <c r="R1382" s="2">
        <v>8100</v>
      </c>
      <c r="S1382">
        <v>99.63</v>
      </c>
      <c r="T1382" s="2">
        <v>34020</v>
      </c>
      <c r="U1382" s="2">
        <v>127980</v>
      </c>
      <c r="V1382">
        <v>119.556</v>
      </c>
      <c r="W1382">
        <v>0</v>
      </c>
      <c r="X1382">
        <v>0</v>
      </c>
      <c r="Y1382">
        <v>0</v>
      </c>
      <c r="Z1382">
        <v>1</v>
      </c>
      <c r="AA1382">
        <v>8.3642811736759342E-3</v>
      </c>
      <c r="AB1382">
        <v>26.2</v>
      </c>
      <c r="AC1382">
        <v>11.790000000000001</v>
      </c>
      <c r="AD1382">
        <v>26</v>
      </c>
      <c r="AE1382" s="7"/>
      <c r="AF1382" s="7"/>
      <c r="AG1382" s="7"/>
      <c r="AH1382" s="7"/>
      <c r="AI1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82" s="7"/>
      <c r="AK1382" t="s">
        <v>51</v>
      </c>
      <c r="AN1382">
        <f>IFERROR(INT(Table13[[#This Row],[reject_prod]]/Table13[[#This Row],[part_weight]] * 1000), 0)</f>
        <v>81</v>
      </c>
    </row>
    <row r="1383" spans="1:40" hidden="1">
      <c r="A1383" s="1">
        <v>46063</v>
      </c>
      <c r="B1383">
        <v>2</v>
      </c>
      <c r="C1383">
        <v>14</v>
      </c>
      <c r="D1383" t="s">
        <v>33</v>
      </c>
      <c r="E1383" t="s">
        <v>34</v>
      </c>
      <c r="F1383">
        <v>541381</v>
      </c>
      <c r="G1383" s="6">
        <v>0</v>
      </c>
      <c r="H1383" t="s">
        <v>804</v>
      </c>
      <c r="I1383">
        <v>10686678</v>
      </c>
      <c r="J1383">
        <v>4</v>
      </c>
      <c r="K1383">
        <v>55</v>
      </c>
      <c r="L1383">
        <v>55</v>
      </c>
      <c r="M1383">
        <v>0</v>
      </c>
      <c r="N1383" s="2">
        <v>84000</v>
      </c>
      <c r="O1383" s="2">
        <v>0</v>
      </c>
      <c r="P1383" s="2">
        <v>0</v>
      </c>
      <c r="Q1383" s="2">
        <v>0</v>
      </c>
      <c r="R1383" s="2">
        <v>0</v>
      </c>
      <c r="S1383">
        <v>0</v>
      </c>
      <c r="T1383" s="2">
        <v>0</v>
      </c>
      <c r="U1383" s="2">
        <v>84000</v>
      </c>
      <c r="V1383">
        <v>0</v>
      </c>
      <c r="W1383">
        <v>0</v>
      </c>
      <c r="X1383">
        <v>0</v>
      </c>
      <c r="Y1383" t="e">
        <v>#DIV/0!</v>
      </c>
      <c r="Z1383">
        <v>0</v>
      </c>
      <c r="AA1383" t="e">
        <v>#DIV/0!</v>
      </c>
      <c r="AB1383">
        <v>43</v>
      </c>
      <c r="AC1383">
        <v>0</v>
      </c>
      <c r="AD1383">
        <v>30.08</v>
      </c>
      <c r="AE1383" s="7">
        <v>5.5</v>
      </c>
      <c r="AF1383" s="7"/>
      <c r="AG1383" s="7"/>
      <c r="AH1383" s="7"/>
      <c r="AI1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83" s="7"/>
      <c r="AK1383" t="s">
        <v>161</v>
      </c>
      <c r="AN1383">
        <f>IFERROR(INT(Table13[[#This Row],[reject_prod]]/Table13[[#This Row],[part_weight]] * 1000), 0)</f>
        <v>0</v>
      </c>
    </row>
    <row r="1384" spans="1:40" hidden="1">
      <c r="A1384" s="1">
        <v>46063</v>
      </c>
      <c r="B1384">
        <v>2</v>
      </c>
      <c r="C1384">
        <v>15</v>
      </c>
      <c r="D1384" t="s">
        <v>208</v>
      </c>
      <c r="E1384" t="s">
        <v>46</v>
      </c>
      <c r="F1384">
        <v>552181</v>
      </c>
      <c r="G1384" s="6">
        <v>2</v>
      </c>
      <c r="H1384" t="s">
        <v>49</v>
      </c>
      <c r="I1384">
        <v>10685542</v>
      </c>
      <c r="J1384">
        <v>6</v>
      </c>
      <c r="K1384">
        <v>18.8</v>
      </c>
      <c r="L1384">
        <v>18.8</v>
      </c>
      <c r="M1384">
        <v>1350</v>
      </c>
      <c r="N1384" s="2">
        <v>108000</v>
      </c>
      <c r="O1384" s="2">
        <v>1350</v>
      </c>
      <c r="P1384" s="2">
        <v>4050</v>
      </c>
      <c r="Q1384" s="2">
        <v>8100</v>
      </c>
      <c r="R1384" s="2">
        <v>5400</v>
      </c>
      <c r="S1384">
        <v>101.52</v>
      </c>
      <c r="T1384" s="2">
        <v>95850</v>
      </c>
      <c r="U1384" s="2">
        <v>12150</v>
      </c>
      <c r="V1384">
        <v>152.28</v>
      </c>
      <c r="W1384">
        <v>0</v>
      </c>
      <c r="X1384">
        <v>0</v>
      </c>
      <c r="Y1384">
        <v>0</v>
      </c>
      <c r="Z1384">
        <v>1</v>
      </c>
      <c r="AA1384">
        <v>6.5668505384817444E-3</v>
      </c>
      <c r="AB1384">
        <v>31.2</v>
      </c>
      <c r="AC1384">
        <v>11.7</v>
      </c>
      <c r="AD1384">
        <v>27</v>
      </c>
      <c r="AE1384" s="7"/>
      <c r="AF1384" s="7"/>
      <c r="AG1384" s="7"/>
      <c r="AH1384" s="7"/>
      <c r="AI1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384" s="7"/>
      <c r="AK1384" t="s">
        <v>51</v>
      </c>
      <c r="AN1384">
        <f>IFERROR(INT(Table13[[#This Row],[reject_prod]]/Table13[[#This Row],[part_weight]] * 1000), 0)</f>
        <v>53</v>
      </c>
    </row>
    <row r="1385" spans="1:40" s="4" customFormat="1" hidden="1">
      <c r="A1385" s="3">
        <v>46063</v>
      </c>
      <c r="B1385" s="4">
        <v>2</v>
      </c>
      <c r="C1385" s="4">
        <v>16</v>
      </c>
      <c r="D1385" s="4" t="s">
        <v>139</v>
      </c>
      <c r="E1385" s="4" t="s">
        <v>46</v>
      </c>
      <c r="F1385" s="4">
        <v>555979</v>
      </c>
      <c r="G1385" s="9">
        <v>2</v>
      </c>
      <c r="H1385" s="4" t="s">
        <v>52</v>
      </c>
      <c r="I1385" s="4">
        <v>10685814</v>
      </c>
      <c r="J1385" s="4">
        <v>6</v>
      </c>
      <c r="K1385" s="4">
        <v>28</v>
      </c>
      <c r="L1385" s="4">
        <v>28</v>
      </c>
      <c r="M1385" s="4">
        <v>990</v>
      </c>
      <c r="N1385" s="5">
        <v>100800</v>
      </c>
      <c r="O1385" s="5">
        <v>2352</v>
      </c>
      <c r="P1385" s="5">
        <v>1512</v>
      </c>
      <c r="Q1385" s="5">
        <v>5940</v>
      </c>
      <c r="R1385" s="5">
        <v>6720</v>
      </c>
      <c r="S1385" s="4">
        <v>188.16</v>
      </c>
      <c r="T1385" s="5">
        <v>68712</v>
      </c>
      <c r="U1385" s="5">
        <v>32088</v>
      </c>
      <c r="V1385" s="4">
        <v>166.32</v>
      </c>
      <c r="W1385" s="4">
        <v>0</v>
      </c>
      <c r="X1385" s="4">
        <v>0</v>
      </c>
      <c r="Y1385" s="4">
        <v>0</v>
      </c>
      <c r="Z1385" s="4">
        <v>1.2</v>
      </c>
      <c r="AA1385" s="4">
        <v>7.215007215007215E-3</v>
      </c>
      <c r="AB1385" s="4">
        <v>43.5</v>
      </c>
      <c r="AC1385" s="4">
        <v>11.9625</v>
      </c>
      <c r="AD1385" s="4">
        <v>42</v>
      </c>
      <c r="AE1385" s="8"/>
      <c r="AF1385" s="8"/>
      <c r="AG1385" s="8"/>
      <c r="AH1385" s="8"/>
      <c r="AI138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3.7499999999999645E-2</v>
      </c>
      <c r="AJ1385" s="8"/>
      <c r="AK1385" s="4" t="s">
        <v>51</v>
      </c>
      <c r="AN1385">
        <f>IFERROR(INT(Table13[[#This Row],[reject_prod]]/Table13[[#This Row],[part_weight]] * 1000), 0)</f>
        <v>42</v>
      </c>
    </row>
    <row r="1386" spans="1:40" hidden="1">
      <c r="A1386" s="1">
        <v>46064</v>
      </c>
      <c r="B1386">
        <v>1</v>
      </c>
      <c r="C1386">
        <v>1</v>
      </c>
      <c r="D1386" t="s">
        <v>33</v>
      </c>
      <c r="E1386" t="s">
        <v>34</v>
      </c>
      <c r="F1386">
        <v>618217</v>
      </c>
      <c r="G1386" s="6">
        <v>0</v>
      </c>
      <c r="H1386" t="s">
        <v>805</v>
      </c>
      <c r="I1386" t="s">
        <v>490</v>
      </c>
      <c r="J1386">
        <v>2</v>
      </c>
      <c r="K1386">
        <v>73</v>
      </c>
      <c r="L1386">
        <v>73</v>
      </c>
      <c r="M1386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>
        <v>0</v>
      </c>
      <c r="T1386" s="2">
        <v>0</v>
      </c>
      <c r="U1386" s="2">
        <v>0</v>
      </c>
      <c r="V1386">
        <v>0</v>
      </c>
      <c r="W1386">
        <v>0</v>
      </c>
      <c r="X1386">
        <v>6.5</v>
      </c>
      <c r="Y1386" t="e">
        <v>#DIV/0!</v>
      </c>
      <c r="Z1386">
        <v>0</v>
      </c>
      <c r="AA1386" t="e">
        <v>#DIV/0!</v>
      </c>
      <c r="AB1386">
        <v>34.1</v>
      </c>
      <c r="AC1386">
        <v>0</v>
      </c>
      <c r="AD1386">
        <v>40.4</v>
      </c>
      <c r="AE1386" s="7"/>
      <c r="AF1386" s="7"/>
      <c r="AG1386" s="7"/>
      <c r="AH1386" s="7"/>
      <c r="AI1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86" s="7"/>
      <c r="AK1386" t="s">
        <v>806</v>
      </c>
      <c r="AL1386">
        <v>8</v>
      </c>
      <c r="AM1386">
        <v>12</v>
      </c>
      <c r="AN1386">
        <f>IFERROR(INT(Table13[[#This Row],[reject_prod]]/Table13[[#This Row],[part_weight]] * 1000), 0)</f>
        <v>0</v>
      </c>
    </row>
    <row r="1387" spans="1:40" hidden="1">
      <c r="A1387" s="1">
        <v>46064</v>
      </c>
      <c r="B1387">
        <v>1</v>
      </c>
      <c r="C1387">
        <v>1</v>
      </c>
      <c r="D1387" t="s">
        <v>33</v>
      </c>
      <c r="E1387" t="s">
        <v>34</v>
      </c>
      <c r="G1387" s="6">
        <v>0</v>
      </c>
      <c r="H1387" t="s">
        <v>807</v>
      </c>
      <c r="I1387" t="s">
        <v>490</v>
      </c>
      <c r="J1387">
        <v>2</v>
      </c>
      <c r="K1387">
        <v>73</v>
      </c>
      <c r="L1387">
        <v>73</v>
      </c>
      <c r="M1387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>
        <v>0</v>
      </c>
      <c r="T1387" s="2">
        <v>0</v>
      </c>
      <c r="U1387" s="2">
        <v>0</v>
      </c>
      <c r="V1387">
        <v>0</v>
      </c>
      <c r="W1387">
        <v>0</v>
      </c>
      <c r="X1387">
        <v>12</v>
      </c>
      <c r="Y1387" t="e">
        <v>#DIV/0!</v>
      </c>
      <c r="Z1387">
        <v>0</v>
      </c>
      <c r="AA1387" t="e">
        <v>#DIV/0!</v>
      </c>
      <c r="AB1387">
        <v>34.1</v>
      </c>
      <c r="AC1387">
        <v>0</v>
      </c>
      <c r="AD1387" t="e">
        <v>#N/A</v>
      </c>
      <c r="AE1387" s="7"/>
      <c r="AF1387" s="7"/>
      <c r="AG1387" s="7"/>
      <c r="AH1387" s="7"/>
      <c r="AI1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87" s="7"/>
      <c r="AK1387" t="s">
        <v>806</v>
      </c>
      <c r="AN1387">
        <f>IFERROR(INT(Table13[[#This Row],[reject_prod]]/Table13[[#This Row],[part_weight]] * 1000), 0)</f>
        <v>0</v>
      </c>
    </row>
    <row r="1388" spans="1:40" hidden="1">
      <c r="A1388" s="1">
        <v>46064</v>
      </c>
      <c r="B1388">
        <v>1</v>
      </c>
      <c r="C1388">
        <v>2</v>
      </c>
      <c r="D1388" t="s">
        <v>281</v>
      </c>
      <c r="E1388" t="s">
        <v>34</v>
      </c>
      <c r="F1388">
        <v>549814</v>
      </c>
      <c r="G1388" s="6">
        <v>0</v>
      </c>
      <c r="H1388" t="s">
        <v>796</v>
      </c>
      <c r="I1388">
        <v>10685210</v>
      </c>
      <c r="J1388">
        <v>4</v>
      </c>
      <c r="K1388">
        <v>18</v>
      </c>
      <c r="L1388">
        <v>18.349999999999998</v>
      </c>
      <c r="M1388">
        <v>2005</v>
      </c>
      <c r="N1388" s="2">
        <v>11000</v>
      </c>
      <c r="O1388" s="2">
        <v>0</v>
      </c>
      <c r="P1388" s="2">
        <v>7975</v>
      </c>
      <c r="Q1388" s="2">
        <v>8020</v>
      </c>
      <c r="R1388" s="2">
        <v>0</v>
      </c>
      <c r="S1388">
        <v>0</v>
      </c>
      <c r="T1388" s="2">
        <v>7975</v>
      </c>
      <c r="U1388" s="2">
        <v>3025</v>
      </c>
      <c r="V1388">
        <v>147.16699999999997</v>
      </c>
      <c r="W1388">
        <v>0</v>
      </c>
      <c r="X1388">
        <v>0</v>
      </c>
      <c r="Y1388">
        <v>0</v>
      </c>
      <c r="Z1388">
        <v>0.8</v>
      </c>
      <c r="AA1388">
        <v>5.4360012774603015E-3</v>
      </c>
      <c r="AB1388">
        <v>21.1</v>
      </c>
      <c r="AC1388">
        <v>11.751527777777778</v>
      </c>
      <c r="AD1388">
        <v>19.239999999999998</v>
      </c>
      <c r="AE1388" s="7"/>
      <c r="AF1388" s="7"/>
      <c r="AG1388" s="7"/>
      <c r="AH1388" s="7"/>
      <c r="AI1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0.24847222222222243</v>
      </c>
      <c r="AJ1388" s="7"/>
      <c r="AK1388" t="s">
        <v>214</v>
      </c>
      <c r="AL1388">
        <v>4</v>
      </c>
      <c r="AM1388">
        <v>3</v>
      </c>
      <c r="AN1388">
        <f>IFERROR(INT(Table13[[#This Row],[reject_prod]]/Table13[[#This Row],[part_weight]] * 1000), 0)</f>
        <v>43</v>
      </c>
    </row>
    <row r="1389" spans="1:40" hidden="1">
      <c r="A1389" s="1">
        <v>46064</v>
      </c>
      <c r="B1389">
        <v>1</v>
      </c>
      <c r="C1389">
        <v>3</v>
      </c>
      <c r="D1389" t="s">
        <v>141</v>
      </c>
      <c r="E1389" t="s">
        <v>34</v>
      </c>
      <c r="F1389">
        <v>442034</v>
      </c>
      <c r="G1389" s="6">
        <v>0</v>
      </c>
      <c r="H1389" t="s">
        <v>37</v>
      </c>
      <c r="I1389">
        <v>10685633</v>
      </c>
      <c r="J1389">
        <v>4</v>
      </c>
      <c r="K1389">
        <v>23</v>
      </c>
      <c r="L1389">
        <v>23</v>
      </c>
      <c r="M1389">
        <v>1467</v>
      </c>
      <c r="N1389" s="2">
        <v>139776</v>
      </c>
      <c r="O1389" s="2">
        <v>3456</v>
      </c>
      <c r="P1389" s="2">
        <v>0</v>
      </c>
      <c r="Q1389" s="2">
        <v>5868</v>
      </c>
      <c r="R1389" s="2">
        <v>9216</v>
      </c>
      <c r="S1389">
        <v>211.96799999999999</v>
      </c>
      <c r="T1389" s="2">
        <v>96768</v>
      </c>
      <c r="U1389" s="2">
        <v>43008</v>
      </c>
      <c r="V1389">
        <v>134.964</v>
      </c>
      <c r="W1389">
        <v>0</v>
      </c>
      <c r="X1389">
        <v>0</v>
      </c>
      <c r="Y1389">
        <v>0</v>
      </c>
      <c r="Z1389">
        <v>2.5</v>
      </c>
      <c r="AA1389">
        <v>1.8523458107347145E-2</v>
      </c>
      <c r="AB1389">
        <v>28.5</v>
      </c>
      <c r="AC1389">
        <v>11.613750000000001</v>
      </c>
      <c r="AD1389">
        <v>22</v>
      </c>
      <c r="AE1389" s="7"/>
      <c r="AF1389" s="7"/>
      <c r="AG1389" s="7"/>
      <c r="AH1389" s="7"/>
      <c r="AI1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0.38624999999999865</v>
      </c>
      <c r="AJ1389" s="7"/>
      <c r="AK1389" t="s">
        <v>168</v>
      </c>
      <c r="AN1389">
        <f>IFERROR(INT(Table13[[#This Row],[reject_prod]]/Table13[[#This Row],[part_weight]] * 1000), 0)</f>
        <v>108</v>
      </c>
    </row>
    <row r="1390" spans="1:40" hidden="1">
      <c r="A1390" s="1">
        <v>46064</v>
      </c>
      <c r="B1390">
        <v>1</v>
      </c>
      <c r="C1390">
        <v>4</v>
      </c>
      <c r="F1390">
        <v>123456</v>
      </c>
      <c r="G1390" s="6">
        <v>0</v>
      </c>
      <c r="M1390">
        <v>0</v>
      </c>
      <c r="N1390" s="2">
        <v>0</v>
      </c>
      <c r="O1390" s="2">
        <v>0</v>
      </c>
      <c r="P1390" s="2">
        <v>0</v>
      </c>
      <c r="Q1390" s="2"/>
      <c r="R1390" s="2">
        <v>0</v>
      </c>
      <c r="T1390" s="2">
        <v>0</v>
      </c>
      <c r="U1390" s="2"/>
      <c r="X1390">
        <v>0</v>
      </c>
      <c r="Z1390">
        <v>0</v>
      </c>
      <c r="AB1390">
        <v>0</v>
      </c>
      <c r="AC1390">
        <v>0</v>
      </c>
      <c r="AD1390">
        <v>0</v>
      </c>
      <c r="AE1390" s="7"/>
      <c r="AF1390" s="7"/>
      <c r="AG1390" s="7"/>
      <c r="AH1390" s="7"/>
      <c r="AI1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90" s="7">
        <v>12</v>
      </c>
      <c r="AK1390" t="s">
        <v>116</v>
      </c>
      <c r="AN1390">
        <f>IFERROR(INT(Table13[[#This Row],[reject_prod]]/Table13[[#This Row],[part_weight]] * 1000), 0)</f>
        <v>0</v>
      </c>
    </row>
    <row r="1391" spans="1:40" hidden="1">
      <c r="A1391" s="1">
        <v>46064</v>
      </c>
      <c r="B1391">
        <v>1</v>
      </c>
      <c r="C1391">
        <v>5</v>
      </c>
      <c r="D1391" t="s">
        <v>67</v>
      </c>
      <c r="E1391" t="s">
        <v>34</v>
      </c>
      <c r="F1391">
        <v>322448</v>
      </c>
      <c r="G1391" s="6">
        <v>0</v>
      </c>
      <c r="H1391" t="s">
        <v>654</v>
      </c>
      <c r="I1391">
        <v>10686670</v>
      </c>
      <c r="J1391">
        <v>4</v>
      </c>
      <c r="K1391">
        <v>40</v>
      </c>
      <c r="L1391">
        <v>40</v>
      </c>
      <c r="M1391">
        <v>1639</v>
      </c>
      <c r="N1391" s="2">
        <v>29160</v>
      </c>
      <c r="O1391" s="2">
        <v>0</v>
      </c>
      <c r="P1391" s="2">
        <v>0</v>
      </c>
      <c r="Q1391" s="2">
        <v>6556</v>
      </c>
      <c r="R1391" s="2">
        <v>6480</v>
      </c>
      <c r="S1391">
        <v>259.2</v>
      </c>
      <c r="T1391" s="2">
        <v>27540</v>
      </c>
      <c r="U1391" s="2">
        <v>1620</v>
      </c>
      <c r="V1391">
        <v>262.24</v>
      </c>
      <c r="W1391">
        <v>0</v>
      </c>
      <c r="X1391">
        <v>0</v>
      </c>
      <c r="Y1391">
        <v>0</v>
      </c>
      <c r="Z1391">
        <v>3</v>
      </c>
      <c r="AA1391">
        <v>1.1439902379499694E-2</v>
      </c>
      <c r="AB1391">
        <v>25.7</v>
      </c>
      <c r="AC1391">
        <v>11.700638888888889</v>
      </c>
      <c r="AD1391">
        <v>23</v>
      </c>
      <c r="AE1391" s="7"/>
      <c r="AF1391" s="7"/>
      <c r="AG1391" s="7"/>
      <c r="AH1391" s="7"/>
      <c r="AI1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0.29936111111111074</v>
      </c>
      <c r="AJ1391" s="7"/>
      <c r="AK1391" t="s">
        <v>178</v>
      </c>
      <c r="AL1391">
        <v>3</v>
      </c>
      <c r="AM1391">
        <v>2</v>
      </c>
      <c r="AN1391">
        <f>IFERROR(INT(Table13[[#This Row],[reject_prod]]/Table13[[#This Row],[part_weight]] * 1000), 0)</f>
        <v>75</v>
      </c>
    </row>
    <row r="1392" spans="1:40" hidden="1">
      <c r="A1392" s="1">
        <v>46064</v>
      </c>
      <c r="B1392">
        <v>1</v>
      </c>
      <c r="C1392">
        <v>6</v>
      </c>
      <c r="D1392" t="s">
        <v>257</v>
      </c>
      <c r="E1392" t="s">
        <v>34</v>
      </c>
      <c r="F1392">
        <v>322445</v>
      </c>
      <c r="G1392" s="6">
        <v>0</v>
      </c>
      <c r="H1392" t="s">
        <v>743</v>
      </c>
      <c r="I1392">
        <v>10685637</v>
      </c>
      <c r="J1392">
        <v>4</v>
      </c>
      <c r="K1392">
        <v>32.74</v>
      </c>
      <c r="L1392">
        <v>33</v>
      </c>
      <c r="M1392">
        <v>1807</v>
      </c>
      <c r="N1392" s="2">
        <v>72000</v>
      </c>
      <c r="O1392" s="2">
        <v>360</v>
      </c>
      <c r="P1392" s="2">
        <v>360</v>
      </c>
      <c r="Q1392" s="2">
        <v>7228</v>
      </c>
      <c r="R1392" s="2">
        <v>7200</v>
      </c>
      <c r="S1392">
        <v>237.6</v>
      </c>
      <c r="T1392" s="2">
        <v>47160</v>
      </c>
      <c r="U1392" s="2">
        <v>24840</v>
      </c>
      <c r="V1392">
        <v>238.524</v>
      </c>
      <c r="W1392">
        <v>0</v>
      </c>
      <c r="X1392">
        <v>0</v>
      </c>
      <c r="Y1392">
        <v>0</v>
      </c>
      <c r="Z1392">
        <v>0.8</v>
      </c>
      <c r="AA1392">
        <v>3.3539601884925627E-3</v>
      </c>
      <c r="AB1392">
        <v>23.3</v>
      </c>
      <c r="AC1392">
        <v>11.695305555555555</v>
      </c>
      <c r="AD1392">
        <v>22</v>
      </c>
      <c r="AE1392" s="7"/>
      <c r="AF1392" s="7"/>
      <c r="AG1392" s="7"/>
      <c r="AH1392" s="7"/>
      <c r="AI1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0.30469444444444527</v>
      </c>
      <c r="AJ1392" s="7"/>
      <c r="AK1392" t="s">
        <v>214</v>
      </c>
      <c r="AM1392">
        <v>2</v>
      </c>
      <c r="AN1392">
        <f>IFERROR(INT(Table13[[#This Row],[reject_prod]]/Table13[[#This Row],[part_weight]] * 1000), 0)</f>
        <v>24</v>
      </c>
    </row>
    <row r="1393" spans="1:40" hidden="1">
      <c r="A1393" s="1">
        <v>46064</v>
      </c>
      <c r="B1393">
        <v>1</v>
      </c>
      <c r="C1393">
        <v>7</v>
      </c>
      <c r="D1393" t="s">
        <v>808</v>
      </c>
      <c r="E1393" t="s">
        <v>34</v>
      </c>
      <c r="F1393">
        <v>324177</v>
      </c>
      <c r="G1393" s="6">
        <v>0</v>
      </c>
      <c r="H1393" t="s">
        <v>246</v>
      </c>
      <c r="I1393">
        <v>10686803</v>
      </c>
      <c r="J1393">
        <v>4</v>
      </c>
      <c r="K1393">
        <v>34.5</v>
      </c>
      <c r="L1393">
        <v>34.5</v>
      </c>
      <c r="M1393">
        <v>1046</v>
      </c>
      <c r="N1393" s="2">
        <v>93600</v>
      </c>
      <c r="O1393" s="2">
        <v>0</v>
      </c>
      <c r="P1393" s="2">
        <v>936</v>
      </c>
      <c r="Q1393" s="2">
        <v>4184</v>
      </c>
      <c r="R1393" s="2">
        <v>3120</v>
      </c>
      <c r="S1393">
        <v>107.64</v>
      </c>
      <c r="T1393" s="2">
        <v>4056</v>
      </c>
      <c r="U1393" s="2">
        <v>89544</v>
      </c>
      <c r="V1393">
        <v>144.34800000000001</v>
      </c>
      <c r="W1393">
        <v>0</v>
      </c>
      <c r="X1393">
        <v>4</v>
      </c>
      <c r="Y1393">
        <v>2.7710809986975917E-2</v>
      </c>
      <c r="Z1393">
        <v>0.5</v>
      </c>
      <c r="AA1393">
        <v>3.4638512483719896E-3</v>
      </c>
      <c r="AB1393">
        <v>23.31</v>
      </c>
      <c r="AC1393">
        <v>6.77285</v>
      </c>
      <c r="AD1393">
        <v>22</v>
      </c>
      <c r="AE1393" s="7"/>
      <c r="AF1393" s="7"/>
      <c r="AG1393" s="7"/>
      <c r="AH1393" s="7"/>
      <c r="AI1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5.22715</v>
      </c>
      <c r="AJ1393" s="7"/>
      <c r="AK1393" t="s">
        <v>809</v>
      </c>
      <c r="AL1393">
        <v>3</v>
      </c>
      <c r="AM1393">
        <v>3</v>
      </c>
      <c r="AN1393">
        <f>IFERROR(INT(Table13[[#This Row],[reject_prod]]/Table13[[#This Row],[part_weight]] * 1000), 0)</f>
        <v>14</v>
      </c>
    </row>
    <row r="1394" spans="1:40" hidden="1">
      <c r="A1394" s="1">
        <v>46064</v>
      </c>
      <c r="B1394">
        <v>1</v>
      </c>
      <c r="C1394">
        <v>8</v>
      </c>
      <c r="D1394" t="s">
        <v>152</v>
      </c>
      <c r="E1394" t="s">
        <v>41</v>
      </c>
      <c r="F1394">
        <v>593537</v>
      </c>
      <c r="G1394" s="6">
        <v>0</v>
      </c>
      <c r="H1394" t="s">
        <v>48</v>
      </c>
      <c r="I1394">
        <v>10687586</v>
      </c>
      <c r="J1394">
        <v>4</v>
      </c>
      <c r="K1394">
        <v>56.5</v>
      </c>
      <c r="L1394">
        <v>56.8</v>
      </c>
      <c r="M1394">
        <v>1404</v>
      </c>
      <c r="N1394" s="2">
        <v>69000</v>
      </c>
      <c r="O1394" s="2">
        <v>200</v>
      </c>
      <c r="P1394" s="2">
        <v>0</v>
      </c>
      <c r="Q1394" s="2">
        <v>5616</v>
      </c>
      <c r="R1394" s="2">
        <v>5750</v>
      </c>
      <c r="S1394">
        <v>326.60000000000002</v>
      </c>
      <c r="T1394" s="2">
        <v>11500</v>
      </c>
      <c r="U1394" s="2">
        <v>57500</v>
      </c>
      <c r="V1394">
        <v>318.98879999999997</v>
      </c>
      <c r="W1394">
        <v>0</v>
      </c>
      <c r="X1394">
        <v>0</v>
      </c>
      <c r="Y1394">
        <v>0</v>
      </c>
      <c r="Z1394">
        <v>3.5</v>
      </c>
      <c r="AA1394">
        <v>1.097217206372136E-2</v>
      </c>
      <c r="AB1394">
        <v>30.5</v>
      </c>
      <c r="AC1394">
        <v>11.895000000000001</v>
      </c>
      <c r="AD1394">
        <v>28.5</v>
      </c>
      <c r="AE1394" s="7"/>
      <c r="AF1394" s="7"/>
      <c r="AG1394" s="7"/>
      <c r="AH1394" s="7"/>
      <c r="AI1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0.10499999999999865</v>
      </c>
      <c r="AJ1394" s="7"/>
      <c r="AK1394" t="s">
        <v>178</v>
      </c>
      <c r="AN1394">
        <f>IFERROR(INT(Table13[[#This Row],[reject_prod]]/Table13[[#This Row],[part_weight]] * 1000), 0)</f>
        <v>61</v>
      </c>
    </row>
    <row r="1395" spans="1:40" hidden="1">
      <c r="A1395" s="1">
        <v>46064</v>
      </c>
      <c r="B1395">
        <v>1</v>
      </c>
      <c r="C1395">
        <v>9</v>
      </c>
      <c r="D1395" t="s">
        <v>65</v>
      </c>
      <c r="E1395" t="s">
        <v>46</v>
      </c>
      <c r="F1395">
        <v>586276</v>
      </c>
      <c r="G1395" s="6">
        <v>1</v>
      </c>
      <c r="H1395" t="s">
        <v>47</v>
      </c>
      <c r="I1395">
        <v>10683781</v>
      </c>
      <c r="J1395">
        <v>6</v>
      </c>
      <c r="K1395">
        <v>12.3</v>
      </c>
      <c r="L1395">
        <v>12.3</v>
      </c>
      <c r="M1395">
        <v>1669</v>
      </c>
      <c r="N1395" s="2">
        <v>162000</v>
      </c>
      <c r="O1395" s="2">
        <v>10125</v>
      </c>
      <c r="P1395" s="2">
        <v>3240</v>
      </c>
      <c r="Q1395" s="2">
        <v>10014</v>
      </c>
      <c r="R1395" s="2">
        <v>8100</v>
      </c>
      <c r="S1395">
        <v>99.63</v>
      </c>
      <c r="T1395" s="2">
        <v>76140</v>
      </c>
      <c r="U1395" s="2">
        <v>85860</v>
      </c>
      <c r="V1395">
        <v>123.17220000000002</v>
      </c>
      <c r="W1395">
        <v>0</v>
      </c>
      <c r="X1395">
        <v>0</v>
      </c>
      <c r="Y1395">
        <v>0</v>
      </c>
      <c r="Z1395">
        <v>3.5</v>
      </c>
      <c r="AA1395">
        <v>2.8415502848857126E-2</v>
      </c>
      <c r="AB1395">
        <v>25.7</v>
      </c>
      <c r="AC1395">
        <v>11.914805555555557</v>
      </c>
      <c r="AD1395">
        <v>26</v>
      </c>
      <c r="AE1395" s="7"/>
      <c r="AF1395" s="7"/>
      <c r="AG1395" s="7"/>
      <c r="AH1395" s="7"/>
      <c r="AI1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8.5194444444443462E-2</v>
      </c>
      <c r="AJ1395" s="7"/>
      <c r="AK1395" t="s">
        <v>480</v>
      </c>
      <c r="AN1395">
        <f>IFERROR(INT(Table13[[#This Row],[reject_prod]]/Table13[[#This Row],[part_weight]] * 1000), 0)</f>
        <v>284</v>
      </c>
    </row>
    <row r="1396" spans="1:40" hidden="1">
      <c r="A1396" s="1">
        <v>46064</v>
      </c>
      <c r="B1396">
        <v>1</v>
      </c>
      <c r="C1396">
        <v>10</v>
      </c>
      <c r="D1396" t="s">
        <v>69</v>
      </c>
      <c r="E1396" t="s">
        <v>34</v>
      </c>
      <c r="F1396">
        <v>324638</v>
      </c>
      <c r="G1396" s="6">
        <v>0</v>
      </c>
      <c r="H1396" t="s">
        <v>687</v>
      </c>
      <c r="I1396">
        <v>10686808</v>
      </c>
      <c r="J1396">
        <v>4</v>
      </c>
      <c r="K1396">
        <v>77.5</v>
      </c>
      <c r="L1396">
        <v>77.5</v>
      </c>
      <c r="M1396">
        <v>326</v>
      </c>
      <c r="N1396" s="2">
        <v>19872</v>
      </c>
      <c r="O1396" s="2">
        <v>138</v>
      </c>
      <c r="P1396" s="2">
        <v>0</v>
      </c>
      <c r="Q1396" s="2">
        <v>1304</v>
      </c>
      <c r="R1396" s="2">
        <v>1380</v>
      </c>
      <c r="S1396">
        <v>106.95</v>
      </c>
      <c r="T1396" s="2">
        <v>19872</v>
      </c>
      <c r="U1396" s="2">
        <v>0</v>
      </c>
      <c r="V1396">
        <v>101.06</v>
      </c>
      <c r="W1396">
        <v>0</v>
      </c>
      <c r="X1396">
        <v>0</v>
      </c>
      <c r="Y1396">
        <v>0</v>
      </c>
      <c r="Z1396">
        <v>4.5</v>
      </c>
      <c r="AA1396">
        <v>4.4528003166435778E-2</v>
      </c>
      <c r="AB1396">
        <v>38.6</v>
      </c>
      <c r="AC1396">
        <v>3.4954444444444448</v>
      </c>
      <c r="AD1396">
        <v>36</v>
      </c>
      <c r="AE1396" s="7"/>
      <c r="AF1396" s="7"/>
      <c r="AG1396" s="7"/>
      <c r="AH1396" s="7"/>
      <c r="AI1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8.5045555555555552</v>
      </c>
      <c r="AJ1396" s="7"/>
      <c r="AK1396" t="s">
        <v>810</v>
      </c>
      <c r="AN1396">
        <f>IFERROR(INT(Table13[[#This Row],[reject_prod]]/Table13[[#This Row],[part_weight]] * 1000), 0)</f>
        <v>58</v>
      </c>
    </row>
    <row r="1397" spans="1:40" hidden="1">
      <c r="A1397" s="1">
        <v>46064</v>
      </c>
      <c r="B1397">
        <v>1</v>
      </c>
      <c r="C1397">
        <v>10</v>
      </c>
      <c r="D1397" t="s">
        <v>69</v>
      </c>
      <c r="E1397" t="s">
        <v>34</v>
      </c>
      <c r="F1397">
        <v>410269</v>
      </c>
      <c r="G1397" s="6">
        <v>0</v>
      </c>
      <c r="H1397" t="s">
        <v>811</v>
      </c>
      <c r="I1397">
        <v>10686034</v>
      </c>
      <c r="J1397">
        <v>4</v>
      </c>
      <c r="K1397">
        <v>49</v>
      </c>
      <c r="L1397">
        <v>48.5</v>
      </c>
      <c r="M1397">
        <v>0</v>
      </c>
      <c r="N1397" s="2">
        <v>28875</v>
      </c>
      <c r="O1397" s="2">
        <v>0</v>
      </c>
      <c r="P1397" s="2">
        <v>0</v>
      </c>
      <c r="Q1397" s="2">
        <v>0</v>
      </c>
      <c r="R1397" s="2">
        <v>0</v>
      </c>
      <c r="S1397">
        <v>0</v>
      </c>
      <c r="T1397" s="2">
        <v>0</v>
      </c>
      <c r="U1397" s="2">
        <v>28875</v>
      </c>
      <c r="V1397">
        <v>0</v>
      </c>
      <c r="W1397">
        <v>0</v>
      </c>
      <c r="X1397">
        <v>0</v>
      </c>
      <c r="Y1397" t="e">
        <v>#DIV/0!</v>
      </c>
      <c r="Z1397">
        <v>0</v>
      </c>
      <c r="AA1397" t="e">
        <v>#DIV/0!</v>
      </c>
      <c r="AB1397">
        <v>38.6</v>
      </c>
      <c r="AC1397">
        <v>0</v>
      </c>
      <c r="AD1397">
        <v>26.4</v>
      </c>
      <c r="AE1397" s="7">
        <v>5.5</v>
      </c>
      <c r="AF1397" s="7"/>
      <c r="AG1397" s="7"/>
      <c r="AH1397" s="7"/>
      <c r="AI1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97" s="7"/>
      <c r="AK1397" t="s">
        <v>655</v>
      </c>
      <c r="AN1397">
        <f>IFERROR(INT(Table13[[#This Row],[reject_prod]]/Table13[[#This Row],[part_weight]] * 1000), 0)</f>
        <v>0</v>
      </c>
    </row>
    <row r="1398" spans="1:40" hidden="1">
      <c r="A1398" s="1">
        <v>46064</v>
      </c>
      <c r="B1398">
        <v>1</v>
      </c>
      <c r="C1398">
        <v>11</v>
      </c>
      <c r="D1398" t="s">
        <v>61</v>
      </c>
      <c r="E1398" t="s">
        <v>46</v>
      </c>
      <c r="F1398">
        <v>552181</v>
      </c>
      <c r="G1398" s="6">
        <v>1</v>
      </c>
      <c r="H1398" t="s">
        <v>49</v>
      </c>
      <c r="I1398">
        <v>10686672</v>
      </c>
      <c r="J1398">
        <v>6</v>
      </c>
      <c r="K1398">
        <v>18.8</v>
      </c>
      <c r="L1398">
        <v>18.8</v>
      </c>
      <c r="M1398">
        <v>985</v>
      </c>
      <c r="N1398" s="2">
        <v>108000</v>
      </c>
      <c r="O1398" s="2">
        <v>2700</v>
      </c>
      <c r="P1398" s="2">
        <v>2970</v>
      </c>
      <c r="Q1398" s="2">
        <v>5910</v>
      </c>
      <c r="R1398" s="2">
        <v>5400</v>
      </c>
      <c r="S1398">
        <v>101.52</v>
      </c>
      <c r="T1398" s="2">
        <v>8370</v>
      </c>
      <c r="U1398" s="2">
        <v>99630</v>
      </c>
      <c r="V1398">
        <v>111.108</v>
      </c>
      <c r="W1398">
        <v>0</v>
      </c>
      <c r="X1398">
        <v>0</v>
      </c>
      <c r="Y1398">
        <v>0</v>
      </c>
      <c r="Z1398">
        <v>4.5</v>
      </c>
      <c r="AA1398">
        <v>4.0501134031752886E-2</v>
      </c>
      <c r="AB1398">
        <v>29.4</v>
      </c>
      <c r="AC1398">
        <v>8.0441666666666656</v>
      </c>
      <c r="AD1398">
        <v>27</v>
      </c>
      <c r="AE1398" s="7"/>
      <c r="AF1398" s="7"/>
      <c r="AG1398" s="7"/>
      <c r="AH1398" s="7"/>
      <c r="AI1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3.9558333333333344</v>
      </c>
      <c r="AJ1398" s="7"/>
      <c r="AK1398" t="s">
        <v>812</v>
      </c>
      <c r="AL1398">
        <v>1</v>
      </c>
      <c r="AN1398">
        <f>IFERROR(INT(Table13[[#This Row],[reject_prod]]/Table13[[#This Row],[part_weight]] * 1000), 0)</f>
        <v>239</v>
      </c>
    </row>
    <row r="1399" spans="1:40" hidden="1">
      <c r="A1399" s="1">
        <v>46064</v>
      </c>
      <c r="B1399">
        <v>1</v>
      </c>
      <c r="C1399">
        <v>11</v>
      </c>
      <c r="D1399" t="s">
        <v>61</v>
      </c>
      <c r="E1399" t="s">
        <v>46</v>
      </c>
      <c r="F1399">
        <v>552181</v>
      </c>
      <c r="G1399" s="6">
        <v>1</v>
      </c>
      <c r="H1399" t="s">
        <v>49</v>
      </c>
      <c r="I1399">
        <v>10686672</v>
      </c>
      <c r="J1399">
        <v>6</v>
      </c>
      <c r="K1399">
        <v>18.8</v>
      </c>
      <c r="L1399">
        <v>18.8</v>
      </c>
      <c r="M1399">
        <v>1014</v>
      </c>
      <c r="N1399" s="2">
        <v>0</v>
      </c>
      <c r="O1399" s="2">
        <v>0</v>
      </c>
      <c r="P1399" s="2">
        <v>0</v>
      </c>
      <c r="Q1399" s="2">
        <v>6084</v>
      </c>
      <c r="R1399" s="2">
        <v>6083</v>
      </c>
      <c r="S1399">
        <v>114.36040000000001</v>
      </c>
      <c r="T1399" s="2">
        <v>0</v>
      </c>
      <c r="U1399" s="2">
        <v>0</v>
      </c>
      <c r="V1399">
        <v>114.3792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29.4</v>
      </c>
      <c r="AC1399">
        <v>8.2809999999999988</v>
      </c>
      <c r="AD1399">
        <v>27</v>
      </c>
      <c r="AE1399" s="7"/>
      <c r="AF1399" s="7"/>
      <c r="AG1399" s="7"/>
      <c r="AH1399" s="7"/>
      <c r="AI1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3.7190000000000012</v>
      </c>
      <c r="AJ1399" s="7"/>
      <c r="AK1399" t="s">
        <v>775</v>
      </c>
      <c r="AL1399">
        <v>4</v>
      </c>
      <c r="AM1399">
        <v>4</v>
      </c>
      <c r="AN1399">
        <f>IFERROR(INT(Table13[[#This Row],[reject_prod]]/Table13[[#This Row],[part_weight]] * 1000), 0)</f>
        <v>0</v>
      </c>
    </row>
    <row r="1400" spans="1:40" hidden="1">
      <c r="A1400" s="1">
        <v>46064</v>
      </c>
      <c r="B1400">
        <v>1</v>
      </c>
      <c r="C1400">
        <v>12</v>
      </c>
      <c r="D1400" t="s">
        <v>43</v>
      </c>
      <c r="E1400" t="s">
        <v>34</v>
      </c>
      <c r="F1400">
        <v>620599</v>
      </c>
      <c r="G1400" s="6">
        <v>0</v>
      </c>
      <c r="H1400" t="s">
        <v>50</v>
      </c>
      <c r="I1400">
        <v>10686674</v>
      </c>
      <c r="J1400">
        <v>4</v>
      </c>
      <c r="K1400">
        <v>55</v>
      </c>
      <c r="L1400">
        <v>55</v>
      </c>
      <c r="M1400">
        <v>1526</v>
      </c>
      <c r="N1400" s="2">
        <v>72000</v>
      </c>
      <c r="O1400" s="2">
        <v>1125</v>
      </c>
      <c r="P1400" s="2">
        <v>0</v>
      </c>
      <c r="Q1400" s="2">
        <v>6104</v>
      </c>
      <c r="R1400" s="2">
        <v>7200</v>
      </c>
      <c r="S1400">
        <v>396</v>
      </c>
      <c r="T1400" s="2">
        <v>37800</v>
      </c>
      <c r="U1400" s="2">
        <v>34200</v>
      </c>
      <c r="V1400">
        <v>335.72</v>
      </c>
      <c r="W1400">
        <v>0</v>
      </c>
      <c r="X1400">
        <v>0</v>
      </c>
      <c r="Y1400">
        <v>0</v>
      </c>
      <c r="Z1400">
        <v>1.5</v>
      </c>
      <c r="AA1400">
        <v>4.4680090551650177E-3</v>
      </c>
      <c r="AB1400">
        <v>28.6</v>
      </c>
      <c r="AC1400">
        <v>12</v>
      </c>
      <c r="AD1400">
        <v>28</v>
      </c>
      <c r="AE1400" s="7"/>
      <c r="AF1400" s="7"/>
      <c r="AG1400" s="7"/>
      <c r="AH1400" s="7"/>
      <c r="AI1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00" s="7"/>
      <c r="AK1400" t="s">
        <v>178</v>
      </c>
      <c r="AN1400">
        <f>IFERROR(INT(Table13[[#This Row],[reject_prod]]/Table13[[#This Row],[part_weight]] * 1000), 0)</f>
        <v>27</v>
      </c>
    </row>
    <row r="1401" spans="1:40" hidden="1">
      <c r="A1401" s="1">
        <v>46064</v>
      </c>
      <c r="B1401">
        <v>1</v>
      </c>
      <c r="C1401">
        <v>13</v>
      </c>
      <c r="D1401" t="s">
        <v>61</v>
      </c>
      <c r="E1401" t="s">
        <v>46</v>
      </c>
      <c r="F1401">
        <v>586276</v>
      </c>
      <c r="G1401" s="6">
        <v>2</v>
      </c>
      <c r="H1401" t="s">
        <v>47</v>
      </c>
      <c r="I1401">
        <v>10686676</v>
      </c>
      <c r="J1401">
        <v>6</v>
      </c>
      <c r="K1401">
        <v>12.3</v>
      </c>
      <c r="L1401">
        <v>12.3</v>
      </c>
      <c r="M1401">
        <v>1632</v>
      </c>
      <c r="N1401" s="2">
        <v>162000</v>
      </c>
      <c r="O1401" s="2">
        <v>1620</v>
      </c>
      <c r="P1401" s="2">
        <v>3240</v>
      </c>
      <c r="Q1401" s="2">
        <v>9792</v>
      </c>
      <c r="R1401" s="2">
        <v>8100</v>
      </c>
      <c r="S1401">
        <v>99.63</v>
      </c>
      <c r="T1401" s="2">
        <v>43740</v>
      </c>
      <c r="U1401" s="2">
        <v>118260</v>
      </c>
      <c r="V1401">
        <v>120.44160000000001</v>
      </c>
      <c r="W1401">
        <v>0</v>
      </c>
      <c r="X1401">
        <v>0</v>
      </c>
      <c r="Y1401">
        <v>0</v>
      </c>
      <c r="Z1401">
        <v>0.8</v>
      </c>
      <c r="AA1401">
        <v>6.6422232849779475E-3</v>
      </c>
      <c r="AB1401">
        <v>26.2</v>
      </c>
      <c r="AC1401">
        <v>11.877333333333334</v>
      </c>
      <c r="AD1401">
        <v>26</v>
      </c>
      <c r="AE1401" s="7"/>
      <c r="AF1401" s="7"/>
      <c r="AG1401" s="7"/>
      <c r="AH1401" s="7"/>
      <c r="AI1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401" s="7"/>
      <c r="AK1401" t="s">
        <v>51</v>
      </c>
      <c r="AN1401">
        <f>IFERROR(INT(Table13[[#This Row],[reject_prod]]/Table13[[#This Row],[part_weight]] * 1000), 0)</f>
        <v>65</v>
      </c>
    </row>
    <row r="1402" spans="1:40" hidden="1">
      <c r="A1402" s="1">
        <v>46064</v>
      </c>
      <c r="B1402">
        <v>1</v>
      </c>
      <c r="C1402">
        <v>14</v>
      </c>
      <c r="D1402" t="s">
        <v>33</v>
      </c>
      <c r="E1402" t="s">
        <v>34</v>
      </c>
      <c r="F1402">
        <v>541381</v>
      </c>
      <c r="G1402" s="6">
        <v>0</v>
      </c>
      <c r="H1402" t="s">
        <v>804</v>
      </c>
      <c r="I1402">
        <v>10686678</v>
      </c>
      <c r="J1402">
        <v>4</v>
      </c>
      <c r="K1402">
        <v>55</v>
      </c>
      <c r="L1402">
        <v>55</v>
      </c>
      <c r="M1402">
        <v>0</v>
      </c>
      <c r="N1402" s="2">
        <v>84000</v>
      </c>
      <c r="O1402" s="2">
        <v>0</v>
      </c>
      <c r="P1402" s="2">
        <v>0</v>
      </c>
      <c r="Q1402" s="2">
        <v>0</v>
      </c>
      <c r="R1402" s="2">
        <v>0</v>
      </c>
      <c r="S1402">
        <v>0</v>
      </c>
      <c r="T1402" s="2">
        <v>0</v>
      </c>
      <c r="U1402" s="2">
        <v>84000</v>
      </c>
      <c r="V1402">
        <v>0</v>
      </c>
      <c r="W1402">
        <v>0</v>
      </c>
      <c r="X1402">
        <v>3</v>
      </c>
      <c r="Y1402" t="e">
        <v>#DIV/0!</v>
      </c>
      <c r="Z1402">
        <v>0</v>
      </c>
      <c r="AA1402" t="e">
        <v>#DIV/0!</v>
      </c>
      <c r="AB1402">
        <v>43</v>
      </c>
      <c r="AC1402">
        <v>0</v>
      </c>
      <c r="AD1402">
        <v>30.08</v>
      </c>
      <c r="AE1402" s="7"/>
      <c r="AF1402" s="7"/>
      <c r="AG1402" s="7"/>
      <c r="AH1402" s="7"/>
      <c r="AI1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02" s="7"/>
      <c r="AK1402" t="s">
        <v>588</v>
      </c>
      <c r="AL1402">
        <v>15</v>
      </c>
      <c r="AM1402">
        <v>10</v>
      </c>
      <c r="AN1402">
        <f>IFERROR(INT(Table13[[#This Row],[reject_prod]]/Table13[[#This Row],[part_weight]] * 1000), 0)</f>
        <v>0</v>
      </c>
    </row>
    <row r="1403" spans="1:40" hidden="1">
      <c r="A1403" s="1">
        <v>46064</v>
      </c>
      <c r="B1403">
        <v>1</v>
      </c>
      <c r="C1403">
        <v>15</v>
      </c>
      <c r="D1403" t="s">
        <v>61</v>
      </c>
      <c r="E1403" t="s">
        <v>46</v>
      </c>
      <c r="F1403">
        <v>552181</v>
      </c>
      <c r="G1403" s="6">
        <v>2</v>
      </c>
      <c r="H1403" t="s">
        <v>49</v>
      </c>
      <c r="I1403">
        <v>10685542</v>
      </c>
      <c r="J1403">
        <v>6</v>
      </c>
      <c r="K1403">
        <v>18.8</v>
      </c>
      <c r="L1403">
        <v>18.8</v>
      </c>
      <c r="M1403">
        <v>1363</v>
      </c>
      <c r="N1403" s="2">
        <v>108000</v>
      </c>
      <c r="O1403" s="2">
        <v>4050</v>
      </c>
      <c r="P1403" s="2">
        <v>1350</v>
      </c>
      <c r="Q1403" s="2">
        <v>8178</v>
      </c>
      <c r="R1403" s="2">
        <v>10800</v>
      </c>
      <c r="S1403">
        <v>203.04</v>
      </c>
      <c r="T1403" s="2">
        <v>103950</v>
      </c>
      <c r="U1403" s="2">
        <v>4050</v>
      </c>
      <c r="V1403">
        <v>153.74639999999999</v>
      </c>
      <c r="W1403">
        <v>0</v>
      </c>
      <c r="X1403">
        <v>0</v>
      </c>
      <c r="Y1403">
        <v>0</v>
      </c>
      <c r="Z1403">
        <v>1.5</v>
      </c>
      <c r="AA1403">
        <v>9.7563260017795549E-3</v>
      </c>
      <c r="AB1403">
        <v>31.2</v>
      </c>
      <c r="AC1403">
        <v>11.812666666666667</v>
      </c>
      <c r="AD1403">
        <v>27</v>
      </c>
      <c r="AE1403" s="7"/>
      <c r="AF1403" s="7"/>
      <c r="AG1403" s="7"/>
      <c r="AH1403" s="7"/>
      <c r="AI1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403" s="7"/>
      <c r="AK1403" t="s">
        <v>51</v>
      </c>
      <c r="AN1403">
        <f>IFERROR(INT(Table13[[#This Row],[reject_prod]]/Table13[[#This Row],[part_weight]] * 1000), 0)</f>
        <v>79</v>
      </c>
    </row>
    <row r="1404" spans="1:40" s="4" customFormat="1" hidden="1">
      <c r="A1404" s="3">
        <v>46064</v>
      </c>
      <c r="B1404" s="4">
        <v>1</v>
      </c>
      <c r="C1404" s="4">
        <v>16</v>
      </c>
      <c r="D1404" s="4" t="s">
        <v>698</v>
      </c>
      <c r="E1404" s="4" t="s">
        <v>46</v>
      </c>
      <c r="F1404" s="4">
        <v>555979</v>
      </c>
      <c r="G1404" s="9">
        <v>2</v>
      </c>
      <c r="H1404" s="4" t="s">
        <v>52</v>
      </c>
      <c r="I1404" s="4">
        <v>10685814</v>
      </c>
      <c r="J1404" s="4">
        <v>6</v>
      </c>
      <c r="K1404" s="4">
        <v>28</v>
      </c>
      <c r="L1404" s="4">
        <v>28</v>
      </c>
      <c r="M1404" s="4">
        <v>985</v>
      </c>
      <c r="N1404" s="5">
        <v>100800</v>
      </c>
      <c r="O1404" s="5">
        <v>1512</v>
      </c>
      <c r="P1404" s="5">
        <v>672</v>
      </c>
      <c r="Q1404" s="5">
        <v>5910</v>
      </c>
      <c r="R1404" s="5">
        <v>6720</v>
      </c>
      <c r="S1404" s="4">
        <v>188.16</v>
      </c>
      <c r="T1404" s="5">
        <v>73492</v>
      </c>
      <c r="U1404" s="5">
        <v>27308</v>
      </c>
      <c r="V1404" s="4">
        <v>165.48</v>
      </c>
      <c r="W1404" s="4">
        <v>0</v>
      </c>
      <c r="X1404" s="4">
        <v>0</v>
      </c>
      <c r="Y1404" s="4">
        <v>0</v>
      </c>
      <c r="Z1404" s="4">
        <v>0.8</v>
      </c>
      <c r="AA1404" s="4">
        <v>4.834421078075901E-3</v>
      </c>
      <c r="AB1404" s="4">
        <v>43.5</v>
      </c>
      <c r="AC1404" s="4">
        <v>11.902083333333334</v>
      </c>
      <c r="AD1404" s="4">
        <v>42</v>
      </c>
      <c r="AE1404" s="8"/>
      <c r="AF1404" s="8"/>
      <c r="AG1404" s="8"/>
      <c r="AH1404" s="8"/>
      <c r="AI140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404" s="8"/>
      <c r="AK1404" s="4" t="s">
        <v>51</v>
      </c>
      <c r="AN1404">
        <f>IFERROR(INT(Table13[[#This Row],[reject_prod]]/Table13[[#This Row],[part_weight]] * 1000), 0)</f>
        <v>28</v>
      </c>
    </row>
    <row r="1405" spans="1:40" hidden="1">
      <c r="A1405" s="1">
        <v>46064</v>
      </c>
      <c r="B1405">
        <v>2</v>
      </c>
      <c r="C1405">
        <v>1</v>
      </c>
      <c r="D1405" t="s">
        <v>813</v>
      </c>
      <c r="E1405" t="s">
        <v>34</v>
      </c>
      <c r="F1405">
        <v>424597</v>
      </c>
      <c r="G1405" s="6">
        <v>0</v>
      </c>
      <c r="H1405" t="s">
        <v>807</v>
      </c>
      <c r="I1405" t="s">
        <v>490</v>
      </c>
      <c r="J1405">
        <v>2</v>
      </c>
      <c r="K1405">
        <v>76</v>
      </c>
      <c r="L1405">
        <v>73</v>
      </c>
      <c r="M1405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>
        <v>0</v>
      </c>
      <c r="T1405" s="2">
        <v>0</v>
      </c>
      <c r="U1405" s="2">
        <v>0</v>
      </c>
      <c r="V1405">
        <v>0</v>
      </c>
      <c r="W1405">
        <v>0</v>
      </c>
      <c r="X1405">
        <v>0</v>
      </c>
      <c r="Y1405" t="e">
        <v>#DIV/0!</v>
      </c>
      <c r="Z1405">
        <v>0</v>
      </c>
      <c r="AA1405" t="e">
        <v>#DIV/0!</v>
      </c>
      <c r="AB1405">
        <v>34.1</v>
      </c>
      <c r="AC1405">
        <v>0</v>
      </c>
      <c r="AD1405">
        <v>40.4</v>
      </c>
      <c r="AE1405" s="7"/>
      <c r="AF1405" s="7"/>
      <c r="AG1405" s="7"/>
      <c r="AH1405" s="7"/>
      <c r="AI1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05" s="7"/>
      <c r="AK1405" t="s">
        <v>437</v>
      </c>
      <c r="AN1405">
        <f>IFERROR(INT(Table13[[#This Row],[reject_prod]]/Table13[[#This Row],[part_weight]] * 1000), 0)</f>
        <v>0</v>
      </c>
    </row>
    <row r="1406" spans="1:40" hidden="1">
      <c r="A1406" s="1">
        <v>46064</v>
      </c>
      <c r="B1406">
        <v>2</v>
      </c>
      <c r="C1406">
        <v>2</v>
      </c>
      <c r="D1406" t="s">
        <v>814</v>
      </c>
      <c r="E1406" t="s">
        <v>34</v>
      </c>
      <c r="F1406">
        <v>549814</v>
      </c>
      <c r="G1406" s="6">
        <v>0</v>
      </c>
      <c r="H1406" t="s">
        <v>796</v>
      </c>
      <c r="I1406">
        <v>10685210</v>
      </c>
      <c r="J1406">
        <v>4</v>
      </c>
      <c r="K1406">
        <v>11.3</v>
      </c>
      <c r="L1406">
        <v>18.349999999999998</v>
      </c>
      <c r="M1406">
        <v>760</v>
      </c>
      <c r="N1406" s="2">
        <v>11000</v>
      </c>
      <c r="O1406" s="2">
        <v>7975</v>
      </c>
      <c r="P1406" s="2">
        <v>0</v>
      </c>
      <c r="Q1406" s="2">
        <v>3040</v>
      </c>
      <c r="R1406" s="2">
        <v>11000</v>
      </c>
      <c r="S1406">
        <v>201.84999999999997</v>
      </c>
      <c r="T1406" s="2">
        <v>11000</v>
      </c>
      <c r="U1406" s="2">
        <v>0</v>
      </c>
      <c r="V1406">
        <v>55.783999999999992</v>
      </c>
      <c r="W1406">
        <v>0</v>
      </c>
      <c r="X1406">
        <v>0</v>
      </c>
      <c r="Y1406">
        <v>0</v>
      </c>
      <c r="Z1406">
        <v>2.2999999999999998</v>
      </c>
      <c r="AA1406">
        <v>4.1230460347052925E-2</v>
      </c>
      <c r="AB1406">
        <v>21.1</v>
      </c>
      <c r="AC1406">
        <v>4.4544444444444444</v>
      </c>
      <c r="AD1406">
        <v>19.239999999999998</v>
      </c>
      <c r="AE1406" s="7"/>
      <c r="AF1406" s="7"/>
      <c r="AG1406" s="7"/>
      <c r="AH1406" s="7"/>
      <c r="AI1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7.5455555555555556</v>
      </c>
      <c r="AJ1406" s="7"/>
      <c r="AK1406" t="s">
        <v>815</v>
      </c>
      <c r="AN1406">
        <f>IFERROR(INT(Table13[[#This Row],[reject_prod]]/Table13[[#This Row],[part_weight]] * 1000), 0)</f>
        <v>125</v>
      </c>
    </row>
    <row r="1407" spans="1:40" hidden="1">
      <c r="A1407" s="1">
        <v>46064</v>
      </c>
      <c r="B1407">
        <v>2</v>
      </c>
      <c r="C1407">
        <v>2</v>
      </c>
      <c r="D1407" t="s">
        <v>33</v>
      </c>
      <c r="E1407" t="s">
        <v>34</v>
      </c>
      <c r="F1407">
        <v>322493</v>
      </c>
      <c r="G1407" s="6">
        <v>0</v>
      </c>
      <c r="H1407" t="s">
        <v>816</v>
      </c>
      <c r="I1407">
        <v>10686190</v>
      </c>
      <c r="J1407">
        <v>4</v>
      </c>
      <c r="K1407">
        <v>23</v>
      </c>
      <c r="L1407">
        <v>23</v>
      </c>
      <c r="M1407">
        <v>0</v>
      </c>
      <c r="N1407" s="2">
        <v>61200</v>
      </c>
      <c r="O1407" s="2">
        <v>0</v>
      </c>
      <c r="P1407" s="2">
        <v>0</v>
      </c>
      <c r="Q1407" s="2">
        <v>0</v>
      </c>
      <c r="R1407" s="2">
        <v>0</v>
      </c>
      <c r="S1407">
        <v>0</v>
      </c>
      <c r="T1407" s="2">
        <v>0</v>
      </c>
      <c r="U1407" s="2">
        <v>61200</v>
      </c>
      <c r="V1407">
        <v>0</v>
      </c>
      <c r="W1407">
        <v>0</v>
      </c>
      <c r="X1407">
        <v>7.2</v>
      </c>
      <c r="Y1407" t="e">
        <v>#DIV/0!</v>
      </c>
      <c r="Z1407">
        <v>0</v>
      </c>
      <c r="AA1407" t="e">
        <v>#DIV/0!</v>
      </c>
      <c r="AB1407">
        <v>22</v>
      </c>
      <c r="AC1407">
        <v>0</v>
      </c>
      <c r="AD1407">
        <v>22.5</v>
      </c>
      <c r="AE1407" s="7"/>
      <c r="AF1407" s="7">
        <v>3.5</v>
      </c>
      <c r="AG1407" s="7"/>
      <c r="AH1407" s="7"/>
      <c r="AI1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407" s="7"/>
      <c r="AK1407" t="s">
        <v>817</v>
      </c>
      <c r="AN1407">
        <f>IFERROR(INT(Table13[[#This Row],[reject_prod]]/Table13[[#This Row],[part_weight]] * 1000), 0)</f>
        <v>0</v>
      </c>
    </row>
    <row r="1408" spans="1:40" hidden="1">
      <c r="A1408" s="1">
        <v>46064</v>
      </c>
      <c r="B1408">
        <v>2</v>
      </c>
      <c r="C1408">
        <v>3</v>
      </c>
      <c r="D1408" t="s">
        <v>59</v>
      </c>
      <c r="E1408" t="s">
        <v>34</v>
      </c>
      <c r="F1408">
        <v>442034</v>
      </c>
      <c r="G1408" s="6">
        <v>0</v>
      </c>
      <c r="H1408" t="s">
        <v>37</v>
      </c>
      <c r="I1408">
        <v>10685633</v>
      </c>
      <c r="J1408">
        <v>4</v>
      </c>
      <c r="K1408">
        <v>23</v>
      </c>
      <c r="L1408">
        <v>23</v>
      </c>
      <c r="M1408">
        <v>1530</v>
      </c>
      <c r="N1408" s="2">
        <v>139776</v>
      </c>
      <c r="O1408" s="2">
        <v>0</v>
      </c>
      <c r="P1408" s="2">
        <v>1536</v>
      </c>
      <c r="Q1408" s="2">
        <v>6120</v>
      </c>
      <c r="R1408" s="2">
        <v>4608</v>
      </c>
      <c r="S1408">
        <v>105.98399999999999</v>
      </c>
      <c r="T1408" s="2">
        <v>102912</v>
      </c>
      <c r="U1408" s="2">
        <v>36864</v>
      </c>
      <c r="V1408">
        <v>140.76</v>
      </c>
      <c r="W1408">
        <v>0</v>
      </c>
      <c r="X1408">
        <v>0</v>
      </c>
      <c r="Y1408">
        <v>0</v>
      </c>
      <c r="Z1408">
        <v>5</v>
      </c>
      <c r="AA1408">
        <v>3.5521454958795114E-2</v>
      </c>
      <c r="AB1408">
        <v>28.5</v>
      </c>
      <c r="AC1408">
        <v>12</v>
      </c>
      <c r="AD1408">
        <v>22</v>
      </c>
      <c r="AE1408" s="7"/>
      <c r="AF1408" s="7"/>
      <c r="AG1408" s="7"/>
      <c r="AH1408" s="7"/>
      <c r="AI1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08" s="7"/>
      <c r="AK1408" t="s">
        <v>103</v>
      </c>
      <c r="AN1408">
        <f>IFERROR(INT(Table13[[#This Row],[reject_prod]]/Table13[[#This Row],[part_weight]] * 1000), 0)</f>
        <v>217</v>
      </c>
    </row>
    <row r="1409" spans="1:40" hidden="1">
      <c r="A1409" s="1">
        <v>46064</v>
      </c>
      <c r="B1409">
        <v>2</v>
      </c>
      <c r="C1409">
        <v>4</v>
      </c>
      <c r="D1409" t="s">
        <v>84</v>
      </c>
      <c r="E1409" t="s">
        <v>34</v>
      </c>
      <c r="F1409">
        <v>322477</v>
      </c>
      <c r="G1409" s="6">
        <v>0</v>
      </c>
      <c r="H1409" t="s">
        <v>694</v>
      </c>
      <c r="I1409">
        <v>10687697</v>
      </c>
      <c r="J1409">
        <v>4</v>
      </c>
      <c r="K1409">
        <v>44</v>
      </c>
      <c r="L1409">
        <v>44</v>
      </c>
      <c r="M1409">
        <v>630</v>
      </c>
      <c r="N1409" s="2">
        <v>5355</v>
      </c>
      <c r="O1409" s="2">
        <v>0</v>
      </c>
      <c r="P1409" s="2">
        <v>2520</v>
      </c>
      <c r="Q1409" s="2">
        <v>2520</v>
      </c>
      <c r="R1409" s="2">
        <v>0</v>
      </c>
      <c r="S1409">
        <v>0</v>
      </c>
      <c r="T1409" s="2">
        <v>2520</v>
      </c>
      <c r="U1409" s="2">
        <v>2835</v>
      </c>
      <c r="V1409">
        <v>110.88</v>
      </c>
      <c r="W1409">
        <v>0</v>
      </c>
      <c r="X1409">
        <v>2</v>
      </c>
      <c r="Y1409">
        <v>1.803751803751804E-2</v>
      </c>
      <c r="Z1409">
        <v>0.5</v>
      </c>
      <c r="AA1409">
        <v>4.5093795093795099E-3</v>
      </c>
      <c r="AB1409">
        <v>26.27</v>
      </c>
      <c r="AC1409">
        <v>4.5972499999999998</v>
      </c>
      <c r="AD1409">
        <v>26</v>
      </c>
      <c r="AE1409" s="7"/>
      <c r="AF1409" s="7"/>
      <c r="AG1409" s="7"/>
      <c r="AH1409" s="7"/>
      <c r="AI1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7.4027500000000002</v>
      </c>
      <c r="AJ1409" s="7"/>
      <c r="AK1409" t="s">
        <v>818</v>
      </c>
      <c r="AN1409">
        <f>IFERROR(INT(Table13[[#This Row],[reject_prod]]/Table13[[#This Row],[part_weight]] * 1000), 0)</f>
        <v>11</v>
      </c>
    </row>
    <row r="1410" spans="1:40" hidden="1">
      <c r="A1410" s="1">
        <v>46064</v>
      </c>
      <c r="B1410">
        <v>2</v>
      </c>
      <c r="C1410">
        <v>5</v>
      </c>
      <c r="D1410" t="s">
        <v>53</v>
      </c>
      <c r="E1410" t="s">
        <v>34</v>
      </c>
      <c r="F1410">
        <v>322448</v>
      </c>
      <c r="G1410" s="6">
        <v>0</v>
      </c>
      <c r="H1410" t="s">
        <v>654</v>
      </c>
      <c r="I1410">
        <v>10686670</v>
      </c>
      <c r="J1410">
        <v>4</v>
      </c>
      <c r="K1410">
        <v>40</v>
      </c>
      <c r="L1410">
        <v>40</v>
      </c>
      <c r="M1410">
        <v>415</v>
      </c>
      <c r="N1410" s="2">
        <v>29160</v>
      </c>
      <c r="O1410" s="2">
        <v>0</v>
      </c>
      <c r="P1410" s="2">
        <v>0</v>
      </c>
      <c r="Q1410" s="2">
        <v>1660</v>
      </c>
      <c r="R1410" s="2">
        <v>1620</v>
      </c>
      <c r="S1410">
        <v>64.8</v>
      </c>
      <c r="T1410" s="2">
        <v>29160</v>
      </c>
      <c r="U1410" s="2">
        <v>0</v>
      </c>
      <c r="V1410">
        <v>66.400000000000006</v>
      </c>
      <c r="W1410">
        <v>0</v>
      </c>
      <c r="X1410">
        <v>0</v>
      </c>
      <c r="Y1410">
        <v>0</v>
      </c>
      <c r="Z1410">
        <v>1.8</v>
      </c>
      <c r="AA1410">
        <v>2.7108433734939756E-2</v>
      </c>
      <c r="AB1410">
        <v>25.7</v>
      </c>
      <c r="AC1410">
        <v>2.9626388888888888</v>
      </c>
      <c r="AD1410">
        <v>23</v>
      </c>
      <c r="AE1410" s="7"/>
      <c r="AF1410" s="7"/>
      <c r="AG1410" s="7"/>
      <c r="AH1410" s="7"/>
      <c r="AI1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9.0373611111111103</v>
      </c>
      <c r="AJ1410" s="7"/>
      <c r="AK1410" t="s">
        <v>819</v>
      </c>
      <c r="AN1410">
        <f>IFERROR(INT(Table13[[#This Row],[reject_prod]]/Table13[[#This Row],[part_weight]] * 1000), 0)</f>
        <v>45</v>
      </c>
    </row>
    <row r="1411" spans="1:40" hidden="1">
      <c r="A1411" s="1">
        <v>46064</v>
      </c>
      <c r="B1411">
        <v>2</v>
      </c>
      <c r="C1411">
        <v>5</v>
      </c>
      <c r="D1411" t="s">
        <v>33</v>
      </c>
      <c r="E1411" t="s">
        <v>34</v>
      </c>
      <c r="F1411">
        <v>322459</v>
      </c>
      <c r="G1411" s="6">
        <v>0</v>
      </c>
      <c r="H1411" t="s">
        <v>820</v>
      </c>
      <c r="I1411">
        <v>10685847</v>
      </c>
      <c r="J1411">
        <v>4</v>
      </c>
      <c r="K1411">
        <v>40.5</v>
      </c>
      <c r="L1411">
        <v>40.5</v>
      </c>
      <c r="M1411">
        <v>0</v>
      </c>
      <c r="N1411" s="2">
        <v>70000</v>
      </c>
      <c r="O1411" s="2">
        <v>0</v>
      </c>
      <c r="P1411" s="2">
        <v>0</v>
      </c>
      <c r="Q1411" s="2">
        <v>0</v>
      </c>
      <c r="R1411" s="2">
        <v>0</v>
      </c>
      <c r="S1411">
        <v>0</v>
      </c>
      <c r="T1411" s="2">
        <v>0</v>
      </c>
      <c r="U1411" s="2">
        <v>70000</v>
      </c>
      <c r="V1411">
        <v>0</v>
      </c>
      <c r="W1411">
        <v>0</v>
      </c>
      <c r="X1411">
        <v>10</v>
      </c>
      <c r="Y1411" t="e">
        <v>#DIV/0!</v>
      </c>
      <c r="Z1411">
        <v>0</v>
      </c>
      <c r="AA1411" t="e">
        <v>#DIV/0!</v>
      </c>
      <c r="AB1411">
        <v>25.7</v>
      </c>
      <c r="AC1411">
        <v>0</v>
      </c>
      <c r="AD1411">
        <v>22.5</v>
      </c>
      <c r="AE1411" s="7"/>
      <c r="AF1411" s="7">
        <v>3.5</v>
      </c>
      <c r="AG1411" s="7"/>
      <c r="AH1411" s="7"/>
      <c r="AI1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411" s="7"/>
      <c r="AK1411" t="s">
        <v>821</v>
      </c>
      <c r="AN1411">
        <f>IFERROR(INT(Table13[[#This Row],[reject_prod]]/Table13[[#This Row],[part_weight]] * 1000), 0)</f>
        <v>0</v>
      </c>
    </row>
    <row r="1412" spans="1:40" hidden="1">
      <c r="A1412" s="1">
        <v>46064</v>
      </c>
      <c r="B1412">
        <v>2</v>
      </c>
      <c r="C1412">
        <v>6</v>
      </c>
      <c r="D1412" t="s">
        <v>822</v>
      </c>
      <c r="E1412" t="s">
        <v>34</v>
      </c>
      <c r="F1412">
        <v>322445</v>
      </c>
      <c r="G1412" s="6">
        <v>0</v>
      </c>
      <c r="H1412" t="s">
        <v>743</v>
      </c>
      <c r="I1412">
        <v>10685637</v>
      </c>
      <c r="J1412">
        <v>4</v>
      </c>
      <c r="K1412">
        <v>32.74</v>
      </c>
      <c r="L1412">
        <v>33</v>
      </c>
      <c r="M1412">
        <v>1770</v>
      </c>
      <c r="N1412" s="2">
        <v>72000</v>
      </c>
      <c r="O1412" s="2">
        <v>360</v>
      </c>
      <c r="P1412" s="2">
        <v>180</v>
      </c>
      <c r="Q1412" s="2">
        <v>7080</v>
      </c>
      <c r="R1412" s="2">
        <v>7200</v>
      </c>
      <c r="S1412">
        <v>237.6</v>
      </c>
      <c r="T1412" s="2">
        <v>54180</v>
      </c>
      <c r="U1412" s="2">
        <v>17820</v>
      </c>
      <c r="V1412">
        <v>233.64</v>
      </c>
      <c r="W1412">
        <v>0</v>
      </c>
      <c r="X1412">
        <v>0</v>
      </c>
      <c r="Y1412">
        <v>0</v>
      </c>
      <c r="Z1412">
        <v>1</v>
      </c>
      <c r="AA1412">
        <v>4.2800890258517382E-3</v>
      </c>
      <c r="AB1412">
        <v>23.3</v>
      </c>
      <c r="AC1412">
        <v>11.455833333333333</v>
      </c>
      <c r="AD1412">
        <v>22</v>
      </c>
      <c r="AE1412" s="7"/>
      <c r="AF1412" s="7"/>
      <c r="AG1412" s="7"/>
      <c r="AH1412" s="7"/>
      <c r="AI1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0.54416666666666735</v>
      </c>
      <c r="AJ1412" s="7"/>
      <c r="AK1412" t="s">
        <v>103</v>
      </c>
      <c r="AN1412">
        <f>IFERROR(INT(Table13[[#This Row],[reject_prod]]/Table13[[#This Row],[part_weight]] * 1000), 0)</f>
        <v>30</v>
      </c>
    </row>
    <row r="1413" spans="1:40" hidden="1">
      <c r="A1413" s="1">
        <v>46064</v>
      </c>
      <c r="B1413">
        <v>2</v>
      </c>
      <c r="C1413">
        <v>7</v>
      </c>
      <c r="D1413" t="s">
        <v>823</v>
      </c>
      <c r="E1413" t="s">
        <v>34</v>
      </c>
      <c r="F1413">
        <v>324177</v>
      </c>
      <c r="G1413" s="6">
        <v>0</v>
      </c>
      <c r="H1413" t="s">
        <v>246</v>
      </c>
      <c r="I1413">
        <v>10686803</v>
      </c>
      <c r="J1413">
        <v>4</v>
      </c>
      <c r="K1413">
        <v>34.5</v>
      </c>
      <c r="L1413">
        <v>34.5</v>
      </c>
      <c r="M1413">
        <v>1872</v>
      </c>
      <c r="N1413" s="2">
        <v>93600</v>
      </c>
      <c r="O1413" s="2">
        <v>936</v>
      </c>
      <c r="P1413" s="2">
        <v>624</v>
      </c>
      <c r="Q1413" s="2">
        <v>7488</v>
      </c>
      <c r="R1413" s="2">
        <v>7800</v>
      </c>
      <c r="S1413">
        <v>269.10000000000002</v>
      </c>
      <c r="T1413" s="2">
        <v>11544</v>
      </c>
      <c r="U1413" s="2">
        <v>82056</v>
      </c>
      <c r="V1413">
        <v>258.33600000000001</v>
      </c>
      <c r="W1413">
        <v>0</v>
      </c>
      <c r="X1413">
        <v>0</v>
      </c>
      <c r="Y1413">
        <v>0</v>
      </c>
      <c r="Z1413">
        <v>4.8</v>
      </c>
      <c r="AA1413">
        <v>1.8580453363062056E-2</v>
      </c>
      <c r="AB1413">
        <v>23.3</v>
      </c>
      <c r="AC1413">
        <v>12</v>
      </c>
      <c r="AD1413">
        <v>22</v>
      </c>
      <c r="AE1413" s="7"/>
      <c r="AF1413" s="7"/>
      <c r="AG1413" s="7"/>
      <c r="AH1413" s="7"/>
      <c r="AI1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13" s="7"/>
      <c r="AK1413" t="s">
        <v>824</v>
      </c>
      <c r="AN1413">
        <f>IFERROR(INT(Table13[[#This Row],[reject_prod]]/Table13[[#This Row],[part_weight]] * 1000), 0)</f>
        <v>139</v>
      </c>
    </row>
    <row r="1414" spans="1:40" hidden="1">
      <c r="A1414" s="1">
        <v>46064</v>
      </c>
      <c r="B1414">
        <v>2</v>
      </c>
      <c r="C1414">
        <v>8</v>
      </c>
      <c r="D1414" t="s">
        <v>54</v>
      </c>
      <c r="E1414" t="s">
        <v>41</v>
      </c>
      <c r="F1414">
        <v>593537</v>
      </c>
      <c r="G1414" s="6">
        <v>0</v>
      </c>
      <c r="H1414" t="s">
        <v>48</v>
      </c>
      <c r="I1414">
        <v>10687586</v>
      </c>
      <c r="J1414">
        <v>4</v>
      </c>
      <c r="K1414">
        <v>56.5</v>
      </c>
      <c r="L1414">
        <v>56.8</v>
      </c>
      <c r="M1414">
        <v>1440</v>
      </c>
      <c r="N1414" s="2">
        <v>69000</v>
      </c>
      <c r="O1414" s="2">
        <v>0</v>
      </c>
      <c r="P1414" s="2">
        <v>0</v>
      </c>
      <c r="Q1414" s="2">
        <v>5760</v>
      </c>
      <c r="R1414" s="2">
        <v>5750</v>
      </c>
      <c r="S1414">
        <v>326.60000000000002</v>
      </c>
      <c r="T1414" s="2">
        <v>17250</v>
      </c>
      <c r="U1414" s="2">
        <v>51750</v>
      </c>
      <c r="V1414">
        <v>327.16800000000001</v>
      </c>
      <c r="W1414">
        <v>0</v>
      </c>
      <c r="X1414">
        <v>0</v>
      </c>
      <c r="Y1414">
        <v>0</v>
      </c>
      <c r="Z1414">
        <v>3.6</v>
      </c>
      <c r="AA1414">
        <v>1.1003521126760563E-2</v>
      </c>
      <c r="AB1414">
        <v>30.4</v>
      </c>
      <c r="AC1414">
        <v>12</v>
      </c>
      <c r="AD1414">
        <v>28.5</v>
      </c>
      <c r="AE1414" s="7"/>
      <c r="AF1414" s="7"/>
      <c r="AG1414" s="7"/>
      <c r="AH1414" s="7"/>
      <c r="AI1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14" s="7"/>
      <c r="AK1414" t="s">
        <v>51</v>
      </c>
      <c r="AN1414">
        <f>IFERROR(INT(Table13[[#This Row],[reject_prod]]/Table13[[#This Row],[part_weight]] * 1000), 0)</f>
        <v>63</v>
      </c>
    </row>
    <row r="1415" spans="1:40" hidden="1">
      <c r="A1415" s="1">
        <v>46064</v>
      </c>
      <c r="B1415">
        <v>2</v>
      </c>
      <c r="C1415">
        <v>9</v>
      </c>
      <c r="D1415" t="s">
        <v>124</v>
      </c>
      <c r="E1415" t="s">
        <v>46</v>
      </c>
      <c r="F1415">
        <v>586276</v>
      </c>
      <c r="G1415" s="6">
        <v>1</v>
      </c>
      <c r="H1415" t="s">
        <v>47</v>
      </c>
      <c r="I1415">
        <v>10683781</v>
      </c>
      <c r="J1415">
        <v>6</v>
      </c>
      <c r="K1415">
        <v>12.3</v>
      </c>
      <c r="L1415">
        <v>12.3</v>
      </c>
      <c r="M1415">
        <v>1620</v>
      </c>
      <c r="N1415" s="2">
        <v>162000</v>
      </c>
      <c r="O1415" s="2">
        <v>3240</v>
      </c>
      <c r="P1415" s="2">
        <v>4860</v>
      </c>
      <c r="Q1415" s="2">
        <v>9720</v>
      </c>
      <c r="R1415" s="2">
        <v>8100</v>
      </c>
      <c r="S1415">
        <v>99.63</v>
      </c>
      <c r="T1415" s="2">
        <v>85860</v>
      </c>
      <c r="U1415" s="2">
        <v>76140</v>
      </c>
      <c r="V1415">
        <v>119.556</v>
      </c>
      <c r="W1415">
        <v>0</v>
      </c>
      <c r="X1415">
        <v>0</v>
      </c>
      <c r="Y1415">
        <v>0</v>
      </c>
      <c r="Z1415">
        <v>4.2</v>
      </c>
      <c r="AA1415">
        <v>3.5129980929438927E-2</v>
      </c>
      <c r="AB1415">
        <v>25.7</v>
      </c>
      <c r="AC1415">
        <v>11.565</v>
      </c>
      <c r="AD1415">
        <v>26</v>
      </c>
      <c r="AE1415" s="7"/>
      <c r="AF1415" s="7"/>
      <c r="AG1415" s="7"/>
      <c r="AH1415" s="7"/>
      <c r="AI1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415" s="7"/>
      <c r="AK1415" t="s">
        <v>57</v>
      </c>
      <c r="AN1415">
        <f>IFERROR(INT(Table13[[#This Row],[reject_prod]]/Table13[[#This Row],[part_weight]] * 1000), 0)</f>
        <v>341</v>
      </c>
    </row>
    <row r="1416" spans="1:40" hidden="1">
      <c r="A1416" s="1">
        <v>46064</v>
      </c>
      <c r="B1416">
        <v>2</v>
      </c>
      <c r="C1416">
        <v>10</v>
      </c>
      <c r="D1416" t="s">
        <v>84</v>
      </c>
      <c r="E1416" t="s">
        <v>34</v>
      </c>
      <c r="F1416">
        <v>410269</v>
      </c>
      <c r="G1416" s="6">
        <v>0</v>
      </c>
      <c r="H1416" t="s">
        <v>811</v>
      </c>
      <c r="I1416">
        <v>10686034</v>
      </c>
      <c r="J1416">
        <v>4</v>
      </c>
      <c r="K1416">
        <v>49</v>
      </c>
      <c r="L1416">
        <v>48.5</v>
      </c>
      <c r="M1416">
        <v>0</v>
      </c>
      <c r="N1416" s="2">
        <v>28875</v>
      </c>
      <c r="O1416" s="2">
        <v>0</v>
      </c>
      <c r="P1416" s="2">
        <v>0</v>
      </c>
      <c r="Q1416" s="2">
        <v>0</v>
      </c>
      <c r="R1416" s="2">
        <v>0</v>
      </c>
      <c r="S1416">
        <v>0</v>
      </c>
      <c r="T1416" s="2">
        <v>0</v>
      </c>
      <c r="U1416" s="2">
        <v>28875</v>
      </c>
      <c r="V1416">
        <v>0</v>
      </c>
      <c r="W1416">
        <v>0</v>
      </c>
      <c r="X1416">
        <v>25.3</v>
      </c>
      <c r="Y1416" t="e">
        <v>#DIV/0!</v>
      </c>
      <c r="Z1416">
        <v>0</v>
      </c>
      <c r="AA1416" t="e">
        <v>#DIV/0!</v>
      </c>
      <c r="AB1416">
        <v>38.6</v>
      </c>
      <c r="AC1416">
        <v>0</v>
      </c>
      <c r="AD1416">
        <v>26.4</v>
      </c>
      <c r="AE1416" s="7"/>
      <c r="AF1416" s="7"/>
      <c r="AG1416" s="7">
        <v>0</v>
      </c>
      <c r="AH1416" s="7"/>
      <c r="AI1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16" s="7"/>
      <c r="AK1416" t="s">
        <v>825</v>
      </c>
      <c r="AN1416">
        <f>IFERROR(INT(Table13[[#This Row],[reject_prod]]/Table13[[#This Row],[part_weight]] * 1000), 0)</f>
        <v>0</v>
      </c>
    </row>
    <row r="1417" spans="1:40" hidden="1">
      <c r="A1417" s="1">
        <v>46064</v>
      </c>
      <c r="B1417">
        <v>2</v>
      </c>
      <c r="C1417">
        <v>11</v>
      </c>
      <c r="D1417" t="s">
        <v>139</v>
      </c>
      <c r="E1417" t="s">
        <v>46</v>
      </c>
      <c r="F1417">
        <v>552181</v>
      </c>
      <c r="G1417" s="6">
        <v>1</v>
      </c>
      <c r="H1417" t="s">
        <v>49</v>
      </c>
      <c r="I1417">
        <v>10686672</v>
      </c>
      <c r="J1417">
        <v>6</v>
      </c>
      <c r="K1417">
        <v>18.8</v>
      </c>
      <c r="L1417">
        <v>18.8</v>
      </c>
      <c r="M1417">
        <v>1440</v>
      </c>
      <c r="N1417" s="2">
        <v>108000</v>
      </c>
      <c r="O1417" s="2">
        <v>2970</v>
      </c>
      <c r="P1417" s="2">
        <v>810</v>
      </c>
      <c r="Q1417" s="2">
        <v>8640</v>
      </c>
      <c r="R1417" s="2">
        <v>10800</v>
      </c>
      <c r="S1417">
        <v>203.04</v>
      </c>
      <c r="T1417" s="2">
        <v>17010</v>
      </c>
      <c r="U1417" s="2">
        <v>90990</v>
      </c>
      <c r="V1417">
        <v>162.43199999999999</v>
      </c>
      <c r="W1417">
        <v>0</v>
      </c>
      <c r="X1417">
        <v>0</v>
      </c>
      <c r="Y1417">
        <v>0</v>
      </c>
      <c r="Z1417">
        <v>0.4</v>
      </c>
      <c r="AA1417">
        <v>2.4625689519306546E-3</v>
      </c>
      <c r="AB1417">
        <v>29.4</v>
      </c>
      <c r="AC1417">
        <v>11.759999999999998</v>
      </c>
      <c r="AD1417">
        <v>27</v>
      </c>
      <c r="AE1417" s="7"/>
      <c r="AF1417" s="7"/>
      <c r="AG1417" s="7"/>
      <c r="AH1417" s="7"/>
      <c r="AI1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1417" s="7"/>
      <c r="AK1417" t="s">
        <v>51</v>
      </c>
      <c r="AN1417">
        <f>IFERROR(INT(Table13[[#This Row],[reject_prod]]/Table13[[#This Row],[part_weight]] * 1000), 0)</f>
        <v>21</v>
      </c>
    </row>
    <row r="1418" spans="1:40" hidden="1">
      <c r="A1418" s="1">
        <v>46064</v>
      </c>
      <c r="B1418">
        <v>2</v>
      </c>
      <c r="C1418">
        <v>12</v>
      </c>
      <c r="D1418" t="s">
        <v>56</v>
      </c>
      <c r="E1418" t="s">
        <v>34</v>
      </c>
      <c r="F1418">
        <v>620599</v>
      </c>
      <c r="G1418" s="6">
        <v>0</v>
      </c>
      <c r="H1418" t="s">
        <v>50</v>
      </c>
      <c r="I1418">
        <v>10686674</v>
      </c>
      <c r="J1418">
        <v>4</v>
      </c>
      <c r="K1418">
        <v>55</v>
      </c>
      <c r="L1418">
        <v>55</v>
      </c>
      <c r="M1418">
        <v>1470</v>
      </c>
      <c r="N1418" s="2">
        <v>72000</v>
      </c>
      <c r="O1418" s="2">
        <v>0</v>
      </c>
      <c r="P1418" s="2">
        <v>450</v>
      </c>
      <c r="Q1418" s="2">
        <v>5880</v>
      </c>
      <c r="R1418" s="2">
        <v>5400</v>
      </c>
      <c r="S1418">
        <v>297</v>
      </c>
      <c r="T1418" s="2">
        <v>43650</v>
      </c>
      <c r="U1418" s="2">
        <v>28350</v>
      </c>
      <c r="V1418">
        <v>323.39999999999998</v>
      </c>
      <c r="W1418">
        <v>0</v>
      </c>
      <c r="X1418">
        <v>0</v>
      </c>
      <c r="Y1418">
        <v>0</v>
      </c>
      <c r="Z1418">
        <v>3</v>
      </c>
      <c r="AA1418">
        <v>9.2764378478664197E-3</v>
      </c>
      <c r="AB1418">
        <v>28.6</v>
      </c>
      <c r="AC1418">
        <v>11.678333333333335</v>
      </c>
      <c r="AD1418">
        <v>28</v>
      </c>
      <c r="AE1418" s="7"/>
      <c r="AF1418" s="7"/>
      <c r="AG1418" s="7"/>
      <c r="AH1418" s="7"/>
      <c r="AI1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0.32166666666666544</v>
      </c>
      <c r="AJ1418" s="7"/>
      <c r="AK1418" t="s">
        <v>803</v>
      </c>
      <c r="AN1418">
        <f>IFERROR(INT(Table13[[#This Row],[reject_prod]]/Table13[[#This Row],[part_weight]] * 1000), 0)</f>
        <v>54</v>
      </c>
    </row>
    <row r="1419" spans="1:40" hidden="1">
      <c r="A1419" s="1">
        <v>46064</v>
      </c>
      <c r="B1419">
        <v>2</v>
      </c>
      <c r="C1419">
        <v>13</v>
      </c>
      <c r="D1419" t="s">
        <v>139</v>
      </c>
      <c r="E1419" t="s">
        <v>46</v>
      </c>
      <c r="F1419">
        <v>586276</v>
      </c>
      <c r="G1419" s="6">
        <v>2</v>
      </c>
      <c r="H1419" t="s">
        <v>47</v>
      </c>
      <c r="I1419">
        <v>10686676</v>
      </c>
      <c r="J1419">
        <v>6</v>
      </c>
      <c r="K1419">
        <v>12.3</v>
      </c>
      <c r="L1419">
        <v>12.3</v>
      </c>
      <c r="M1419">
        <v>1625</v>
      </c>
      <c r="N1419" s="2">
        <v>162000</v>
      </c>
      <c r="O1419" s="2">
        <v>3240</v>
      </c>
      <c r="P1419" s="2">
        <v>4860</v>
      </c>
      <c r="Q1419" s="2">
        <v>9750</v>
      </c>
      <c r="R1419" s="2">
        <v>8100</v>
      </c>
      <c r="S1419">
        <v>99.63</v>
      </c>
      <c r="T1419" s="2">
        <v>53460</v>
      </c>
      <c r="U1419" s="2">
        <v>108540</v>
      </c>
      <c r="V1419">
        <v>119.925</v>
      </c>
      <c r="W1419">
        <v>0</v>
      </c>
      <c r="X1419">
        <v>0</v>
      </c>
      <c r="Y1419">
        <v>0</v>
      </c>
      <c r="Z1419">
        <v>0.5</v>
      </c>
      <c r="AA1419">
        <v>4.1692724619553888E-3</v>
      </c>
      <c r="AB1419">
        <v>26.2</v>
      </c>
      <c r="AC1419">
        <v>11.826388888888889</v>
      </c>
      <c r="AD1419">
        <v>26</v>
      </c>
      <c r="AE1419" s="7"/>
      <c r="AF1419" s="7"/>
      <c r="AG1419" s="7"/>
      <c r="AH1419" s="7"/>
      <c r="AI1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419" s="7"/>
      <c r="AK1419" t="s">
        <v>51</v>
      </c>
      <c r="AN1419">
        <f>IFERROR(INT(Table13[[#This Row],[reject_prod]]/Table13[[#This Row],[part_weight]] * 1000), 0)</f>
        <v>40</v>
      </c>
    </row>
    <row r="1420" spans="1:40" hidden="1">
      <c r="A1420" s="1">
        <v>46064</v>
      </c>
      <c r="B1420">
        <v>2</v>
      </c>
      <c r="C1420">
        <v>14</v>
      </c>
      <c r="D1420" t="s">
        <v>33</v>
      </c>
      <c r="E1420" t="s">
        <v>34</v>
      </c>
      <c r="F1420">
        <v>541381</v>
      </c>
      <c r="G1420" s="6">
        <v>0</v>
      </c>
      <c r="H1420" t="s">
        <v>804</v>
      </c>
      <c r="I1420">
        <v>10686678</v>
      </c>
      <c r="J1420">
        <v>4</v>
      </c>
      <c r="K1420">
        <v>55</v>
      </c>
      <c r="L1420">
        <v>55</v>
      </c>
      <c r="M1420">
        <v>0</v>
      </c>
      <c r="N1420" s="2">
        <v>84000</v>
      </c>
      <c r="O1420" s="2">
        <v>0</v>
      </c>
      <c r="P1420" s="2">
        <v>0</v>
      </c>
      <c r="Q1420" s="2">
        <v>0</v>
      </c>
      <c r="R1420" s="2">
        <v>0</v>
      </c>
      <c r="S1420">
        <v>0</v>
      </c>
      <c r="T1420" s="2">
        <v>0</v>
      </c>
      <c r="U1420" s="2">
        <v>84000</v>
      </c>
      <c r="V1420">
        <v>0</v>
      </c>
      <c r="W1420">
        <v>0</v>
      </c>
      <c r="X1420">
        <v>30</v>
      </c>
      <c r="Y1420" t="e">
        <v>#DIV/0!</v>
      </c>
      <c r="Z1420">
        <v>0</v>
      </c>
      <c r="AA1420" t="e">
        <v>#DIV/0!</v>
      </c>
      <c r="AB1420">
        <v>43</v>
      </c>
      <c r="AC1420">
        <v>0</v>
      </c>
      <c r="AD1420">
        <v>30.08</v>
      </c>
      <c r="AE1420" s="7"/>
      <c r="AF1420" s="7"/>
      <c r="AG1420" s="7"/>
      <c r="AH1420" s="7"/>
      <c r="AI1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0" s="7"/>
      <c r="AK1420" t="s">
        <v>826</v>
      </c>
      <c r="AN1420">
        <f>IFERROR(INT(Table13[[#This Row],[reject_prod]]/Table13[[#This Row],[part_weight]] * 1000), 0)</f>
        <v>0</v>
      </c>
    </row>
    <row r="1421" spans="1:40" hidden="1">
      <c r="A1421" s="1">
        <v>46064</v>
      </c>
      <c r="B1421">
        <v>2</v>
      </c>
      <c r="C1421">
        <v>15</v>
      </c>
      <c r="D1421" t="s">
        <v>139</v>
      </c>
      <c r="E1421" t="s">
        <v>46</v>
      </c>
      <c r="F1421">
        <v>552181</v>
      </c>
      <c r="G1421" s="6">
        <v>2</v>
      </c>
      <c r="H1421" t="s">
        <v>49</v>
      </c>
      <c r="I1421">
        <v>10685542</v>
      </c>
      <c r="J1421">
        <v>6</v>
      </c>
      <c r="K1421">
        <v>18.8</v>
      </c>
      <c r="L1421">
        <v>18.8</v>
      </c>
      <c r="M1421">
        <v>685</v>
      </c>
      <c r="N1421" s="2">
        <v>108000</v>
      </c>
      <c r="O1421" s="2">
        <v>1350</v>
      </c>
      <c r="P1421" s="2">
        <v>0</v>
      </c>
      <c r="Q1421" s="2">
        <v>4110</v>
      </c>
      <c r="R1421" s="2">
        <v>5400</v>
      </c>
      <c r="S1421">
        <v>101.52</v>
      </c>
      <c r="T1421" s="2">
        <v>108000</v>
      </c>
      <c r="U1421" s="2">
        <v>0</v>
      </c>
      <c r="V1421">
        <v>77.268000000000001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31.2</v>
      </c>
      <c r="AC1421">
        <v>5.9366666666666665</v>
      </c>
      <c r="AD1421">
        <v>27</v>
      </c>
      <c r="AE1421" s="7"/>
      <c r="AF1421" s="7"/>
      <c r="AG1421" s="7"/>
      <c r="AH1421" s="7"/>
      <c r="AI1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6.0633333333333335</v>
      </c>
      <c r="AJ1421" s="7"/>
      <c r="AK1421" t="s">
        <v>457</v>
      </c>
      <c r="AN1421">
        <f>IFERROR(INT(Table13[[#This Row],[reject_prod]]/Table13[[#This Row],[part_weight]] * 1000), 0)</f>
        <v>0</v>
      </c>
    </row>
    <row r="1422" spans="1:40" hidden="1">
      <c r="A1422" s="1">
        <v>46064</v>
      </c>
      <c r="B1422">
        <v>2</v>
      </c>
      <c r="C1422">
        <v>15</v>
      </c>
      <c r="D1422" t="s">
        <v>139</v>
      </c>
      <c r="E1422" t="s">
        <v>46</v>
      </c>
      <c r="F1422">
        <v>552181</v>
      </c>
      <c r="G1422" s="6">
        <v>2</v>
      </c>
      <c r="H1422" t="s">
        <v>49</v>
      </c>
      <c r="I1422">
        <v>10686679</v>
      </c>
      <c r="J1422">
        <v>6</v>
      </c>
      <c r="K1422">
        <v>18.8</v>
      </c>
      <c r="L1422">
        <v>18.8</v>
      </c>
      <c r="M1422">
        <v>675</v>
      </c>
      <c r="N1422" s="2">
        <v>108000</v>
      </c>
      <c r="O1422" s="2">
        <v>0</v>
      </c>
      <c r="P1422" s="2">
        <v>4050</v>
      </c>
      <c r="Q1422" s="2">
        <v>4050</v>
      </c>
      <c r="R1422" s="2">
        <v>0</v>
      </c>
      <c r="S1422">
        <v>0</v>
      </c>
      <c r="T1422" s="2">
        <v>4050</v>
      </c>
      <c r="U1422" s="2">
        <v>103950</v>
      </c>
      <c r="V1422">
        <v>76.14</v>
      </c>
      <c r="W1422">
        <v>0</v>
      </c>
      <c r="X1422">
        <v>0</v>
      </c>
      <c r="Y1422">
        <v>0</v>
      </c>
      <c r="Z1422">
        <v>1</v>
      </c>
      <c r="AA1422">
        <v>1.3133701076963489E-2</v>
      </c>
      <c r="AB1422">
        <v>31.2</v>
      </c>
      <c r="AC1422">
        <v>5.85</v>
      </c>
      <c r="AD1422">
        <v>27</v>
      </c>
      <c r="AE1422" s="7"/>
      <c r="AF1422" s="7"/>
      <c r="AG1422" s="7"/>
      <c r="AH1422" s="7"/>
      <c r="AI1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6.15</v>
      </c>
      <c r="AJ1422" s="7"/>
      <c r="AK1422" t="s">
        <v>51</v>
      </c>
      <c r="AN1422">
        <f>IFERROR(INT(Table13[[#This Row],[reject_prod]]/Table13[[#This Row],[part_weight]] * 1000), 0)</f>
        <v>53</v>
      </c>
    </row>
    <row r="1423" spans="1:40" s="4" customFormat="1" hidden="1">
      <c r="A1423" s="3">
        <v>46064</v>
      </c>
      <c r="B1423" s="4">
        <v>2</v>
      </c>
      <c r="C1423" s="4">
        <v>16</v>
      </c>
      <c r="D1423" s="4" t="s">
        <v>827</v>
      </c>
      <c r="E1423" s="4" t="s">
        <v>46</v>
      </c>
      <c r="F1423" s="4">
        <v>555979</v>
      </c>
      <c r="G1423" s="9">
        <v>2</v>
      </c>
      <c r="H1423" s="4" t="s">
        <v>52</v>
      </c>
      <c r="I1423" s="4">
        <v>10685814</v>
      </c>
      <c r="J1423" s="4">
        <v>6</v>
      </c>
      <c r="K1423" s="4">
        <v>28</v>
      </c>
      <c r="L1423" s="4">
        <v>28</v>
      </c>
      <c r="M1423" s="4">
        <v>1000</v>
      </c>
      <c r="N1423" s="5">
        <v>100800</v>
      </c>
      <c r="O1423" s="5">
        <v>672</v>
      </c>
      <c r="P1423" s="5">
        <v>0</v>
      </c>
      <c r="Q1423" s="5">
        <v>6000</v>
      </c>
      <c r="R1423" s="5">
        <v>6720</v>
      </c>
      <c r="S1423" s="4">
        <v>188.16</v>
      </c>
      <c r="T1423" s="5">
        <v>80640</v>
      </c>
      <c r="U1423" s="5">
        <v>20160</v>
      </c>
      <c r="V1423" s="4">
        <v>168</v>
      </c>
      <c r="W1423" s="4">
        <v>0</v>
      </c>
      <c r="X1423" s="4">
        <v>0</v>
      </c>
      <c r="Y1423" s="4">
        <v>0</v>
      </c>
      <c r="Z1423" s="4">
        <v>1</v>
      </c>
      <c r="AA1423" s="4">
        <v>5.9523809523809521E-3</v>
      </c>
      <c r="AB1423" s="4">
        <v>43.5</v>
      </c>
      <c r="AC1423" s="4">
        <v>12</v>
      </c>
      <c r="AD1423" s="4">
        <v>42</v>
      </c>
      <c r="AE1423" s="8"/>
      <c r="AF1423" s="8"/>
      <c r="AG1423" s="8"/>
      <c r="AH1423" s="8"/>
      <c r="AI142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23" s="8"/>
      <c r="AK1423" s="4" t="s">
        <v>51</v>
      </c>
      <c r="AN1423">
        <f>IFERROR(INT(Table13[[#This Row],[reject_prod]]/Table13[[#This Row],[part_weight]] * 1000), 0)</f>
        <v>35</v>
      </c>
    </row>
    <row r="1424" spans="1:40" hidden="1">
      <c r="A1424" s="1">
        <v>46065</v>
      </c>
      <c r="B1424">
        <v>1</v>
      </c>
      <c r="C1424">
        <v>1</v>
      </c>
      <c r="D1424" t="s">
        <v>33</v>
      </c>
      <c r="E1424" t="s">
        <v>34</v>
      </c>
      <c r="G1424" s="6">
        <v>0</v>
      </c>
      <c r="H1424" t="s">
        <v>807</v>
      </c>
      <c r="I1424" t="s">
        <v>490</v>
      </c>
      <c r="J1424">
        <v>2</v>
      </c>
      <c r="K1424">
        <v>73</v>
      </c>
      <c r="L1424">
        <v>73</v>
      </c>
      <c r="M1424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>
        <v>0</v>
      </c>
      <c r="T1424" s="2">
        <v>0</v>
      </c>
      <c r="U1424" s="2">
        <v>0</v>
      </c>
      <c r="V1424">
        <v>0</v>
      </c>
      <c r="W1424">
        <v>0</v>
      </c>
      <c r="X1424">
        <v>18</v>
      </c>
      <c r="Y1424" t="e">
        <v>#DIV/0!</v>
      </c>
      <c r="Z1424">
        <v>0</v>
      </c>
      <c r="AA1424" t="e">
        <v>#DIV/0!</v>
      </c>
      <c r="AB1424">
        <v>34.1</v>
      </c>
      <c r="AC1424">
        <v>0</v>
      </c>
      <c r="AD1424" t="e">
        <v>#N/A</v>
      </c>
      <c r="AE1424" s="7"/>
      <c r="AF1424" s="7"/>
      <c r="AG1424" s="7"/>
      <c r="AH1424" s="7"/>
      <c r="AI1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4" s="7"/>
      <c r="AK1424" t="s">
        <v>806</v>
      </c>
      <c r="AL1424">
        <v>4</v>
      </c>
      <c r="AM1424">
        <v>6</v>
      </c>
      <c r="AN1424">
        <f>IFERROR(INT(Table13[[#This Row],[reject_prod]]/Table13[[#This Row],[part_weight]] * 1000), 0)</f>
        <v>0</v>
      </c>
    </row>
    <row r="1425" spans="1:40" hidden="1">
      <c r="A1425" s="1">
        <v>46065</v>
      </c>
      <c r="B1425">
        <v>1</v>
      </c>
      <c r="C1425">
        <v>2</v>
      </c>
      <c r="D1425" t="s">
        <v>141</v>
      </c>
      <c r="E1425" t="s">
        <v>34</v>
      </c>
      <c r="F1425">
        <v>322493</v>
      </c>
      <c r="G1425" s="6">
        <v>0</v>
      </c>
      <c r="H1425" t="s">
        <v>816</v>
      </c>
      <c r="I1425">
        <v>10686190</v>
      </c>
      <c r="J1425">
        <v>4</v>
      </c>
      <c r="K1425">
        <v>23</v>
      </c>
      <c r="L1425">
        <v>23</v>
      </c>
      <c r="M1425">
        <v>721</v>
      </c>
      <c r="N1425" s="2">
        <v>61200</v>
      </c>
      <c r="O1425" s="2">
        <v>0</v>
      </c>
      <c r="P1425" s="2">
        <v>1020</v>
      </c>
      <c r="Q1425" s="2">
        <v>2884</v>
      </c>
      <c r="R1425" s="2">
        <v>1275</v>
      </c>
      <c r="S1425">
        <v>29.324999999999999</v>
      </c>
      <c r="T1425" s="2">
        <v>2295</v>
      </c>
      <c r="U1425" s="2">
        <v>58905</v>
      </c>
      <c r="V1425">
        <v>66.331999999999994</v>
      </c>
      <c r="W1425">
        <v>0</v>
      </c>
      <c r="X1425">
        <v>10</v>
      </c>
      <c r="Y1425">
        <v>0.15075679913164086</v>
      </c>
      <c r="Z1425">
        <v>3.5</v>
      </c>
      <c r="AA1425">
        <v>5.2764879696074296E-2</v>
      </c>
      <c r="AB1425">
        <v>26.4</v>
      </c>
      <c r="AC1425">
        <v>5.2873333333333337</v>
      </c>
      <c r="AD1425">
        <v>22.5</v>
      </c>
      <c r="AE1425" s="7"/>
      <c r="AF1425" s="7"/>
      <c r="AG1425" s="7"/>
      <c r="AH1425" s="7"/>
      <c r="AI1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6.7126666666666663</v>
      </c>
      <c r="AJ1425" s="7"/>
      <c r="AK1425" t="s">
        <v>828</v>
      </c>
      <c r="AL1425">
        <v>12</v>
      </c>
      <c r="AM1425">
        <v>18</v>
      </c>
      <c r="AN1425">
        <f>IFERROR(INT(Table13[[#This Row],[reject_prod]]/Table13[[#This Row],[part_weight]] * 1000), 0)</f>
        <v>152</v>
      </c>
    </row>
    <row r="1426" spans="1:40" hidden="1">
      <c r="A1426" s="1">
        <v>46065</v>
      </c>
      <c r="B1426">
        <v>1</v>
      </c>
      <c r="C1426">
        <v>3</v>
      </c>
      <c r="D1426" t="s">
        <v>40</v>
      </c>
      <c r="E1426" t="s">
        <v>34</v>
      </c>
      <c r="F1426">
        <v>442034</v>
      </c>
      <c r="G1426" s="6">
        <v>0</v>
      </c>
      <c r="H1426" t="s">
        <v>37</v>
      </c>
      <c r="I1426">
        <v>10685633</v>
      </c>
      <c r="J1426">
        <v>4</v>
      </c>
      <c r="K1426">
        <v>23</v>
      </c>
      <c r="L1426">
        <v>23</v>
      </c>
      <c r="M1426">
        <v>1533</v>
      </c>
      <c r="N1426" s="2">
        <v>139776</v>
      </c>
      <c r="O1426" s="2">
        <v>1536</v>
      </c>
      <c r="P1426" s="2">
        <v>2688</v>
      </c>
      <c r="Q1426" s="2">
        <v>6132</v>
      </c>
      <c r="R1426" s="2">
        <v>4608</v>
      </c>
      <c r="S1426">
        <v>105.98399999999999</v>
      </c>
      <c r="T1426" s="2">
        <v>108672</v>
      </c>
      <c r="U1426" s="2">
        <v>31104</v>
      </c>
      <c r="V1426">
        <v>141.036</v>
      </c>
      <c r="W1426">
        <v>0</v>
      </c>
      <c r="X1426">
        <v>0</v>
      </c>
      <c r="Y1426">
        <v>0</v>
      </c>
      <c r="Z1426">
        <v>8.5</v>
      </c>
      <c r="AA1426">
        <v>6.0268300292123995E-2</v>
      </c>
      <c r="AB1426">
        <v>28.5</v>
      </c>
      <c r="AC1426">
        <v>12</v>
      </c>
      <c r="AD1426">
        <v>22</v>
      </c>
      <c r="AE1426" s="7"/>
      <c r="AF1426" s="7"/>
      <c r="AG1426" s="7"/>
      <c r="AH1426" s="7"/>
      <c r="AI1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26" s="7"/>
      <c r="AK1426" t="s">
        <v>168</v>
      </c>
      <c r="AN1426">
        <f>IFERROR(INT(Table13[[#This Row],[reject_prod]]/Table13[[#This Row],[part_weight]] * 1000), 0)</f>
        <v>369</v>
      </c>
    </row>
    <row r="1427" spans="1:40" hidden="1">
      <c r="A1427" s="1">
        <v>46065</v>
      </c>
      <c r="B1427">
        <v>1</v>
      </c>
      <c r="C1427">
        <v>4</v>
      </c>
      <c r="D1427" t="s">
        <v>141</v>
      </c>
      <c r="E1427" t="s">
        <v>34</v>
      </c>
      <c r="F1427">
        <v>322477</v>
      </c>
      <c r="G1427" s="6">
        <v>0</v>
      </c>
      <c r="H1427" t="s">
        <v>694</v>
      </c>
      <c r="I1427">
        <v>10687697</v>
      </c>
      <c r="J1427">
        <v>2</v>
      </c>
      <c r="K1427">
        <v>73</v>
      </c>
      <c r="L1427">
        <v>73</v>
      </c>
      <c r="M1427">
        <v>726</v>
      </c>
      <c r="N1427" s="2">
        <v>5355</v>
      </c>
      <c r="O1427" s="2">
        <v>2520</v>
      </c>
      <c r="P1427" s="2">
        <v>0</v>
      </c>
      <c r="Q1427" s="2">
        <v>1452</v>
      </c>
      <c r="R1427" s="2">
        <v>5355</v>
      </c>
      <c r="S1427">
        <v>390.91500000000002</v>
      </c>
      <c r="T1427" s="2">
        <v>5355</v>
      </c>
      <c r="U1427" s="2">
        <v>0</v>
      </c>
      <c r="V1427">
        <v>105.996</v>
      </c>
      <c r="W1427">
        <v>0</v>
      </c>
      <c r="X1427">
        <v>0</v>
      </c>
      <c r="Y1427">
        <v>0</v>
      </c>
      <c r="Z1427">
        <v>3</v>
      </c>
      <c r="AA1427">
        <v>2.8302954828484096E-2</v>
      </c>
      <c r="AB1427">
        <v>26.3</v>
      </c>
      <c r="AC1427">
        <v>5.3038333333333334</v>
      </c>
      <c r="AD1427">
        <v>26</v>
      </c>
      <c r="AE1427" s="7"/>
      <c r="AF1427" s="7"/>
      <c r="AG1427" s="7"/>
      <c r="AH1427" s="7"/>
      <c r="AI1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6.6961666666666666</v>
      </c>
      <c r="AJ1427" s="7"/>
      <c r="AK1427" t="s">
        <v>376</v>
      </c>
      <c r="AL1427">
        <v>8</v>
      </c>
      <c r="AM1427">
        <v>4</v>
      </c>
      <c r="AN1427">
        <f>IFERROR(INT(Table13[[#This Row],[reject_prod]]/Table13[[#This Row],[part_weight]] * 1000), 0)</f>
        <v>41</v>
      </c>
    </row>
    <row r="1428" spans="1:40" hidden="1">
      <c r="A1428" s="1">
        <v>46065</v>
      </c>
      <c r="B1428">
        <v>1</v>
      </c>
      <c r="C1428">
        <v>4</v>
      </c>
      <c r="D1428" t="s">
        <v>141</v>
      </c>
      <c r="E1428" t="s">
        <v>34</v>
      </c>
      <c r="F1428">
        <v>409780</v>
      </c>
      <c r="G1428" s="6">
        <v>0</v>
      </c>
      <c r="H1428" t="s">
        <v>829</v>
      </c>
      <c r="I1428">
        <v>10687750</v>
      </c>
      <c r="J1428">
        <v>2</v>
      </c>
      <c r="K1428">
        <v>73</v>
      </c>
      <c r="L1428">
        <v>73</v>
      </c>
      <c r="M1428">
        <v>0</v>
      </c>
      <c r="N1428" s="2">
        <v>40608</v>
      </c>
      <c r="O1428" s="2">
        <v>0</v>
      </c>
      <c r="P1428" s="2">
        <v>0</v>
      </c>
      <c r="Q1428" s="2">
        <v>0</v>
      </c>
      <c r="R1428" s="2">
        <v>0</v>
      </c>
      <c r="S1428">
        <v>0</v>
      </c>
      <c r="T1428" s="2">
        <v>0</v>
      </c>
      <c r="U1428" s="2">
        <v>40608</v>
      </c>
      <c r="V1428">
        <v>0</v>
      </c>
      <c r="W1428">
        <v>0</v>
      </c>
      <c r="X1428">
        <v>0</v>
      </c>
      <c r="Y1428" t="e">
        <v>#DIV/0!</v>
      </c>
      <c r="Z1428">
        <v>0</v>
      </c>
      <c r="AA1428" t="e">
        <v>#DIV/0!</v>
      </c>
      <c r="AB1428">
        <v>26.3</v>
      </c>
      <c r="AC1428">
        <v>0</v>
      </c>
      <c r="AD1428">
        <v>24</v>
      </c>
      <c r="AE1428" s="7">
        <v>6</v>
      </c>
      <c r="AF1428" s="7"/>
      <c r="AG1428" s="7"/>
      <c r="AH1428" s="7"/>
      <c r="AI1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428" s="7"/>
      <c r="AK1428" t="s">
        <v>655</v>
      </c>
      <c r="AN1428">
        <f>IFERROR(INT(Table13[[#This Row],[reject_prod]]/Table13[[#This Row],[part_weight]] * 1000), 0)</f>
        <v>0</v>
      </c>
    </row>
    <row r="1429" spans="1:40" hidden="1">
      <c r="A1429" s="1">
        <v>46065</v>
      </c>
      <c r="B1429">
        <v>1</v>
      </c>
      <c r="C1429">
        <v>5</v>
      </c>
      <c r="D1429" t="s">
        <v>33</v>
      </c>
      <c r="E1429" t="s">
        <v>34</v>
      </c>
      <c r="F1429">
        <v>322459</v>
      </c>
      <c r="G1429" s="6">
        <v>0</v>
      </c>
      <c r="H1429" t="s">
        <v>820</v>
      </c>
      <c r="I1429">
        <v>10685847</v>
      </c>
      <c r="J1429">
        <v>4</v>
      </c>
      <c r="K1429">
        <v>40.5</v>
      </c>
      <c r="L1429">
        <v>40.5</v>
      </c>
      <c r="M1429">
        <v>0</v>
      </c>
      <c r="N1429" s="2">
        <v>7000</v>
      </c>
      <c r="O1429" s="2">
        <v>0</v>
      </c>
      <c r="P1429" s="2">
        <v>0</v>
      </c>
      <c r="Q1429" s="2">
        <v>0</v>
      </c>
      <c r="R1429" s="2">
        <v>0</v>
      </c>
      <c r="S1429">
        <v>0</v>
      </c>
      <c r="T1429" s="2">
        <v>0</v>
      </c>
      <c r="U1429" s="2">
        <v>7000</v>
      </c>
      <c r="V1429">
        <v>0</v>
      </c>
      <c r="W1429">
        <v>0</v>
      </c>
      <c r="X1429">
        <v>45.5</v>
      </c>
      <c r="Y1429" t="e">
        <v>#DIV/0!</v>
      </c>
      <c r="Z1429">
        <v>0</v>
      </c>
      <c r="AA1429" t="e">
        <v>#DIV/0!</v>
      </c>
      <c r="AB1429">
        <v>22</v>
      </c>
      <c r="AC1429">
        <v>0</v>
      </c>
      <c r="AD1429">
        <v>22.5</v>
      </c>
      <c r="AE1429" s="7"/>
      <c r="AF1429" s="7"/>
      <c r="AG1429" s="7"/>
      <c r="AH1429" s="7"/>
      <c r="AI1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9" s="7"/>
      <c r="AK1429" t="s">
        <v>830</v>
      </c>
      <c r="AL1429">
        <v>10</v>
      </c>
      <c r="AM1429">
        <v>16</v>
      </c>
      <c r="AN1429">
        <f>IFERROR(INT(Table13[[#This Row],[reject_prod]]/Table13[[#This Row],[part_weight]] * 1000), 0)</f>
        <v>0</v>
      </c>
    </row>
    <row r="1430" spans="1:40" hidden="1">
      <c r="A1430" s="1">
        <v>46065</v>
      </c>
      <c r="B1430">
        <v>1</v>
      </c>
      <c r="C1430">
        <v>6</v>
      </c>
      <c r="D1430" t="s">
        <v>831</v>
      </c>
      <c r="E1430" t="s">
        <v>34</v>
      </c>
      <c r="F1430">
        <v>322445</v>
      </c>
      <c r="G1430" s="6">
        <v>0</v>
      </c>
      <c r="H1430" t="s">
        <v>743</v>
      </c>
      <c r="I1430">
        <v>10685637</v>
      </c>
      <c r="J1430">
        <v>4</v>
      </c>
      <c r="K1430">
        <v>32.74</v>
      </c>
      <c r="L1430">
        <v>33</v>
      </c>
      <c r="M1430">
        <v>1849</v>
      </c>
      <c r="N1430" s="2">
        <v>72000</v>
      </c>
      <c r="O1430" s="2">
        <v>180</v>
      </c>
      <c r="P1430" s="2">
        <v>360</v>
      </c>
      <c r="Q1430" s="2">
        <v>7396</v>
      </c>
      <c r="R1430" s="2">
        <v>7200</v>
      </c>
      <c r="S1430">
        <v>237.6</v>
      </c>
      <c r="T1430" s="2">
        <v>61560</v>
      </c>
      <c r="U1430" s="2">
        <v>10440</v>
      </c>
      <c r="V1430">
        <v>244.06800000000001</v>
      </c>
      <c r="W1430">
        <v>0</v>
      </c>
      <c r="X1430">
        <v>0</v>
      </c>
      <c r="Y1430">
        <v>0</v>
      </c>
      <c r="Z1430">
        <v>0.5</v>
      </c>
      <c r="AA1430">
        <v>2.0486094039366075E-3</v>
      </c>
      <c r="AB1430">
        <v>23.3</v>
      </c>
      <c r="AC1430">
        <v>11.967138888888888</v>
      </c>
      <c r="AD1430">
        <v>22</v>
      </c>
      <c r="AE1430" s="7"/>
      <c r="AF1430" s="7"/>
      <c r="AG1430" s="7"/>
      <c r="AH1430" s="7"/>
      <c r="AI14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3.2861111111111896E-2</v>
      </c>
      <c r="AJ1430" s="7"/>
      <c r="AK1430" t="s">
        <v>214</v>
      </c>
      <c r="AM1430">
        <v>2</v>
      </c>
      <c r="AN1430">
        <f>IFERROR(INT(Table13[[#This Row],[reject_prod]]/Table13[[#This Row],[part_weight]] * 1000), 0)</f>
        <v>15</v>
      </c>
    </row>
    <row r="1431" spans="1:40" hidden="1">
      <c r="A1431" s="1">
        <v>46065</v>
      </c>
      <c r="B1431">
        <v>1</v>
      </c>
      <c r="C1431">
        <v>7</v>
      </c>
      <c r="D1431" t="s">
        <v>832</v>
      </c>
      <c r="E1431" t="s">
        <v>34</v>
      </c>
      <c r="F1431">
        <v>324177</v>
      </c>
      <c r="G1431" s="6">
        <v>0</v>
      </c>
      <c r="H1431" t="s">
        <v>246</v>
      </c>
      <c r="I1431">
        <v>10686803</v>
      </c>
      <c r="J1431">
        <v>4</v>
      </c>
      <c r="K1431">
        <v>34.5</v>
      </c>
      <c r="L1431">
        <v>34.5</v>
      </c>
      <c r="M1431">
        <v>1794</v>
      </c>
      <c r="N1431" s="2">
        <v>93600</v>
      </c>
      <c r="O1431" s="2">
        <v>624</v>
      </c>
      <c r="P1431" s="2">
        <v>1404</v>
      </c>
      <c r="Q1431" s="2">
        <v>7176</v>
      </c>
      <c r="R1431" s="2">
        <v>6240</v>
      </c>
      <c r="S1431">
        <v>215.28</v>
      </c>
      <c r="T1431" s="2">
        <v>18564</v>
      </c>
      <c r="U1431" s="2">
        <v>75036</v>
      </c>
      <c r="V1431">
        <v>247.572</v>
      </c>
      <c r="W1431">
        <v>0</v>
      </c>
      <c r="X1431">
        <v>0</v>
      </c>
      <c r="Y1431">
        <v>0</v>
      </c>
      <c r="Z1431">
        <v>5.4</v>
      </c>
      <c r="AA1431">
        <v>2.181183655663807E-2</v>
      </c>
      <c r="AB1431">
        <v>23.31</v>
      </c>
      <c r="AC1431">
        <v>11.616149999999999</v>
      </c>
      <c r="AD1431">
        <v>22</v>
      </c>
      <c r="AE1431" s="7"/>
      <c r="AF1431" s="7"/>
      <c r="AG1431" s="7"/>
      <c r="AH1431" s="7"/>
      <c r="AI1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0.38385000000000069</v>
      </c>
      <c r="AJ1431" s="7"/>
      <c r="AK1431" t="s">
        <v>193</v>
      </c>
      <c r="AM1431">
        <v>2</v>
      </c>
      <c r="AN1431">
        <f>IFERROR(INT(Table13[[#This Row],[reject_prod]]/Table13[[#This Row],[part_weight]] * 1000), 0)</f>
        <v>156</v>
      </c>
    </row>
    <row r="1432" spans="1:40" hidden="1">
      <c r="A1432" s="1">
        <v>46065</v>
      </c>
      <c r="B1432">
        <v>1</v>
      </c>
      <c r="C1432">
        <v>8</v>
      </c>
      <c r="D1432" t="s">
        <v>67</v>
      </c>
      <c r="E1432" t="s">
        <v>41</v>
      </c>
      <c r="F1432">
        <v>593537</v>
      </c>
      <c r="G1432" s="6">
        <v>0</v>
      </c>
      <c r="H1432" t="s">
        <v>48</v>
      </c>
      <c r="I1432">
        <v>10687586</v>
      </c>
      <c r="J1432">
        <v>4</v>
      </c>
      <c r="K1432">
        <v>56.5</v>
      </c>
      <c r="L1432">
        <v>56.8</v>
      </c>
      <c r="M1432">
        <v>1400</v>
      </c>
      <c r="N1432" s="2">
        <v>69000</v>
      </c>
      <c r="O1432" s="2">
        <v>0</v>
      </c>
      <c r="P1432" s="2">
        <v>345</v>
      </c>
      <c r="Q1432" s="2">
        <v>5600</v>
      </c>
      <c r="R1432" s="2">
        <v>5175</v>
      </c>
      <c r="S1432">
        <v>293.94</v>
      </c>
      <c r="T1432" s="2">
        <v>22770</v>
      </c>
      <c r="U1432" s="2">
        <v>46230</v>
      </c>
      <c r="V1432">
        <v>318.08</v>
      </c>
      <c r="W1432">
        <v>0</v>
      </c>
      <c r="X1432">
        <v>0</v>
      </c>
      <c r="Y1432">
        <v>0</v>
      </c>
      <c r="Z1432">
        <v>4.5</v>
      </c>
      <c r="AA1432">
        <v>1.4147384305835011E-2</v>
      </c>
      <c r="AB1432">
        <v>30.5</v>
      </c>
      <c r="AC1432">
        <v>11.861111111111112</v>
      </c>
      <c r="AD1432">
        <v>28.5</v>
      </c>
      <c r="AE1432" s="7"/>
      <c r="AF1432" s="7"/>
      <c r="AG1432" s="7"/>
      <c r="AH1432" s="7"/>
      <c r="AI1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0.13888888888888751</v>
      </c>
      <c r="AJ1432" s="7"/>
      <c r="AK1432" t="s">
        <v>178</v>
      </c>
      <c r="AN1432">
        <f>IFERROR(INT(Table13[[#This Row],[reject_prod]]/Table13[[#This Row],[part_weight]] * 1000), 0)</f>
        <v>79</v>
      </c>
    </row>
    <row r="1433" spans="1:40" hidden="1">
      <c r="A1433" s="1">
        <v>46065</v>
      </c>
      <c r="B1433">
        <v>1</v>
      </c>
      <c r="C1433">
        <v>9</v>
      </c>
      <c r="D1433" t="s">
        <v>152</v>
      </c>
      <c r="E1433" t="s">
        <v>46</v>
      </c>
      <c r="F1433">
        <v>586276</v>
      </c>
      <c r="G1433" s="6">
        <v>1</v>
      </c>
      <c r="H1433" t="s">
        <v>47</v>
      </c>
      <c r="I1433">
        <v>10683781</v>
      </c>
      <c r="J1433">
        <v>6</v>
      </c>
      <c r="K1433">
        <v>12.3</v>
      </c>
      <c r="L1433">
        <v>12.3</v>
      </c>
      <c r="M1433">
        <v>1644</v>
      </c>
      <c r="N1433" s="2">
        <v>162000</v>
      </c>
      <c r="O1433" s="2">
        <v>4860</v>
      </c>
      <c r="P1433" s="2">
        <v>6480</v>
      </c>
      <c r="Q1433" s="2">
        <v>9864</v>
      </c>
      <c r="R1433" s="2">
        <v>8100</v>
      </c>
      <c r="S1433">
        <v>99.63</v>
      </c>
      <c r="T1433" s="2">
        <v>95580</v>
      </c>
      <c r="U1433" s="2">
        <v>66420</v>
      </c>
      <c r="V1433">
        <v>121.3272</v>
      </c>
      <c r="W1433">
        <v>0</v>
      </c>
      <c r="X1433">
        <v>0</v>
      </c>
      <c r="Y1433">
        <v>0</v>
      </c>
      <c r="Z1433">
        <v>1.7</v>
      </c>
      <c r="AA1433">
        <v>1.4011697294588517E-2</v>
      </c>
      <c r="AB1433">
        <v>26.5</v>
      </c>
      <c r="AC1433">
        <v>12</v>
      </c>
      <c r="AD1433">
        <v>26</v>
      </c>
      <c r="AE1433" s="7"/>
      <c r="AF1433" s="7"/>
      <c r="AG1433" s="7"/>
      <c r="AH1433" s="7"/>
      <c r="AI1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33" s="7"/>
      <c r="AK1433" t="s">
        <v>480</v>
      </c>
      <c r="AN1433">
        <f>IFERROR(INT(Table13[[#This Row],[reject_prod]]/Table13[[#This Row],[part_weight]] * 1000), 0)</f>
        <v>138</v>
      </c>
    </row>
    <row r="1434" spans="1:40" hidden="1">
      <c r="A1434" s="1">
        <v>46065</v>
      </c>
      <c r="B1434">
        <v>1</v>
      </c>
      <c r="C1434">
        <v>10</v>
      </c>
      <c r="D1434" t="s">
        <v>108</v>
      </c>
      <c r="E1434" t="s">
        <v>34</v>
      </c>
      <c r="F1434">
        <v>410269</v>
      </c>
      <c r="G1434" s="6">
        <v>0</v>
      </c>
      <c r="H1434" t="s">
        <v>811</v>
      </c>
      <c r="I1434">
        <v>10686034</v>
      </c>
      <c r="J1434">
        <v>4</v>
      </c>
      <c r="K1434">
        <v>49</v>
      </c>
      <c r="L1434">
        <v>48.5</v>
      </c>
      <c r="M1434">
        <v>883</v>
      </c>
      <c r="N1434" s="2">
        <v>28875</v>
      </c>
      <c r="O1434" s="2">
        <v>0</v>
      </c>
      <c r="P1434" s="2">
        <v>0</v>
      </c>
      <c r="Q1434" s="2">
        <v>3532</v>
      </c>
      <c r="R1434" s="2">
        <v>3150</v>
      </c>
      <c r="S1434">
        <v>152.77500000000001</v>
      </c>
      <c r="T1434" s="2">
        <v>3150</v>
      </c>
      <c r="U1434" s="2">
        <v>25725</v>
      </c>
      <c r="V1434">
        <v>171.30199999999999</v>
      </c>
      <c r="W1434">
        <v>0</v>
      </c>
      <c r="X1434">
        <v>17</v>
      </c>
      <c r="Y1434">
        <v>9.9239938821496537E-2</v>
      </c>
      <c r="Z1434">
        <v>1.6</v>
      </c>
      <c r="AA1434">
        <v>9.3402295361408524E-3</v>
      </c>
      <c r="AB1434">
        <v>29.1</v>
      </c>
      <c r="AC1434">
        <v>7.1375833333333327</v>
      </c>
      <c r="AD1434">
        <v>26.4</v>
      </c>
      <c r="AE1434" s="7"/>
      <c r="AF1434" s="7"/>
      <c r="AG1434" s="7"/>
      <c r="AH1434" s="7"/>
      <c r="AI1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4.8624166666666673</v>
      </c>
      <c r="AJ1434" s="7"/>
      <c r="AK1434" t="s">
        <v>833</v>
      </c>
      <c r="AL1434">
        <v>7</v>
      </c>
      <c r="AM1434">
        <v>13</v>
      </c>
      <c r="AN1434">
        <f>IFERROR(INT(Table13[[#This Row],[reject_prod]]/Table13[[#This Row],[part_weight]] * 1000), 0)</f>
        <v>32</v>
      </c>
    </row>
    <row r="1435" spans="1:40" hidden="1">
      <c r="A1435" s="1">
        <v>46065</v>
      </c>
      <c r="B1435">
        <v>1</v>
      </c>
      <c r="C1435">
        <v>11</v>
      </c>
      <c r="D1435" t="s">
        <v>112</v>
      </c>
      <c r="E1435" t="s">
        <v>46</v>
      </c>
      <c r="F1435">
        <v>552181</v>
      </c>
      <c r="G1435" s="6">
        <v>1</v>
      </c>
      <c r="H1435" t="s">
        <v>49</v>
      </c>
      <c r="I1435">
        <v>10686672</v>
      </c>
      <c r="J1435">
        <v>6</v>
      </c>
      <c r="K1435">
        <v>18.8</v>
      </c>
      <c r="L1435">
        <v>18.8</v>
      </c>
      <c r="M1435">
        <v>1454</v>
      </c>
      <c r="N1435" s="2">
        <v>108000</v>
      </c>
      <c r="O1435" s="2">
        <v>810</v>
      </c>
      <c r="P1435" s="2">
        <v>4050</v>
      </c>
      <c r="Q1435" s="2">
        <v>8724</v>
      </c>
      <c r="R1435" s="2">
        <v>5400</v>
      </c>
      <c r="S1435">
        <v>101.52</v>
      </c>
      <c r="T1435" s="2">
        <v>25650</v>
      </c>
      <c r="U1435" s="2">
        <v>82350</v>
      </c>
      <c r="V1435">
        <v>164.0112</v>
      </c>
      <c r="W1435">
        <v>0</v>
      </c>
      <c r="X1435">
        <v>0</v>
      </c>
      <c r="Y1435">
        <v>0</v>
      </c>
      <c r="Z1435">
        <v>1.5</v>
      </c>
      <c r="AA1435">
        <v>9.1457168778717544E-3</v>
      </c>
      <c r="AB1435">
        <v>29.4</v>
      </c>
      <c r="AC1435">
        <v>11.874333333333333</v>
      </c>
      <c r="AD1435">
        <v>27</v>
      </c>
      <c r="AE1435" s="7"/>
      <c r="AF1435" s="7"/>
      <c r="AG1435" s="7"/>
      <c r="AH1435" s="7"/>
      <c r="AI1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0.12566666666666748</v>
      </c>
      <c r="AJ1435" s="7"/>
      <c r="AK1435" t="s">
        <v>51</v>
      </c>
      <c r="AN1435">
        <f>IFERROR(INT(Table13[[#This Row],[reject_prod]]/Table13[[#This Row],[part_weight]] * 1000), 0)</f>
        <v>79</v>
      </c>
    </row>
    <row r="1436" spans="1:40" hidden="1">
      <c r="A1436" s="1">
        <v>46065</v>
      </c>
      <c r="B1436">
        <v>1</v>
      </c>
      <c r="C1436">
        <v>12</v>
      </c>
      <c r="D1436" t="s">
        <v>152</v>
      </c>
      <c r="E1436" t="s">
        <v>34</v>
      </c>
      <c r="F1436">
        <v>620599</v>
      </c>
      <c r="G1436" s="6">
        <v>0</v>
      </c>
      <c r="H1436" t="s">
        <v>50</v>
      </c>
      <c r="I1436">
        <v>10686674</v>
      </c>
      <c r="J1436">
        <v>4</v>
      </c>
      <c r="K1436">
        <v>55</v>
      </c>
      <c r="L1436">
        <v>55</v>
      </c>
      <c r="M1436">
        <v>1475</v>
      </c>
      <c r="N1436" s="2">
        <v>72000</v>
      </c>
      <c r="O1436" s="2">
        <v>450</v>
      </c>
      <c r="P1436" s="2">
        <v>900</v>
      </c>
      <c r="Q1436" s="2">
        <v>5900</v>
      </c>
      <c r="R1436" s="2">
        <v>5400</v>
      </c>
      <c r="S1436">
        <v>297</v>
      </c>
      <c r="T1436" s="2">
        <v>49500</v>
      </c>
      <c r="U1436" s="2">
        <v>22500</v>
      </c>
      <c r="V1436">
        <v>324.5</v>
      </c>
      <c r="W1436">
        <v>0</v>
      </c>
      <c r="X1436">
        <v>0</v>
      </c>
      <c r="Y1436">
        <v>0</v>
      </c>
      <c r="Z1436">
        <v>2.5</v>
      </c>
      <c r="AA1436">
        <v>7.7041602465331279E-3</v>
      </c>
      <c r="AB1436">
        <v>28.6</v>
      </c>
      <c r="AC1436">
        <v>11.718055555555557</v>
      </c>
      <c r="AD1436">
        <v>28</v>
      </c>
      <c r="AE1436" s="7"/>
      <c r="AF1436" s="7"/>
      <c r="AG1436" s="7"/>
      <c r="AH1436" s="7"/>
      <c r="AI1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0.28194444444444322</v>
      </c>
      <c r="AJ1436" s="7"/>
      <c r="AK1436" t="s">
        <v>178</v>
      </c>
      <c r="AN1436">
        <f>IFERROR(INT(Table13[[#This Row],[reject_prod]]/Table13[[#This Row],[part_weight]] * 1000), 0)</f>
        <v>45</v>
      </c>
    </row>
    <row r="1437" spans="1:40" hidden="1">
      <c r="A1437" s="1">
        <v>46065</v>
      </c>
      <c r="B1437">
        <v>1</v>
      </c>
      <c r="C1437">
        <v>13</v>
      </c>
      <c r="D1437" t="s">
        <v>112</v>
      </c>
      <c r="E1437" t="s">
        <v>46</v>
      </c>
      <c r="F1437">
        <v>586276</v>
      </c>
      <c r="G1437" s="6">
        <v>2</v>
      </c>
      <c r="H1437" t="s">
        <v>47</v>
      </c>
      <c r="I1437">
        <v>10686676</v>
      </c>
      <c r="J1437">
        <v>6</v>
      </c>
      <c r="K1437">
        <v>12.3</v>
      </c>
      <c r="L1437">
        <v>12.3</v>
      </c>
      <c r="M1437">
        <v>1631</v>
      </c>
      <c r="N1437" s="2">
        <v>162000</v>
      </c>
      <c r="O1437" s="2">
        <v>4860</v>
      </c>
      <c r="P1437" s="2">
        <v>6480</v>
      </c>
      <c r="Q1437" s="2">
        <v>9786</v>
      </c>
      <c r="R1437" s="2">
        <v>8100</v>
      </c>
      <c r="S1437">
        <v>99.63</v>
      </c>
      <c r="T1437" s="2">
        <v>63180</v>
      </c>
      <c r="U1437" s="2">
        <v>98820</v>
      </c>
      <c r="V1437">
        <v>120.3678</v>
      </c>
      <c r="W1437">
        <v>0</v>
      </c>
      <c r="X1437">
        <v>0</v>
      </c>
      <c r="Y1437">
        <v>0</v>
      </c>
      <c r="Z1437">
        <v>0.5</v>
      </c>
      <c r="AA1437">
        <v>4.1539348563320094E-3</v>
      </c>
      <c r="AB1437">
        <v>26.2</v>
      </c>
      <c r="AC1437">
        <v>11.870055555555556</v>
      </c>
      <c r="AD1437">
        <v>26</v>
      </c>
      <c r="AE1437" s="7"/>
      <c r="AF1437" s="7"/>
      <c r="AG1437" s="7"/>
      <c r="AH1437" s="7"/>
      <c r="AI1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1437" s="7"/>
      <c r="AK1437" t="s">
        <v>51</v>
      </c>
      <c r="AN1437">
        <f>IFERROR(INT(Table13[[#This Row],[reject_prod]]/Table13[[#This Row],[part_weight]] * 1000), 0)</f>
        <v>40</v>
      </c>
    </row>
    <row r="1438" spans="1:40" hidden="1">
      <c r="A1438" s="1">
        <v>46065</v>
      </c>
      <c r="B1438">
        <v>1</v>
      </c>
      <c r="C1438">
        <v>14</v>
      </c>
      <c r="D1438" t="s">
        <v>33</v>
      </c>
      <c r="E1438" t="s">
        <v>34</v>
      </c>
      <c r="F1438">
        <v>541381</v>
      </c>
      <c r="G1438" s="6">
        <v>0</v>
      </c>
      <c r="H1438" t="s">
        <v>804</v>
      </c>
      <c r="I1438">
        <v>10686678</v>
      </c>
      <c r="J1438">
        <v>4</v>
      </c>
      <c r="K1438">
        <v>55</v>
      </c>
      <c r="L1438">
        <v>55</v>
      </c>
      <c r="M1438">
        <v>0</v>
      </c>
      <c r="N1438" s="2">
        <v>84000</v>
      </c>
      <c r="O1438" s="2">
        <v>0</v>
      </c>
      <c r="P1438" s="2">
        <v>0</v>
      </c>
      <c r="Q1438" s="2">
        <v>0</v>
      </c>
      <c r="R1438" s="2">
        <v>0</v>
      </c>
      <c r="S1438">
        <v>0</v>
      </c>
      <c r="T1438" s="2">
        <v>0</v>
      </c>
      <c r="U1438" s="2">
        <v>84000</v>
      </c>
      <c r="V1438">
        <v>0</v>
      </c>
      <c r="W1438">
        <v>0</v>
      </c>
      <c r="X1438">
        <v>0</v>
      </c>
      <c r="Y1438" t="e">
        <v>#DIV/0!</v>
      </c>
      <c r="Z1438">
        <v>0</v>
      </c>
      <c r="AA1438" t="e">
        <v>#DIV/0!</v>
      </c>
      <c r="AB1438">
        <v>43</v>
      </c>
      <c r="AC1438">
        <v>0</v>
      </c>
      <c r="AD1438">
        <v>30.08</v>
      </c>
      <c r="AE1438" s="7"/>
      <c r="AF1438" s="7"/>
      <c r="AG1438" s="7"/>
      <c r="AH1438" s="7"/>
      <c r="AI1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38" s="7"/>
      <c r="AK1438" t="s">
        <v>834</v>
      </c>
      <c r="AL1438">
        <v>6</v>
      </c>
      <c r="AM1438">
        <v>3</v>
      </c>
      <c r="AN1438">
        <f>IFERROR(INT(Table13[[#This Row],[reject_prod]]/Table13[[#This Row],[part_weight]] * 1000), 0)</f>
        <v>0</v>
      </c>
    </row>
    <row r="1439" spans="1:40" hidden="1">
      <c r="A1439" s="1">
        <v>46065</v>
      </c>
      <c r="B1439">
        <v>1</v>
      </c>
      <c r="C1439">
        <v>15</v>
      </c>
      <c r="D1439" t="s">
        <v>112</v>
      </c>
      <c r="E1439" t="s">
        <v>46</v>
      </c>
      <c r="F1439">
        <v>552181</v>
      </c>
      <c r="G1439" s="6">
        <v>2</v>
      </c>
      <c r="H1439" t="s">
        <v>49</v>
      </c>
      <c r="I1439">
        <v>10686679</v>
      </c>
      <c r="J1439">
        <v>6</v>
      </c>
      <c r="K1439">
        <v>18.8</v>
      </c>
      <c r="L1439">
        <v>18.8</v>
      </c>
      <c r="M1439">
        <v>1357</v>
      </c>
      <c r="N1439" s="2">
        <v>108000</v>
      </c>
      <c r="O1439" s="2">
        <v>4050</v>
      </c>
      <c r="P1439" s="2">
        <v>1350</v>
      </c>
      <c r="Q1439" s="2">
        <v>8142</v>
      </c>
      <c r="R1439" s="2">
        <v>10800</v>
      </c>
      <c r="S1439">
        <v>203.04</v>
      </c>
      <c r="T1439" s="2">
        <v>12150</v>
      </c>
      <c r="U1439" s="2">
        <v>95850</v>
      </c>
      <c r="V1439">
        <v>153.06960000000001</v>
      </c>
      <c r="W1439">
        <v>0</v>
      </c>
      <c r="X1439">
        <v>0</v>
      </c>
      <c r="Y1439">
        <v>0</v>
      </c>
      <c r="Z1439">
        <v>0.8</v>
      </c>
      <c r="AA1439">
        <v>5.2263806791159051E-3</v>
      </c>
      <c r="AB1439">
        <v>31.2</v>
      </c>
      <c r="AC1439">
        <v>11.760666666666665</v>
      </c>
      <c r="AD1439">
        <v>27</v>
      </c>
      <c r="AE1439" s="7"/>
      <c r="AF1439" s="7"/>
      <c r="AG1439" s="7"/>
      <c r="AH1439" s="7"/>
      <c r="AI1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0.23933333333333451</v>
      </c>
      <c r="AJ1439" s="7"/>
      <c r="AK1439" t="s">
        <v>51</v>
      </c>
      <c r="AN1439">
        <f>IFERROR(INT(Table13[[#This Row],[reject_prod]]/Table13[[#This Row],[part_weight]] * 1000), 0)</f>
        <v>42</v>
      </c>
    </row>
    <row r="1440" spans="1:40" s="4" customFormat="1" hidden="1">
      <c r="A1440" s="3">
        <v>46065</v>
      </c>
      <c r="B1440" s="4">
        <v>1</v>
      </c>
      <c r="C1440" s="4">
        <v>16</v>
      </c>
      <c r="D1440" s="4" t="s">
        <v>698</v>
      </c>
      <c r="E1440" s="4" t="s">
        <v>46</v>
      </c>
      <c r="F1440" s="4">
        <v>555979</v>
      </c>
      <c r="G1440" s="9">
        <v>2</v>
      </c>
      <c r="H1440" s="4" t="s">
        <v>52</v>
      </c>
      <c r="I1440" s="4">
        <v>10685814</v>
      </c>
      <c r="J1440" s="4">
        <v>6</v>
      </c>
      <c r="K1440" s="4">
        <v>28</v>
      </c>
      <c r="L1440" s="4">
        <v>28</v>
      </c>
      <c r="M1440" s="4">
        <v>992</v>
      </c>
      <c r="N1440" s="5">
        <v>100800</v>
      </c>
      <c r="O1440" s="5">
        <v>0</v>
      </c>
      <c r="P1440" s="5">
        <v>2520</v>
      </c>
      <c r="Q1440" s="5">
        <v>5952</v>
      </c>
      <c r="R1440" s="5">
        <v>3360</v>
      </c>
      <c r="S1440" s="4">
        <v>94.08</v>
      </c>
      <c r="T1440" s="5">
        <v>86520</v>
      </c>
      <c r="U1440" s="5">
        <v>14280</v>
      </c>
      <c r="V1440" s="4">
        <v>166.65600000000001</v>
      </c>
      <c r="W1440" s="4">
        <v>0</v>
      </c>
      <c r="X1440" s="4">
        <v>0</v>
      </c>
      <c r="Y1440" s="4">
        <v>0</v>
      </c>
      <c r="Z1440" s="4">
        <v>2</v>
      </c>
      <c r="AA1440" s="4">
        <v>1.2000768049155145E-2</v>
      </c>
      <c r="AB1440" s="4">
        <v>43.5</v>
      </c>
      <c r="AC1440" s="4">
        <v>11.986666666666666</v>
      </c>
      <c r="AD1440" s="4">
        <v>42</v>
      </c>
      <c r="AE1440" s="8"/>
      <c r="AF1440" s="8"/>
      <c r="AG1440" s="8"/>
      <c r="AH1440" s="8"/>
      <c r="AI14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1.3333333333333641E-2</v>
      </c>
      <c r="AJ1440" s="8"/>
      <c r="AK1440" s="4" t="s">
        <v>51</v>
      </c>
      <c r="AN1440">
        <f>IFERROR(INT(Table13[[#This Row],[reject_prod]]/Table13[[#This Row],[part_weight]] * 1000), 0)</f>
        <v>71</v>
      </c>
    </row>
    <row r="1441" spans="1:40" hidden="1">
      <c r="A1441" s="1">
        <v>46065</v>
      </c>
      <c r="B1441">
        <v>2</v>
      </c>
      <c r="C1441">
        <v>1</v>
      </c>
      <c r="D1441" t="s">
        <v>33</v>
      </c>
      <c r="E1441" t="s">
        <v>34</v>
      </c>
      <c r="F1441">
        <v>323107</v>
      </c>
      <c r="G1441" s="6">
        <v>0</v>
      </c>
      <c r="H1441" t="s">
        <v>807</v>
      </c>
      <c r="I1441">
        <v>10685636</v>
      </c>
      <c r="J1441">
        <v>2</v>
      </c>
      <c r="K1441">
        <v>75</v>
      </c>
      <c r="L1441">
        <v>75</v>
      </c>
      <c r="M1441">
        <v>0</v>
      </c>
      <c r="N1441" s="2">
        <v>13440</v>
      </c>
      <c r="O1441" s="2">
        <v>0</v>
      </c>
      <c r="P1441" s="2">
        <v>0</v>
      </c>
      <c r="Q1441" s="2">
        <v>0</v>
      </c>
      <c r="R1441" s="2">
        <v>0</v>
      </c>
      <c r="S1441">
        <v>0</v>
      </c>
      <c r="T1441" s="2">
        <v>0</v>
      </c>
      <c r="U1441" s="2">
        <v>13440</v>
      </c>
      <c r="V1441">
        <v>0</v>
      </c>
      <c r="W1441">
        <v>0</v>
      </c>
      <c r="X1441">
        <v>7.3</v>
      </c>
      <c r="Y1441" t="e">
        <v>#DIV/0!</v>
      </c>
      <c r="Z1441">
        <v>0</v>
      </c>
      <c r="AA1441" t="e">
        <v>#DIV/0!</v>
      </c>
      <c r="AB1441">
        <v>34.1</v>
      </c>
      <c r="AC1441">
        <v>0</v>
      </c>
      <c r="AD1441">
        <v>31.94</v>
      </c>
      <c r="AE1441" s="7"/>
      <c r="AF1441" s="7"/>
      <c r="AG1441" s="7"/>
      <c r="AH1441" s="7"/>
      <c r="AI1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41" s="7"/>
      <c r="AK1441" t="s">
        <v>835</v>
      </c>
      <c r="AN1441">
        <f>IFERROR(INT(Table13[[#This Row],[reject_prod]]/Table13[[#This Row],[part_weight]] * 1000), 0)</f>
        <v>0</v>
      </c>
    </row>
    <row r="1442" spans="1:40" hidden="1">
      <c r="A1442" s="1">
        <v>46065</v>
      </c>
      <c r="B1442">
        <v>2</v>
      </c>
      <c r="C1442">
        <v>2</v>
      </c>
      <c r="D1442" t="s">
        <v>836</v>
      </c>
      <c r="E1442" t="s">
        <v>34</v>
      </c>
      <c r="F1442">
        <v>322493</v>
      </c>
      <c r="G1442" s="6">
        <v>0</v>
      </c>
      <c r="H1442" t="s">
        <v>816</v>
      </c>
      <c r="I1442">
        <v>10686190</v>
      </c>
      <c r="J1442">
        <v>4</v>
      </c>
      <c r="K1442">
        <v>23</v>
      </c>
      <c r="L1442">
        <v>23</v>
      </c>
      <c r="M1442">
        <v>1350</v>
      </c>
      <c r="N1442" s="2">
        <v>61200</v>
      </c>
      <c r="O1442" s="2">
        <v>1020</v>
      </c>
      <c r="P1442" s="2">
        <v>0</v>
      </c>
      <c r="Q1442" s="2">
        <v>5400</v>
      </c>
      <c r="R1442" s="2">
        <v>6375</v>
      </c>
      <c r="S1442">
        <v>146.625</v>
      </c>
      <c r="T1442" s="2">
        <v>7650</v>
      </c>
      <c r="U1442" s="2">
        <v>53550</v>
      </c>
      <c r="V1442">
        <v>124.2</v>
      </c>
      <c r="W1442">
        <v>0</v>
      </c>
      <c r="X1442">
        <v>0</v>
      </c>
      <c r="Y1442">
        <v>0</v>
      </c>
      <c r="Z1442">
        <v>8.1999999999999993</v>
      </c>
      <c r="AA1442">
        <v>6.6022544283413837E-2</v>
      </c>
      <c r="AB1442">
        <v>26.4</v>
      </c>
      <c r="AC1442">
        <v>9.9</v>
      </c>
      <c r="AD1442">
        <v>22.5</v>
      </c>
      <c r="AE1442" s="7"/>
      <c r="AF1442" s="7"/>
      <c r="AG1442" s="7"/>
      <c r="AH1442" s="7"/>
      <c r="AI1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2.0999999999999996</v>
      </c>
      <c r="AJ1442" s="7"/>
      <c r="AK1442" t="s">
        <v>837</v>
      </c>
      <c r="AN1442">
        <f>IFERROR(INT(Table13[[#This Row],[reject_prod]]/Table13[[#This Row],[part_weight]] * 1000), 0)</f>
        <v>356</v>
      </c>
    </row>
    <row r="1443" spans="1:40" hidden="1">
      <c r="A1443" s="1">
        <v>46065</v>
      </c>
      <c r="B1443">
        <v>2</v>
      </c>
      <c r="C1443">
        <v>3</v>
      </c>
      <c r="D1443" t="s">
        <v>56</v>
      </c>
      <c r="E1443" t="s">
        <v>34</v>
      </c>
      <c r="F1443">
        <v>442034</v>
      </c>
      <c r="G1443" s="6">
        <v>0</v>
      </c>
      <c r="H1443" t="s">
        <v>37</v>
      </c>
      <c r="I1443">
        <v>10685633</v>
      </c>
      <c r="J1443">
        <v>4</v>
      </c>
      <c r="K1443">
        <v>23</v>
      </c>
      <c r="L1443">
        <v>23</v>
      </c>
      <c r="M1443">
        <v>1100</v>
      </c>
      <c r="N1443" s="2">
        <v>139776</v>
      </c>
      <c r="O1443" s="2">
        <v>2688</v>
      </c>
      <c r="P1443" s="2">
        <v>2304</v>
      </c>
      <c r="Q1443" s="2">
        <v>4400</v>
      </c>
      <c r="R1443" s="2">
        <v>4608</v>
      </c>
      <c r="S1443">
        <v>105.98399999999999</v>
      </c>
      <c r="T1443" s="2">
        <v>112896</v>
      </c>
      <c r="U1443" s="2">
        <v>26880</v>
      </c>
      <c r="V1443">
        <v>101.2</v>
      </c>
      <c r="W1443">
        <v>0</v>
      </c>
      <c r="X1443">
        <v>0</v>
      </c>
      <c r="Y1443">
        <v>0</v>
      </c>
      <c r="Z1443">
        <v>14.3</v>
      </c>
      <c r="AA1443">
        <v>0.14130434782608697</v>
      </c>
      <c r="AB1443">
        <v>28.5</v>
      </c>
      <c r="AC1443">
        <v>8.7083333333333339</v>
      </c>
      <c r="AD1443">
        <v>22</v>
      </c>
      <c r="AE1443" s="7"/>
      <c r="AF1443" s="7"/>
      <c r="AG1443" s="7"/>
      <c r="AH1443" s="7"/>
      <c r="AI1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3.2916666666666661</v>
      </c>
      <c r="AJ1443" s="7"/>
      <c r="AK1443" t="s">
        <v>838</v>
      </c>
      <c r="AN1443">
        <f>IFERROR(INT(Table13[[#This Row],[reject_prod]]/Table13[[#This Row],[part_weight]] * 1000), 0)</f>
        <v>621</v>
      </c>
    </row>
    <row r="1444" spans="1:40" hidden="1">
      <c r="A1444" s="1">
        <v>46065</v>
      </c>
      <c r="B1444">
        <v>2</v>
      </c>
      <c r="C1444">
        <v>4</v>
      </c>
      <c r="D1444" t="s">
        <v>33</v>
      </c>
      <c r="E1444" t="s">
        <v>34</v>
      </c>
      <c r="F1444">
        <v>409780</v>
      </c>
      <c r="G1444" s="6">
        <v>0</v>
      </c>
      <c r="H1444" t="s">
        <v>829</v>
      </c>
      <c r="I1444">
        <v>10687750</v>
      </c>
      <c r="J1444">
        <v>4</v>
      </c>
      <c r="K1444">
        <v>73</v>
      </c>
      <c r="L1444">
        <v>73</v>
      </c>
      <c r="M1444">
        <v>0</v>
      </c>
      <c r="N1444" s="2">
        <v>40608</v>
      </c>
      <c r="O1444" s="2">
        <v>0</v>
      </c>
      <c r="P1444" s="2">
        <v>0</v>
      </c>
      <c r="Q1444" s="2">
        <v>0</v>
      </c>
      <c r="R1444" s="2">
        <v>0</v>
      </c>
      <c r="S1444">
        <v>0</v>
      </c>
      <c r="T1444" s="2">
        <v>0</v>
      </c>
      <c r="U1444" s="2">
        <v>40608</v>
      </c>
      <c r="V1444">
        <v>0</v>
      </c>
      <c r="W1444">
        <v>0</v>
      </c>
      <c r="X1444">
        <v>2</v>
      </c>
      <c r="Y1444" t="e">
        <v>#DIV/0!</v>
      </c>
      <c r="Z1444">
        <v>0</v>
      </c>
      <c r="AA1444" t="e">
        <v>#DIV/0!</v>
      </c>
      <c r="AB1444">
        <v>26.27</v>
      </c>
      <c r="AC1444">
        <v>0</v>
      </c>
      <c r="AD1444">
        <v>24</v>
      </c>
      <c r="AE1444" s="7"/>
      <c r="AF1444" s="7"/>
      <c r="AG1444" s="7"/>
      <c r="AH1444" s="7"/>
      <c r="AI1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44" s="7"/>
      <c r="AK1444" t="s">
        <v>839</v>
      </c>
      <c r="AN1444">
        <f>IFERROR(INT(Table13[[#This Row],[reject_prod]]/Table13[[#This Row],[part_weight]] * 1000), 0)</f>
        <v>0</v>
      </c>
    </row>
    <row r="1445" spans="1:40" hidden="1">
      <c r="A1445" s="1">
        <v>46065</v>
      </c>
      <c r="B1445">
        <v>2</v>
      </c>
      <c r="C1445">
        <v>5</v>
      </c>
      <c r="D1445" t="s">
        <v>54</v>
      </c>
      <c r="E1445" t="s">
        <v>34</v>
      </c>
      <c r="F1445">
        <v>322459</v>
      </c>
      <c r="G1445" s="6">
        <v>0</v>
      </c>
      <c r="H1445" t="s">
        <v>820</v>
      </c>
      <c r="I1445">
        <v>10685847</v>
      </c>
      <c r="J1445">
        <v>4</v>
      </c>
      <c r="K1445">
        <v>40.5</v>
      </c>
      <c r="L1445">
        <v>40.5</v>
      </c>
      <c r="M1445">
        <v>1650</v>
      </c>
      <c r="N1445" s="2">
        <v>7000</v>
      </c>
      <c r="O1445" s="2">
        <v>0</v>
      </c>
      <c r="P1445" s="2">
        <v>6600</v>
      </c>
      <c r="Q1445" s="2">
        <v>6600</v>
      </c>
      <c r="R1445" s="2">
        <v>0</v>
      </c>
      <c r="S1445">
        <v>0</v>
      </c>
      <c r="T1445" s="2">
        <v>6600</v>
      </c>
      <c r="U1445" s="2">
        <v>400</v>
      </c>
      <c r="V1445">
        <v>267.3</v>
      </c>
      <c r="W1445">
        <v>0</v>
      </c>
      <c r="X1445">
        <v>0</v>
      </c>
      <c r="Y1445">
        <v>0</v>
      </c>
      <c r="Z1445">
        <v>16</v>
      </c>
      <c r="AA1445">
        <v>5.9857837635615412E-2</v>
      </c>
      <c r="AB1445">
        <v>22.8</v>
      </c>
      <c r="AC1445">
        <v>10.45</v>
      </c>
      <c r="AD1445">
        <v>22.5</v>
      </c>
      <c r="AE1445" s="7"/>
      <c r="AF1445" s="7"/>
      <c r="AG1445" s="7"/>
      <c r="AH1445" s="7"/>
      <c r="AI1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1.5500000000000007</v>
      </c>
      <c r="AJ1445" s="7"/>
      <c r="AK1445" t="s">
        <v>840</v>
      </c>
      <c r="AN1445">
        <f>IFERROR(INT(Table13[[#This Row],[reject_prod]]/Table13[[#This Row],[part_weight]] * 1000), 0)</f>
        <v>395</v>
      </c>
    </row>
    <row r="1446" spans="1:40" hidden="1">
      <c r="A1446" s="1">
        <v>46065</v>
      </c>
      <c r="B1446">
        <v>2</v>
      </c>
      <c r="C1446">
        <v>6</v>
      </c>
      <c r="D1446" t="s">
        <v>595</v>
      </c>
      <c r="E1446" t="s">
        <v>34</v>
      </c>
      <c r="F1446">
        <v>322445</v>
      </c>
      <c r="G1446" s="6">
        <v>0</v>
      </c>
      <c r="H1446" t="s">
        <v>743</v>
      </c>
      <c r="I1446">
        <v>10685637</v>
      </c>
      <c r="J1446">
        <v>4</v>
      </c>
      <c r="K1446">
        <v>32.74</v>
      </c>
      <c r="L1446">
        <v>33</v>
      </c>
      <c r="M1446">
        <v>1800</v>
      </c>
      <c r="N1446" s="2">
        <v>72000</v>
      </c>
      <c r="O1446" s="2">
        <v>360</v>
      </c>
      <c r="P1446" s="2">
        <v>360</v>
      </c>
      <c r="Q1446" s="2">
        <v>7200</v>
      </c>
      <c r="R1446" s="2">
        <v>7200</v>
      </c>
      <c r="S1446">
        <v>237.6</v>
      </c>
      <c r="T1446" s="2">
        <v>68760</v>
      </c>
      <c r="U1446" s="2">
        <v>3240</v>
      </c>
      <c r="V1446">
        <v>237.6</v>
      </c>
      <c r="W1446">
        <v>-1.8719999999999857</v>
      </c>
      <c r="X1446">
        <v>0</v>
      </c>
      <c r="Y1446">
        <v>0</v>
      </c>
      <c r="Z1446">
        <v>1</v>
      </c>
      <c r="AA1446">
        <v>4.2087542087542087E-3</v>
      </c>
      <c r="AB1446">
        <v>23.3</v>
      </c>
      <c r="AC1446">
        <v>11.65</v>
      </c>
      <c r="AD1446">
        <v>22</v>
      </c>
      <c r="AE1446" s="7"/>
      <c r="AF1446" s="7"/>
      <c r="AG1446" s="7"/>
      <c r="AH1446" s="7"/>
      <c r="AI1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0.34999999999999964</v>
      </c>
      <c r="AJ1446" s="7"/>
      <c r="AK1446" t="s">
        <v>841</v>
      </c>
      <c r="AN1446">
        <f>IFERROR(INT(Table13[[#This Row],[reject_prod]]/Table13[[#This Row],[part_weight]] * 1000), 0)</f>
        <v>30</v>
      </c>
    </row>
    <row r="1447" spans="1:40" hidden="1">
      <c r="A1447" s="1">
        <v>46065</v>
      </c>
      <c r="B1447">
        <v>2</v>
      </c>
      <c r="C1447">
        <v>7</v>
      </c>
      <c r="D1447" t="s">
        <v>842</v>
      </c>
      <c r="E1447" t="s">
        <v>34</v>
      </c>
      <c r="F1447">
        <v>324177</v>
      </c>
      <c r="G1447" s="6">
        <v>0</v>
      </c>
      <c r="H1447" t="s">
        <v>246</v>
      </c>
      <c r="I1447">
        <v>10686803</v>
      </c>
      <c r="J1447">
        <v>4</v>
      </c>
      <c r="K1447">
        <v>34.5</v>
      </c>
      <c r="L1447">
        <v>34.5</v>
      </c>
      <c r="M1447">
        <v>1786</v>
      </c>
      <c r="N1447" s="2">
        <v>93600</v>
      </c>
      <c r="O1447" s="2">
        <v>1404</v>
      </c>
      <c r="P1447" s="2">
        <v>0</v>
      </c>
      <c r="Q1447" s="2">
        <v>7144</v>
      </c>
      <c r="R1447" s="2">
        <v>8580</v>
      </c>
      <c r="S1447">
        <v>296.01</v>
      </c>
      <c r="T1447" s="2">
        <v>25740</v>
      </c>
      <c r="U1447" s="2">
        <v>67860</v>
      </c>
      <c r="V1447">
        <v>246.46799999999999</v>
      </c>
      <c r="W1447">
        <v>0</v>
      </c>
      <c r="X1447">
        <v>0</v>
      </c>
      <c r="Y1447">
        <v>0</v>
      </c>
      <c r="Z1447">
        <v>4.3</v>
      </c>
      <c r="AA1447">
        <v>1.7446483924890857E-2</v>
      </c>
      <c r="AB1447">
        <v>23.3</v>
      </c>
      <c r="AC1447">
        <v>11.559388888888888</v>
      </c>
      <c r="AD1447">
        <v>22</v>
      </c>
      <c r="AE1447" s="7"/>
      <c r="AF1447" s="7"/>
      <c r="AG1447" s="7"/>
      <c r="AH1447" s="7"/>
      <c r="AI1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0.44061111111111195</v>
      </c>
      <c r="AJ1447" s="7"/>
      <c r="AK1447" t="s">
        <v>843</v>
      </c>
      <c r="AN1447">
        <f>IFERROR(INT(Table13[[#This Row],[reject_prod]]/Table13[[#This Row],[part_weight]] * 1000), 0)</f>
        <v>124</v>
      </c>
    </row>
    <row r="1448" spans="1:40" hidden="1">
      <c r="A1448" s="1">
        <v>46065</v>
      </c>
      <c r="B1448">
        <v>2</v>
      </c>
      <c r="C1448">
        <v>8</v>
      </c>
      <c r="D1448" t="s">
        <v>117</v>
      </c>
      <c r="E1448" t="s">
        <v>41</v>
      </c>
      <c r="F1448">
        <v>593537</v>
      </c>
      <c r="G1448" s="6">
        <v>0</v>
      </c>
      <c r="H1448" t="s">
        <v>48</v>
      </c>
      <c r="I1448">
        <v>10687586</v>
      </c>
      <c r="J1448">
        <v>4</v>
      </c>
      <c r="K1448">
        <v>56.5</v>
      </c>
      <c r="L1448">
        <v>56.8</v>
      </c>
      <c r="M1448">
        <v>1438</v>
      </c>
      <c r="N1448" s="2">
        <v>69000</v>
      </c>
      <c r="O1448" s="2">
        <v>345</v>
      </c>
      <c r="P1448" s="2">
        <v>345</v>
      </c>
      <c r="Q1448" s="2">
        <v>5752</v>
      </c>
      <c r="R1448" s="2">
        <v>5750</v>
      </c>
      <c r="S1448">
        <v>326.60000000000002</v>
      </c>
      <c r="T1448" s="2">
        <v>28520</v>
      </c>
      <c r="U1448" s="2">
        <v>40480</v>
      </c>
      <c r="V1448">
        <v>326.71359999999999</v>
      </c>
      <c r="W1448">
        <v>-1.7255999999999836</v>
      </c>
      <c r="X1448">
        <v>0</v>
      </c>
      <c r="Y1448">
        <v>0</v>
      </c>
      <c r="Z1448">
        <v>2.6</v>
      </c>
      <c r="AA1448">
        <v>7.9580403142079179E-3</v>
      </c>
      <c r="AB1448">
        <v>30.4</v>
      </c>
      <c r="AC1448">
        <v>12</v>
      </c>
      <c r="AD1448">
        <v>28.5</v>
      </c>
      <c r="AE1448" s="7"/>
      <c r="AF1448" s="7"/>
      <c r="AG1448" s="7"/>
      <c r="AH1448" s="7"/>
      <c r="AI1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48" s="7"/>
      <c r="AK1448" t="s">
        <v>51</v>
      </c>
      <c r="AN1448">
        <f>IFERROR(INT(Table13[[#This Row],[reject_prod]]/Table13[[#This Row],[part_weight]] * 1000), 0)</f>
        <v>45</v>
      </c>
    </row>
    <row r="1449" spans="1:40" hidden="1">
      <c r="A1449" s="1">
        <v>46065</v>
      </c>
      <c r="B1449">
        <v>2</v>
      </c>
      <c r="C1449">
        <v>9</v>
      </c>
      <c r="D1449" t="s">
        <v>289</v>
      </c>
      <c r="E1449" t="s">
        <v>46</v>
      </c>
      <c r="F1449">
        <v>586276</v>
      </c>
      <c r="G1449" s="6">
        <v>1</v>
      </c>
      <c r="H1449" t="s">
        <v>47</v>
      </c>
      <c r="I1449">
        <v>10683781</v>
      </c>
      <c r="J1449">
        <v>6</v>
      </c>
      <c r="K1449">
        <v>12.3</v>
      </c>
      <c r="L1449">
        <v>12.3</v>
      </c>
      <c r="M1449">
        <v>1620</v>
      </c>
      <c r="N1449" s="2">
        <v>162000</v>
      </c>
      <c r="O1449" s="2">
        <v>6480</v>
      </c>
      <c r="P1449" s="2">
        <v>0</v>
      </c>
      <c r="Q1449" s="2">
        <v>9720</v>
      </c>
      <c r="R1449" s="2">
        <v>16200</v>
      </c>
      <c r="S1449">
        <v>199.26</v>
      </c>
      <c r="T1449" s="2">
        <v>105300</v>
      </c>
      <c r="U1449" s="2">
        <v>56700</v>
      </c>
      <c r="V1449">
        <v>119.556</v>
      </c>
      <c r="W1449">
        <v>0</v>
      </c>
      <c r="X1449">
        <v>0</v>
      </c>
      <c r="Y1449">
        <v>0</v>
      </c>
      <c r="Z1449">
        <v>2</v>
      </c>
      <c r="AA1449">
        <v>1.6728562347351868E-2</v>
      </c>
      <c r="AB1449">
        <v>25.7</v>
      </c>
      <c r="AC1449">
        <v>11.565</v>
      </c>
      <c r="AD1449">
        <v>26</v>
      </c>
      <c r="AE1449" s="7"/>
      <c r="AF1449" s="7"/>
      <c r="AG1449" s="7"/>
      <c r="AH1449" s="7"/>
      <c r="AI1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449" s="7"/>
      <c r="AK1449" t="s">
        <v>51</v>
      </c>
      <c r="AN1449">
        <f>IFERROR(INT(Table13[[#This Row],[reject_prod]]/Table13[[#This Row],[part_weight]] * 1000), 0)</f>
        <v>162</v>
      </c>
    </row>
    <row r="1450" spans="1:40" hidden="1">
      <c r="A1450" s="1">
        <v>46065</v>
      </c>
      <c r="B1450">
        <v>2</v>
      </c>
      <c r="C1450">
        <v>10</v>
      </c>
      <c r="D1450" t="s">
        <v>53</v>
      </c>
      <c r="E1450" t="s">
        <v>34</v>
      </c>
      <c r="F1450">
        <v>410269</v>
      </c>
      <c r="G1450" s="6">
        <v>0</v>
      </c>
      <c r="H1450" t="s">
        <v>811</v>
      </c>
      <c r="I1450">
        <v>10686034</v>
      </c>
      <c r="J1450">
        <v>4</v>
      </c>
      <c r="K1450">
        <v>49</v>
      </c>
      <c r="L1450">
        <v>48.5</v>
      </c>
      <c r="M1450">
        <v>1445</v>
      </c>
      <c r="N1450" s="2">
        <v>28875</v>
      </c>
      <c r="O1450" s="2">
        <v>0</v>
      </c>
      <c r="P1450" s="2">
        <v>0</v>
      </c>
      <c r="Q1450" s="2">
        <v>5780</v>
      </c>
      <c r="R1450" s="2">
        <v>5775</v>
      </c>
      <c r="S1450">
        <v>280.08749999999998</v>
      </c>
      <c r="T1450" s="2">
        <v>8925</v>
      </c>
      <c r="U1450" s="2">
        <v>19950</v>
      </c>
      <c r="V1450">
        <v>280.33</v>
      </c>
      <c r="W1450">
        <v>2.89</v>
      </c>
      <c r="X1450">
        <v>0</v>
      </c>
      <c r="Y1450">
        <v>0</v>
      </c>
      <c r="Z1450">
        <v>4</v>
      </c>
      <c r="AA1450">
        <v>1.4268897370955659E-2</v>
      </c>
      <c r="AB1450">
        <v>29.1</v>
      </c>
      <c r="AC1450">
        <v>11.680416666666666</v>
      </c>
      <c r="AD1450">
        <v>26.4</v>
      </c>
      <c r="AE1450" s="7"/>
      <c r="AF1450" s="7"/>
      <c r="AG1450" s="7"/>
      <c r="AH1450" s="7"/>
      <c r="AI1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1450" s="7"/>
      <c r="AK1450" t="s">
        <v>227</v>
      </c>
      <c r="AN1450">
        <f>IFERROR(INT(Table13[[#This Row],[reject_prod]]/Table13[[#This Row],[part_weight]] * 1000), 0)</f>
        <v>82</v>
      </c>
    </row>
    <row r="1451" spans="1:40" hidden="1">
      <c r="A1451" s="1">
        <v>46065</v>
      </c>
      <c r="B1451">
        <v>2</v>
      </c>
      <c r="C1451">
        <v>11</v>
      </c>
      <c r="D1451" t="s">
        <v>59</v>
      </c>
      <c r="E1451" t="s">
        <v>46</v>
      </c>
      <c r="F1451">
        <v>552181</v>
      </c>
      <c r="G1451" s="6">
        <v>1</v>
      </c>
      <c r="H1451" t="s">
        <v>49</v>
      </c>
      <c r="I1451">
        <v>10686672</v>
      </c>
      <c r="J1451">
        <v>6</v>
      </c>
      <c r="K1451">
        <v>18.8</v>
      </c>
      <c r="L1451">
        <v>18.8</v>
      </c>
      <c r="M1451">
        <v>1485</v>
      </c>
      <c r="N1451" s="2">
        <v>108000</v>
      </c>
      <c r="O1451" s="2">
        <v>4050</v>
      </c>
      <c r="P1451" s="2">
        <v>2160</v>
      </c>
      <c r="Q1451" s="2">
        <v>8910</v>
      </c>
      <c r="R1451" s="2">
        <v>10800</v>
      </c>
      <c r="S1451">
        <v>203.04</v>
      </c>
      <c r="T1451" s="2">
        <v>24560</v>
      </c>
      <c r="U1451" s="2">
        <v>83440</v>
      </c>
      <c r="V1451">
        <v>167.50800000000001</v>
      </c>
      <c r="W1451">
        <v>0</v>
      </c>
      <c r="X1451">
        <v>0</v>
      </c>
      <c r="Y1451">
        <v>0</v>
      </c>
      <c r="Z1451">
        <v>1</v>
      </c>
      <c r="AA1451">
        <v>5.9698641258924944E-3</v>
      </c>
      <c r="AB1451">
        <v>29.4</v>
      </c>
      <c r="AC1451">
        <v>12</v>
      </c>
      <c r="AD1451">
        <v>27</v>
      </c>
      <c r="AE1451" s="7"/>
      <c r="AF1451" s="7"/>
      <c r="AG1451" s="7"/>
      <c r="AH1451" s="7"/>
      <c r="AI1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1" s="7"/>
      <c r="AK1451" t="s">
        <v>51</v>
      </c>
      <c r="AN1451">
        <f>IFERROR(INT(Table13[[#This Row],[reject_prod]]/Table13[[#This Row],[part_weight]] * 1000), 0)</f>
        <v>53</v>
      </c>
    </row>
    <row r="1452" spans="1:40" hidden="1">
      <c r="A1452" s="1">
        <v>46065</v>
      </c>
      <c r="B1452">
        <v>2</v>
      </c>
      <c r="C1452">
        <v>12</v>
      </c>
      <c r="D1452" t="s">
        <v>84</v>
      </c>
      <c r="E1452" t="s">
        <v>34</v>
      </c>
      <c r="F1452">
        <v>620599</v>
      </c>
      <c r="G1452" s="6">
        <v>0</v>
      </c>
      <c r="H1452" t="s">
        <v>50</v>
      </c>
      <c r="I1452">
        <v>10686674</v>
      </c>
      <c r="J1452">
        <v>4</v>
      </c>
      <c r="K1452">
        <v>55</v>
      </c>
      <c r="L1452">
        <v>55</v>
      </c>
      <c r="M1452">
        <v>1528</v>
      </c>
      <c r="N1452" s="2">
        <v>72000</v>
      </c>
      <c r="O1452" s="2">
        <v>900</v>
      </c>
      <c r="P1452" s="2">
        <v>0</v>
      </c>
      <c r="Q1452" s="2">
        <v>6112</v>
      </c>
      <c r="R1452" s="2">
        <v>7200</v>
      </c>
      <c r="S1452">
        <v>396</v>
      </c>
      <c r="T1452" s="2">
        <v>55800</v>
      </c>
      <c r="U1452" s="2">
        <v>16200</v>
      </c>
      <c r="V1452">
        <v>336.16</v>
      </c>
      <c r="W1452">
        <v>0</v>
      </c>
      <c r="X1452">
        <v>0</v>
      </c>
      <c r="Y1452">
        <v>0</v>
      </c>
      <c r="Z1452">
        <v>2</v>
      </c>
      <c r="AA1452">
        <v>5.9495478343645882E-3</v>
      </c>
      <c r="AB1452">
        <v>28.6</v>
      </c>
      <c r="AC1452">
        <v>12</v>
      </c>
      <c r="AD1452">
        <v>28</v>
      </c>
      <c r="AE1452" s="7"/>
      <c r="AF1452" s="7"/>
      <c r="AG1452" s="7"/>
      <c r="AH1452" s="7"/>
      <c r="AI1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2" s="7"/>
      <c r="AK1452" t="s">
        <v>178</v>
      </c>
      <c r="AN1452">
        <f>IFERROR(INT(Table13[[#This Row],[reject_prod]]/Table13[[#This Row],[part_weight]] * 1000), 0)</f>
        <v>36</v>
      </c>
    </row>
    <row r="1453" spans="1:40" hidden="1">
      <c r="A1453" s="1">
        <v>46065</v>
      </c>
      <c r="B1453">
        <v>2</v>
      </c>
      <c r="C1453">
        <v>13</v>
      </c>
      <c r="D1453" t="s">
        <v>59</v>
      </c>
      <c r="E1453" t="s">
        <v>46</v>
      </c>
      <c r="F1453">
        <v>586276</v>
      </c>
      <c r="G1453" s="6">
        <v>2</v>
      </c>
      <c r="H1453" t="s">
        <v>47</v>
      </c>
      <c r="I1453">
        <v>10686676</v>
      </c>
      <c r="J1453">
        <v>6</v>
      </c>
      <c r="K1453">
        <v>12.3</v>
      </c>
      <c r="L1453">
        <v>12.3</v>
      </c>
      <c r="M1453">
        <v>1620</v>
      </c>
      <c r="N1453" s="2">
        <v>162000</v>
      </c>
      <c r="O1453" s="2">
        <v>6480</v>
      </c>
      <c r="P1453" s="2">
        <v>0</v>
      </c>
      <c r="Q1453" s="2">
        <v>9720</v>
      </c>
      <c r="R1453" s="2">
        <v>16200</v>
      </c>
      <c r="S1453">
        <v>199.26</v>
      </c>
      <c r="T1453" s="2">
        <v>72900</v>
      </c>
      <c r="U1453" s="2">
        <v>89100</v>
      </c>
      <c r="V1453">
        <v>119.556</v>
      </c>
      <c r="W1453">
        <v>0</v>
      </c>
      <c r="X1453">
        <v>0</v>
      </c>
      <c r="Y1453">
        <v>0</v>
      </c>
      <c r="Z1453">
        <v>2</v>
      </c>
      <c r="AA1453">
        <v>1.6728562347351868E-2</v>
      </c>
      <c r="AB1453">
        <v>26.2</v>
      </c>
      <c r="AC1453">
        <v>11.790000000000001</v>
      </c>
      <c r="AD1453">
        <v>26</v>
      </c>
      <c r="AE1453" s="7"/>
      <c r="AF1453" s="7"/>
      <c r="AG1453" s="7"/>
      <c r="AH1453" s="7"/>
      <c r="AI1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453" s="7"/>
      <c r="AK1453" t="s">
        <v>51</v>
      </c>
      <c r="AN1453">
        <f>IFERROR(INT(Table13[[#This Row],[reject_prod]]/Table13[[#This Row],[part_weight]] * 1000), 0)</f>
        <v>162</v>
      </c>
    </row>
    <row r="1454" spans="1:40" hidden="1">
      <c r="A1454" s="1">
        <v>46065</v>
      </c>
      <c r="B1454">
        <v>2</v>
      </c>
      <c r="C1454">
        <v>14</v>
      </c>
      <c r="D1454" t="s">
        <v>33</v>
      </c>
      <c r="E1454" t="s">
        <v>34</v>
      </c>
      <c r="F1454">
        <v>541381</v>
      </c>
      <c r="G1454" s="6">
        <v>0</v>
      </c>
      <c r="H1454" t="s">
        <v>804</v>
      </c>
      <c r="I1454">
        <v>10686678</v>
      </c>
      <c r="J1454">
        <v>4</v>
      </c>
      <c r="K1454">
        <v>55</v>
      </c>
      <c r="L1454">
        <v>55</v>
      </c>
      <c r="M1454">
        <v>0</v>
      </c>
      <c r="N1454" s="2">
        <v>84000</v>
      </c>
      <c r="O1454" s="2">
        <v>0</v>
      </c>
      <c r="P1454" s="2">
        <v>0</v>
      </c>
      <c r="Q1454" s="2">
        <v>0</v>
      </c>
      <c r="R1454" s="2">
        <v>0</v>
      </c>
      <c r="S1454">
        <v>0</v>
      </c>
      <c r="T1454" s="2">
        <v>0</v>
      </c>
      <c r="U1454" s="2">
        <v>84000</v>
      </c>
      <c r="V1454">
        <v>0</v>
      </c>
      <c r="W1454">
        <v>0</v>
      </c>
      <c r="X1454">
        <v>0</v>
      </c>
      <c r="Y1454" t="e">
        <v>#DIV/0!</v>
      </c>
      <c r="Z1454">
        <v>0</v>
      </c>
      <c r="AA1454" t="e">
        <v>#DIV/0!</v>
      </c>
      <c r="AB1454">
        <v>43</v>
      </c>
      <c r="AC1454">
        <v>0</v>
      </c>
      <c r="AD1454">
        <v>30.08</v>
      </c>
      <c r="AE1454" s="7"/>
      <c r="AF1454" s="7"/>
      <c r="AG1454" s="7"/>
      <c r="AH1454" s="7"/>
      <c r="AI1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54" s="7"/>
      <c r="AK1454" t="s">
        <v>844</v>
      </c>
      <c r="AN1454">
        <f>IFERROR(INT(Table13[[#This Row],[reject_prod]]/Table13[[#This Row],[part_weight]] * 1000), 0)</f>
        <v>0</v>
      </c>
    </row>
    <row r="1455" spans="1:40" hidden="1">
      <c r="A1455" s="1">
        <v>46065</v>
      </c>
      <c r="B1455">
        <v>2</v>
      </c>
      <c r="C1455">
        <v>15</v>
      </c>
      <c r="D1455" t="s">
        <v>59</v>
      </c>
      <c r="E1455" t="s">
        <v>46</v>
      </c>
      <c r="F1455">
        <v>552181</v>
      </c>
      <c r="G1455" s="6">
        <v>2</v>
      </c>
      <c r="H1455" t="s">
        <v>49</v>
      </c>
      <c r="I1455">
        <v>10686679</v>
      </c>
      <c r="J1455">
        <v>6</v>
      </c>
      <c r="K1455">
        <v>18.8</v>
      </c>
      <c r="L1455">
        <v>18.8</v>
      </c>
      <c r="M1455">
        <v>1360</v>
      </c>
      <c r="N1455" s="2">
        <v>108000</v>
      </c>
      <c r="O1455" s="2">
        <v>1350</v>
      </c>
      <c r="P1455" s="2">
        <v>4050</v>
      </c>
      <c r="Q1455" s="2">
        <v>8160</v>
      </c>
      <c r="R1455" s="2">
        <v>5400</v>
      </c>
      <c r="S1455">
        <v>101.52</v>
      </c>
      <c r="T1455" s="2">
        <v>20250</v>
      </c>
      <c r="U1455" s="2">
        <v>87750</v>
      </c>
      <c r="V1455">
        <v>153.40799999999999</v>
      </c>
      <c r="W1455">
        <v>0</v>
      </c>
      <c r="X1455">
        <v>0</v>
      </c>
      <c r="Y1455">
        <v>0</v>
      </c>
      <c r="Z1455">
        <v>1</v>
      </c>
      <c r="AA1455">
        <v>6.5185648727576146E-3</v>
      </c>
      <c r="AB1455">
        <v>31.2</v>
      </c>
      <c r="AC1455">
        <v>11.786666666666665</v>
      </c>
      <c r="AD1455">
        <v>27</v>
      </c>
      <c r="AE1455" s="7"/>
      <c r="AF1455" s="7"/>
      <c r="AG1455" s="7"/>
      <c r="AH1455" s="7"/>
      <c r="AI1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0.21333333333333471</v>
      </c>
      <c r="AJ1455" s="7"/>
      <c r="AK1455" t="s">
        <v>51</v>
      </c>
      <c r="AN1455">
        <f>IFERROR(INT(Table13[[#This Row],[reject_prod]]/Table13[[#This Row],[part_weight]] * 1000), 0)</f>
        <v>53</v>
      </c>
    </row>
    <row r="1456" spans="1:40" s="4" customFormat="1" hidden="1">
      <c r="A1456" s="3">
        <v>46065</v>
      </c>
      <c r="B1456" s="4">
        <v>2</v>
      </c>
      <c r="C1456" s="4">
        <v>16</v>
      </c>
      <c r="D1456" s="4" t="s">
        <v>208</v>
      </c>
      <c r="E1456" s="4" t="s">
        <v>46</v>
      </c>
      <c r="F1456" s="4">
        <v>555979</v>
      </c>
      <c r="G1456" s="9">
        <v>2</v>
      </c>
      <c r="H1456" s="4" t="s">
        <v>52</v>
      </c>
      <c r="I1456" s="4">
        <v>10685814</v>
      </c>
      <c r="J1456" s="4">
        <v>6</v>
      </c>
      <c r="K1456" s="4">
        <v>28</v>
      </c>
      <c r="L1456" s="4">
        <v>28</v>
      </c>
      <c r="M1456" s="4">
        <v>985</v>
      </c>
      <c r="N1456" s="5">
        <v>100800</v>
      </c>
      <c r="O1456" s="5">
        <v>2520</v>
      </c>
      <c r="P1456" s="5">
        <v>1680</v>
      </c>
      <c r="Q1456" s="5">
        <v>5910</v>
      </c>
      <c r="R1456" s="5">
        <v>6720</v>
      </c>
      <c r="S1456" s="4">
        <v>188.16</v>
      </c>
      <c r="T1456" s="5">
        <v>92232</v>
      </c>
      <c r="U1456" s="5">
        <v>8568</v>
      </c>
      <c r="V1456" s="4">
        <v>165.48</v>
      </c>
      <c r="W1456" s="4">
        <v>0</v>
      </c>
      <c r="X1456" s="4">
        <v>0</v>
      </c>
      <c r="Y1456" s="4">
        <v>0</v>
      </c>
      <c r="Z1456" s="4">
        <v>1</v>
      </c>
      <c r="AA1456" s="4">
        <v>6.0430263475948756E-3</v>
      </c>
      <c r="AB1456" s="4">
        <v>43.5</v>
      </c>
      <c r="AC1456" s="4">
        <v>11.902083333333334</v>
      </c>
      <c r="AD1456" s="4">
        <v>42</v>
      </c>
      <c r="AE1456" s="8"/>
      <c r="AF1456" s="8"/>
      <c r="AG1456" s="8"/>
      <c r="AH1456" s="8"/>
      <c r="AI145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456" s="8"/>
      <c r="AK1456" s="4" t="s">
        <v>51</v>
      </c>
      <c r="AN1456">
        <f>IFERROR(INT(Table13[[#This Row],[reject_prod]]/Table13[[#This Row],[part_weight]] * 1000), 0)</f>
        <v>35</v>
      </c>
    </row>
    <row r="1457" spans="1:40" hidden="1">
      <c r="A1457" s="1">
        <v>46066</v>
      </c>
      <c r="B1457">
        <v>1</v>
      </c>
      <c r="C1457">
        <v>1</v>
      </c>
      <c r="D1457" t="s">
        <v>40</v>
      </c>
      <c r="E1457" t="s">
        <v>34</v>
      </c>
      <c r="F1457">
        <v>323107</v>
      </c>
      <c r="G1457" s="6">
        <v>0</v>
      </c>
      <c r="H1457" t="s">
        <v>845</v>
      </c>
      <c r="I1457">
        <v>10685636</v>
      </c>
      <c r="J1457">
        <v>2</v>
      </c>
      <c r="K1457">
        <v>73</v>
      </c>
      <c r="L1457">
        <v>75</v>
      </c>
      <c r="M1457">
        <v>658</v>
      </c>
      <c r="N1457" s="2">
        <v>13440</v>
      </c>
      <c r="O1457" s="2">
        <v>0</v>
      </c>
      <c r="P1457" s="2">
        <v>96</v>
      </c>
      <c r="Q1457" s="2">
        <v>1316</v>
      </c>
      <c r="R1457" s="2">
        <v>720</v>
      </c>
      <c r="S1457">
        <v>54</v>
      </c>
      <c r="T1457" s="2">
        <v>816</v>
      </c>
      <c r="U1457" s="2">
        <v>12624</v>
      </c>
      <c r="V1457">
        <v>98.7</v>
      </c>
      <c r="W1457">
        <v>0</v>
      </c>
      <c r="X1457">
        <v>30</v>
      </c>
      <c r="Y1457">
        <v>0.303951367781155</v>
      </c>
      <c r="Z1457">
        <v>7.5</v>
      </c>
      <c r="AA1457">
        <v>7.598784194528875E-2</v>
      </c>
      <c r="AB1457">
        <v>36</v>
      </c>
      <c r="AC1457">
        <v>6.58</v>
      </c>
      <c r="AD1457">
        <v>31.94</v>
      </c>
      <c r="AE1457" s="7"/>
      <c r="AF1457" s="7"/>
      <c r="AG1457" s="7"/>
      <c r="AH1457" s="7"/>
      <c r="AI1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5.42</v>
      </c>
      <c r="AJ1457" s="7"/>
      <c r="AK1457" t="s">
        <v>846</v>
      </c>
      <c r="AL1457">
        <v>6</v>
      </c>
      <c r="AM1457">
        <v>10</v>
      </c>
      <c r="AN1457">
        <f>IFERROR(INT(Table13[[#This Row],[reject_prod]]/Table13[[#This Row],[part_weight]] * 1000), 0)</f>
        <v>100</v>
      </c>
    </row>
    <row r="1458" spans="1:40" hidden="1">
      <c r="A1458" s="1">
        <v>46066</v>
      </c>
      <c r="B1458">
        <v>1</v>
      </c>
      <c r="C1458">
        <v>2</v>
      </c>
      <c r="D1458" t="s">
        <v>847</v>
      </c>
      <c r="E1458" t="s">
        <v>34</v>
      </c>
      <c r="F1458">
        <v>322493</v>
      </c>
      <c r="G1458" s="6">
        <v>0</v>
      </c>
      <c r="H1458" t="s">
        <v>816</v>
      </c>
      <c r="I1458">
        <v>10686190</v>
      </c>
      <c r="J1458">
        <v>4</v>
      </c>
      <c r="K1458">
        <v>23</v>
      </c>
      <c r="L1458">
        <v>23</v>
      </c>
      <c r="M1458">
        <v>1599</v>
      </c>
      <c r="N1458" s="2">
        <v>61200</v>
      </c>
      <c r="O1458" s="2">
        <v>0</v>
      </c>
      <c r="P1458" s="2">
        <v>1175</v>
      </c>
      <c r="Q1458" s="2">
        <v>6396</v>
      </c>
      <c r="R1458" s="2">
        <v>5100</v>
      </c>
      <c r="S1458">
        <v>117.3</v>
      </c>
      <c r="T1458" s="2">
        <v>13925</v>
      </c>
      <c r="U1458" s="2">
        <v>47275</v>
      </c>
      <c r="V1458">
        <v>147.108</v>
      </c>
      <c r="W1458">
        <v>0</v>
      </c>
      <c r="X1458">
        <v>0</v>
      </c>
      <c r="Y1458">
        <v>0</v>
      </c>
      <c r="Z1458">
        <v>2.7</v>
      </c>
      <c r="AA1458">
        <v>1.8353862468390571E-2</v>
      </c>
      <c r="AB1458">
        <v>26.6</v>
      </c>
      <c r="AC1458">
        <v>11.814833333333334</v>
      </c>
      <c r="AD1458">
        <v>22.5</v>
      </c>
      <c r="AE1458" s="7"/>
      <c r="AF1458" s="7"/>
      <c r="AG1458" s="7"/>
      <c r="AH1458" s="7"/>
      <c r="AI1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0.18516666666666559</v>
      </c>
      <c r="AJ1458" s="7"/>
      <c r="AK1458" t="s">
        <v>848</v>
      </c>
      <c r="AN1458">
        <f>IFERROR(INT(Table13[[#This Row],[reject_prod]]/Table13[[#This Row],[part_weight]] * 1000), 0)</f>
        <v>117</v>
      </c>
    </row>
    <row r="1459" spans="1:40" hidden="1">
      <c r="A1459" s="1">
        <v>46066</v>
      </c>
      <c r="B1459">
        <v>1</v>
      </c>
      <c r="C1459">
        <v>3</v>
      </c>
      <c r="D1459" t="s">
        <v>67</v>
      </c>
      <c r="E1459" t="s">
        <v>34</v>
      </c>
      <c r="F1459">
        <v>442034</v>
      </c>
      <c r="G1459" s="6">
        <v>0</v>
      </c>
      <c r="H1459" t="s">
        <v>37</v>
      </c>
      <c r="I1459">
        <v>10685633</v>
      </c>
      <c r="J1459">
        <v>4</v>
      </c>
      <c r="K1459">
        <v>23</v>
      </c>
      <c r="L1459">
        <v>23</v>
      </c>
      <c r="M1459">
        <v>1534</v>
      </c>
      <c r="N1459" s="2">
        <v>139776</v>
      </c>
      <c r="O1459" s="2">
        <v>2304</v>
      </c>
      <c r="P1459" s="2">
        <v>3072</v>
      </c>
      <c r="Q1459" s="2">
        <v>6136</v>
      </c>
      <c r="R1459" s="2">
        <v>4608</v>
      </c>
      <c r="S1459">
        <v>105.98399999999999</v>
      </c>
      <c r="T1459" s="2">
        <v>118272</v>
      </c>
      <c r="U1459" s="2">
        <v>21504</v>
      </c>
      <c r="V1459">
        <v>141.12799999999999</v>
      </c>
      <c r="W1459">
        <v>0</v>
      </c>
      <c r="X1459">
        <v>0</v>
      </c>
      <c r="Y1459">
        <v>0</v>
      </c>
      <c r="Z1459">
        <v>17.5</v>
      </c>
      <c r="AA1459">
        <v>0.12400090697806249</v>
      </c>
      <c r="AB1459">
        <v>28.5</v>
      </c>
      <c r="AC1459">
        <v>12</v>
      </c>
      <c r="AD1459">
        <v>22</v>
      </c>
      <c r="AE1459" s="7"/>
      <c r="AF1459" s="7"/>
      <c r="AG1459" s="7"/>
      <c r="AH1459" s="7"/>
      <c r="AI1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9" s="7"/>
      <c r="AK1459" t="s">
        <v>168</v>
      </c>
      <c r="AN1459">
        <f>IFERROR(INT(Table13[[#This Row],[reject_prod]]/Table13[[#This Row],[part_weight]] * 1000), 0)</f>
        <v>760</v>
      </c>
    </row>
    <row r="1460" spans="1:40" hidden="1">
      <c r="A1460" s="1">
        <v>46066</v>
      </c>
      <c r="B1460">
        <v>1</v>
      </c>
      <c r="C1460">
        <v>4</v>
      </c>
      <c r="D1460" t="s">
        <v>33</v>
      </c>
      <c r="E1460" t="s">
        <v>34</v>
      </c>
      <c r="F1460">
        <v>409780</v>
      </c>
      <c r="G1460" s="6">
        <v>0</v>
      </c>
      <c r="H1460" t="s">
        <v>829</v>
      </c>
      <c r="I1460">
        <v>10687750</v>
      </c>
      <c r="J1460">
        <v>2</v>
      </c>
      <c r="K1460">
        <v>29</v>
      </c>
      <c r="L1460">
        <v>29</v>
      </c>
      <c r="M1460">
        <v>0</v>
      </c>
      <c r="N1460" s="2">
        <v>40608</v>
      </c>
      <c r="O1460" s="2">
        <v>0</v>
      </c>
      <c r="P1460" s="2">
        <v>0</v>
      </c>
      <c r="Q1460" s="2">
        <v>0</v>
      </c>
      <c r="R1460" s="2">
        <v>0</v>
      </c>
      <c r="S1460">
        <v>0</v>
      </c>
      <c r="T1460" s="2">
        <v>0</v>
      </c>
      <c r="U1460" s="2">
        <v>40608</v>
      </c>
      <c r="V1460">
        <v>0</v>
      </c>
      <c r="W1460">
        <v>0</v>
      </c>
      <c r="X1460">
        <v>15</v>
      </c>
      <c r="Y1460" t="e">
        <v>#DIV/0!</v>
      </c>
      <c r="Z1460">
        <v>0</v>
      </c>
      <c r="AA1460" t="e">
        <v>#DIV/0!</v>
      </c>
      <c r="AB1460">
        <v>26.3</v>
      </c>
      <c r="AC1460">
        <v>0</v>
      </c>
      <c r="AD1460">
        <v>24</v>
      </c>
      <c r="AE1460" s="7"/>
      <c r="AF1460" s="7"/>
      <c r="AG1460" s="7"/>
      <c r="AH1460" s="7"/>
      <c r="AI1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60" s="7"/>
      <c r="AK1460" t="s">
        <v>849</v>
      </c>
      <c r="AL1460">
        <v>5</v>
      </c>
      <c r="AM1460">
        <v>3</v>
      </c>
      <c r="AN1460">
        <f>IFERROR(INT(Table13[[#This Row],[reject_prod]]/Table13[[#This Row],[part_weight]] * 1000), 0)</f>
        <v>0</v>
      </c>
    </row>
    <row r="1461" spans="1:40" hidden="1">
      <c r="A1461" s="1">
        <v>46066</v>
      </c>
      <c r="B1461">
        <v>1</v>
      </c>
      <c r="C1461">
        <v>5</v>
      </c>
      <c r="D1461" t="s">
        <v>33</v>
      </c>
      <c r="E1461" t="s">
        <v>34</v>
      </c>
      <c r="F1461">
        <v>322459</v>
      </c>
      <c r="G1461" s="6">
        <v>0</v>
      </c>
      <c r="H1461" t="s">
        <v>820</v>
      </c>
      <c r="I1461">
        <v>10685847</v>
      </c>
      <c r="J1461">
        <v>4</v>
      </c>
      <c r="K1461">
        <v>40.5</v>
      </c>
      <c r="L1461">
        <v>40.5</v>
      </c>
      <c r="M1461">
        <v>105</v>
      </c>
      <c r="N1461" s="2">
        <v>7000</v>
      </c>
      <c r="O1461" s="2">
        <v>6600</v>
      </c>
      <c r="P1461" s="2">
        <v>0</v>
      </c>
      <c r="Q1461" s="2">
        <v>420</v>
      </c>
      <c r="R1461" s="2">
        <v>7000</v>
      </c>
      <c r="S1461">
        <v>283.5</v>
      </c>
      <c r="T1461" s="2">
        <v>7000</v>
      </c>
      <c r="U1461" s="2">
        <v>0</v>
      </c>
      <c r="V1461">
        <v>17.010000000000002</v>
      </c>
      <c r="W1461">
        <v>0</v>
      </c>
      <c r="X1461">
        <v>0</v>
      </c>
      <c r="Y1461">
        <v>0</v>
      </c>
      <c r="Z1461">
        <v>0.7</v>
      </c>
      <c r="AA1461">
        <v>4.115226337448559E-2</v>
      </c>
      <c r="AB1461">
        <v>22</v>
      </c>
      <c r="AC1461">
        <v>0.64166666666666672</v>
      </c>
      <c r="AD1461">
        <v>22.5</v>
      </c>
      <c r="AE1461" s="7"/>
      <c r="AF1461" s="7"/>
      <c r="AG1461" s="7"/>
      <c r="AH1461" s="7"/>
      <c r="AI1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11.358333333333333</v>
      </c>
      <c r="AJ1461" s="7"/>
      <c r="AK1461" t="s">
        <v>102</v>
      </c>
      <c r="AN1461">
        <f>IFERROR(INT(Table13[[#This Row],[reject_prod]]/Table13[[#This Row],[part_weight]] * 1000), 0)</f>
        <v>17</v>
      </c>
    </row>
    <row r="1462" spans="1:40" hidden="1">
      <c r="A1462" s="1">
        <v>46066</v>
      </c>
      <c r="B1462">
        <v>1</v>
      </c>
      <c r="C1462">
        <v>5</v>
      </c>
      <c r="D1462" t="s">
        <v>152</v>
      </c>
      <c r="E1462" t="s">
        <v>34</v>
      </c>
      <c r="F1462">
        <v>322503</v>
      </c>
      <c r="G1462" s="6">
        <v>0</v>
      </c>
      <c r="H1462" t="s">
        <v>850</v>
      </c>
      <c r="I1462">
        <v>10685207</v>
      </c>
      <c r="J1462">
        <v>4</v>
      </c>
      <c r="K1462">
        <v>44</v>
      </c>
      <c r="L1462">
        <v>44</v>
      </c>
      <c r="M1462">
        <v>585</v>
      </c>
      <c r="N1462" s="2">
        <v>8256</v>
      </c>
      <c r="O1462" s="2">
        <v>0</v>
      </c>
      <c r="P1462" s="2">
        <v>1892</v>
      </c>
      <c r="Q1462" s="2">
        <v>2340</v>
      </c>
      <c r="R1462" s="2">
        <v>0</v>
      </c>
      <c r="S1462">
        <v>0</v>
      </c>
      <c r="T1462" s="2">
        <v>1892</v>
      </c>
      <c r="U1462" s="2">
        <v>6364</v>
      </c>
      <c r="V1462">
        <v>102.96</v>
      </c>
      <c r="W1462">
        <v>0</v>
      </c>
      <c r="X1462">
        <v>19</v>
      </c>
      <c r="Y1462">
        <v>0.18453768453768454</v>
      </c>
      <c r="Z1462">
        <v>0</v>
      </c>
      <c r="AA1462">
        <v>0</v>
      </c>
      <c r="AB1462">
        <v>33.4</v>
      </c>
      <c r="AC1462">
        <v>5.4274999999999993</v>
      </c>
      <c r="AD1462">
        <v>28.88</v>
      </c>
      <c r="AE1462" s="7"/>
      <c r="AF1462" s="7"/>
      <c r="AG1462" s="7">
        <v>1.5</v>
      </c>
      <c r="AH1462" s="7"/>
      <c r="AI1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5.0725000000000007</v>
      </c>
      <c r="AJ1462" s="7"/>
      <c r="AK1462" t="s">
        <v>851</v>
      </c>
      <c r="AL1462">
        <v>2</v>
      </c>
      <c r="AM1462">
        <v>10</v>
      </c>
      <c r="AN1462">
        <f>IFERROR(INT(Table13[[#This Row],[reject_prod]]/Table13[[#This Row],[part_weight]] * 1000), 0)</f>
        <v>0</v>
      </c>
    </row>
    <row r="1463" spans="1:40" hidden="1">
      <c r="A1463" s="1">
        <v>46066</v>
      </c>
      <c r="B1463">
        <v>1</v>
      </c>
      <c r="C1463">
        <v>6</v>
      </c>
      <c r="D1463" t="s">
        <v>510</v>
      </c>
      <c r="E1463" t="s">
        <v>34</v>
      </c>
      <c r="F1463">
        <v>322445</v>
      </c>
      <c r="G1463" s="6">
        <v>0</v>
      </c>
      <c r="H1463" t="s">
        <v>743</v>
      </c>
      <c r="I1463">
        <v>10685637</v>
      </c>
      <c r="J1463">
        <v>4</v>
      </c>
      <c r="K1463">
        <v>32.74</v>
      </c>
      <c r="L1463">
        <v>33</v>
      </c>
      <c r="M1463">
        <v>814</v>
      </c>
      <c r="N1463" s="2">
        <v>72000</v>
      </c>
      <c r="O1463" s="2">
        <v>360</v>
      </c>
      <c r="P1463" s="2">
        <v>0</v>
      </c>
      <c r="Q1463" s="2">
        <v>3256</v>
      </c>
      <c r="R1463" s="2">
        <v>3600</v>
      </c>
      <c r="S1463">
        <v>118.8</v>
      </c>
      <c r="T1463" s="2">
        <v>72000</v>
      </c>
      <c r="U1463" s="2">
        <v>0</v>
      </c>
      <c r="V1463">
        <v>107.44799999999999</v>
      </c>
      <c r="W1463">
        <v>0</v>
      </c>
      <c r="X1463">
        <v>0</v>
      </c>
      <c r="Y1463">
        <v>0</v>
      </c>
      <c r="Z1463">
        <v>0.5</v>
      </c>
      <c r="AA1463">
        <v>4.6534137443228355E-3</v>
      </c>
      <c r="AB1463">
        <v>23.3</v>
      </c>
      <c r="AC1463">
        <v>5.2683888888888886</v>
      </c>
      <c r="AD1463">
        <v>22</v>
      </c>
      <c r="AE1463" s="7"/>
      <c r="AF1463" s="7"/>
      <c r="AG1463" s="7"/>
      <c r="AH1463" s="7"/>
      <c r="AI1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6.7316111111111114</v>
      </c>
      <c r="AJ1463" s="7"/>
      <c r="AK1463" t="s">
        <v>376</v>
      </c>
      <c r="AN1463">
        <f>IFERROR(INT(Table13[[#This Row],[reject_prod]]/Table13[[#This Row],[part_weight]] * 1000), 0)</f>
        <v>15</v>
      </c>
    </row>
    <row r="1464" spans="1:40" hidden="1">
      <c r="A1464" s="1">
        <v>46066</v>
      </c>
      <c r="B1464">
        <v>1</v>
      </c>
      <c r="C1464">
        <v>6</v>
      </c>
      <c r="D1464" t="s">
        <v>129</v>
      </c>
      <c r="E1464" t="s">
        <v>41</v>
      </c>
      <c r="F1464">
        <v>620994</v>
      </c>
      <c r="G1464" s="6">
        <v>0</v>
      </c>
      <c r="H1464" t="s">
        <v>42</v>
      </c>
      <c r="I1464">
        <v>10686806</v>
      </c>
      <c r="J1464">
        <v>4</v>
      </c>
      <c r="K1464">
        <v>32.74</v>
      </c>
      <c r="L1464">
        <v>33</v>
      </c>
      <c r="M1464">
        <v>0</v>
      </c>
      <c r="N1464" s="2">
        <v>104192</v>
      </c>
      <c r="O1464" s="2">
        <v>0</v>
      </c>
      <c r="P1464" s="2">
        <v>0</v>
      </c>
      <c r="Q1464" s="2">
        <v>0</v>
      </c>
      <c r="R1464" s="2">
        <v>0</v>
      </c>
      <c r="S1464">
        <v>0</v>
      </c>
      <c r="T1464" s="2">
        <v>0</v>
      </c>
      <c r="U1464" s="2">
        <v>104192</v>
      </c>
      <c r="V1464">
        <v>0</v>
      </c>
      <c r="W1464">
        <v>0</v>
      </c>
      <c r="X1464">
        <v>0</v>
      </c>
      <c r="Y1464" t="e">
        <v>#DIV/0!</v>
      </c>
      <c r="Z1464">
        <v>0</v>
      </c>
      <c r="AA1464" t="e">
        <v>#DIV/0!</v>
      </c>
      <c r="AB1464">
        <v>23.3</v>
      </c>
      <c r="AC1464">
        <v>0</v>
      </c>
      <c r="AD1464">
        <v>22</v>
      </c>
      <c r="AE1464" s="7"/>
      <c r="AF1464" s="7"/>
      <c r="AG1464" s="7"/>
      <c r="AH1464" s="7"/>
      <c r="AI1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64" s="7"/>
      <c r="AK1464" t="s">
        <v>852</v>
      </c>
      <c r="AL1464">
        <v>5</v>
      </c>
      <c r="AM1464">
        <v>2</v>
      </c>
      <c r="AN1464">
        <f>IFERROR(INT(Table13[[#This Row],[reject_prod]]/Table13[[#This Row],[part_weight]] * 1000), 0)</f>
        <v>0</v>
      </c>
    </row>
    <row r="1465" spans="1:40" hidden="1">
      <c r="A1465" s="1">
        <v>46066</v>
      </c>
      <c r="B1465">
        <v>1</v>
      </c>
      <c r="C1465">
        <v>7</v>
      </c>
      <c r="D1465" t="s">
        <v>853</v>
      </c>
      <c r="E1465" t="s">
        <v>34</v>
      </c>
      <c r="F1465">
        <v>324177</v>
      </c>
      <c r="G1465" s="6">
        <v>0</v>
      </c>
      <c r="H1465" t="s">
        <v>246</v>
      </c>
      <c r="I1465">
        <v>10686803</v>
      </c>
      <c r="J1465">
        <v>4</v>
      </c>
      <c r="K1465">
        <v>34.5</v>
      </c>
      <c r="L1465">
        <v>34.5</v>
      </c>
      <c r="M1465">
        <v>1825</v>
      </c>
      <c r="N1465" s="2">
        <v>93600</v>
      </c>
      <c r="O1465" s="2">
        <v>0</v>
      </c>
      <c r="P1465" s="2">
        <v>312</v>
      </c>
      <c r="Q1465" s="2">
        <v>7300</v>
      </c>
      <c r="R1465" s="2">
        <v>6240</v>
      </c>
      <c r="S1465">
        <v>215.28</v>
      </c>
      <c r="T1465" s="2">
        <v>32292</v>
      </c>
      <c r="U1465" s="2">
        <v>61308</v>
      </c>
      <c r="V1465">
        <v>251.85</v>
      </c>
      <c r="W1465">
        <v>0</v>
      </c>
      <c r="X1465">
        <v>0</v>
      </c>
      <c r="Y1465">
        <v>0</v>
      </c>
      <c r="Z1465">
        <v>26.1</v>
      </c>
      <c r="AA1465">
        <v>0.10363311494937463</v>
      </c>
      <c r="AB1465">
        <v>23.31</v>
      </c>
      <c r="AC1465">
        <v>11.816875</v>
      </c>
      <c r="AD1465">
        <v>22</v>
      </c>
      <c r="AE1465" s="7"/>
      <c r="AF1465" s="7"/>
      <c r="AG1465" s="7"/>
      <c r="AH1465" s="7"/>
      <c r="AI1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0.18312500000000043</v>
      </c>
      <c r="AJ1465" s="7"/>
      <c r="AK1465" t="s">
        <v>168</v>
      </c>
      <c r="AM1465">
        <v>1</v>
      </c>
      <c r="AN1465">
        <f>IFERROR(INT(Table13[[#This Row],[reject_prod]]/Table13[[#This Row],[part_weight]] * 1000), 0)</f>
        <v>756</v>
      </c>
    </row>
    <row r="1466" spans="1:40" hidden="1">
      <c r="A1466" s="1">
        <v>46066</v>
      </c>
      <c r="B1466">
        <v>1</v>
      </c>
      <c r="C1466">
        <v>8</v>
      </c>
      <c r="D1466" t="s">
        <v>432</v>
      </c>
      <c r="E1466" t="s">
        <v>41</v>
      </c>
      <c r="F1466">
        <v>593537</v>
      </c>
      <c r="G1466" s="6">
        <v>0</v>
      </c>
      <c r="H1466" t="s">
        <v>48</v>
      </c>
      <c r="I1466">
        <v>10687586</v>
      </c>
      <c r="J1466">
        <v>4</v>
      </c>
      <c r="K1466">
        <v>56.5</v>
      </c>
      <c r="L1466">
        <v>56.8</v>
      </c>
      <c r="M1466">
        <v>1406</v>
      </c>
      <c r="N1466" s="2">
        <v>69000</v>
      </c>
      <c r="O1466" s="2">
        <v>345</v>
      </c>
      <c r="P1466" s="2">
        <v>115</v>
      </c>
      <c r="Q1466" s="2">
        <v>5624</v>
      </c>
      <c r="R1466" s="2">
        <v>5750</v>
      </c>
      <c r="S1466">
        <v>326.60000000000002</v>
      </c>
      <c r="T1466" s="2">
        <v>34040</v>
      </c>
      <c r="U1466" s="2">
        <v>34960</v>
      </c>
      <c r="V1466">
        <v>319.44319999999999</v>
      </c>
      <c r="W1466">
        <v>0</v>
      </c>
      <c r="X1466">
        <v>0</v>
      </c>
      <c r="Y1466">
        <v>0</v>
      </c>
      <c r="Z1466">
        <v>5.9</v>
      </c>
      <c r="AA1466">
        <v>1.8469637168673492E-2</v>
      </c>
      <c r="AB1466">
        <v>30.5</v>
      </c>
      <c r="AC1466">
        <v>11.911944444444446</v>
      </c>
      <c r="AD1466">
        <v>28.5</v>
      </c>
      <c r="AE1466" s="7"/>
      <c r="AF1466" s="7"/>
      <c r="AG1466" s="7"/>
      <c r="AH1466" s="7"/>
      <c r="AI1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8.8055555555554221E-2</v>
      </c>
      <c r="AJ1466" s="7"/>
      <c r="AK1466" t="s">
        <v>178</v>
      </c>
      <c r="AN1466">
        <f>IFERROR(INT(Table13[[#This Row],[reject_prod]]/Table13[[#This Row],[part_weight]] * 1000), 0)</f>
        <v>103</v>
      </c>
    </row>
    <row r="1467" spans="1:40" hidden="1">
      <c r="A1467" s="1">
        <v>46066</v>
      </c>
      <c r="B1467">
        <v>1</v>
      </c>
      <c r="C1467">
        <v>9</v>
      </c>
      <c r="D1467" t="s">
        <v>141</v>
      </c>
      <c r="E1467" t="s">
        <v>46</v>
      </c>
      <c r="F1467">
        <v>586276</v>
      </c>
      <c r="G1467" s="6">
        <v>1</v>
      </c>
      <c r="H1467" t="s">
        <v>47</v>
      </c>
      <c r="I1467">
        <v>10683781</v>
      </c>
      <c r="J1467">
        <v>6</v>
      </c>
      <c r="K1467">
        <v>12.3</v>
      </c>
      <c r="L1467">
        <v>12.3</v>
      </c>
      <c r="M1467">
        <v>1588</v>
      </c>
      <c r="N1467" s="2">
        <v>162000</v>
      </c>
      <c r="O1467" s="2">
        <v>0</v>
      </c>
      <c r="P1467" s="2">
        <v>1215</v>
      </c>
      <c r="Q1467" s="2">
        <v>9528</v>
      </c>
      <c r="R1467" s="2">
        <v>8100</v>
      </c>
      <c r="S1467">
        <v>99.63</v>
      </c>
      <c r="T1467" s="2">
        <v>114615</v>
      </c>
      <c r="U1467" s="2">
        <v>47385</v>
      </c>
      <c r="V1467">
        <v>117.1944</v>
      </c>
      <c r="W1467">
        <v>0</v>
      </c>
      <c r="X1467">
        <v>0</v>
      </c>
      <c r="Y1467">
        <v>0</v>
      </c>
      <c r="Z1467">
        <v>2.5</v>
      </c>
      <c r="AA1467">
        <v>2.1332077300621873E-2</v>
      </c>
      <c r="AB1467">
        <v>26.5</v>
      </c>
      <c r="AC1467">
        <v>11.689444444444444</v>
      </c>
      <c r="AD1467">
        <v>26</v>
      </c>
      <c r="AE1467" s="7"/>
      <c r="AF1467" s="7"/>
      <c r="AG1467" s="7"/>
      <c r="AH1467" s="7"/>
      <c r="AI1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0.31055555555555614</v>
      </c>
      <c r="AJ1467" s="7"/>
      <c r="AK1467" t="s">
        <v>854</v>
      </c>
      <c r="AN1467">
        <f>IFERROR(INT(Table13[[#This Row],[reject_prod]]/Table13[[#This Row],[part_weight]] * 1000), 0)</f>
        <v>203</v>
      </c>
    </row>
    <row r="1468" spans="1:40" hidden="1">
      <c r="A1468" s="1">
        <v>46066</v>
      </c>
      <c r="B1468">
        <v>1</v>
      </c>
      <c r="C1468">
        <v>10</v>
      </c>
      <c r="D1468" t="s">
        <v>43</v>
      </c>
      <c r="E1468" t="s">
        <v>34</v>
      </c>
      <c r="F1468">
        <v>410269</v>
      </c>
      <c r="G1468" s="6">
        <v>0</v>
      </c>
      <c r="H1468" t="s">
        <v>811</v>
      </c>
      <c r="I1468">
        <v>10686034</v>
      </c>
      <c r="J1468">
        <v>4</v>
      </c>
      <c r="K1468">
        <v>49</v>
      </c>
      <c r="L1468">
        <v>48.5</v>
      </c>
      <c r="M1468">
        <v>1444</v>
      </c>
      <c r="N1468" s="2">
        <v>28875</v>
      </c>
      <c r="O1468" s="2">
        <v>0</v>
      </c>
      <c r="P1468" s="2">
        <v>0</v>
      </c>
      <c r="Q1468" s="2">
        <v>5776</v>
      </c>
      <c r="R1468" s="2">
        <v>5775</v>
      </c>
      <c r="S1468">
        <v>280.08749999999998</v>
      </c>
      <c r="T1468" s="2">
        <v>14700</v>
      </c>
      <c r="U1468" s="2">
        <v>14175</v>
      </c>
      <c r="V1468">
        <v>280.13600000000002</v>
      </c>
      <c r="W1468">
        <v>0</v>
      </c>
      <c r="X1468">
        <v>0</v>
      </c>
      <c r="Y1468">
        <v>0</v>
      </c>
      <c r="Z1468">
        <v>1.2</v>
      </c>
      <c r="AA1468">
        <v>4.2836336636490838E-3</v>
      </c>
      <c r="AB1468">
        <v>29.1</v>
      </c>
      <c r="AC1468">
        <v>11.672333333333333</v>
      </c>
      <c r="AD1468">
        <v>26.4</v>
      </c>
      <c r="AE1468" s="7"/>
      <c r="AF1468" s="7"/>
      <c r="AG1468" s="7"/>
      <c r="AH1468" s="7"/>
      <c r="AI1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0.32766666666666744</v>
      </c>
      <c r="AJ1468" s="7"/>
      <c r="AK1468" t="s">
        <v>214</v>
      </c>
      <c r="AM1468">
        <v>3</v>
      </c>
      <c r="AN1468">
        <f>IFERROR(INT(Table13[[#This Row],[reject_prod]]/Table13[[#This Row],[part_weight]] * 1000), 0)</f>
        <v>24</v>
      </c>
    </row>
    <row r="1469" spans="1:40" hidden="1">
      <c r="A1469" s="1">
        <v>46066</v>
      </c>
      <c r="B1469">
        <v>1</v>
      </c>
      <c r="C1469">
        <v>11</v>
      </c>
      <c r="D1469" t="s">
        <v>61</v>
      </c>
      <c r="E1469" t="s">
        <v>46</v>
      </c>
      <c r="F1469">
        <v>552181</v>
      </c>
      <c r="G1469" s="6">
        <v>1</v>
      </c>
      <c r="H1469" t="s">
        <v>49</v>
      </c>
      <c r="I1469">
        <v>10686672</v>
      </c>
      <c r="J1469">
        <v>6</v>
      </c>
      <c r="K1469">
        <v>18.8</v>
      </c>
      <c r="L1469">
        <v>18.8</v>
      </c>
      <c r="M1469">
        <v>1453</v>
      </c>
      <c r="N1469" s="2">
        <v>108000</v>
      </c>
      <c r="O1469" s="2">
        <v>2160</v>
      </c>
      <c r="P1469" s="2">
        <v>0</v>
      </c>
      <c r="Q1469" s="2">
        <v>8718</v>
      </c>
      <c r="R1469" s="2">
        <v>10800</v>
      </c>
      <c r="S1469">
        <v>203.04</v>
      </c>
      <c r="T1469" s="2">
        <v>43200</v>
      </c>
      <c r="U1469" s="2">
        <v>64800</v>
      </c>
      <c r="V1469">
        <v>163.89839999999998</v>
      </c>
      <c r="W1469">
        <v>0</v>
      </c>
      <c r="X1469">
        <v>0</v>
      </c>
      <c r="Y1469">
        <v>0</v>
      </c>
      <c r="Z1469">
        <v>1.5</v>
      </c>
      <c r="AA1469">
        <v>9.1520112459914198E-3</v>
      </c>
      <c r="AB1469">
        <v>29.4</v>
      </c>
      <c r="AC1469">
        <v>11.866166666666665</v>
      </c>
      <c r="AD1469">
        <v>27</v>
      </c>
      <c r="AE1469" s="7"/>
      <c r="AF1469" s="7"/>
      <c r="AG1469" s="7"/>
      <c r="AH1469" s="7"/>
      <c r="AI1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0.13383333333333525</v>
      </c>
      <c r="AJ1469" s="7"/>
      <c r="AK1469" t="s">
        <v>51</v>
      </c>
      <c r="AN1469">
        <f>IFERROR(INT(Table13[[#This Row],[reject_prod]]/Table13[[#This Row],[part_weight]] * 1000), 0)</f>
        <v>79</v>
      </c>
    </row>
    <row r="1470" spans="1:40" hidden="1">
      <c r="A1470" s="1">
        <v>46066</v>
      </c>
      <c r="B1470">
        <v>1</v>
      </c>
      <c r="C1470">
        <v>12</v>
      </c>
      <c r="D1470" t="s">
        <v>40</v>
      </c>
      <c r="E1470" t="s">
        <v>34</v>
      </c>
      <c r="F1470">
        <v>620599</v>
      </c>
      <c r="G1470" s="6">
        <v>0</v>
      </c>
      <c r="H1470" t="s">
        <v>50</v>
      </c>
      <c r="I1470">
        <v>10686674</v>
      </c>
      <c r="J1470">
        <v>4</v>
      </c>
      <c r="K1470">
        <v>55</v>
      </c>
      <c r="L1470">
        <v>55</v>
      </c>
      <c r="M1470">
        <v>1481</v>
      </c>
      <c r="N1470" s="2">
        <v>72000</v>
      </c>
      <c r="O1470" s="2">
        <v>0</v>
      </c>
      <c r="P1470" s="2">
        <v>450</v>
      </c>
      <c r="Q1470" s="2">
        <v>5924</v>
      </c>
      <c r="R1470" s="2">
        <v>5400</v>
      </c>
      <c r="S1470">
        <v>297</v>
      </c>
      <c r="T1470" s="2">
        <v>61650</v>
      </c>
      <c r="U1470" s="2">
        <v>10350</v>
      </c>
      <c r="V1470">
        <v>325.82</v>
      </c>
      <c r="W1470">
        <v>0</v>
      </c>
      <c r="X1470">
        <v>0</v>
      </c>
      <c r="Y1470">
        <v>0</v>
      </c>
      <c r="Z1470">
        <v>4</v>
      </c>
      <c r="AA1470">
        <v>1.2276717205819165E-2</v>
      </c>
      <c r="AB1470">
        <v>28.6</v>
      </c>
      <c r="AC1470">
        <v>11.765722222222223</v>
      </c>
      <c r="AD1470">
        <v>28</v>
      </c>
      <c r="AE1470" s="7"/>
      <c r="AF1470" s="7"/>
      <c r="AG1470" s="7"/>
      <c r="AH1470" s="7"/>
      <c r="AI1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0.23427777777777692</v>
      </c>
      <c r="AJ1470" s="7"/>
      <c r="AK1470" t="s">
        <v>178</v>
      </c>
      <c r="AN1470">
        <f>IFERROR(INT(Table13[[#This Row],[reject_prod]]/Table13[[#This Row],[part_weight]] * 1000), 0)</f>
        <v>72</v>
      </c>
    </row>
    <row r="1471" spans="1:40" hidden="1">
      <c r="A1471" s="1">
        <v>46066</v>
      </c>
      <c r="B1471">
        <v>1</v>
      </c>
      <c r="C1471">
        <v>13</v>
      </c>
      <c r="D1471" t="s">
        <v>61</v>
      </c>
      <c r="E1471" t="s">
        <v>46</v>
      </c>
      <c r="F1471">
        <v>586276</v>
      </c>
      <c r="G1471" s="6">
        <v>2</v>
      </c>
      <c r="H1471" t="s">
        <v>47</v>
      </c>
      <c r="I1471">
        <v>10686676</v>
      </c>
      <c r="J1471">
        <v>6</v>
      </c>
      <c r="K1471">
        <v>12.3</v>
      </c>
      <c r="L1471">
        <v>12.3</v>
      </c>
      <c r="M1471">
        <v>1634</v>
      </c>
      <c r="N1471" s="2">
        <v>162000</v>
      </c>
      <c r="O1471" s="2">
        <v>0</v>
      </c>
      <c r="P1471" s="2">
        <v>1620</v>
      </c>
      <c r="Q1471" s="2">
        <v>9804</v>
      </c>
      <c r="R1471" s="2">
        <v>8100</v>
      </c>
      <c r="S1471">
        <v>99.63</v>
      </c>
      <c r="T1471" s="2">
        <v>66420</v>
      </c>
      <c r="U1471" s="2">
        <v>95580</v>
      </c>
      <c r="V1471">
        <v>120.58920000000001</v>
      </c>
      <c r="W1471">
        <v>0</v>
      </c>
      <c r="X1471">
        <v>0</v>
      </c>
      <c r="Y1471">
        <v>0</v>
      </c>
      <c r="Z1471">
        <v>1</v>
      </c>
      <c r="AA1471">
        <v>8.2926165858965804E-3</v>
      </c>
      <c r="AB1471">
        <v>26.2</v>
      </c>
      <c r="AC1471">
        <v>11.891888888888889</v>
      </c>
      <c r="AD1471">
        <v>26</v>
      </c>
      <c r="AE1471" s="7"/>
      <c r="AF1471" s="7"/>
      <c r="AG1471" s="7"/>
      <c r="AH1471" s="7"/>
      <c r="AI1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0.1081111111111106</v>
      </c>
      <c r="AJ1471" s="7"/>
      <c r="AK1471" t="s">
        <v>51</v>
      </c>
      <c r="AL1471">
        <v>5</v>
      </c>
      <c r="AM1471">
        <v>2</v>
      </c>
      <c r="AN1471">
        <f>IFERROR(INT(Table13[[#This Row],[reject_prod]]/Table13[[#This Row],[part_weight]] * 1000), 0)</f>
        <v>81</v>
      </c>
    </row>
    <row r="1472" spans="1:40" hidden="1">
      <c r="A1472" s="1">
        <v>46066</v>
      </c>
      <c r="B1472">
        <v>1</v>
      </c>
      <c r="C1472">
        <v>14</v>
      </c>
      <c r="D1472" t="s">
        <v>33</v>
      </c>
      <c r="E1472" t="s">
        <v>34</v>
      </c>
      <c r="F1472">
        <v>541381</v>
      </c>
      <c r="G1472" s="6">
        <v>0</v>
      </c>
      <c r="H1472" t="s">
        <v>804</v>
      </c>
      <c r="I1472">
        <v>10686678</v>
      </c>
      <c r="J1472">
        <v>4</v>
      </c>
      <c r="K1472">
        <v>55</v>
      </c>
      <c r="L1472">
        <v>55</v>
      </c>
      <c r="M1472">
        <v>0</v>
      </c>
      <c r="N1472" s="2">
        <v>84000</v>
      </c>
      <c r="O1472" s="2">
        <v>0</v>
      </c>
      <c r="P1472" s="2">
        <v>0</v>
      </c>
      <c r="Q1472" s="2">
        <v>0</v>
      </c>
      <c r="R1472" s="2">
        <v>0</v>
      </c>
      <c r="S1472">
        <v>0</v>
      </c>
      <c r="T1472" s="2">
        <v>0</v>
      </c>
      <c r="U1472" s="2">
        <v>84000</v>
      </c>
      <c r="V1472">
        <v>0</v>
      </c>
      <c r="W1472">
        <v>0</v>
      </c>
      <c r="X1472">
        <v>0</v>
      </c>
      <c r="Y1472" t="e">
        <v>#DIV/0!</v>
      </c>
      <c r="Z1472">
        <v>0</v>
      </c>
      <c r="AA1472" t="e">
        <v>#DIV/0!</v>
      </c>
      <c r="AB1472">
        <v>43</v>
      </c>
      <c r="AC1472">
        <v>0</v>
      </c>
      <c r="AD1472">
        <v>30.08</v>
      </c>
      <c r="AE1472" s="7"/>
      <c r="AF1472" s="7"/>
      <c r="AG1472" s="7"/>
      <c r="AH1472" s="7"/>
      <c r="AI1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72" s="7"/>
      <c r="AK1472" t="s">
        <v>855</v>
      </c>
      <c r="AN1472">
        <f>IFERROR(INT(Table13[[#This Row],[reject_prod]]/Table13[[#This Row],[part_weight]] * 1000), 0)</f>
        <v>0</v>
      </c>
    </row>
    <row r="1473" spans="1:40" hidden="1">
      <c r="A1473" s="1">
        <v>46066</v>
      </c>
      <c r="B1473">
        <v>1</v>
      </c>
      <c r="C1473">
        <v>15</v>
      </c>
      <c r="D1473" t="s">
        <v>61</v>
      </c>
      <c r="E1473" t="s">
        <v>46</v>
      </c>
      <c r="F1473">
        <v>552181</v>
      </c>
      <c r="G1473" s="6">
        <v>2</v>
      </c>
      <c r="H1473" t="s">
        <v>49</v>
      </c>
      <c r="I1473">
        <v>10686679</v>
      </c>
      <c r="J1473">
        <v>6</v>
      </c>
      <c r="K1473">
        <v>18.8</v>
      </c>
      <c r="L1473">
        <v>18.8</v>
      </c>
      <c r="M1473">
        <v>1233</v>
      </c>
      <c r="N1473" s="2">
        <v>108000</v>
      </c>
      <c r="O1473" s="2">
        <v>4050</v>
      </c>
      <c r="P1473" s="2">
        <v>540</v>
      </c>
      <c r="Q1473" s="2">
        <v>7398</v>
      </c>
      <c r="R1473" s="2">
        <v>10800</v>
      </c>
      <c r="S1473">
        <v>203.04</v>
      </c>
      <c r="T1473" s="2">
        <v>27540</v>
      </c>
      <c r="U1473" s="2">
        <v>80460</v>
      </c>
      <c r="V1473">
        <v>139.08240000000001</v>
      </c>
      <c r="W1473">
        <v>0</v>
      </c>
      <c r="X1473">
        <v>0</v>
      </c>
      <c r="Y1473">
        <v>0</v>
      </c>
      <c r="Z1473">
        <v>2</v>
      </c>
      <c r="AA1473">
        <v>1.4379964682806739E-2</v>
      </c>
      <c r="AB1473">
        <v>31.2</v>
      </c>
      <c r="AC1473">
        <v>10.686</v>
      </c>
      <c r="AD1473">
        <v>27</v>
      </c>
      <c r="AE1473" s="7"/>
      <c r="AF1473" s="7"/>
      <c r="AG1473" s="7"/>
      <c r="AH1473" s="7"/>
      <c r="AI1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1.3140000000000001</v>
      </c>
      <c r="AJ1473" s="7"/>
      <c r="AK1473" t="s">
        <v>856</v>
      </c>
      <c r="AN1473">
        <f>IFERROR(INT(Table13[[#This Row],[reject_prod]]/Table13[[#This Row],[part_weight]] * 1000), 0)</f>
        <v>106</v>
      </c>
    </row>
    <row r="1474" spans="1:40" hidden="1">
      <c r="A1474" s="1">
        <v>46066</v>
      </c>
      <c r="B1474">
        <v>1</v>
      </c>
      <c r="C1474">
        <v>15</v>
      </c>
      <c r="D1474" t="s">
        <v>33</v>
      </c>
      <c r="E1474" t="s">
        <v>46</v>
      </c>
      <c r="F1474">
        <v>550076</v>
      </c>
      <c r="G1474" s="6">
        <v>0</v>
      </c>
      <c r="H1474" t="s">
        <v>857</v>
      </c>
      <c r="I1474">
        <v>10687863</v>
      </c>
      <c r="J1474">
        <v>6</v>
      </c>
      <c r="K1474">
        <v>18.8</v>
      </c>
      <c r="L1474">
        <v>18.8</v>
      </c>
      <c r="M1474">
        <v>0</v>
      </c>
      <c r="N1474" s="2">
        <v>108000</v>
      </c>
      <c r="O1474" s="2">
        <v>0</v>
      </c>
      <c r="P1474" s="2">
        <v>0</v>
      </c>
      <c r="Q1474" s="2">
        <v>0</v>
      </c>
      <c r="R1474" s="2">
        <v>0</v>
      </c>
      <c r="S1474">
        <v>0</v>
      </c>
      <c r="T1474" s="2">
        <v>0</v>
      </c>
      <c r="U1474" s="2">
        <v>108000</v>
      </c>
      <c r="V1474">
        <v>0</v>
      </c>
      <c r="W1474">
        <v>0</v>
      </c>
      <c r="X1474">
        <v>2</v>
      </c>
      <c r="Y1474" t="e">
        <v>#DIV/0!</v>
      </c>
      <c r="Z1474">
        <v>0</v>
      </c>
      <c r="AA1474" t="e">
        <v>#DIV/0!</v>
      </c>
      <c r="AB1474">
        <v>31.2</v>
      </c>
      <c r="AC1474">
        <v>0</v>
      </c>
      <c r="AD1474">
        <v>22.5</v>
      </c>
      <c r="AE1474" s="7"/>
      <c r="AF1474" s="7"/>
      <c r="AG1474" s="7">
        <v>1.5</v>
      </c>
      <c r="AH1474" s="7"/>
      <c r="AI1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474" s="7"/>
      <c r="AK1474" t="s">
        <v>858</v>
      </c>
      <c r="AN1474">
        <f>IFERROR(INT(Table13[[#This Row],[reject_prod]]/Table13[[#This Row],[part_weight]] * 1000), 0)</f>
        <v>0</v>
      </c>
    </row>
    <row r="1475" spans="1:40" s="4" customFormat="1" hidden="1">
      <c r="A1475" s="3">
        <v>46066</v>
      </c>
      <c r="B1475" s="4">
        <v>1</v>
      </c>
      <c r="C1475" s="4">
        <v>16</v>
      </c>
      <c r="D1475" s="4" t="s">
        <v>698</v>
      </c>
      <c r="E1475" s="4" t="s">
        <v>46</v>
      </c>
      <c r="F1475" s="4">
        <v>555979</v>
      </c>
      <c r="G1475" s="9">
        <v>2</v>
      </c>
      <c r="H1475" s="4" t="s">
        <v>52</v>
      </c>
      <c r="I1475" s="4">
        <v>10683785</v>
      </c>
      <c r="J1475" s="4">
        <v>6</v>
      </c>
      <c r="K1475" s="4">
        <v>28</v>
      </c>
      <c r="L1475" s="4">
        <v>28</v>
      </c>
      <c r="M1475" s="4">
        <v>993</v>
      </c>
      <c r="N1475" s="5">
        <v>100800</v>
      </c>
      <c r="O1475" s="5">
        <v>1680</v>
      </c>
      <c r="P1475" s="5">
        <v>840</v>
      </c>
      <c r="Q1475" s="5">
        <v>5958</v>
      </c>
      <c r="R1475" s="5">
        <v>6720</v>
      </c>
      <c r="S1475" s="4">
        <v>188.16</v>
      </c>
      <c r="T1475" s="5">
        <v>98280</v>
      </c>
      <c r="U1475" s="5">
        <v>2520</v>
      </c>
      <c r="V1475" s="4">
        <v>166.82400000000001</v>
      </c>
      <c r="W1475" s="4">
        <v>0</v>
      </c>
      <c r="X1475" s="4">
        <v>0</v>
      </c>
      <c r="Y1475" s="4">
        <v>0</v>
      </c>
      <c r="Z1475" s="4">
        <v>1.5</v>
      </c>
      <c r="AA1475" s="4">
        <v>8.9915120126600485E-3</v>
      </c>
      <c r="AB1475" s="4">
        <v>43.5</v>
      </c>
      <c r="AC1475" s="4">
        <v>11.998749999999999</v>
      </c>
      <c r="AD1475" s="4">
        <v>42</v>
      </c>
      <c r="AE1475" s="8"/>
      <c r="AF1475" s="8"/>
      <c r="AG1475" s="8"/>
      <c r="AH1475" s="8"/>
      <c r="AI147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1.2500000000006395E-3</v>
      </c>
      <c r="AJ1475" s="8"/>
      <c r="AK1475" s="4" t="s">
        <v>51</v>
      </c>
      <c r="AN1475">
        <f>IFERROR(INT(Table13[[#This Row],[reject_prod]]/Table13[[#This Row],[part_weight]] * 1000), 0)</f>
        <v>53</v>
      </c>
    </row>
    <row r="1476" spans="1:40" hidden="1">
      <c r="A1476" s="1">
        <v>46066</v>
      </c>
      <c r="B1476">
        <v>2</v>
      </c>
      <c r="C1476">
        <v>1</v>
      </c>
      <c r="D1476" t="s">
        <v>56</v>
      </c>
      <c r="E1476" t="s">
        <v>34</v>
      </c>
      <c r="F1476">
        <v>323107</v>
      </c>
      <c r="G1476" s="6">
        <v>0</v>
      </c>
      <c r="H1476" t="s">
        <v>845</v>
      </c>
      <c r="I1476">
        <v>10685636</v>
      </c>
      <c r="J1476">
        <v>2</v>
      </c>
      <c r="K1476">
        <v>75</v>
      </c>
      <c r="L1476">
        <v>75</v>
      </c>
      <c r="M1476">
        <v>1100</v>
      </c>
      <c r="N1476" s="2">
        <v>13440</v>
      </c>
      <c r="O1476" s="2">
        <v>96</v>
      </c>
      <c r="P1476" s="2">
        <v>100</v>
      </c>
      <c r="Q1476" s="2">
        <v>2200</v>
      </c>
      <c r="R1476" s="2">
        <v>2160</v>
      </c>
      <c r="S1476">
        <v>162</v>
      </c>
      <c r="T1476" s="2">
        <v>2980</v>
      </c>
      <c r="U1476" s="2">
        <v>10460</v>
      </c>
      <c r="V1476">
        <v>165</v>
      </c>
      <c r="W1476">
        <v>0</v>
      </c>
      <c r="X1476">
        <v>0</v>
      </c>
      <c r="Y1476">
        <v>0</v>
      </c>
      <c r="Z1476">
        <v>7.5</v>
      </c>
      <c r="AA1476">
        <v>4.5454545454545456E-2</v>
      </c>
      <c r="AB1476">
        <v>36.42</v>
      </c>
      <c r="AC1476">
        <v>11.128333333333334</v>
      </c>
      <c r="AD1476">
        <v>31.94</v>
      </c>
      <c r="AE1476" s="7"/>
      <c r="AF1476" s="7"/>
      <c r="AG1476" s="7"/>
      <c r="AH1476" s="7"/>
      <c r="AI1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0.87166666666666615</v>
      </c>
      <c r="AJ1476" s="7"/>
      <c r="AK1476" t="s">
        <v>103</v>
      </c>
      <c r="AN1476">
        <f>IFERROR(INT(Table13[[#This Row],[reject_prod]]/Table13[[#This Row],[part_weight]] * 1000), 0)</f>
        <v>100</v>
      </c>
    </row>
    <row r="1477" spans="1:40" hidden="1">
      <c r="A1477" s="1">
        <v>46066</v>
      </c>
      <c r="B1477">
        <v>2</v>
      </c>
      <c r="C1477">
        <v>2</v>
      </c>
      <c r="D1477" t="s">
        <v>859</v>
      </c>
      <c r="E1477" t="s">
        <v>34</v>
      </c>
      <c r="F1477">
        <v>322493</v>
      </c>
      <c r="G1477" s="6">
        <v>0</v>
      </c>
      <c r="H1477" t="s">
        <v>816</v>
      </c>
      <c r="I1477">
        <v>10686190</v>
      </c>
      <c r="J1477">
        <v>4</v>
      </c>
      <c r="K1477">
        <v>23</v>
      </c>
      <c r="L1477">
        <v>23</v>
      </c>
      <c r="M1477">
        <v>1570</v>
      </c>
      <c r="N1477" s="2">
        <v>61200</v>
      </c>
      <c r="O1477" s="2">
        <v>1175</v>
      </c>
      <c r="P1477" s="2">
        <v>1020</v>
      </c>
      <c r="Q1477" s="2">
        <v>6280</v>
      </c>
      <c r="R1477" s="2">
        <v>6375</v>
      </c>
      <c r="S1477">
        <v>146.625</v>
      </c>
      <c r="T1477" s="2">
        <v>20145</v>
      </c>
      <c r="U1477" s="2">
        <v>41055</v>
      </c>
      <c r="V1477">
        <v>144.44</v>
      </c>
      <c r="W1477">
        <v>0</v>
      </c>
      <c r="X1477">
        <v>0</v>
      </c>
      <c r="Y1477">
        <v>0</v>
      </c>
      <c r="Z1477">
        <v>6.2</v>
      </c>
      <c r="AA1477">
        <v>4.2924397673774581E-2</v>
      </c>
      <c r="AB1477">
        <v>26.4</v>
      </c>
      <c r="AC1477">
        <v>11.513333333333334</v>
      </c>
      <c r="AD1477">
        <v>22.5</v>
      </c>
      <c r="AE1477" s="7"/>
      <c r="AF1477" s="7"/>
      <c r="AG1477" s="7"/>
      <c r="AH1477" s="7"/>
      <c r="AI1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1477" s="7"/>
      <c r="AK1477" t="s">
        <v>163</v>
      </c>
      <c r="AN1477">
        <f>IFERROR(INT(Table13[[#This Row],[reject_prod]]/Table13[[#This Row],[part_weight]] * 1000), 0)</f>
        <v>269</v>
      </c>
    </row>
    <row r="1478" spans="1:40" hidden="1">
      <c r="A1478" s="1">
        <v>46066</v>
      </c>
      <c r="B1478">
        <v>2</v>
      </c>
      <c r="C1478">
        <v>3</v>
      </c>
      <c r="D1478" t="s">
        <v>54</v>
      </c>
      <c r="E1478" t="s">
        <v>34</v>
      </c>
      <c r="F1478">
        <v>442034</v>
      </c>
      <c r="G1478" s="6">
        <v>0</v>
      </c>
      <c r="H1478" t="s">
        <v>37</v>
      </c>
      <c r="I1478">
        <v>10685633</v>
      </c>
      <c r="J1478">
        <v>4</v>
      </c>
      <c r="K1478">
        <v>23</v>
      </c>
      <c r="L1478">
        <v>23</v>
      </c>
      <c r="M1478">
        <v>1160</v>
      </c>
      <c r="N1478" s="2">
        <v>139776</v>
      </c>
      <c r="O1478" s="2">
        <v>3072</v>
      </c>
      <c r="P1478" s="2">
        <v>3072</v>
      </c>
      <c r="Q1478" s="2">
        <v>4640</v>
      </c>
      <c r="R1478" s="2">
        <v>4608</v>
      </c>
      <c r="S1478">
        <v>105.98399999999999</v>
      </c>
      <c r="T1478" s="2">
        <v>122880</v>
      </c>
      <c r="U1478" s="2">
        <v>16896</v>
      </c>
      <c r="V1478">
        <v>106.72</v>
      </c>
      <c r="W1478">
        <v>0</v>
      </c>
      <c r="X1478">
        <v>0</v>
      </c>
      <c r="Y1478">
        <v>0</v>
      </c>
      <c r="Z1478">
        <v>8</v>
      </c>
      <c r="AA1478">
        <v>7.4962518740629688E-2</v>
      </c>
      <c r="AB1478">
        <v>28.5</v>
      </c>
      <c r="AC1478">
        <v>9.1833333333333336</v>
      </c>
      <c r="AD1478">
        <v>22</v>
      </c>
      <c r="AE1478" s="7"/>
      <c r="AF1478" s="7"/>
      <c r="AG1478" s="7"/>
      <c r="AH1478" s="7"/>
      <c r="AI1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2.8166666666666664</v>
      </c>
      <c r="AJ1478" s="7"/>
      <c r="AK1478" t="s">
        <v>860</v>
      </c>
      <c r="AN1478">
        <f>IFERROR(INT(Table13[[#This Row],[reject_prod]]/Table13[[#This Row],[part_weight]] * 1000), 0)</f>
        <v>347</v>
      </c>
    </row>
    <row r="1479" spans="1:40" hidden="1">
      <c r="A1479" s="1">
        <v>46066</v>
      </c>
      <c r="B1479">
        <v>2</v>
      </c>
      <c r="C1479">
        <v>4</v>
      </c>
      <c r="D1479" t="s">
        <v>33</v>
      </c>
      <c r="E1479" t="s">
        <v>34</v>
      </c>
      <c r="F1479">
        <v>409780</v>
      </c>
      <c r="G1479" s="6">
        <v>0</v>
      </c>
      <c r="H1479" t="s">
        <v>829</v>
      </c>
      <c r="I1479">
        <v>10687750</v>
      </c>
      <c r="J1479">
        <v>4</v>
      </c>
      <c r="K1479">
        <v>73</v>
      </c>
      <c r="L1479">
        <v>73</v>
      </c>
      <c r="M1479">
        <v>0</v>
      </c>
      <c r="N1479" s="2">
        <v>40608</v>
      </c>
      <c r="O1479" s="2">
        <v>0</v>
      </c>
      <c r="P1479" s="2"/>
      <c r="Q1479" s="2">
        <v>0</v>
      </c>
      <c r="R1479" s="2">
        <v>0</v>
      </c>
      <c r="S1479">
        <v>0</v>
      </c>
      <c r="T1479" s="2">
        <v>0</v>
      </c>
      <c r="U1479" s="2">
        <v>40608</v>
      </c>
      <c r="V1479">
        <v>0</v>
      </c>
      <c r="W1479">
        <v>0</v>
      </c>
      <c r="X1479">
        <v>2</v>
      </c>
      <c r="Y1479" t="e">
        <v>#DIV/0!</v>
      </c>
      <c r="Z1479">
        <v>0</v>
      </c>
      <c r="AA1479" t="e">
        <v>#DIV/0!</v>
      </c>
      <c r="AB1479">
        <v>26.27</v>
      </c>
      <c r="AC1479">
        <v>0</v>
      </c>
      <c r="AD1479">
        <v>24</v>
      </c>
      <c r="AE1479" s="7"/>
      <c r="AF1479" s="7"/>
      <c r="AG1479" s="7"/>
      <c r="AH1479" s="7"/>
      <c r="AI1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79" s="7"/>
      <c r="AK1479" t="s">
        <v>849</v>
      </c>
      <c r="AN1479">
        <f>IFERROR(INT(Table13[[#This Row],[reject_prod]]/Table13[[#This Row],[part_weight]] * 1000), 0)</f>
        <v>0</v>
      </c>
    </row>
    <row r="1480" spans="1:40" hidden="1">
      <c r="A1480" s="1">
        <v>46066</v>
      </c>
      <c r="B1480">
        <v>2</v>
      </c>
      <c r="C1480">
        <v>5</v>
      </c>
      <c r="D1480" t="s">
        <v>87</v>
      </c>
      <c r="E1480" t="s">
        <v>34</v>
      </c>
      <c r="F1480">
        <v>322503</v>
      </c>
      <c r="G1480" s="6">
        <v>0</v>
      </c>
      <c r="H1480" t="s">
        <v>850</v>
      </c>
      <c r="I1480">
        <v>10685207</v>
      </c>
      <c r="J1480">
        <v>4</v>
      </c>
      <c r="K1480">
        <v>44</v>
      </c>
      <c r="L1480">
        <v>44</v>
      </c>
      <c r="M1480">
        <v>1205</v>
      </c>
      <c r="N1480" s="2">
        <v>8256</v>
      </c>
      <c r="O1480" s="2">
        <v>1892</v>
      </c>
      <c r="P1480" s="2">
        <v>2580</v>
      </c>
      <c r="Q1480" s="2">
        <v>4820</v>
      </c>
      <c r="R1480" s="2">
        <v>4128</v>
      </c>
      <c r="S1480">
        <v>181.63200000000001</v>
      </c>
      <c r="T1480" s="2">
        <v>6708</v>
      </c>
      <c r="U1480" s="2">
        <v>1548</v>
      </c>
      <c r="V1480">
        <v>212.08</v>
      </c>
      <c r="W1480">
        <v>0</v>
      </c>
      <c r="X1480">
        <v>0</v>
      </c>
      <c r="Y1480">
        <v>0</v>
      </c>
      <c r="Z1480">
        <v>7.3</v>
      </c>
      <c r="AA1480">
        <v>3.4420973217653715E-2</v>
      </c>
      <c r="AB1480">
        <v>33.4</v>
      </c>
      <c r="AC1480">
        <v>11.179722222222221</v>
      </c>
      <c r="AD1480">
        <v>28.88</v>
      </c>
      <c r="AE1480" s="7"/>
      <c r="AF1480" s="7"/>
      <c r="AG1480" s="7"/>
      <c r="AH1480" s="7"/>
      <c r="AI1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0.82027777777777899</v>
      </c>
      <c r="AJ1480" s="7"/>
      <c r="AK1480" t="s">
        <v>861</v>
      </c>
      <c r="AN1480">
        <f>IFERROR(INT(Table13[[#This Row],[reject_prod]]/Table13[[#This Row],[part_weight]] * 1000), 0)</f>
        <v>165</v>
      </c>
    </row>
    <row r="1481" spans="1:40" hidden="1">
      <c r="A1481" s="1">
        <v>46066</v>
      </c>
      <c r="B1481">
        <v>2</v>
      </c>
      <c r="C1481">
        <v>6</v>
      </c>
      <c r="D1481" t="s">
        <v>862</v>
      </c>
      <c r="E1481" t="s">
        <v>41</v>
      </c>
      <c r="F1481">
        <v>620994</v>
      </c>
      <c r="G1481" s="6">
        <v>0</v>
      </c>
      <c r="H1481" t="s">
        <v>42</v>
      </c>
      <c r="I1481">
        <v>10686806</v>
      </c>
      <c r="J1481">
        <v>4</v>
      </c>
      <c r="K1481">
        <v>32.74</v>
      </c>
      <c r="L1481">
        <v>33</v>
      </c>
      <c r="M1481">
        <v>1635</v>
      </c>
      <c r="N1481" s="2">
        <v>104192</v>
      </c>
      <c r="O1481" s="2">
        <v>0</v>
      </c>
      <c r="P1481" s="2">
        <v>2960</v>
      </c>
      <c r="Q1481" s="2">
        <v>6540</v>
      </c>
      <c r="R1481" s="2">
        <v>3552</v>
      </c>
      <c r="S1481">
        <v>117.21599999999999</v>
      </c>
      <c r="T1481" s="2">
        <v>6512</v>
      </c>
      <c r="U1481" s="2">
        <v>97680</v>
      </c>
      <c r="V1481">
        <v>215.82</v>
      </c>
      <c r="W1481">
        <v>-1.7003999999999868</v>
      </c>
      <c r="X1481">
        <v>0</v>
      </c>
      <c r="Y1481">
        <v>0</v>
      </c>
      <c r="Z1481">
        <v>3</v>
      </c>
      <c r="AA1481">
        <v>1.3900472616068946E-2</v>
      </c>
      <c r="AB1481">
        <v>23.3</v>
      </c>
      <c r="AC1481">
        <v>10.582083333333333</v>
      </c>
      <c r="AD1481">
        <v>22</v>
      </c>
      <c r="AE1481" s="7"/>
      <c r="AF1481" s="7"/>
      <c r="AG1481" s="7"/>
      <c r="AH1481" s="7"/>
      <c r="AI1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1.4179166666666667</v>
      </c>
      <c r="AJ1481" s="7"/>
      <c r="AK1481" t="s">
        <v>863</v>
      </c>
      <c r="AN1481">
        <f>IFERROR(INT(Table13[[#This Row],[reject_prod]]/Table13[[#This Row],[part_weight]] * 1000), 0)</f>
        <v>90</v>
      </c>
    </row>
    <row r="1482" spans="1:40" hidden="1">
      <c r="A1482" s="1">
        <v>46066</v>
      </c>
      <c r="B1482">
        <v>2</v>
      </c>
      <c r="C1482">
        <v>7</v>
      </c>
      <c r="D1482" t="s">
        <v>139</v>
      </c>
      <c r="E1482" t="s">
        <v>34</v>
      </c>
      <c r="F1482">
        <v>324177</v>
      </c>
      <c r="G1482" s="6">
        <v>0</v>
      </c>
      <c r="H1482" t="s">
        <v>246</v>
      </c>
      <c r="I1482">
        <v>10686803</v>
      </c>
      <c r="J1482">
        <v>4</v>
      </c>
      <c r="K1482">
        <v>34.5</v>
      </c>
      <c r="L1482">
        <v>34.5</v>
      </c>
      <c r="M1482">
        <v>1575</v>
      </c>
      <c r="N1482" s="2">
        <v>93600</v>
      </c>
      <c r="O1482" s="2">
        <v>312</v>
      </c>
      <c r="P1482" s="2">
        <v>360</v>
      </c>
      <c r="Q1482" s="2">
        <v>6300</v>
      </c>
      <c r="R1482" s="2">
        <v>6240</v>
      </c>
      <c r="S1482">
        <v>215.28</v>
      </c>
      <c r="T1482" s="2">
        <v>38580</v>
      </c>
      <c r="U1482" s="2">
        <v>55020</v>
      </c>
      <c r="V1482">
        <v>217.35</v>
      </c>
      <c r="W1482">
        <v>0</v>
      </c>
      <c r="X1482">
        <v>0</v>
      </c>
      <c r="Y1482">
        <v>0</v>
      </c>
      <c r="Z1482">
        <v>10.3</v>
      </c>
      <c r="AA1482">
        <v>4.7389003910743042E-2</v>
      </c>
      <c r="AB1482">
        <v>23.3</v>
      </c>
      <c r="AC1482">
        <v>10.19375</v>
      </c>
      <c r="AD1482">
        <v>22</v>
      </c>
      <c r="AE1482" s="7"/>
      <c r="AF1482" s="7"/>
      <c r="AG1482" s="7"/>
      <c r="AH1482" s="7"/>
      <c r="AI1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1.8062500000000004</v>
      </c>
      <c r="AJ1482" s="7"/>
      <c r="AK1482" t="s">
        <v>864</v>
      </c>
      <c r="AN1482">
        <f>IFERROR(INT(Table13[[#This Row],[reject_prod]]/Table13[[#This Row],[part_weight]] * 1000), 0)</f>
        <v>298</v>
      </c>
    </row>
    <row r="1483" spans="1:40" hidden="1">
      <c r="A1483" s="1">
        <v>46066</v>
      </c>
      <c r="B1483">
        <v>2</v>
      </c>
      <c r="C1483">
        <v>8</v>
      </c>
      <c r="D1483" t="s">
        <v>836</v>
      </c>
      <c r="E1483" t="s">
        <v>41</v>
      </c>
      <c r="F1483">
        <v>593537</v>
      </c>
      <c r="G1483" s="6">
        <v>0</v>
      </c>
      <c r="H1483" t="s">
        <v>48</v>
      </c>
      <c r="I1483">
        <v>10687586</v>
      </c>
      <c r="J1483">
        <v>4</v>
      </c>
      <c r="K1483">
        <v>56.5</v>
      </c>
      <c r="L1483">
        <v>56.8</v>
      </c>
      <c r="M1483">
        <v>1410</v>
      </c>
      <c r="N1483" s="2">
        <v>69000</v>
      </c>
      <c r="O1483" s="2">
        <v>115</v>
      </c>
      <c r="P1483" s="2">
        <v>0</v>
      </c>
      <c r="Q1483" s="2">
        <v>5640</v>
      </c>
      <c r="R1483" s="2">
        <v>5750</v>
      </c>
      <c r="S1483">
        <v>326.60000000000002</v>
      </c>
      <c r="T1483" s="2">
        <v>39675</v>
      </c>
      <c r="U1483" s="2">
        <v>29325</v>
      </c>
      <c r="V1483">
        <v>320.35199999999998</v>
      </c>
      <c r="W1483">
        <v>-1.6919999999999842</v>
      </c>
      <c r="X1483">
        <v>0</v>
      </c>
      <c r="Y1483">
        <v>0</v>
      </c>
      <c r="Z1483">
        <v>2</v>
      </c>
      <c r="AA1483">
        <v>6.2431325541903908E-3</v>
      </c>
      <c r="AB1483">
        <v>30.4</v>
      </c>
      <c r="AC1483">
        <v>11.906666666666666</v>
      </c>
      <c r="AD1483">
        <v>28.5</v>
      </c>
      <c r="AE1483" s="7"/>
      <c r="AF1483" s="7"/>
      <c r="AG1483" s="7"/>
      <c r="AH1483" s="7"/>
      <c r="AI1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1483" s="7"/>
      <c r="AK1483" t="s">
        <v>51</v>
      </c>
      <c r="AN1483">
        <f>IFERROR(INT(Table13[[#This Row],[reject_prod]]/Table13[[#This Row],[part_weight]] * 1000), 0)</f>
        <v>35</v>
      </c>
    </row>
    <row r="1484" spans="1:40" hidden="1">
      <c r="A1484" s="1">
        <v>46066</v>
      </c>
      <c r="B1484">
        <v>2</v>
      </c>
      <c r="C1484">
        <v>9</v>
      </c>
      <c r="D1484" t="s">
        <v>208</v>
      </c>
      <c r="E1484" t="s">
        <v>46</v>
      </c>
      <c r="F1484">
        <v>586276</v>
      </c>
      <c r="G1484" s="6">
        <v>1</v>
      </c>
      <c r="H1484" t="s">
        <v>47</v>
      </c>
      <c r="I1484">
        <v>10683781</v>
      </c>
      <c r="J1484">
        <v>6</v>
      </c>
      <c r="K1484">
        <v>12.3</v>
      </c>
      <c r="L1484">
        <v>12.3</v>
      </c>
      <c r="M1484">
        <v>1570</v>
      </c>
      <c r="N1484" s="2">
        <v>162000</v>
      </c>
      <c r="O1484" s="2">
        <v>1215</v>
      </c>
      <c r="P1484" s="2">
        <v>2430</v>
      </c>
      <c r="Q1484" s="2">
        <v>9420</v>
      </c>
      <c r="R1484" s="2">
        <v>8100</v>
      </c>
      <c r="S1484">
        <v>99.63</v>
      </c>
      <c r="T1484" s="2">
        <v>123930</v>
      </c>
      <c r="U1484" s="2">
        <v>38070</v>
      </c>
      <c r="V1484">
        <v>115.866</v>
      </c>
      <c r="W1484">
        <v>0</v>
      </c>
      <c r="X1484">
        <v>0</v>
      </c>
      <c r="Y1484">
        <v>0</v>
      </c>
      <c r="Z1484">
        <v>2.6</v>
      </c>
      <c r="AA1484">
        <v>2.2439714843008305E-2</v>
      </c>
      <c r="AB1484">
        <v>26.5</v>
      </c>
      <c r="AC1484">
        <v>11.556944444444444</v>
      </c>
      <c r="AD1484">
        <v>26</v>
      </c>
      <c r="AE1484" s="7"/>
      <c r="AF1484" s="7"/>
      <c r="AG1484" s="7"/>
      <c r="AH1484" s="7"/>
      <c r="AI1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0.44305555555555642</v>
      </c>
      <c r="AJ1484" s="7"/>
      <c r="AK1484" t="s">
        <v>51</v>
      </c>
      <c r="AN1484">
        <f>IFERROR(INT(Table13[[#This Row],[reject_prod]]/Table13[[#This Row],[part_weight]] * 1000), 0)</f>
        <v>211</v>
      </c>
    </row>
    <row r="1485" spans="1:40" hidden="1">
      <c r="A1485" s="1">
        <v>46066</v>
      </c>
      <c r="B1485">
        <v>2</v>
      </c>
      <c r="C1485">
        <v>10</v>
      </c>
      <c r="D1485" t="s">
        <v>84</v>
      </c>
      <c r="E1485" t="s">
        <v>34</v>
      </c>
      <c r="F1485">
        <v>410269</v>
      </c>
      <c r="G1485" s="6">
        <v>0</v>
      </c>
      <c r="H1485" t="s">
        <v>811</v>
      </c>
      <c r="I1485">
        <v>10686034</v>
      </c>
      <c r="J1485">
        <v>4</v>
      </c>
      <c r="K1485">
        <v>49</v>
      </c>
      <c r="L1485">
        <v>48.5</v>
      </c>
      <c r="M1485">
        <v>1445</v>
      </c>
      <c r="N1485" s="2">
        <v>28875</v>
      </c>
      <c r="O1485" s="2">
        <v>0</v>
      </c>
      <c r="P1485" s="2">
        <v>0</v>
      </c>
      <c r="Q1485" s="2">
        <v>5780</v>
      </c>
      <c r="R1485" s="2">
        <v>5775</v>
      </c>
      <c r="S1485">
        <v>280.08749999999998</v>
      </c>
      <c r="T1485" s="2">
        <v>20475</v>
      </c>
      <c r="U1485" s="2">
        <v>8400</v>
      </c>
      <c r="V1485">
        <v>280.33</v>
      </c>
      <c r="W1485">
        <v>2.89</v>
      </c>
      <c r="X1485">
        <v>0</v>
      </c>
      <c r="Y1485">
        <v>0</v>
      </c>
      <c r="Z1485">
        <v>2.2999999999999998</v>
      </c>
      <c r="AA1485">
        <v>8.2046159882995032E-3</v>
      </c>
      <c r="AB1485">
        <v>29.1</v>
      </c>
      <c r="AC1485">
        <v>11.680416666666666</v>
      </c>
      <c r="AD1485">
        <v>26.4</v>
      </c>
      <c r="AE1485" s="7"/>
      <c r="AF1485" s="7"/>
      <c r="AG1485" s="7"/>
      <c r="AH1485" s="7"/>
      <c r="AI1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1485" s="7"/>
      <c r="AK1485" t="s">
        <v>75</v>
      </c>
      <c r="AN1485">
        <f>IFERROR(INT(Table13[[#This Row],[reject_prod]]/Table13[[#This Row],[part_weight]] * 1000), 0)</f>
        <v>47</v>
      </c>
    </row>
    <row r="1486" spans="1:40" hidden="1">
      <c r="A1486" s="1">
        <v>46066</v>
      </c>
      <c r="B1486">
        <v>2</v>
      </c>
      <c r="C1486">
        <v>11</v>
      </c>
      <c r="D1486" t="s">
        <v>59</v>
      </c>
      <c r="E1486" t="s">
        <v>46</v>
      </c>
      <c r="F1486">
        <v>552181</v>
      </c>
      <c r="G1486" s="6">
        <v>1</v>
      </c>
      <c r="H1486" t="s">
        <v>49</v>
      </c>
      <c r="I1486">
        <v>10686672</v>
      </c>
      <c r="J1486">
        <v>6</v>
      </c>
      <c r="K1486">
        <v>18.8</v>
      </c>
      <c r="L1486">
        <v>18.8</v>
      </c>
      <c r="M1486">
        <v>1485</v>
      </c>
      <c r="N1486" s="2">
        <v>108000</v>
      </c>
      <c r="O1486" s="2">
        <v>0</v>
      </c>
      <c r="P1486" s="2">
        <v>3510</v>
      </c>
      <c r="Q1486" s="2">
        <v>8910</v>
      </c>
      <c r="R1486" s="2">
        <v>5400</v>
      </c>
      <c r="S1486">
        <v>101.52</v>
      </c>
      <c r="T1486" s="2">
        <v>52110</v>
      </c>
      <c r="U1486" s="2">
        <v>55890</v>
      </c>
      <c r="V1486">
        <v>167.50800000000001</v>
      </c>
      <c r="W1486">
        <v>0</v>
      </c>
      <c r="X1486">
        <v>0</v>
      </c>
      <c r="Y1486">
        <v>0</v>
      </c>
      <c r="Z1486">
        <v>1</v>
      </c>
      <c r="AA1486">
        <v>5.9698641258924944E-3</v>
      </c>
      <c r="AB1486">
        <v>29.4</v>
      </c>
      <c r="AC1486">
        <v>12</v>
      </c>
      <c r="AD1486">
        <v>27</v>
      </c>
      <c r="AE1486" s="7"/>
      <c r="AF1486" s="7"/>
      <c r="AG1486" s="7"/>
      <c r="AH1486" s="7"/>
      <c r="AI1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86" s="7"/>
      <c r="AK1486" t="s">
        <v>51</v>
      </c>
      <c r="AN1486">
        <f>IFERROR(INT(Table13[[#This Row],[reject_prod]]/Table13[[#This Row],[part_weight]] * 1000), 0)</f>
        <v>53</v>
      </c>
    </row>
    <row r="1487" spans="1:40" hidden="1">
      <c r="A1487" s="1">
        <v>46066</v>
      </c>
      <c r="B1487">
        <v>2</v>
      </c>
      <c r="C1487">
        <v>12</v>
      </c>
      <c r="D1487" t="s">
        <v>117</v>
      </c>
      <c r="E1487" t="s">
        <v>34</v>
      </c>
      <c r="F1487">
        <v>620599</v>
      </c>
      <c r="G1487" s="6">
        <v>0</v>
      </c>
      <c r="H1487" t="s">
        <v>50</v>
      </c>
      <c r="I1487">
        <v>10686674</v>
      </c>
      <c r="J1487">
        <v>4</v>
      </c>
      <c r="K1487">
        <v>55</v>
      </c>
      <c r="L1487">
        <v>55</v>
      </c>
      <c r="M1487">
        <v>1520</v>
      </c>
      <c r="N1487" s="2">
        <v>72000</v>
      </c>
      <c r="O1487" s="2">
        <v>450</v>
      </c>
      <c r="P1487" s="2">
        <v>1125</v>
      </c>
      <c r="Q1487" s="2">
        <v>6080</v>
      </c>
      <c r="R1487" s="2">
        <v>5400</v>
      </c>
      <c r="S1487">
        <v>297</v>
      </c>
      <c r="T1487" s="2">
        <v>67725</v>
      </c>
      <c r="U1487" s="2">
        <v>4275</v>
      </c>
      <c r="V1487">
        <v>334.4</v>
      </c>
      <c r="W1487">
        <v>0</v>
      </c>
      <c r="X1487">
        <v>0</v>
      </c>
      <c r="Y1487">
        <v>0</v>
      </c>
      <c r="Z1487">
        <v>2</v>
      </c>
      <c r="AA1487">
        <v>5.9808612440191387E-3</v>
      </c>
      <c r="AB1487">
        <v>28.6</v>
      </c>
      <c r="AC1487">
        <v>12</v>
      </c>
      <c r="AD1487">
        <v>28</v>
      </c>
      <c r="AE1487" s="7"/>
      <c r="AF1487" s="7"/>
      <c r="AG1487" s="7"/>
      <c r="AH1487" s="7"/>
      <c r="AI1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87" s="7"/>
      <c r="AK1487" t="s">
        <v>178</v>
      </c>
      <c r="AN1487">
        <f>IFERROR(INT(Table13[[#This Row],[reject_prod]]/Table13[[#This Row],[part_weight]] * 1000), 0)</f>
        <v>36</v>
      </c>
    </row>
    <row r="1488" spans="1:40" hidden="1">
      <c r="A1488" s="1">
        <v>46066</v>
      </c>
      <c r="B1488">
        <v>2</v>
      </c>
      <c r="C1488">
        <v>13</v>
      </c>
      <c r="D1488" t="s">
        <v>59</v>
      </c>
      <c r="E1488" t="s">
        <v>46</v>
      </c>
      <c r="F1488">
        <v>586276</v>
      </c>
      <c r="G1488" s="6">
        <v>2</v>
      </c>
      <c r="H1488" t="s">
        <v>47</v>
      </c>
      <c r="I1488">
        <v>10686676</v>
      </c>
      <c r="J1488">
        <v>6</v>
      </c>
      <c r="K1488">
        <v>12.3</v>
      </c>
      <c r="L1488">
        <v>12.3</v>
      </c>
      <c r="M1488">
        <v>1632</v>
      </c>
      <c r="N1488" s="2">
        <v>162000</v>
      </c>
      <c r="O1488" s="2">
        <v>1620</v>
      </c>
      <c r="P1488" s="2">
        <v>3240</v>
      </c>
      <c r="Q1488" s="2">
        <v>9792</v>
      </c>
      <c r="R1488" s="2">
        <v>8100</v>
      </c>
      <c r="S1488">
        <v>99.63</v>
      </c>
      <c r="T1488" s="2">
        <v>92340</v>
      </c>
      <c r="U1488" s="2">
        <v>69660</v>
      </c>
      <c r="V1488">
        <v>120.44160000000001</v>
      </c>
      <c r="W1488">
        <v>0</v>
      </c>
      <c r="X1488">
        <v>0</v>
      </c>
      <c r="Y1488">
        <v>0</v>
      </c>
      <c r="Z1488">
        <v>1</v>
      </c>
      <c r="AA1488">
        <v>8.3027791062224333E-3</v>
      </c>
      <c r="AB1488">
        <v>26.2</v>
      </c>
      <c r="AC1488">
        <v>11.877333333333334</v>
      </c>
      <c r="AD1488">
        <v>26</v>
      </c>
      <c r="AE1488" s="7"/>
      <c r="AF1488" s="7"/>
      <c r="AG1488" s="7"/>
      <c r="AH1488" s="7"/>
      <c r="AI1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488" s="7"/>
      <c r="AK1488" t="s">
        <v>51</v>
      </c>
      <c r="AN1488">
        <f>IFERROR(INT(Table13[[#This Row],[reject_prod]]/Table13[[#This Row],[part_weight]] * 1000), 0)</f>
        <v>81</v>
      </c>
    </row>
    <row r="1489" spans="1:40" hidden="1">
      <c r="A1489" s="1">
        <v>46066</v>
      </c>
      <c r="B1489">
        <v>2</v>
      </c>
      <c r="C1489">
        <v>14</v>
      </c>
      <c r="D1489" t="s">
        <v>33</v>
      </c>
      <c r="E1489" t="s">
        <v>34</v>
      </c>
      <c r="F1489">
        <v>541381</v>
      </c>
      <c r="G1489" s="6">
        <v>0</v>
      </c>
      <c r="H1489" t="s">
        <v>804</v>
      </c>
      <c r="I1489">
        <v>10686678</v>
      </c>
      <c r="J1489">
        <v>4</v>
      </c>
      <c r="K1489">
        <v>55</v>
      </c>
      <c r="L1489">
        <v>55</v>
      </c>
      <c r="M1489">
        <v>0</v>
      </c>
      <c r="N1489" s="2">
        <v>84000</v>
      </c>
      <c r="O1489" s="2">
        <v>0</v>
      </c>
      <c r="P1489" s="2">
        <v>0</v>
      </c>
      <c r="Q1489" s="2">
        <v>0</v>
      </c>
      <c r="R1489" s="2">
        <v>0</v>
      </c>
      <c r="S1489">
        <v>0</v>
      </c>
      <c r="T1489" s="2">
        <v>0</v>
      </c>
      <c r="U1489" s="2">
        <v>84000</v>
      </c>
      <c r="V1489">
        <v>0</v>
      </c>
      <c r="W1489">
        <v>0</v>
      </c>
      <c r="X1489">
        <v>7.3</v>
      </c>
      <c r="Y1489" t="e">
        <v>#DIV/0!</v>
      </c>
      <c r="Z1489">
        <v>0</v>
      </c>
      <c r="AA1489" t="e">
        <v>#DIV/0!</v>
      </c>
      <c r="AB1489">
        <v>43</v>
      </c>
      <c r="AC1489">
        <v>0</v>
      </c>
      <c r="AD1489">
        <v>30.08</v>
      </c>
      <c r="AE1489" s="7"/>
      <c r="AF1489" s="7"/>
      <c r="AG1489" s="7"/>
      <c r="AH1489" s="7"/>
      <c r="AI1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89" s="7"/>
      <c r="AK1489" t="s">
        <v>826</v>
      </c>
      <c r="AN1489">
        <f>IFERROR(INT(Table13[[#This Row],[reject_prod]]/Table13[[#This Row],[part_weight]] * 1000), 0)</f>
        <v>0</v>
      </c>
    </row>
    <row r="1490" spans="1:40" hidden="1">
      <c r="A1490" s="1">
        <v>46066</v>
      </c>
      <c r="B1490">
        <v>2</v>
      </c>
      <c r="C1490">
        <v>15</v>
      </c>
      <c r="D1490" t="s">
        <v>33</v>
      </c>
      <c r="E1490" t="s">
        <v>46</v>
      </c>
      <c r="F1490">
        <v>550076</v>
      </c>
      <c r="G1490" s="6">
        <v>0</v>
      </c>
      <c r="H1490" t="s">
        <v>857</v>
      </c>
      <c r="I1490">
        <v>10687863</v>
      </c>
      <c r="J1490">
        <v>6</v>
      </c>
      <c r="K1490">
        <v>18.8</v>
      </c>
      <c r="L1490">
        <v>18.8</v>
      </c>
      <c r="M1490">
        <v>0</v>
      </c>
      <c r="N1490" s="2">
        <v>108000</v>
      </c>
      <c r="O1490" s="2">
        <v>0</v>
      </c>
      <c r="P1490" s="2">
        <v>0</v>
      </c>
      <c r="Q1490" s="2">
        <v>0</v>
      </c>
      <c r="R1490" s="2">
        <v>0</v>
      </c>
      <c r="S1490">
        <v>0</v>
      </c>
      <c r="T1490" s="2">
        <v>0</v>
      </c>
      <c r="U1490" s="2">
        <v>108000</v>
      </c>
      <c r="V1490">
        <v>0</v>
      </c>
      <c r="W1490">
        <v>0</v>
      </c>
      <c r="X1490">
        <v>0</v>
      </c>
      <c r="Y1490" t="e">
        <v>#DIV/0!</v>
      </c>
      <c r="Z1490">
        <v>0</v>
      </c>
      <c r="AA1490" t="e">
        <v>#DIV/0!</v>
      </c>
      <c r="AB1490">
        <v>31.2</v>
      </c>
      <c r="AC1490">
        <v>0</v>
      </c>
      <c r="AD1490">
        <v>22.5</v>
      </c>
      <c r="AE1490" s="7"/>
      <c r="AF1490" s="7"/>
      <c r="AG1490" s="7"/>
      <c r="AH1490" s="7"/>
      <c r="AI1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90" s="7"/>
      <c r="AK1490" t="s">
        <v>865</v>
      </c>
      <c r="AN1490">
        <f>IFERROR(INT(Table13[[#This Row],[reject_prod]]/Table13[[#This Row],[part_weight]] * 1000), 0)</f>
        <v>0</v>
      </c>
    </row>
    <row r="1491" spans="1:40" s="4" customFormat="1" hidden="1">
      <c r="A1491" s="3">
        <v>46066</v>
      </c>
      <c r="B1491" s="4">
        <v>2</v>
      </c>
      <c r="C1491" s="4">
        <v>16</v>
      </c>
      <c r="D1491" s="4" t="s">
        <v>88</v>
      </c>
      <c r="E1491" s="4" t="s">
        <v>46</v>
      </c>
      <c r="F1491" s="4">
        <v>555979</v>
      </c>
      <c r="G1491" s="9">
        <v>2</v>
      </c>
      <c r="H1491" s="4" t="s">
        <v>52</v>
      </c>
      <c r="I1491" s="4">
        <v>10683785</v>
      </c>
      <c r="J1491" s="4">
        <v>6</v>
      </c>
      <c r="K1491" s="4">
        <v>28</v>
      </c>
      <c r="L1491" s="4">
        <v>28</v>
      </c>
      <c r="M1491" s="4">
        <v>980</v>
      </c>
      <c r="N1491" s="5">
        <v>100800</v>
      </c>
      <c r="O1491" s="5">
        <v>840</v>
      </c>
      <c r="P1491" s="5">
        <v>0</v>
      </c>
      <c r="Q1491" s="5">
        <v>5880</v>
      </c>
      <c r="R1491" s="5">
        <v>6720</v>
      </c>
      <c r="S1491" s="4">
        <v>188.16</v>
      </c>
      <c r="T1491" s="5">
        <v>36960</v>
      </c>
      <c r="U1491" s="5">
        <v>63840</v>
      </c>
      <c r="V1491" s="4">
        <v>164.64</v>
      </c>
      <c r="W1491" s="4">
        <v>0</v>
      </c>
      <c r="X1491" s="4">
        <v>0</v>
      </c>
      <c r="Y1491" s="4">
        <v>0</v>
      </c>
      <c r="Z1491" s="4">
        <v>1</v>
      </c>
      <c r="AA1491" s="4">
        <v>6.0738581146744415E-3</v>
      </c>
      <c r="AB1491" s="4">
        <v>43.5</v>
      </c>
      <c r="AC1491" s="4">
        <v>11.841666666666667</v>
      </c>
      <c r="AD1491" s="4">
        <v>42</v>
      </c>
      <c r="AE1491" s="8"/>
      <c r="AF1491" s="8"/>
      <c r="AG1491" s="8"/>
      <c r="AH1491" s="8"/>
      <c r="AI149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491" s="8"/>
      <c r="AK1491" s="4" t="s">
        <v>51</v>
      </c>
      <c r="AN1491">
        <f>IFERROR(INT(Table13[[#This Row],[reject_prod]]/Table13[[#This Row],[part_weight]] * 1000), 0)</f>
        <v>35</v>
      </c>
    </row>
    <row r="1492" spans="1:40" hidden="1">
      <c r="A1492" s="1">
        <v>46067</v>
      </c>
      <c r="B1492">
        <v>1</v>
      </c>
      <c r="C1492">
        <v>1</v>
      </c>
      <c r="D1492" t="s">
        <v>170</v>
      </c>
      <c r="E1492" t="s">
        <v>34</v>
      </c>
      <c r="F1492">
        <v>323107</v>
      </c>
      <c r="G1492" s="6">
        <v>0</v>
      </c>
      <c r="H1492" t="s">
        <v>845</v>
      </c>
      <c r="I1492">
        <v>10685636</v>
      </c>
      <c r="J1492">
        <v>2</v>
      </c>
      <c r="K1492">
        <v>73</v>
      </c>
      <c r="L1492">
        <v>75</v>
      </c>
      <c r="M1492">
        <v>1182</v>
      </c>
      <c r="N1492" s="2">
        <v>13440</v>
      </c>
      <c r="O1492" s="2">
        <v>100</v>
      </c>
      <c r="P1492" s="2">
        <v>96</v>
      </c>
      <c r="Q1492" s="2">
        <v>2364</v>
      </c>
      <c r="R1492" s="2">
        <v>2400</v>
      </c>
      <c r="S1492">
        <v>180</v>
      </c>
      <c r="T1492" s="2">
        <v>5376</v>
      </c>
      <c r="U1492" s="2">
        <v>8064</v>
      </c>
      <c r="V1492">
        <v>177.3</v>
      </c>
      <c r="W1492">
        <v>0</v>
      </c>
      <c r="X1492">
        <v>0</v>
      </c>
      <c r="Y1492">
        <v>0</v>
      </c>
      <c r="Z1492">
        <v>2.5</v>
      </c>
      <c r="AA1492">
        <v>1.4100394811054708E-2</v>
      </c>
      <c r="AB1492">
        <v>36</v>
      </c>
      <c r="AC1492">
        <v>11.82</v>
      </c>
      <c r="AD1492">
        <v>31.94</v>
      </c>
      <c r="AE1492" s="7"/>
      <c r="AF1492" s="7"/>
      <c r="AG1492" s="7"/>
      <c r="AH1492" s="7"/>
      <c r="AI1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492" s="7"/>
      <c r="AK1492" t="s">
        <v>93</v>
      </c>
      <c r="AN1492">
        <f>IFERROR(INT(Table13[[#This Row],[reject_prod]]/Table13[[#This Row],[part_weight]] * 1000), 0)</f>
        <v>33</v>
      </c>
    </row>
    <row r="1493" spans="1:40" hidden="1">
      <c r="A1493" s="1">
        <v>46067</v>
      </c>
      <c r="B1493">
        <v>1</v>
      </c>
      <c r="C1493">
        <v>2</v>
      </c>
      <c r="D1493" t="s">
        <v>40</v>
      </c>
      <c r="E1493" t="s">
        <v>34</v>
      </c>
      <c r="F1493">
        <v>322493</v>
      </c>
      <c r="G1493" s="6">
        <v>0</v>
      </c>
      <c r="H1493" t="s">
        <v>816</v>
      </c>
      <c r="I1493">
        <v>10686190</v>
      </c>
      <c r="J1493">
        <v>4</v>
      </c>
      <c r="K1493">
        <v>23</v>
      </c>
      <c r="L1493">
        <v>23</v>
      </c>
      <c r="M1493">
        <v>1616</v>
      </c>
      <c r="N1493" s="2">
        <v>61200</v>
      </c>
      <c r="O1493" s="2">
        <v>1020</v>
      </c>
      <c r="P1493" s="2">
        <v>765</v>
      </c>
      <c r="Q1493" s="2">
        <v>6464</v>
      </c>
      <c r="R1493" s="2">
        <v>6375</v>
      </c>
      <c r="S1493">
        <v>146.625</v>
      </c>
      <c r="T1493" s="2">
        <v>26265</v>
      </c>
      <c r="U1493" s="2">
        <v>34935</v>
      </c>
      <c r="V1493">
        <v>148.672</v>
      </c>
      <c r="W1493">
        <v>0</v>
      </c>
      <c r="X1493">
        <v>0</v>
      </c>
      <c r="Y1493">
        <v>0</v>
      </c>
      <c r="Z1493">
        <v>4.5</v>
      </c>
      <c r="AA1493">
        <v>3.0267972449418857E-2</v>
      </c>
      <c r="AB1493">
        <v>26.6</v>
      </c>
      <c r="AC1493">
        <v>11.940444444444445</v>
      </c>
      <c r="AD1493">
        <v>22.5</v>
      </c>
      <c r="AE1493" s="7"/>
      <c r="AF1493" s="7"/>
      <c r="AG1493" s="7"/>
      <c r="AH1493" s="7"/>
      <c r="AI1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5.9555555555554918E-2</v>
      </c>
      <c r="AJ1493" s="7"/>
      <c r="AK1493" t="s">
        <v>200</v>
      </c>
      <c r="AN1493">
        <f>IFERROR(INT(Table13[[#This Row],[reject_prod]]/Table13[[#This Row],[part_weight]] * 1000), 0)</f>
        <v>195</v>
      </c>
    </row>
    <row r="1494" spans="1:40" hidden="1">
      <c r="A1494" s="1">
        <v>46067</v>
      </c>
      <c r="B1494">
        <v>1</v>
      </c>
      <c r="C1494">
        <v>3</v>
      </c>
      <c r="D1494" t="s">
        <v>65</v>
      </c>
      <c r="E1494" t="s">
        <v>34</v>
      </c>
      <c r="F1494">
        <v>442034</v>
      </c>
      <c r="G1494" s="6">
        <v>0</v>
      </c>
      <c r="H1494" t="s">
        <v>37</v>
      </c>
      <c r="I1494">
        <v>10685633</v>
      </c>
      <c r="J1494">
        <v>4</v>
      </c>
      <c r="K1494">
        <v>23</v>
      </c>
      <c r="L1494">
        <v>23</v>
      </c>
      <c r="M1494">
        <v>1504</v>
      </c>
      <c r="N1494" s="2">
        <v>139776</v>
      </c>
      <c r="O1494" s="2">
        <v>3072</v>
      </c>
      <c r="P1494" s="2">
        <v>0</v>
      </c>
      <c r="Q1494" s="2">
        <v>6016</v>
      </c>
      <c r="R1494" s="2">
        <v>9216</v>
      </c>
      <c r="S1494">
        <v>211.96799999999999</v>
      </c>
      <c r="T1494" s="2">
        <v>129024</v>
      </c>
      <c r="U1494" s="2">
        <v>10752</v>
      </c>
      <c r="V1494">
        <v>138.36799999999999</v>
      </c>
      <c r="W1494">
        <v>0</v>
      </c>
      <c r="X1494">
        <v>0</v>
      </c>
      <c r="Y1494">
        <v>0</v>
      </c>
      <c r="Z1494">
        <v>1</v>
      </c>
      <c r="AA1494">
        <v>7.2271045328399629E-3</v>
      </c>
      <c r="AB1494">
        <v>28.5</v>
      </c>
      <c r="AC1494">
        <v>11.906666666666668</v>
      </c>
      <c r="AD1494">
        <v>22</v>
      </c>
      <c r="AE1494" s="7"/>
      <c r="AF1494" s="7"/>
      <c r="AG1494" s="7"/>
      <c r="AH1494" s="7"/>
      <c r="AI1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9.3333333333331936E-2</v>
      </c>
      <c r="AJ1494" s="7"/>
      <c r="AK1494" t="s">
        <v>214</v>
      </c>
      <c r="AN1494">
        <f>IFERROR(INT(Table13[[#This Row],[reject_prod]]/Table13[[#This Row],[part_weight]] * 1000), 0)</f>
        <v>43</v>
      </c>
    </row>
    <row r="1495" spans="1:40" hidden="1">
      <c r="A1495" s="1">
        <v>46067</v>
      </c>
      <c r="B1495">
        <v>1</v>
      </c>
      <c r="C1495">
        <v>4</v>
      </c>
      <c r="D1495" t="s">
        <v>67</v>
      </c>
      <c r="E1495" t="s">
        <v>34</v>
      </c>
      <c r="F1495">
        <v>409780</v>
      </c>
      <c r="G1495" s="6">
        <v>0</v>
      </c>
      <c r="H1495" t="s">
        <v>829</v>
      </c>
      <c r="I1495">
        <v>10687750</v>
      </c>
      <c r="J1495">
        <v>3</v>
      </c>
      <c r="K1495">
        <v>29</v>
      </c>
      <c r="L1495">
        <v>29</v>
      </c>
      <c r="M1495">
        <v>933</v>
      </c>
      <c r="N1495" s="2">
        <v>40608</v>
      </c>
      <c r="O1495" s="2">
        <v>0</v>
      </c>
      <c r="P1495" s="2">
        <v>2538</v>
      </c>
      <c r="Q1495" s="2">
        <v>2799</v>
      </c>
      <c r="R1495" s="2">
        <v>0</v>
      </c>
      <c r="S1495">
        <v>0</v>
      </c>
      <c r="T1495" s="2">
        <v>2538</v>
      </c>
      <c r="U1495" s="2">
        <v>38070</v>
      </c>
      <c r="V1495">
        <v>81.171000000000006</v>
      </c>
      <c r="W1495">
        <v>0</v>
      </c>
      <c r="X1495">
        <v>6.5</v>
      </c>
      <c r="Y1495">
        <v>8.0077860319572258E-2</v>
      </c>
      <c r="Z1495">
        <v>0</v>
      </c>
      <c r="AA1495">
        <v>0</v>
      </c>
      <c r="AB1495">
        <v>26.3</v>
      </c>
      <c r="AC1495">
        <v>6.8160833333333333</v>
      </c>
      <c r="AD1495">
        <v>24</v>
      </c>
      <c r="AE1495" s="7"/>
      <c r="AF1495" s="7"/>
      <c r="AG1495" s="7"/>
      <c r="AH1495" s="7"/>
      <c r="AI1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5.1839166666666667</v>
      </c>
      <c r="AJ1495" s="7"/>
      <c r="AK1495" t="s">
        <v>866</v>
      </c>
      <c r="AN1495">
        <f>IFERROR(INT(Table13[[#This Row],[reject_prod]]/Table13[[#This Row],[part_weight]] * 1000), 0)</f>
        <v>0</v>
      </c>
    </row>
    <row r="1496" spans="1:40" hidden="1">
      <c r="A1496" s="1">
        <v>46067</v>
      </c>
      <c r="B1496">
        <v>1</v>
      </c>
      <c r="C1496">
        <v>5</v>
      </c>
      <c r="D1496" t="s">
        <v>127</v>
      </c>
      <c r="E1496" t="s">
        <v>34</v>
      </c>
      <c r="F1496">
        <v>322503</v>
      </c>
      <c r="G1496" s="6">
        <v>0</v>
      </c>
      <c r="H1496" t="s">
        <v>850</v>
      </c>
      <c r="I1496">
        <v>10685207</v>
      </c>
      <c r="J1496">
        <v>4</v>
      </c>
      <c r="K1496">
        <v>44</v>
      </c>
      <c r="L1496">
        <v>44</v>
      </c>
      <c r="M1496">
        <v>387</v>
      </c>
      <c r="N1496" s="2">
        <v>8256</v>
      </c>
      <c r="O1496" s="2">
        <v>2580</v>
      </c>
      <c r="P1496" s="2">
        <v>0</v>
      </c>
      <c r="Q1496" s="2">
        <v>1548</v>
      </c>
      <c r="R1496" s="2">
        <v>4128</v>
      </c>
      <c r="S1496">
        <v>181.63200000000001</v>
      </c>
      <c r="T1496" s="2">
        <v>8256</v>
      </c>
      <c r="U1496" s="2">
        <v>0</v>
      </c>
      <c r="V1496">
        <v>68.111999999999995</v>
      </c>
      <c r="W1496">
        <v>0</v>
      </c>
      <c r="X1496">
        <v>0</v>
      </c>
      <c r="Y1496">
        <v>0</v>
      </c>
      <c r="Z1496">
        <v>3.5</v>
      </c>
      <c r="AA1496">
        <v>5.1385952548743251E-2</v>
      </c>
      <c r="AB1496">
        <v>33.4</v>
      </c>
      <c r="AC1496">
        <v>3.5904999999999996</v>
      </c>
      <c r="AD1496">
        <v>28.88</v>
      </c>
      <c r="AE1496" s="7"/>
      <c r="AF1496" s="7"/>
      <c r="AG1496" s="7"/>
      <c r="AH1496" s="7"/>
      <c r="AI1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8.4095000000000013</v>
      </c>
      <c r="AJ1496" s="7"/>
      <c r="AK1496" t="s">
        <v>867</v>
      </c>
      <c r="AN1496">
        <f>IFERROR(INT(Table13[[#This Row],[reject_prod]]/Table13[[#This Row],[part_weight]] * 1000), 0)</f>
        <v>79</v>
      </c>
    </row>
    <row r="1497" spans="1:40" hidden="1">
      <c r="A1497" s="1">
        <v>46067</v>
      </c>
      <c r="B1497">
        <v>1</v>
      </c>
      <c r="C1497">
        <v>5</v>
      </c>
      <c r="D1497" t="s">
        <v>127</v>
      </c>
      <c r="E1497" t="s">
        <v>34</v>
      </c>
      <c r="F1497">
        <v>322503</v>
      </c>
      <c r="G1497" s="6">
        <v>0</v>
      </c>
      <c r="H1497" t="s">
        <v>850</v>
      </c>
      <c r="I1497">
        <v>10681842</v>
      </c>
      <c r="J1497">
        <v>4</v>
      </c>
      <c r="K1497">
        <v>44</v>
      </c>
      <c r="L1497">
        <v>44</v>
      </c>
      <c r="M1497">
        <v>875</v>
      </c>
      <c r="N1497" s="2">
        <v>18576</v>
      </c>
      <c r="O1497" s="2">
        <v>0</v>
      </c>
      <c r="P1497" s="2">
        <v>688</v>
      </c>
      <c r="Q1497" s="2">
        <v>3500</v>
      </c>
      <c r="R1497" s="2">
        <v>2064</v>
      </c>
      <c r="S1497">
        <v>90.816000000000003</v>
      </c>
      <c r="T1497" s="2">
        <v>2732</v>
      </c>
      <c r="U1497" s="2">
        <v>15844</v>
      </c>
      <c r="V1497">
        <v>154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33.4</v>
      </c>
      <c r="AC1497">
        <v>8.1180555555555554</v>
      </c>
      <c r="AD1497">
        <v>28.88</v>
      </c>
      <c r="AE1497" s="7"/>
      <c r="AF1497" s="7"/>
      <c r="AG1497" s="7"/>
      <c r="AH1497" s="7"/>
      <c r="AI1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3.8819444444444446</v>
      </c>
      <c r="AJ1497" s="7"/>
      <c r="AK1497" t="s">
        <v>214</v>
      </c>
      <c r="AN1497">
        <f>IFERROR(INT(Table13[[#This Row],[reject_prod]]/Table13[[#This Row],[part_weight]] * 1000), 0)</f>
        <v>0</v>
      </c>
    </row>
    <row r="1498" spans="1:40" hidden="1">
      <c r="A1498" s="1">
        <v>46067</v>
      </c>
      <c r="B1498">
        <v>1</v>
      </c>
      <c r="C1498">
        <v>6</v>
      </c>
      <c r="D1498" t="s">
        <v>141</v>
      </c>
      <c r="E1498" t="s">
        <v>41</v>
      </c>
      <c r="F1498">
        <v>620994</v>
      </c>
      <c r="G1498" s="6">
        <v>0</v>
      </c>
      <c r="H1498" t="s">
        <v>42</v>
      </c>
      <c r="I1498">
        <v>10686806</v>
      </c>
      <c r="J1498">
        <v>4</v>
      </c>
      <c r="K1498">
        <v>32.74</v>
      </c>
      <c r="L1498">
        <v>33</v>
      </c>
      <c r="M1498">
        <v>1819</v>
      </c>
      <c r="N1498" s="2">
        <v>104192</v>
      </c>
      <c r="O1498" s="2">
        <v>2960</v>
      </c>
      <c r="P1498" s="2">
        <v>2960</v>
      </c>
      <c r="Q1498" s="2">
        <v>7276</v>
      </c>
      <c r="R1498" s="2">
        <v>7104</v>
      </c>
      <c r="S1498">
        <v>234.43199999999999</v>
      </c>
      <c r="T1498" s="2">
        <v>13616</v>
      </c>
      <c r="U1498" s="2">
        <v>90576</v>
      </c>
      <c r="V1498">
        <v>240.108</v>
      </c>
      <c r="W1498">
        <v>0</v>
      </c>
      <c r="X1498">
        <v>0</v>
      </c>
      <c r="Y1498">
        <v>0</v>
      </c>
      <c r="Z1498">
        <v>1</v>
      </c>
      <c r="AA1498">
        <v>4.1647925100371502E-3</v>
      </c>
      <c r="AB1498">
        <v>23.3</v>
      </c>
      <c r="AC1498">
        <v>11.772972222222222</v>
      </c>
      <c r="AD1498">
        <v>22</v>
      </c>
      <c r="AE1498" s="7"/>
      <c r="AF1498" s="7"/>
      <c r="AG1498" s="7"/>
      <c r="AH1498" s="7"/>
      <c r="AI1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0.22702777777777783</v>
      </c>
      <c r="AJ1498" s="7"/>
      <c r="AK1498" t="s">
        <v>214</v>
      </c>
      <c r="AN1498">
        <f>IFERROR(INT(Table13[[#This Row],[reject_prod]]/Table13[[#This Row],[part_weight]] * 1000), 0)</f>
        <v>30</v>
      </c>
    </row>
    <row r="1499" spans="1:40" hidden="1">
      <c r="A1499" s="1">
        <v>46067</v>
      </c>
      <c r="B1499">
        <v>1</v>
      </c>
      <c r="C1499">
        <v>7</v>
      </c>
      <c r="D1499" t="s">
        <v>853</v>
      </c>
      <c r="E1499" t="s">
        <v>34</v>
      </c>
      <c r="F1499">
        <v>324177</v>
      </c>
      <c r="G1499" s="6">
        <v>0</v>
      </c>
      <c r="H1499" t="s">
        <v>246</v>
      </c>
      <c r="I1499">
        <v>10686803</v>
      </c>
      <c r="J1499">
        <v>4</v>
      </c>
      <c r="K1499">
        <v>34.5</v>
      </c>
      <c r="L1499">
        <v>34.5</v>
      </c>
      <c r="M1499">
        <v>1936</v>
      </c>
      <c r="N1499" s="2">
        <v>93600</v>
      </c>
      <c r="O1499" s="2">
        <v>360</v>
      </c>
      <c r="P1499" s="2">
        <v>0</v>
      </c>
      <c r="Q1499" s="2">
        <v>7744</v>
      </c>
      <c r="R1499" s="2">
        <v>7800</v>
      </c>
      <c r="S1499">
        <v>269.10000000000002</v>
      </c>
      <c r="T1499" s="2">
        <v>46020</v>
      </c>
      <c r="U1499" s="2">
        <v>47580</v>
      </c>
      <c r="V1499">
        <v>267.16800000000001</v>
      </c>
      <c r="W1499">
        <v>0</v>
      </c>
      <c r="X1499">
        <v>0</v>
      </c>
      <c r="Y1499">
        <v>0</v>
      </c>
      <c r="Z1499">
        <v>6.5</v>
      </c>
      <c r="AA1499">
        <v>2.4329260989340039E-2</v>
      </c>
      <c r="AB1499">
        <v>23.31</v>
      </c>
      <c r="AC1499">
        <v>12</v>
      </c>
      <c r="AD1499">
        <v>22</v>
      </c>
      <c r="AE1499" s="7"/>
      <c r="AF1499" s="7"/>
      <c r="AG1499" s="7"/>
      <c r="AH1499" s="7"/>
      <c r="AI1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99" s="7"/>
      <c r="AK1499" t="s">
        <v>168</v>
      </c>
      <c r="AN1499">
        <f>IFERROR(INT(Table13[[#This Row],[reject_prod]]/Table13[[#This Row],[part_weight]] * 1000), 0)</f>
        <v>188</v>
      </c>
    </row>
    <row r="1500" spans="1:40" hidden="1">
      <c r="A1500" s="1">
        <v>46067</v>
      </c>
      <c r="B1500">
        <v>1</v>
      </c>
      <c r="C1500">
        <v>8</v>
      </c>
      <c r="D1500" t="s">
        <v>868</v>
      </c>
      <c r="E1500" t="s">
        <v>41</v>
      </c>
      <c r="F1500">
        <v>593537</v>
      </c>
      <c r="G1500" s="6">
        <v>0</v>
      </c>
      <c r="H1500" t="s">
        <v>48</v>
      </c>
      <c r="I1500">
        <v>10687586</v>
      </c>
      <c r="J1500">
        <v>4</v>
      </c>
      <c r="K1500">
        <v>56.5</v>
      </c>
      <c r="L1500">
        <v>56.8</v>
      </c>
      <c r="M1500">
        <v>1433</v>
      </c>
      <c r="N1500" s="2">
        <v>69000</v>
      </c>
      <c r="O1500" s="2">
        <v>0</v>
      </c>
      <c r="P1500" s="2">
        <v>0</v>
      </c>
      <c r="Q1500" s="2">
        <v>5732</v>
      </c>
      <c r="R1500" s="2">
        <v>5750</v>
      </c>
      <c r="S1500">
        <v>326.60000000000002</v>
      </c>
      <c r="T1500" s="2">
        <v>45425</v>
      </c>
      <c r="U1500" s="2">
        <v>23575</v>
      </c>
      <c r="V1500">
        <v>325.57759999999996</v>
      </c>
      <c r="W1500">
        <v>0</v>
      </c>
      <c r="X1500">
        <v>0</v>
      </c>
      <c r="Y1500">
        <v>0</v>
      </c>
      <c r="Z1500">
        <v>2</v>
      </c>
      <c r="AA1500">
        <v>6.1429287518551656E-3</v>
      </c>
      <c r="AB1500">
        <v>30.5</v>
      </c>
      <c r="AC1500">
        <v>12</v>
      </c>
      <c r="AD1500">
        <v>28.5</v>
      </c>
      <c r="AE1500" s="7"/>
      <c r="AF1500" s="7"/>
      <c r="AG1500" s="7"/>
      <c r="AH1500" s="7"/>
      <c r="AI1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00" s="7"/>
      <c r="AK1500" t="s">
        <v>178</v>
      </c>
      <c r="AN1500">
        <f>IFERROR(INT(Table13[[#This Row],[reject_prod]]/Table13[[#This Row],[part_weight]] * 1000), 0)</f>
        <v>35</v>
      </c>
    </row>
    <row r="1501" spans="1:40" hidden="1">
      <c r="A1501" s="1">
        <v>46067</v>
      </c>
      <c r="B1501">
        <v>1</v>
      </c>
      <c r="C1501">
        <v>9</v>
      </c>
      <c r="D1501" t="s">
        <v>853</v>
      </c>
      <c r="E1501" t="s">
        <v>46</v>
      </c>
      <c r="F1501">
        <v>586276</v>
      </c>
      <c r="G1501" s="6">
        <v>1</v>
      </c>
      <c r="H1501" t="s">
        <v>47</v>
      </c>
      <c r="I1501">
        <v>10683781</v>
      </c>
      <c r="J1501">
        <v>6</v>
      </c>
      <c r="K1501">
        <v>12.3</v>
      </c>
      <c r="L1501">
        <v>12.3</v>
      </c>
      <c r="M1501">
        <v>1621</v>
      </c>
      <c r="N1501" s="2">
        <v>162000</v>
      </c>
      <c r="O1501" s="2">
        <v>2430</v>
      </c>
      <c r="P1501" s="2">
        <v>5670</v>
      </c>
      <c r="Q1501" s="2">
        <v>9726</v>
      </c>
      <c r="R1501" s="2">
        <v>8100</v>
      </c>
      <c r="S1501">
        <v>99.63</v>
      </c>
      <c r="T1501" s="2">
        <v>151470</v>
      </c>
      <c r="U1501" s="2">
        <v>10530</v>
      </c>
      <c r="V1501">
        <v>119.6298</v>
      </c>
      <c r="W1501">
        <v>0</v>
      </c>
      <c r="X1501">
        <v>0</v>
      </c>
      <c r="Y1501">
        <v>0</v>
      </c>
      <c r="Z1501">
        <v>3.5</v>
      </c>
      <c r="AA1501">
        <v>2.9256924278064495E-2</v>
      </c>
      <c r="AB1501">
        <v>26.5</v>
      </c>
      <c r="AC1501">
        <v>11.93236111111111</v>
      </c>
      <c r="AD1501">
        <v>26</v>
      </c>
      <c r="AE1501" s="7"/>
      <c r="AF1501" s="7"/>
      <c r="AG1501" s="7"/>
      <c r="AH1501" s="7"/>
      <c r="AI1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6.7638888888890136E-2</v>
      </c>
      <c r="AJ1501" s="7"/>
      <c r="AK1501" t="s">
        <v>854</v>
      </c>
      <c r="AN1501">
        <f>IFERROR(INT(Table13[[#This Row],[reject_prod]]/Table13[[#This Row],[part_weight]] * 1000), 0)</f>
        <v>284</v>
      </c>
    </row>
    <row r="1502" spans="1:40" hidden="1">
      <c r="A1502" s="1">
        <v>46067</v>
      </c>
      <c r="B1502">
        <v>1</v>
      </c>
      <c r="C1502">
        <v>10</v>
      </c>
      <c r="D1502" t="s">
        <v>112</v>
      </c>
      <c r="E1502" t="s">
        <v>34</v>
      </c>
      <c r="F1502">
        <v>410269</v>
      </c>
      <c r="G1502" s="6">
        <v>0</v>
      </c>
      <c r="H1502" t="s">
        <v>811</v>
      </c>
      <c r="I1502">
        <v>10686034</v>
      </c>
      <c r="J1502">
        <v>4</v>
      </c>
      <c r="K1502">
        <v>49</v>
      </c>
      <c r="L1502">
        <v>48.5</v>
      </c>
      <c r="M1502">
        <v>1461</v>
      </c>
      <c r="N1502" s="2">
        <v>28875</v>
      </c>
      <c r="O1502" s="2">
        <v>0</v>
      </c>
      <c r="P1502" s="2">
        <v>0</v>
      </c>
      <c r="Q1502" s="2">
        <v>5844</v>
      </c>
      <c r="R1502" s="2">
        <v>5775</v>
      </c>
      <c r="S1502">
        <v>280.08749999999998</v>
      </c>
      <c r="T1502" s="2">
        <v>26250</v>
      </c>
      <c r="U1502" s="2">
        <v>2625</v>
      </c>
      <c r="V1502">
        <v>283.43400000000003</v>
      </c>
      <c r="W1502">
        <v>0</v>
      </c>
      <c r="X1502">
        <v>0</v>
      </c>
      <c r="Y1502">
        <v>0</v>
      </c>
      <c r="Z1502">
        <v>2.5</v>
      </c>
      <c r="AA1502">
        <v>8.820395577100841E-3</v>
      </c>
      <c r="AB1502">
        <v>29.1</v>
      </c>
      <c r="AC1502">
        <v>11.809749999999999</v>
      </c>
      <c r="AD1502">
        <v>26.4</v>
      </c>
      <c r="AE1502" s="7"/>
      <c r="AF1502" s="7"/>
      <c r="AG1502" s="7"/>
      <c r="AH1502" s="7"/>
      <c r="AI1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0.1902500000000007</v>
      </c>
      <c r="AJ1502" s="7"/>
      <c r="AK1502" t="s">
        <v>214</v>
      </c>
      <c r="AN1502">
        <f>IFERROR(INT(Table13[[#This Row],[reject_prod]]/Table13[[#This Row],[part_weight]] * 1000), 0)</f>
        <v>51</v>
      </c>
    </row>
    <row r="1503" spans="1:40" hidden="1">
      <c r="A1503" s="1">
        <v>46067</v>
      </c>
      <c r="B1503">
        <v>1</v>
      </c>
      <c r="C1503">
        <v>11</v>
      </c>
      <c r="D1503" t="s">
        <v>61</v>
      </c>
      <c r="E1503" t="s">
        <v>46</v>
      </c>
      <c r="F1503">
        <v>552181</v>
      </c>
      <c r="G1503" s="6">
        <v>1</v>
      </c>
      <c r="H1503" t="s">
        <v>49</v>
      </c>
      <c r="I1503">
        <v>10686672</v>
      </c>
      <c r="J1503">
        <v>6</v>
      </c>
      <c r="K1503">
        <v>18.8</v>
      </c>
      <c r="L1503">
        <v>18.8</v>
      </c>
      <c r="M1503">
        <v>1461</v>
      </c>
      <c r="N1503" s="2">
        <v>108000</v>
      </c>
      <c r="O1503" s="2">
        <v>3510</v>
      </c>
      <c r="P1503" s="2">
        <v>1890</v>
      </c>
      <c r="Q1503" s="2">
        <v>8766</v>
      </c>
      <c r="R1503" s="2">
        <v>10800</v>
      </c>
      <c r="S1503">
        <v>203.04</v>
      </c>
      <c r="T1503" s="2">
        <v>61290</v>
      </c>
      <c r="U1503" s="2">
        <v>46710</v>
      </c>
      <c r="V1503">
        <v>164.80080000000001</v>
      </c>
      <c r="W1503">
        <v>0</v>
      </c>
      <c r="X1503">
        <v>0</v>
      </c>
      <c r="Y1503">
        <v>0</v>
      </c>
      <c r="Z1503">
        <v>3.5</v>
      </c>
      <c r="AA1503">
        <v>2.1237760981742806E-2</v>
      </c>
      <c r="AB1503">
        <v>29.4</v>
      </c>
      <c r="AC1503">
        <v>11.931499999999998</v>
      </c>
      <c r="AD1503">
        <v>27</v>
      </c>
      <c r="AE1503" s="7"/>
      <c r="AF1503" s="7"/>
      <c r="AG1503" s="7"/>
      <c r="AH1503" s="7"/>
      <c r="AI1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6.8500000000002004E-2</v>
      </c>
      <c r="AJ1503" s="7"/>
      <c r="AK1503" t="s">
        <v>51</v>
      </c>
      <c r="AN1503">
        <f>IFERROR(INT(Table13[[#This Row],[reject_prod]]/Table13[[#This Row],[part_weight]] * 1000), 0)</f>
        <v>186</v>
      </c>
    </row>
    <row r="1504" spans="1:40" hidden="1">
      <c r="A1504" s="1">
        <v>46067</v>
      </c>
      <c r="B1504">
        <v>1</v>
      </c>
      <c r="C1504">
        <v>12</v>
      </c>
      <c r="D1504" t="s">
        <v>152</v>
      </c>
      <c r="E1504" t="s">
        <v>34</v>
      </c>
      <c r="F1504">
        <v>620599</v>
      </c>
      <c r="G1504" s="6">
        <v>0</v>
      </c>
      <c r="H1504" t="s">
        <v>50</v>
      </c>
      <c r="I1504">
        <v>10686674</v>
      </c>
      <c r="J1504">
        <v>4</v>
      </c>
      <c r="K1504">
        <v>55</v>
      </c>
      <c r="L1504">
        <v>55</v>
      </c>
      <c r="M1504">
        <v>1069</v>
      </c>
      <c r="N1504" s="2">
        <v>72000</v>
      </c>
      <c r="O1504" s="2">
        <v>1125</v>
      </c>
      <c r="P1504" s="2">
        <v>0</v>
      </c>
      <c r="Q1504" s="2">
        <v>4276</v>
      </c>
      <c r="R1504" s="2">
        <v>5400</v>
      </c>
      <c r="S1504">
        <v>297</v>
      </c>
      <c r="T1504" s="2">
        <v>72000</v>
      </c>
      <c r="U1504" s="2">
        <v>0</v>
      </c>
      <c r="V1504">
        <v>235.18</v>
      </c>
      <c r="W1504">
        <v>0</v>
      </c>
      <c r="X1504">
        <v>0</v>
      </c>
      <c r="Y1504">
        <v>0</v>
      </c>
      <c r="Z1504">
        <v>1.5</v>
      </c>
      <c r="AA1504">
        <v>6.3780933752870137E-3</v>
      </c>
      <c r="AB1504">
        <v>28.6</v>
      </c>
      <c r="AC1504">
        <v>8.4926111111111116</v>
      </c>
      <c r="AD1504">
        <v>28</v>
      </c>
      <c r="AE1504" s="7"/>
      <c r="AF1504" s="7"/>
      <c r="AG1504" s="7"/>
      <c r="AH1504" s="7"/>
      <c r="AI1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3.5073888888888884</v>
      </c>
      <c r="AJ1504" s="7"/>
      <c r="AK1504" t="s">
        <v>869</v>
      </c>
      <c r="AN1504">
        <f>IFERROR(INT(Table13[[#This Row],[reject_prod]]/Table13[[#This Row],[part_weight]] * 1000), 0)</f>
        <v>27</v>
      </c>
    </row>
    <row r="1505" spans="1:40" hidden="1">
      <c r="A1505" s="1">
        <v>46067</v>
      </c>
      <c r="B1505">
        <v>1</v>
      </c>
      <c r="C1505">
        <v>12</v>
      </c>
      <c r="D1505" t="s">
        <v>152</v>
      </c>
      <c r="E1505" t="s">
        <v>34</v>
      </c>
      <c r="F1505">
        <v>620599</v>
      </c>
      <c r="G1505" s="6">
        <v>0</v>
      </c>
      <c r="H1505" t="s">
        <v>50</v>
      </c>
      <c r="I1505">
        <v>10686675</v>
      </c>
      <c r="J1505">
        <v>4</v>
      </c>
      <c r="K1505">
        <v>55</v>
      </c>
      <c r="L1505">
        <v>55</v>
      </c>
      <c r="M1505">
        <v>246</v>
      </c>
      <c r="N1505" s="2">
        <v>72000</v>
      </c>
      <c r="O1505" s="2">
        <v>0</v>
      </c>
      <c r="P1505" s="2">
        <v>900</v>
      </c>
      <c r="Q1505" s="2">
        <v>984</v>
      </c>
      <c r="R1505" s="2">
        <v>0</v>
      </c>
      <c r="S1505">
        <v>0</v>
      </c>
      <c r="T1505" s="2">
        <v>900</v>
      </c>
      <c r="U1505" s="2">
        <v>71100</v>
      </c>
      <c r="V1505">
        <v>54.12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28.6</v>
      </c>
      <c r="AC1505">
        <v>1.9543333333333335</v>
      </c>
      <c r="AD1505">
        <v>28</v>
      </c>
      <c r="AE1505" s="7"/>
      <c r="AF1505" s="7"/>
      <c r="AG1505" s="7"/>
      <c r="AH1505" s="7"/>
      <c r="AI1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10.045666666666666</v>
      </c>
      <c r="AJ1505" s="7"/>
      <c r="AK1505" t="s">
        <v>178</v>
      </c>
      <c r="AN1505">
        <f>IFERROR(INT(Table13[[#This Row],[reject_prod]]/Table13[[#This Row],[part_weight]] * 1000), 0)</f>
        <v>0</v>
      </c>
    </row>
    <row r="1506" spans="1:40" hidden="1">
      <c r="A1506" s="1">
        <v>46067</v>
      </c>
      <c r="B1506">
        <v>1</v>
      </c>
      <c r="C1506">
        <v>13</v>
      </c>
      <c r="D1506" t="s">
        <v>61</v>
      </c>
      <c r="E1506" t="s">
        <v>46</v>
      </c>
      <c r="F1506">
        <v>586276</v>
      </c>
      <c r="G1506" s="6">
        <v>2</v>
      </c>
      <c r="H1506" t="s">
        <v>47</v>
      </c>
      <c r="I1506">
        <v>10686676</v>
      </c>
      <c r="J1506">
        <v>6</v>
      </c>
      <c r="K1506">
        <v>12.3</v>
      </c>
      <c r="L1506">
        <v>12.3</v>
      </c>
      <c r="M1506">
        <v>1628</v>
      </c>
      <c r="N1506" s="2">
        <v>162000</v>
      </c>
      <c r="O1506" s="2">
        <v>3240</v>
      </c>
      <c r="P1506" s="2">
        <v>4860</v>
      </c>
      <c r="Q1506" s="2">
        <v>9768</v>
      </c>
      <c r="R1506" s="2">
        <v>8100</v>
      </c>
      <c r="S1506">
        <v>99.63</v>
      </c>
      <c r="T1506" s="2">
        <v>102060</v>
      </c>
      <c r="U1506" s="2">
        <v>59940</v>
      </c>
      <c r="V1506">
        <v>120.14640000000001</v>
      </c>
      <c r="W1506">
        <v>0</v>
      </c>
      <c r="X1506">
        <v>0</v>
      </c>
      <c r="Y1506">
        <v>0</v>
      </c>
      <c r="Z1506">
        <v>1</v>
      </c>
      <c r="AA1506">
        <v>8.3231790548863715E-3</v>
      </c>
      <c r="AB1506">
        <v>26.2</v>
      </c>
      <c r="AC1506">
        <v>11.848222222222223</v>
      </c>
      <c r="AD1506">
        <v>26</v>
      </c>
      <c r="AE1506" s="7"/>
      <c r="AF1506" s="7"/>
      <c r="AG1506" s="7"/>
      <c r="AH1506" s="7"/>
      <c r="AI1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506" s="7"/>
      <c r="AK1506" t="s">
        <v>51</v>
      </c>
      <c r="AN1506">
        <f>IFERROR(INT(Table13[[#This Row],[reject_prod]]/Table13[[#This Row],[part_weight]] * 1000), 0)</f>
        <v>81</v>
      </c>
    </row>
    <row r="1507" spans="1:40" hidden="1">
      <c r="A1507" s="1">
        <v>46067</v>
      </c>
      <c r="B1507">
        <v>1</v>
      </c>
      <c r="C1507">
        <v>14</v>
      </c>
      <c r="D1507" t="s">
        <v>870</v>
      </c>
      <c r="E1507" t="s">
        <v>34</v>
      </c>
      <c r="F1507">
        <v>541381</v>
      </c>
      <c r="G1507" s="6">
        <v>0</v>
      </c>
      <c r="H1507" t="s">
        <v>804</v>
      </c>
      <c r="I1507">
        <v>10686678</v>
      </c>
      <c r="J1507">
        <v>4</v>
      </c>
      <c r="K1507">
        <v>55</v>
      </c>
      <c r="L1507">
        <v>55</v>
      </c>
      <c r="M1507">
        <v>962</v>
      </c>
      <c r="N1507" s="2">
        <v>84000</v>
      </c>
      <c r="O1507" s="2">
        <v>0</v>
      </c>
      <c r="P1507" s="2">
        <v>350</v>
      </c>
      <c r="Q1507" s="2">
        <v>3848</v>
      </c>
      <c r="R1507" s="2">
        <v>2800</v>
      </c>
      <c r="S1507">
        <v>154</v>
      </c>
      <c r="T1507" s="2">
        <v>3150</v>
      </c>
      <c r="U1507" s="2">
        <v>80850</v>
      </c>
      <c r="V1507">
        <v>211.64</v>
      </c>
      <c r="W1507">
        <v>0</v>
      </c>
      <c r="X1507">
        <v>55</v>
      </c>
      <c r="Y1507">
        <v>0.25987525987525989</v>
      </c>
      <c r="Z1507">
        <v>0</v>
      </c>
      <c r="AA1507">
        <v>0</v>
      </c>
      <c r="AB1507">
        <v>26</v>
      </c>
      <c r="AC1507">
        <v>6.9477777777777776</v>
      </c>
      <c r="AD1507">
        <v>30.08</v>
      </c>
      <c r="AE1507" s="7"/>
      <c r="AF1507" s="7"/>
      <c r="AG1507" s="7"/>
      <c r="AH1507" s="7"/>
      <c r="AI1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5.0522222222222224</v>
      </c>
      <c r="AJ1507" s="7"/>
      <c r="AK1507" t="s">
        <v>871</v>
      </c>
      <c r="AN1507">
        <f>IFERROR(INT(Table13[[#This Row],[reject_prod]]/Table13[[#This Row],[part_weight]] * 1000), 0)</f>
        <v>0</v>
      </c>
    </row>
    <row r="1508" spans="1:40" hidden="1">
      <c r="A1508" s="1">
        <v>46067</v>
      </c>
      <c r="B1508">
        <v>1</v>
      </c>
      <c r="C1508">
        <v>15</v>
      </c>
      <c r="D1508" t="s">
        <v>61</v>
      </c>
      <c r="E1508" t="s">
        <v>46</v>
      </c>
      <c r="F1508">
        <v>550076</v>
      </c>
      <c r="G1508" s="6">
        <v>0</v>
      </c>
      <c r="H1508" t="s">
        <v>857</v>
      </c>
      <c r="I1508">
        <v>10687863</v>
      </c>
      <c r="J1508">
        <v>6</v>
      </c>
      <c r="K1508">
        <v>18.8</v>
      </c>
      <c r="L1508">
        <v>18.8</v>
      </c>
      <c r="M1508">
        <v>656</v>
      </c>
      <c r="N1508" s="2">
        <v>108000</v>
      </c>
      <c r="O1508" s="2">
        <v>0</v>
      </c>
      <c r="P1508" s="2">
        <v>3240</v>
      </c>
      <c r="Q1508" s="2">
        <v>3936</v>
      </c>
      <c r="R1508" s="2">
        <v>0</v>
      </c>
      <c r="S1508">
        <v>0</v>
      </c>
      <c r="T1508" s="2">
        <v>3240</v>
      </c>
      <c r="U1508" s="2">
        <v>104760</v>
      </c>
      <c r="V1508">
        <v>73.996800000000007</v>
      </c>
      <c r="W1508">
        <v>0</v>
      </c>
      <c r="X1508">
        <v>4.5</v>
      </c>
      <c r="Y1508">
        <v>6.0813440581214316E-2</v>
      </c>
      <c r="Z1508">
        <v>0</v>
      </c>
      <c r="AA1508">
        <v>0</v>
      </c>
      <c r="AB1508">
        <v>31.2</v>
      </c>
      <c r="AC1508">
        <v>5.6853333333333333</v>
      </c>
      <c r="AD1508">
        <v>22.5</v>
      </c>
      <c r="AE1508" s="7"/>
      <c r="AF1508" s="7"/>
      <c r="AG1508" s="7"/>
      <c r="AH1508" s="7"/>
      <c r="AI1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6.3146666666666667</v>
      </c>
      <c r="AJ1508" s="7"/>
      <c r="AK1508" t="s">
        <v>872</v>
      </c>
      <c r="AN1508">
        <f>IFERROR(INT(Table13[[#This Row],[reject_prod]]/Table13[[#This Row],[part_weight]] * 1000), 0)</f>
        <v>0</v>
      </c>
    </row>
    <row r="1509" spans="1:40" s="4" customFormat="1" hidden="1">
      <c r="A1509" s="3">
        <v>46067</v>
      </c>
      <c r="B1509" s="4">
        <v>1</v>
      </c>
      <c r="C1509" s="4">
        <v>16</v>
      </c>
      <c r="D1509" s="4" t="s">
        <v>873</v>
      </c>
      <c r="E1509" s="4" t="s">
        <v>46</v>
      </c>
      <c r="F1509" s="4">
        <v>555979</v>
      </c>
      <c r="G1509" s="9">
        <v>2</v>
      </c>
      <c r="H1509" s="4" t="s">
        <v>52</v>
      </c>
      <c r="I1509" s="4">
        <v>10683785</v>
      </c>
      <c r="J1509" s="4">
        <v>6</v>
      </c>
      <c r="K1509" s="4">
        <v>28</v>
      </c>
      <c r="L1509" s="4">
        <v>28</v>
      </c>
      <c r="M1509" s="4">
        <v>588</v>
      </c>
      <c r="N1509" s="5">
        <v>100800</v>
      </c>
      <c r="O1509" s="5">
        <v>0</v>
      </c>
      <c r="P1509" s="5">
        <v>2688</v>
      </c>
      <c r="Q1509" s="5">
        <v>3528</v>
      </c>
      <c r="R1509" s="5">
        <v>0</v>
      </c>
      <c r="S1509" s="4">
        <v>0</v>
      </c>
      <c r="T1509" s="5">
        <v>39648</v>
      </c>
      <c r="U1509" s="5">
        <v>61152</v>
      </c>
      <c r="V1509" s="4">
        <v>98.784000000000006</v>
      </c>
      <c r="W1509" s="4">
        <v>0</v>
      </c>
      <c r="X1509" s="4">
        <v>8.5</v>
      </c>
      <c r="Y1509" s="4">
        <v>8.6046323291221249E-2</v>
      </c>
      <c r="Z1509" s="4">
        <v>0</v>
      </c>
      <c r="AA1509" s="4">
        <v>0</v>
      </c>
      <c r="AB1509" s="4">
        <v>43.5</v>
      </c>
      <c r="AC1509" s="4">
        <v>7.1049999999999995</v>
      </c>
      <c r="AD1509" s="4">
        <v>42</v>
      </c>
      <c r="AE1509" s="8"/>
      <c r="AF1509" s="8"/>
      <c r="AG1509" s="8"/>
      <c r="AH1509" s="8"/>
      <c r="AI150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4.8950000000000005</v>
      </c>
      <c r="AJ1509" s="8"/>
      <c r="AK1509" s="4" t="s">
        <v>874</v>
      </c>
      <c r="AN1509">
        <f>IFERROR(INT(Table13[[#This Row],[reject_prod]]/Table13[[#This Row],[part_weight]] * 1000), 0)</f>
        <v>0</v>
      </c>
    </row>
    <row r="1510" spans="1:40" hidden="1">
      <c r="A1510" s="1">
        <v>46067</v>
      </c>
      <c r="B1510">
        <v>2</v>
      </c>
      <c r="C1510">
        <v>1</v>
      </c>
      <c r="D1510" t="s">
        <v>875</v>
      </c>
      <c r="E1510" t="s">
        <v>34</v>
      </c>
      <c r="F1510">
        <v>323107</v>
      </c>
      <c r="G1510" s="6">
        <v>0</v>
      </c>
      <c r="H1510" t="s">
        <v>845</v>
      </c>
      <c r="I1510">
        <v>10685636</v>
      </c>
      <c r="J1510">
        <v>2</v>
      </c>
      <c r="K1510">
        <v>75</v>
      </c>
      <c r="L1510">
        <v>75</v>
      </c>
      <c r="M1510">
        <v>1200</v>
      </c>
      <c r="N1510" s="2">
        <v>13440</v>
      </c>
      <c r="O1510" s="2">
        <v>96</v>
      </c>
      <c r="P1510" s="2">
        <v>96</v>
      </c>
      <c r="Q1510" s="2">
        <v>2400</v>
      </c>
      <c r="R1510" s="2">
        <v>2400</v>
      </c>
      <c r="S1510">
        <v>180</v>
      </c>
      <c r="T1510" s="2">
        <v>7776</v>
      </c>
      <c r="U1510" s="2">
        <v>5664</v>
      </c>
      <c r="V1510">
        <v>180</v>
      </c>
      <c r="W1510">
        <v>0</v>
      </c>
      <c r="X1510">
        <v>0</v>
      </c>
      <c r="Y1510">
        <v>0</v>
      </c>
      <c r="Z1510">
        <v>2</v>
      </c>
      <c r="AA1510">
        <v>1.1111111111111112E-2</v>
      </c>
      <c r="AB1510">
        <v>36.42</v>
      </c>
      <c r="AC1510">
        <v>12</v>
      </c>
      <c r="AD1510">
        <v>31.94</v>
      </c>
      <c r="AE1510" s="7"/>
      <c r="AF1510" s="7"/>
      <c r="AG1510" s="7"/>
      <c r="AH1510" s="7"/>
      <c r="AI1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0" s="7"/>
      <c r="AK1510" t="s">
        <v>214</v>
      </c>
      <c r="AN1510">
        <f>IFERROR(INT(Table13[[#This Row],[reject_prod]]/Table13[[#This Row],[part_weight]] * 1000), 0)</f>
        <v>26</v>
      </c>
    </row>
    <row r="1511" spans="1:40" hidden="1">
      <c r="A1511" s="1">
        <v>46067</v>
      </c>
      <c r="B1511">
        <v>2</v>
      </c>
      <c r="C1511">
        <v>2</v>
      </c>
      <c r="D1511" t="s">
        <v>289</v>
      </c>
      <c r="E1511" t="s">
        <v>34</v>
      </c>
      <c r="F1511">
        <v>322493</v>
      </c>
      <c r="G1511" s="6">
        <v>0</v>
      </c>
      <c r="H1511" t="s">
        <v>816</v>
      </c>
      <c r="I1511">
        <v>10686190</v>
      </c>
      <c r="J1511">
        <v>4</v>
      </c>
      <c r="K1511">
        <v>23</v>
      </c>
      <c r="L1511">
        <v>23</v>
      </c>
      <c r="M1511">
        <v>1655</v>
      </c>
      <c r="N1511" s="2">
        <v>61200</v>
      </c>
      <c r="O1511" s="2">
        <v>765</v>
      </c>
      <c r="P1511" s="2">
        <v>1020</v>
      </c>
      <c r="Q1511" s="2">
        <v>6620</v>
      </c>
      <c r="R1511" s="2">
        <v>6375</v>
      </c>
      <c r="S1511">
        <v>146.625</v>
      </c>
      <c r="T1511" s="2">
        <v>32895</v>
      </c>
      <c r="U1511" s="2">
        <v>28305</v>
      </c>
      <c r="V1511">
        <v>152.26</v>
      </c>
      <c r="W1511">
        <v>0</v>
      </c>
      <c r="X1511">
        <v>0</v>
      </c>
      <c r="Y1511">
        <v>0</v>
      </c>
      <c r="Z1511">
        <v>2.2999999999999998</v>
      </c>
      <c r="AA1511">
        <v>1.5105740181268881E-2</v>
      </c>
      <c r="AB1511">
        <v>26.4</v>
      </c>
      <c r="AC1511">
        <v>12</v>
      </c>
      <c r="AD1511">
        <v>22.5</v>
      </c>
      <c r="AE1511" s="7"/>
      <c r="AF1511" s="7"/>
      <c r="AG1511" s="7"/>
      <c r="AH1511" s="7"/>
      <c r="AI1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1" s="7"/>
      <c r="AK1511" t="s">
        <v>75</v>
      </c>
      <c r="AN1511">
        <f>IFERROR(INT(Table13[[#This Row],[reject_prod]]/Table13[[#This Row],[part_weight]] * 1000), 0)</f>
        <v>100</v>
      </c>
    </row>
    <row r="1512" spans="1:40" hidden="1">
      <c r="A1512" s="1">
        <v>46067</v>
      </c>
      <c r="B1512">
        <v>2</v>
      </c>
      <c r="C1512">
        <v>3</v>
      </c>
      <c r="D1512" t="s">
        <v>53</v>
      </c>
      <c r="E1512" t="s">
        <v>34</v>
      </c>
      <c r="F1512">
        <v>442034</v>
      </c>
      <c r="G1512" s="6">
        <v>0</v>
      </c>
      <c r="H1512" t="s">
        <v>37</v>
      </c>
      <c r="I1512">
        <v>10685633</v>
      </c>
      <c r="J1512">
        <v>4</v>
      </c>
      <c r="K1512">
        <v>23</v>
      </c>
      <c r="L1512">
        <v>23</v>
      </c>
      <c r="M1512">
        <v>1450</v>
      </c>
      <c r="N1512" s="2">
        <v>139776</v>
      </c>
      <c r="O1512" s="2">
        <v>0</v>
      </c>
      <c r="P1512" s="2">
        <v>1152</v>
      </c>
      <c r="Q1512" s="2">
        <v>5800</v>
      </c>
      <c r="R1512" s="2">
        <v>4608</v>
      </c>
      <c r="S1512">
        <v>105.98399999999999</v>
      </c>
      <c r="T1512" s="2">
        <v>134784</v>
      </c>
      <c r="U1512" s="2">
        <v>4992</v>
      </c>
      <c r="V1512">
        <v>133.4</v>
      </c>
      <c r="W1512">
        <v>0</v>
      </c>
      <c r="X1512">
        <v>0</v>
      </c>
      <c r="Y1512">
        <v>0</v>
      </c>
      <c r="Z1512">
        <v>1</v>
      </c>
      <c r="AA1512">
        <v>7.4962518740629685E-3</v>
      </c>
      <c r="AB1512">
        <v>28.5</v>
      </c>
      <c r="AC1512">
        <v>11.479166666666668</v>
      </c>
      <c r="AD1512">
        <v>22</v>
      </c>
      <c r="AE1512" s="7"/>
      <c r="AF1512" s="7"/>
      <c r="AG1512" s="7"/>
      <c r="AH1512" s="7"/>
      <c r="AI1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0.52083333333333215</v>
      </c>
      <c r="AJ1512" s="7"/>
      <c r="AK1512" t="s">
        <v>103</v>
      </c>
      <c r="AN1512">
        <f>IFERROR(INT(Table13[[#This Row],[reject_prod]]/Table13[[#This Row],[part_weight]] * 1000), 0)</f>
        <v>43</v>
      </c>
    </row>
    <row r="1513" spans="1:40" hidden="1">
      <c r="A1513" s="1">
        <v>46067</v>
      </c>
      <c r="B1513">
        <v>2</v>
      </c>
      <c r="C1513">
        <v>4</v>
      </c>
      <c r="D1513" t="s">
        <v>181</v>
      </c>
      <c r="E1513" t="s">
        <v>34</v>
      </c>
      <c r="F1513">
        <v>409780</v>
      </c>
      <c r="G1513" s="6">
        <v>0</v>
      </c>
      <c r="H1513" t="s">
        <v>829</v>
      </c>
      <c r="I1513">
        <v>10687750</v>
      </c>
      <c r="J1513">
        <v>3</v>
      </c>
      <c r="K1513">
        <v>73</v>
      </c>
      <c r="L1513">
        <v>73</v>
      </c>
      <c r="M1513">
        <v>1598</v>
      </c>
      <c r="N1513" s="2">
        <v>40608</v>
      </c>
      <c r="O1513" s="2">
        <v>2538</v>
      </c>
      <c r="P1513" s="2">
        <v>564</v>
      </c>
      <c r="Q1513" s="2">
        <v>4794</v>
      </c>
      <c r="R1513" s="2">
        <v>6768</v>
      </c>
      <c r="S1513">
        <v>494.06400000000002</v>
      </c>
      <c r="T1513" s="2">
        <v>7332</v>
      </c>
      <c r="U1513" s="2">
        <v>33276</v>
      </c>
      <c r="V1513">
        <v>349.96199999999999</v>
      </c>
      <c r="W1513">
        <v>0</v>
      </c>
      <c r="X1513">
        <v>0</v>
      </c>
      <c r="Y1513">
        <v>0</v>
      </c>
      <c r="Z1513">
        <v>4.8</v>
      </c>
      <c r="AA1513">
        <v>1.3715774855555746E-2</v>
      </c>
      <c r="AB1513">
        <v>26.27</v>
      </c>
      <c r="AC1513">
        <v>11.660961111111112</v>
      </c>
      <c r="AD1513">
        <v>24</v>
      </c>
      <c r="AE1513" s="7"/>
      <c r="AF1513" s="7"/>
      <c r="AG1513" s="7"/>
      <c r="AH1513" s="7"/>
      <c r="AI1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0.33903888888888822</v>
      </c>
      <c r="AJ1513" s="7"/>
      <c r="AK1513" t="s">
        <v>214</v>
      </c>
      <c r="AN1513">
        <f>IFERROR(INT(Table13[[#This Row],[reject_prod]]/Table13[[#This Row],[part_weight]] * 1000), 0)</f>
        <v>65</v>
      </c>
    </row>
    <row r="1514" spans="1:40" hidden="1">
      <c r="A1514" s="1">
        <v>46067</v>
      </c>
      <c r="B1514">
        <v>2</v>
      </c>
      <c r="C1514">
        <v>5</v>
      </c>
      <c r="D1514" t="s">
        <v>876</v>
      </c>
      <c r="E1514" t="s">
        <v>34</v>
      </c>
      <c r="F1514">
        <v>322503</v>
      </c>
      <c r="G1514" s="6">
        <v>0</v>
      </c>
      <c r="H1514" t="s">
        <v>850</v>
      </c>
      <c r="I1514">
        <v>10681842</v>
      </c>
      <c r="J1514">
        <v>4</v>
      </c>
      <c r="K1514">
        <v>44</v>
      </c>
      <c r="L1514">
        <v>44</v>
      </c>
      <c r="M1514">
        <v>1290</v>
      </c>
      <c r="N1514" s="2">
        <v>16856</v>
      </c>
      <c r="O1514" s="2">
        <v>688</v>
      </c>
      <c r="P1514" s="2">
        <v>1720</v>
      </c>
      <c r="Q1514" s="2">
        <v>5160</v>
      </c>
      <c r="R1514" s="2">
        <v>4128</v>
      </c>
      <c r="S1514">
        <v>181.63200000000001</v>
      </c>
      <c r="T1514" s="2">
        <v>7912</v>
      </c>
      <c r="U1514" s="2">
        <v>8944</v>
      </c>
      <c r="V1514">
        <v>227.04</v>
      </c>
      <c r="W1514">
        <v>0</v>
      </c>
      <c r="X1514">
        <v>0</v>
      </c>
      <c r="Y1514">
        <v>0</v>
      </c>
      <c r="Z1514">
        <v>2</v>
      </c>
      <c r="AA1514">
        <v>8.8090204369274134E-3</v>
      </c>
      <c r="AB1514">
        <v>33.4</v>
      </c>
      <c r="AC1514">
        <v>11.968333333333332</v>
      </c>
      <c r="AD1514">
        <v>28.88</v>
      </c>
      <c r="AE1514" s="7"/>
      <c r="AF1514" s="7"/>
      <c r="AG1514" s="7"/>
      <c r="AH1514" s="7"/>
      <c r="AI1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3.1666666666668064E-2</v>
      </c>
      <c r="AJ1514" s="7"/>
      <c r="AK1514" t="s">
        <v>103</v>
      </c>
      <c r="AN1514">
        <f>IFERROR(INT(Table13[[#This Row],[reject_prod]]/Table13[[#This Row],[part_weight]] * 1000), 0)</f>
        <v>45</v>
      </c>
    </row>
    <row r="1515" spans="1:40" hidden="1">
      <c r="A1515" s="1">
        <v>46067</v>
      </c>
      <c r="B1515">
        <v>2</v>
      </c>
      <c r="C1515">
        <v>6</v>
      </c>
      <c r="D1515" t="s">
        <v>59</v>
      </c>
      <c r="E1515" t="s">
        <v>41</v>
      </c>
      <c r="F1515">
        <v>620994</v>
      </c>
      <c r="G1515" s="6">
        <v>0</v>
      </c>
      <c r="H1515" t="s">
        <v>42</v>
      </c>
      <c r="I1515">
        <v>10686806</v>
      </c>
      <c r="J1515">
        <v>4</v>
      </c>
      <c r="K1515">
        <v>32.74</v>
      </c>
      <c r="L1515">
        <v>33</v>
      </c>
      <c r="M1515">
        <v>1890</v>
      </c>
      <c r="N1515" s="2">
        <v>104192</v>
      </c>
      <c r="O1515" s="2">
        <v>2960</v>
      </c>
      <c r="P1515" s="2">
        <v>0</v>
      </c>
      <c r="Q1515" s="2">
        <v>7560</v>
      </c>
      <c r="R1515" s="2">
        <v>10656</v>
      </c>
      <c r="S1515">
        <v>351.64800000000002</v>
      </c>
      <c r="T1515" s="2">
        <v>21312</v>
      </c>
      <c r="U1515" s="2">
        <v>82880</v>
      </c>
      <c r="V1515">
        <v>249.48</v>
      </c>
      <c r="W1515">
        <v>-1.9655999999999849</v>
      </c>
      <c r="X1515">
        <v>0</v>
      </c>
      <c r="Y1515">
        <v>0</v>
      </c>
      <c r="Z1515">
        <v>1.8</v>
      </c>
      <c r="AA1515">
        <v>7.2150072150072159E-3</v>
      </c>
      <c r="AB1515">
        <v>23.3</v>
      </c>
      <c r="AC1515">
        <v>12</v>
      </c>
      <c r="AD1515">
        <v>22</v>
      </c>
      <c r="AE1515" s="7"/>
      <c r="AF1515" s="7"/>
      <c r="AG1515" s="7"/>
      <c r="AH1515" s="7"/>
      <c r="AI1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5" s="7"/>
      <c r="AK1515" t="s">
        <v>103</v>
      </c>
      <c r="AN1515">
        <f>IFERROR(INT(Table13[[#This Row],[reject_prod]]/Table13[[#This Row],[part_weight]] * 1000), 0)</f>
        <v>54</v>
      </c>
    </row>
    <row r="1516" spans="1:40" hidden="1">
      <c r="A1516" s="1">
        <v>46067</v>
      </c>
      <c r="B1516">
        <v>2</v>
      </c>
      <c r="C1516">
        <v>7</v>
      </c>
      <c r="D1516" t="s">
        <v>877</v>
      </c>
      <c r="E1516" t="s">
        <v>34</v>
      </c>
      <c r="F1516">
        <v>324177</v>
      </c>
      <c r="G1516" s="6">
        <v>0</v>
      </c>
      <c r="H1516" t="s">
        <v>246</v>
      </c>
      <c r="I1516">
        <v>10686803</v>
      </c>
      <c r="J1516">
        <v>4</v>
      </c>
      <c r="K1516">
        <v>34.5</v>
      </c>
      <c r="L1516">
        <v>34.5</v>
      </c>
      <c r="M1516">
        <v>1770</v>
      </c>
      <c r="N1516" s="2">
        <v>93600</v>
      </c>
      <c r="O1516" s="2">
        <v>0</v>
      </c>
      <c r="P1516" s="2">
        <v>780</v>
      </c>
      <c r="Q1516" s="2">
        <v>7080</v>
      </c>
      <c r="R1516" s="2">
        <v>6240</v>
      </c>
      <c r="S1516">
        <v>215.28</v>
      </c>
      <c r="T1516" s="2">
        <v>53040</v>
      </c>
      <c r="U1516" s="2">
        <v>40560</v>
      </c>
      <c r="V1516">
        <v>244.26</v>
      </c>
      <c r="W1516">
        <v>0</v>
      </c>
      <c r="X1516">
        <v>0</v>
      </c>
      <c r="Y1516">
        <v>0</v>
      </c>
      <c r="Z1516">
        <v>17.8</v>
      </c>
      <c r="AA1516">
        <v>7.2873167935806116E-2</v>
      </c>
      <c r="AB1516">
        <v>23.3</v>
      </c>
      <c r="AC1516">
        <v>11.455833333333333</v>
      </c>
      <c r="AD1516">
        <v>22</v>
      </c>
      <c r="AE1516" s="7"/>
      <c r="AF1516" s="7"/>
      <c r="AG1516" s="7"/>
      <c r="AH1516" s="7"/>
      <c r="AI1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0.54416666666666735</v>
      </c>
      <c r="AJ1516" s="7"/>
      <c r="AK1516" t="s">
        <v>878</v>
      </c>
      <c r="AN1516">
        <f>IFERROR(INT(Table13[[#This Row],[reject_prod]]/Table13[[#This Row],[part_weight]] * 1000), 0)</f>
        <v>515</v>
      </c>
    </row>
    <row r="1517" spans="1:40" hidden="1">
      <c r="A1517" s="1">
        <v>46067</v>
      </c>
      <c r="B1517">
        <v>2</v>
      </c>
      <c r="C1517">
        <v>9</v>
      </c>
      <c r="D1517" t="s">
        <v>765</v>
      </c>
      <c r="E1517" t="s">
        <v>46</v>
      </c>
      <c r="F1517">
        <v>586276</v>
      </c>
      <c r="G1517" s="6">
        <v>1</v>
      </c>
      <c r="H1517" t="s">
        <v>47</v>
      </c>
      <c r="I1517">
        <v>10683781</v>
      </c>
      <c r="J1517">
        <v>6</v>
      </c>
      <c r="K1517">
        <v>12.3</v>
      </c>
      <c r="L1517">
        <v>12.3</v>
      </c>
      <c r="M1517">
        <v>1620</v>
      </c>
      <c r="N1517" s="2">
        <v>162000</v>
      </c>
      <c r="O1517" s="2">
        <v>5670</v>
      </c>
      <c r="P1517" s="2">
        <v>7290</v>
      </c>
      <c r="Q1517" s="2">
        <v>9720</v>
      </c>
      <c r="R1517" s="2">
        <v>8100</v>
      </c>
      <c r="S1517">
        <v>99.63</v>
      </c>
      <c r="T1517" s="2">
        <v>153090</v>
      </c>
      <c r="U1517" s="2">
        <v>8910</v>
      </c>
      <c r="V1517">
        <v>119.556</v>
      </c>
      <c r="W1517">
        <v>0</v>
      </c>
      <c r="X1517">
        <v>0</v>
      </c>
      <c r="Y1517">
        <v>0</v>
      </c>
      <c r="Z1517">
        <v>2.8</v>
      </c>
      <c r="AA1517">
        <v>2.3419987286292614E-2</v>
      </c>
      <c r="AB1517">
        <v>26.5</v>
      </c>
      <c r="AC1517">
        <v>11.924999999999999</v>
      </c>
      <c r="AD1517">
        <v>26</v>
      </c>
      <c r="AE1517" s="7"/>
      <c r="AF1517" s="7"/>
      <c r="AG1517" s="7"/>
      <c r="AH1517" s="7"/>
      <c r="AI1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517" s="7"/>
      <c r="AK1517" t="s">
        <v>57</v>
      </c>
      <c r="AN1517">
        <f>IFERROR(INT(Table13[[#This Row],[reject_prod]]/Table13[[#This Row],[part_weight]] * 1000), 0)</f>
        <v>227</v>
      </c>
    </row>
    <row r="1518" spans="1:40" hidden="1">
      <c r="A1518" s="1">
        <v>46067</v>
      </c>
      <c r="B1518">
        <v>2</v>
      </c>
      <c r="C1518">
        <v>10</v>
      </c>
      <c r="D1518" t="s">
        <v>117</v>
      </c>
      <c r="E1518" t="s">
        <v>34</v>
      </c>
      <c r="F1518">
        <v>410269</v>
      </c>
      <c r="G1518" s="6">
        <v>0</v>
      </c>
      <c r="H1518" t="s">
        <v>811</v>
      </c>
      <c r="I1518">
        <v>10686034</v>
      </c>
      <c r="J1518">
        <v>4</v>
      </c>
      <c r="K1518">
        <v>49</v>
      </c>
      <c r="L1518">
        <v>48.5</v>
      </c>
      <c r="M1518">
        <v>670</v>
      </c>
      <c r="N1518" s="2">
        <v>28875</v>
      </c>
      <c r="O1518" s="2">
        <v>0</v>
      </c>
      <c r="P1518" s="2">
        <v>0</v>
      </c>
      <c r="Q1518" s="2">
        <v>2680</v>
      </c>
      <c r="R1518" s="2">
        <v>2625</v>
      </c>
      <c r="S1518">
        <v>127.3125</v>
      </c>
      <c r="T1518" s="2">
        <v>28875</v>
      </c>
      <c r="U1518" s="2">
        <v>0</v>
      </c>
      <c r="V1518">
        <v>129.97999999999999</v>
      </c>
      <c r="W1518">
        <v>1.34</v>
      </c>
      <c r="X1518">
        <v>0</v>
      </c>
      <c r="Y1518">
        <v>0</v>
      </c>
      <c r="Z1518">
        <v>0</v>
      </c>
      <c r="AA1518">
        <v>0</v>
      </c>
      <c r="AB1518">
        <v>29.1</v>
      </c>
      <c r="AC1518">
        <v>5.4158333333333335</v>
      </c>
      <c r="AD1518">
        <v>26.4</v>
      </c>
      <c r="AE1518" s="7"/>
      <c r="AF1518" s="7"/>
      <c r="AG1518" s="7"/>
      <c r="AH1518" s="7"/>
      <c r="AI1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6.5841666666666665</v>
      </c>
      <c r="AJ1518" s="7"/>
      <c r="AK1518" t="s">
        <v>879</v>
      </c>
      <c r="AN1518">
        <f>IFERROR(INT(Table13[[#This Row],[reject_prod]]/Table13[[#This Row],[part_weight]] * 1000), 0)</f>
        <v>0</v>
      </c>
    </row>
    <row r="1519" spans="1:40" hidden="1">
      <c r="A1519" s="1">
        <v>46067</v>
      </c>
      <c r="B1519">
        <v>2</v>
      </c>
      <c r="C1519">
        <v>10</v>
      </c>
      <c r="D1519" t="s">
        <v>33</v>
      </c>
      <c r="E1519" t="s">
        <v>34</v>
      </c>
      <c r="F1519">
        <v>323092</v>
      </c>
      <c r="G1519" s="6">
        <v>0</v>
      </c>
      <c r="H1519" t="s">
        <v>377</v>
      </c>
      <c r="I1519">
        <v>10686686</v>
      </c>
      <c r="J1519">
        <v>4</v>
      </c>
      <c r="K1519">
        <v>48.9</v>
      </c>
      <c r="L1519">
        <v>48.9</v>
      </c>
      <c r="M1519">
        <v>0</v>
      </c>
      <c r="N1519" s="2">
        <v>37800</v>
      </c>
      <c r="O1519" s="2">
        <v>0</v>
      </c>
      <c r="P1519" s="2">
        <v>0</v>
      </c>
      <c r="Q1519" s="2">
        <v>0</v>
      </c>
      <c r="R1519" s="2">
        <v>0</v>
      </c>
      <c r="S1519">
        <v>0</v>
      </c>
      <c r="T1519" s="2">
        <v>0</v>
      </c>
      <c r="U1519" s="2">
        <v>37800</v>
      </c>
      <c r="V1519">
        <v>0</v>
      </c>
      <c r="W1519">
        <v>0</v>
      </c>
      <c r="X1519">
        <v>19.8</v>
      </c>
      <c r="Y1519" t="e">
        <v>#DIV/0!</v>
      </c>
      <c r="Z1519">
        <v>0</v>
      </c>
      <c r="AA1519" t="e">
        <v>#DIV/0!</v>
      </c>
      <c r="AB1519">
        <v>29.1</v>
      </c>
      <c r="AC1519">
        <v>0</v>
      </c>
      <c r="AD1519">
        <v>27.6</v>
      </c>
      <c r="AE1519" s="7"/>
      <c r="AF1519" s="7"/>
      <c r="AG1519" s="7">
        <v>1.5</v>
      </c>
      <c r="AH1519" s="7"/>
      <c r="AI1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519" s="7"/>
      <c r="AK1519" t="s">
        <v>880</v>
      </c>
      <c r="AN1519">
        <f>IFERROR(INT(Table13[[#This Row],[reject_prod]]/Table13[[#This Row],[part_weight]] * 1000), 0)</f>
        <v>0</v>
      </c>
    </row>
    <row r="1520" spans="1:40" hidden="1">
      <c r="A1520" s="1">
        <v>46067</v>
      </c>
      <c r="B1520">
        <v>2</v>
      </c>
      <c r="C1520">
        <v>11</v>
      </c>
      <c r="D1520" t="s">
        <v>208</v>
      </c>
      <c r="E1520" t="s">
        <v>46</v>
      </c>
      <c r="F1520">
        <v>552181</v>
      </c>
      <c r="G1520" s="6">
        <v>1</v>
      </c>
      <c r="H1520" t="s">
        <v>49</v>
      </c>
      <c r="I1520">
        <v>10686672</v>
      </c>
      <c r="J1520">
        <v>6</v>
      </c>
      <c r="K1520">
        <v>18.8</v>
      </c>
      <c r="L1520">
        <v>18.8</v>
      </c>
      <c r="M1520">
        <v>1485</v>
      </c>
      <c r="N1520" s="2">
        <v>108000</v>
      </c>
      <c r="O1520" s="2">
        <v>1890</v>
      </c>
      <c r="P1520" s="2">
        <v>0</v>
      </c>
      <c r="Q1520" s="2">
        <v>8910</v>
      </c>
      <c r="R1520" s="2">
        <v>10800</v>
      </c>
      <c r="S1520">
        <v>203.04</v>
      </c>
      <c r="T1520" s="2">
        <v>70200</v>
      </c>
      <c r="U1520" s="2">
        <v>37800</v>
      </c>
      <c r="V1520">
        <v>167.50800000000001</v>
      </c>
      <c r="W1520">
        <v>0</v>
      </c>
      <c r="X1520">
        <v>0</v>
      </c>
      <c r="Y1520">
        <v>0</v>
      </c>
      <c r="Z1520">
        <v>2.2999999999999998</v>
      </c>
      <c r="AA1520">
        <v>1.3730687489552735E-2</v>
      </c>
      <c r="AB1520">
        <v>29.4</v>
      </c>
      <c r="AC1520">
        <v>12</v>
      </c>
      <c r="AD1520">
        <v>27</v>
      </c>
      <c r="AE1520" s="7"/>
      <c r="AF1520" s="7"/>
      <c r="AG1520" s="7"/>
      <c r="AH1520" s="7"/>
      <c r="AI1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20" s="7"/>
      <c r="AK1520" t="s">
        <v>51</v>
      </c>
      <c r="AN1520">
        <f>IFERROR(INT(Table13[[#This Row],[reject_prod]]/Table13[[#This Row],[part_weight]] * 1000), 0)</f>
        <v>122</v>
      </c>
    </row>
    <row r="1521" spans="1:40" hidden="1">
      <c r="A1521" s="1">
        <v>46067</v>
      </c>
      <c r="B1521">
        <v>2</v>
      </c>
      <c r="C1521">
        <v>13</v>
      </c>
      <c r="D1521" t="s">
        <v>208</v>
      </c>
      <c r="E1521" t="s">
        <v>46</v>
      </c>
      <c r="F1521">
        <v>586276</v>
      </c>
      <c r="G1521" s="6">
        <v>2</v>
      </c>
      <c r="H1521" t="s">
        <v>47</v>
      </c>
      <c r="I1521">
        <v>10686676</v>
      </c>
      <c r="J1521">
        <v>6</v>
      </c>
      <c r="K1521">
        <v>12.3</v>
      </c>
      <c r="L1521">
        <v>12.3</v>
      </c>
      <c r="M1521">
        <v>1625</v>
      </c>
      <c r="N1521" s="2">
        <v>162000</v>
      </c>
      <c r="O1521" s="2">
        <v>4860</v>
      </c>
      <c r="P1521" s="2">
        <v>6480</v>
      </c>
      <c r="Q1521" s="2">
        <v>9750</v>
      </c>
      <c r="R1521" s="2">
        <v>8100</v>
      </c>
      <c r="S1521">
        <v>99.63</v>
      </c>
      <c r="T1521" s="2">
        <v>111780</v>
      </c>
      <c r="U1521" s="2">
        <v>50220</v>
      </c>
      <c r="V1521">
        <v>119.925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26.2</v>
      </c>
      <c r="AC1521">
        <v>11.826388888888889</v>
      </c>
      <c r="AD1521">
        <v>26</v>
      </c>
      <c r="AE1521" s="7"/>
      <c r="AF1521" s="7"/>
      <c r="AG1521" s="7"/>
      <c r="AH1521" s="7"/>
      <c r="AI1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521" s="7"/>
      <c r="AK1521" t="s">
        <v>51</v>
      </c>
      <c r="AN1521">
        <f>IFERROR(INT(Table13[[#This Row],[reject_prod]]/Table13[[#This Row],[part_weight]] * 1000), 0)</f>
        <v>0</v>
      </c>
    </row>
    <row r="1522" spans="1:40" hidden="1">
      <c r="A1522" s="1">
        <v>46067</v>
      </c>
      <c r="B1522">
        <v>2</v>
      </c>
      <c r="C1522">
        <v>14</v>
      </c>
      <c r="D1522" t="s">
        <v>139</v>
      </c>
      <c r="E1522" t="s">
        <v>34</v>
      </c>
      <c r="F1522">
        <v>541381</v>
      </c>
      <c r="G1522" s="6">
        <v>0</v>
      </c>
      <c r="H1522" t="s">
        <v>804</v>
      </c>
      <c r="I1522">
        <v>10686678</v>
      </c>
      <c r="J1522">
        <v>4</v>
      </c>
      <c r="K1522">
        <v>55</v>
      </c>
      <c r="L1522">
        <v>55</v>
      </c>
      <c r="M1522">
        <v>1380</v>
      </c>
      <c r="N1522" s="2">
        <v>84000</v>
      </c>
      <c r="O1522" s="2">
        <v>350</v>
      </c>
      <c r="P1522" s="2">
        <v>0</v>
      </c>
      <c r="Q1522" s="2">
        <v>5520</v>
      </c>
      <c r="R1522" s="2">
        <v>5600</v>
      </c>
      <c r="S1522">
        <v>308</v>
      </c>
      <c r="T1522" s="2">
        <v>8400</v>
      </c>
      <c r="U1522" s="2">
        <v>75600</v>
      </c>
      <c r="V1522">
        <v>303.60000000000002</v>
      </c>
      <c r="W1522">
        <v>0</v>
      </c>
      <c r="X1522">
        <v>0</v>
      </c>
      <c r="Y1522">
        <v>0</v>
      </c>
      <c r="Z1522">
        <v>35.5</v>
      </c>
      <c r="AA1522">
        <v>0.11693017127799736</v>
      </c>
      <c r="AB1522">
        <v>27.81</v>
      </c>
      <c r="AC1522">
        <v>10.660499999999999</v>
      </c>
      <c r="AD1522">
        <v>30.08</v>
      </c>
      <c r="AE1522" s="7"/>
      <c r="AF1522" s="7"/>
      <c r="AG1522" s="7"/>
      <c r="AH1522" s="7"/>
      <c r="AI1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1.339500000000001</v>
      </c>
      <c r="AJ1522" s="7"/>
      <c r="AK1522" t="s">
        <v>881</v>
      </c>
      <c r="AN1522">
        <f>IFERROR(INT(Table13[[#This Row],[reject_prod]]/Table13[[#This Row],[part_weight]] * 1000), 0)</f>
        <v>645</v>
      </c>
    </row>
    <row r="1523" spans="1:40" hidden="1">
      <c r="A1523" s="1">
        <v>46067</v>
      </c>
      <c r="B1523">
        <v>2</v>
      </c>
      <c r="C1523">
        <v>15</v>
      </c>
      <c r="D1523" t="s">
        <v>208</v>
      </c>
      <c r="E1523" t="s">
        <v>46</v>
      </c>
      <c r="F1523">
        <v>550076</v>
      </c>
      <c r="G1523" s="6">
        <v>0</v>
      </c>
      <c r="H1523" t="s">
        <v>857</v>
      </c>
      <c r="I1523">
        <v>10687863</v>
      </c>
      <c r="J1523">
        <v>6</v>
      </c>
      <c r="K1523">
        <v>18.8</v>
      </c>
      <c r="L1523">
        <v>18.8</v>
      </c>
      <c r="M1523">
        <v>1340</v>
      </c>
      <c r="N1523" s="2">
        <v>108000</v>
      </c>
      <c r="O1523" s="2">
        <v>3240</v>
      </c>
      <c r="P1523" s="2">
        <v>270</v>
      </c>
      <c r="Q1523" s="2">
        <v>8040</v>
      </c>
      <c r="R1523" s="2">
        <v>10800</v>
      </c>
      <c r="S1523">
        <v>203.04</v>
      </c>
      <c r="T1523" s="2">
        <v>11070</v>
      </c>
      <c r="U1523" s="2">
        <v>96930</v>
      </c>
      <c r="V1523">
        <v>151.15199999999999</v>
      </c>
      <c r="W1523">
        <v>0</v>
      </c>
      <c r="X1523">
        <v>0</v>
      </c>
      <c r="Y1523">
        <v>0</v>
      </c>
      <c r="Z1523">
        <v>1</v>
      </c>
      <c r="AA1523">
        <v>6.6158568857838471E-3</v>
      </c>
      <c r="AB1523">
        <v>31.2</v>
      </c>
      <c r="AC1523">
        <v>11.613333333333333</v>
      </c>
      <c r="AD1523">
        <v>22.5</v>
      </c>
      <c r="AE1523" s="7"/>
      <c r="AF1523" s="7"/>
      <c r="AG1523" s="7"/>
      <c r="AH1523" s="7"/>
      <c r="AI1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0.38666666666666671</v>
      </c>
      <c r="AJ1523" s="7"/>
      <c r="AK1523" t="s">
        <v>51</v>
      </c>
      <c r="AN1523">
        <f>IFERROR(INT(Table13[[#This Row],[reject_prod]]/Table13[[#This Row],[part_weight]] * 1000), 0)</f>
        <v>53</v>
      </c>
    </row>
    <row r="1524" spans="1:40" s="4" customFormat="1" hidden="1">
      <c r="A1524" s="3">
        <v>46067</v>
      </c>
      <c r="B1524" s="4">
        <v>2</v>
      </c>
      <c r="C1524" s="4">
        <v>16</v>
      </c>
      <c r="D1524" s="4" t="s">
        <v>882</v>
      </c>
      <c r="E1524" s="4" t="s">
        <v>46</v>
      </c>
      <c r="F1524" s="4">
        <v>555979</v>
      </c>
      <c r="G1524" s="9">
        <v>2</v>
      </c>
      <c r="H1524" s="4" t="s">
        <v>52</v>
      </c>
      <c r="I1524" s="4">
        <v>10683785</v>
      </c>
      <c r="J1524" s="4">
        <v>6</v>
      </c>
      <c r="K1524" s="4">
        <v>28</v>
      </c>
      <c r="L1524" s="4">
        <v>28</v>
      </c>
      <c r="M1524" s="4">
        <v>985</v>
      </c>
      <c r="N1524" s="5">
        <v>100800</v>
      </c>
      <c r="O1524" s="5">
        <v>2688</v>
      </c>
      <c r="P1524" s="5">
        <v>1848</v>
      </c>
      <c r="Q1524" s="5">
        <v>5910</v>
      </c>
      <c r="R1524" s="5">
        <v>6720</v>
      </c>
      <c r="S1524" s="4">
        <v>188.16</v>
      </c>
      <c r="T1524" s="5">
        <v>45528</v>
      </c>
      <c r="U1524" s="5">
        <v>55272</v>
      </c>
      <c r="V1524" s="4">
        <v>165.48</v>
      </c>
      <c r="W1524" s="4">
        <v>0</v>
      </c>
      <c r="X1524" s="4">
        <v>0</v>
      </c>
      <c r="Y1524" s="4">
        <v>0</v>
      </c>
      <c r="Z1524" s="4">
        <v>1</v>
      </c>
      <c r="AA1524" s="4">
        <v>6.0430263475948756E-3</v>
      </c>
      <c r="AB1524" s="4">
        <v>43.5</v>
      </c>
      <c r="AC1524" s="4">
        <v>11.902083333333334</v>
      </c>
      <c r="AD1524" s="4">
        <v>42</v>
      </c>
      <c r="AE1524" s="8"/>
      <c r="AF1524" s="8"/>
      <c r="AG1524" s="8"/>
      <c r="AH1524" s="8"/>
      <c r="AI152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524" s="8"/>
      <c r="AK1524" s="4" t="s">
        <v>51</v>
      </c>
      <c r="AN1524">
        <f>IFERROR(INT(Table13[[#This Row],[reject_prod]]/Table13[[#This Row],[part_weight]] * 1000), 0)</f>
        <v>35</v>
      </c>
    </row>
    <row r="1525" spans="1:40" hidden="1">
      <c r="A1525" s="1">
        <v>46068</v>
      </c>
      <c r="B1525">
        <v>1</v>
      </c>
      <c r="C1525">
        <v>1</v>
      </c>
      <c r="D1525" t="s">
        <v>883</v>
      </c>
      <c r="E1525" t="s">
        <v>34</v>
      </c>
      <c r="F1525">
        <v>323107</v>
      </c>
      <c r="G1525" s="6">
        <v>0</v>
      </c>
      <c r="H1525" t="s">
        <v>845</v>
      </c>
      <c r="I1525">
        <v>10685636</v>
      </c>
      <c r="J1525">
        <v>2</v>
      </c>
      <c r="K1525">
        <v>73</v>
      </c>
      <c r="L1525">
        <v>75</v>
      </c>
      <c r="M1525">
        <v>1171</v>
      </c>
      <c r="N1525" s="2">
        <v>13440</v>
      </c>
      <c r="O1525" s="2">
        <v>96</v>
      </c>
      <c r="P1525" s="2">
        <v>240</v>
      </c>
      <c r="Q1525" s="2">
        <v>2342</v>
      </c>
      <c r="R1525" s="2">
        <v>2160</v>
      </c>
      <c r="S1525">
        <v>162</v>
      </c>
      <c r="T1525" s="2">
        <v>10080</v>
      </c>
      <c r="U1525" s="2">
        <v>3360</v>
      </c>
      <c r="V1525">
        <v>175.65</v>
      </c>
      <c r="W1525">
        <v>0</v>
      </c>
      <c r="X1525">
        <v>0</v>
      </c>
      <c r="Y1525">
        <v>0</v>
      </c>
      <c r="Z1525">
        <v>1.2</v>
      </c>
      <c r="AA1525">
        <v>6.8317677198975234E-3</v>
      </c>
      <c r="AB1525">
        <v>36</v>
      </c>
      <c r="AC1525">
        <v>11.71</v>
      </c>
      <c r="AD1525">
        <v>31.94</v>
      </c>
      <c r="AE1525" s="7"/>
      <c r="AF1525" s="7"/>
      <c r="AG1525" s="7"/>
      <c r="AH1525" s="7"/>
      <c r="AI1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0.28999999999999915</v>
      </c>
      <c r="AJ1525" s="7"/>
      <c r="AK1525" t="s">
        <v>93</v>
      </c>
      <c r="AN1525">
        <f>IFERROR(INT(Table13[[#This Row],[reject_prod]]/Table13[[#This Row],[part_weight]] * 1000), 0)</f>
        <v>16</v>
      </c>
    </row>
    <row r="1526" spans="1:40" hidden="1">
      <c r="A1526" s="1">
        <v>46068</v>
      </c>
      <c r="B1526">
        <v>1</v>
      </c>
      <c r="C1526">
        <v>2</v>
      </c>
      <c r="D1526" t="s">
        <v>67</v>
      </c>
      <c r="E1526" t="s">
        <v>34</v>
      </c>
      <c r="F1526">
        <v>322493</v>
      </c>
      <c r="G1526" s="6">
        <v>0</v>
      </c>
      <c r="H1526" t="s">
        <v>816</v>
      </c>
      <c r="I1526">
        <v>10686190</v>
      </c>
      <c r="J1526">
        <v>4</v>
      </c>
      <c r="K1526">
        <v>23</v>
      </c>
      <c r="L1526">
        <v>23</v>
      </c>
      <c r="M1526">
        <v>1618</v>
      </c>
      <c r="N1526" s="2">
        <v>61200</v>
      </c>
      <c r="O1526" s="2">
        <v>1020</v>
      </c>
      <c r="P1526" s="2">
        <v>1020</v>
      </c>
      <c r="Q1526" s="2">
        <v>6472</v>
      </c>
      <c r="R1526" s="2">
        <v>6375</v>
      </c>
      <c r="S1526">
        <v>146.625</v>
      </c>
      <c r="T1526" s="2">
        <v>39270</v>
      </c>
      <c r="U1526" s="2">
        <v>21930</v>
      </c>
      <c r="V1526">
        <v>148.85599999999999</v>
      </c>
      <c r="W1526">
        <v>0</v>
      </c>
      <c r="X1526">
        <v>0</v>
      </c>
      <c r="Y1526">
        <v>0</v>
      </c>
      <c r="Z1526">
        <v>3.5</v>
      </c>
      <c r="AA1526">
        <v>2.3512656527113453E-2</v>
      </c>
      <c r="AB1526">
        <v>26.6</v>
      </c>
      <c r="AC1526">
        <v>11.955222222222222</v>
      </c>
      <c r="AD1526">
        <v>22.5</v>
      </c>
      <c r="AE1526" s="7"/>
      <c r="AF1526" s="7"/>
      <c r="AG1526" s="7"/>
      <c r="AH1526" s="7"/>
      <c r="AI1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4.4777777777778027E-2</v>
      </c>
      <c r="AJ1526" s="7"/>
      <c r="AK1526" t="s">
        <v>200</v>
      </c>
      <c r="AN1526">
        <f>IFERROR(INT(Table13[[#This Row],[reject_prod]]/Table13[[#This Row],[part_weight]] * 1000), 0)</f>
        <v>152</v>
      </c>
    </row>
    <row r="1527" spans="1:40" hidden="1">
      <c r="A1527" s="1">
        <v>46068</v>
      </c>
      <c r="B1527">
        <v>1</v>
      </c>
      <c r="C1527">
        <v>3</v>
      </c>
      <c r="D1527" t="s">
        <v>152</v>
      </c>
      <c r="E1527" t="s">
        <v>34</v>
      </c>
      <c r="F1527">
        <v>442034</v>
      </c>
      <c r="G1527" s="6">
        <v>0</v>
      </c>
      <c r="H1527" t="s">
        <v>37</v>
      </c>
      <c r="I1527">
        <v>10685633</v>
      </c>
      <c r="J1527">
        <v>4</v>
      </c>
      <c r="K1527">
        <v>23</v>
      </c>
      <c r="L1527">
        <v>23</v>
      </c>
      <c r="M1527">
        <v>1248</v>
      </c>
      <c r="N1527" s="2">
        <v>139776</v>
      </c>
      <c r="O1527" s="2">
        <v>1152</v>
      </c>
      <c r="P1527" s="2">
        <v>0</v>
      </c>
      <c r="Q1527" s="2">
        <v>4992</v>
      </c>
      <c r="R1527" s="2">
        <v>6144</v>
      </c>
      <c r="S1527">
        <v>141.31200000000001</v>
      </c>
      <c r="T1527" s="2">
        <v>139776</v>
      </c>
      <c r="U1527" s="2">
        <v>0</v>
      </c>
      <c r="V1527">
        <v>114.816</v>
      </c>
      <c r="W1527">
        <v>0</v>
      </c>
      <c r="X1527">
        <v>0</v>
      </c>
      <c r="Y1527">
        <v>0</v>
      </c>
      <c r="Z1527">
        <v>1</v>
      </c>
      <c r="AA1527">
        <v>8.70958751393534E-3</v>
      </c>
      <c r="AB1527">
        <v>28.5</v>
      </c>
      <c r="AC1527">
        <v>9.8800000000000008</v>
      </c>
      <c r="AD1527">
        <v>22</v>
      </c>
      <c r="AE1527" s="7"/>
      <c r="AF1527" s="7"/>
      <c r="AG1527" s="7"/>
      <c r="AH1527" s="7"/>
      <c r="AI1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2.1199999999999992</v>
      </c>
      <c r="AJ1527" s="7"/>
      <c r="AK1527" t="s">
        <v>214</v>
      </c>
      <c r="AN1527">
        <f>IFERROR(INT(Table13[[#This Row],[reject_prod]]/Table13[[#This Row],[part_weight]] * 1000), 0)</f>
        <v>43</v>
      </c>
    </row>
    <row r="1528" spans="1:40" hidden="1">
      <c r="A1528" s="1">
        <v>46068</v>
      </c>
      <c r="B1528">
        <v>1</v>
      </c>
      <c r="C1528">
        <v>3</v>
      </c>
      <c r="D1528" t="s">
        <v>152</v>
      </c>
      <c r="E1528" t="s">
        <v>34</v>
      </c>
      <c r="F1528">
        <v>442034</v>
      </c>
      <c r="G1528" s="6">
        <v>0</v>
      </c>
      <c r="H1528" t="s">
        <v>37</v>
      </c>
      <c r="I1528">
        <v>10685634</v>
      </c>
      <c r="J1528">
        <v>4</v>
      </c>
      <c r="K1528">
        <v>23</v>
      </c>
      <c r="L1528">
        <v>23</v>
      </c>
      <c r="M1528">
        <v>246</v>
      </c>
      <c r="N1528" s="2">
        <v>139776</v>
      </c>
      <c r="O1528" s="2">
        <v>0</v>
      </c>
      <c r="P1528" s="2">
        <v>1152</v>
      </c>
      <c r="Q1528" s="2">
        <v>984</v>
      </c>
      <c r="R1528" s="2">
        <v>0</v>
      </c>
      <c r="S1528">
        <v>0</v>
      </c>
      <c r="T1528" s="2">
        <v>1152</v>
      </c>
      <c r="U1528" s="2">
        <v>138624</v>
      </c>
      <c r="V1528">
        <v>22.632000000000001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28.5</v>
      </c>
      <c r="AC1528">
        <v>1.9475000000000002</v>
      </c>
      <c r="AD1528">
        <v>22</v>
      </c>
      <c r="AE1528" s="7"/>
      <c r="AF1528" s="7"/>
      <c r="AG1528" s="7"/>
      <c r="AH1528" s="7"/>
      <c r="AI1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10.0525</v>
      </c>
      <c r="AJ1528" s="7"/>
      <c r="AK1528" t="s">
        <v>214</v>
      </c>
      <c r="AN1528">
        <f>IFERROR(INT(Table13[[#This Row],[reject_prod]]/Table13[[#This Row],[part_weight]] * 1000), 0)</f>
        <v>0</v>
      </c>
    </row>
    <row r="1529" spans="1:40" hidden="1">
      <c r="A1529" s="1">
        <v>46068</v>
      </c>
      <c r="B1529">
        <v>1</v>
      </c>
      <c r="C1529">
        <v>4</v>
      </c>
      <c r="D1529" t="s">
        <v>141</v>
      </c>
      <c r="E1529" t="s">
        <v>34</v>
      </c>
      <c r="F1529">
        <v>409780</v>
      </c>
      <c r="G1529" s="6">
        <v>0</v>
      </c>
      <c r="H1529" t="s">
        <v>829</v>
      </c>
      <c r="I1529">
        <v>10687750</v>
      </c>
      <c r="J1529">
        <v>3</v>
      </c>
      <c r="K1529">
        <v>29</v>
      </c>
      <c r="L1529">
        <v>29</v>
      </c>
      <c r="M1529">
        <v>1580</v>
      </c>
      <c r="N1529" s="2">
        <v>40608</v>
      </c>
      <c r="O1529" s="2">
        <v>564</v>
      </c>
      <c r="P1529" s="2">
        <v>1692</v>
      </c>
      <c r="Q1529" s="2">
        <v>4740</v>
      </c>
      <c r="R1529" s="2">
        <v>3384</v>
      </c>
      <c r="S1529">
        <v>98.135999999999996</v>
      </c>
      <c r="T1529" s="2">
        <v>11844</v>
      </c>
      <c r="U1529" s="2">
        <v>28764</v>
      </c>
      <c r="V1529">
        <v>137.46</v>
      </c>
      <c r="W1529">
        <v>0</v>
      </c>
      <c r="X1529">
        <v>0</v>
      </c>
      <c r="Y1529">
        <v>0</v>
      </c>
      <c r="Z1529">
        <v>2</v>
      </c>
      <c r="AA1529">
        <v>1.4549687181725592E-2</v>
      </c>
      <c r="AB1529">
        <v>26.3</v>
      </c>
      <c r="AC1529">
        <v>11.542777777777777</v>
      </c>
      <c r="AD1529">
        <v>24</v>
      </c>
      <c r="AE1529" s="7"/>
      <c r="AF1529" s="7"/>
      <c r="AG1529" s="7"/>
      <c r="AH1529" s="7"/>
      <c r="AI1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0.45722222222222264</v>
      </c>
      <c r="AJ1529" s="7"/>
      <c r="AK1529" t="s">
        <v>214</v>
      </c>
      <c r="AN1529">
        <f>IFERROR(INT(Table13[[#This Row],[reject_prod]]/Table13[[#This Row],[part_weight]] * 1000), 0)</f>
        <v>68</v>
      </c>
    </row>
    <row r="1530" spans="1:40" hidden="1">
      <c r="A1530" s="1">
        <v>46068</v>
      </c>
      <c r="B1530">
        <v>1</v>
      </c>
      <c r="C1530">
        <v>5</v>
      </c>
      <c r="D1530" t="s">
        <v>281</v>
      </c>
      <c r="E1530" t="s">
        <v>34</v>
      </c>
      <c r="F1530">
        <v>322503</v>
      </c>
      <c r="G1530" s="6">
        <v>0</v>
      </c>
      <c r="H1530" t="s">
        <v>850</v>
      </c>
      <c r="I1530">
        <v>10681842</v>
      </c>
      <c r="J1530">
        <v>4</v>
      </c>
      <c r="K1530">
        <v>44</v>
      </c>
      <c r="L1530">
        <v>44</v>
      </c>
      <c r="M1530">
        <v>1267</v>
      </c>
      <c r="N1530" s="2">
        <v>16856</v>
      </c>
      <c r="O1530" s="2">
        <v>1720</v>
      </c>
      <c r="P1530" s="2">
        <v>344</v>
      </c>
      <c r="Q1530" s="2">
        <v>5068</v>
      </c>
      <c r="R1530" s="2">
        <v>6192</v>
      </c>
      <c r="S1530">
        <v>272.44799999999998</v>
      </c>
      <c r="T1530" s="2">
        <v>12900</v>
      </c>
      <c r="U1530" s="2">
        <v>3956</v>
      </c>
      <c r="V1530">
        <v>222.99199999999999</v>
      </c>
      <c r="W1530">
        <v>0</v>
      </c>
      <c r="X1530">
        <v>0</v>
      </c>
      <c r="Y1530">
        <v>0</v>
      </c>
      <c r="Z1530">
        <v>3.5</v>
      </c>
      <c r="AA1530">
        <v>1.5695630336514315E-2</v>
      </c>
      <c r="AB1530">
        <v>33.4</v>
      </c>
      <c r="AC1530">
        <v>11.754944444444444</v>
      </c>
      <c r="AD1530">
        <v>28.88</v>
      </c>
      <c r="AE1530" s="7"/>
      <c r="AF1530" s="7"/>
      <c r="AG1530" s="7"/>
      <c r="AH1530" s="7"/>
      <c r="AI1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0.24505555555555603</v>
      </c>
      <c r="AJ1530" s="7"/>
      <c r="AK1530" t="s">
        <v>168</v>
      </c>
      <c r="AN1530">
        <f>IFERROR(INT(Table13[[#This Row],[reject_prod]]/Table13[[#This Row],[part_weight]] * 1000), 0)</f>
        <v>79</v>
      </c>
    </row>
    <row r="1531" spans="1:40" hidden="1">
      <c r="A1531" s="1">
        <v>46068</v>
      </c>
      <c r="B1531">
        <v>1</v>
      </c>
      <c r="C1531">
        <v>6</v>
      </c>
      <c r="D1531" t="s">
        <v>640</v>
      </c>
      <c r="E1531" t="s">
        <v>41</v>
      </c>
      <c r="F1531">
        <v>620994</v>
      </c>
      <c r="G1531" s="6">
        <v>0</v>
      </c>
      <c r="H1531" t="s">
        <v>42</v>
      </c>
      <c r="I1531">
        <v>10686806</v>
      </c>
      <c r="J1531">
        <v>4</v>
      </c>
      <c r="K1531">
        <v>32.74</v>
      </c>
      <c r="L1531">
        <v>33</v>
      </c>
      <c r="M1531">
        <v>1805</v>
      </c>
      <c r="N1531" s="2">
        <v>104192</v>
      </c>
      <c r="O1531" s="2">
        <v>0</v>
      </c>
      <c r="P1531" s="2">
        <v>3256</v>
      </c>
      <c r="Q1531" s="2">
        <v>7220</v>
      </c>
      <c r="R1531" s="2">
        <v>3552</v>
      </c>
      <c r="S1531">
        <v>117.21599999999999</v>
      </c>
      <c r="T1531" s="2">
        <v>28120</v>
      </c>
      <c r="U1531" s="2">
        <v>76072</v>
      </c>
      <c r="V1531">
        <v>238.26</v>
      </c>
      <c r="W1531">
        <v>0</v>
      </c>
      <c r="X1531">
        <v>0</v>
      </c>
      <c r="Y1531">
        <v>0</v>
      </c>
      <c r="Z1531">
        <v>1</v>
      </c>
      <c r="AA1531">
        <v>4.1970956098379922E-3</v>
      </c>
      <c r="AB1531">
        <v>23.3</v>
      </c>
      <c r="AC1531">
        <v>11.682361111111112</v>
      </c>
      <c r="AD1531">
        <v>22</v>
      </c>
      <c r="AE1531" s="7"/>
      <c r="AF1531" s="7"/>
      <c r="AG1531" s="7"/>
      <c r="AH1531" s="7"/>
      <c r="AI1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0.31763888888888836</v>
      </c>
      <c r="AJ1531" s="7"/>
      <c r="AK1531" t="s">
        <v>214</v>
      </c>
      <c r="AN1531">
        <f>IFERROR(INT(Table13[[#This Row],[reject_prod]]/Table13[[#This Row],[part_weight]] * 1000), 0)</f>
        <v>30</v>
      </c>
    </row>
    <row r="1532" spans="1:40" hidden="1">
      <c r="A1532" s="1">
        <v>46068</v>
      </c>
      <c r="B1532">
        <v>1</v>
      </c>
      <c r="C1532">
        <v>7</v>
      </c>
      <c r="D1532" t="s">
        <v>452</v>
      </c>
      <c r="E1532" t="s">
        <v>34</v>
      </c>
      <c r="F1532">
        <v>324177</v>
      </c>
      <c r="G1532" s="6">
        <v>0</v>
      </c>
      <c r="H1532" t="s">
        <v>246</v>
      </c>
      <c r="I1532">
        <v>10686803</v>
      </c>
      <c r="J1532">
        <v>4</v>
      </c>
      <c r="K1532">
        <v>34.5</v>
      </c>
      <c r="L1532">
        <v>34.5</v>
      </c>
      <c r="M1532">
        <v>1743</v>
      </c>
      <c r="N1532" s="2">
        <v>93600</v>
      </c>
      <c r="O1532" s="2">
        <v>780</v>
      </c>
      <c r="P1532" s="2">
        <v>1092</v>
      </c>
      <c r="Q1532" s="2">
        <v>6972</v>
      </c>
      <c r="R1532" s="2">
        <v>6240</v>
      </c>
      <c r="S1532">
        <v>215.28</v>
      </c>
      <c r="T1532" s="2">
        <v>59592</v>
      </c>
      <c r="U1532" s="2">
        <v>34008</v>
      </c>
      <c r="V1532">
        <v>240.53399999999999</v>
      </c>
      <c r="W1532">
        <v>0</v>
      </c>
      <c r="X1532">
        <v>0</v>
      </c>
      <c r="Y1532">
        <v>0</v>
      </c>
      <c r="Z1532">
        <v>17.2</v>
      </c>
      <c r="AA1532">
        <v>7.1507562340459144E-2</v>
      </c>
      <c r="AB1532">
        <v>23.31</v>
      </c>
      <c r="AC1532">
        <v>11.285924999999999</v>
      </c>
      <c r="AD1532">
        <v>22</v>
      </c>
      <c r="AE1532" s="7"/>
      <c r="AF1532" s="7"/>
      <c r="AG1532" s="7"/>
      <c r="AH1532" s="7"/>
      <c r="AI1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0.71407500000000113</v>
      </c>
      <c r="AJ1532" s="7"/>
      <c r="AK1532" t="s">
        <v>168</v>
      </c>
      <c r="AN1532">
        <f>IFERROR(INT(Table13[[#This Row],[reject_prod]]/Table13[[#This Row],[part_weight]] * 1000), 0)</f>
        <v>498</v>
      </c>
    </row>
    <row r="1533" spans="1:40" hidden="1">
      <c r="A1533" s="1">
        <v>46068</v>
      </c>
      <c r="B1533">
        <v>1</v>
      </c>
      <c r="C1533">
        <v>9</v>
      </c>
      <c r="D1533" t="s">
        <v>40</v>
      </c>
      <c r="E1533" t="s">
        <v>46</v>
      </c>
      <c r="F1533">
        <v>586276</v>
      </c>
      <c r="G1533" s="6">
        <v>1</v>
      </c>
      <c r="H1533" t="s">
        <v>47</v>
      </c>
      <c r="I1533">
        <v>10683781</v>
      </c>
      <c r="J1533">
        <v>6</v>
      </c>
      <c r="K1533">
        <v>12.3</v>
      </c>
      <c r="L1533">
        <v>12.3</v>
      </c>
      <c r="M1533">
        <v>1587</v>
      </c>
      <c r="N1533" s="2">
        <v>162000</v>
      </c>
      <c r="O1533" s="2">
        <v>7290</v>
      </c>
      <c r="P1533" s="2">
        <v>0</v>
      </c>
      <c r="Q1533" s="2">
        <v>9522</v>
      </c>
      <c r="R1533" s="2">
        <v>16200</v>
      </c>
      <c r="S1533">
        <v>199.26</v>
      </c>
      <c r="T1533" s="2">
        <v>153900</v>
      </c>
      <c r="U1533" s="2">
        <v>8100</v>
      </c>
      <c r="V1533">
        <v>117.12060000000001</v>
      </c>
      <c r="W1533">
        <v>0</v>
      </c>
      <c r="X1533">
        <v>0</v>
      </c>
      <c r="Y1533">
        <v>0</v>
      </c>
      <c r="Z1533">
        <v>5</v>
      </c>
      <c r="AA1533">
        <v>4.2691038126512329E-2</v>
      </c>
      <c r="AB1533">
        <v>26.5</v>
      </c>
      <c r="AC1533">
        <v>11.682083333333333</v>
      </c>
      <c r="AD1533">
        <v>26</v>
      </c>
      <c r="AE1533" s="7"/>
      <c r="AF1533" s="7"/>
      <c r="AG1533" s="7"/>
      <c r="AH1533" s="7"/>
      <c r="AI1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0.31791666666666707</v>
      </c>
      <c r="AJ1533" s="7"/>
      <c r="AK1533" t="s">
        <v>854</v>
      </c>
      <c r="AN1533">
        <f>IFERROR(INT(Table13[[#This Row],[reject_prod]]/Table13[[#This Row],[part_weight]] * 1000), 0)</f>
        <v>406</v>
      </c>
    </row>
    <row r="1534" spans="1:40" hidden="1">
      <c r="A1534" s="1">
        <v>46068</v>
      </c>
      <c r="B1534">
        <v>1</v>
      </c>
      <c r="C1534">
        <v>10</v>
      </c>
      <c r="F1534">
        <v>123456</v>
      </c>
      <c r="G1534" s="6">
        <v>0</v>
      </c>
      <c r="M1534">
        <v>0</v>
      </c>
      <c r="N1534" s="2">
        <v>0</v>
      </c>
      <c r="O1534" s="2">
        <v>0</v>
      </c>
      <c r="P1534" s="2">
        <v>0</v>
      </c>
      <c r="Q1534" s="2"/>
      <c r="R1534" s="2">
        <v>0</v>
      </c>
      <c r="T1534" s="2">
        <v>0</v>
      </c>
      <c r="U1534" s="2"/>
      <c r="X1534">
        <v>0</v>
      </c>
      <c r="Z1534">
        <v>0</v>
      </c>
      <c r="AB1534">
        <v>0</v>
      </c>
      <c r="AC1534">
        <v>0</v>
      </c>
      <c r="AD1534">
        <v>0</v>
      </c>
      <c r="AE1534" s="7"/>
      <c r="AF1534" s="7"/>
      <c r="AG1534" s="7"/>
      <c r="AH1534" s="7"/>
      <c r="AI1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34" s="7">
        <v>12</v>
      </c>
      <c r="AK1534" t="s">
        <v>116</v>
      </c>
      <c r="AN1534">
        <f>IFERROR(INT(Table13[[#This Row],[reject_prod]]/Table13[[#This Row],[part_weight]] * 1000), 0)</f>
        <v>0</v>
      </c>
    </row>
    <row r="1535" spans="1:40" hidden="1">
      <c r="A1535" s="1">
        <v>46068</v>
      </c>
      <c r="B1535">
        <v>1</v>
      </c>
      <c r="C1535">
        <v>11</v>
      </c>
      <c r="D1535" t="s">
        <v>61</v>
      </c>
      <c r="E1535" t="s">
        <v>46</v>
      </c>
      <c r="F1535">
        <v>552181</v>
      </c>
      <c r="G1535" s="6">
        <v>1</v>
      </c>
      <c r="H1535" t="s">
        <v>49</v>
      </c>
      <c r="I1535">
        <v>10686672</v>
      </c>
      <c r="J1535">
        <v>6</v>
      </c>
      <c r="K1535">
        <v>18.8</v>
      </c>
      <c r="L1535">
        <v>18.8</v>
      </c>
      <c r="M1535">
        <v>1458</v>
      </c>
      <c r="N1535" s="2">
        <v>108000</v>
      </c>
      <c r="O1535" s="2">
        <v>0</v>
      </c>
      <c r="P1535" s="2">
        <v>2700</v>
      </c>
      <c r="Q1535" s="2">
        <v>8748</v>
      </c>
      <c r="R1535" s="2">
        <v>5400</v>
      </c>
      <c r="S1535">
        <v>101.52</v>
      </c>
      <c r="T1535" s="2">
        <v>78300</v>
      </c>
      <c r="U1535" s="2">
        <v>29700</v>
      </c>
      <c r="V1535">
        <v>164.4624</v>
      </c>
      <c r="W1535">
        <v>0</v>
      </c>
      <c r="X1535">
        <v>0</v>
      </c>
      <c r="Y1535">
        <v>0</v>
      </c>
      <c r="Z1535">
        <v>3</v>
      </c>
      <c r="AA1535">
        <v>1.8241251495782623E-2</v>
      </c>
      <c r="AB1535">
        <v>29.4</v>
      </c>
      <c r="AC1535">
        <v>11.906999999999998</v>
      </c>
      <c r="AD1535">
        <v>27</v>
      </c>
      <c r="AE1535" s="7"/>
      <c r="AF1535" s="7"/>
      <c r="AG1535" s="7"/>
      <c r="AH1535" s="7"/>
      <c r="AI1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9.3000000000001748E-2</v>
      </c>
      <c r="AJ1535" s="7"/>
      <c r="AK1535" t="s">
        <v>51</v>
      </c>
      <c r="AN1535">
        <f>IFERROR(INT(Table13[[#This Row],[reject_prod]]/Table13[[#This Row],[part_weight]] * 1000), 0)</f>
        <v>159</v>
      </c>
    </row>
    <row r="1536" spans="1:40" hidden="1">
      <c r="A1536" s="1">
        <v>46068</v>
      </c>
      <c r="B1536">
        <v>1</v>
      </c>
      <c r="C1536">
        <v>12</v>
      </c>
      <c r="F1536">
        <v>123456</v>
      </c>
      <c r="G1536" s="6">
        <v>0</v>
      </c>
      <c r="M1536">
        <v>0</v>
      </c>
      <c r="N1536" s="2">
        <v>0</v>
      </c>
      <c r="O1536" s="2">
        <v>0</v>
      </c>
      <c r="P1536" s="2">
        <v>0</v>
      </c>
      <c r="Q1536" s="2"/>
      <c r="R1536" s="2">
        <v>0</v>
      </c>
      <c r="T1536" s="2">
        <v>0</v>
      </c>
      <c r="U1536" s="2"/>
      <c r="X1536">
        <v>0</v>
      </c>
      <c r="Z1536">
        <v>0</v>
      </c>
      <c r="AB1536">
        <v>0</v>
      </c>
      <c r="AC1536">
        <v>0</v>
      </c>
      <c r="AD1536">
        <v>0</v>
      </c>
      <c r="AE1536" s="7"/>
      <c r="AF1536" s="7"/>
      <c r="AG1536" s="7"/>
      <c r="AH1536" s="7"/>
      <c r="AI1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36" s="7">
        <v>12</v>
      </c>
      <c r="AK1536" t="s">
        <v>116</v>
      </c>
      <c r="AN1536">
        <f>IFERROR(INT(Table13[[#This Row],[reject_prod]]/Table13[[#This Row],[part_weight]] * 1000), 0)</f>
        <v>0</v>
      </c>
    </row>
    <row r="1537" spans="1:40" hidden="1">
      <c r="A1537" s="1">
        <v>46068</v>
      </c>
      <c r="B1537">
        <v>1</v>
      </c>
      <c r="C1537">
        <v>13</v>
      </c>
      <c r="D1537" t="s">
        <v>61</v>
      </c>
      <c r="E1537" t="s">
        <v>46</v>
      </c>
      <c r="F1537">
        <v>586276</v>
      </c>
      <c r="G1537" s="6">
        <v>2</v>
      </c>
      <c r="H1537" t="s">
        <v>47</v>
      </c>
      <c r="I1537">
        <v>10686676</v>
      </c>
      <c r="J1537">
        <v>6</v>
      </c>
      <c r="K1537">
        <v>12.3</v>
      </c>
      <c r="L1537">
        <v>12.3</v>
      </c>
      <c r="M1537">
        <v>1625</v>
      </c>
      <c r="N1537" s="2">
        <v>162000</v>
      </c>
      <c r="O1537" s="2">
        <v>6480</v>
      </c>
      <c r="P1537" s="2">
        <v>0</v>
      </c>
      <c r="Q1537" s="2">
        <v>9750</v>
      </c>
      <c r="R1537" s="2">
        <v>16200</v>
      </c>
      <c r="S1537">
        <v>199.26</v>
      </c>
      <c r="T1537" s="2">
        <v>121500</v>
      </c>
      <c r="U1537" s="2">
        <v>40500</v>
      </c>
      <c r="V1537">
        <v>119.925</v>
      </c>
      <c r="W1537">
        <v>0</v>
      </c>
      <c r="X1537">
        <v>0</v>
      </c>
      <c r="Y1537">
        <v>0</v>
      </c>
      <c r="Z1537">
        <v>1</v>
      </c>
      <c r="AA1537">
        <v>8.3385449239107776E-3</v>
      </c>
      <c r="AB1537">
        <v>26.2</v>
      </c>
      <c r="AC1537">
        <v>11.826388888888889</v>
      </c>
      <c r="AD1537">
        <v>26</v>
      </c>
      <c r="AE1537" s="7"/>
      <c r="AF1537" s="7"/>
      <c r="AG1537" s="7"/>
      <c r="AH1537" s="7"/>
      <c r="AI1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537" s="7"/>
      <c r="AK1537" t="s">
        <v>51</v>
      </c>
      <c r="AN1537">
        <f>IFERROR(INT(Table13[[#This Row],[reject_prod]]/Table13[[#This Row],[part_weight]] * 1000), 0)</f>
        <v>81</v>
      </c>
    </row>
    <row r="1538" spans="1:40" hidden="1">
      <c r="A1538" s="1">
        <v>46068</v>
      </c>
      <c r="B1538">
        <v>1</v>
      </c>
      <c r="C1538">
        <v>14</v>
      </c>
      <c r="D1538" t="s">
        <v>69</v>
      </c>
      <c r="E1538" t="s">
        <v>34</v>
      </c>
      <c r="F1538">
        <v>541381</v>
      </c>
      <c r="G1538" s="6">
        <v>0</v>
      </c>
      <c r="H1538" t="s">
        <v>804</v>
      </c>
      <c r="I1538">
        <v>10686678</v>
      </c>
      <c r="J1538">
        <v>4</v>
      </c>
      <c r="K1538">
        <v>55</v>
      </c>
      <c r="L1538">
        <v>55</v>
      </c>
      <c r="M1538">
        <v>1521</v>
      </c>
      <c r="N1538" s="2">
        <v>84000</v>
      </c>
      <c r="O1538" s="2">
        <v>0</v>
      </c>
      <c r="P1538" s="2">
        <v>350</v>
      </c>
      <c r="Q1538" s="2">
        <v>6084</v>
      </c>
      <c r="R1538" s="2">
        <v>5600</v>
      </c>
      <c r="S1538">
        <v>308</v>
      </c>
      <c r="T1538" s="2">
        <v>14350</v>
      </c>
      <c r="U1538" s="2">
        <v>69650</v>
      </c>
      <c r="V1538">
        <v>334.62</v>
      </c>
      <c r="W1538">
        <v>0</v>
      </c>
      <c r="X1538">
        <v>0</v>
      </c>
      <c r="Y1538">
        <v>0</v>
      </c>
      <c r="Z1538">
        <v>8.1</v>
      </c>
      <c r="AA1538">
        <v>2.4206562668101127E-2</v>
      </c>
      <c r="AB1538">
        <v>27.8</v>
      </c>
      <c r="AC1538">
        <v>11.7455</v>
      </c>
      <c r="AD1538">
        <v>30.08</v>
      </c>
      <c r="AE1538" s="7"/>
      <c r="AF1538" s="7"/>
      <c r="AG1538" s="7"/>
      <c r="AH1538" s="7"/>
      <c r="AI1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0.25450000000000017</v>
      </c>
      <c r="AJ1538" s="7"/>
      <c r="AK1538" t="s">
        <v>884</v>
      </c>
      <c r="AN1538">
        <f>IFERROR(INT(Table13[[#This Row],[reject_prod]]/Table13[[#This Row],[part_weight]] * 1000), 0)</f>
        <v>147</v>
      </c>
    </row>
    <row r="1539" spans="1:40" hidden="1">
      <c r="A1539" s="1">
        <v>46068</v>
      </c>
      <c r="B1539">
        <v>1</v>
      </c>
      <c r="C1539">
        <v>15</v>
      </c>
      <c r="D1539" t="s">
        <v>61</v>
      </c>
      <c r="E1539" t="s">
        <v>46</v>
      </c>
      <c r="F1539">
        <v>550076</v>
      </c>
      <c r="G1539" s="6">
        <v>0</v>
      </c>
      <c r="H1539" t="s">
        <v>857</v>
      </c>
      <c r="I1539">
        <v>10687863</v>
      </c>
      <c r="J1539">
        <v>6</v>
      </c>
      <c r="K1539">
        <v>18.8</v>
      </c>
      <c r="L1539">
        <v>18.8</v>
      </c>
      <c r="M1539">
        <v>1370</v>
      </c>
      <c r="N1539" s="2">
        <v>108000</v>
      </c>
      <c r="O1539" s="2">
        <v>270</v>
      </c>
      <c r="P1539" s="2">
        <v>3510</v>
      </c>
      <c r="Q1539" s="2">
        <v>8220</v>
      </c>
      <c r="R1539" s="2">
        <v>5400</v>
      </c>
      <c r="S1539">
        <v>101.52</v>
      </c>
      <c r="T1539" s="2">
        <v>19710</v>
      </c>
      <c r="U1539" s="2">
        <v>88290</v>
      </c>
      <c r="V1539">
        <v>154.536</v>
      </c>
      <c r="W1539">
        <v>0</v>
      </c>
      <c r="X1539">
        <v>0</v>
      </c>
      <c r="Y1539">
        <v>0</v>
      </c>
      <c r="Z1539">
        <v>1</v>
      </c>
      <c r="AA1539">
        <v>6.4709841072630326E-3</v>
      </c>
      <c r="AB1539">
        <v>31.2</v>
      </c>
      <c r="AC1539">
        <v>11.873333333333333</v>
      </c>
      <c r="AD1539">
        <v>22.5</v>
      </c>
      <c r="AE1539" s="7"/>
      <c r="AF1539" s="7"/>
      <c r="AG1539" s="7"/>
      <c r="AH1539" s="7"/>
      <c r="AI1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0.12666666666666693</v>
      </c>
      <c r="AJ1539" s="7"/>
      <c r="AK1539" t="s">
        <v>51</v>
      </c>
      <c r="AN1539">
        <f>IFERROR(INT(Table13[[#This Row],[reject_prod]]/Table13[[#This Row],[part_weight]] * 1000), 0)</f>
        <v>53</v>
      </c>
    </row>
    <row r="1540" spans="1:40" s="4" customFormat="1" hidden="1">
      <c r="A1540" s="3">
        <v>46068</v>
      </c>
      <c r="B1540" s="4">
        <v>1</v>
      </c>
      <c r="C1540" s="4">
        <v>16</v>
      </c>
      <c r="D1540" s="4" t="s">
        <v>870</v>
      </c>
      <c r="E1540" s="4" t="s">
        <v>46</v>
      </c>
      <c r="F1540" s="4">
        <v>555979</v>
      </c>
      <c r="G1540" s="9">
        <v>2</v>
      </c>
      <c r="H1540" s="4" t="s">
        <v>52</v>
      </c>
      <c r="I1540" s="4">
        <v>10683785</v>
      </c>
      <c r="J1540" s="4">
        <v>6</v>
      </c>
      <c r="K1540" s="4">
        <v>28</v>
      </c>
      <c r="L1540" s="4">
        <v>28</v>
      </c>
      <c r="M1540" s="4">
        <v>992</v>
      </c>
      <c r="N1540" s="5">
        <v>100800</v>
      </c>
      <c r="O1540" s="5">
        <v>1848</v>
      </c>
      <c r="P1540" s="5">
        <v>1008</v>
      </c>
      <c r="Q1540" s="5">
        <v>5952</v>
      </c>
      <c r="R1540" s="5">
        <v>6720</v>
      </c>
      <c r="S1540" s="4">
        <v>188.16</v>
      </c>
      <c r="T1540" s="5">
        <v>51408</v>
      </c>
      <c r="U1540" s="5">
        <v>49392</v>
      </c>
      <c r="V1540" s="4">
        <v>166.65600000000001</v>
      </c>
      <c r="W1540" s="4">
        <v>0</v>
      </c>
      <c r="X1540" s="4">
        <v>0</v>
      </c>
      <c r="Y1540" s="4">
        <v>0</v>
      </c>
      <c r="Z1540" s="4">
        <v>2</v>
      </c>
      <c r="AA1540" s="4">
        <v>1.2000768049155145E-2</v>
      </c>
      <c r="AB1540" s="4">
        <v>43.5</v>
      </c>
      <c r="AC1540" s="4">
        <v>11.986666666666666</v>
      </c>
      <c r="AD1540" s="4">
        <v>42</v>
      </c>
      <c r="AE1540" s="8"/>
      <c r="AF1540" s="8"/>
      <c r="AG1540" s="8"/>
      <c r="AH1540" s="8"/>
      <c r="AI15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1.3333333333333641E-2</v>
      </c>
      <c r="AJ1540" s="8"/>
      <c r="AK1540" s="4" t="s">
        <v>51</v>
      </c>
      <c r="AN1540">
        <f>IFERROR(INT(Table13[[#This Row],[reject_prod]]/Table13[[#This Row],[part_weight]] * 1000), 0)</f>
        <v>71</v>
      </c>
    </row>
    <row r="1541" spans="1:40" hidden="1">
      <c r="A1541" s="1">
        <v>46068</v>
      </c>
      <c r="B1541">
        <v>2</v>
      </c>
      <c r="C1541">
        <v>1</v>
      </c>
      <c r="D1541" t="s">
        <v>885</v>
      </c>
      <c r="E1541" t="s">
        <v>34</v>
      </c>
      <c r="F1541">
        <v>323107</v>
      </c>
      <c r="G1541" s="6">
        <v>0</v>
      </c>
      <c r="H1541" t="s">
        <v>845</v>
      </c>
      <c r="I1541">
        <v>10685636</v>
      </c>
      <c r="J1541">
        <v>2</v>
      </c>
      <c r="K1541">
        <v>75</v>
      </c>
      <c r="L1541">
        <v>75</v>
      </c>
      <c r="M1541">
        <v>1200</v>
      </c>
      <c r="N1541" s="2">
        <v>13440</v>
      </c>
      <c r="O1541" s="2">
        <v>240</v>
      </c>
      <c r="P1541" s="2">
        <v>0</v>
      </c>
      <c r="Q1541" s="2">
        <v>2400</v>
      </c>
      <c r="R1541" s="2">
        <v>2640</v>
      </c>
      <c r="S1541">
        <v>198</v>
      </c>
      <c r="T1541" s="2">
        <v>12480</v>
      </c>
      <c r="U1541" s="2">
        <v>960</v>
      </c>
      <c r="V1541">
        <v>180</v>
      </c>
      <c r="W1541">
        <v>0</v>
      </c>
      <c r="X1541">
        <v>0</v>
      </c>
      <c r="Y1541">
        <v>0</v>
      </c>
      <c r="Z1541">
        <v>1</v>
      </c>
      <c r="AA1541">
        <v>5.5555555555555558E-3</v>
      </c>
      <c r="AB1541">
        <v>36.42</v>
      </c>
      <c r="AC1541">
        <v>12</v>
      </c>
      <c r="AD1541">
        <v>31.94</v>
      </c>
      <c r="AE1541" s="7"/>
      <c r="AF1541" s="7"/>
      <c r="AG1541" s="7"/>
      <c r="AH1541" s="7"/>
      <c r="AI1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1" s="7"/>
      <c r="AK1541" t="s">
        <v>214</v>
      </c>
      <c r="AN1541">
        <f>IFERROR(INT(Table13[[#This Row],[reject_prod]]/Table13[[#This Row],[part_weight]] * 1000), 0)</f>
        <v>13</v>
      </c>
    </row>
    <row r="1542" spans="1:40" hidden="1">
      <c r="A1542" s="1">
        <v>46068</v>
      </c>
      <c r="B1542">
        <v>2</v>
      </c>
      <c r="C1542">
        <v>2</v>
      </c>
      <c r="D1542" t="s">
        <v>289</v>
      </c>
      <c r="E1542" t="s">
        <v>34</v>
      </c>
      <c r="F1542">
        <v>322493</v>
      </c>
      <c r="G1542" s="6">
        <v>0</v>
      </c>
      <c r="H1542" t="s">
        <v>816</v>
      </c>
      <c r="I1542">
        <v>10686190</v>
      </c>
      <c r="J1542">
        <v>4</v>
      </c>
      <c r="K1542">
        <v>23</v>
      </c>
      <c r="L1542">
        <v>23</v>
      </c>
      <c r="M1542">
        <v>1600</v>
      </c>
      <c r="N1542" s="2">
        <v>61200</v>
      </c>
      <c r="O1542" s="2">
        <v>1020</v>
      </c>
      <c r="P1542" s="2">
        <v>1020</v>
      </c>
      <c r="Q1542" s="2">
        <v>6400</v>
      </c>
      <c r="R1542" s="2">
        <v>6375</v>
      </c>
      <c r="S1542">
        <v>146.625</v>
      </c>
      <c r="T1542" s="2">
        <v>45645</v>
      </c>
      <c r="U1542" s="2">
        <v>15555</v>
      </c>
      <c r="V1542">
        <v>147.19999999999999</v>
      </c>
      <c r="W1542">
        <v>0</v>
      </c>
      <c r="X1542">
        <v>0</v>
      </c>
      <c r="Y1542">
        <v>0</v>
      </c>
      <c r="Z1542">
        <v>2.2999999999999998</v>
      </c>
      <c r="AA1542">
        <v>1.5625E-2</v>
      </c>
      <c r="AB1542">
        <v>26.4</v>
      </c>
      <c r="AC1542">
        <v>11.733333333333333</v>
      </c>
      <c r="AD1542">
        <v>22.5</v>
      </c>
      <c r="AE1542" s="7"/>
      <c r="AF1542" s="7"/>
      <c r="AG1542" s="7"/>
      <c r="AH1542" s="7"/>
      <c r="AI1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0.2666666666666675</v>
      </c>
      <c r="AJ1542" s="7"/>
      <c r="AK1542" t="s">
        <v>237</v>
      </c>
      <c r="AN1542">
        <f>IFERROR(INT(Table13[[#This Row],[reject_prod]]/Table13[[#This Row],[part_weight]] * 1000), 0)</f>
        <v>100</v>
      </c>
    </row>
    <row r="1543" spans="1:40" hidden="1">
      <c r="A1543" s="1">
        <v>46068</v>
      </c>
      <c r="B1543">
        <v>2</v>
      </c>
      <c r="C1543">
        <v>3</v>
      </c>
      <c r="D1543" t="s">
        <v>59</v>
      </c>
      <c r="E1543" t="s">
        <v>34</v>
      </c>
      <c r="F1543">
        <v>442034</v>
      </c>
      <c r="G1543" s="6">
        <v>0</v>
      </c>
      <c r="H1543" t="s">
        <v>37</v>
      </c>
      <c r="I1543">
        <v>10685634</v>
      </c>
      <c r="J1543">
        <v>4</v>
      </c>
      <c r="K1543">
        <v>23</v>
      </c>
      <c r="L1543">
        <v>23</v>
      </c>
      <c r="M1543">
        <v>1530</v>
      </c>
      <c r="N1543" s="2">
        <v>139778</v>
      </c>
      <c r="O1543" s="2">
        <v>1152</v>
      </c>
      <c r="P1543" s="2">
        <v>2688</v>
      </c>
      <c r="Q1543" s="2">
        <v>6120</v>
      </c>
      <c r="R1543" s="2">
        <v>4608</v>
      </c>
      <c r="S1543">
        <v>105.98399999999999</v>
      </c>
      <c r="T1543" s="2">
        <v>7296</v>
      </c>
      <c r="U1543" s="2">
        <v>132482</v>
      </c>
      <c r="V1543">
        <v>140.76</v>
      </c>
      <c r="W1543">
        <v>0</v>
      </c>
      <c r="X1543">
        <v>0</v>
      </c>
      <c r="Y1543">
        <v>0</v>
      </c>
      <c r="Z1543">
        <v>1</v>
      </c>
      <c r="AA1543">
        <v>7.1042909917590231E-3</v>
      </c>
      <c r="AB1543">
        <v>28.5</v>
      </c>
      <c r="AC1543">
        <v>12</v>
      </c>
      <c r="AD1543">
        <v>22</v>
      </c>
      <c r="AE1543" s="7"/>
      <c r="AF1543" s="7"/>
      <c r="AG1543" s="7"/>
      <c r="AH1543" s="7"/>
      <c r="AI1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3" s="7"/>
      <c r="AK1543" t="s">
        <v>103</v>
      </c>
      <c r="AN1543">
        <f>IFERROR(INT(Table13[[#This Row],[reject_prod]]/Table13[[#This Row],[part_weight]] * 1000), 0)</f>
        <v>43</v>
      </c>
    </row>
    <row r="1544" spans="1:40" hidden="1">
      <c r="A1544" s="1">
        <v>46068</v>
      </c>
      <c r="B1544">
        <v>2</v>
      </c>
      <c r="C1544">
        <v>4</v>
      </c>
      <c r="D1544" t="s">
        <v>124</v>
      </c>
      <c r="E1544" t="s">
        <v>34</v>
      </c>
      <c r="F1544">
        <v>409780</v>
      </c>
      <c r="G1544" s="6">
        <v>0</v>
      </c>
      <c r="H1544" t="s">
        <v>829</v>
      </c>
      <c r="I1544">
        <v>10687750</v>
      </c>
      <c r="J1544">
        <v>3</v>
      </c>
      <c r="K1544">
        <v>73</v>
      </c>
      <c r="L1544">
        <v>73</v>
      </c>
      <c r="M1544">
        <v>1600</v>
      </c>
      <c r="N1544" s="2">
        <v>40608</v>
      </c>
      <c r="O1544" s="2">
        <v>1692</v>
      </c>
      <c r="P1544" s="2">
        <v>3102</v>
      </c>
      <c r="Q1544" s="2">
        <v>4800</v>
      </c>
      <c r="R1544" s="2">
        <v>3384</v>
      </c>
      <c r="S1544">
        <v>247.03200000000001</v>
      </c>
      <c r="T1544" s="2">
        <v>16638</v>
      </c>
      <c r="U1544" s="2">
        <v>23970</v>
      </c>
      <c r="V1544">
        <v>350.4</v>
      </c>
      <c r="W1544">
        <v>0</v>
      </c>
      <c r="X1544">
        <v>0</v>
      </c>
      <c r="Y1544">
        <v>0</v>
      </c>
      <c r="Z1544">
        <v>0.5</v>
      </c>
      <c r="AA1544">
        <v>1.4269406392694065E-3</v>
      </c>
      <c r="AB1544">
        <v>26.27</v>
      </c>
      <c r="AC1544">
        <v>11.675555555555556</v>
      </c>
      <c r="AD1544">
        <v>24</v>
      </c>
      <c r="AE1544" s="7"/>
      <c r="AF1544" s="7"/>
      <c r="AG1544" s="7"/>
      <c r="AH1544" s="7"/>
      <c r="AI1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0.32444444444444365</v>
      </c>
      <c r="AJ1544" s="7"/>
      <c r="AK1544" t="s">
        <v>214</v>
      </c>
      <c r="AN1544">
        <f>IFERROR(INT(Table13[[#This Row],[reject_prod]]/Table13[[#This Row],[part_weight]] * 1000), 0)</f>
        <v>6</v>
      </c>
    </row>
    <row r="1545" spans="1:40" hidden="1">
      <c r="A1545" s="1">
        <v>46068</v>
      </c>
      <c r="B1545">
        <v>2</v>
      </c>
      <c r="C1545">
        <v>5</v>
      </c>
      <c r="D1545" t="s">
        <v>886</v>
      </c>
      <c r="E1545" t="s">
        <v>34</v>
      </c>
      <c r="F1545">
        <v>322503</v>
      </c>
      <c r="G1545" s="6">
        <v>0</v>
      </c>
      <c r="H1545" t="s">
        <v>850</v>
      </c>
      <c r="I1545">
        <v>10681842</v>
      </c>
      <c r="J1545">
        <v>4</v>
      </c>
      <c r="K1545">
        <v>44</v>
      </c>
      <c r="L1545">
        <v>44</v>
      </c>
      <c r="M1545">
        <v>1050</v>
      </c>
      <c r="N1545" s="2">
        <v>16856</v>
      </c>
      <c r="O1545" s="2">
        <v>344</v>
      </c>
      <c r="P1545" s="2">
        <v>0</v>
      </c>
      <c r="Q1545" s="2">
        <v>4200</v>
      </c>
      <c r="R1545" s="2">
        <v>4472</v>
      </c>
      <c r="S1545">
        <v>196.768</v>
      </c>
      <c r="T1545" s="2">
        <v>16856</v>
      </c>
      <c r="U1545" s="2">
        <v>0</v>
      </c>
      <c r="V1545">
        <v>184.8</v>
      </c>
      <c r="W1545">
        <v>0</v>
      </c>
      <c r="X1545">
        <v>0</v>
      </c>
      <c r="Y1545">
        <v>0</v>
      </c>
      <c r="Z1545">
        <v>2.4</v>
      </c>
      <c r="AA1545">
        <v>1.2987012987012986E-2</v>
      </c>
      <c r="AB1545">
        <v>33.4</v>
      </c>
      <c r="AC1545">
        <v>9.7416666666666654</v>
      </c>
      <c r="AD1545">
        <v>28.88</v>
      </c>
      <c r="AE1545" s="7"/>
      <c r="AF1545" s="7"/>
      <c r="AG1545" s="7"/>
      <c r="AH1545" s="7"/>
      <c r="AI1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2.2583333333333346</v>
      </c>
      <c r="AJ1545" s="7"/>
      <c r="AK1545" t="s">
        <v>102</v>
      </c>
      <c r="AN1545">
        <f>IFERROR(INT(Table13[[#This Row],[reject_prod]]/Table13[[#This Row],[part_weight]] * 1000), 0)</f>
        <v>54</v>
      </c>
    </row>
    <row r="1546" spans="1:40" hidden="1">
      <c r="A1546" s="1">
        <v>46068</v>
      </c>
      <c r="B1546">
        <v>2</v>
      </c>
      <c r="C1546">
        <v>6</v>
      </c>
      <c r="D1546" t="s">
        <v>88</v>
      </c>
      <c r="E1546" t="s">
        <v>41</v>
      </c>
      <c r="F1546">
        <v>620994</v>
      </c>
      <c r="G1546" s="6">
        <v>0</v>
      </c>
      <c r="H1546" t="s">
        <v>42</v>
      </c>
      <c r="I1546">
        <v>10686806</v>
      </c>
      <c r="J1546">
        <v>4</v>
      </c>
      <c r="K1546">
        <v>32.74</v>
      </c>
      <c r="L1546">
        <v>33</v>
      </c>
      <c r="M1546">
        <v>1850</v>
      </c>
      <c r="N1546" s="2">
        <v>104192</v>
      </c>
      <c r="O1546" s="2">
        <v>3256</v>
      </c>
      <c r="P1546" s="2">
        <v>0</v>
      </c>
      <c r="Q1546" s="2">
        <v>7400</v>
      </c>
      <c r="R1546" s="2">
        <v>10656</v>
      </c>
      <c r="S1546">
        <v>351.64800000000002</v>
      </c>
      <c r="T1546" s="2">
        <v>35520</v>
      </c>
      <c r="U1546" s="2">
        <v>68672</v>
      </c>
      <c r="V1546">
        <v>244.2</v>
      </c>
      <c r="W1546">
        <v>-1.9239999999999853</v>
      </c>
      <c r="X1546">
        <v>0</v>
      </c>
      <c r="Y1546">
        <v>0</v>
      </c>
      <c r="Z1546">
        <v>2</v>
      </c>
      <c r="AA1546">
        <v>8.1900081900081901E-3</v>
      </c>
      <c r="AB1546">
        <v>23.3</v>
      </c>
      <c r="AC1546">
        <v>11.973611111111111</v>
      </c>
      <c r="AD1546">
        <v>22</v>
      </c>
      <c r="AE1546" s="7"/>
      <c r="AF1546" s="7"/>
      <c r="AG1546" s="7"/>
      <c r="AH1546" s="7"/>
      <c r="AI1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2.6388888888888573E-2</v>
      </c>
      <c r="AJ1546" s="7"/>
      <c r="AK1546" t="s">
        <v>103</v>
      </c>
      <c r="AN1546">
        <f>IFERROR(INT(Table13[[#This Row],[reject_prod]]/Table13[[#This Row],[part_weight]] * 1000), 0)</f>
        <v>60</v>
      </c>
    </row>
    <row r="1547" spans="1:40" hidden="1">
      <c r="A1547" s="1">
        <v>46068</v>
      </c>
      <c r="B1547">
        <v>2</v>
      </c>
      <c r="C1547">
        <v>7</v>
      </c>
      <c r="D1547" t="s">
        <v>887</v>
      </c>
      <c r="E1547" t="s">
        <v>34</v>
      </c>
      <c r="F1547">
        <v>324177</v>
      </c>
      <c r="G1547" s="6">
        <v>0</v>
      </c>
      <c r="H1547" t="s">
        <v>246</v>
      </c>
      <c r="I1547">
        <v>10686803</v>
      </c>
      <c r="J1547">
        <v>4</v>
      </c>
      <c r="K1547">
        <v>34.5</v>
      </c>
      <c r="L1547">
        <v>34.5</v>
      </c>
      <c r="M1547">
        <v>1872</v>
      </c>
      <c r="N1547" s="2">
        <v>93600</v>
      </c>
      <c r="O1547" s="2">
        <v>1092</v>
      </c>
      <c r="P1547" s="2">
        <v>0</v>
      </c>
      <c r="Q1547" s="2">
        <v>7488</v>
      </c>
      <c r="R1547" s="2">
        <v>8580</v>
      </c>
      <c r="S1547">
        <v>296.01</v>
      </c>
      <c r="T1547" s="2">
        <v>67080</v>
      </c>
      <c r="U1547" s="2">
        <v>26520</v>
      </c>
      <c r="V1547">
        <v>258.33600000000001</v>
      </c>
      <c r="W1547">
        <v>0</v>
      </c>
      <c r="X1547">
        <v>0</v>
      </c>
      <c r="Y1547">
        <v>0</v>
      </c>
      <c r="Z1547">
        <v>9.5</v>
      </c>
      <c r="AA1547">
        <v>3.677381394772699E-2</v>
      </c>
      <c r="AB1547">
        <v>23.3</v>
      </c>
      <c r="AC1547">
        <v>12</v>
      </c>
      <c r="AD1547">
        <v>22</v>
      </c>
      <c r="AE1547" s="7"/>
      <c r="AF1547" s="7"/>
      <c r="AG1547" s="7"/>
      <c r="AH1547" s="7"/>
      <c r="AI1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7" s="7"/>
      <c r="AK1547" t="s">
        <v>878</v>
      </c>
      <c r="AN1547">
        <f>IFERROR(INT(Table13[[#This Row],[reject_prod]]/Table13[[#This Row],[part_weight]] * 1000), 0)</f>
        <v>275</v>
      </c>
    </row>
    <row r="1548" spans="1:40" hidden="1">
      <c r="A1548" s="1">
        <v>46068</v>
      </c>
      <c r="B1548">
        <v>2</v>
      </c>
      <c r="C1548">
        <v>8</v>
      </c>
      <c r="F1548">
        <v>123456</v>
      </c>
      <c r="G1548" s="6">
        <v>0</v>
      </c>
      <c r="M1548">
        <v>0</v>
      </c>
      <c r="N1548" s="2">
        <v>0</v>
      </c>
      <c r="O1548" s="2">
        <v>0</v>
      </c>
      <c r="P1548" s="2">
        <v>0</v>
      </c>
      <c r="Q1548" s="2"/>
      <c r="R1548" s="2">
        <v>0</v>
      </c>
      <c r="T1548" s="2">
        <v>0</v>
      </c>
      <c r="U1548" s="2"/>
      <c r="X1548">
        <v>0</v>
      </c>
      <c r="Z1548">
        <v>0</v>
      </c>
      <c r="AB1548">
        <v>0</v>
      </c>
      <c r="AC1548">
        <v>0</v>
      </c>
      <c r="AD1548">
        <v>0</v>
      </c>
      <c r="AE1548" s="7"/>
      <c r="AF1548" s="7"/>
      <c r="AG1548" s="7"/>
      <c r="AH1548" s="7"/>
      <c r="AI1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8" s="7">
        <v>12</v>
      </c>
      <c r="AK1548" t="s">
        <v>116</v>
      </c>
      <c r="AN1548">
        <f>IFERROR(INT(Table13[[#This Row],[reject_prod]]/Table13[[#This Row],[part_weight]] * 1000), 0)</f>
        <v>0</v>
      </c>
    </row>
    <row r="1549" spans="1:40" hidden="1">
      <c r="A1549" s="1">
        <v>46068</v>
      </c>
      <c r="B1549">
        <v>2</v>
      </c>
      <c r="C1549">
        <v>9</v>
      </c>
      <c r="D1549" t="s">
        <v>181</v>
      </c>
      <c r="E1549" t="s">
        <v>46</v>
      </c>
      <c r="F1549">
        <v>586276</v>
      </c>
      <c r="G1549" s="6">
        <v>1</v>
      </c>
      <c r="H1549" t="s">
        <v>47</v>
      </c>
      <c r="I1549">
        <v>10683781</v>
      </c>
      <c r="J1549">
        <v>6</v>
      </c>
      <c r="K1549">
        <v>12.3</v>
      </c>
      <c r="L1549">
        <v>12.3</v>
      </c>
      <c r="M1549">
        <v>1358</v>
      </c>
      <c r="N1549" s="2">
        <v>162000</v>
      </c>
      <c r="O1549" s="2">
        <v>0</v>
      </c>
      <c r="P1549" s="2">
        <v>0</v>
      </c>
      <c r="Q1549" s="2">
        <v>8148</v>
      </c>
      <c r="R1549" s="2">
        <v>8100</v>
      </c>
      <c r="S1549">
        <v>99.63</v>
      </c>
      <c r="T1549" s="2">
        <v>162000</v>
      </c>
      <c r="U1549" s="2">
        <v>0</v>
      </c>
      <c r="V1549">
        <v>100.22040000000001</v>
      </c>
      <c r="W1549">
        <v>0</v>
      </c>
      <c r="X1549">
        <v>0</v>
      </c>
      <c r="Y1549">
        <v>0</v>
      </c>
      <c r="Z1549">
        <v>7.3</v>
      </c>
      <c r="AA1549">
        <v>7.2839461826135182E-2</v>
      </c>
      <c r="AB1549">
        <v>26.5</v>
      </c>
      <c r="AC1549">
        <v>9.9963888888888892</v>
      </c>
      <c r="AD1549">
        <v>26</v>
      </c>
      <c r="AE1549" s="7"/>
      <c r="AF1549" s="7"/>
      <c r="AG1549" s="7"/>
      <c r="AH1549" s="7"/>
      <c r="AI15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2.0036111111111108</v>
      </c>
      <c r="AJ1549" s="7"/>
      <c r="AK1549" t="s">
        <v>102</v>
      </c>
      <c r="AN1549">
        <f>IFERROR(INT(Table13[[#This Row],[reject_prod]]/Table13[[#This Row],[part_weight]] * 1000), 0)</f>
        <v>593</v>
      </c>
    </row>
    <row r="1550" spans="1:40" hidden="1">
      <c r="A1550" s="1">
        <v>46068</v>
      </c>
      <c r="B1550">
        <v>2</v>
      </c>
      <c r="C1550">
        <v>9</v>
      </c>
      <c r="D1550" t="s">
        <v>181</v>
      </c>
      <c r="E1550" t="s">
        <v>46</v>
      </c>
      <c r="F1550">
        <v>586276</v>
      </c>
      <c r="G1550" s="6">
        <v>1</v>
      </c>
      <c r="H1550" t="s">
        <v>47</v>
      </c>
      <c r="I1550">
        <v>10686684</v>
      </c>
      <c r="J1550">
        <v>6</v>
      </c>
      <c r="K1550">
        <v>12.3</v>
      </c>
      <c r="L1550">
        <v>12.3</v>
      </c>
      <c r="M1550">
        <v>203</v>
      </c>
      <c r="N1550" s="2">
        <v>162000</v>
      </c>
      <c r="O1550" s="2">
        <v>0</v>
      </c>
      <c r="P1550" s="2">
        <v>1215</v>
      </c>
      <c r="Q1550" s="2">
        <v>1218</v>
      </c>
      <c r="R1550" s="2">
        <v>0</v>
      </c>
      <c r="S1550">
        <v>0</v>
      </c>
      <c r="T1550" s="2">
        <v>1215</v>
      </c>
      <c r="U1550" s="2">
        <v>160785</v>
      </c>
      <c r="V1550">
        <v>14.981400000000001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26.5</v>
      </c>
      <c r="AC1550">
        <v>1.4943055555555556</v>
      </c>
      <c r="AD1550">
        <v>26</v>
      </c>
      <c r="AE1550" s="7"/>
      <c r="AF1550" s="7"/>
      <c r="AG1550" s="7"/>
      <c r="AH1550" s="7"/>
      <c r="AI1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10.505694444444444</v>
      </c>
      <c r="AJ1550" s="7"/>
      <c r="AK1550" t="s">
        <v>57</v>
      </c>
      <c r="AN1550">
        <f>IFERROR(INT(Table13[[#This Row],[reject_prod]]/Table13[[#This Row],[part_weight]] * 1000), 0)</f>
        <v>0</v>
      </c>
    </row>
    <row r="1551" spans="1:40" hidden="1">
      <c r="A1551" s="1">
        <v>46068</v>
      </c>
      <c r="B1551">
        <v>2</v>
      </c>
      <c r="C1551">
        <v>10</v>
      </c>
      <c r="D1551" t="s">
        <v>33</v>
      </c>
      <c r="E1551" t="s">
        <v>34</v>
      </c>
      <c r="F1551">
        <v>323092</v>
      </c>
      <c r="G1551" s="6">
        <v>0</v>
      </c>
      <c r="H1551" t="s">
        <v>377</v>
      </c>
      <c r="I1551">
        <v>10686686</v>
      </c>
      <c r="J1551">
        <v>4</v>
      </c>
      <c r="K1551">
        <v>48.9</v>
      </c>
      <c r="L1551">
        <v>48.9</v>
      </c>
      <c r="M1551">
        <v>0</v>
      </c>
      <c r="N1551" s="2">
        <v>37800</v>
      </c>
      <c r="O1551" s="2">
        <v>0</v>
      </c>
      <c r="P1551" s="2">
        <v>0</v>
      </c>
      <c r="Q1551" s="2">
        <v>0</v>
      </c>
      <c r="R1551" s="2">
        <v>0</v>
      </c>
      <c r="S1551">
        <v>0</v>
      </c>
      <c r="T1551" s="2">
        <v>0</v>
      </c>
      <c r="U1551" s="2">
        <v>37800</v>
      </c>
      <c r="V1551">
        <v>0</v>
      </c>
      <c r="W1551">
        <v>0</v>
      </c>
      <c r="X1551">
        <v>0</v>
      </c>
      <c r="Y1551" t="e">
        <v>#DIV/0!</v>
      </c>
      <c r="Z1551">
        <v>0</v>
      </c>
      <c r="AA1551" t="e">
        <v>#DIV/0!</v>
      </c>
      <c r="AB1551">
        <v>29.1</v>
      </c>
      <c r="AC1551">
        <v>0</v>
      </c>
      <c r="AD1551">
        <v>27.6</v>
      </c>
      <c r="AE1551" s="7"/>
      <c r="AF1551" s="7"/>
      <c r="AG1551" s="7"/>
      <c r="AH1551" s="7"/>
      <c r="AI1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551" s="7"/>
      <c r="AK1551" t="s">
        <v>880</v>
      </c>
      <c r="AN1551">
        <f>IFERROR(INT(Table13[[#This Row],[reject_prod]]/Table13[[#This Row],[part_weight]] * 1000), 0)</f>
        <v>0</v>
      </c>
    </row>
    <row r="1552" spans="1:40" hidden="1">
      <c r="A1552" s="1">
        <v>46068</v>
      </c>
      <c r="B1552">
        <v>2</v>
      </c>
      <c r="C1552">
        <v>11</v>
      </c>
      <c r="D1552" t="s">
        <v>139</v>
      </c>
      <c r="E1552" t="s">
        <v>46</v>
      </c>
      <c r="F1552">
        <v>552181</v>
      </c>
      <c r="G1552" s="6">
        <v>1</v>
      </c>
      <c r="H1552" t="s">
        <v>49</v>
      </c>
      <c r="I1552">
        <v>10686672</v>
      </c>
      <c r="J1552">
        <v>6</v>
      </c>
      <c r="K1552">
        <v>18.8</v>
      </c>
      <c r="L1552">
        <v>18.8</v>
      </c>
      <c r="M1552">
        <v>1485</v>
      </c>
      <c r="N1552" s="2">
        <v>108000</v>
      </c>
      <c r="O1552" s="2">
        <v>2700</v>
      </c>
      <c r="P1552" s="2">
        <v>810</v>
      </c>
      <c r="Q1552" s="2">
        <v>8910</v>
      </c>
      <c r="R1552" s="2">
        <v>10800</v>
      </c>
      <c r="S1552">
        <v>203.04</v>
      </c>
      <c r="T1552" s="2">
        <v>87210</v>
      </c>
      <c r="U1552" s="2">
        <v>20790</v>
      </c>
      <c r="V1552">
        <v>167.50800000000001</v>
      </c>
      <c r="W1552">
        <v>0</v>
      </c>
      <c r="X1552">
        <v>0</v>
      </c>
      <c r="Y1552">
        <v>0</v>
      </c>
      <c r="Z1552">
        <v>1</v>
      </c>
      <c r="AA1552">
        <v>5.9698641258924944E-3</v>
      </c>
      <c r="AB1552">
        <v>29.4</v>
      </c>
      <c r="AC1552">
        <v>12</v>
      </c>
      <c r="AD1552">
        <v>27</v>
      </c>
      <c r="AE1552" s="7"/>
      <c r="AF1552" s="7"/>
      <c r="AG1552" s="7"/>
      <c r="AH1552" s="7"/>
      <c r="AI1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2" s="7"/>
      <c r="AK1552" t="s">
        <v>51</v>
      </c>
      <c r="AN1552">
        <f>IFERROR(INT(Table13[[#This Row],[reject_prod]]/Table13[[#This Row],[part_weight]] * 1000), 0)</f>
        <v>53</v>
      </c>
    </row>
    <row r="1553" spans="1:40" hidden="1">
      <c r="A1553" s="1">
        <v>46068</v>
      </c>
      <c r="B1553">
        <v>2</v>
      </c>
      <c r="C1553">
        <v>12</v>
      </c>
      <c r="F1553">
        <v>123456</v>
      </c>
      <c r="G1553" s="6">
        <v>0</v>
      </c>
      <c r="M1553">
        <v>0</v>
      </c>
      <c r="N1553" s="2">
        <v>0</v>
      </c>
      <c r="O1553" s="2">
        <v>0</v>
      </c>
      <c r="P1553" s="2">
        <v>0</v>
      </c>
      <c r="Q1553" s="2"/>
      <c r="R1553" s="2">
        <v>0</v>
      </c>
      <c r="T1553" s="2">
        <v>0</v>
      </c>
      <c r="U1553" s="2"/>
      <c r="X1553">
        <v>0</v>
      </c>
      <c r="Z1553">
        <v>0</v>
      </c>
      <c r="AB1553">
        <v>0</v>
      </c>
      <c r="AC1553">
        <v>0</v>
      </c>
      <c r="AD1553">
        <v>0</v>
      </c>
      <c r="AE1553" s="7"/>
      <c r="AF1553" s="7"/>
      <c r="AG1553" s="7"/>
      <c r="AH1553" s="7"/>
      <c r="AI1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3" s="7">
        <v>12</v>
      </c>
      <c r="AK1553" t="s">
        <v>116</v>
      </c>
      <c r="AN1553">
        <f>IFERROR(INT(Table13[[#This Row],[reject_prod]]/Table13[[#This Row],[part_weight]] * 1000), 0)</f>
        <v>0</v>
      </c>
    </row>
    <row r="1554" spans="1:40" hidden="1">
      <c r="A1554" s="1">
        <v>46068</v>
      </c>
      <c r="B1554">
        <v>2</v>
      </c>
      <c r="C1554">
        <v>13</v>
      </c>
      <c r="D1554" t="s">
        <v>139</v>
      </c>
      <c r="E1554" t="s">
        <v>46</v>
      </c>
      <c r="F1554">
        <v>586276</v>
      </c>
      <c r="G1554" s="6">
        <v>2</v>
      </c>
      <c r="H1554" t="s">
        <v>47</v>
      </c>
      <c r="I1554">
        <v>10686676</v>
      </c>
      <c r="J1554">
        <v>6</v>
      </c>
      <c r="K1554">
        <v>12.3</v>
      </c>
      <c r="L1554">
        <v>12.3</v>
      </c>
      <c r="M1554">
        <v>1630</v>
      </c>
      <c r="N1554" s="2">
        <v>162000</v>
      </c>
      <c r="O1554" s="2">
        <v>0</v>
      </c>
      <c r="P1554" s="2">
        <v>1620</v>
      </c>
      <c r="Q1554" s="2">
        <v>9780</v>
      </c>
      <c r="R1554" s="2">
        <v>8100</v>
      </c>
      <c r="S1554">
        <v>99.63</v>
      </c>
      <c r="T1554" s="2">
        <v>131220</v>
      </c>
      <c r="U1554" s="2">
        <v>30780</v>
      </c>
      <c r="V1554">
        <v>120.294</v>
      </c>
      <c r="W1554">
        <v>0</v>
      </c>
      <c r="X1554">
        <v>0</v>
      </c>
      <c r="Y1554">
        <v>0</v>
      </c>
      <c r="Z1554">
        <v>1</v>
      </c>
      <c r="AA1554">
        <v>8.3129665652484745E-3</v>
      </c>
      <c r="AB1554">
        <v>26.2</v>
      </c>
      <c r="AC1554">
        <v>11.862777777777778</v>
      </c>
      <c r="AD1554">
        <v>26</v>
      </c>
      <c r="AE1554" s="7"/>
      <c r="AF1554" s="7"/>
      <c r="AG1554" s="7"/>
      <c r="AH1554" s="7"/>
      <c r="AI1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1554" s="7"/>
      <c r="AK1554" t="s">
        <v>51</v>
      </c>
      <c r="AN1554">
        <f>IFERROR(INT(Table13[[#This Row],[reject_prod]]/Table13[[#This Row],[part_weight]] * 1000), 0)</f>
        <v>81</v>
      </c>
    </row>
    <row r="1555" spans="1:40" hidden="1">
      <c r="A1555" s="1">
        <v>46068</v>
      </c>
      <c r="B1555">
        <v>2</v>
      </c>
      <c r="C1555">
        <v>14</v>
      </c>
      <c r="D1555" t="s">
        <v>888</v>
      </c>
      <c r="E1555" t="s">
        <v>34</v>
      </c>
      <c r="F1555">
        <v>541381</v>
      </c>
      <c r="G1555" s="6">
        <v>0</v>
      </c>
      <c r="H1555" t="s">
        <v>804</v>
      </c>
      <c r="I1555">
        <v>10686678</v>
      </c>
      <c r="J1555">
        <v>4</v>
      </c>
      <c r="K1555">
        <v>55</v>
      </c>
      <c r="L1555">
        <v>55</v>
      </c>
      <c r="M1555">
        <v>1535</v>
      </c>
      <c r="N1555" s="2">
        <v>84000</v>
      </c>
      <c r="O1555" s="2">
        <v>350</v>
      </c>
      <c r="P1555" s="2">
        <v>175</v>
      </c>
      <c r="Q1555" s="2">
        <v>6140</v>
      </c>
      <c r="R1555" s="2">
        <v>6300</v>
      </c>
      <c r="S1555">
        <v>346.5</v>
      </c>
      <c r="T1555" s="2">
        <v>20475</v>
      </c>
      <c r="U1555" s="2">
        <v>63525</v>
      </c>
      <c r="V1555">
        <v>337.7</v>
      </c>
      <c r="W1555">
        <v>0</v>
      </c>
      <c r="X1555">
        <v>0</v>
      </c>
      <c r="Y1555">
        <v>0</v>
      </c>
      <c r="Z1555">
        <v>3.6</v>
      </c>
      <c r="AA1555">
        <v>1.0660349422564407E-2</v>
      </c>
      <c r="AB1555">
        <v>27.81</v>
      </c>
      <c r="AC1555">
        <v>11.857874999999998</v>
      </c>
      <c r="AD1555">
        <v>30.08</v>
      </c>
      <c r="AE1555" s="7"/>
      <c r="AF1555" s="7"/>
      <c r="AG1555" s="7"/>
      <c r="AH1555" s="7"/>
      <c r="AI1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0.14212500000000183</v>
      </c>
      <c r="AJ1555" s="7"/>
      <c r="AK1555" t="s">
        <v>178</v>
      </c>
      <c r="AN1555">
        <f>IFERROR(INT(Table13[[#This Row],[reject_prod]]/Table13[[#This Row],[part_weight]] * 1000), 0)</f>
        <v>65</v>
      </c>
    </row>
    <row r="1556" spans="1:40" hidden="1">
      <c r="A1556" s="1">
        <v>46068</v>
      </c>
      <c r="B1556">
        <v>2</v>
      </c>
      <c r="C1556">
        <v>15</v>
      </c>
      <c r="D1556" t="s">
        <v>139</v>
      </c>
      <c r="E1556" t="s">
        <v>46</v>
      </c>
      <c r="F1556">
        <v>550076</v>
      </c>
      <c r="G1556" s="6">
        <v>0</v>
      </c>
      <c r="H1556" t="s">
        <v>857</v>
      </c>
      <c r="I1556">
        <v>10687863</v>
      </c>
      <c r="J1556">
        <v>6</v>
      </c>
      <c r="K1556">
        <v>18.8</v>
      </c>
      <c r="L1556">
        <v>18.8</v>
      </c>
      <c r="M1556">
        <v>1395</v>
      </c>
      <c r="N1556" s="2">
        <v>108000</v>
      </c>
      <c r="O1556" s="2">
        <v>3510</v>
      </c>
      <c r="P1556" s="2">
        <v>1080</v>
      </c>
      <c r="Q1556" s="2">
        <v>8370</v>
      </c>
      <c r="R1556" s="2">
        <v>10800</v>
      </c>
      <c r="S1556">
        <v>203.04</v>
      </c>
      <c r="T1556" s="2">
        <v>28080</v>
      </c>
      <c r="U1556" s="2">
        <v>79920</v>
      </c>
      <c r="V1556">
        <v>157.35599999999999</v>
      </c>
      <c r="W1556">
        <v>0</v>
      </c>
      <c r="X1556">
        <v>0</v>
      </c>
      <c r="Y1556">
        <v>0</v>
      </c>
      <c r="Z1556">
        <v>1</v>
      </c>
      <c r="AA1556">
        <v>6.3550166501436236E-3</v>
      </c>
      <c r="AB1556">
        <v>31.2</v>
      </c>
      <c r="AC1556">
        <v>12</v>
      </c>
      <c r="AD1556">
        <v>22.5</v>
      </c>
      <c r="AE1556" s="7"/>
      <c r="AF1556" s="7"/>
      <c r="AG1556" s="7"/>
      <c r="AH1556" s="7"/>
      <c r="AI1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6" s="7"/>
      <c r="AK1556" t="s">
        <v>51</v>
      </c>
      <c r="AN1556">
        <f>IFERROR(INT(Table13[[#This Row],[reject_prod]]/Table13[[#This Row],[part_weight]] * 1000), 0)</f>
        <v>53</v>
      </c>
    </row>
    <row r="1557" spans="1:40" s="4" customFormat="1" hidden="1">
      <c r="A1557" s="3">
        <v>46068</v>
      </c>
      <c r="B1557" s="4">
        <v>2</v>
      </c>
      <c r="C1557" s="4">
        <v>16</v>
      </c>
      <c r="D1557" s="4" t="s">
        <v>765</v>
      </c>
      <c r="E1557" s="4" t="s">
        <v>46</v>
      </c>
      <c r="F1557" s="4">
        <v>555979</v>
      </c>
      <c r="G1557" s="9">
        <v>2</v>
      </c>
      <c r="H1557" s="4" t="s">
        <v>52</v>
      </c>
      <c r="I1557" s="4">
        <v>10683785</v>
      </c>
      <c r="J1557" s="4">
        <v>6</v>
      </c>
      <c r="K1557" s="4">
        <v>28</v>
      </c>
      <c r="L1557" s="4">
        <v>28</v>
      </c>
      <c r="M1557" s="4">
        <v>980</v>
      </c>
      <c r="N1557" s="5">
        <v>100800</v>
      </c>
      <c r="O1557" s="5">
        <v>1008</v>
      </c>
      <c r="P1557" s="5">
        <v>168</v>
      </c>
      <c r="Q1557" s="5">
        <v>5880</v>
      </c>
      <c r="R1557" s="5">
        <v>6720</v>
      </c>
      <c r="S1557" s="4">
        <v>188.16</v>
      </c>
      <c r="T1557" s="5">
        <v>57288</v>
      </c>
      <c r="U1557" s="5">
        <v>43512</v>
      </c>
      <c r="V1557" s="4">
        <v>164.64</v>
      </c>
      <c r="W1557" s="4">
        <v>0</v>
      </c>
      <c r="X1557" s="4">
        <v>0</v>
      </c>
      <c r="Y1557" s="4">
        <v>0</v>
      </c>
      <c r="Z1557" s="4">
        <v>1</v>
      </c>
      <c r="AA1557" s="4">
        <v>6.0738581146744415E-3</v>
      </c>
      <c r="AB1557" s="4">
        <v>43.5</v>
      </c>
      <c r="AC1557" s="4">
        <v>11.841666666666667</v>
      </c>
      <c r="AD1557" s="4">
        <v>42</v>
      </c>
      <c r="AE1557" s="8"/>
      <c r="AF1557" s="8"/>
      <c r="AG1557" s="8"/>
      <c r="AH1557" s="8"/>
      <c r="AI155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557" s="8"/>
      <c r="AK1557" s="4" t="s">
        <v>51</v>
      </c>
      <c r="AN1557">
        <f>IFERROR(INT(Table13[[#This Row],[reject_prod]]/Table13[[#This Row],[part_weight]] * 1000), 0)</f>
        <v>35</v>
      </c>
    </row>
    <row r="1558" spans="1:40" hidden="1">
      <c r="A1558" s="1">
        <v>46069</v>
      </c>
      <c r="B1558">
        <v>1</v>
      </c>
      <c r="C1558">
        <v>1</v>
      </c>
      <c r="F1558">
        <v>123456</v>
      </c>
      <c r="G1558" s="6">
        <v>0</v>
      </c>
      <c r="M1558">
        <v>0</v>
      </c>
      <c r="N1558" s="2">
        <v>0</v>
      </c>
      <c r="O1558" s="2">
        <v>0</v>
      </c>
      <c r="P1558" s="2">
        <v>0</v>
      </c>
      <c r="Q1558" s="2"/>
      <c r="R1558" s="2">
        <v>0</v>
      </c>
      <c r="T1558" s="2">
        <v>0</v>
      </c>
      <c r="U1558" s="2"/>
      <c r="X1558">
        <v>0</v>
      </c>
      <c r="Z1558">
        <v>0</v>
      </c>
      <c r="AB1558">
        <v>0</v>
      </c>
      <c r="AC1558">
        <v>0</v>
      </c>
      <c r="AD1558">
        <v>0</v>
      </c>
      <c r="AE1558" s="7"/>
      <c r="AF1558" s="7"/>
      <c r="AG1558" s="7"/>
      <c r="AH1558" s="7"/>
      <c r="AI1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8" s="7">
        <v>12</v>
      </c>
      <c r="AK1558" t="s">
        <v>116</v>
      </c>
      <c r="AN1558">
        <f>IFERROR(INT(Table13[[#This Row],[reject_prod]]/Table13[[#This Row],[part_weight]] * 1000), 0)</f>
        <v>0</v>
      </c>
    </row>
    <row r="1559" spans="1:40" hidden="1">
      <c r="A1559" s="1">
        <v>46069</v>
      </c>
      <c r="B1559">
        <v>1</v>
      </c>
      <c r="C1559">
        <v>2</v>
      </c>
      <c r="F1559">
        <v>123456</v>
      </c>
      <c r="G1559" s="6">
        <v>0</v>
      </c>
      <c r="M1559">
        <v>0</v>
      </c>
      <c r="N1559" s="2">
        <v>0</v>
      </c>
      <c r="O1559" s="2">
        <v>0</v>
      </c>
      <c r="P1559" s="2">
        <v>0</v>
      </c>
      <c r="Q1559" s="2"/>
      <c r="R1559" s="2">
        <v>0</v>
      </c>
      <c r="T1559" s="2">
        <v>0</v>
      </c>
      <c r="U1559" s="2"/>
      <c r="X1559">
        <v>0</v>
      </c>
      <c r="Z1559">
        <v>0</v>
      </c>
      <c r="AB1559">
        <v>0</v>
      </c>
      <c r="AC1559">
        <v>0</v>
      </c>
      <c r="AD1559">
        <v>0</v>
      </c>
      <c r="AE1559" s="7"/>
      <c r="AF1559" s="7"/>
      <c r="AG1559" s="7"/>
      <c r="AH1559" s="7"/>
      <c r="AI1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9" s="7">
        <v>12</v>
      </c>
      <c r="AK1559" t="s">
        <v>116</v>
      </c>
      <c r="AN1559">
        <f>IFERROR(INT(Table13[[#This Row],[reject_prod]]/Table13[[#This Row],[part_weight]] * 1000), 0)</f>
        <v>0</v>
      </c>
    </row>
    <row r="1560" spans="1:40" hidden="1">
      <c r="A1560" s="1">
        <v>46069</v>
      </c>
      <c r="B1560">
        <v>1</v>
      </c>
      <c r="C1560">
        <v>3</v>
      </c>
      <c r="F1560">
        <v>123456</v>
      </c>
      <c r="G1560" s="6">
        <v>0</v>
      </c>
      <c r="M1560">
        <v>0</v>
      </c>
      <c r="N1560" s="2">
        <v>0</v>
      </c>
      <c r="O1560" s="2">
        <v>0</v>
      </c>
      <c r="P1560" s="2">
        <v>0</v>
      </c>
      <c r="Q1560" s="2"/>
      <c r="R1560" s="2">
        <v>0</v>
      </c>
      <c r="T1560" s="2">
        <v>0</v>
      </c>
      <c r="U1560" s="2"/>
      <c r="X1560">
        <v>0</v>
      </c>
      <c r="Z1560">
        <v>0</v>
      </c>
      <c r="AB1560">
        <v>0</v>
      </c>
      <c r="AC1560">
        <v>0</v>
      </c>
      <c r="AD1560">
        <v>0</v>
      </c>
      <c r="AE1560" s="7"/>
      <c r="AF1560" s="7"/>
      <c r="AG1560" s="7"/>
      <c r="AH1560" s="7"/>
      <c r="AI1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0" s="7">
        <v>12</v>
      </c>
      <c r="AK1560" t="s">
        <v>116</v>
      </c>
      <c r="AN1560">
        <f>IFERROR(INT(Table13[[#This Row],[reject_prod]]/Table13[[#This Row],[part_weight]] * 1000), 0)</f>
        <v>0</v>
      </c>
    </row>
    <row r="1561" spans="1:40" hidden="1">
      <c r="A1561" s="1">
        <v>46069</v>
      </c>
      <c r="B1561">
        <v>1</v>
      </c>
      <c r="C1561">
        <v>4</v>
      </c>
      <c r="F1561">
        <v>123456</v>
      </c>
      <c r="G1561" s="6">
        <v>0</v>
      </c>
      <c r="M1561">
        <v>0</v>
      </c>
      <c r="N1561" s="2">
        <v>0</v>
      </c>
      <c r="O1561" s="2">
        <v>0</v>
      </c>
      <c r="P1561" s="2">
        <v>0</v>
      </c>
      <c r="Q1561" s="2"/>
      <c r="R1561" s="2">
        <v>0</v>
      </c>
      <c r="T1561" s="2">
        <v>0</v>
      </c>
      <c r="U1561" s="2"/>
      <c r="X1561">
        <v>0</v>
      </c>
      <c r="Z1561">
        <v>0</v>
      </c>
      <c r="AB1561">
        <v>0</v>
      </c>
      <c r="AC1561">
        <v>0</v>
      </c>
      <c r="AD1561">
        <v>0</v>
      </c>
      <c r="AE1561" s="7"/>
      <c r="AF1561" s="7"/>
      <c r="AG1561" s="7"/>
      <c r="AH1561" s="7"/>
      <c r="AI1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1" s="7">
        <v>12</v>
      </c>
      <c r="AK1561" t="s">
        <v>116</v>
      </c>
      <c r="AN1561">
        <f>IFERROR(INT(Table13[[#This Row],[reject_prod]]/Table13[[#This Row],[part_weight]] * 1000), 0)</f>
        <v>0</v>
      </c>
    </row>
    <row r="1562" spans="1:40" hidden="1">
      <c r="A1562" s="1">
        <v>46069</v>
      </c>
      <c r="B1562">
        <v>1</v>
      </c>
      <c r="C1562">
        <v>5</v>
      </c>
      <c r="F1562">
        <v>123456</v>
      </c>
      <c r="G1562" s="6">
        <v>0</v>
      </c>
      <c r="M1562">
        <v>0</v>
      </c>
      <c r="N1562" s="2">
        <v>0</v>
      </c>
      <c r="O1562" s="2">
        <v>0</v>
      </c>
      <c r="P1562" s="2">
        <v>0</v>
      </c>
      <c r="Q1562" s="2"/>
      <c r="R1562" s="2">
        <v>0</v>
      </c>
      <c r="T1562" s="2">
        <v>0</v>
      </c>
      <c r="U1562" s="2"/>
      <c r="X1562">
        <v>0</v>
      </c>
      <c r="Z1562">
        <v>0</v>
      </c>
      <c r="AB1562">
        <v>0</v>
      </c>
      <c r="AC1562">
        <v>0</v>
      </c>
      <c r="AD1562">
        <v>0</v>
      </c>
      <c r="AE1562" s="7"/>
      <c r="AF1562" s="7"/>
      <c r="AG1562" s="7"/>
      <c r="AH1562" s="7"/>
      <c r="AI1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2" s="7">
        <v>12</v>
      </c>
      <c r="AK1562" t="s">
        <v>116</v>
      </c>
      <c r="AN1562">
        <f>IFERROR(INT(Table13[[#This Row],[reject_prod]]/Table13[[#This Row],[part_weight]] * 1000), 0)</f>
        <v>0</v>
      </c>
    </row>
    <row r="1563" spans="1:40" hidden="1">
      <c r="A1563" s="1">
        <v>46069</v>
      </c>
      <c r="B1563">
        <v>1</v>
      </c>
      <c r="C1563">
        <v>6</v>
      </c>
      <c r="F1563">
        <v>123456</v>
      </c>
      <c r="G1563" s="6">
        <v>0</v>
      </c>
      <c r="M1563">
        <v>0</v>
      </c>
      <c r="N1563" s="2">
        <v>0</v>
      </c>
      <c r="O1563" s="2">
        <v>0</v>
      </c>
      <c r="P1563" s="2">
        <v>0</v>
      </c>
      <c r="Q1563" s="2"/>
      <c r="R1563" s="2">
        <v>0</v>
      </c>
      <c r="T1563" s="2">
        <v>0</v>
      </c>
      <c r="U1563" s="2"/>
      <c r="X1563">
        <v>0</v>
      </c>
      <c r="Z1563">
        <v>0</v>
      </c>
      <c r="AB1563">
        <v>0</v>
      </c>
      <c r="AC1563">
        <v>0</v>
      </c>
      <c r="AD1563">
        <v>0</v>
      </c>
      <c r="AE1563" s="7"/>
      <c r="AF1563" s="7"/>
      <c r="AG1563" s="7"/>
      <c r="AH1563" s="7"/>
      <c r="AI1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3" s="7">
        <v>12</v>
      </c>
      <c r="AK1563" t="s">
        <v>116</v>
      </c>
      <c r="AN1563">
        <f>IFERROR(INT(Table13[[#This Row],[reject_prod]]/Table13[[#This Row],[part_weight]] * 1000), 0)</f>
        <v>0</v>
      </c>
    </row>
    <row r="1564" spans="1:40" hidden="1">
      <c r="A1564" s="1">
        <v>46069</v>
      </c>
      <c r="B1564">
        <v>1</v>
      </c>
      <c r="C1564">
        <v>7</v>
      </c>
      <c r="F1564">
        <v>123456</v>
      </c>
      <c r="G1564" s="6">
        <v>0</v>
      </c>
      <c r="M1564">
        <v>0</v>
      </c>
      <c r="N1564" s="2">
        <v>0</v>
      </c>
      <c r="O1564" s="2">
        <v>0</v>
      </c>
      <c r="P1564" s="2">
        <v>0</v>
      </c>
      <c r="Q1564" s="2"/>
      <c r="R1564" s="2">
        <v>0</v>
      </c>
      <c r="T1564" s="2">
        <v>0</v>
      </c>
      <c r="U1564" s="2"/>
      <c r="X1564">
        <v>0</v>
      </c>
      <c r="Z1564">
        <v>0</v>
      </c>
      <c r="AB1564">
        <v>0</v>
      </c>
      <c r="AC1564">
        <v>0</v>
      </c>
      <c r="AD1564">
        <v>0</v>
      </c>
      <c r="AE1564" s="7"/>
      <c r="AF1564" s="7"/>
      <c r="AG1564" s="7"/>
      <c r="AH1564" s="7"/>
      <c r="AI1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4" s="7">
        <v>12</v>
      </c>
      <c r="AK1564" t="s">
        <v>116</v>
      </c>
      <c r="AN1564">
        <f>IFERROR(INT(Table13[[#This Row],[reject_prod]]/Table13[[#This Row],[part_weight]] * 1000), 0)</f>
        <v>0</v>
      </c>
    </row>
    <row r="1565" spans="1:40" hidden="1">
      <c r="A1565" s="1">
        <v>46069</v>
      </c>
      <c r="B1565">
        <v>1</v>
      </c>
      <c r="C1565">
        <v>8</v>
      </c>
      <c r="F1565">
        <v>123456</v>
      </c>
      <c r="G1565" s="6">
        <v>0</v>
      </c>
      <c r="M1565">
        <v>0</v>
      </c>
      <c r="N1565" s="2">
        <v>0</v>
      </c>
      <c r="O1565" s="2">
        <v>0</v>
      </c>
      <c r="P1565" s="2">
        <v>0</v>
      </c>
      <c r="Q1565" s="2"/>
      <c r="R1565" s="2">
        <v>0</v>
      </c>
      <c r="T1565" s="2">
        <v>0</v>
      </c>
      <c r="U1565" s="2"/>
      <c r="X1565">
        <v>0</v>
      </c>
      <c r="Z1565">
        <v>0</v>
      </c>
      <c r="AB1565">
        <v>0</v>
      </c>
      <c r="AC1565">
        <v>0</v>
      </c>
      <c r="AD1565">
        <v>0</v>
      </c>
      <c r="AE1565" s="7"/>
      <c r="AF1565" s="7"/>
      <c r="AG1565" s="7"/>
      <c r="AH1565" s="7"/>
      <c r="AI15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5" s="7">
        <v>12</v>
      </c>
      <c r="AK1565" t="s">
        <v>116</v>
      </c>
      <c r="AN1565">
        <f>IFERROR(INT(Table13[[#This Row],[reject_prod]]/Table13[[#This Row],[part_weight]] * 1000), 0)</f>
        <v>0</v>
      </c>
    </row>
    <row r="1566" spans="1:40" hidden="1">
      <c r="A1566" s="1">
        <v>46069</v>
      </c>
      <c r="B1566">
        <v>1</v>
      </c>
      <c r="C1566">
        <v>9</v>
      </c>
      <c r="F1566">
        <v>123456</v>
      </c>
      <c r="G1566" s="6">
        <v>0</v>
      </c>
      <c r="M1566">
        <v>0</v>
      </c>
      <c r="N1566" s="2">
        <v>0</v>
      </c>
      <c r="O1566" s="2">
        <v>0</v>
      </c>
      <c r="P1566" s="2">
        <v>0</v>
      </c>
      <c r="Q1566" s="2"/>
      <c r="R1566" s="2">
        <v>0</v>
      </c>
      <c r="T1566" s="2">
        <v>0</v>
      </c>
      <c r="U1566" s="2"/>
      <c r="X1566">
        <v>0</v>
      </c>
      <c r="Z1566">
        <v>0</v>
      </c>
      <c r="AB1566">
        <v>0</v>
      </c>
      <c r="AC1566">
        <v>0</v>
      </c>
      <c r="AD1566">
        <v>0</v>
      </c>
      <c r="AE1566" s="7"/>
      <c r="AF1566" s="7"/>
      <c r="AG1566" s="7"/>
      <c r="AH1566" s="7"/>
      <c r="AI1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6" s="7">
        <v>12</v>
      </c>
      <c r="AK1566" t="s">
        <v>116</v>
      </c>
      <c r="AN1566">
        <f>IFERROR(INT(Table13[[#This Row],[reject_prod]]/Table13[[#This Row],[part_weight]] * 1000), 0)</f>
        <v>0</v>
      </c>
    </row>
    <row r="1567" spans="1:40" hidden="1">
      <c r="A1567" s="1">
        <v>46069</v>
      </c>
      <c r="B1567">
        <v>1</v>
      </c>
      <c r="C1567">
        <v>10</v>
      </c>
      <c r="F1567">
        <v>123456</v>
      </c>
      <c r="G1567" s="6">
        <v>0</v>
      </c>
      <c r="M1567">
        <v>0</v>
      </c>
      <c r="N1567" s="2">
        <v>0</v>
      </c>
      <c r="O1567" s="2">
        <v>0</v>
      </c>
      <c r="P1567" s="2">
        <v>0</v>
      </c>
      <c r="Q1567" s="2"/>
      <c r="R1567" s="2">
        <v>0</v>
      </c>
      <c r="T1567" s="2">
        <v>0</v>
      </c>
      <c r="U1567" s="2"/>
      <c r="X1567">
        <v>0</v>
      </c>
      <c r="Z1567">
        <v>0</v>
      </c>
      <c r="AB1567">
        <v>0</v>
      </c>
      <c r="AC1567">
        <v>0</v>
      </c>
      <c r="AD1567">
        <v>0</v>
      </c>
      <c r="AE1567" s="7"/>
      <c r="AF1567" s="7"/>
      <c r="AG1567" s="7"/>
      <c r="AH1567" s="7"/>
      <c r="AI1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7" s="7">
        <v>12</v>
      </c>
      <c r="AK1567" t="s">
        <v>116</v>
      </c>
      <c r="AN1567">
        <f>IFERROR(INT(Table13[[#This Row],[reject_prod]]/Table13[[#This Row],[part_weight]] * 1000), 0)</f>
        <v>0</v>
      </c>
    </row>
    <row r="1568" spans="1:40" hidden="1">
      <c r="A1568" s="1">
        <v>46069</v>
      </c>
      <c r="B1568">
        <v>1</v>
      </c>
      <c r="C1568">
        <v>11</v>
      </c>
      <c r="F1568">
        <v>123456</v>
      </c>
      <c r="G1568" s="6">
        <v>0</v>
      </c>
      <c r="M1568">
        <v>0</v>
      </c>
      <c r="N1568" s="2">
        <v>0</v>
      </c>
      <c r="O1568" s="2">
        <v>0</v>
      </c>
      <c r="P1568" s="2">
        <v>0</v>
      </c>
      <c r="Q1568" s="2"/>
      <c r="R1568" s="2">
        <v>0</v>
      </c>
      <c r="T1568" s="2">
        <v>0</v>
      </c>
      <c r="U1568" s="2"/>
      <c r="X1568">
        <v>0</v>
      </c>
      <c r="Z1568">
        <v>0</v>
      </c>
      <c r="AB1568">
        <v>0</v>
      </c>
      <c r="AC1568">
        <v>0</v>
      </c>
      <c r="AD1568">
        <v>0</v>
      </c>
      <c r="AE1568" s="7"/>
      <c r="AF1568" s="7"/>
      <c r="AG1568" s="7"/>
      <c r="AH1568" s="7"/>
      <c r="AI1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8" s="7">
        <v>12</v>
      </c>
      <c r="AK1568" t="s">
        <v>116</v>
      </c>
      <c r="AN1568">
        <f>IFERROR(INT(Table13[[#This Row],[reject_prod]]/Table13[[#This Row],[part_weight]] * 1000), 0)</f>
        <v>0</v>
      </c>
    </row>
    <row r="1569" spans="1:40" hidden="1">
      <c r="A1569" s="1">
        <v>46069</v>
      </c>
      <c r="B1569">
        <v>1</v>
      </c>
      <c r="C1569">
        <v>12</v>
      </c>
      <c r="F1569">
        <v>123456</v>
      </c>
      <c r="G1569" s="6">
        <v>0</v>
      </c>
      <c r="M1569">
        <v>0</v>
      </c>
      <c r="N1569" s="2">
        <v>0</v>
      </c>
      <c r="O1569" s="2">
        <v>0</v>
      </c>
      <c r="P1569" s="2">
        <v>0</v>
      </c>
      <c r="Q1569" s="2"/>
      <c r="R1569" s="2">
        <v>0</v>
      </c>
      <c r="T1569" s="2">
        <v>0</v>
      </c>
      <c r="U1569" s="2"/>
      <c r="X1569">
        <v>0</v>
      </c>
      <c r="Z1569">
        <v>0</v>
      </c>
      <c r="AB1569">
        <v>0</v>
      </c>
      <c r="AC1569">
        <v>0</v>
      </c>
      <c r="AD1569">
        <v>0</v>
      </c>
      <c r="AE1569" s="7"/>
      <c r="AF1569" s="7"/>
      <c r="AG1569" s="7"/>
      <c r="AH1569" s="7"/>
      <c r="AI1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9" s="7">
        <v>12</v>
      </c>
      <c r="AK1569" t="s">
        <v>116</v>
      </c>
      <c r="AN1569">
        <f>IFERROR(INT(Table13[[#This Row],[reject_prod]]/Table13[[#This Row],[part_weight]] * 1000), 0)</f>
        <v>0</v>
      </c>
    </row>
    <row r="1570" spans="1:40" hidden="1">
      <c r="A1570" s="1">
        <v>46069</v>
      </c>
      <c r="B1570">
        <v>1</v>
      </c>
      <c r="C1570">
        <v>13</v>
      </c>
      <c r="F1570">
        <v>123456</v>
      </c>
      <c r="G1570" s="6">
        <v>0</v>
      </c>
      <c r="M1570">
        <v>0</v>
      </c>
      <c r="N1570" s="2">
        <v>0</v>
      </c>
      <c r="O1570" s="2">
        <v>0</v>
      </c>
      <c r="P1570" s="2">
        <v>0</v>
      </c>
      <c r="Q1570" s="2"/>
      <c r="R1570" s="2">
        <v>0</v>
      </c>
      <c r="T1570" s="2">
        <v>0</v>
      </c>
      <c r="U1570" s="2"/>
      <c r="X1570">
        <v>0</v>
      </c>
      <c r="Z1570">
        <v>0</v>
      </c>
      <c r="AB1570">
        <v>0</v>
      </c>
      <c r="AC1570">
        <v>0</v>
      </c>
      <c r="AD1570">
        <v>0</v>
      </c>
      <c r="AE1570" s="7"/>
      <c r="AF1570" s="7"/>
      <c r="AG1570" s="7"/>
      <c r="AH1570" s="7"/>
      <c r="AI1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0" s="7">
        <v>12</v>
      </c>
      <c r="AK1570" t="s">
        <v>116</v>
      </c>
      <c r="AN1570">
        <f>IFERROR(INT(Table13[[#This Row],[reject_prod]]/Table13[[#This Row],[part_weight]] * 1000), 0)</f>
        <v>0</v>
      </c>
    </row>
    <row r="1571" spans="1:40" hidden="1">
      <c r="A1571" s="1">
        <v>46069</v>
      </c>
      <c r="B1571">
        <v>1</v>
      </c>
      <c r="C1571">
        <v>14</v>
      </c>
      <c r="F1571">
        <v>123456</v>
      </c>
      <c r="G1571" s="6">
        <v>0</v>
      </c>
      <c r="M1571">
        <v>0</v>
      </c>
      <c r="N1571" s="2">
        <v>0</v>
      </c>
      <c r="O1571" s="2">
        <v>0</v>
      </c>
      <c r="P1571" s="2">
        <v>0</v>
      </c>
      <c r="Q1571" s="2"/>
      <c r="R1571" s="2">
        <v>0</v>
      </c>
      <c r="T1571" s="2">
        <v>0</v>
      </c>
      <c r="U1571" s="2"/>
      <c r="X1571">
        <v>0</v>
      </c>
      <c r="Z1571">
        <v>0</v>
      </c>
      <c r="AB1571">
        <v>0</v>
      </c>
      <c r="AC1571">
        <v>0</v>
      </c>
      <c r="AD1571">
        <v>0</v>
      </c>
      <c r="AE1571" s="7"/>
      <c r="AF1571" s="7"/>
      <c r="AG1571" s="7"/>
      <c r="AH1571" s="7"/>
      <c r="AI1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1" s="7">
        <v>12</v>
      </c>
      <c r="AK1571" t="s">
        <v>116</v>
      </c>
      <c r="AN1571">
        <f>IFERROR(INT(Table13[[#This Row],[reject_prod]]/Table13[[#This Row],[part_weight]] * 1000), 0)</f>
        <v>0</v>
      </c>
    </row>
    <row r="1572" spans="1:40" hidden="1">
      <c r="A1572" s="1">
        <v>46069</v>
      </c>
      <c r="B1572">
        <v>1</v>
      </c>
      <c r="C1572">
        <v>15</v>
      </c>
      <c r="F1572">
        <v>123456</v>
      </c>
      <c r="G1572" s="6">
        <v>0</v>
      </c>
      <c r="M1572">
        <v>0</v>
      </c>
      <c r="N1572" s="2">
        <v>0</v>
      </c>
      <c r="O1572" s="2">
        <v>0</v>
      </c>
      <c r="P1572" s="2">
        <v>0</v>
      </c>
      <c r="Q1572" s="2"/>
      <c r="R1572" s="2">
        <v>0</v>
      </c>
      <c r="T1572" s="2">
        <v>0</v>
      </c>
      <c r="U1572" s="2"/>
      <c r="X1572">
        <v>0</v>
      </c>
      <c r="Z1572">
        <v>0</v>
      </c>
      <c r="AB1572">
        <v>0</v>
      </c>
      <c r="AC1572">
        <v>0</v>
      </c>
      <c r="AD1572">
        <v>0</v>
      </c>
      <c r="AE1572" s="7"/>
      <c r="AF1572" s="7"/>
      <c r="AG1572" s="7"/>
      <c r="AH1572" s="7"/>
      <c r="AI1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2" s="7">
        <v>12</v>
      </c>
      <c r="AK1572" t="s">
        <v>116</v>
      </c>
      <c r="AN1572">
        <f>IFERROR(INT(Table13[[#This Row],[reject_prod]]/Table13[[#This Row],[part_weight]] * 1000), 0)</f>
        <v>0</v>
      </c>
    </row>
    <row r="1573" spans="1:40" s="4" customFormat="1" hidden="1">
      <c r="A1573" s="3">
        <v>46069</v>
      </c>
      <c r="B1573" s="4">
        <v>1</v>
      </c>
      <c r="C1573" s="4">
        <v>16</v>
      </c>
      <c r="F1573" s="4">
        <v>123456</v>
      </c>
      <c r="G1573" s="9">
        <v>0</v>
      </c>
      <c r="M1573" s="4">
        <v>0</v>
      </c>
      <c r="N1573" s="5">
        <v>0</v>
      </c>
      <c r="O1573" s="5">
        <v>0</v>
      </c>
      <c r="P1573" s="5">
        <v>0</v>
      </c>
      <c r="Q1573" s="5"/>
      <c r="R1573" s="5">
        <v>0</v>
      </c>
      <c r="T1573" s="5">
        <v>0</v>
      </c>
      <c r="U1573" s="5"/>
      <c r="X1573" s="4">
        <v>0</v>
      </c>
      <c r="Z1573" s="4">
        <v>0</v>
      </c>
      <c r="AB1573" s="4">
        <v>0</v>
      </c>
      <c r="AC1573" s="4">
        <v>0</v>
      </c>
      <c r="AD1573" s="4">
        <v>0</v>
      </c>
      <c r="AE1573" s="8"/>
      <c r="AF1573" s="8"/>
      <c r="AG1573" s="8"/>
      <c r="AH1573" s="8"/>
      <c r="AI157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3" s="8">
        <v>12</v>
      </c>
      <c r="AK1573" s="4" t="s">
        <v>116</v>
      </c>
      <c r="AN1573">
        <f>IFERROR(INT(Table13[[#This Row],[reject_prod]]/Table13[[#This Row],[part_weight]] * 1000), 0)</f>
        <v>0</v>
      </c>
    </row>
    <row r="1574" spans="1:40" hidden="1">
      <c r="A1574" s="1">
        <v>46069</v>
      </c>
      <c r="B1574">
        <v>2</v>
      </c>
      <c r="C1574">
        <v>1</v>
      </c>
      <c r="F1574">
        <v>123456</v>
      </c>
      <c r="G1574" s="6">
        <v>0</v>
      </c>
      <c r="M1574">
        <v>0</v>
      </c>
      <c r="N1574" s="2">
        <v>0</v>
      </c>
      <c r="O1574" s="2">
        <v>0</v>
      </c>
      <c r="P1574" s="2">
        <v>0</v>
      </c>
      <c r="Q1574" s="2"/>
      <c r="R1574" s="2">
        <v>0</v>
      </c>
      <c r="T1574" s="2">
        <v>0</v>
      </c>
      <c r="U1574" s="2"/>
      <c r="X1574">
        <v>0</v>
      </c>
      <c r="Z1574">
        <v>0</v>
      </c>
      <c r="AB1574">
        <v>0</v>
      </c>
      <c r="AC1574">
        <v>0</v>
      </c>
      <c r="AD1574">
        <v>0</v>
      </c>
      <c r="AE1574" s="7"/>
      <c r="AF1574" s="7"/>
      <c r="AG1574" s="7"/>
      <c r="AH1574" s="7"/>
      <c r="AI1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4" s="7">
        <v>12</v>
      </c>
      <c r="AK1574" t="s">
        <v>116</v>
      </c>
      <c r="AN1574">
        <f>IFERROR(INT(Table13[[#This Row],[reject_prod]]/Table13[[#This Row],[part_weight]] * 1000), 0)</f>
        <v>0</v>
      </c>
    </row>
    <row r="1575" spans="1:40" hidden="1">
      <c r="A1575" s="1">
        <v>46069</v>
      </c>
      <c r="B1575">
        <v>2</v>
      </c>
      <c r="C1575">
        <v>2</v>
      </c>
      <c r="F1575">
        <v>123456</v>
      </c>
      <c r="G1575" s="6">
        <v>0</v>
      </c>
      <c r="M1575">
        <v>0</v>
      </c>
      <c r="N1575" s="2">
        <v>0</v>
      </c>
      <c r="O1575" s="2">
        <v>0</v>
      </c>
      <c r="P1575" s="2">
        <v>0</v>
      </c>
      <c r="Q1575" s="2"/>
      <c r="R1575" s="2">
        <v>0</v>
      </c>
      <c r="T1575" s="2">
        <v>0</v>
      </c>
      <c r="U1575" s="2"/>
      <c r="X1575">
        <v>0</v>
      </c>
      <c r="Z1575">
        <v>0</v>
      </c>
      <c r="AB1575">
        <v>0</v>
      </c>
      <c r="AC1575">
        <v>0</v>
      </c>
      <c r="AD1575">
        <v>0</v>
      </c>
      <c r="AE1575" s="7"/>
      <c r="AF1575" s="7"/>
      <c r="AG1575" s="7"/>
      <c r="AH1575" s="7"/>
      <c r="AI1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5" s="7">
        <v>12</v>
      </c>
      <c r="AK1575" t="s">
        <v>116</v>
      </c>
      <c r="AN1575">
        <f>IFERROR(INT(Table13[[#This Row],[reject_prod]]/Table13[[#This Row],[part_weight]] * 1000), 0)</f>
        <v>0</v>
      </c>
    </row>
    <row r="1576" spans="1:40" hidden="1">
      <c r="A1576" s="1">
        <v>46069</v>
      </c>
      <c r="B1576">
        <v>2</v>
      </c>
      <c r="C1576">
        <v>3</v>
      </c>
      <c r="F1576">
        <v>123456</v>
      </c>
      <c r="G1576" s="6">
        <v>0</v>
      </c>
      <c r="M1576">
        <v>0</v>
      </c>
      <c r="N1576" s="2">
        <v>0</v>
      </c>
      <c r="O1576" s="2">
        <v>0</v>
      </c>
      <c r="P1576" s="2">
        <v>0</v>
      </c>
      <c r="Q1576" s="2"/>
      <c r="R1576" s="2">
        <v>0</v>
      </c>
      <c r="T1576" s="2">
        <v>0</v>
      </c>
      <c r="U1576" s="2"/>
      <c r="X1576">
        <v>0</v>
      </c>
      <c r="Z1576">
        <v>0</v>
      </c>
      <c r="AB1576">
        <v>0</v>
      </c>
      <c r="AC1576">
        <v>0</v>
      </c>
      <c r="AD1576">
        <v>0</v>
      </c>
      <c r="AE1576" s="7"/>
      <c r="AF1576" s="7"/>
      <c r="AG1576" s="7"/>
      <c r="AH1576" s="7"/>
      <c r="AI1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6" s="7">
        <v>12</v>
      </c>
      <c r="AK1576" t="s">
        <v>116</v>
      </c>
      <c r="AN1576">
        <f>IFERROR(INT(Table13[[#This Row],[reject_prod]]/Table13[[#This Row],[part_weight]] * 1000), 0)</f>
        <v>0</v>
      </c>
    </row>
    <row r="1577" spans="1:40" hidden="1">
      <c r="A1577" s="1">
        <v>46069</v>
      </c>
      <c r="B1577">
        <v>2</v>
      </c>
      <c r="C1577">
        <v>4</v>
      </c>
      <c r="F1577">
        <v>123456</v>
      </c>
      <c r="G1577" s="6">
        <v>0</v>
      </c>
      <c r="M1577">
        <v>0</v>
      </c>
      <c r="N1577" s="2">
        <v>0</v>
      </c>
      <c r="O1577" s="2">
        <v>0</v>
      </c>
      <c r="P1577" s="2">
        <v>0</v>
      </c>
      <c r="Q1577" s="2"/>
      <c r="R1577" s="2">
        <v>0</v>
      </c>
      <c r="T1577" s="2">
        <v>0</v>
      </c>
      <c r="U1577" s="2"/>
      <c r="X1577">
        <v>0</v>
      </c>
      <c r="Z1577">
        <v>0</v>
      </c>
      <c r="AB1577">
        <v>0</v>
      </c>
      <c r="AC1577">
        <v>0</v>
      </c>
      <c r="AD1577">
        <v>0</v>
      </c>
      <c r="AE1577" s="7"/>
      <c r="AF1577" s="7"/>
      <c r="AG1577" s="7"/>
      <c r="AH1577" s="7"/>
      <c r="AI1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7" s="7">
        <v>12</v>
      </c>
      <c r="AK1577" t="s">
        <v>116</v>
      </c>
      <c r="AN1577">
        <f>IFERROR(INT(Table13[[#This Row],[reject_prod]]/Table13[[#This Row],[part_weight]] * 1000), 0)</f>
        <v>0</v>
      </c>
    </row>
    <row r="1578" spans="1:40" hidden="1">
      <c r="A1578" s="1">
        <v>46069</v>
      </c>
      <c r="B1578">
        <v>2</v>
      </c>
      <c r="C1578">
        <v>5</v>
      </c>
      <c r="F1578">
        <v>123456</v>
      </c>
      <c r="G1578" s="6">
        <v>0</v>
      </c>
      <c r="M1578">
        <v>0</v>
      </c>
      <c r="N1578" s="2">
        <v>0</v>
      </c>
      <c r="O1578" s="2">
        <v>0</v>
      </c>
      <c r="P1578" s="2">
        <v>0</v>
      </c>
      <c r="Q1578" s="2"/>
      <c r="R1578" s="2">
        <v>0</v>
      </c>
      <c r="T1578" s="2">
        <v>0</v>
      </c>
      <c r="U1578" s="2"/>
      <c r="X1578">
        <v>0</v>
      </c>
      <c r="Z1578">
        <v>0</v>
      </c>
      <c r="AB1578">
        <v>0</v>
      </c>
      <c r="AC1578">
        <v>0</v>
      </c>
      <c r="AD1578">
        <v>0</v>
      </c>
      <c r="AE1578" s="7"/>
      <c r="AF1578" s="7"/>
      <c r="AG1578" s="7"/>
      <c r="AH1578" s="7"/>
      <c r="AI1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8" s="7">
        <v>12</v>
      </c>
      <c r="AK1578" t="s">
        <v>116</v>
      </c>
      <c r="AN1578">
        <f>IFERROR(INT(Table13[[#This Row],[reject_prod]]/Table13[[#This Row],[part_weight]] * 1000), 0)</f>
        <v>0</v>
      </c>
    </row>
    <row r="1579" spans="1:40" hidden="1">
      <c r="A1579" s="1">
        <v>46069</v>
      </c>
      <c r="B1579">
        <v>2</v>
      </c>
      <c r="C1579">
        <v>6</v>
      </c>
      <c r="F1579">
        <v>123456</v>
      </c>
      <c r="G1579" s="6">
        <v>0</v>
      </c>
      <c r="M1579">
        <v>0</v>
      </c>
      <c r="N1579" s="2">
        <v>0</v>
      </c>
      <c r="O1579" s="2">
        <v>0</v>
      </c>
      <c r="P1579" s="2">
        <v>0</v>
      </c>
      <c r="Q1579" s="2"/>
      <c r="R1579" s="2">
        <v>0</v>
      </c>
      <c r="T1579" s="2">
        <v>0</v>
      </c>
      <c r="U1579" s="2"/>
      <c r="X1579">
        <v>0</v>
      </c>
      <c r="Z1579">
        <v>0</v>
      </c>
      <c r="AB1579">
        <v>0</v>
      </c>
      <c r="AC1579">
        <v>0</v>
      </c>
      <c r="AD1579">
        <v>0</v>
      </c>
      <c r="AE1579" s="7"/>
      <c r="AF1579" s="7"/>
      <c r="AG1579" s="7"/>
      <c r="AH1579" s="7"/>
      <c r="AI1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9" s="7">
        <v>12</v>
      </c>
      <c r="AK1579" t="s">
        <v>116</v>
      </c>
      <c r="AN1579">
        <f>IFERROR(INT(Table13[[#This Row],[reject_prod]]/Table13[[#This Row],[part_weight]] * 1000), 0)</f>
        <v>0</v>
      </c>
    </row>
    <row r="1580" spans="1:40" hidden="1">
      <c r="A1580" s="1">
        <v>46069</v>
      </c>
      <c r="B1580">
        <v>2</v>
      </c>
      <c r="C1580">
        <v>7</v>
      </c>
      <c r="F1580">
        <v>123456</v>
      </c>
      <c r="G1580" s="6">
        <v>0</v>
      </c>
      <c r="M1580">
        <v>0</v>
      </c>
      <c r="N1580" s="2">
        <v>0</v>
      </c>
      <c r="O1580" s="2">
        <v>0</v>
      </c>
      <c r="P1580" s="2">
        <v>0</v>
      </c>
      <c r="Q1580" s="2"/>
      <c r="R1580" s="2">
        <v>0</v>
      </c>
      <c r="T1580" s="2">
        <v>0</v>
      </c>
      <c r="U1580" s="2"/>
      <c r="X1580">
        <v>0</v>
      </c>
      <c r="Z1580">
        <v>0</v>
      </c>
      <c r="AB1580">
        <v>0</v>
      </c>
      <c r="AC1580">
        <v>0</v>
      </c>
      <c r="AD1580">
        <v>0</v>
      </c>
      <c r="AE1580" s="7"/>
      <c r="AF1580" s="7"/>
      <c r="AG1580" s="7"/>
      <c r="AH1580" s="7"/>
      <c r="AI1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0" s="7">
        <v>12</v>
      </c>
      <c r="AK1580" t="s">
        <v>116</v>
      </c>
      <c r="AN1580">
        <f>IFERROR(INT(Table13[[#This Row],[reject_prod]]/Table13[[#This Row],[part_weight]] * 1000), 0)</f>
        <v>0</v>
      </c>
    </row>
    <row r="1581" spans="1:40" hidden="1">
      <c r="A1581" s="1">
        <v>46069</v>
      </c>
      <c r="B1581">
        <v>2</v>
      </c>
      <c r="C1581">
        <v>8</v>
      </c>
      <c r="F1581">
        <v>123456</v>
      </c>
      <c r="G1581" s="6">
        <v>0</v>
      </c>
      <c r="M1581">
        <v>0</v>
      </c>
      <c r="N1581" s="2">
        <v>0</v>
      </c>
      <c r="O1581" s="2">
        <v>0</v>
      </c>
      <c r="P1581" s="2">
        <v>0</v>
      </c>
      <c r="Q1581" s="2"/>
      <c r="R1581" s="2">
        <v>0</v>
      </c>
      <c r="T1581" s="2">
        <v>0</v>
      </c>
      <c r="U1581" s="2"/>
      <c r="X1581">
        <v>0</v>
      </c>
      <c r="Z1581">
        <v>0</v>
      </c>
      <c r="AB1581">
        <v>0</v>
      </c>
      <c r="AC1581">
        <v>0</v>
      </c>
      <c r="AD1581">
        <v>0</v>
      </c>
      <c r="AE1581" s="7"/>
      <c r="AF1581" s="7"/>
      <c r="AG1581" s="7"/>
      <c r="AH1581" s="7"/>
      <c r="AI15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1" s="7">
        <v>12</v>
      </c>
      <c r="AK1581" t="s">
        <v>116</v>
      </c>
      <c r="AN1581">
        <f>IFERROR(INT(Table13[[#This Row],[reject_prod]]/Table13[[#This Row],[part_weight]] * 1000), 0)</f>
        <v>0</v>
      </c>
    </row>
    <row r="1582" spans="1:40" hidden="1">
      <c r="A1582" s="1">
        <v>46069</v>
      </c>
      <c r="B1582">
        <v>2</v>
      </c>
      <c r="C1582">
        <v>9</v>
      </c>
      <c r="F1582">
        <v>123456</v>
      </c>
      <c r="G1582" s="6">
        <v>0</v>
      </c>
      <c r="M1582">
        <v>0</v>
      </c>
      <c r="N1582" s="2">
        <v>0</v>
      </c>
      <c r="O1582" s="2">
        <v>0</v>
      </c>
      <c r="P1582" s="2">
        <v>0</v>
      </c>
      <c r="Q1582" s="2"/>
      <c r="R1582" s="2">
        <v>0</v>
      </c>
      <c r="T1582" s="2">
        <v>0</v>
      </c>
      <c r="U1582" s="2"/>
      <c r="X1582">
        <v>0</v>
      </c>
      <c r="Z1582">
        <v>0</v>
      </c>
      <c r="AB1582">
        <v>0</v>
      </c>
      <c r="AC1582">
        <v>0</v>
      </c>
      <c r="AD1582">
        <v>0</v>
      </c>
      <c r="AE1582" s="7"/>
      <c r="AF1582" s="7"/>
      <c r="AG1582" s="7"/>
      <c r="AH1582" s="7"/>
      <c r="AI1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2" s="7">
        <v>12</v>
      </c>
      <c r="AK1582" t="s">
        <v>116</v>
      </c>
      <c r="AN1582">
        <f>IFERROR(INT(Table13[[#This Row],[reject_prod]]/Table13[[#This Row],[part_weight]] * 1000), 0)</f>
        <v>0</v>
      </c>
    </row>
    <row r="1583" spans="1:40" hidden="1">
      <c r="A1583" s="1">
        <v>46069</v>
      </c>
      <c r="B1583">
        <v>2</v>
      </c>
      <c r="C1583">
        <v>10</v>
      </c>
      <c r="F1583">
        <v>123456</v>
      </c>
      <c r="G1583" s="6">
        <v>0</v>
      </c>
      <c r="M1583">
        <v>0</v>
      </c>
      <c r="N1583" s="2">
        <v>0</v>
      </c>
      <c r="O1583" s="2">
        <v>0</v>
      </c>
      <c r="P1583" s="2">
        <v>0</v>
      </c>
      <c r="Q1583" s="2"/>
      <c r="R1583" s="2">
        <v>0</v>
      </c>
      <c r="T1583" s="2">
        <v>0</v>
      </c>
      <c r="U1583" s="2"/>
      <c r="X1583">
        <v>0</v>
      </c>
      <c r="Z1583">
        <v>0</v>
      </c>
      <c r="AB1583">
        <v>0</v>
      </c>
      <c r="AC1583">
        <v>0</v>
      </c>
      <c r="AD1583">
        <v>0</v>
      </c>
      <c r="AE1583" s="7"/>
      <c r="AF1583" s="7"/>
      <c r="AG1583" s="7"/>
      <c r="AH1583" s="7"/>
      <c r="AI1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3" s="7">
        <v>12</v>
      </c>
      <c r="AK1583" t="s">
        <v>116</v>
      </c>
      <c r="AN1583">
        <f>IFERROR(INT(Table13[[#This Row],[reject_prod]]/Table13[[#This Row],[part_weight]] * 1000), 0)</f>
        <v>0</v>
      </c>
    </row>
    <row r="1584" spans="1:40" hidden="1">
      <c r="A1584" s="1">
        <v>46069</v>
      </c>
      <c r="B1584">
        <v>2</v>
      </c>
      <c r="C1584">
        <v>11</v>
      </c>
      <c r="F1584">
        <v>123456</v>
      </c>
      <c r="G1584" s="6">
        <v>0</v>
      </c>
      <c r="M1584">
        <v>0</v>
      </c>
      <c r="N1584" s="2">
        <v>0</v>
      </c>
      <c r="O1584" s="2">
        <v>0</v>
      </c>
      <c r="P1584" s="2">
        <v>0</v>
      </c>
      <c r="Q1584" s="2"/>
      <c r="R1584" s="2">
        <v>0</v>
      </c>
      <c r="T1584" s="2">
        <v>0</v>
      </c>
      <c r="U1584" s="2"/>
      <c r="X1584">
        <v>0</v>
      </c>
      <c r="Z1584">
        <v>0</v>
      </c>
      <c r="AB1584">
        <v>0</v>
      </c>
      <c r="AC1584">
        <v>0</v>
      </c>
      <c r="AD1584">
        <v>0</v>
      </c>
      <c r="AE1584" s="7"/>
      <c r="AF1584" s="7"/>
      <c r="AG1584" s="7"/>
      <c r="AH1584" s="7"/>
      <c r="AI1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4" s="7">
        <v>12</v>
      </c>
      <c r="AK1584" t="s">
        <v>116</v>
      </c>
      <c r="AN1584">
        <f>IFERROR(INT(Table13[[#This Row],[reject_prod]]/Table13[[#This Row],[part_weight]] * 1000), 0)</f>
        <v>0</v>
      </c>
    </row>
    <row r="1585" spans="1:40" hidden="1">
      <c r="A1585" s="1">
        <v>46069</v>
      </c>
      <c r="B1585">
        <v>2</v>
      </c>
      <c r="C1585">
        <v>12</v>
      </c>
      <c r="F1585">
        <v>123456</v>
      </c>
      <c r="G1585" s="6">
        <v>0</v>
      </c>
      <c r="M1585">
        <v>0</v>
      </c>
      <c r="N1585" s="2">
        <v>0</v>
      </c>
      <c r="O1585" s="2">
        <v>0</v>
      </c>
      <c r="P1585" s="2">
        <v>0</v>
      </c>
      <c r="Q1585" s="2"/>
      <c r="R1585" s="2">
        <v>0</v>
      </c>
      <c r="T1585" s="2">
        <v>0</v>
      </c>
      <c r="U1585" s="2"/>
      <c r="X1585">
        <v>0</v>
      </c>
      <c r="Z1585">
        <v>0</v>
      </c>
      <c r="AB1585">
        <v>0</v>
      </c>
      <c r="AC1585">
        <v>0</v>
      </c>
      <c r="AD1585">
        <v>0</v>
      </c>
      <c r="AE1585" s="7"/>
      <c r="AF1585" s="7"/>
      <c r="AG1585" s="7"/>
      <c r="AH1585" s="7"/>
      <c r="AI1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5" s="7">
        <v>12</v>
      </c>
      <c r="AK1585" t="s">
        <v>116</v>
      </c>
      <c r="AN1585">
        <f>IFERROR(INT(Table13[[#This Row],[reject_prod]]/Table13[[#This Row],[part_weight]] * 1000), 0)</f>
        <v>0</v>
      </c>
    </row>
    <row r="1586" spans="1:40" hidden="1">
      <c r="A1586" s="1">
        <v>46069</v>
      </c>
      <c r="B1586">
        <v>2</v>
      </c>
      <c r="C1586">
        <v>13</v>
      </c>
      <c r="F1586">
        <v>123456</v>
      </c>
      <c r="G1586" s="6">
        <v>0</v>
      </c>
      <c r="M1586">
        <v>0</v>
      </c>
      <c r="N1586" s="2">
        <v>0</v>
      </c>
      <c r="O1586" s="2">
        <v>0</v>
      </c>
      <c r="P1586" s="2">
        <v>0</v>
      </c>
      <c r="Q1586" s="2"/>
      <c r="R1586" s="2">
        <v>0</v>
      </c>
      <c r="T1586" s="2">
        <v>0</v>
      </c>
      <c r="U1586" s="2"/>
      <c r="X1586">
        <v>0</v>
      </c>
      <c r="Z1586">
        <v>0</v>
      </c>
      <c r="AB1586">
        <v>0</v>
      </c>
      <c r="AC1586">
        <v>0</v>
      </c>
      <c r="AD1586">
        <v>0</v>
      </c>
      <c r="AE1586" s="7"/>
      <c r="AF1586" s="7"/>
      <c r="AG1586" s="7"/>
      <c r="AH1586" s="7"/>
      <c r="AI1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6" s="7">
        <v>12</v>
      </c>
      <c r="AK1586" t="s">
        <v>116</v>
      </c>
      <c r="AN1586">
        <f>IFERROR(INT(Table13[[#This Row],[reject_prod]]/Table13[[#This Row],[part_weight]] * 1000), 0)</f>
        <v>0</v>
      </c>
    </row>
    <row r="1587" spans="1:40" hidden="1">
      <c r="A1587" s="1">
        <v>46069</v>
      </c>
      <c r="B1587">
        <v>2</v>
      </c>
      <c r="C1587">
        <v>14</v>
      </c>
      <c r="F1587">
        <v>123456</v>
      </c>
      <c r="G1587" s="6">
        <v>0</v>
      </c>
      <c r="M1587">
        <v>0</v>
      </c>
      <c r="N1587" s="2">
        <v>0</v>
      </c>
      <c r="O1587" s="2">
        <v>0</v>
      </c>
      <c r="P1587" s="2">
        <v>0</v>
      </c>
      <c r="Q1587" s="2"/>
      <c r="R1587" s="2">
        <v>0</v>
      </c>
      <c r="T1587" s="2">
        <v>0</v>
      </c>
      <c r="U1587" s="2"/>
      <c r="X1587">
        <v>0</v>
      </c>
      <c r="Z1587">
        <v>0</v>
      </c>
      <c r="AB1587">
        <v>0</v>
      </c>
      <c r="AC1587">
        <v>0</v>
      </c>
      <c r="AD1587">
        <v>0</v>
      </c>
      <c r="AE1587" s="7"/>
      <c r="AF1587" s="7"/>
      <c r="AG1587" s="7"/>
      <c r="AH1587" s="7"/>
      <c r="AI1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7" s="7">
        <v>12</v>
      </c>
      <c r="AK1587" t="s">
        <v>116</v>
      </c>
      <c r="AN1587">
        <f>IFERROR(INT(Table13[[#This Row],[reject_prod]]/Table13[[#This Row],[part_weight]] * 1000), 0)</f>
        <v>0</v>
      </c>
    </row>
    <row r="1588" spans="1:40" hidden="1">
      <c r="A1588" s="1">
        <v>46069</v>
      </c>
      <c r="B1588">
        <v>2</v>
      </c>
      <c r="C1588">
        <v>15</v>
      </c>
      <c r="F1588">
        <v>123456</v>
      </c>
      <c r="G1588" s="6">
        <v>0</v>
      </c>
      <c r="M1588">
        <v>0</v>
      </c>
      <c r="N1588" s="2">
        <v>0</v>
      </c>
      <c r="O1588" s="2">
        <v>0</v>
      </c>
      <c r="P1588" s="2">
        <v>0</v>
      </c>
      <c r="Q1588" s="2"/>
      <c r="R1588" s="2">
        <v>0</v>
      </c>
      <c r="T1588" s="2">
        <v>0</v>
      </c>
      <c r="U1588" s="2"/>
      <c r="X1588">
        <v>0</v>
      </c>
      <c r="Z1588">
        <v>0</v>
      </c>
      <c r="AB1588">
        <v>0</v>
      </c>
      <c r="AC1588">
        <v>0</v>
      </c>
      <c r="AD1588">
        <v>0</v>
      </c>
      <c r="AE1588" s="7"/>
      <c r="AF1588" s="7"/>
      <c r="AG1588" s="7"/>
      <c r="AH1588" s="7"/>
      <c r="AI1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8" s="7">
        <v>12</v>
      </c>
      <c r="AK1588" t="s">
        <v>116</v>
      </c>
      <c r="AN1588">
        <f>IFERROR(INT(Table13[[#This Row],[reject_prod]]/Table13[[#This Row],[part_weight]] * 1000), 0)</f>
        <v>0</v>
      </c>
    </row>
    <row r="1589" spans="1:40" s="4" customFormat="1" hidden="1">
      <c r="A1589" s="3">
        <v>46069</v>
      </c>
      <c r="B1589" s="4">
        <v>2</v>
      </c>
      <c r="C1589" s="4">
        <v>16</v>
      </c>
      <c r="F1589" s="4">
        <v>123456</v>
      </c>
      <c r="G1589" s="9">
        <v>0</v>
      </c>
      <c r="M1589" s="4">
        <v>0</v>
      </c>
      <c r="N1589" s="5">
        <v>0</v>
      </c>
      <c r="O1589" s="5">
        <v>0</v>
      </c>
      <c r="P1589" s="5">
        <v>0</v>
      </c>
      <c r="Q1589" s="5"/>
      <c r="R1589" s="5">
        <v>0</v>
      </c>
      <c r="T1589" s="5">
        <v>0</v>
      </c>
      <c r="U1589" s="5"/>
      <c r="X1589" s="4">
        <v>0</v>
      </c>
      <c r="Z1589" s="4">
        <v>0</v>
      </c>
      <c r="AB1589" s="4">
        <v>0</v>
      </c>
      <c r="AC1589" s="4">
        <v>0</v>
      </c>
      <c r="AD1589" s="4">
        <v>0</v>
      </c>
      <c r="AE1589" s="8"/>
      <c r="AF1589" s="8"/>
      <c r="AG1589" s="8"/>
      <c r="AH1589" s="8"/>
      <c r="AI158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9" s="8">
        <v>12</v>
      </c>
      <c r="AK1589" s="4" t="s">
        <v>116</v>
      </c>
      <c r="AN1589">
        <f>IFERROR(INT(Table13[[#This Row],[reject_prod]]/Table13[[#This Row],[part_weight]] * 1000), 0)</f>
        <v>0</v>
      </c>
    </row>
    <row r="1590" spans="1:40" hidden="1">
      <c r="A1590" s="1">
        <v>46070</v>
      </c>
      <c r="B1590">
        <v>1</v>
      </c>
      <c r="C1590">
        <v>1</v>
      </c>
      <c r="F1590">
        <v>123456</v>
      </c>
      <c r="G1590" s="6">
        <v>0</v>
      </c>
      <c r="M1590">
        <v>0</v>
      </c>
      <c r="N1590" s="2">
        <v>0</v>
      </c>
      <c r="O1590" s="2">
        <v>0</v>
      </c>
      <c r="P1590" s="2">
        <v>0</v>
      </c>
      <c r="Q1590" s="2"/>
      <c r="R1590" s="2">
        <v>0</v>
      </c>
      <c r="T1590" s="2">
        <v>0</v>
      </c>
      <c r="U1590" s="2"/>
      <c r="X1590">
        <v>0</v>
      </c>
      <c r="Z1590">
        <v>0</v>
      </c>
      <c r="AB1590">
        <v>0</v>
      </c>
      <c r="AC1590">
        <v>0</v>
      </c>
      <c r="AD1590">
        <v>0</v>
      </c>
      <c r="AE1590" s="7"/>
      <c r="AF1590" s="7"/>
      <c r="AG1590" s="7"/>
      <c r="AH1590" s="7"/>
      <c r="AI1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0" s="7">
        <v>12</v>
      </c>
      <c r="AK1590" t="s">
        <v>116</v>
      </c>
      <c r="AN1590">
        <f>IFERROR(INT(Table13[[#This Row],[reject_prod]]/Table13[[#This Row],[part_weight]] * 1000), 0)</f>
        <v>0</v>
      </c>
    </row>
    <row r="1591" spans="1:40" hidden="1">
      <c r="A1591" s="1">
        <v>46070</v>
      </c>
      <c r="B1591">
        <v>1</v>
      </c>
      <c r="C1591">
        <v>2</v>
      </c>
      <c r="F1591">
        <v>123456</v>
      </c>
      <c r="G1591" s="6">
        <v>0</v>
      </c>
      <c r="M1591">
        <v>0</v>
      </c>
      <c r="N1591" s="2">
        <v>0</v>
      </c>
      <c r="O1591" s="2">
        <v>0</v>
      </c>
      <c r="P1591" s="2">
        <v>0</v>
      </c>
      <c r="Q1591" s="2"/>
      <c r="R1591" s="2">
        <v>0</v>
      </c>
      <c r="T1591" s="2">
        <v>0</v>
      </c>
      <c r="U1591" s="2"/>
      <c r="X1591">
        <v>0</v>
      </c>
      <c r="Z1591">
        <v>0</v>
      </c>
      <c r="AB1591">
        <v>0</v>
      </c>
      <c r="AC1591">
        <v>0</v>
      </c>
      <c r="AD1591">
        <v>0</v>
      </c>
      <c r="AE1591" s="7"/>
      <c r="AF1591" s="7"/>
      <c r="AG1591" s="7"/>
      <c r="AH1591" s="7"/>
      <c r="AI1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1" s="7">
        <v>12</v>
      </c>
      <c r="AK1591" t="s">
        <v>116</v>
      </c>
      <c r="AN1591">
        <f>IFERROR(INT(Table13[[#This Row],[reject_prod]]/Table13[[#This Row],[part_weight]] * 1000), 0)</f>
        <v>0</v>
      </c>
    </row>
    <row r="1592" spans="1:40" hidden="1">
      <c r="A1592" s="1">
        <v>46070</v>
      </c>
      <c r="B1592">
        <v>1</v>
      </c>
      <c r="C1592">
        <v>3</v>
      </c>
      <c r="F1592">
        <v>123456</v>
      </c>
      <c r="G1592" s="6">
        <v>0</v>
      </c>
      <c r="M1592">
        <v>0</v>
      </c>
      <c r="N1592" s="2">
        <v>0</v>
      </c>
      <c r="O1592" s="2">
        <v>0</v>
      </c>
      <c r="P1592" s="2">
        <v>0</v>
      </c>
      <c r="Q1592" s="2"/>
      <c r="R1592" s="2">
        <v>0</v>
      </c>
      <c r="T1592" s="2">
        <v>0</v>
      </c>
      <c r="U1592" s="2"/>
      <c r="X1592">
        <v>0</v>
      </c>
      <c r="Z1592">
        <v>0</v>
      </c>
      <c r="AB1592">
        <v>0</v>
      </c>
      <c r="AC1592">
        <v>0</v>
      </c>
      <c r="AD1592">
        <v>0</v>
      </c>
      <c r="AE1592" s="7"/>
      <c r="AF1592" s="7"/>
      <c r="AG1592" s="7"/>
      <c r="AH1592" s="7"/>
      <c r="AI1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2" s="7">
        <v>12</v>
      </c>
      <c r="AK1592" t="s">
        <v>116</v>
      </c>
      <c r="AN1592">
        <f>IFERROR(INT(Table13[[#This Row],[reject_prod]]/Table13[[#This Row],[part_weight]] * 1000), 0)</f>
        <v>0</v>
      </c>
    </row>
    <row r="1593" spans="1:40" hidden="1">
      <c r="A1593" s="1">
        <v>46070</v>
      </c>
      <c r="B1593">
        <v>1</v>
      </c>
      <c r="C1593">
        <v>4</v>
      </c>
      <c r="F1593">
        <v>123456</v>
      </c>
      <c r="G1593" s="6">
        <v>0</v>
      </c>
      <c r="M1593">
        <v>0</v>
      </c>
      <c r="N1593" s="2">
        <v>0</v>
      </c>
      <c r="O1593" s="2">
        <v>0</v>
      </c>
      <c r="P1593" s="2">
        <v>0</v>
      </c>
      <c r="Q1593" s="2"/>
      <c r="R1593" s="2">
        <v>0</v>
      </c>
      <c r="T1593" s="2">
        <v>0</v>
      </c>
      <c r="U1593" s="2"/>
      <c r="X1593">
        <v>0</v>
      </c>
      <c r="Z1593">
        <v>0</v>
      </c>
      <c r="AB1593">
        <v>0</v>
      </c>
      <c r="AC1593">
        <v>0</v>
      </c>
      <c r="AD1593">
        <v>0</v>
      </c>
      <c r="AE1593" s="7"/>
      <c r="AF1593" s="7"/>
      <c r="AG1593" s="7"/>
      <c r="AH1593" s="7"/>
      <c r="AI1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3" s="7">
        <v>12</v>
      </c>
      <c r="AK1593" t="s">
        <v>116</v>
      </c>
      <c r="AN1593">
        <f>IFERROR(INT(Table13[[#This Row],[reject_prod]]/Table13[[#This Row],[part_weight]] * 1000), 0)</f>
        <v>0</v>
      </c>
    </row>
    <row r="1594" spans="1:40" hidden="1">
      <c r="A1594" s="1">
        <v>46070</v>
      </c>
      <c r="B1594">
        <v>1</v>
      </c>
      <c r="C1594">
        <v>5</v>
      </c>
      <c r="F1594">
        <v>123456</v>
      </c>
      <c r="G1594" s="6">
        <v>0</v>
      </c>
      <c r="M1594">
        <v>0</v>
      </c>
      <c r="N1594" s="2">
        <v>0</v>
      </c>
      <c r="O1594" s="2">
        <v>0</v>
      </c>
      <c r="P1594" s="2">
        <v>0</v>
      </c>
      <c r="Q1594" s="2"/>
      <c r="R1594" s="2">
        <v>0</v>
      </c>
      <c r="T1594" s="2">
        <v>0</v>
      </c>
      <c r="U1594" s="2"/>
      <c r="X1594">
        <v>0</v>
      </c>
      <c r="Z1594">
        <v>0</v>
      </c>
      <c r="AB1594">
        <v>0</v>
      </c>
      <c r="AC1594">
        <v>0</v>
      </c>
      <c r="AD1594">
        <v>0</v>
      </c>
      <c r="AE1594" s="7"/>
      <c r="AF1594" s="7"/>
      <c r="AG1594" s="7"/>
      <c r="AH1594" s="7"/>
      <c r="AI1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4" s="7">
        <v>12</v>
      </c>
      <c r="AK1594" t="s">
        <v>116</v>
      </c>
      <c r="AN1594">
        <f>IFERROR(INT(Table13[[#This Row],[reject_prod]]/Table13[[#This Row],[part_weight]] * 1000), 0)</f>
        <v>0</v>
      </c>
    </row>
    <row r="1595" spans="1:40" hidden="1">
      <c r="A1595" s="1">
        <v>46070</v>
      </c>
      <c r="B1595">
        <v>1</v>
      </c>
      <c r="C1595">
        <v>6</v>
      </c>
      <c r="F1595">
        <v>123456</v>
      </c>
      <c r="G1595" s="6">
        <v>0</v>
      </c>
      <c r="M1595">
        <v>0</v>
      </c>
      <c r="N1595" s="2">
        <v>0</v>
      </c>
      <c r="O1595" s="2">
        <v>0</v>
      </c>
      <c r="P1595" s="2">
        <v>0</v>
      </c>
      <c r="Q1595" s="2"/>
      <c r="R1595" s="2">
        <v>0</v>
      </c>
      <c r="T1595" s="2">
        <v>0</v>
      </c>
      <c r="U1595" s="2"/>
      <c r="X1595">
        <v>0</v>
      </c>
      <c r="Z1595">
        <v>0</v>
      </c>
      <c r="AB1595">
        <v>0</v>
      </c>
      <c r="AC1595">
        <v>0</v>
      </c>
      <c r="AD1595">
        <v>0</v>
      </c>
      <c r="AE1595" s="7"/>
      <c r="AF1595" s="7"/>
      <c r="AG1595" s="7"/>
      <c r="AH1595" s="7"/>
      <c r="AI1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5" s="7">
        <v>12</v>
      </c>
      <c r="AK1595" t="s">
        <v>116</v>
      </c>
      <c r="AN1595">
        <f>IFERROR(INT(Table13[[#This Row],[reject_prod]]/Table13[[#This Row],[part_weight]] * 1000), 0)</f>
        <v>0</v>
      </c>
    </row>
    <row r="1596" spans="1:40" hidden="1">
      <c r="A1596" s="1">
        <v>46070</v>
      </c>
      <c r="B1596">
        <v>1</v>
      </c>
      <c r="C1596">
        <v>7</v>
      </c>
      <c r="F1596">
        <v>123456</v>
      </c>
      <c r="G1596" s="6">
        <v>0</v>
      </c>
      <c r="M1596">
        <v>0</v>
      </c>
      <c r="N1596" s="2">
        <v>0</v>
      </c>
      <c r="O1596" s="2">
        <v>0</v>
      </c>
      <c r="P1596" s="2">
        <v>0</v>
      </c>
      <c r="Q1596" s="2"/>
      <c r="R1596" s="2">
        <v>0</v>
      </c>
      <c r="T1596" s="2">
        <v>0</v>
      </c>
      <c r="U1596" s="2"/>
      <c r="X1596">
        <v>0</v>
      </c>
      <c r="Z1596">
        <v>0</v>
      </c>
      <c r="AB1596">
        <v>0</v>
      </c>
      <c r="AC1596">
        <v>0</v>
      </c>
      <c r="AD1596">
        <v>0</v>
      </c>
      <c r="AE1596" s="7"/>
      <c r="AF1596" s="7"/>
      <c r="AG1596" s="7"/>
      <c r="AH1596" s="7"/>
      <c r="AI1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6" s="7">
        <v>12</v>
      </c>
      <c r="AK1596" t="s">
        <v>116</v>
      </c>
      <c r="AN1596">
        <f>IFERROR(INT(Table13[[#This Row],[reject_prod]]/Table13[[#This Row],[part_weight]] * 1000), 0)</f>
        <v>0</v>
      </c>
    </row>
    <row r="1597" spans="1:40" hidden="1">
      <c r="A1597" s="1">
        <v>46070</v>
      </c>
      <c r="B1597">
        <v>1</v>
      </c>
      <c r="C1597">
        <v>8</v>
      </c>
      <c r="F1597">
        <v>123456</v>
      </c>
      <c r="G1597" s="6">
        <v>0</v>
      </c>
      <c r="M1597">
        <v>0</v>
      </c>
      <c r="N1597" s="2">
        <v>0</v>
      </c>
      <c r="O1597" s="2">
        <v>0</v>
      </c>
      <c r="P1597" s="2">
        <v>0</v>
      </c>
      <c r="Q1597" s="2"/>
      <c r="R1597" s="2">
        <v>0</v>
      </c>
      <c r="T1597" s="2">
        <v>0</v>
      </c>
      <c r="U1597" s="2"/>
      <c r="X1597">
        <v>0</v>
      </c>
      <c r="Z1597">
        <v>0</v>
      </c>
      <c r="AB1597">
        <v>0</v>
      </c>
      <c r="AC1597">
        <v>0</v>
      </c>
      <c r="AD1597">
        <v>0</v>
      </c>
      <c r="AE1597" s="7"/>
      <c r="AF1597" s="7"/>
      <c r="AG1597" s="7"/>
      <c r="AH1597" s="7"/>
      <c r="AI1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7" s="7">
        <v>12</v>
      </c>
      <c r="AK1597" t="s">
        <v>116</v>
      </c>
      <c r="AN1597">
        <f>IFERROR(INT(Table13[[#This Row],[reject_prod]]/Table13[[#This Row],[part_weight]] * 1000), 0)</f>
        <v>0</v>
      </c>
    </row>
    <row r="1598" spans="1:40" hidden="1">
      <c r="A1598" s="1">
        <v>46070</v>
      </c>
      <c r="B1598">
        <v>1</v>
      </c>
      <c r="C1598">
        <v>9</v>
      </c>
      <c r="F1598">
        <v>123456</v>
      </c>
      <c r="G1598" s="6">
        <v>0</v>
      </c>
      <c r="M1598">
        <v>0</v>
      </c>
      <c r="N1598" s="2">
        <v>0</v>
      </c>
      <c r="O1598" s="2">
        <v>0</v>
      </c>
      <c r="P1598" s="2">
        <v>0</v>
      </c>
      <c r="Q1598" s="2"/>
      <c r="R1598" s="2">
        <v>0</v>
      </c>
      <c r="T1598" s="2">
        <v>0</v>
      </c>
      <c r="U1598" s="2"/>
      <c r="X1598">
        <v>0</v>
      </c>
      <c r="Z1598">
        <v>0</v>
      </c>
      <c r="AB1598">
        <v>0</v>
      </c>
      <c r="AC1598">
        <v>0</v>
      </c>
      <c r="AD1598">
        <v>0</v>
      </c>
      <c r="AE1598" s="7"/>
      <c r="AF1598" s="7"/>
      <c r="AG1598" s="7"/>
      <c r="AH1598" s="7"/>
      <c r="AI1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8" s="7">
        <v>12</v>
      </c>
      <c r="AK1598" t="s">
        <v>116</v>
      </c>
      <c r="AN1598">
        <f>IFERROR(INT(Table13[[#This Row],[reject_prod]]/Table13[[#This Row],[part_weight]] * 1000), 0)</f>
        <v>0</v>
      </c>
    </row>
    <row r="1599" spans="1:40" hidden="1">
      <c r="A1599" s="1">
        <v>46070</v>
      </c>
      <c r="B1599">
        <v>1</v>
      </c>
      <c r="C1599">
        <v>10</v>
      </c>
      <c r="F1599">
        <v>123456</v>
      </c>
      <c r="G1599" s="6">
        <v>0</v>
      </c>
      <c r="M1599">
        <v>0</v>
      </c>
      <c r="N1599" s="2">
        <v>0</v>
      </c>
      <c r="O1599" s="2">
        <v>0</v>
      </c>
      <c r="P1599" s="2">
        <v>0</v>
      </c>
      <c r="Q1599" s="2"/>
      <c r="R1599" s="2">
        <v>0</v>
      </c>
      <c r="T1599" s="2">
        <v>0</v>
      </c>
      <c r="U1599" s="2"/>
      <c r="X1599">
        <v>0</v>
      </c>
      <c r="Z1599">
        <v>0</v>
      </c>
      <c r="AB1599">
        <v>0</v>
      </c>
      <c r="AC1599">
        <v>0</v>
      </c>
      <c r="AD1599">
        <v>0</v>
      </c>
      <c r="AE1599" s="7"/>
      <c r="AF1599" s="7"/>
      <c r="AG1599" s="7"/>
      <c r="AH1599" s="7"/>
      <c r="AI15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9" s="7">
        <v>12</v>
      </c>
      <c r="AK1599" t="s">
        <v>116</v>
      </c>
      <c r="AN1599">
        <f>IFERROR(INT(Table13[[#This Row],[reject_prod]]/Table13[[#This Row],[part_weight]] * 1000), 0)</f>
        <v>0</v>
      </c>
    </row>
    <row r="1600" spans="1:40" hidden="1">
      <c r="A1600" s="1">
        <v>46070</v>
      </c>
      <c r="B1600">
        <v>1</v>
      </c>
      <c r="C1600">
        <v>11</v>
      </c>
      <c r="F1600">
        <v>123456</v>
      </c>
      <c r="G1600" s="6">
        <v>0</v>
      </c>
      <c r="M1600">
        <v>0</v>
      </c>
      <c r="N1600" s="2">
        <v>0</v>
      </c>
      <c r="O1600" s="2">
        <v>0</v>
      </c>
      <c r="P1600" s="2">
        <v>0</v>
      </c>
      <c r="Q1600" s="2"/>
      <c r="R1600" s="2">
        <v>0</v>
      </c>
      <c r="T1600" s="2">
        <v>0</v>
      </c>
      <c r="U1600" s="2"/>
      <c r="X1600">
        <v>0</v>
      </c>
      <c r="Z1600">
        <v>0</v>
      </c>
      <c r="AB1600">
        <v>0</v>
      </c>
      <c r="AC1600">
        <v>0</v>
      </c>
      <c r="AD1600">
        <v>0</v>
      </c>
      <c r="AE1600" s="7"/>
      <c r="AF1600" s="7"/>
      <c r="AG1600" s="7"/>
      <c r="AH1600" s="7"/>
      <c r="AI1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0" s="7">
        <v>12</v>
      </c>
      <c r="AK1600" t="s">
        <v>116</v>
      </c>
      <c r="AN1600">
        <f>IFERROR(INT(Table13[[#This Row],[reject_prod]]/Table13[[#This Row],[part_weight]] * 1000), 0)</f>
        <v>0</v>
      </c>
    </row>
    <row r="1601" spans="1:40" hidden="1">
      <c r="A1601" s="1">
        <v>46070</v>
      </c>
      <c r="B1601">
        <v>1</v>
      </c>
      <c r="C1601">
        <v>12</v>
      </c>
      <c r="F1601">
        <v>123456</v>
      </c>
      <c r="G1601" s="6">
        <v>0</v>
      </c>
      <c r="M1601">
        <v>0</v>
      </c>
      <c r="N1601" s="2">
        <v>0</v>
      </c>
      <c r="O1601" s="2">
        <v>0</v>
      </c>
      <c r="P1601" s="2">
        <v>0</v>
      </c>
      <c r="Q1601" s="2"/>
      <c r="R1601" s="2">
        <v>0</v>
      </c>
      <c r="T1601" s="2">
        <v>0</v>
      </c>
      <c r="U1601" s="2"/>
      <c r="X1601">
        <v>0</v>
      </c>
      <c r="Z1601">
        <v>0</v>
      </c>
      <c r="AB1601">
        <v>0</v>
      </c>
      <c r="AC1601">
        <v>0</v>
      </c>
      <c r="AD1601">
        <v>0</v>
      </c>
      <c r="AE1601" s="7"/>
      <c r="AF1601" s="7"/>
      <c r="AG1601" s="7"/>
      <c r="AH1601" s="7"/>
      <c r="AI1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1" s="7">
        <v>12</v>
      </c>
      <c r="AK1601" t="s">
        <v>116</v>
      </c>
      <c r="AN1601">
        <f>IFERROR(INT(Table13[[#This Row],[reject_prod]]/Table13[[#This Row],[part_weight]] * 1000), 0)</f>
        <v>0</v>
      </c>
    </row>
    <row r="1602" spans="1:40" hidden="1">
      <c r="A1602" s="1">
        <v>46070</v>
      </c>
      <c r="B1602">
        <v>1</v>
      </c>
      <c r="C1602">
        <v>13</v>
      </c>
      <c r="F1602">
        <v>123456</v>
      </c>
      <c r="G1602" s="6">
        <v>0</v>
      </c>
      <c r="M1602">
        <v>0</v>
      </c>
      <c r="N1602" s="2">
        <v>0</v>
      </c>
      <c r="O1602" s="2">
        <v>0</v>
      </c>
      <c r="P1602" s="2">
        <v>0</v>
      </c>
      <c r="Q1602" s="2"/>
      <c r="R1602" s="2">
        <v>0</v>
      </c>
      <c r="T1602" s="2">
        <v>0</v>
      </c>
      <c r="U1602" s="2"/>
      <c r="X1602">
        <v>0</v>
      </c>
      <c r="Z1602">
        <v>0</v>
      </c>
      <c r="AB1602">
        <v>0</v>
      </c>
      <c r="AC1602">
        <v>0</v>
      </c>
      <c r="AD1602">
        <v>0</v>
      </c>
      <c r="AE1602" s="7"/>
      <c r="AF1602" s="7"/>
      <c r="AG1602" s="7"/>
      <c r="AH1602" s="7"/>
      <c r="AI1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2" s="7">
        <v>12</v>
      </c>
      <c r="AK1602" t="s">
        <v>116</v>
      </c>
      <c r="AN1602">
        <f>IFERROR(INT(Table13[[#This Row],[reject_prod]]/Table13[[#This Row],[part_weight]] * 1000), 0)</f>
        <v>0</v>
      </c>
    </row>
    <row r="1603" spans="1:40" hidden="1">
      <c r="A1603" s="1">
        <v>46070</v>
      </c>
      <c r="B1603">
        <v>1</v>
      </c>
      <c r="C1603">
        <v>14</v>
      </c>
      <c r="F1603">
        <v>123456</v>
      </c>
      <c r="G1603" s="6">
        <v>0</v>
      </c>
      <c r="M1603">
        <v>0</v>
      </c>
      <c r="N1603" s="2">
        <v>0</v>
      </c>
      <c r="O1603" s="2">
        <v>0</v>
      </c>
      <c r="P1603" s="2">
        <v>0</v>
      </c>
      <c r="Q1603" s="2"/>
      <c r="R1603" s="2">
        <v>0</v>
      </c>
      <c r="T1603" s="2">
        <v>0</v>
      </c>
      <c r="U1603" s="2"/>
      <c r="X1603">
        <v>0</v>
      </c>
      <c r="Z1603">
        <v>0</v>
      </c>
      <c r="AB1603">
        <v>0</v>
      </c>
      <c r="AC1603">
        <v>0</v>
      </c>
      <c r="AD1603">
        <v>0</v>
      </c>
      <c r="AE1603" s="7"/>
      <c r="AF1603" s="7"/>
      <c r="AG1603" s="7"/>
      <c r="AH1603" s="7"/>
      <c r="AI1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3" s="7">
        <v>12</v>
      </c>
      <c r="AK1603" t="s">
        <v>116</v>
      </c>
      <c r="AN1603">
        <f>IFERROR(INT(Table13[[#This Row],[reject_prod]]/Table13[[#This Row],[part_weight]] * 1000), 0)</f>
        <v>0</v>
      </c>
    </row>
    <row r="1604" spans="1:40" hidden="1">
      <c r="A1604" s="1">
        <v>46070</v>
      </c>
      <c r="B1604">
        <v>1</v>
      </c>
      <c r="C1604">
        <v>15</v>
      </c>
      <c r="F1604">
        <v>123456</v>
      </c>
      <c r="G1604" s="6">
        <v>0</v>
      </c>
      <c r="M1604">
        <v>0</v>
      </c>
      <c r="N1604" s="2">
        <v>0</v>
      </c>
      <c r="O1604" s="2">
        <v>0</v>
      </c>
      <c r="P1604" s="2">
        <v>0</v>
      </c>
      <c r="Q1604" s="2"/>
      <c r="R1604" s="2">
        <v>0</v>
      </c>
      <c r="T1604" s="2">
        <v>0</v>
      </c>
      <c r="U1604" s="2"/>
      <c r="X1604">
        <v>0</v>
      </c>
      <c r="Z1604">
        <v>0</v>
      </c>
      <c r="AB1604">
        <v>0</v>
      </c>
      <c r="AC1604">
        <v>0</v>
      </c>
      <c r="AD1604">
        <v>0</v>
      </c>
      <c r="AE1604" s="7"/>
      <c r="AF1604" s="7"/>
      <c r="AG1604" s="7"/>
      <c r="AH1604" s="7"/>
      <c r="AI1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4" s="7">
        <v>12</v>
      </c>
      <c r="AK1604" t="s">
        <v>116</v>
      </c>
      <c r="AN1604">
        <f>IFERROR(INT(Table13[[#This Row],[reject_prod]]/Table13[[#This Row],[part_weight]] * 1000), 0)</f>
        <v>0</v>
      </c>
    </row>
    <row r="1605" spans="1:40" s="4" customFormat="1" hidden="1">
      <c r="A1605" s="3">
        <v>46070</v>
      </c>
      <c r="B1605" s="4">
        <v>1</v>
      </c>
      <c r="C1605" s="4">
        <v>16</v>
      </c>
      <c r="F1605" s="4">
        <v>123456</v>
      </c>
      <c r="G1605" s="9">
        <v>0</v>
      </c>
      <c r="M1605" s="4">
        <v>0</v>
      </c>
      <c r="N1605" s="5">
        <v>0</v>
      </c>
      <c r="O1605" s="5">
        <v>0</v>
      </c>
      <c r="P1605" s="5">
        <v>0</v>
      </c>
      <c r="Q1605" s="5"/>
      <c r="R1605" s="5">
        <v>0</v>
      </c>
      <c r="T1605" s="5">
        <v>0</v>
      </c>
      <c r="U1605" s="5"/>
      <c r="X1605" s="4">
        <v>0</v>
      </c>
      <c r="Z1605" s="4">
        <v>0</v>
      </c>
      <c r="AB1605" s="4">
        <v>0</v>
      </c>
      <c r="AC1605" s="4">
        <v>0</v>
      </c>
      <c r="AD1605" s="4">
        <v>0</v>
      </c>
      <c r="AE1605" s="8"/>
      <c r="AF1605" s="8"/>
      <c r="AG1605" s="8"/>
      <c r="AH1605" s="8"/>
      <c r="AI160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5" s="8">
        <v>12</v>
      </c>
      <c r="AK1605" s="4" t="s">
        <v>116</v>
      </c>
      <c r="AN1605">
        <f>IFERROR(INT(Table13[[#This Row],[reject_prod]]/Table13[[#This Row],[part_weight]] * 1000), 0)</f>
        <v>0</v>
      </c>
    </row>
    <row r="1606" spans="1:40" hidden="1">
      <c r="A1606" s="1">
        <v>46070</v>
      </c>
      <c r="B1606">
        <v>2</v>
      </c>
      <c r="C1606">
        <v>1</v>
      </c>
      <c r="F1606">
        <v>123456</v>
      </c>
      <c r="G1606" s="6">
        <v>0</v>
      </c>
      <c r="M1606">
        <v>0</v>
      </c>
      <c r="N1606" s="2">
        <v>0</v>
      </c>
      <c r="O1606" s="2">
        <v>0</v>
      </c>
      <c r="P1606" s="2">
        <v>0</v>
      </c>
      <c r="Q1606" s="2"/>
      <c r="R1606" s="2">
        <v>0</v>
      </c>
      <c r="T1606" s="2">
        <v>0</v>
      </c>
      <c r="U1606" s="2"/>
      <c r="X1606">
        <v>0</v>
      </c>
      <c r="Z1606">
        <v>0</v>
      </c>
      <c r="AB1606">
        <v>0</v>
      </c>
      <c r="AC1606">
        <v>0</v>
      </c>
      <c r="AD1606">
        <v>0</v>
      </c>
      <c r="AE1606" s="7"/>
      <c r="AF1606" s="7"/>
      <c r="AG1606" s="7"/>
      <c r="AH1606" s="7"/>
      <c r="AI1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6" s="7">
        <v>12</v>
      </c>
      <c r="AK1606" t="s">
        <v>116</v>
      </c>
      <c r="AN1606">
        <f>IFERROR(INT(Table13[[#This Row],[reject_prod]]/Table13[[#This Row],[part_weight]] * 1000), 0)</f>
        <v>0</v>
      </c>
    </row>
    <row r="1607" spans="1:40" hidden="1">
      <c r="A1607" s="1">
        <v>46070</v>
      </c>
      <c r="B1607">
        <v>2</v>
      </c>
      <c r="C1607">
        <v>2</v>
      </c>
      <c r="F1607">
        <v>123456</v>
      </c>
      <c r="G1607" s="6">
        <v>0</v>
      </c>
      <c r="M1607">
        <v>0</v>
      </c>
      <c r="N1607" s="2">
        <v>0</v>
      </c>
      <c r="O1607" s="2">
        <v>0</v>
      </c>
      <c r="P1607" s="2">
        <v>0</v>
      </c>
      <c r="Q1607" s="2"/>
      <c r="R1607" s="2">
        <v>0</v>
      </c>
      <c r="T1607" s="2">
        <v>0</v>
      </c>
      <c r="U1607" s="2"/>
      <c r="X1607">
        <v>0</v>
      </c>
      <c r="Z1607">
        <v>0</v>
      </c>
      <c r="AB1607">
        <v>0</v>
      </c>
      <c r="AC1607">
        <v>0</v>
      </c>
      <c r="AD1607">
        <v>0</v>
      </c>
      <c r="AE1607" s="7"/>
      <c r="AF1607" s="7"/>
      <c r="AG1607" s="7"/>
      <c r="AH1607" s="7"/>
      <c r="AI1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7" s="7">
        <v>12</v>
      </c>
      <c r="AK1607" t="s">
        <v>116</v>
      </c>
      <c r="AN1607">
        <f>IFERROR(INT(Table13[[#This Row],[reject_prod]]/Table13[[#This Row],[part_weight]] * 1000), 0)</f>
        <v>0</v>
      </c>
    </row>
    <row r="1608" spans="1:40" hidden="1">
      <c r="A1608" s="1">
        <v>46070</v>
      </c>
      <c r="B1608">
        <v>2</v>
      </c>
      <c r="C1608">
        <v>3</v>
      </c>
      <c r="F1608">
        <v>123456</v>
      </c>
      <c r="G1608" s="6">
        <v>0</v>
      </c>
      <c r="M1608">
        <v>0</v>
      </c>
      <c r="N1608" s="2">
        <v>0</v>
      </c>
      <c r="O1608" s="2">
        <v>0</v>
      </c>
      <c r="P1608" s="2">
        <v>0</v>
      </c>
      <c r="Q1608" s="2"/>
      <c r="R1608" s="2">
        <v>0</v>
      </c>
      <c r="T1608" s="2">
        <v>0</v>
      </c>
      <c r="U1608" s="2"/>
      <c r="X1608">
        <v>0</v>
      </c>
      <c r="Z1608">
        <v>0</v>
      </c>
      <c r="AB1608">
        <v>0</v>
      </c>
      <c r="AC1608">
        <v>0</v>
      </c>
      <c r="AD1608">
        <v>0</v>
      </c>
      <c r="AE1608" s="7"/>
      <c r="AF1608" s="7"/>
      <c r="AG1608" s="7"/>
      <c r="AH1608" s="7"/>
      <c r="AI1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8" s="7">
        <v>12</v>
      </c>
      <c r="AK1608" t="s">
        <v>116</v>
      </c>
      <c r="AN1608">
        <f>IFERROR(INT(Table13[[#This Row],[reject_prod]]/Table13[[#This Row],[part_weight]] * 1000), 0)</f>
        <v>0</v>
      </c>
    </row>
    <row r="1609" spans="1:40" hidden="1">
      <c r="A1609" s="1">
        <v>46070</v>
      </c>
      <c r="B1609">
        <v>2</v>
      </c>
      <c r="C1609">
        <v>4</v>
      </c>
      <c r="F1609">
        <v>123456</v>
      </c>
      <c r="G1609" s="6">
        <v>0</v>
      </c>
      <c r="M1609">
        <v>0</v>
      </c>
      <c r="N1609" s="2">
        <v>0</v>
      </c>
      <c r="O1609" s="2">
        <v>0</v>
      </c>
      <c r="P1609" s="2">
        <v>0</v>
      </c>
      <c r="Q1609" s="2"/>
      <c r="R1609" s="2">
        <v>0</v>
      </c>
      <c r="T1609" s="2">
        <v>0</v>
      </c>
      <c r="U1609" s="2"/>
      <c r="X1609">
        <v>0</v>
      </c>
      <c r="Z1609">
        <v>0</v>
      </c>
      <c r="AB1609">
        <v>0</v>
      </c>
      <c r="AC1609">
        <v>0</v>
      </c>
      <c r="AD1609">
        <v>0</v>
      </c>
      <c r="AE1609" s="7"/>
      <c r="AF1609" s="7"/>
      <c r="AG1609" s="7"/>
      <c r="AH1609" s="7"/>
      <c r="AI1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9" s="7">
        <v>12</v>
      </c>
      <c r="AK1609" t="s">
        <v>116</v>
      </c>
      <c r="AN1609">
        <f>IFERROR(INT(Table13[[#This Row],[reject_prod]]/Table13[[#This Row],[part_weight]] * 1000), 0)</f>
        <v>0</v>
      </c>
    </row>
    <row r="1610" spans="1:40" hidden="1">
      <c r="A1610" s="1">
        <v>46070</v>
      </c>
      <c r="B1610">
        <v>2</v>
      </c>
      <c r="C1610">
        <v>5</v>
      </c>
      <c r="F1610">
        <v>123456</v>
      </c>
      <c r="G1610" s="6">
        <v>0</v>
      </c>
      <c r="M1610">
        <v>0</v>
      </c>
      <c r="N1610" s="2">
        <v>0</v>
      </c>
      <c r="O1610" s="2">
        <v>0</v>
      </c>
      <c r="P1610" s="2">
        <v>0</v>
      </c>
      <c r="Q1610" s="2"/>
      <c r="R1610" s="2">
        <v>0</v>
      </c>
      <c r="T1610" s="2">
        <v>0</v>
      </c>
      <c r="U1610" s="2"/>
      <c r="X1610">
        <v>0</v>
      </c>
      <c r="Z1610">
        <v>0</v>
      </c>
      <c r="AB1610">
        <v>0</v>
      </c>
      <c r="AC1610">
        <v>0</v>
      </c>
      <c r="AD1610">
        <v>0</v>
      </c>
      <c r="AE1610" s="7"/>
      <c r="AF1610" s="7"/>
      <c r="AG1610" s="7"/>
      <c r="AH1610" s="7"/>
      <c r="AI1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0" s="7">
        <v>12</v>
      </c>
      <c r="AK1610" t="s">
        <v>116</v>
      </c>
      <c r="AN1610">
        <f>IFERROR(INT(Table13[[#This Row],[reject_prod]]/Table13[[#This Row],[part_weight]] * 1000), 0)</f>
        <v>0</v>
      </c>
    </row>
    <row r="1611" spans="1:40" hidden="1">
      <c r="A1611" s="1">
        <v>46070</v>
      </c>
      <c r="B1611">
        <v>2</v>
      </c>
      <c r="C1611">
        <v>6</v>
      </c>
      <c r="F1611">
        <v>123456</v>
      </c>
      <c r="G1611" s="6">
        <v>0</v>
      </c>
      <c r="M1611">
        <v>0</v>
      </c>
      <c r="N1611" s="2">
        <v>0</v>
      </c>
      <c r="O1611" s="2">
        <v>0</v>
      </c>
      <c r="P1611" s="2">
        <v>0</v>
      </c>
      <c r="Q1611" s="2"/>
      <c r="R1611" s="2">
        <v>0</v>
      </c>
      <c r="T1611" s="2">
        <v>0</v>
      </c>
      <c r="U1611" s="2"/>
      <c r="X1611">
        <v>0</v>
      </c>
      <c r="Z1611">
        <v>0</v>
      </c>
      <c r="AB1611">
        <v>0</v>
      </c>
      <c r="AC1611">
        <v>0</v>
      </c>
      <c r="AD1611">
        <v>0</v>
      </c>
      <c r="AE1611" s="7"/>
      <c r="AF1611" s="7"/>
      <c r="AG1611" s="7"/>
      <c r="AH1611" s="7"/>
      <c r="AI1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1" s="7">
        <v>12</v>
      </c>
      <c r="AK1611" t="s">
        <v>116</v>
      </c>
      <c r="AN1611">
        <f>IFERROR(INT(Table13[[#This Row],[reject_prod]]/Table13[[#This Row],[part_weight]] * 1000), 0)</f>
        <v>0</v>
      </c>
    </row>
    <row r="1612" spans="1:40" hidden="1">
      <c r="A1612" s="1">
        <v>46070</v>
      </c>
      <c r="B1612">
        <v>2</v>
      </c>
      <c r="C1612">
        <v>7</v>
      </c>
      <c r="F1612">
        <v>123456</v>
      </c>
      <c r="G1612" s="6">
        <v>0</v>
      </c>
      <c r="M1612">
        <v>0</v>
      </c>
      <c r="N1612" s="2">
        <v>0</v>
      </c>
      <c r="O1612" s="2">
        <v>0</v>
      </c>
      <c r="P1612" s="2">
        <v>0</v>
      </c>
      <c r="Q1612" s="2"/>
      <c r="R1612" s="2">
        <v>0</v>
      </c>
      <c r="T1612" s="2">
        <v>0</v>
      </c>
      <c r="U1612" s="2"/>
      <c r="X1612">
        <v>0</v>
      </c>
      <c r="Z1612">
        <v>0</v>
      </c>
      <c r="AB1612">
        <v>0</v>
      </c>
      <c r="AC1612">
        <v>0</v>
      </c>
      <c r="AD1612">
        <v>0</v>
      </c>
      <c r="AE1612" s="7"/>
      <c r="AF1612" s="7"/>
      <c r="AG1612" s="7"/>
      <c r="AH1612" s="7"/>
      <c r="AI1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2" s="7">
        <v>12</v>
      </c>
      <c r="AK1612" t="s">
        <v>116</v>
      </c>
      <c r="AN1612">
        <f>IFERROR(INT(Table13[[#This Row],[reject_prod]]/Table13[[#This Row],[part_weight]] * 1000), 0)</f>
        <v>0</v>
      </c>
    </row>
    <row r="1613" spans="1:40" hidden="1">
      <c r="A1613" s="1">
        <v>46070</v>
      </c>
      <c r="B1613">
        <v>2</v>
      </c>
      <c r="C1613">
        <v>8</v>
      </c>
      <c r="F1613">
        <v>123456</v>
      </c>
      <c r="G1613" s="6">
        <v>0</v>
      </c>
      <c r="M1613">
        <v>0</v>
      </c>
      <c r="N1613" s="2">
        <v>0</v>
      </c>
      <c r="O1613" s="2">
        <v>0</v>
      </c>
      <c r="P1613" s="2">
        <v>0</v>
      </c>
      <c r="Q1613" s="2"/>
      <c r="R1613" s="2">
        <v>0</v>
      </c>
      <c r="T1613" s="2">
        <v>0</v>
      </c>
      <c r="U1613" s="2"/>
      <c r="X1613">
        <v>0</v>
      </c>
      <c r="Z1613">
        <v>0</v>
      </c>
      <c r="AB1613">
        <v>0</v>
      </c>
      <c r="AC1613">
        <v>0</v>
      </c>
      <c r="AD1613">
        <v>0</v>
      </c>
      <c r="AE1613" s="7"/>
      <c r="AF1613" s="7"/>
      <c r="AG1613" s="7"/>
      <c r="AH1613" s="7"/>
      <c r="AI1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3" s="7">
        <v>12</v>
      </c>
      <c r="AK1613" t="s">
        <v>116</v>
      </c>
      <c r="AN1613">
        <f>IFERROR(INT(Table13[[#This Row],[reject_prod]]/Table13[[#This Row],[part_weight]] * 1000), 0)</f>
        <v>0</v>
      </c>
    </row>
    <row r="1614" spans="1:40" hidden="1">
      <c r="A1614" s="1">
        <v>46070</v>
      </c>
      <c r="B1614">
        <v>2</v>
      </c>
      <c r="C1614">
        <v>9</v>
      </c>
      <c r="F1614">
        <v>123456</v>
      </c>
      <c r="G1614" s="6">
        <v>0</v>
      </c>
      <c r="M1614">
        <v>0</v>
      </c>
      <c r="N1614" s="2">
        <v>0</v>
      </c>
      <c r="O1614" s="2">
        <v>0</v>
      </c>
      <c r="P1614" s="2">
        <v>0</v>
      </c>
      <c r="Q1614" s="2"/>
      <c r="R1614" s="2">
        <v>0</v>
      </c>
      <c r="T1614" s="2">
        <v>0</v>
      </c>
      <c r="U1614" s="2"/>
      <c r="X1614">
        <v>0</v>
      </c>
      <c r="Z1614">
        <v>0</v>
      </c>
      <c r="AB1614">
        <v>0</v>
      </c>
      <c r="AC1614">
        <v>0</v>
      </c>
      <c r="AD1614">
        <v>0</v>
      </c>
      <c r="AE1614" s="7"/>
      <c r="AF1614" s="7"/>
      <c r="AG1614" s="7"/>
      <c r="AH1614" s="7"/>
      <c r="AI1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4" s="7">
        <v>12</v>
      </c>
      <c r="AK1614" t="s">
        <v>116</v>
      </c>
      <c r="AN1614">
        <f>IFERROR(INT(Table13[[#This Row],[reject_prod]]/Table13[[#This Row],[part_weight]] * 1000), 0)</f>
        <v>0</v>
      </c>
    </row>
    <row r="1615" spans="1:40" hidden="1">
      <c r="A1615" s="1">
        <v>46070</v>
      </c>
      <c r="B1615">
        <v>2</v>
      </c>
      <c r="C1615">
        <v>10</v>
      </c>
      <c r="F1615">
        <v>123456</v>
      </c>
      <c r="G1615" s="6">
        <v>0</v>
      </c>
      <c r="M1615">
        <v>0</v>
      </c>
      <c r="N1615" s="2">
        <v>0</v>
      </c>
      <c r="O1615" s="2">
        <v>0</v>
      </c>
      <c r="P1615" s="2">
        <v>0</v>
      </c>
      <c r="Q1615" s="2"/>
      <c r="R1615" s="2">
        <v>0</v>
      </c>
      <c r="T1615" s="2">
        <v>0</v>
      </c>
      <c r="U1615" s="2"/>
      <c r="X1615">
        <v>0</v>
      </c>
      <c r="Z1615">
        <v>0</v>
      </c>
      <c r="AB1615">
        <v>0</v>
      </c>
      <c r="AC1615">
        <v>0</v>
      </c>
      <c r="AD1615">
        <v>0</v>
      </c>
      <c r="AE1615" s="7"/>
      <c r="AF1615" s="7"/>
      <c r="AG1615" s="7"/>
      <c r="AH1615" s="7"/>
      <c r="AI1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5" s="7">
        <v>12</v>
      </c>
      <c r="AK1615" t="s">
        <v>116</v>
      </c>
      <c r="AN1615">
        <f>IFERROR(INT(Table13[[#This Row],[reject_prod]]/Table13[[#This Row],[part_weight]] * 1000), 0)</f>
        <v>0</v>
      </c>
    </row>
    <row r="1616" spans="1:40" hidden="1">
      <c r="A1616" s="1">
        <v>46070</v>
      </c>
      <c r="B1616">
        <v>2</v>
      </c>
      <c r="C1616">
        <v>11</v>
      </c>
      <c r="F1616">
        <v>123456</v>
      </c>
      <c r="G1616" s="6">
        <v>0</v>
      </c>
      <c r="M1616">
        <v>0</v>
      </c>
      <c r="N1616" s="2">
        <v>0</v>
      </c>
      <c r="O1616" s="2">
        <v>0</v>
      </c>
      <c r="P1616" s="2">
        <v>0</v>
      </c>
      <c r="Q1616" s="2"/>
      <c r="R1616" s="2">
        <v>0</v>
      </c>
      <c r="T1616" s="2">
        <v>0</v>
      </c>
      <c r="U1616" s="2"/>
      <c r="X1616">
        <v>0</v>
      </c>
      <c r="Z1616">
        <v>0</v>
      </c>
      <c r="AB1616">
        <v>0</v>
      </c>
      <c r="AC1616">
        <v>0</v>
      </c>
      <c r="AD1616">
        <v>0</v>
      </c>
      <c r="AE1616" s="7"/>
      <c r="AF1616" s="7"/>
      <c r="AG1616" s="7"/>
      <c r="AH1616" s="7"/>
      <c r="AI1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6" s="7">
        <v>12</v>
      </c>
      <c r="AK1616" t="s">
        <v>116</v>
      </c>
      <c r="AN1616">
        <f>IFERROR(INT(Table13[[#This Row],[reject_prod]]/Table13[[#This Row],[part_weight]] * 1000), 0)</f>
        <v>0</v>
      </c>
    </row>
    <row r="1617" spans="1:40" hidden="1">
      <c r="A1617" s="1">
        <v>46070</v>
      </c>
      <c r="B1617">
        <v>2</v>
      </c>
      <c r="C1617">
        <v>12</v>
      </c>
      <c r="F1617">
        <v>123456</v>
      </c>
      <c r="G1617" s="6">
        <v>0</v>
      </c>
      <c r="M1617">
        <v>0</v>
      </c>
      <c r="N1617" s="2">
        <v>0</v>
      </c>
      <c r="O1617" s="2">
        <v>0</v>
      </c>
      <c r="P1617" s="2">
        <v>0</v>
      </c>
      <c r="Q1617" s="2"/>
      <c r="R1617" s="2">
        <v>0</v>
      </c>
      <c r="T1617" s="2">
        <v>0</v>
      </c>
      <c r="U1617" s="2"/>
      <c r="X1617">
        <v>0</v>
      </c>
      <c r="Z1617">
        <v>0</v>
      </c>
      <c r="AB1617">
        <v>0</v>
      </c>
      <c r="AC1617">
        <v>0</v>
      </c>
      <c r="AD1617">
        <v>0</v>
      </c>
      <c r="AE1617" s="7"/>
      <c r="AF1617" s="7"/>
      <c r="AG1617" s="7"/>
      <c r="AH1617" s="7"/>
      <c r="AI1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7" s="7">
        <v>12</v>
      </c>
      <c r="AK1617" t="s">
        <v>116</v>
      </c>
      <c r="AN1617">
        <f>IFERROR(INT(Table13[[#This Row],[reject_prod]]/Table13[[#This Row],[part_weight]] * 1000), 0)</f>
        <v>0</v>
      </c>
    </row>
    <row r="1618" spans="1:40" hidden="1">
      <c r="A1618" s="1">
        <v>46070</v>
      </c>
      <c r="B1618">
        <v>2</v>
      </c>
      <c r="C1618">
        <v>13</v>
      </c>
      <c r="F1618">
        <v>123456</v>
      </c>
      <c r="G1618" s="6">
        <v>0</v>
      </c>
      <c r="M1618">
        <v>0</v>
      </c>
      <c r="N1618" s="2">
        <v>0</v>
      </c>
      <c r="O1618" s="2">
        <v>0</v>
      </c>
      <c r="P1618" s="2">
        <v>0</v>
      </c>
      <c r="Q1618" s="2"/>
      <c r="R1618" s="2">
        <v>0</v>
      </c>
      <c r="T1618" s="2">
        <v>0</v>
      </c>
      <c r="U1618" s="2"/>
      <c r="X1618">
        <v>0</v>
      </c>
      <c r="Z1618">
        <v>0</v>
      </c>
      <c r="AB1618">
        <v>0</v>
      </c>
      <c r="AC1618">
        <v>0</v>
      </c>
      <c r="AD1618">
        <v>0</v>
      </c>
      <c r="AE1618" s="7"/>
      <c r="AF1618" s="7"/>
      <c r="AG1618" s="7"/>
      <c r="AH1618" s="7"/>
      <c r="AI1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8" s="7">
        <v>12</v>
      </c>
      <c r="AK1618" t="s">
        <v>116</v>
      </c>
      <c r="AN1618">
        <f>IFERROR(INT(Table13[[#This Row],[reject_prod]]/Table13[[#This Row],[part_weight]] * 1000), 0)</f>
        <v>0</v>
      </c>
    </row>
    <row r="1619" spans="1:40" hidden="1">
      <c r="A1619" s="1">
        <v>46070</v>
      </c>
      <c r="B1619">
        <v>2</v>
      </c>
      <c r="C1619">
        <v>14</v>
      </c>
      <c r="F1619">
        <v>123456</v>
      </c>
      <c r="G1619" s="6">
        <v>0</v>
      </c>
      <c r="M1619">
        <v>0</v>
      </c>
      <c r="N1619" s="2">
        <v>0</v>
      </c>
      <c r="O1619" s="2">
        <v>0</v>
      </c>
      <c r="P1619" s="2">
        <v>0</v>
      </c>
      <c r="Q1619" s="2"/>
      <c r="R1619" s="2">
        <v>0</v>
      </c>
      <c r="T1619" s="2">
        <v>0</v>
      </c>
      <c r="U1619" s="2"/>
      <c r="X1619">
        <v>0</v>
      </c>
      <c r="Z1619">
        <v>0</v>
      </c>
      <c r="AB1619">
        <v>0</v>
      </c>
      <c r="AC1619">
        <v>0</v>
      </c>
      <c r="AD1619">
        <v>0</v>
      </c>
      <c r="AE1619" s="7"/>
      <c r="AF1619" s="7"/>
      <c r="AG1619" s="7"/>
      <c r="AH1619" s="7"/>
      <c r="AI1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9" s="7">
        <v>12</v>
      </c>
      <c r="AK1619" t="s">
        <v>116</v>
      </c>
      <c r="AN1619">
        <f>IFERROR(INT(Table13[[#This Row],[reject_prod]]/Table13[[#This Row],[part_weight]] * 1000), 0)</f>
        <v>0</v>
      </c>
    </row>
    <row r="1620" spans="1:40" hidden="1">
      <c r="A1620" s="1">
        <v>46070</v>
      </c>
      <c r="B1620">
        <v>2</v>
      </c>
      <c r="C1620">
        <v>15</v>
      </c>
      <c r="F1620">
        <v>123456</v>
      </c>
      <c r="G1620" s="6">
        <v>0</v>
      </c>
      <c r="M1620">
        <v>0</v>
      </c>
      <c r="N1620" s="2">
        <v>0</v>
      </c>
      <c r="O1620" s="2">
        <v>0</v>
      </c>
      <c r="P1620" s="2">
        <v>0</v>
      </c>
      <c r="Q1620" s="2"/>
      <c r="R1620" s="2">
        <v>0</v>
      </c>
      <c r="T1620" s="2">
        <v>0</v>
      </c>
      <c r="U1620" s="2"/>
      <c r="X1620">
        <v>0</v>
      </c>
      <c r="Z1620">
        <v>0</v>
      </c>
      <c r="AB1620">
        <v>0</v>
      </c>
      <c r="AC1620">
        <v>0</v>
      </c>
      <c r="AD1620">
        <v>0</v>
      </c>
      <c r="AE1620" s="7"/>
      <c r="AF1620" s="7"/>
      <c r="AG1620" s="7"/>
      <c r="AH1620" s="7"/>
      <c r="AI1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0" s="7">
        <v>12</v>
      </c>
      <c r="AK1620" t="s">
        <v>116</v>
      </c>
      <c r="AN1620">
        <f>IFERROR(INT(Table13[[#This Row],[reject_prod]]/Table13[[#This Row],[part_weight]] * 1000), 0)</f>
        <v>0</v>
      </c>
    </row>
    <row r="1621" spans="1:40" s="4" customFormat="1" hidden="1">
      <c r="A1621" s="3">
        <v>46070</v>
      </c>
      <c r="B1621" s="4">
        <v>2</v>
      </c>
      <c r="C1621" s="4">
        <v>16</v>
      </c>
      <c r="F1621" s="4">
        <v>123456</v>
      </c>
      <c r="G1621" s="9">
        <v>0</v>
      </c>
      <c r="M1621" s="4">
        <v>0</v>
      </c>
      <c r="N1621" s="5">
        <v>0</v>
      </c>
      <c r="O1621" s="5">
        <v>0</v>
      </c>
      <c r="P1621" s="5">
        <v>0</v>
      </c>
      <c r="Q1621" s="5"/>
      <c r="R1621" s="5">
        <v>0</v>
      </c>
      <c r="T1621" s="5">
        <v>0</v>
      </c>
      <c r="U1621" s="5"/>
      <c r="X1621" s="4">
        <v>0</v>
      </c>
      <c r="Z1621" s="4">
        <v>0</v>
      </c>
      <c r="AB1621" s="4">
        <v>0</v>
      </c>
      <c r="AC1621" s="4">
        <v>0</v>
      </c>
      <c r="AD1621" s="4">
        <v>0</v>
      </c>
      <c r="AE1621" s="8"/>
      <c r="AF1621" s="8"/>
      <c r="AG1621" s="8"/>
      <c r="AH1621" s="8"/>
      <c r="AI162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1" s="8">
        <v>12</v>
      </c>
      <c r="AK1621" s="4" t="s">
        <v>116</v>
      </c>
      <c r="AN1621">
        <f>IFERROR(INT(Table13[[#This Row],[reject_prod]]/Table13[[#This Row],[part_weight]] * 1000), 0)</f>
        <v>0</v>
      </c>
    </row>
    <row r="1622" spans="1:40" hidden="1">
      <c r="A1622" s="1">
        <v>46071</v>
      </c>
      <c r="B1622">
        <v>1</v>
      </c>
      <c r="C1622">
        <v>1</v>
      </c>
      <c r="F1622">
        <v>123456</v>
      </c>
      <c r="G1622" s="6">
        <v>0</v>
      </c>
      <c r="M1622">
        <v>0</v>
      </c>
      <c r="N1622" s="2">
        <v>0</v>
      </c>
      <c r="O1622" s="2">
        <v>0</v>
      </c>
      <c r="P1622" s="2">
        <v>0</v>
      </c>
      <c r="Q1622" s="2"/>
      <c r="R1622" s="2">
        <v>0</v>
      </c>
      <c r="T1622" s="2">
        <v>0</v>
      </c>
      <c r="U1622" s="2"/>
      <c r="X1622">
        <v>0</v>
      </c>
      <c r="Z1622">
        <v>0</v>
      </c>
      <c r="AB1622">
        <v>0</v>
      </c>
      <c r="AC1622">
        <v>0</v>
      </c>
      <c r="AD1622">
        <v>0</v>
      </c>
      <c r="AE1622" s="7"/>
      <c r="AF1622" s="7"/>
      <c r="AG1622" s="7"/>
      <c r="AH1622" s="7"/>
      <c r="AI1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2" s="7">
        <v>12</v>
      </c>
      <c r="AK1622" t="s">
        <v>116</v>
      </c>
      <c r="AN1622">
        <f>IFERROR(INT(Table13[[#This Row],[reject_prod]]/Table13[[#This Row],[part_weight]] * 1000), 0)</f>
        <v>0</v>
      </c>
    </row>
    <row r="1623" spans="1:40" hidden="1">
      <c r="A1623" s="1">
        <v>46071</v>
      </c>
      <c r="B1623">
        <v>1</v>
      </c>
      <c r="C1623">
        <v>2</v>
      </c>
      <c r="F1623">
        <v>123456</v>
      </c>
      <c r="G1623" s="6">
        <v>0</v>
      </c>
      <c r="M1623">
        <v>0</v>
      </c>
      <c r="N1623" s="2">
        <v>0</v>
      </c>
      <c r="O1623" s="2">
        <v>0</v>
      </c>
      <c r="P1623" s="2">
        <v>0</v>
      </c>
      <c r="Q1623" s="2"/>
      <c r="R1623" s="2">
        <v>0</v>
      </c>
      <c r="T1623" s="2">
        <v>0</v>
      </c>
      <c r="U1623" s="2"/>
      <c r="X1623">
        <v>0</v>
      </c>
      <c r="Z1623">
        <v>0</v>
      </c>
      <c r="AB1623">
        <v>0</v>
      </c>
      <c r="AC1623">
        <v>0</v>
      </c>
      <c r="AD1623">
        <v>0</v>
      </c>
      <c r="AE1623" s="7"/>
      <c r="AF1623" s="7"/>
      <c r="AG1623" s="7"/>
      <c r="AH1623" s="7"/>
      <c r="AI1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3" s="7">
        <v>12</v>
      </c>
      <c r="AK1623" t="s">
        <v>116</v>
      </c>
      <c r="AN1623">
        <f>IFERROR(INT(Table13[[#This Row],[reject_prod]]/Table13[[#This Row],[part_weight]] * 1000), 0)</f>
        <v>0</v>
      </c>
    </row>
    <row r="1624" spans="1:40" hidden="1">
      <c r="A1624" s="1">
        <v>46071</v>
      </c>
      <c r="B1624">
        <v>1</v>
      </c>
      <c r="C1624">
        <v>3</v>
      </c>
      <c r="F1624">
        <v>123456</v>
      </c>
      <c r="G1624" s="6">
        <v>0</v>
      </c>
      <c r="M1624">
        <v>0</v>
      </c>
      <c r="N1624" s="2">
        <v>0</v>
      </c>
      <c r="O1624" s="2">
        <v>0</v>
      </c>
      <c r="P1624" s="2">
        <v>0</v>
      </c>
      <c r="Q1624" s="2"/>
      <c r="R1624" s="2">
        <v>0</v>
      </c>
      <c r="T1624" s="2">
        <v>0</v>
      </c>
      <c r="U1624" s="2"/>
      <c r="X1624">
        <v>0</v>
      </c>
      <c r="Z1624">
        <v>0</v>
      </c>
      <c r="AB1624">
        <v>0</v>
      </c>
      <c r="AC1624">
        <v>0</v>
      </c>
      <c r="AD1624">
        <v>0</v>
      </c>
      <c r="AE1624" s="7"/>
      <c r="AF1624" s="7"/>
      <c r="AG1624" s="7"/>
      <c r="AH1624" s="7"/>
      <c r="AI1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4" s="7">
        <v>12</v>
      </c>
      <c r="AK1624" t="s">
        <v>116</v>
      </c>
      <c r="AN1624">
        <f>IFERROR(INT(Table13[[#This Row],[reject_prod]]/Table13[[#This Row],[part_weight]] * 1000), 0)</f>
        <v>0</v>
      </c>
    </row>
    <row r="1625" spans="1:40" hidden="1">
      <c r="A1625" s="1">
        <v>46071</v>
      </c>
      <c r="B1625">
        <v>1</v>
      </c>
      <c r="C1625">
        <v>4</v>
      </c>
      <c r="F1625">
        <v>123456</v>
      </c>
      <c r="G1625" s="6">
        <v>0</v>
      </c>
      <c r="M1625">
        <v>0</v>
      </c>
      <c r="N1625" s="2">
        <v>0</v>
      </c>
      <c r="O1625" s="2">
        <v>0</v>
      </c>
      <c r="P1625" s="2">
        <v>0</v>
      </c>
      <c r="Q1625" s="2"/>
      <c r="R1625" s="2">
        <v>0</v>
      </c>
      <c r="T1625" s="2">
        <v>0</v>
      </c>
      <c r="U1625" s="2"/>
      <c r="X1625">
        <v>0</v>
      </c>
      <c r="Z1625">
        <v>0</v>
      </c>
      <c r="AB1625">
        <v>0</v>
      </c>
      <c r="AC1625">
        <v>0</v>
      </c>
      <c r="AD1625">
        <v>0</v>
      </c>
      <c r="AE1625" s="7"/>
      <c r="AF1625" s="7"/>
      <c r="AG1625" s="7"/>
      <c r="AH1625" s="7"/>
      <c r="AI1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5" s="7">
        <v>12</v>
      </c>
      <c r="AK1625" t="s">
        <v>116</v>
      </c>
      <c r="AN1625">
        <f>IFERROR(INT(Table13[[#This Row],[reject_prod]]/Table13[[#This Row],[part_weight]] * 1000), 0)</f>
        <v>0</v>
      </c>
    </row>
    <row r="1626" spans="1:40" hidden="1">
      <c r="A1626" s="1">
        <v>46071</v>
      </c>
      <c r="B1626">
        <v>1</v>
      </c>
      <c r="C1626">
        <v>5</v>
      </c>
      <c r="F1626">
        <v>123456</v>
      </c>
      <c r="G1626" s="6">
        <v>0</v>
      </c>
      <c r="M1626">
        <v>0</v>
      </c>
      <c r="N1626" s="2">
        <v>0</v>
      </c>
      <c r="O1626" s="2">
        <v>0</v>
      </c>
      <c r="P1626" s="2">
        <v>0</v>
      </c>
      <c r="Q1626" s="2"/>
      <c r="R1626" s="2">
        <v>0</v>
      </c>
      <c r="T1626" s="2">
        <v>0</v>
      </c>
      <c r="U1626" s="2"/>
      <c r="X1626">
        <v>0</v>
      </c>
      <c r="Z1626">
        <v>0</v>
      </c>
      <c r="AB1626">
        <v>0</v>
      </c>
      <c r="AC1626">
        <v>0</v>
      </c>
      <c r="AD1626">
        <v>0</v>
      </c>
      <c r="AE1626" s="7"/>
      <c r="AF1626" s="7"/>
      <c r="AG1626" s="7"/>
      <c r="AH1626" s="7"/>
      <c r="AI1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6" s="7">
        <v>12</v>
      </c>
      <c r="AK1626" t="s">
        <v>116</v>
      </c>
      <c r="AN1626">
        <f>IFERROR(INT(Table13[[#This Row],[reject_prod]]/Table13[[#This Row],[part_weight]] * 1000), 0)</f>
        <v>0</v>
      </c>
    </row>
    <row r="1627" spans="1:40" hidden="1">
      <c r="A1627" s="1">
        <v>46071</v>
      </c>
      <c r="B1627">
        <v>1</v>
      </c>
      <c r="C1627">
        <v>6</v>
      </c>
      <c r="F1627">
        <v>123456</v>
      </c>
      <c r="G1627" s="6">
        <v>0</v>
      </c>
      <c r="M1627">
        <v>0</v>
      </c>
      <c r="N1627" s="2">
        <v>0</v>
      </c>
      <c r="O1627" s="2">
        <v>0</v>
      </c>
      <c r="P1627" s="2">
        <v>0</v>
      </c>
      <c r="Q1627" s="2"/>
      <c r="R1627" s="2">
        <v>0</v>
      </c>
      <c r="T1627" s="2">
        <v>0</v>
      </c>
      <c r="U1627" s="2"/>
      <c r="X1627">
        <v>0</v>
      </c>
      <c r="Z1627">
        <v>0</v>
      </c>
      <c r="AB1627">
        <v>0</v>
      </c>
      <c r="AC1627">
        <v>0</v>
      </c>
      <c r="AD1627">
        <v>0</v>
      </c>
      <c r="AE1627" s="7"/>
      <c r="AF1627" s="7"/>
      <c r="AG1627" s="7"/>
      <c r="AH1627" s="7"/>
      <c r="AI1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7" s="7">
        <v>12</v>
      </c>
      <c r="AK1627" t="s">
        <v>116</v>
      </c>
      <c r="AN1627">
        <f>IFERROR(INT(Table13[[#This Row],[reject_prod]]/Table13[[#This Row],[part_weight]] * 1000), 0)</f>
        <v>0</v>
      </c>
    </row>
    <row r="1628" spans="1:40" hidden="1">
      <c r="A1628" s="1">
        <v>46071</v>
      </c>
      <c r="B1628">
        <v>1</v>
      </c>
      <c r="C1628">
        <v>7</v>
      </c>
      <c r="F1628">
        <v>123456</v>
      </c>
      <c r="G1628" s="6">
        <v>0</v>
      </c>
      <c r="M1628">
        <v>0</v>
      </c>
      <c r="N1628" s="2">
        <v>0</v>
      </c>
      <c r="O1628" s="2">
        <v>0</v>
      </c>
      <c r="P1628" s="2">
        <v>0</v>
      </c>
      <c r="Q1628" s="2"/>
      <c r="R1628" s="2">
        <v>0</v>
      </c>
      <c r="T1628" s="2">
        <v>0</v>
      </c>
      <c r="U1628" s="2"/>
      <c r="X1628">
        <v>0</v>
      </c>
      <c r="Z1628">
        <v>0</v>
      </c>
      <c r="AB1628">
        <v>0</v>
      </c>
      <c r="AC1628">
        <v>0</v>
      </c>
      <c r="AD1628">
        <v>0</v>
      </c>
      <c r="AE1628" s="7"/>
      <c r="AF1628" s="7"/>
      <c r="AG1628" s="7"/>
      <c r="AH1628" s="7"/>
      <c r="AI1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8" s="7">
        <v>12</v>
      </c>
      <c r="AK1628" t="s">
        <v>116</v>
      </c>
      <c r="AN1628">
        <f>IFERROR(INT(Table13[[#This Row],[reject_prod]]/Table13[[#This Row],[part_weight]] * 1000), 0)</f>
        <v>0</v>
      </c>
    </row>
    <row r="1629" spans="1:40" hidden="1">
      <c r="A1629" s="1">
        <v>46071</v>
      </c>
      <c r="B1629">
        <v>1</v>
      </c>
      <c r="C1629">
        <v>8</v>
      </c>
      <c r="F1629">
        <v>123456</v>
      </c>
      <c r="G1629" s="6">
        <v>0</v>
      </c>
      <c r="M1629">
        <v>0</v>
      </c>
      <c r="N1629" s="2">
        <v>0</v>
      </c>
      <c r="O1629" s="2">
        <v>0</v>
      </c>
      <c r="P1629" s="2">
        <v>0</v>
      </c>
      <c r="Q1629" s="2"/>
      <c r="R1629" s="2">
        <v>0</v>
      </c>
      <c r="T1629" s="2">
        <v>0</v>
      </c>
      <c r="U1629" s="2"/>
      <c r="X1629">
        <v>0</v>
      </c>
      <c r="Z1629">
        <v>0</v>
      </c>
      <c r="AB1629">
        <v>0</v>
      </c>
      <c r="AC1629">
        <v>0</v>
      </c>
      <c r="AD1629">
        <v>0</v>
      </c>
      <c r="AE1629" s="7"/>
      <c r="AF1629" s="7"/>
      <c r="AG1629" s="7"/>
      <c r="AH1629" s="7"/>
      <c r="AI1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9" s="7">
        <v>12</v>
      </c>
      <c r="AK1629" t="s">
        <v>116</v>
      </c>
      <c r="AN1629">
        <f>IFERROR(INT(Table13[[#This Row],[reject_prod]]/Table13[[#This Row],[part_weight]] * 1000), 0)</f>
        <v>0</v>
      </c>
    </row>
    <row r="1630" spans="1:40" hidden="1">
      <c r="A1630" s="1">
        <v>46071</v>
      </c>
      <c r="B1630">
        <v>1</v>
      </c>
      <c r="C1630">
        <v>9</v>
      </c>
      <c r="F1630">
        <v>123456</v>
      </c>
      <c r="G1630" s="6">
        <v>0</v>
      </c>
      <c r="M1630">
        <v>0</v>
      </c>
      <c r="N1630" s="2">
        <v>0</v>
      </c>
      <c r="O1630" s="2">
        <v>0</v>
      </c>
      <c r="P1630" s="2">
        <v>0</v>
      </c>
      <c r="Q1630" s="2"/>
      <c r="R1630" s="2">
        <v>0</v>
      </c>
      <c r="T1630" s="2">
        <v>0</v>
      </c>
      <c r="U1630" s="2"/>
      <c r="X1630">
        <v>0</v>
      </c>
      <c r="Z1630">
        <v>0</v>
      </c>
      <c r="AB1630">
        <v>0</v>
      </c>
      <c r="AC1630">
        <v>0</v>
      </c>
      <c r="AD1630">
        <v>0</v>
      </c>
      <c r="AE1630" s="7"/>
      <c r="AF1630" s="7"/>
      <c r="AG1630" s="7"/>
      <c r="AH1630" s="7"/>
      <c r="AI1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0" s="7">
        <v>12</v>
      </c>
      <c r="AK1630" t="s">
        <v>116</v>
      </c>
      <c r="AN1630">
        <f>IFERROR(INT(Table13[[#This Row],[reject_prod]]/Table13[[#This Row],[part_weight]] * 1000), 0)</f>
        <v>0</v>
      </c>
    </row>
    <row r="1631" spans="1:40" hidden="1">
      <c r="A1631" s="1">
        <v>46071</v>
      </c>
      <c r="B1631">
        <v>1</v>
      </c>
      <c r="C1631">
        <v>10</v>
      </c>
      <c r="F1631">
        <v>123456</v>
      </c>
      <c r="G1631" s="6">
        <v>0</v>
      </c>
      <c r="M1631">
        <v>0</v>
      </c>
      <c r="N1631" s="2">
        <v>0</v>
      </c>
      <c r="O1631" s="2">
        <v>0</v>
      </c>
      <c r="P1631" s="2">
        <v>0</v>
      </c>
      <c r="Q1631" s="2"/>
      <c r="R1631" s="2">
        <v>0</v>
      </c>
      <c r="T1631" s="2">
        <v>0</v>
      </c>
      <c r="U1631" s="2"/>
      <c r="X1631">
        <v>0</v>
      </c>
      <c r="Z1631">
        <v>0</v>
      </c>
      <c r="AB1631">
        <v>0</v>
      </c>
      <c r="AC1631">
        <v>0</v>
      </c>
      <c r="AD1631">
        <v>0</v>
      </c>
      <c r="AE1631" s="7"/>
      <c r="AF1631" s="7"/>
      <c r="AG1631" s="7"/>
      <c r="AH1631" s="7"/>
      <c r="AI1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1" s="7">
        <v>12</v>
      </c>
      <c r="AK1631" t="s">
        <v>116</v>
      </c>
      <c r="AN1631">
        <f>IFERROR(INT(Table13[[#This Row],[reject_prod]]/Table13[[#This Row],[part_weight]] * 1000), 0)</f>
        <v>0</v>
      </c>
    </row>
    <row r="1632" spans="1:40" hidden="1">
      <c r="A1632" s="1">
        <v>46071</v>
      </c>
      <c r="B1632">
        <v>1</v>
      </c>
      <c r="C1632">
        <v>11</v>
      </c>
      <c r="F1632">
        <v>123456</v>
      </c>
      <c r="G1632" s="6">
        <v>0</v>
      </c>
      <c r="M1632">
        <v>0</v>
      </c>
      <c r="N1632" s="2">
        <v>0</v>
      </c>
      <c r="O1632" s="2">
        <v>0</v>
      </c>
      <c r="P1632" s="2">
        <v>0</v>
      </c>
      <c r="Q1632" s="2"/>
      <c r="R1632" s="2">
        <v>0</v>
      </c>
      <c r="T1632" s="2">
        <v>0</v>
      </c>
      <c r="U1632" s="2"/>
      <c r="X1632">
        <v>0</v>
      </c>
      <c r="Z1632">
        <v>0</v>
      </c>
      <c r="AB1632">
        <v>0</v>
      </c>
      <c r="AC1632">
        <v>0</v>
      </c>
      <c r="AD1632">
        <v>0</v>
      </c>
      <c r="AE1632" s="7"/>
      <c r="AF1632" s="7"/>
      <c r="AG1632" s="7"/>
      <c r="AH1632" s="7"/>
      <c r="AI1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2" s="7">
        <v>12</v>
      </c>
      <c r="AK1632" t="s">
        <v>116</v>
      </c>
      <c r="AN1632">
        <f>IFERROR(INT(Table13[[#This Row],[reject_prod]]/Table13[[#This Row],[part_weight]] * 1000), 0)</f>
        <v>0</v>
      </c>
    </row>
    <row r="1633" spans="1:40" hidden="1">
      <c r="A1633" s="1">
        <v>46071</v>
      </c>
      <c r="B1633">
        <v>1</v>
      </c>
      <c r="C1633">
        <v>12</v>
      </c>
      <c r="F1633">
        <v>123456</v>
      </c>
      <c r="G1633" s="6">
        <v>0</v>
      </c>
      <c r="M1633">
        <v>0</v>
      </c>
      <c r="N1633" s="2">
        <v>0</v>
      </c>
      <c r="O1633" s="2">
        <v>0</v>
      </c>
      <c r="P1633" s="2">
        <v>0</v>
      </c>
      <c r="Q1633" s="2"/>
      <c r="R1633" s="2">
        <v>0</v>
      </c>
      <c r="T1633" s="2">
        <v>0</v>
      </c>
      <c r="U1633" s="2"/>
      <c r="X1633">
        <v>0</v>
      </c>
      <c r="Z1633">
        <v>0</v>
      </c>
      <c r="AB1633">
        <v>0</v>
      </c>
      <c r="AC1633">
        <v>0</v>
      </c>
      <c r="AD1633">
        <v>0</v>
      </c>
      <c r="AE1633" s="7"/>
      <c r="AF1633" s="7"/>
      <c r="AG1633" s="7"/>
      <c r="AH1633" s="7"/>
      <c r="AI1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3" s="7">
        <v>12</v>
      </c>
      <c r="AK1633" t="s">
        <v>116</v>
      </c>
      <c r="AN1633">
        <f>IFERROR(INT(Table13[[#This Row],[reject_prod]]/Table13[[#This Row],[part_weight]] * 1000), 0)</f>
        <v>0</v>
      </c>
    </row>
    <row r="1634" spans="1:40" hidden="1">
      <c r="A1634" s="1">
        <v>46071</v>
      </c>
      <c r="B1634">
        <v>1</v>
      </c>
      <c r="C1634">
        <v>13</v>
      </c>
      <c r="F1634">
        <v>123456</v>
      </c>
      <c r="G1634" s="6">
        <v>0</v>
      </c>
      <c r="M1634">
        <v>0</v>
      </c>
      <c r="N1634" s="2">
        <v>0</v>
      </c>
      <c r="O1634" s="2">
        <v>0</v>
      </c>
      <c r="P1634" s="2">
        <v>0</v>
      </c>
      <c r="Q1634" s="2"/>
      <c r="R1634" s="2">
        <v>0</v>
      </c>
      <c r="T1634" s="2">
        <v>0</v>
      </c>
      <c r="U1634" s="2"/>
      <c r="X1634">
        <v>0</v>
      </c>
      <c r="Z1634">
        <v>0</v>
      </c>
      <c r="AB1634">
        <v>0</v>
      </c>
      <c r="AC1634">
        <v>0</v>
      </c>
      <c r="AD1634">
        <v>0</v>
      </c>
      <c r="AE1634" s="7"/>
      <c r="AF1634" s="7"/>
      <c r="AG1634" s="7"/>
      <c r="AH1634" s="7"/>
      <c r="AI1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4" s="7">
        <v>12</v>
      </c>
      <c r="AK1634" t="s">
        <v>116</v>
      </c>
      <c r="AN1634">
        <f>IFERROR(INT(Table13[[#This Row],[reject_prod]]/Table13[[#This Row],[part_weight]] * 1000), 0)</f>
        <v>0</v>
      </c>
    </row>
    <row r="1635" spans="1:40" hidden="1">
      <c r="A1635" s="1">
        <v>46071</v>
      </c>
      <c r="B1635">
        <v>1</v>
      </c>
      <c r="C1635">
        <v>14</v>
      </c>
      <c r="F1635">
        <v>123456</v>
      </c>
      <c r="G1635" s="6">
        <v>0</v>
      </c>
      <c r="M1635">
        <v>0</v>
      </c>
      <c r="N1635" s="2">
        <v>0</v>
      </c>
      <c r="O1635" s="2">
        <v>0</v>
      </c>
      <c r="P1635" s="2">
        <v>0</v>
      </c>
      <c r="Q1635" s="2"/>
      <c r="R1635" s="2">
        <v>0</v>
      </c>
      <c r="T1635" s="2">
        <v>0</v>
      </c>
      <c r="U1635" s="2"/>
      <c r="X1635">
        <v>0</v>
      </c>
      <c r="Z1635">
        <v>0</v>
      </c>
      <c r="AB1635">
        <v>0</v>
      </c>
      <c r="AC1635">
        <v>0</v>
      </c>
      <c r="AD1635">
        <v>0</v>
      </c>
      <c r="AE1635" s="7"/>
      <c r="AF1635" s="7"/>
      <c r="AG1635" s="7"/>
      <c r="AH1635" s="7"/>
      <c r="AI1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5" s="7">
        <v>12</v>
      </c>
      <c r="AK1635" t="s">
        <v>116</v>
      </c>
      <c r="AN1635">
        <f>IFERROR(INT(Table13[[#This Row],[reject_prod]]/Table13[[#This Row],[part_weight]] * 1000), 0)</f>
        <v>0</v>
      </c>
    </row>
    <row r="1636" spans="1:40" hidden="1">
      <c r="A1636" s="1">
        <v>46071</v>
      </c>
      <c r="B1636">
        <v>1</v>
      </c>
      <c r="C1636">
        <v>15</v>
      </c>
      <c r="F1636">
        <v>123456</v>
      </c>
      <c r="G1636" s="6">
        <v>0</v>
      </c>
      <c r="M1636">
        <v>0</v>
      </c>
      <c r="N1636" s="2">
        <v>0</v>
      </c>
      <c r="O1636" s="2">
        <v>0</v>
      </c>
      <c r="P1636" s="2">
        <v>0</v>
      </c>
      <c r="Q1636" s="2"/>
      <c r="R1636" s="2">
        <v>0</v>
      </c>
      <c r="T1636" s="2">
        <v>0</v>
      </c>
      <c r="U1636" s="2"/>
      <c r="X1636">
        <v>0</v>
      </c>
      <c r="Z1636">
        <v>0</v>
      </c>
      <c r="AB1636">
        <v>0</v>
      </c>
      <c r="AC1636">
        <v>0</v>
      </c>
      <c r="AD1636">
        <v>0</v>
      </c>
      <c r="AE1636" s="7"/>
      <c r="AF1636" s="7"/>
      <c r="AG1636" s="7"/>
      <c r="AH1636" s="7"/>
      <c r="AI1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6" s="7">
        <v>12</v>
      </c>
      <c r="AK1636" t="s">
        <v>116</v>
      </c>
      <c r="AN1636">
        <f>IFERROR(INT(Table13[[#This Row],[reject_prod]]/Table13[[#This Row],[part_weight]] * 1000), 0)</f>
        <v>0</v>
      </c>
    </row>
    <row r="1637" spans="1:40" s="4" customFormat="1" hidden="1">
      <c r="A1637" s="3">
        <v>46071</v>
      </c>
      <c r="B1637" s="4">
        <v>1</v>
      </c>
      <c r="C1637" s="4">
        <v>16</v>
      </c>
      <c r="F1637" s="4">
        <v>123456</v>
      </c>
      <c r="G1637" s="9">
        <v>0</v>
      </c>
      <c r="M1637" s="4">
        <v>0</v>
      </c>
      <c r="N1637" s="5">
        <v>0</v>
      </c>
      <c r="O1637" s="5">
        <v>0</v>
      </c>
      <c r="P1637" s="5">
        <v>0</v>
      </c>
      <c r="Q1637" s="5"/>
      <c r="R1637" s="5">
        <v>0</v>
      </c>
      <c r="T1637" s="5">
        <v>0</v>
      </c>
      <c r="U1637" s="5"/>
      <c r="X1637" s="4">
        <v>0</v>
      </c>
      <c r="Z1637" s="4">
        <v>0</v>
      </c>
      <c r="AB1637" s="4">
        <v>0</v>
      </c>
      <c r="AC1637" s="4">
        <v>0</v>
      </c>
      <c r="AD1637" s="4">
        <v>0</v>
      </c>
      <c r="AE1637" s="8"/>
      <c r="AF1637" s="8"/>
      <c r="AG1637" s="8"/>
      <c r="AH1637" s="8"/>
      <c r="AI163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7" s="8">
        <v>12</v>
      </c>
      <c r="AK1637" s="4" t="s">
        <v>116</v>
      </c>
      <c r="AN1637">
        <f>IFERROR(INT(Table13[[#This Row],[reject_prod]]/Table13[[#This Row],[part_weight]] * 1000), 0)</f>
        <v>0</v>
      </c>
    </row>
    <row r="1638" spans="1:40" hidden="1">
      <c r="A1638" s="1">
        <v>46071</v>
      </c>
      <c r="B1638">
        <v>2</v>
      </c>
      <c r="C1638">
        <v>1</v>
      </c>
      <c r="F1638">
        <v>123456</v>
      </c>
      <c r="G1638" s="6">
        <v>0</v>
      </c>
      <c r="M1638">
        <v>0</v>
      </c>
      <c r="N1638" s="2">
        <v>0</v>
      </c>
      <c r="O1638" s="2">
        <v>0</v>
      </c>
      <c r="P1638" s="2">
        <v>0</v>
      </c>
      <c r="Q1638" s="2"/>
      <c r="R1638" s="2">
        <v>0</v>
      </c>
      <c r="T1638" s="2">
        <v>0</v>
      </c>
      <c r="U1638" s="2"/>
      <c r="X1638">
        <v>0</v>
      </c>
      <c r="Z1638">
        <v>0</v>
      </c>
      <c r="AB1638">
        <v>0</v>
      </c>
      <c r="AC1638">
        <v>0</v>
      </c>
      <c r="AD1638">
        <v>0</v>
      </c>
      <c r="AE1638" s="7"/>
      <c r="AF1638" s="7"/>
      <c r="AG1638" s="7"/>
      <c r="AH1638" s="7"/>
      <c r="AI1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8" s="7">
        <v>12</v>
      </c>
      <c r="AK1638" t="s">
        <v>116</v>
      </c>
      <c r="AN1638">
        <f>IFERROR(INT(Table13[[#This Row],[reject_prod]]/Table13[[#This Row],[part_weight]] * 1000), 0)</f>
        <v>0</v>
      </c>
    </row>
    <row r="1639" spans="1:40" hidden="1">
      <c r="A1639" s="1">
        <v>46071</v>
      </c>
      <c r="B1639">
        <v>2</v>
      </c>
      <c r="C1639">
        <v>2</v>
      </c>
      <c r="F1639">
        <v>123456</v>
      </c>
      <c r="G1639" s="6">
        <v>0</v>
      </c>
      <c r="M1639">
        <v>0</v>
      </c>
      <c r="N1639" s="2">
        <v>0</v>
      </c>
      <c r="O1639" s="2">
        <v>0</v>
      </c>
      <c r="P1639" s="2">
        <v>0</v>
      </c>
      <c r="Q1639" s="2"/>
      <c r="R1639" s="2">
        <v>0</v>
      </c>
      <c r="T1639" s="2">
        <v>0</v>
      </c>
      <c r="U1639" s="2"/>
      <c r="X1639">
        <v>0</v>
      </c>
      <c r="Z1639">
        <v>0</v>
      </c>
      <c r="AB1639">
        <v>0</v>
      </c>
      <c r="AC1639">
        <v>0</v>
      </c>
      <c r="AD1639">
        <v>0</v>
      </c>
      <c r="AE1639" s="7"/>
      <c r="AF1639" s="7"/>
      <c r="AG1639" s="7"/>
      <c r="AH1639" s="7"/>
      <c r="AI1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9" s="7">
        <v>12</v>
      </c>
      <c r="AK1639" t="s">
        <v>116</v>
      </c>
      <c r="AN1639">
        <f>IFERROR(INT(Table13[[#This Row],[reject_prod]]/Table13[[#This Row],[part_weight]] * 1000), 0)</f>
        <v>0</v>
      </c>
    </row>
    <row r="1640" spans="1:40" hidden="1">
      <c r="A1640" s="1">
        <v>46071</v>
      </c>
      <c r="B1640">
        <v>2</v>
      </c>
      <c r="C1640">
        <v>3</v>
      </c>
      <c r="F1640">
        <v>123456</v>
      </c>
      <c r="G1640" s="6">
        <v>0</v>
      </c>
      <c r="M1640">
        <v>0</v>
      </c>
      <c r="N1640" s="2">
        <v>0</v>
      </c>
      <c r="O1640" s="2">
        <v>0</v>
      </c>
      <c r="P1640" s="2">
        <v>0</v>
      </c>
      <c r="Q1640" s="2"/>
      <c r="R1640" s="2">
        <v>0</v>
      </c>
      <c r="T1640" s="2">
        <v>0</v>
      </c>
      <c r="U1640" s="2"/>
      <c r="X1640">
        <v>0</v>
      </c>
      <c r="Z1640">
        <v>0</v>
      </c>
      <c r="AB1640">
        <v>0</v>
      </c>
      <c r="AC1640">
        <v>0</v>
      </c>
      <c r="AD1640">
        <v>0</v>
      </c>
      <c r="AE1640" s="7"/>
      <c r="AF1640" s="7"/>
      <c r="AG1640" s="7"/>
      <c r="AH1640" s="7"/>
      <c r="AI1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0" s="7">
        <v>12</v>
      </c>
      <c r="AK1640" t="s">
        <v>116</v>
      </c>
      <c r="AN1640">
        <f>IFERROR(INT(Table13[[#This Row],[reject_prod]]/Table13[[#This Row],[part_weight]] * 1000), 0)</f>
        <v>0</v>
      </c>
    </row>
    <row r="1641" spans="1:40" hidden="1">
      <c r="A1641" s="1">
        <v>46071</v>
      </c>
      <c r="B1641">
        <v>2</v>
      </c>
      <c r="C1641">
        <v>4</v>
      </c>
      <c r="F1641">
        <v>123456</v>
      </c>
      <c r="G1641" s="6">
        <v>0</v>
      </c>
      <c r="M1641">
        <v>0</v>
      </c>
      <c r="N1641" s="2">
        <v>0</v>
      </c>
      <c r="O1641" s="2">
        <v>0</v>
      </c>
      <c r="P1641" s="2">
        <v>0</v>
      </c>
      <c r="Q1641" s="2"/>
      <c r="R1641" s="2">
        <v>0</v>
      </c>
      <c r="T1641" s="2">
        <v>0</v>
      </c>
      <c r="U1641" s="2"/>
      <c r="X1641">
        <v>0</v>
      </c>
      <c r="Z1641">
        <v>0</v>
      </c>
      <c r="AB1641">
        <v>0</v>
      </c>
      <c r="AC1641">
        <v>0</v>
      </c>
      <c r="AD1641">
        <v>0</v>
      </c>
      <c r="AE1641" s="7"/>
      <c r="AF1641" s="7"/>
      <c r="AG1641" s="7"/>
      <c r="AH1641" s="7"/>
      <c r="AI1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1" s="7">
        <v>12</v>
      </c>
      <c r="AK1641" t="s">
        <v>116</v>
      </c>
      <c r="AN1641">
        <f>IFERROR(INT(Table13[[#This Row],[reject_prod]]/Table13[[#This Row],[part_weight]] * 1000), 0)</f>
        <v>0</v>
      </c>
    </row>
    <row r="1642" spans="1:40" hidden="1">
      <c r="A1642" s="1">
        <v>46071</v>
      </c>
      <c r="B1642">
        <v>2</v>
      </c>
      <c r="C1642">
        <v>5</v>
      </c>
      <c r="F1642">
        <v>123456</v>
      </c>
      <c r="G1642" s="6">
        <v>0</v>
      </c>
      <c r="M1642">
        <v>0</v>
      </c>
      <c r="N1642" s="2">
        <v>0</v>
      </c>
      <c r="O1642" s="2">
        <v>0</v>
      </c>
      <c r="P1642" s="2">
        <v>0</v>
      </c>
      <c r="Q1642" s="2"/>
      <c r="R1642" s="2">
        <v>0</v>
      </c>
      <c r="T1642" s="2">
        <v>0</v>
      </c>
      <c r="U1642" s="2"/>
      <c r="X1642">
        <v>0</v>
      </c>
      <c r="Z1642">
        <v>0</v>
      </c>
      <c r="AB1642">
        <v>0</v>
      </c>
      <c r="AC1642">
        <v>0</v>
      </c>
      <c r="AD1642">
        <v>0</v>
      </c>
      <c r="AE1642" s="7"/>
      <c r="AF1642" s="7"/>
      <c r="AG1642" s="7"/>
      <c r="AH1642" s="7"/>
      <c r="AI1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2" s="7">
        <v>12</v>
      </c>
      <c r="AK1642" t="s">
        <v>116</v>
      </c>
      <c r="AN1642">
        <f>IFERROR(INT(Table13[[#This Row],[reject_prod]]/Table13[[#This Row],[part_weight]] * 1000), 0)</f>
        <v>0</v>
      </c>
    </row>
    <row r="1643" spans="1:40" hidden="1">
      <c r="A1643" s="1">
        <v>46071</v>
      </c>
      <c r="B1643">
        <v>2</v>
      </c>
      <c r="C1643">
        <v>6</v>
      </c>
      <c r="F1643">
        <v>123456</v>
      </c>
      <c r="G1643" s="6">
        <v>0</v>
      </c>
      <c r="M1643">
        <v>0</v>
      </c>
      <c r="N1643" s="2">
        <v>0</v>
      </c>
      <c r="O1643" s="2">
        <v>0</v>
      </c>
      <c r="P1643" s="2">
        <v>0</v>
      </c>
      <c r="Q1643" s="2"/>
      <c r="R1643" s="2">
        <v>0</v>
      </c>
      <c r="T1643" s="2">
        <v>0</v>
      </c>
      <c r="U1643" s="2"/>
      <c r="X1643">
        <v>0</v>
      </c>
      <c r="Z1643">
        <v>0</v>
      </c>
      <c r="AB1643">
        <v>0</v>
      </c>
      <c r="AC1643">
        <v>0</v>
      </c>
      <c r="AD1643">
        <v>0</v>
      </c>
      <c r="AE1643" s="7"/>
      <c r="AF1643" s="7"/>
      <c r="AG1643" s="7"/>
      <c r="AH1643" s="7"/>
      <c r="AI1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3" s="7">
        <v>12</v>
      </c>
      <c r="AK1643" t="s">
        <v>116</v>
      </c>
      <c r="AN1643">
        <f>IFERROR(INT(Table13[[#This Row],[reject_prod]]/Table13[[#This Row],[part_weight]] * 1000), 0)</f>
        <v>0</v>
      </c>
    </row>
    <row r="1644" spans="1:40" hidden="1">
      <c r="A1644" s="1">
        <v>46071</v>
      </c>
      <c r="B1644">
        <v>2</v>
      </c>
      <c r="C1644">
        <v>7</v>
      </c>
      <c r="F1644">
        <v>123456</v>
      </c>
      <c r="G1644" s="6">
        <v>0</v>
      </c>
      <c r="M1644">
        <v>0</v>
      </c>
      <c r="N1644" s="2">
        <v>0</v>
      </c>
      <c r="O1644" s="2">
        <v>0</v>
      </c>
      <c r="P1644" s="2">
        <v>0</v>
      </c>
      <c r="Q1644" s="2"/>
      <c r="R1644" s="2">
        <v>0</v>
      </c>
      <c r="T1644" s="2">
        <v>0</v>
      </c>
      <c r="U1644" s="2"/>
      <c r="X1644">
        <v>0</v>
      </c>
      <c r="Z1644">
        <v>0</v>
      </c>
      <c r="AB1644">
        <v>0</v>
      </c>
      <c r="AC1644">
        <v>0</v>
      </c>
      <c r="AD1644">
        <v>0</v>
      </c>
      <c r="AE1644" s="7"/>
      <c r="AF1644" s="7"/>
      <c r="AG1644" s="7"/>
      <c r="AH1644" s="7"/>
      <c r="AI1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4" s="7">
        <v>12</v>
      </c>
      <c r="AK1644" t="s">
        <v>116</v>
      </c>
      <c r="AN1644">
        <f>IFERROR(INT(Table13[[#This Row],[reject_prod]]/Table13[[#This Row],[part_weight]] * 1000), 0)</f>
        <v>0</v>
      </c>
    </row>
    <row r="1645" spans="1:40" hidden="1">
      <c r="A1645" s="1">
        <v>46071</v>
      </c>
      <c r="B1645">
        <v>2</v>
      </c>
      <c r="C1645">
        <v>8</v>
      </c>
      <c r="F1645">
        <v>123456</v>
      </c>
      <c r="G1645" s="6">
        <v>0</v>
      </c>
      <c r="M1645">
        <v>0</v>
      </c>
      <c r="N1645" s="2">
        <v>0</v>
      </c>
      <c r="O1645" s="2">
        <v>0</v>
      </c>
      <c r="P1645" s="2">
        <v>0</v>
      </c>
      <c r="Q1645" s="2"/>
      <c r="R1645" s="2">
        <v>0</v>
      </c>
      <c r="T1645" s="2">
        <v>0</v>
      </c>
      <c r="U1645" s="2"/>
      <c r="X1645">
        <v>0</v>
      </c>
      <c r="Z1645">
        <v>0</v>
      </c>
      <c r="AB1645">
        <v>0</v>
      </c>
      <c r="AC1645">
        <v>0</v>
      </c>
      <c r="AD1645">
        <v>0</v>
      </c>
      <c r="AE1645" s="7"/>
      <c r="AF1645" s="7"/>
      <c r="AG1645" s="7"/>
      <c r="AH1645" s="7"/>
      <c r="AI1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5" s="7">
        <v>12</v>
      </c>
      <c r="AK1645" t="s">
        <v>116</v>
      </c>
      <c r="AN1645">
        <f>IFERROR(INT(Table13[[#This Row],[reject_prod]]/Table13[[#This Row],[part_weight]] * 1000), 0)</f>
        <v>0</v>
      </c>
    </row>
    <row r="1646" spans="1:40" hidden="1">
      <c r="A1646" s="1">
        <v>46071</v>
      </c>
      <c r="B1646">
        <v>2</v>
      </c>
      <c r="C1646">
        <v>9</v>
      </c>
      <c r="F1646">
        <v>123456</v>
      </c>
      <c r="G1646" s="6">
        <v>0</v>
      </c>
      <c r="M1646">
        <v>0</v>
      </c>
      <c r="N1646" s="2">
        <v>0</v>
      </c>
      <c r="O1646" s="2">
        <v>0</v>
      </c>
      <c r="P1646" s="2">
        <v>0</v>
      </c>
      <c r="Q1646" s="2"/>
      <c r="R1646" s="2">
        <v>0</v>
      </c>
      <c r="T1646" s="2">
        <v>0</v>
      </c>
      <c r="U1646" s="2"/>
      <c r="X1646">
        <v>0</v>
      </c>
      <c r="Z1646">
        <v>0</v>
      </c>
      <c r="AB1646">
        <v>0</v>
      </c>
      <c r="AC1646">
        <v>0</v>
      </c>
      <c r="AD1646">
        <v>0</v>
      </c>
      <c r="AE1646" s="7"/>
      <c r="AF1646" s="7"/>
      <c r="AG1646" s="7"/>
      <c r="AH1646" s="7"/>
      <c r="AI1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6" s="7">
        <v>12</v>
      </c>
      <c r="AK1646" t="s">
        <v>116</v>
      </c>
      <c r="AN1646">
        <f>IFERROR(INT(Table13[[#This Row],[reject_prod]]/Table13[[#This Row],[part_weight]] * 1000), 0)</f>
        <v>0</v>
      </c>
    </row>
    <row r="1647" spans="1:40" hidden="1">
      <c r="A1647" s="1">
        <v>46071</v>
      </c>
      <c r="B1647">
        <v>2</v>
      </c>
      <c r="C1647">
        <v>10</v>
      </c>
      <c r="F1647">
        <v>123456</v>
      </c>
      <c r="G1647" s="6">
        <v>0</v>
      </c>
      <c r="M1647">
        <v>0</v>
      </c>
      <c r="N1647" s="2">
        <v>0</v>
      </c>
      <c r="O1647" s="2">
        <v>0</v>
      </c>
      <c r="P1647" s="2">
        <v>0</v>
      </c>
      <c r="Q1647" s="2"/>
      <c r="R1647" s="2">
        <v>0</v>
      </c>
      <c r="T1647" s="2">
        <v>0</v>
      </c>
      <c r="U1647" s="2"/>
      <c r="X1647">
        <v>0</v>
      </c>
      <c r="Z1647">
        <v>0</v>
      </c>
      <c r="AB1647">
        <v>0</v>
      </c>
      <c r="AC1647">
        <v>0</v>
      </c>
      <c r="AD1647">
        <v>0</v>
      </c>
      <c r="AE1647" s="7"/>
      <c r="AF1647" s="7"/>
      <c r="AG1647" s="7"/>
      <c r="AH1647" s="7"/>
      <c r="AI1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7" s="7">
        <v>12</v>
      </c>
      <c r="AK1647" t="s">
        <v>116</v>
      </c>
      <c r="AN1647">
        <f>IFERROR(INT(Table13[[#This Row],[reject_prod]]/Table13[[#This Row],[part_weight]] * 1000), 0)</f>
        <v>0</v>
      </c>
    </row>
    <row r="1648" spans="1:40" hidden="1">
      <c r="A1648" s="1">
        <v>46071</v>
      </c>
      <c r="B1648">
        <v>2</v>
      </c>
      <c r="C1648">
        <v>11</v>
      </c>
      <c r="F1648">
        <v>123456</v>
      </c>
      <c r="G1648" s="6">
        <v>0</v>
      </c>
      <c r="M1648">
        <v>0</v>
      </c>
      <c r="N1648" s="2">
        <v>0</v>
      </c>
      <c r="O1648" s="2">
        <v>0</v>
      </c>
      <c r="P1648" s="2">
        <v>0</v>
      </c>
      <c r="Q1648" s="2"/>
      <c r="R1648" s="2">
        <v>0</v>
      </c>
      <c r="T1648" s="2">
        <v>0</v>
      </c>
      <c r="U1648" s="2"/>
      <c r="X1648">
        <v>0</v>
      </c>
      <c r="Z1648">
        <v>0</v>
      </c>
      <c r="AB1648">
        <v>0</v>
      </c>
      <c r="AC1648">
        <v>0</v>
      </c>
      <c r="AD1648">
        <v>0</v>
      </c>
      <c r="AE1648" s="7"/>
      <c r="AF1648" s="7"/>
      <c r="AG1648" s="7"/>
      <c r="AH1648" s="7"/>
      <c r="AI1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8" s="7">
        <v>12</v>
      </c>
      <c r="AK1648" t="s">
        <v>116</v>
      </c>
      <c r="AN1648">
        <f>IFERROR(INT(Table13[[#This Row],[reject_prod]]/Table13[[#This Row],[part_weight]] * 1000), 0)</f>
        <v>0</v>
      </c>
    </row>
    <row r="1649" spans="1:40" hidden="1">
      <c r="A1649" s="1">
        <v>46071</v>
      </c>
      <c r="B1649">
        <v>2</v>
      </c>
      <c r="C1649">
        <v>12</v>
      </c>
      <c r="F1649">
        <v>123456</v>
      </c>
      <c r="G1649" s="6">
        <v>0</v>
      </c>
      <c r="M1649">
        <v>0</v>
      </c>
      <c r="N1649" s="2">
        <v>0</v>
      </c>
      <c r="O1649" s="2">
        <v>0</v>
      </c>
      <c r="P1649" s="2">
        <v>0</v>
      </c>
      <c r="Q1649" s="2"/>
      <c r="R1649" s="2">
        <v>0</v>
      </c>
      <c r="T1649" s="2">
        <v>0</v>
      </c>
      <c r="U1649" s="2"/>
      <c r="X1649">
        <v>0</v>
      </c>
      <c r="Z1649">
        <v>0</v>
      </c>
      <c r="AB1649">
        <v>0</v>
      </c>
      <c r="AC1649">
        <v>0</v>
      </c>
      <c r="AD1649">
        <v>0</v>
      </c>
      <c r="AE1649" s="7"/>
      <c r="AF1649" s="7"/>
      <c r="AG1649" s="7"/>
      <c r="AH1649" s="7"/>
      <c r="AI1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9" s="7">
        <v>12</v>
      </c>
      <c r="AK1649" t="s">
        <v>116</v>
      </c>
      <c r="AN1649">
        <f>IFERROR(INT(Table13[[#This Row],[reject_prod]]/Table13[[#This Row],[part_weight]] * 1000), 0)</f>
        <v>0</v>
      </c>
    </row>
    <row r="1650" spans="1:40" hidden="1">
      <c r="A1650" s="1">
        <v>46071</v>
      </c>
      <c r="B1650">
        <v>2</v>
      </c>
      <c r="C1650">
        <v>13</v>
      </c>
      <c r="F1650">
        <v>123456</v>
      </c>
      <c r="G1650" s="6">
        <v>0</v>
      </c>
      <c r="M1650">
        <v>0</v>
      </c>
      <c r="N1650" s="2">
        <v>0</v>
      </c>
      <c r="O1650" s="2">
        <v>0</v>
      </c>
      <c r="P1650" s="2">
        <v>0</v>
      </c>
      <c r="Q1650" s="2"/>
      <c r="R1650" s="2">
        <v>0</v>
      </c>
      <c r="T1650" s="2">
        <v>0</v>
      </c>
      <c r="U1650" s="2"/>
      <c r="X1650">
        <v>0</v>
      </c>
      <c r="Z1650">
        <v>0</v>
      </c>
      <c r="AB1650">
        <v>0</v>
      </c>
      <c r="AC1650">
        <v>0</v>
      </c>
      <c r="AD1650">
        <v>0</v>
      </c>
      <c r="AE1650" s="7"/>
      <c r="AF1650" s="7"/>
      <c r="AG1650" s="7"/>
      <c r="AH1650" s="7"/>
      <c r="AI1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0" s="7">
        <v>12</v>
      </c>
      <c r="AK1650" t="s">
        <v>116</v>
      </c>
      <c r="AN1650">
        <f>IFERROR(INT(Table13[[#This Row],[reject_prod]]/Table13[[#This Row],[part_weight]] * 1000), 0)</f>
        <v>0</v>
      </c>
    </row>
    <row r="1651" spans="1:40" hidden="1">
      <c r="A1651" s="1">
        <v>46071</v>
      </c>
      <c r="B1651">
        <v>2</v>
      </c>
      <c r="C1651">
        <v>14</v>
      </c>
      <c r="F1651">
        <v>123456</v>
      </c>
      <c r="G1651" s="6">
        <v>0</v>
      </c>
      <c r="M1651">
        <v>0</v>
      </c>
      <c r="N1651" s="2">
        <v>0</v>
      </c>
      <c r="O1651" s="2">
        <v>0</v>
      </c>
      <c r="P1651" s="2">
        <v>0</v>
      </c>
      <c r="Q1651" s="2"/>
      <c r="R1651" s="2">
        <v>0</v>
      </c>
      <c r="T1651" s="2">
        <v>0</v>
      </c>
      <c r="U1651" s="2"/>
      <c r="X1651">
        <v>0</v>
      </c>
      <c r="Z1651">
        <v>0</v>
      </c>
      <c r="AB1651">
        <v>0</v>
      </c>
      <c r="AC1651">
        <v>0</v>
      </c>
      <c r="AD1651">
        <v>0</v>
      </c>
      <c r="AE1651" s="7"/>
      <c r="AF1651" s="7"/>
      <c r="AG1651" s="7"/>
      <c r="AH1651" s="7"/>
      <c r="AI1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1" s="7">
        <v>12</v>
      </c>
      <c r="AK1651" t="s">
        <v>116</v>
      </c>
      <c r="AN1651">
        <f>IFERROR(INT(Table13[[#This Row],[reject_prod]]/Table13[[#This Row],[part_weight]] * 1000), 0)</f>
        <v>0</v>
      </c>
    </row>
    <row r="1652" spans="1:40" hidden="1">
      <c r="A1652" s="1">
        <v>46071</v>
      </c>
      <c r="B1652">
        <v>2</v>
      </c>
      <c r="C1652">
        <v>15</v>
      </c>
      <c r="F1652">
        <v>123456</v>
      </c>
      <c r="G1652" s="6">
        <v>0</v>
      </c>
      <c r="M1652">
        <v>0</v>
      </c>
      <c r="N1652" s="2">
        <v>0</v>
      </c>
      <c r="O1652" s="2">
        <v>0</v>
      </c>
      <c r="P1652" s="2">
        <v>0</v>
      </c>
      <c r="Q1652" s="2"/>
      <c r="R1652" s="2">
        <v>0</v>
      </c>
      <c r="T1652" s="2">
        <v>0</v>
      </c>
      <c r="U1652" s="2"/>
      <c r="X1652">
        <v>0</v>
      </c>
      <c r="Z1652">
        <v>0</v>
      </c>
      <c r="AB1652">
        <v>0</v>
      </c>
      <c r="AC1652">
        <v>0</v>
      </c>
      <c r="AD1652">
        <v>0</v>
      </c>
      <c r="AE1652" s="7"/>
      <c r="AF1652" s="7"/>
      <c r="AG1652" s="7"/>
      <c r="AH1652" s="7"/>
      <c r="AI1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2" s="7">
        <v>12</v>
      </c>
      <c r="AK1652" t="s">
        <v>116</v>
      </c>
      <c r="AN1652">
        <f>IFERROR(INT(Table13[[#This Row],[reject_prod]]/Table13[[#This Row],[part_weight]] * 1000), 0)</f>
        <v>0</v>
      </c>
    </row>
    <row r="1653" spans="1:40" s="4" customFormat="1" hidden="1">
      <c r="A1653" s="3">
        <v>46071</v>
      </c>
      <c r="B1653" s="4">
        <v>2</v>
      </c>
      <c r="C1653" s="4">
        <v>16</v>
      </c>
      <c r="F1653" s="4">
        <v>123456</v>
      </c>
      <c r="G1653" s="9">
        <v>0</v>
      </c>
      <c r="M1653" s="4">
        <v>0</v>
      </c>
      <c r="N1653" s="5">
        <v>0</v>
      </c>
      <c r="O1653" s="5">
        <v>0</v>
      </c>
      <c r="P1653" s="5">
        <v>0</v>
      </c>
      <c r="Q1653" s="5"/>
      <c r="R1653" s="5">
        <v>0</v>
      </c>
      <c r="T1653" s="5">
        <v>0</v>
      </c>
      <c r="U1653" s="5"/>
      <c r="X1653" s="4">
        <v>0</v>
      </c>
      <c r="Z1653" s="4">
        <v>0</v>
      </c>
      <c r="AB1653" s="4">
        <v>0</v>
      </c>
      <c r="AC1653" s="4">
        <v>0</v>
      </c>
      <c r="AD1653" s="4">
        <v>0</v>
      </c>
      <c r="AE1653" s="8"/>
      <c r="AF1653" s="8"/>
      <c r="AG1653" s="8"/>
      <c r="AH1653" s="8"/>
      <c r="AI165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3" s="8">
        <v>12</v>
      </c>
      <c r="AK1653" s="4" t="s">
        <v>116</v>
      </c>
      <c r="AN1653">
        <f>IFERROR(INT(Table13[[#This Row],[reject_prod]]/Table13[[#This Row],[part_weight]] * 1000), 0)</f>
        <v>0</v>
      </c>
    </row>
    <row r="1654" spans="1:40" hidden="1">
      <c r="A1654" s="1">
        <v>46072</v>
      </c>
      <c r="B1654">
        <v>1</v>
      </c>
      <c r="C1654">
        <v>1</v>
      </c>
      <c r="D1654" t="s">
        <v>124</v>
      </c>
      <c r="E1654" t="s">
        <v>34</v>
      </c>
      <c r="F1654">
        <v>323107</v>
      </c>
      <c r="G1654" s="6">
        <v>0</v>
      </c>
      <c r="H1654" t="s">
        <v>845</v>
      </c>
      <c r="I1654">
        <v>10685636</v>
      </c>
      <c r="J1654">
        <v>2</v>
      </c>
      <c r="K1654">
        <v>75</v>
      </c>
      <c r="L1654">
        <v>75</v>
      </c>
      <c r="M1654">
        <v>500</v>
      </c>
      <c r="N1654" s="2">
        <v>13440</v>
      </c>
      <c r="O1654" s="2">
        <v>0</v>
      </c>
      <c r="P1654" s="2">
        <v>0</v>
      </c>
      <c r="Q1654" s="2">
        <v>1000</v>
      </c>
      <c r="R1654" s="2">
        <v>960</v>
      </c>
      <c r="S1654">
        <v>72</v>
      </c>
      <c r="T1654" s="2">
        <v>13440</v>
      </c>
      <c r="U1654" s="2">
        <v>0</v>
      </c>
      <c r="V1654">
        <v>75</v>
      </c>
      <c r="W1654">
        <v>0</v>
      </c>
      <c r="X1654">
        <v>1</v>
      </c>
      <c r="Y1654">
        <v>1.3333333333333334E-2</v>
      </c>
      <c r="Z1654">
        <v>0</v>
      </c>
      <c r="AA1654">
        <v>0</v>
      </c>
      <c r="AB1654">
        <v>36</v>
      </c>
      <c r="AC1654">
        <v>5</v>
      </c>
      <c r="AD1654">
        <v>31.94</v>
      </c>
      <c r="AE1654" s="7"/>
      <c r="AF1654" s="7"/>
      <c r="AG1654" s="7"/>
      <c r="AH1654" s="7"/>
      <c r="AI1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1654" s="7"/>
      <c r="AK1654" t="s">
        <v>541</v>
      </c>
      <c r="AL1654">
        <v>3</v>
      </c>
      <c r="AM1654">
        <v>2</v>
      </c>
      <c r="AN1654">
        <f>IFERROR(INT(Table13[[#This Row],[reject_prod]]/Table13[[#This Row],[part_weight]] * 1000), 0)</f>
        <v>0</v>
      </c>
    </row>
    <row r="1655" spans="1:40" hidden="1">
      <c r="A1655" s="1">
        <v>46072</v>
      </c>
      <c r="B1655">
        <v>1</v>
      </c>
      <c r="C1655">
        <v>1</v>
      </c>
      <c r="D1655" t="s">
        <v>124</v>
      </c>
      <c r="E1655" t="s">
        <v>34</v>
      </c>
      <c r="F1655">
        <v>324682</v>
      </c>
      <c r="G1655" s="6">
        <v>0</v>
      </c>
      <c r="H1655" t="s">
        <v>889</v>
      </c>
      <c r="I1655">
        <v>10687748</v>
      </c>
      <c r="J1655">
        <v>4</v>
      </c>
      <c r="K1655">
        <v>33</v>
      </c>
      <c r="L1655">
        <v>33</v>
      </c>
      <c r="M1655">
        <v>0</v>
      </c>
      <c r="N1655" s="2">
        <v>18480</v>
      </c>
      <c r="O1655" s="2">
        <v>0</v>
      </c>
      <c r="P1655" s="2">
        <v>0</v>
      </c>
      <c r="Q1655" s="2">
        <v>0</v>
      </c>
      <c r="R1655" s="2">
        <v>0</v>
      </c>
      <c r="S1655">
        <v>0</v>
      </c>
      <c r="T1655" s="2">
        <v>0</v>
      </c>
      <c r="U1655" s="2">
        <v>18480</v>
      </c>
      <c r="V1655">
        <v>0</v>
      </c>
      <c r="W1655">
        <v>0</v>
      </c>
      <c r="X1655">
        <v>0</v>
      </c>
      <c r="Y1655" t="e">
        <v>#DIV/0!</v>
      </c>
      <c r="Z1655">
        <v>0</v>
      </c>
      <c r="AA1655" t="e">
        <v>#DIV/0!</v>
      </c>
      <c r="AB1655">
        <v>36</v>
      </c>
      <c r="AC1655">
        <v>0</v>
      </c>
      <c r="AD1655">
        <v>23.972000000000001</v>
      </c>
      <c r="AE1655" s="7">
        <v>5.5</v>
      </c>
      <c r="AF1655" s="7"/>
      <c r="AG1655" s="7"/>
      <c r="AH1655" s="7"/>
      <c r="AI1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655" s="7"/>
      <c r="AK1655" t="s">
        <v>890</v>
      </c>
      <c r="AN1655">
        <f>IFERROR(INT(Table13[[#This Row],[reject_prod]]/Table13[[#This Row],[part_weight]] * 1000), 0)</f>
        <v>0</v>
      </c>
    </row>
    <row r="1656" spans="1:40" hidden="1">
      <c r="A1656" s="1">
        <v>46072</v>
      </c>
      <c r="B1656">
        <v>1</v>
      </c>
      <c r="C1656">
        <v>2</v>
      </c>
      <c r="D1656" t="s">
        <v>891</v>
      </c>
      <c r="E1656" t="s">
        <v>34</v>
      </c>
      <c r="F1656">
        <v>322493</v>
      </c>
      <c r="G1656" s="6">
        <v>0</v>
      </c>
      <c r="H1656" t="s">
        <v>816</v>
      </c>
      <c r="I1656">
        <v>10686190</v>
      </c>
      <c r="J1656">
        <v>4</v>
      </c>
      <c r="K1656">
        <v>23</v>
      </c>
      <c r="L1656">
        <v>23</v>
      </c>
      <c r="M1656">
        <v>1280</v>
      </c>
      <c r="N1656" s="2">
        <v>61200</v>
      </c>
      <c r="O1656" s="2">
        <v>1020</v>
      </c>
      <c r="P1656" s="2">
        <v>1020</v>
      </c>
      <c r="Q1656" s="2">
        <v>5120</v>
      </c>
      <c r="R1656" s="2">
        <v>5100</v>
      </c>
      <c r="S1656">
        <v>117.3</v>
      </c>
      <c r="T1656" s="2">
        <v>50745</v>
      </c>
      <c r="U1656" s="2">
        <v>10455</v>
      </c>
      <c r="V1656">
        <v>117.76</v>
      </c>
      <c r="W1656">
        <v>0</v>
      </c>
      <c r="X1656">
        <v>10</v>
      </c>
      <c r="Y1656">
        <v>8.4918478260869568E-2</v>
      </c>
      <c r="Z1656">
        <v>5.8</v>
      </c>
      <c r="AA1656">
        <v>4.9252717391304345E-2</v>
      </c>
      <c r="AB1656">
        <v>26.6</v>
      </c>
      <c r="AC1656">
        <v>9.4577777777777783</v>
      </c>
      <c r="AD1656">
        <v>22.5</v>
      </c>
      <c r="AE1656" s="7"/>
      <c r="AF1656" s="7"/>
      <c r="AG1656" s="7"/>
      <c r="AH1656" s="7"/>
      <c r="AI1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2.5422222222222217</v>
      </c>
      <c r="AJ1656" s="7"/>
      <c r="AK1656" t="s">
        <v>892</v>
      </c>
      <c r="AL1656">
        <v>3</v>
      </c>
      <c r="AM1656">
        <v>1.5</v>
      </c>
      <c r="AN1656">
        <f>IFERROR(INT(Table13[[#This Row],[reject_prod]]/Table13[[#This Row],[part_weight]] * 1000), 0)</f>
        <v>252</v>
      </c>
    </row>
    <row r="1657" spans="1:40" hidden="1">
      <c r="A1657" s="1">
        <v>46072</v>
      </c>
      <c r="B1657">
        <v>1</v>
      </c>
      <c r="C1657">
        <v>3</v>
      </c>
      <c r="D1657" t="s">
        <v>876</v>
      </c>
      <c r="E1657" t="s">
        <v>34</v>
      </c>
      <c r="F1657">
        <v>442034</v>
      </c>
      <c r="G1657" s="6">
        <v>0</v>
      </c>
      <c r="H1657" t="s">
        <v>37</v>
      </c>
      <c r="I1657">
        <v>10685634</v>
      </c>
      <c r="J1657">
        <v>4</v>
      </c>
      <c r="K1657">
        <v>23</v>
      </c>
      <c r="L1657">
        <v>23</v>
      </c>
      <c r="M1657">
        <v>1255</v>
      </c>
      <c r="N1657" s="2">
        <v>139778</v>
      </c>
      <c r="O1657" s="2">
        <v>2688</v>
      </c>
      <c r="P1657" s="2">
        <v>3072</v>
      </c>
      <c r="Q1657" s="2">
        <v>5020</v>
      </c>
      <c r="R1657" s="2">
        <v>4608</v>
      </c>
      <c r="S1657">
        <v>105.98399999999999</v>
      </c>
      <c r="T1657" s="2">
        <v>12288</v>
      </c>
      <c r="U1657" s="2">
        <v>127490</v>
      </c>
      <c r="V1657">
        <v>115.46</v>
      </c>
      <c r="W1657">
        <v>0</v>
      </c>
      <c r="X1657">
        <v>3</v>
      </c>
      <c r="Y1657">
        <v>2.5983024424042961E-2</v>
      </c>
      <c r="Z1657">
        <v>0.5</v>
      </c>
      <c r="AA1657">
        <v>4.3305040706738268E-3</v>
      </c>
      <c r="AB1657">
        <v>28.5</v>
      </c>
      <c r="AC1657">
        <v>9.9354166666666668</v>
      </c>
      <c r="AD1657">
        <v>22</v>
      </c>
      <c r="AE1657" s="7"/>
      <c r="AF1657" s="7"/>
      <c r="AG1657" s="7"/>
      <c r="AH1657" s="7"/>
      <c r="AI1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2.0645833333333332</v>
      </c>
      <c r="AJ1657" s="7"/>
      <c r="AK1657" t="s">
        <v>103</v>
      </c>
      <c r="AL1657">
        <v>3</v>
      </c>
      <c r="AM1657">
        <v>2</v>
      </c>
      <c r="AN1657">
        <f>IFERROR(INT(Table13[[#This Row],[reject_prod]]/Table13[[#This Row],[part_weight]] * 1000), 0)</f>
        <v>21</v>
      </c>
    </row>
    <row r="1658" spans="1:40" hidden="1">
      <c r="A1658" s="1">
        <v>46072</v>
      </c>
      <c r="B1658">
        <v>1</v>
      </c>
      <c r="C1658">
        <v>4</v>
      </c>
      <c r="D1658" t="s">
        <v>893</v>
      </c>
      <c r="E1658" t="s">
        <v>34</v>
      </c>
      <c r="F1658">
        <v>409780</v>
      </c>
      <c r="G1658" s="6">
        <v>0</v>
      </c>
      <c r="H1658" t="s">
        <v>829</v>
      </c>
      <c r="I1658">
        <v>10687750</v>
      </c>
      <c r="J1658">
        <v>3</v>
      </c>
      <c r="K1658">
        <v>29</v>
      </c>
      <c r="L1658">
        <v>29</v>
      </c>
      <c r="M1658">
        <v>1505</v>
      </c>
      <c r="N1658" s="2">
        <v>40608</v>
      </c>
      <c r="O1658" s="2">
        <v>3102</v>
      </c>
      <c r="P1658" s="2">
        <v>846</v>
      </c>
      <c r="Q1658" s="2">
        <v>4515</v>
      </c>
      <c r="R1658" s="2">
        <v>6768</v>
      </c>
      <c r="S1658">
        <v>196.27199999999999</v>
      </c>
      <c r="T1658" s="2">
        <v>21150</v>
      </c>
      <c r="U1658" s="2">
        <v>19458</v>
      </c>
      <c r="V1658">
        <v>130.935</v>
      </c>
      <c r="W1658">
        <v>0</v>
      </c>
      <c r="X1658">
        <v>1</v>
      </c>
      <c r="Y1658">
        <v>7.637377324626723E-3</v>
      </c>
      <c r="Z1658">
        <v>0.8</v>
      </c>
      <c r="AA1658">
        <v>6.1099018597013787E-3</v>
      </c>
      <c r="AB1658">
        <v>26.3</v>
      </c>
      <c r="AC1658">
        <v>10.994861111111112</v>
      </c>
      <c r="AD1658">
        <v>24</v>
      </c>
      <c r="AE1658" s="7"/>
      <c r="AF1658" s="7"/>
      <c r="AG1658" s="7"/>
      <c r="AH1658" s="7"/>
      <c r="AI1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1.0051388888888884</v>
      </c>
      <c r="AJ1658" s="7"/>
      <c r="AK1658" t="s">
        <v>214</v>
      </c>
      <c r="AL1658">
        <v>2.5</v>
      </c>
      <c r="AM1658">
        <v>2</v>
      </c>
      <c r="AN1658">
        <f>IFERROR(INT(Table13[[#This Row],[reject_prod]]/Table13[[#This Row],[part_weight]] * 1000), 0)</f>
        <v>27</v>
      </c>
    </row>
    <row r="1659" spans="1:40" hidden="1">
      <c r="A1659" s="1">
        <v>46072</v>
      </c>
      <c r="B1659">
        <v>1</v>
      </c>
      <c r="C1659">
        <v>5</v>
      </c>
      <c r="D1659" t="s">
        <v>33</v>
      </c>
      <c r="E1659" t="s">
        <v>34</v>
      </c>
      <c r="F1659">
        <v>597507</v>
      </c>
      <c r="G1659" s="6">
        <v>0</v>
      </c>
      <c r="H1659" t="s">
        <v>279</v>
      </c>
      <c r="I1659">
        <v>10687752</v>
      </c>
      <c r="J1659">
        <v>4</v>
      </c>
      <c r="K1659">
        <v>23</v>
      </c>
      <c r="L1659">
        <v>23</v>
      </c>
      <c r="M1659">
        <v>0</v>
      </c>
      <c r="N1659" s="2">
        <v>86240</v>
      </c>
      <c r="O1659" s="2">
        <v>0</v>
      </c>
      <c r="P1659" s="2">
        <v>0</v>
      </c>
      <c r="Q1659" s="2">
        <v>0</v>
      </c>
      <c r="R1659" s="2">
        <v>0</v>
      </c>
      <c r="S1659">
        <v>0</v>
      </c>
      <c r="T1659" s="2">
        <v>0</v>
      </c>
      <c r="U1659" s="2">
        <v>86240</v>
      </c>
      <c r="V1659">
        <v>0</v>
      </c>
      <c r="W1659">
        <v>0</v>
      </c>
      <c r="X1659">
        <v>4</v>
      </c>
      <c r="Y1659" t="e">
        <v>#DIV/0!</v>
      </c>
      <c r="Z1659">
        <v>0</v>
      </c>
      <c r="AA1659" t="e">
        <v>#DIV/0!</v>
      </c>
      <c r="AB1659">
        <v>33.4</v>
      </c>
      <c r="AC1659">
        <v>0</v>
      </c>
      <c r="AD1659">
        <v>22</v>
      </c>
      <c r="AE1659" s="7">
        <v>5.5</v>
      </c>
      <c r="AF1659" s="7"/>
      <c r="AG1659" s="7"/>
      <c r="AH1659" s="7"/>
      <c r="AI1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659" s="7"/>
      <c r="AK1659" t="s">
        <v>894</v>
      </c>
      <c r="AL1659">
        <v>7</v>
      </c>
      <c r="AM1659">
        <v>5</v>
      </c>
      <c r="AN1659">
        <f>IFERROR(INT(Table13[[#This Row],[reject_prod]]/Table13[[#This Row],[part_weight]] * 1000), 0)</f>
        <v>0</v>
      </c>
    </row>
    <row r="1660" spans="1:40" hidden="1">
      <c r="A1660" s="1">
        <v>46072</v>
      </c>
      <c r="B1660">
        <v>1</v>
      </c>
      <c r="C1660">
        <v>6</v>
      </c>
      <c r="D1660" t="s">
        <v>895</v>
      </c>
      <c r="E1660" t="s">
        <v>41</v>
      </c>
      <c r="F1660">
        <v>620994</v>
      </c>
      <c r="G1660" s="6">
        <v>0</v>
      </c>
      <c r="H1660" t="s">
        <v>42</v>
      </c>
      <c r="I1660">
        <v>10686806</v>
      </c>
      <c r="J1660">
        <v>4</v>
      </c>
      <c r="K1660">
        <v>32.74</v>
      </c>
      <c r="L1660">
        <v>33</v>
      </c>
      <c r="M1660">
        <v>1184</v>
      </c>
      <c r="N1660" s="2">
        <v>104192</v>
      </c>
      <c r="O1660" s="2">
        <v>0</v>
      </c>
      <c r="P1660" s="2">
        <v>1184</v>
      </c>
      <c r="Q1660" s="2">
        <v>4736</v>
      </c>
      <c r="R1660" s="2">
        <v>3552</v>
      </c>
      <c r="S1660">
        <v>117.21599999999999</v>
      </c>
      <c r="T1660" s="2">
        <v>39960</v>
      </c>
      <c r="U1660" s="2">
        <v>64232</v>
      </c>
      <c r="V1660">
        <v>156.28800000000001</v>
      </c>
      <c r="W1660">
        <v>-1.2313599999999907</v>
      </c>
      <c r="X1660">
        <v>3</v>
      </c>
      <c r="Y1660">
        <v>1.9195331695331695E-2</v>
      </c>
      <c r="Z1660">
        <v>0.5</v>
      </c>
      <c r="AA1660">
        <v>3.1992219492219488E-3</v>
      </c>
      <c r="AB1660">
        <v>24</v>
      </c>
      <c r="AC1660">
        <v>7.8933333333333335</v>
      </c>
      <c r="AD1660">
        <v>22</v>
      </c>
      <c r="AE1660" s="7"/>
      <c r="AF1660" s="7"/>
      <c r="AG1660" s="7"/>
      <c r="AH1660" s="7">
        <v>2.1</v>
      </c>
      <c r="AI1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2.0066666666666664</v>
      </c>
      <c r="AJ1660" s="7"/>
      <c r="AK1660" t="s">
        <v>896</v>
      </c>
      <c r="AL1660">
        <v>3</v>
      </c>
      <c r="AM1660">
        <v>4</v>
      </c>
      <c r="AN1660">
        <f>IFERROR(INT(Table13[[#This Row],[reject_prod]]/Table13[[#This Row],[part_weight]] * 1000), 0)</f>
        <v>15</v>
      </c>
    </row>
    <row r="1661" spans="1:40" hidden="1">
      <c r="A1661" s="1">
        <v>46072</v>
      </c>
      <c r="B1661">
        <v>1</v>
      </c>
      <c r="C1661">
        <v>7</v>
      </c>
      <c r="D1661" t="s">
        <v>897</v>
      </c>
      <c r="E1661" t="s">
        <v>34</v>
      </c>
      <c r="F1661">
        <v>324177</v>
      </c>
      <c r="G1661" s="6">
        <v>0</v>
      </c>
      <c r="H1661" t="s">
        <v>246</v>
      </c>
      <c r="I1661">
        <v>10686803</v>
      </c>
      <c r="J1661">
        <v>4</v>
      </c>
      <c r="K1661">
        <v>34.5</v>
      </c>
      <c r="L1661">
        <v>34.5</v>
      </c>
      <c r="M1661">
        <v>1700</v>
      </c>
      <c r="N1661" s="2">
        <v>93600</v>
      </c>
      <c r="O1661" s="2">
        <v>0</v>
      </c>
      <c r="P1661" s="2">
        <v>3808</v>
      </c>
      <c r="Q1661" s="2">
        <v>6800</v>
      </c>
      <c r="R1661" s="2">
        <v>3120</v>
      </c>
      <c r="S1661">
        <v>107.64</v>
      </c>
      <c r="T1661" s="2">
        <v>74008</v>
      </c>
      <c r="U1661" s="2">
        <v>19592</v>
      </c>
      <c r="V1661">
        <v>234.6</v>
      </c>
      <c r="W1661">
        <v>0</v>
      </c>
      <c r="X1661">
        <v>9</v>
      </c>
      <c r="Y1661">
        <v>3.8363171355498722E-2</v>
      </c>
      <c r="Z1661">
        <v>4.8</v>
      </c>
      <c r="AA1661">
        <v>2.0460358056265983E-2</v>
      </c>
      <c r="AB1661">
        <v>23.31</v>
      </c>
      <c r="AC1661">
        <v>11.0075</v>
      </c>
      <c r="AD1661">
        <v>22</v>
      </c>
      <c r="AE1661" s="7"/>
      <c r="AF1661" s="7"/>
      <c r="AG1661" s="7"/>
      <c r="AH1661" s="7"/>
      <c r="AI1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0.99249999999999972</v>
      </c>
      <c r="AJ1661" s="7"/>
      <c r="AK1661" t="s">
        <v>898</v>
      </c>
      <c r="AL1661">
        <v>4</v>
      </c>
      <c r="AM1661">
        <v>3</v>
      </c>
      <c r="AN1661">
        <f>IFERROR(INT(Table13[[#This Row],[reject_prod]]/Table13[[#This Row],[part_weight]] * 1000), 0)</f>
        <v>139</v>
      </c>
    </row>
    <row r="1662" spans="1:40" hidden="1">
      <c r="A1662" s="1">
        <v>46072</v>
      </c>
      <c r="B1662">
        <v>1</v>
      </c>
      <c r="C1662">
        <v>8</v>
      </c>
      <c r="D1662" t="s">
        <v>309</v>
      </c>
      <c r="E1662" t="s">
        <v>41</v>
      </c>
      <c r="F1662">
        <v>593537</v>
      </c>
      <c r="G1662" s="6">
        <v>0</v>
      </c>
      <c r="H1662" t="s">
        <v>48</v>
      </c>
      <c r="I1662">
        <v>10687586</v>
      </c>
      <c r="J1662">
        <v>4</v>
      </c>
      <c r="K1662">
        <v>56.5</v>
      </c>
      <c r="L1662">
        <v>56.8</v>
      </c>
      <c r="M1662">
        <v>1130</v>
      </c>
      <c r="N1662" s="2">
        <v>69000</v>
      </c>
      <c r="O1662" s="2">
        <v>0</v>
      </c>
      <c r="P1662" s="2">
        <v>460</v>
      </c>
      <c r="Q1662" s="2">
        <v>4520</v>
      </c>
      <c r="R1662" s="2">
        <v>4025</v>
      </c>
      <c r="S1662">
        <v>228.62</v>
      </c>
      <c r="T1662" s="2">
        <v>49795</v>
      </c>
      <c r="U1662" s="2">
        <v>19205</v>
      </c>
      <c r="V1662">
        <v>256.73599999999999</v>
      </c>
      <c r="W1662">
        <v>-1.3559999999999872</v>
      </c>
      <c r="X1662">
        <v>4</v>
      </c>
      <c r="Y1662">
        <v>1.5580206905147701E-2</v>
      </c>
      <c r="Z1662">
        <v>0.5</v>
      </c>
      <c r="AA1662">
        <v>1.9475258631434626E-3</v>
      </c>
      <c r="AB1662">
        <v>30.5</v>
      </c>
      <c r="AC1662">
        <v>9.5736111111111128</v>
      </c>
      <c r="AD1662">
        <v>28.5</v>
      </c>
      <c r="AE1662" s="7"/>
      <c r="AF1662" s="7"/>
      <c r="AG1662" s="7"/>
      <c r="AH1662" s="7"/>
      <c r="AI1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2.4263888888888872</v>
      </c>
      <c r="AJ1662" s="7"/>
      <c r="AK1662" t="s">
        <v>51</v>
      </c>
      <c r="AL1662">
        <v>3</v>
      </c>
      <c r="AM1662">
        <v>3</v>
      </c>
      <c r="AN1662">
        <f>IFERROR(INT(Table13[[#This Row],[reject_prod]]/Table13[[#This Row],[part_weight]] * 1000), 0)</f>
        <v>8</v>
      </c>
    </row>
    <row r="1663" spans="1:40" hidden="1">
      <c r="A1663" s="1">
        <v>46072</v>
      </c>
      <c r="B1663">
        <v>1</v>
      </c>
      <c r="C1663">
        <v>9</v>
      </c>
      <c r="D1663" t="s">
        <v>54</v>
      </c>
      <c r="E1663" t="s">
        <v>46</v>
      </c>
      <c r="F1663">
        <v>586276</v>
      </c>
      <c r="G1663" s="6">
        <v>1</v>
      </c>
      <c r="H1663" t="s">
        <v>47</v>
      </c>
      <c r="I1663">
        <v>10686684</v>
      </c>
      <c r="J1663">
        <v>6</v>
      </c>
      <c r="K1663">
        <v>12.3</v>
      </c>
      <c r="L1663">
        <v>12.3</v>
      </c>
      <c r="M1663">
        <v>1215</v>
      </c>
      <c r="N1663" s="2">
        <v>162000</v>
      </c>
      <c r="O1663" s="2">
        <v>1215</v>
      </c>
      <c r="P1663" s="2">
        <v>405</v>
      </c>
      <c r="Q1663" s="2">
        <v>7290</v>
      </c>
      <c r="R1663" s="2">
        <v>8100</v>
      </c>
      <c r="S1663">
        <v>99.63</v>
      </c>
      <c r="T1663" s="2">
        <v>8100</v>
      </c>
      <c r="U1663" s="2">
        <v>153900</v>
      </c>
      <c r="V1663">
        <v>89.667000000000002</v>
      </c>
      <c r="W1663">
        <v>0</v>
      </c>
      <c r="X1663">
        <v>5</v>
      </c>
      <c r="Y1663">
        <v>5.5761874491172897E-2</v>
      </c>
      <c r="Z1663">
        <v>2</v>
      </c>
      <c r="AA1663">
        <v>2.2304749796469157E-2</v>
      </c>
      <c r="AB1663">
        <v>26.5</v>
      </c>
      <c r="AC1663">
        <v>8.9437499999999996</v>
      </c>
      <c r="AD1663">
        <v>26</v>
      </c>
      <c r="AE1663" s="7"/>
      <c r="AF1663" s="7"/>
      <c r="AG1663" s="7"/>
      <c r="AH1663" s="7"/>
      <c r="AI1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3.0562500000000004</v>
      </c>
      <c r="AJ1663" s="7"/>
      <c r="AK1663" t="s">
        <v>57</v>
      </c>
      <c r="AL1663">
        <v>2</v>
      </c>
      <c r="AM1663">
        <v>1</v>
      </c>
      <c r="AN1663">
        <f>IFERROR(INT(Table13[[#This Row],[reject_prod]]/Table13[[#This Row],[part_weight]] * 1000), 0)</f>
        <v>162</v>
      </c>
    </row>
    <row r="1664" spans="1:40" hidden="1">
      <c r="A1664" s="1">
        <v>46072</v>
      </c>
      <c r="B1664">
        <v>1</v>
      </c>
      <c r="C1664">
        <v>10</v>
      </c>
      <c r="D1664" t="s">
        <v>84</v>
      </c>
      <c r="E1664" t="s">
        <v>34</v>
      </c>
      <c r="F1664">
        <v>323092</v>
      </c>
      <c r="G1664" s="6">
        <v>0</v>
      </c>
      <c r="H1664" t="s">
        <v>377</v>
      </c>
      <c r="I1664">
        <v>10686686</v>
      </c>
      <c r="J1664">
        <v>4</v>
      </c>
      <c r="K1664">
        <v>48.9</v>
      </c>
      <c r="L1664">
        <v>48.9</v>
      </c>
      <c r="M1664">
        <v>0</v>
      </c>
      <c r="N1664" s="2">
        <v>37800</v>
      </c>
      <c r="O1664" s="2">
        <v>0</v>
      </c>
      <c r="P1664" s="2">
        <v>210</v>
      </c>
      <c r="Q1664" s="2">
        <v>0</v>
      </c>
      <c r="R1664" s="2">
        <v>0</v>
      </c>
      <c r="S1664">
        <v>0</v>
      </c>
      <c r="T1664" s="2">
        <v>0</v>
      </c>
      <c r="U1664" s="2">
        <v>37800</v>
      </c>
      <c r="V1664">
        <v>0</v>
      </c>
      <c r="W1664">
        <v>0</v>
      </c>
      <c r="X1664">
        <v>30</v>
      </c>
      <c r="Y1664" t="e">
        <v>#DIV/0!</v>
      </c>
      <c r="Z1664">
        <v>0.8</v>
      </c>
      <c r="AA1664" t="e">
        <v>#DIV/0!</v>
      </c>
      <c r="AB1664">
        <v>29.1</v>
      </c>
      <c r="AC1664">
        <v>0</v>
      </c>
      <c r="AD1664">
        <v>27.6</v>
      </c>
      <c r="AE1664" s="7"/>
      <c r="AF1664" s="7"/>
      <c r="AG1664" s="7"/>
      <c r="AH1664" s="7"/>
      <c r="AI1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64" s="7"/>
      <c r="AK1664" t="s">
        <v>899</v>
      </c>
      <c r="AL1664">
        <v>5</v>
      </c>
      <c r="AM1664">
        <v>4</v>
      </c>
      <c r="AN1664">
        <f>IFERROR(INT(Table13[[#This Row],[reject_prod]]/Table13[[#This Row],[part_weight]] * 1000), 0)</f>
        <v>16</v>
      </c>
    </row>
    <row r="1665" spans="1:40" hidden="1">
      <c r="A1665" s="1">
        <v>46072</v>
      </c>
      <c r="B1665">
        <v>1</v>
      </c>
      <c r="C1665">
        <v>11</v>
      </c>
      <c r="D1665" t="s">
        <v>59</v>
      </c>
      <c r="E1665" t="s">
        <v>46</v>
      </c>
      <c r="F1665">
        <v>552181</v>
      </c>
      <c r="G1665" s="6">
        <v>1</v>
      </c>
      <c r="H1665" t="s">
        <v>49</v>
      </c>
      <c r="I1665">
        <v>10686672</v>
      </c>
      <c r="J1665">
        <v>6</v>
      </c>
      <c r="K1665">
        <v>18.8</v>
      </c>
      <c r="L1665">
        <v>18.8</v>
      </c>
      <c r="M1665">
        <v>1350</v>
      </c>
      <c r="N1665" s="2">
        <v>108000</v>
      </c>
      <c r="O1665" s="2">
        <v>0</v>
      </c>
      <c r="P1665" s="2">
        <v>2700</v>
      </c>
      <c r="Q1665" s="2">
        <v>8100</v>
      </c>
      <c r="R1665" s="2">
        <v>5400</v>
      </c>
      <c r="S1665">
        <v>101.52</v>
      </c>
      <c r="T1665" s="2">
        <v>92010</v>
      </c>
      <c r="U1665" s="2">
        <v>15990</v>
      </c>
      <c r="V1665">
        <v>152.28</v>
      </c>
      <c r="W1665">
        <v>0</v>
      </c>
      <c r="X1665">
        <v>3</v>
      </c>
      <c r="Y1665">
        <v>1.9700551615445233E-2</v>
      </c>
      <c r="Z1665">
        <v>1</v>
      </c>
      <c r="AA1665">
        <v>6.5668505384817444E-3</v>
      </c>
      <c r="AB1665">
        <v>29.4</v>
      </c>
      <c r="AC1665">
        <v>11.024999999999999</v>
      </c>
      <c r="AD1665">
        <v>27</v>
      </c>
      <c r="AE1665" s="7"/>
      <c r="AF1665" s="7"/>
      <c r="AG1665" s="7"/>
      <c r="AH1665" s="7"/>
      <c r="AI1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0.97500000000000142</v>
      </c>
      <c r="AJ1665" s="7"/>
      <c r="AK1665" t="s">
        <v>51</v>
      </c>
      <c r="AL1665">
        <v>2</v>
      </c>
      <c r="AM1665">
        <v>1</v>
      </c>
      <c r="AN1665">
        <f>IFERROR(INT(Table13[[#This Row],[reject_prod]]/Table13[[#This Row],[part_weight]] * 1000), 0)</f>
        <v>53</v>
      </c>
    </row>
    <row r="1666" spans="1:40" hidden="1">
      <c r="A1666" s="1">
        <v>46072</v>
      </c>
      <c r="B1666">
        <v>1</v>
      </c>
      <c r="C1666">
        <v>12</v>
      </c>
      <c r="D1666" t="s">
        <v>900</v>
      </c>
      <c r="E1666" t="s">
        <v>34</v>
      </c>
      <c r="F1666">
        <v>620599</v>
      </c>
      <c r="G1666" s="6">
        <v>0</v>
      </c>
      <c r="H1666" t="s">
        <v>50</v>
      </c>
      <c r="I1666">
        <v>10686675</v>
      </c>
      <c r="J1666">
        <v>4</v>
      </c>
      <c r="K1666">
        <v>55</v>
      </c>
      <c r="L1666">
        <v>55</v>
      </c>
      <c r="M1666">
        <v>1120</v>
      </c>
      <c r="N1666" s="2">
        <v>72000</v>
      </c>
      <c r="O1666" s="2">
        <v>900</v>
      </c>
      <c r="P1666" s="2">
        <v>1575</v>
      </c>
      <c r="Q1666" s="2">
        <v>4480</v>
      </c>
      <c r="R1666" s="2">
        <v>3600</v>
      </c>
      <c r="S1666">
        <v>198</v>
      </c>
      <c r="T1666" s="2">
        <v>5175</v>
      </c>
      <c r="U1666" s="2">
        <v>66825</v>
      </c>
      <c r="V1666">
        <v>246.4</v>
      </c>
      <c r="W1666">
        <v>0</v>
      </c>
      <c r="X1666">
        <v>5</v>
      </c>
      <c r="Y1666">
        <v>2.0292207792207792E-2</v>
      </c>
      <c r="Z1666">
        <v>2.7</v>
      </c>
      <c r="AA1666">
        <v>1.0957792207792208E-2</v>
      </c>
      <c r="AB1666">
        <v>28.9</v>
      </c>
      <c r="AC1666">
        <v>8.9911111111111115</v>
      </c>
      <c r="AD1666">
        <v>28</v>
      </c>
      <c r="AE1666" s="7"/>
      <c r="AF1666" s="7"/>
      <c r="AG1666" s="7"/>
      <c r="AH1666" s="7"/>
      <c r="AI1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3.0088888888888885</v>
      </c>
      <c r="AJ1666" s="7"/>
      <c r="AK1666" t="s">
        <v>901</v>
      </c>
      <c r="AL1666">
        <v>4</v>
      </c>
      <c r="AM1666">
        <v>3</v>
      </c>
      <c r="AN1666">
        <f>IFERROR(INT(Table13[[#This Row],[reject_prod]]/Table13[[#This Row],[part_weight]] * 1000), 0)</f>
        <v>49</v>
      </c>
    </row>
    <row r="1667" spans="1:40" hidden="1">
      <c r="A1667" s="1">
        <v>46072</v>
      </c>
      <c r="B1667">
        <v>1</v>
      </c>
      <c r="C1667">
        <v>13</v>
      </c>
      <c r="D1667" t="s">
        <v>59</v>
      </c>
      <c r="E1667" t="s">
        <v>46</v>
      </c>
      <c r="F1667">
        <v>586276</v>
      </c>
      <c r="G1667" s="6">
        <v>2</v>
      </c>
      <c r="H1667" t="s">
        <v>47</v>
      </c>
      <c r="I1667">
        <v>10686676</v>
      </c>
      <c r="J1667">
        <v>6</v>
      </c>
      <c r="K1667">
        <v>12.3</v>
      </c>
      <c r="L1667">
        <v>12.3</v>
      </c>
      <c r="M1667">
        <v>1485</v>
      </c>
      <c r="N1667" s="2">
        <v>162000</v>
      </c>
      <c r="O1667" s="2">
        <v>1620</v>
      </c>
      <c r="P1667" s="2">
        <v>2430</v>
      </c>
      <c r="Q1667" s="2">
        <v>8910</v>
      </c>
      <c r="R1667" s="2">
        <v>8100</v>
      </c>
      <c r="S1667">
        <v>99.63</v>
      </c>
      <c r="T1667" s="2">
        <v>140130</v>
      </c>
      <c r="U1667" s="2">
        <v>21870</v>
      </c>
      <c r="V1667">
        <v>109.593</v>
      </c>
      <c r="W1667">
        <v>0</v>
      </c>
      <c r="X1667">
        <v>4.5</v>
      </c>
      <c r="Y1667">
        <v>4.1061016670772769E-2</v>
      </c>
      <c r="Z1667">
        <v>1.5</v>
      </c>
      <c r="AA1667">
        <v>1.3687005556924255E-2</v>
      </c>
      <c r="AB1667">
        <v>26.4</v>
      </c>
      <c r="AC1667">
        <v>10.89</v>
      </c>
      <c r="AD1667">
        <v>26</v>
      </c>
      <c r="AE1667" s="7"/>
      <c r="AF1667" s="7"/>
      <c r="AG1667" s="7"/>
      <c r="AH1667" s="7"/>
      <c r="AI1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1.1099999999999994</v>
      </c>
      <c r="AJ1667" s="7"/>
      <c r="AK1667" t="s">
        <v>51</v>
      </c>
      <c r="AL1667">
        <v>2</v>
      </c>
      <c r="AM1667">
        <v>1</v>
      </c>
      <c r="AN1667">
        <f>IFERROR(INT(Table13[[#This Row],[reject_prod]]/Table13[[#This Row],[part_weight]] * 1000), 0)</f>
        <v>121</v>
      </c>
    </row>
    <row r="1668" spans="1:40" hidden="1">
      <c r="A1668" s="1">
        <v>46072</v>
      </c>
      <c r="B1668">
        <v>1</v>
      </c>
      <c r="C1668">
        <v>14</v>
      </c>
      <c r="D1668" t="s">
        <v>56</v>
      </c>
      <c r="E1668" t="s">
        <v>34</v>
      </c>
      <c r="F1668">
        <v>541381</v>
      </c>
      <c r="G1668" s="6">
        <v>0</v>
      </c>
      <c r="H1668" t="s">
        <v>804</v>
      </c>
      <c r="I1668">
        <v>10686678</v>
      </c>
      <c r="J1668">
        <v>4</v>
      </c>
      <c r="K1668">
        <v>55</v>
      </c>
      <c r="L1668">
        <v>55</v>
      </c>
      <c r="M1668">
        <v>1320</v>
      </c>
      <c r="N1668" s="2">
        <v>84000</v>
      </c>
      <c r="O1668" s="2">
        <v>0</v>
      </c>
      <c r="P1668" s="2">
        <v>350</v>
      </c>
      <c r="Q1668" s="2">
        <v>5280</v>
      </c>
      <c r="R1668" s="2">
        <v>4900</v>
      </c>
      <c r="S1668">
        <v>269.5</v>
      </c>
      <c r="T1668" s="2">
        <v>25550</v>
      </c>
      <c r="U1668" s="2">
        <v>58450</v>
      </c>
      <c r="V1668">
        <v>290.39999999999998</v>
      </c>
      <c r="W1668">
        <v>0</v>
      </c>
      <c r="X1668">
        <v>5.6</v>
      </c>
      <c r="Y1668">
        <v>1.928374655647383E-2</v>
      </c>
      <c r="Z1668">
        <v>4.2</v>
      </c>
      <c r="AA1668">
        <v>1.4462809917355374E-2</v>
      </c>
      <c r="AB1668">
        <v>26</v>
      </c>
      <c r="AC1668">
        <v>9.5333333333333332</v>
      </c>
      <c r="AD1668">
        <v>30.08</v>
      </c>
      <c r="AE1668" s="7"/>
      <c r="AF1668" s="7"/>
      <c r="AG1668" s="7"/>
      <c r="AH1668" s="7"/>
      <c r="AI1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2.4666666666666668</v>
      </c>
      <c r="AJ1668" s="7"/>
      <c r="AK1668" t="s">
        <v>163</v>
      </c>
      <c r="AL1668">
        <v>3</v>
      </c>
      <c r="AM1668">
        <v>3</v>
      </c>
      <c r="AN1668">
        <f>IFERROR(INT(Table13[[#This Row],[reject_prod]]/Table13[[#This Row],[part_weight]] * 1000), 0)</f>
        <v>76</v>
      </c>
    </row>
    <row r="1669" spans="1:40" hidden="1">
      <c r="A1669" s="1">
        <v>46072</v>
      </c>
      <c r="B1669">
        <v>1</v>
      </c>
      <c r="C1669">
        <v>15</v>
      </c>
      <c r="D1669" t="s">
        <v>59</v>
      </c>
      <c r="E1669" t="s">
        <v>46</v>
      </c>
      <c r="F1669">
        <v>550076</v>
      </c>
      <c r="G1669" s="6">
        <v>0</v>
      </c>
      <c r="H1669" t="s">
        <v>857</v>
      </c>
      <c r="I1669">
        <v>10687863</v>
      </c>
      <c r="J1669">
        <v>6</v>
      </c>
      <c r="K1669">
        <v>18.8</v>
      </c>
      <c r="L1669">
        <v>18.8</v>
      </c>
      <c r="M1669">
        <v>1170</v>
      </c>
      <c r="N1669" s="2">
        <v>108000</v>
      </c>
      <c r="O1669" s="2">
        <v>1080</v>
      </c>
      <c r="P1669" s="2">
        <v>2700</v>
      </c>
      <c r="Q1669" s="2">
        <v>7020</v>
      </c>
      <c r="R1669" s="2">
        <v>5400</v>
      </c>
      <c r="S1669">
        <v>101.52</v>
      </c>
      <c r="T1669" s="2">
        <v>35100</v>
      </c>
      <c r="U1669" s="2">
        <v>72900</v>
      </c>
      <c r="V1669">
        <v>131.976</v>
      </c>
      <c r="W1669">
        <v>0</v>
      </c>
      <c r="X1669">
        <v>6</v>
      </c>
      <c r="Y1669">
        <v>4.546281142025823E-2</v>
      </c>
      <c r="Z1669">
        <v>2</v>
      </c>
      <c r="AA1669">
        <v>1.5154270473419411E-2</v>
      </c>
      <c r="AB1669">
        <v>31.2</v>
      </c>
      <c r="AC1669">
        <v>10.139999999999999</v>
      </c>
      <c r="AD1669">
        <v>22.5</v>
      </c>
      <c r="AE1669" s="7"/>
      <c r="AF1669" s="7"/>
      <c r="AG1669" s="7"/>
      <c r="AH1669" s="7"/>
      <c r="AI1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1.8600000000000012</v>
      </c>
      <c r="AJ1669" s="7"/>
      <c r="AK1669" t="s">
        <v>51</v>
      </c>
      <c r="AL1669">
        <v>2</v>
      </c>
      <c r="AM1669">
        <v>1</v>
      </c>
      <c r="AN1669">
        <f>IFERROR(INT(Table13[[#This Row],[reject_prod]]/Table13[[#This Row],[part_weight]] * 1000), 0)</f>
        <v>106</v>
      </c>
    </row>
    <row r="1670" spans="1:40" s="4" customFormat="1" hidden="1">
      <c r="A1670" s="3">
        <v>46072</v>
      </c>
      <c r="B1670" s="4">
        <v>1</v>
      </c>
      <c r="C1670" s="4">
        <v>16</v>
      </c>
      <c r="D1670" s="4" t="s">
        <v>902</v>
      </c>
      <c r="E1670" s="4" t="s">
        <v>46</v>
      </c>
      <c r="F1670" s="4">
        <v>555979</v>
      </c>
      <c r="G1670" s="9">
        <v>2</v>
      </c>
      <c r="H1670" s="4" t="s">
        <v>52</v>
      </c>
      <c r="I1670" s="4">
        <v>10683785</v>
      </c>
      <c r="J1670" s="4">
        <v>6</v>
      </c>
      <c r="K1670" s="4">
        <v>28</v>
      </c>
      <c r="L1670" s="4">
        <v>28</v>
      </c>
      <c r="M1670" s="4">
        <v>896</v>
      </c>
      <c r="N1670" s="5">
        <v>100800</v>
      </c>
      <c r="O1670" s="5">
        <v>168</v>
      </c>
      <c r="P1670" s="5">
        <v>2184</v>
      </c>
      <c r="Q1670" s="5">
        <v>5376</v>
      </c>
      <c r="R1670" s="5">
        <v>3360</v>
      </c>
      <c r="S1670" s="4">
        <v>94.08</v>
      </c>
      <c r="T1670" s="5">
        <v>62664</v>
      </c>
      <c r="U1670" s="5">
        <v>38136</v>
      </c>
      <c r="V1670" s="4">
        <v>150.52799999999999</v>
      </c>
      <c r="W1670" s="4">
        <v>0</v>
      </c>
      <c r="X1670" s="4">
        <v>1</v>
      </c>
      <c r="Y1670" s="4">
        <v>6.6432823129251705E-3</v>
      </c>
      <c r="Z1670" s="4">
        <v>0.6</v>
      </c>
      <c r="AA1670" s="4">
        <v>3.9859693877551021E-3</v>
      </c>
      <c r="AB1670" s="4">
        <v>43.5</v>
      </c>
      <c r="AC1670" s="4">
        <v>10.826666666666666</v>
      </c>
      <c r="AD1670" s="4">
        <v>42</v>
      </c>
      <c r="AE1670" s="8"/>
      <c r="AF1670" s="8"/>
      <c r="AG1670" s="8"/>
      <c r="AH1670" s="8"/>
      <c r="AI167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1.1733333333333338</v>
      </c>
      <c r="AJ1670" s="8"/>
      <c r="AK1670" s="4" t="s">
        <v>51</v>
      </c>
      <c r="AL1670" s="4">
        <v>2</v>
      </c>
      <c r="AM1670" s="4">
        <v>1.5</v>
      </c>
      <c r="AN1670">
        <f>IFERROR(INT(Table13[[#This Row],[reject_prod]]/Table13[[#This Row],[part_weight]] * 1000), 0)</f>
        <v>21</v>
      </c>
    </row>
    <row r="1671" spans="1:40" hidden="1">
      <c r="A1671" s="1">
        <v>46072</v>
      </c>
      <c r="B1671">
        <v>2</v>
      </c>
      <c r="C1671">
        <v>1</v>
      </c>
      <c r="D1671" t="s">
        <v>33</v>
      </c>
      <c r="E1671" t="s">
        <v>34</v>
      </c>
      <c r="F1671">
        <v>324682</v>
      </c>
      <c r="G1671" s="6">
        <v>0</v>
      </c>
      <c r="H1671" t="s">
        <v>889</v>
      </c>
      <c r="I1671">
        <v>10687748</v>
      </c>
      <c r="J1671">
        <v>4</v>
      </c>
      <c r="K1671">
        <v>33</v>
      </c>
      <c r="L1671">
        <v>33</v>
      </c>
      <c r="M1671">
        <v>0</v>
      </c>
      <c r="N1671" s="2">
        <v>18480</v>
      </c>
      <c r="O1671" s="2">
        <v>0</v>
      </c>
      <c r="P1671" s="2">
        <v>0</v>
      </c>
      <c r="Q1671" s="2">
        <v>0</v>
      </c>
      <c r="R1671" s="2">
        <v>0</v>
      </c>
      <c r="S1671">
        <v>0</v>
      </c>
      <c r="T1671" s="2">
        <v>0</v>
      </c>
      <c r="U1671" s="2">
        <v>18480</v>
      </c>
      <c r="V1671">
        <v>0</v>
      </c>
      <c r="W1671">
        <v>0</v>
      </c>
      <c r="X1671">
        <v>20.5</v>
      </c>
      <c r="Y1671" t="e">
        <v>#DIV/0!</v>
      </c>
      <c r="Z1671">
        <v>0</v>
      </c>
      <c r="AA1671" t="e">
        <v>#DIV/0!</v>
      </c>
      <c r="AB1671">
        <v>24</v>
      </c>
      <c r="AC1671">
        <v>0</v>
      </c>
      <c r="AD1671">
        <v>23.972000000000001</v>
      </c>
      <c r="AE1671" s="7"/>
      <c r="AF1671" s="7"/>
      <c r="AG1671" s="7"/>
      <c r="AH1671" s="7"/>
      <c r="AI1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71" s="7"/>
      <c r="AK1671" t="s">
        <v>903</v>
      </c>
      <c r="AN1671">
        <f>IFERROR(INT(Table13[[#This Row],[reject_prod]]/Table13[[#This Row],[part_weight]] * 1000), 0)</f>
        <v>0</v>
      </c>
    </row>
    <row r="1672" spans="1:40" hidden="1">
      <c r="A1672" s="1">
        <v>46072</v>
      </c>
      <c r="B1672">
        <v>2</v>
      </c>
      <c r="C1672">
        <v>2</v>
      </c>
      <c r="D1672" t="s">
        <v>430</v>
      </c>
      <c r="E1672" t="s">
        <v>34</v>
      </c>
      <c r="F1672">
        <v>322493</v>
      </c>
      <c r="G1672" s="6">
        <v>0</v>
      </c>
      <c r="H1672" t="s">
        <v>816</v>
      </c>
      <c r="I1672">
        <v>10686190</v>
      </c>
      <c r="J1672">
        <v>4</v>
      </c>
      <c r="K1672">
        <v>23</v>
      </c>
      <c r="L1672">
        <v>23</v>
      </c>
      <c r="M1672">
        <v>1621</v>
      </c>
      <c r="N1672" s="2">
        <v>61200</v>
      </c>
      <c r="O1672" s="2">
        <v>1020</v>
      </c>
      <c r="P1672" s="2">
        <v>1020</v>
      </c>
      <c r="Q1672" s="2">
        <v>6484</v>
      </c>
      <c r="R1672" s="2">
        <v>6375</v>
      </c>
      <c r="S1672">
        <v>146.625</v>
      </c>
      <c r="T1672" s="2">
        <v>57120</v>
      </c>
      <c r="U1672" s="2">
        <v>4080</v>
      </c>
      <c r="V1672">
        <v>149.13200000000001</v>
      </c>
      <c r="W1672">
        <v>0</v>
      </c>
      <c r="X1672">
        <v>0</v>
      </c>
      <c r="Y1672">
        <v>0</v>
      </c>
      <c r="Z1672">
        <v>2.5</v>
      </c>
      <c r="AA1672">
        <v>1.6763672451251242E-2</v>
      </c>
      <c r="AB1672">
        <v>26.4</v>
      </c>
      <c r="AC1672">
        <v>11.887333333333332</v>
      </c>
      <c r="AD1672">
        <v>22.5</v>
      </c>
      <c r="AE1672" s="7"/>
      <c r="AF1672" s="7"/>
      <c r="AG1672" s="7"/>
      <c r="AH1672" s="7"/>
      <c r="AI1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0.11266666666666758</v>
      </c>
      <c r="AJ1672" s="7"/>
      <c r="AK1672" t="s">
        <v>103</v>
      </c>
      <c r="AN1672">
        <f>IFERROR(INT(Table13[[#This Row],[reject_prod]]/Table13[[#This Row],[part_weight]] * 1000), 0)</f>
        <v>108</v>
      </c>
    </row>
    <row r="1673" spans="1:40" hidden="1">
      <c r="A1673" s="1">
        <v>46072</v>
      </c>
      <c r="B1673">
        <v>2</v>
      </c>
      <c r="C1673">
        <v>3</v>
      </c>
      <c r="D1673" t="s">
        <v>61</v>
      </c>
      <c r="E1673" t="s">
        <v>34</v>
      </c>
      <c r="F1673">
        <v>442034</v>
      </c>
      <c r="G1673" s="6">
        <v>0</v>
      </c>
      <c r="H1673" t="s">
        <v>37</v>
      </c>
      <c r="I1673">
        <v>10685634</v>
      </c>
      <c r="J1673">
        <v>4</v>
      </c>
      <c r="K1673">
        <v>23</v>
      </c>
      <c r="L1673">
        <v>23</v>
      </c>
      <c r="M1673">
        <v>1541</v>
      </c>
      <c r="N1673" s="2">
        <v>139776</v>
      </c>
      <c r="O1673" s="2">
        <v>3072</v>
      </c>
      <c r="P1673" s="2">
        <v>0</v>
      </c>
      <c r="Q1673" s="2">
        <v>6164</v>
      </c>
      <c r="R1673" s="2">
        <v>9216</v>
      </c>
      <c r="S1673">
        <v>211.96799999999999</v>
      </c>
      <c r="T1673" s="2">
        <v>18432</v>
      </c>
      <c r="U1673" s="2">
        <v>121344</v>
      </c>
      <c r="V1673">
        <v>141.77199999999999</v>
      </c>
      <c r="W1673">
        <v>0</v>
      </c>
      <c r="X1673">
        <v>0</v>
      </c>
      <c r="Y1673">
        <v>0</v>
      </c>
      <c r="Z1673">
        <v>0.5</v>
      </c>
      <c r="AA1673">
        <v>3.5267894929887425E-3</v>
      </c>
      <c r="AB1673">
        <v>28.5</v>
      </c>
      <c r="AC1673">
        <v>12</v>
      </c>
      <c r="AD1673">
        <v>22</v>
      </c>
      <c r="AE1673" s="7"/>
      <c r="AF1673" s="7"/>
      <c r="AG1673" s="7"/>
      <c r="AH1673" s="7"/>
      <c r="AI1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73" s="7"/>
      <c r="AK1673" t="s">
        <v>214</v>
      </c>
      <c r="AN1673">
        <f>IFERROR(INT(Table13[[#This Row],[reject_prod]]/Table13[[#This Row],[part_weight]] * 1000), 0)</f>
        <v>21</v>
      </c>
    </row>
    <row r="1674" spans="1:40" hidden="1">
      <c r="A1674" s="1">
        <v>46072</v>
      </c>
      <c r="B1674">
        <v>2</v>
      </c>
      <c r="C1674">
        <v>4</v>
      </c>
      <c r="D1674" t="s">
        <v>141</v>
      </c>
      <c r="E1674" t="s">
        <v>34</v>
      </c>
      <c r="F1674">
        <v>409780</v>
      </c>
      <c r="G1674" s="6">
        <v>0</v>
      </c>
      <c r="H1674" t="s">
        <v>829</v>
      </c>
      <c r="I1674">
        <v>10687750</v>
      </c>
      <c r="J1674">
        <v>3</v>
      </c>
      <c r="K1674">
        <v>29</v>
      </c>
      <c r="L1674">
        <v>29</v>
      </c>
      <c r="M1674">
        <v>1510</v>
      </c>
      <c r="N1674" s="2">
        <v>40608</v>
      </c>
      <c r="O1674" s="2">
        <v>846</v>
      </c>
      <c r="P1674" s="2">
        <v>1974</v>
      </c>
      <c r="Q1674" s="2">
        <v>4530</v>
      </c>
      <c r="R1674" s="2">
        <v>3384</v>
      </c>
      <c r="S1674">
        <v>98.135999999999996</v>
      </c>
      <c r="T1674" s="2">
        <v>25662</v>
      </c>
      <c r="U1674" s="2">
        <v>14946</v>
      </c>
      <c r="V1674">
        <v>131.37</v>
      </c>
      <c r="W1674">
        <v>0</v>
      </c>
      <c r="X1674">
        <v>0</v>
      </c>
      <c r="Y1674">
        <v>0</v>
      </c>
      <c r="Z1674">
        <v>0.5</v>
      </c>
      <c r="AA1674">
        <v>3.8060439978686153E-3</v>
      </c>
      <c r="AB1674">
        <v>26.27</v>
      </c>
      <c r="AC1674">
        <v>11.018805555555556</v>
      </c>
      <c r="AD1674">
        <v>24</v>
      </c>
      <c r="AE1674" s="7"/>
      <c r="AF1674" s="7"/>
      <c r="AG1674" s="7"/>
      <c r="AH1674" s="7"/>
      <c r="AI1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0.98119444444444426</v>
      </c>
      <c r="AJ1674" s="7"/>
      <c r="AK1674" t="s">
        <v>214</v>
      </c>
      <c r="AN1674">
        <f>IFERROR(INT(Table13[[#This Row],[reject_prod]]/Table13[[#This Row],[part_weight]] * 1000), 0)</f>
        <v>17</v>
      </c>
    </row>
    <row r="1675" spans="1:40" hidden="1">
      <c r="A1675" s="1">
        <v>46072</v>
      </c>
      <c r="B1675">
        <v>2</v>
      </c>
      <c r="C1675">
        <v>5</v>
      </c>
      <c r="D1675" t="s">
        <v>115</v>
      </c>
      <c r="E1675" t="s">
        <v>34</v>
      </c>
      <c r="F1675">
        <v>597507</v>
      </c>
      <c r="G1675" s="6">
        <v>0</v>
      </c>
      <c r="H1675" t="s">
        <v>279</v>
      </c>
      <c r="I1675">
        <v>10687752</v>
      </c>
      <c r="J1675">
        <v>4</v>
      </c>
      <c r="K1675">
        <v>23</v>
      </c>
      <c r="L1675">
        <v>23</v>
      </c>
      <c r="M1675">
        <v>975</v>
      </c>
      <c r="N1675" s="2">
        <v>86240</v>
      </c>
      <c r="O1675" s="2">
        <v>0</v>
      </c>
      <c r="P1675" s="2">
        <v>0</v>
      </c>
      <c r="Q1675" s="2">
        <v>3900</v>
      </c>
      <c r="R1675" s="2">
        <v>3234</v>
      </c>
      <c r="S1675">
        <v>74.382000000000005</v>
      </c>
      <c r="T1675" s="2">
        <v>3234</v>
      </c>
      <c r="U1675" s="2">
        <v>83006</v>
      </c>
      <c r="V1675">
        <v>89.7</v>
      </c>
      <c r="W1675">
        <v>0</v>
      </c>
      <c r="X1675">
        <v>13</v>
      </c>
      <c r="Y1675">
        <v>0.14492753623188406</v>
      </c>
      <c r="Z1675">
        <v>2.5</v>
      </c>
      <c r="AA1675">
        <v>2.7870680044593088E-2</v>
      </c>
      <c r="AB1675">
        <v>20.7</v>
      </c>
      <c r="AC1675">
        <v>5.6062500000000002</v>
      </c>
      <c r="AD1675">
        <v>22</v>
      </c>
      <c r="AE1675" s="7"/>
      <c r="AF1675" s="7"/>
      <c r="AG1675" s="7"/>
      <c r="AH1675" s="7"/>
      <c r="AI1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6.3937499999999998</v>
      </c>
      <c r="AJ1675" s="7"/>
      <c r="AK1675" t="s">
        <v>904</v>
      </c>
      <c r="AN1675">
        <f>IFERROR(INT(Table13[[#This Row],[reject_prod]]/Table13[[#This Row],[part_weight]] * 1000), 0)</f>
        <v>108</v>
      </c>
    </row>
    <row r="1676" spans="1:40" hidden="1">
      <c r="A1676" s="1">
        <v>46072</v>
      </c>
      <c r="B1676">
        <v>2</v>
      </c>
      <c r="C1676">
        <v>6</v>
      </c>
      <c r="D1676" t="s">
        <v>328</v>
      </c>
      <c r="E1676" t="s">
        <v>41</v>
      </c>
      <c r="F1676">
        <v>620994</v>
      </c>
      <c r="G1676" s="6">
        <v>0</v>
      </c>
      <c r="H1676" t="s">
        <v>42</v>
      </c>
      <c r="I1676">
        <v>10686806</v>
      </c>
      <c r="J1676">
        <v>4</v>
      </c>
      <c r="K1676">
        <v>32.74</v>
      </c>
      <c r="L1676">
        <v>33</v>
      </c>
      <c r="M1676">
        <v>1616</v>
      </c>
      <c r="N1676" s="2">
        <v>104192</v>
      </c>
      <c r="O1676" s="2">
        <v>1184</v>
      </c>
      <c r="P1676" s="2">
        <v>296</v>
      </c>
      <c r="Q1676" s="2">
        <v>6464</v>
      </c>
      <c r="R1676" s="2">
        <v>7104</v>
      </c>
      <c r="S1676">
        <v>234.43199999999999</v>
      </c>
      <c r="T1676" s="2">
        <v>46472</v>
      </c>
      <c r="U1676" s="2">
        <v>57720</v>
      </c>
      <c r="V1676">
        <v>213.31200000000001</v>
      </c>
      <c r="W1676">
        <v>0</v>
      </c>
      <c r="X1676">
        <v>0</v>
      </c>
      <c r="Y1676">
        <v>0</v>
      </c>
      <c r="Z1676">
        <v>2.2999999999999998</v>
      </c>
      <c r="AA1676">
        <v>1.078232823282328E-2</v>
      </c>
      <c r="AB1676">
        <v>23.9</v>
      </c>
      <c r="AC1676">
        <v>10.728444444444444</v>
      </c>
      <c r="AD1676">
        <v>22</v>
      </c>
      <c r="AE1676" s="7"/>
      <c r="AF1676" s="7"/>
      <c r="AG1676" s="7"/>
      <c r="AH1676" s="7"/>
      <c r="AI1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1.2715555555555564</v>
      </c>
      <c r="AJ1676" s="7"/>
      <c r="AK1676" t="s">
        <v>214</v>
      </c>
      <c r="AN1676">
        <f>IFERROR(INT(Table13[[#This Row],[reject_prod]]/Table13[[#This Row],[part_weight]] * 1000), 0)</f>
        <v>69</v>
      </c>
    </row>
    <row r="1677" spans="1:40" hidden="1">
      <c r="A1677" s="1">
        <v>46072</v>
      </c>
      <c r="B1677">
        <v>2</v>
      </c>
      <c r="C1677">
        <v>7</v>
      </c>
      <c r="D1677" t="s">
        <v>143</v>
      </c>
      <c r="E1677" t="s">
        <v>34</v>
      </c>
      <c r="F1677">
        <v>324177</v>
      </c>
      <c r="G1677" s="6">
        <v>0</v>
      </c>
      <c r="H1677" t="s">
        <v>246</v>
      </c>
      <c r="I1677">
        <v>10686803</v>
      </c>
      <c r="J1677">
        <v>4</v>
      </c>
      <c r="K1677">
        <v>34.5</v>
      </c>
      <c r="L1677">
        <v>34.5</v>
      </c>
      <c r="M1677">
        <v>1676</v>
      </c>
      <c r="N1677" s="2">
        <v>93600</v>
      </c>
      <c r="O1677" s="2">
        <v>3808</v>
      </c>
      <c r="P1677" s="2">
        <v>936</v>
      </c>
      <c r="Q1677" s="2">
        <v>6704</v>
      </c>
      <c r="R1677" s="2">
        <v>9360</v>
      </c>
      <c r="S1677">
        <v>322.92</v>
      </c>
      <c r="T1677" s="2">
        <v>80496</v>
      </c>
      <c r="U1677" s="2">
        <v>13104</v>
      </c>
      <c r="V1677">
        <v>231.28800000000001</v>
      </c>
      <c r="W1677">
        <v>0</v>
      </c>
      <c r="X1677">
        <v>0</v>
      </c>
      <c r="Y1677">
        <v>0</v>
      </c>
      <c r="Z1677">
        <v>7.6</v>
      </c>
      <c r="AA1677">
        <v>3.2859465255439105E-2</v>
      </c>
      <c r="AB1677">
        <v>22.2</v>
      </c>
      <c r="AC1677">
        <v>10.335333333333333</v>
      </c>
      <c r="AD1677">
        <v>22</v>
      </c>
      <c r="AE1677" s="7"/>
      <c r="AF1677" s="7"/>
      <c r="AG1677" s="7"/>
      <c r="AH1677" s="7"/>
      <c r="AI1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1.6646666666666672</v>
      </c>
      <c r="AJ1677" s="7"/>
      <c r="AK1677" t="s">
        <v>168</v>
      </c>
      <c r="AN1677">
        <f>IFERROR(INT(Table13[[#This Row],[reject_prod]]/Table13[[#This Row],[part_weight]] * 1000), 0)</f>
        <v>220</v>
      </c>
    </row>
    <row r="1678" spans="1:40" hidden="1">
      <c r="A1678" s="1">
        <v>46072</v>
      </c>
      <c r="B1678">
        <v>2</v>
      </c>
      <c r="C1678">
        <v>8</v>
      </c>
      <c r="D1678" t="s">
        <v>668</v>
      </c>
      <c r="E1678" t="s">
        <v>41</v>
      </c>
      <c r="F1678">
        <v>593537</v>
      </c>
      <c r="G1678" s="6">
        <v>0</v>
      </c>
      <c r="H1678" t="s">
        <v>48</v>
      </c>
      <c r="I1678">
        <v>10687586</v>
      </c>
      <c r="J1678">
        <v>4</v>
      </c>
      <c r="K1678">
        <v>56.5</v>
      </c>
      <c r="L1678">
        <v>56.8</v>
      </c>
      <c r="M1678">
        <v>1359</v>
      </c>
      <c r="N1678" s="2">
        <v>69000</v>
      </c>
      <c r="O1678" s="2">
        <v>460</v>
      </c>
      <c r="P1678" s="2">
        <v>115</v>
      </c>
      <c r="Q1678" s="2">
        <v>5436</v>
      </c>
      <c r="R1678" s="2">
        <v>5750</v>
      </c>
      <c r="S1678">
        <v>326.60000000000002</v>
      </c>
      <c r="T1678" s="2">
        <v>55315</v>
      </c>
      <c r="U1678" s="2">
        <v>13685</v>
      </c>
      <c r="V1678">
        <v>308.76479999999998</v>
      </c>
      <c r="W1678">
        <v>0</v>
      </c>
      <c r="X1678">
        <v>0</v>
      </c>
      <c r="Y1678">
        <v>0</v>
      </c>
      <c r="Z1678">
        <v>1.5</v>
      </c>
      <c r="AA1678">
        <v>4.8580667226315955E-3</v>
      </c>
      <c r="AB1678">
        <v>30.4</v>
      </c>
      <c r="AC1678">
        <v>11.475999999999999</v>
      </c>
      <c r="AD1678">
        <v>28.5</v>
      </c>
      <c r="AE1678" s="7"/>
      <c r="AF1678" s="7"/>
      <c r="AG1678" s="7"/>
      <c r="AH1678" s="7"/>
      <c r="AI1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0.52400000000000091</v>
      </c>
      <c r="AJ1678" s="7"/>
      <c r="AK1678" t="s">
        <v>178</v>
      </c>
      <c r="AN1678">
        <f>IFERROR(INT(Table13[[#This Row],[reject_prod]]/Table13[[#This Row],[part_weight]] * 1000), 0)</f>
        <v>26</v>
      </c>
    </row>
    <row r="1679" spans="1:40" hidden="1">
      <c r="A1679" s="1">
        <v>46072</v>
      </c>
      <c r="B1679">
        <v>2</v>
      </c>
      <c r="C1679">
        <v>9</v>
      </c>
      <c r="D1679" t="s">
        <v>67</v>
      </c>
      <c r="E1679" t="s">
        <v>46</v>
      </c>
      <c r="F1679">
        <v>586276</v>
      </c>
      <c r="G1679" s="6">
        <v>1</v>
      </c>
      <c r="H1679" t="s">
        <v>47</v>
      </c>
      <c r="I1679">
        <v>10686684</v>
      </c>
      <c r="J1679">
        <v>6</v>
      </c>
      <c r="K1679">
        <v>12.3</v>
      </c>
      <c r="L1679">
        <v>12.3</v>
      </c>
      <c r="M1679">
        <v>1627</v>
      </c>
      <c r="N1679" s="2">
        <v>162000</v>
      </c>
      <c r="O1679" s="2">
        <v>405</v>
      </c>
      <c r="P1679" s="2">
        <v>2025</v>
      </c>
      <c r="Q1679" s="2">
        <v>9762</v>
      </c>
      <c r="R1679" s="2">
        <v>8100</v>
      </c>
      <c r="S1679">
        <v>99.63</v>
      </c>
      <c r="T1679" s="2">
        <v>18225</v>
      </c>
      <c r="U1679" s="2">
        <v>143775</v>
      </c>
      <c r="V1679">
        <v>120.07260000000001</v>
      </c>
      <c r="W1679">
        <v>0</v>
      </c>
      <c r="X1679">
        <v>0</v>
      </c>
      <c r="Y1679">
        <v>0</v>
      </c>
      <c r="Z1679">
        <v>0.5</v>
      </c>
      <c r="AA1679">
        <v>4.1641473575153697E-3</v>
      </c>
      <c r="AB1679">
        <v>26.5</v>
      </c>
      <c r="AC1679">
        <v>11.976527777777777</v>
      </c>
      <c r="AD1679">
        <v>26</v>
      </c>
      <c r="AE1679" s="7"/>
      <c r="AF1679" s="7"/>
      <c r="AG1679" s="7"/>
      <c r="AH1679" s="7"/>
      <c r="AI1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679" s="7"/>
      <c r="AK1679" t="s">
        <v>51</v>
      </c>
      <c r="AN1679">
        <f>IFERROR(INT(Table13[[#This Row],[reject_prod]]/Table13[[#This Row],[part_weight]] * 1000), 0)</f>
        <v>40</v>
      </c>
    </row>
    <row r="1680" spans="1:40" hidden="1">
      <c r="A1680" s="1">
        <v>46072</v>
      </c>
      <c r="B1680">
        <v>2</v>
      </c>
      <c r="C1680">
        <v>10</v>
      </c>
      <c r="D1680" t="s">
        <v>115</v>
      </c>
      <c r="E1680" t="s">
        <v>34</v>
      </c>
      <c r="F1680">
        <v>323092</v>
      </c>
      <c r="G1680" s="6">
        <v>0</v>
      </c>
      <c r="H1680" t="s">
        <v>377</v>
      </c>
      <c r="I1680">
        <v>10686686</v>
      </c>
      <c r="J1680">
        <v>4</v>
      </c>
      <c r="K1680">
        <v>48.9</v>
      </c>
      <c r="L1680">
        <v>48.9</v>
      </c>
      <c r="M1680">
        <v>340</v>
      </c>
      <c r="N1680" s="2">
        <v>37800</v>
      </c>
      <c r="O1680" s="2">
        <v>210</v>
      </c>
      <c r="P1680" s="2">
        <v>1365</v>
      </c>
      <c r="Q1680" s="2">
        <v>1360</v>
      </c>
      <c r="R1680" s="2">
        <v>0</v>
      </c>
      <c r="S1680">
        <v>0</v>
      </c>
      <c r="T1680" s="2">
        <v>1365</v>
      </c>
      <c r="U1680" s="2">
        <v>36435</v>
      </c>
      <c r="V1680">
        <v>66.504000000000005</v>
      </c>
      <c r="W1680">
        <v>0</v>
      </c>
      <c r="X1680">
        <v>10</v>
      </c>
      <c r="Y1680">
        <v>0.1503668952243474</v>
      </c>
      <c r="Z1680">
        <v>0</v>
      </c>
      <c r="AA1680">
        <v>0</v>
      </c>
      <c r="AB1680">
        <v>29.1</v>
      </c>
      <c r="AC1680">
        <v>2.7483333333333331</v>
      </c>
      <c r="AD1680">
        <v>27.6</v>
      </c>
      <c r="AE1680" s="7"/>
      <c r="AF1680" s="7"/>
      <c r="AG1680" s="7"/>
      <c r="AH1680" s="7"/>
      <c r="AI1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9.2516666666666669</v>
      </c>
      <c r="AJ1680" s="7"/>
      <c r="AK1680" t="s">
        <v>905</v>
      </c>
      <c r="AN1680">
        <f>IFERROR(INT(Table13[[#This Row],[reject_prod]]/Table13[[#This Row],[part_weight]] * 1000), 0)</f>
        <v>0</v>
      </c>
    </row>
    <row r="1681" spans="1:40" hidden="1">
      <c r="A1681" s="1">
        <v>46072</v>
      </c>
      <c r="B1681">
        <v>2</v>
      </c>
      <c r="C1681">
        <v>11</v>
      </c>
      <c r="D1681" t="s">
        <v>112</v>
      </c>
      <c r="E1681" t="s">
        <v>46</v>
      </c>
      <c r="F1681">
        <v>552181</v>
      </c>
      <c r="G1681" s="6">
        <v>1</v>
      </c>
      <c r="H1681" t="s">
        <v>49</v>
      </c>
      <c r="I1681">
        <v>10686672</v>
      </c>
      <c r="J1681">
        <v>6</v>
      </c>
      <c r="K1681">
        <v>18.8</v>
      </c>
      <c r="L1681">
        <v>18.8</v>
      </c>
      <c r="M1681">
        <v>1416</v>
      </c>
      <c r="N1681" s="2">
        <v>108000</v>
      </c>
      <c r="O1681" s="2">
        <v>2700</v>
      </c>
      <c r="P1681" s="2">
        <v>11070</v>
      </c>
      <c r="Q1681" s="2">
        <v>8496</v>
      </c>
      <c r="R1681" s="2">
        <v>0</v>
      </c>
      <c r="S1681">
        <v>0</v>
      </c>
      <c r="T1681" s="2">
        <v>102870</v>
      </c>
      <c r="U1681" s="2">
        <v>5130</v>
      </c>
      <c r="V1681">
        <v>159.72480000000002</v>
      </c>
      <c r="W1681">
        <v>0</v>
      </c>
      <c r="X1681">
        <v>0</v>
      </c>
      <c r="Y1681">
        <v>0</v>
      </c>
      <c r="Z1681">
        <v>2.4</v>
      </c>
      <c r="AA1681">
        <v>1.5025844452458225E-2</v>
      </c>
      <c r="AB1681">
        <v>29.4</v>
      </c>
      <c r="AC1681">
        <v>11.563999999999998</v>
      </c>
      <c r="AD1681">
        <v>27</v>
      </c>
      <c r="AE1681" s="7"/>
      <c r="AF1681" s="7"/>
      <c r="AG1681" s="7"/>
      <c r="AH1681" s="7"/>
      <c r="AI1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0.43600000000000172</v>
      </c>
      <c r="AJ1681" s="7"/>
      <c r="AK1681" t="s">
        <v>906</v>
      </c>
      <c r="AN1681">
        <f>IFERROR(INT(Table13[[#This Row],[reject_prod]]/Table13[[#This Row],[part_weight]] * 1000), 0)</f>
        <v>127</v>
      </c>
    </row>
    <row r="1682" spans="1:40" hidden="1">
      <c r="A1682" s="1">
        <v>46072</v>
      </c>
      <c r="B1682">
        <v>2</v>
      </c>
      <c r="C1682">
        <v>12</v>
      </c>
      <c r="D1682" t="s">
        <v>65</v>
      </c>
      <c r="E1682" t="s">
        <v>34</v>
      </c>
      <c r="F1682">
        <v>620599</v>
      </c>
      <c r="G1682" s="6">
        <v>0</v>
      </c>
      <c r="H1682" t="s">
        <v>50</v>
      </c>
      <c r="I1682">
        <v>10686675</v>
      </c>
      <c r="J1682">
        <v>4</v>
      </c>
      <c r="K1682">
        <v>55</v>
      </c>
      <c r="L1682">
        <v>55</v>
      </c>
      <c r="M1682">
        <v>1419</v>
      </c>
      <c r="N1682" s="2">
        <v>72000</v>
      </c>
      <c r="O1682" s="2">
        <v>1575</v>
      </c>
      <c r="P1682" s="2">
        <v>0</v>
      </c>
      <c r="Q1682" s="2">
        <v>5676</v>
      </c>
      <c r="R1682" s="2">
        <v>7200</v>
      </c>
      <c r="S1682">
        <v>396</v>
      </c>
      <c r="T1682" s="2">
        <v>10800</v>
      </c>
      <c r="U1682" s="2">
        <v>61200</v>
      </c>
      <c r="V1682">
        <v>312.18</v>
      </c>
      <c r="W1682">
        <v>0</v>
      </c>
      <c r="X1682">
        <v>0</v>
      </c>
      <c r="Y1682">
        <v>0</v>
      </c>
      <c r="Z1682">
        <v>2.5</v>
      </c>
      <c r="AA1682">
        <v>8.0082003972067398E-3</v>
      </c>
      <c r="AB1682">
        <v>28.9</v>
      </c>
      <c r="AC1682">
        <v>11.391416666666666</v>
      </c>
      <c r="AD1682">
        <v>28</v>
      </c>
      <c r="AE1682" s="7"/>
      <c r="AF1682" s="7"/>
      <c r="AG1682" s="7"/>
      <c r="AH1682" s="7"/>
      <c r="AI1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0.6085833333333337</v>
      </c>
      <c r="AJ1682" s="7"/>
      <c r="AK1682" t="s">
        <v>178</v>
      </c>
      <c r="AN1682">
        <f>IFERROR(INT(Table13[[#This Row],[reject_prod]]/Table13[[#This Row],[part_weight]] * 1000), 0)</f>
        <v>45</v>
      </c>
    </row>
    <row r="1683" spans="1:40" hidden="1">
      <c r="A1683" s="1">
        <v>46072</v>
      </c>
      <c r="B1683">
        <v>2</v>
      </c>
      <c r="C1683">
        <v>13</v>
      </c>
      <c r="D1683" t="s">
        <v>112</v>
      </c>
      <c r="E1683" t="s">
        <v>46</v>
      </c>
      <c r="F1683">
        <v>586276</v>
      </c>
      <c r="G1683" s="6">
        <v>2</v>
      </c>
      <c r="H1683" t="s">
        <v>47</v>
      </c>
      <c r="I1683">
        <v>10686676</v>
      </c>
      <c r="J1683">
        <v>6</v>
      </c>
      <c r="K1683">
        <v>12.3</v>
      </c>
      <c r="L1683">
        <v>12.3</v>
      </c>
      <c r="M1683">
        <v>1561</v>
      </c>
      <c r="N1683" s="2">
        <v>162000</v>
      </c>
      <c r="O1683" s="2">
        <v>2430</v>
      </c>
      <c r="P1683" s="2">
        <v>3645</v>
      </c>
      <c r="Q1683" s="2">
        <v>9366</v>
      </c>
      <c r="R1683" s="2">
        <v>8100</v>
      </c>
      <c r="S1683">
        <v>99.63</v>
      </c>
      <c r="T1683" s="2">
        <v>149445</v>
      </c>
      <c r="U1683" s="2">
        <v>12555</v>
      </c>
      <c r="V1683">
        <v>115.20180000000001</v>
      </c>
      <c r="W1683">
        <v>0</v>
      </c>
      <c r="X1683">
        <v>0</v>
      </c>
      <c r="Y1683">
        <v>0</v>
      </c>
      <c r="Z1683">
        <v>0.5</v>
      </c>
      <c r="AA1683">
        <v>4.3402099619971211E-3</v>
      </c>
      <c r="AB1683">
        <v>26.4</v>
      </c>
      <c r="AC1683">
        <v>11.447333333333333</v>
      </c>
      <c r="AD1683">
        <v>26</v>
      </c>
      <c r="AE1683" s="7"/>
      <c r="AF1683" s="7"/>
      <c r="AG1683" s="7"/>
      <c r="AH1683" s="7"/>
      <c r="AI1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0.55266666666666708</v>
      </c>
      <c r="AJ1683" s="7"/>
      <c r="AK1683" t="s">
        <v>51</v>
      </c>
      <c r="AN1683">
        <f>IFERROR(INT(Table13[[#This Row],[reject_prod]]/Table13[[#This Row],[part_weight]] * 1000), 0)</f>
        <v>40</v>
      </c>
    </row>
    <row r="1684" spans="1:40" hidden="1">
      <c r="A1684" s="1">
        <v>46072</v>
      </c>
      <c r="B1684">
        <v>2</v>
      </c>
      <c r="C1684">
        <v>14</v>
      </c>
      <c r="D1684" t="s">
        <v>152</v>
      </c>
      <c r="E1684" t="s">
        <v>34</v>
      </c>
      <c r="F1684">
        <v>541381</v>
      </c>
      <c r="G1684" s="6">
        <v>0</v>
      </c>
      <c r="H1684" t="s">
        <v>804</v>
      </c>
      <c r="I1684">
        <v>10686678</v>
      </c>
      <c r="J1684">
        <v>4</v>
      </c>
      <c r="K1684">
        <v>55</v>
      </c>
      <c r="L1684">
        <v>55</v>
      </c>
      <c r="M1684">
        <v>1474</v>
      </c>
      <c r="N1684" s="2">
        <v>84000</v>
      </c>
      <c r="O1684" s="2">
        <v>350</v>
      </c>
      <c r="P1684" s="2">
        <v>525</v>
      </c>
      <c r="Q1684" s="2">
        <v>5896</v>
      </c>
      <c r="R1684" s="2">
        <v>5600</v>
      </c>
      <c r="S1684">
        <v>308</v>
      </c>
      <c r="T1684" s="2">
        <v>31325</v>
      </c>
      <c r="U1684" s="2">
        <v>52675</v>
      </c>
      <c r="V1684">
        <v>324.27999999999997</v>
      </c>
      <c r="W1684">
        <v>0</v>
      </c>
      <c r="X1684">
        <v>0</v>
      </c>
      <c r="Y1684">
        <v>0</v>
      </c>
      <c r="Z1684">
        <v>6.6</v>
      </c>
      <c r="AA1684">
        <v>2.0352781546811399E-2</v>
      </c>
      <c r="AB1684">
        <v>27.81</v>
      </c>
      <c r="AC1684">
        <v>11.386649999999999</v>
      </c>
      <c r="AD1684">
        <v>30.08</v>
      </c>
      <c r="AE1684" s="7"/>
      <c r="AF1684" s="7"/>
      <c r="AG1684" s="7"/>
      <c r="AH1684" s="7"/>
      <c r="AI1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0.61335000000000051</v>
      </c>
      <c r="AJ1684" s="7"/>
      <c r="AK1684" t="s">
        <v>907</v>
      </c>
      <c r="AN1684">
        <f>IFERROR(INT(Table13[[#This Row],[reject_prod]]/Table13[[#This Row],[part_weight]] * 1000), 0)</f>
        <v>120</v>
      </c>
    </row>
    <row r="1685" spans="1:40" hidden="1">
      <c r="A1685" s="1">
        <v>46072</v>
      </c>
      <c r="B1685">
        <v>2</v>
      </c>
      <c r="C1685">
        <v>15</v>
      </c>
      <c r="D1685" t="s">
        <v>112</v>
      </c>
      <c r="E1685" t="s">
        <v>46</v>
      </c>
      <c r="F1685">
        <v>550076</v>
      </c>
      <c r="G1685" s="6">
        <v>0</v>
      </c>
      <c r="H1685" t="s">
        <v>857</v>
      </c>
      <c r="I1685">
        <v>10687863</v>
      </c>
      <c r="J1685">
        <v>6</v>
      </c>
      <c r="K1685">
        <v>18.8</v>
      </c>
      <c r="L1685">
        <v>18.8</v>
      </c>
      <c r="M1685">
        <v>1355</v>
      </c>
      <c r="N1685" s="2">
        <v>108000</v>
      </c>
      <c r="O1685" s="2">
        <v>2700</v>
      </c>
      <c r="P1685" s="2">
        <v>0</v>
      </c>
      <c r="Q1685" s="2">
        <v>8130</v>
      </c>
      <c r="R1685" s="2">
        <v>10800</v>
      </c>
      <c r="S1685">
        <v>203.04</v>
      </c>
      <c r="T1685" s="2">
        <v>43200</v>
      </c>
      <c r="U1685" s="2">
        <v>64800</v>
      </c>
      <c r="V1685">
        <v>152.84399999999999</v>
      </c>
      <c r="W1685">
        <v>0</v>
      </c>
      <c r="X1685">
        <v>0</v>
      </c>
      <c r="Y1685">
        <v>0</v>
      </c>
      <c r="Z1685">
        <v>0.5</v>
      </c>
      <c r="AA1685">
        <v>3.2713093088377692E-3</v>
      </c>
      <c r="AB1685">
        <v>31.3</v>
      </c>
      <c r="AC1685">
        <v>11.780972222222221</v>
      </c>
      <c r="AD1685">
        <v>22.5</v>
      </c>
      <c r="AE1685" s="7"/>
      <c r="AF1685" s="7"/>
      <c r="AG1685" s="7"/>
      <c r="AH1685" s="7"/>
      <c r="AI1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0.21902777777777871</v>
      </c>
      <c r="AJ1685" s="7"/>
      <c r="AK1685" t="s">
        <v>51</v>
      </c>
      <c r="AN1685">
        <f>IFERROR(INT(Table13[[#This Row],[reject_prod]]/Table13[[#This Row],[part_weight]] * 1000), 0)</f>
        <v>26</v>
      </c>
    </row>
    <row r="1686" spans="1:40" s="4" customFormat="1" hidden="1">
      <c r="A1686" s="3">
        <v>46072</v>
      </c>
      <c r="B1686" s="4">
        <v>2</v>
      </c>
      <c r="C1686" s="4">
        <v>16</v>
      </c>
      <c r="D1686" s="4" t="s">
        <v>908</v>
      </c>
      <c r="E1686" s="4" t="s">
        <v>46</v>
      </c>
      <c r="F1686" s="4">
        <v>555979</v>
      </c>
      <c r="G1686" s="9">
        <v>2</v>
      </c>
      <c r="H1686" s="4" t="s">
        <v>52</v>
      </c>
      <c r="I1686" s="4">
        <v>10683785</v>
      </c>
      <c r="J1686" s="4">
        <v>6</v>
      </c>
      <c r="K1686" s="4">
        <v>28</v>
      </c>
      <c r="L1686" s="4">
        <v>28</v>
      </c>
      <c r="M1686" s="4">
        <v>956</v>
      </c>
      <c r="N1686" s="5">
        <v>100800</v>
      </c>
      <c r="O1686" s="5">
        <v>2184</v>
      </c>
      <c r="P1686" s="5">
        <v>1176</v>
      </c>
      <c r="Q1686" s="5">
        <v>5736</v>
      </c>
      <c r="R1686" s="5">
        <v>6720</v>
      </c>
      <c r="S1686" s="4">
        <v>188.16</v>
      </c>
      <c r="T1686" s="5">
        <v>68376</v>
      </c>
      <c r="U1686" s="5">
        <v>32424</v>
      </c>
      <c r="V1686" s="4">
        <v>160.608</v>
      </c>
      <c r="W1686" s="4">
        <v>0</v>
      </c>
      <c r="X1686" s="4">
        <v>0</v>
      </c>
      <c r="Y1686" s="4">
        <v>0</v>
      </c>
      <c r="Z1686" s="4">
        <v>0.5</v>
      </c>
      <c r="AA1686" s="4">
        <v>3.1131699541741384E-3</v>
      </c>
      <c r="AB1686" s="4">
        <v>43.5</v>
      </c>
      <c r="AC1686" s="4">
        <v>11.551666666666666</v>
      </c>
      <c r="AD1686" s="4">
        <v>42</v>
      </c>
      <c r="AE1686" s="8"/>
      <c r="AF1686" s="8"/>
      <c r="AG1686" s="8"/>
      <c r="AH1686" s="8"/>
      <c r="AI168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0.44833333333333414</v>
      </c>
      <c r="AJ1686" s="8"/>
      <c r="AK1686" s="4" t="s">
        <v>51</v>
      </c>
      <c r="AN1686">
        <f>IFERROR(INT(Table13[[#This Row],[reject_prod]]/Table13[[#This Row],[part_weight]] * 1000), 0)</f>
        <v>17</v>
      </c>
    </row>
    <row r="1687" spans="1:40" hidden="1">
      <c r="A1687" s="1">
        <v>46073</v>
      </c>
      <c r="B1687">
        <v>1</v>
      </c>
      <c r="C1687">
        <v>1</v>
      </c>
      <c r="D1687" t="s">
        <v>203</v>
      </c>
      <c r="E1687" t="s">
        <v>34</v>
      </c>
      <c r="F1687">
        <v>324682</v>
      </c>
      <c r="G1687" s="6">
        <v>0</v>
      </c>
      <c r="H1687" t="s">
        <v>889</v>
      </c>
      <c r="I1687">
        <v>10687748</v>
      </c>
      <c r="J1687">
        <v>4</v>
      </c>
      <c r="K1687">
        <v>33</v>
      </c>
      <c r="L1687">
        <v>33</v>
      </c>
      <c r="M1687">
        <v>1463</v>
      </c>
      <c r="N1687" s="2">
        <v>18480</v>
      </c>
      <c r="O1687" s="2">
        <v>0</v>
      </c>
      <c r="P1687" s="2">
        <v>308</v>
      </c>
      <c r="Q1687" s="2">
        <v>5852</v>
      </c>
      <c r="R1687" s="2">
        <v>5544</v>
      </c>
      <c r="S1687">
        <v>182.952</v>
      </c>
      <c r="T1687" s="2">
        <v>5852</v>
      </c>
      <c r="U1687" s="2">
        <v>12628</v>
      </c>
      <c r="V1687">
        <v>193.11600000000001</v>
      </c>
      <c r="W1687">
        <v>0</v>
      </c>
      <c r="X1687">
        <v>5</v>
      </c>
      <c r="Y1687">
        <v>2.5891174216533065E-2</v>
      </c>
      <c r="Z1687">
        <v>1.7</v>
      </c>
      <c r="AA1687">
        <v>8.8029992336212427E-3</v>
      </c>
      <c r="AB1687">
        <v>27.4</v>
      </c>
      <c r="AC1687">
        <v>11.135055555555555</v>
      </c>
      <c r="AD1687">
        <v>23.972000000000001</v>
      </c>
      <c r="AE1687" s="7"/>
      <c r="AF1687" s="7"/>
      <c r="AG1687" s="7"/>
      <c r="AH1687" s="7"/>
      <c r="AI1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0.86494444444444518</v>
      </c>
      <c r="AJ1687" s="7"/>
      <c r="AK1687" t="s">
        <v>909</v>
      </c>
      <c r="AN1687">
        <f>IFERROR(INT(Table13[[#This Row],[reject_prod]]/Table13[[#This Row],[part_weight]] * 1000), 0)</f>
        <v>51</v>
      </c>
    </row>
    <row r="1688" spans="1:40" hidden="1">
      <c r="A1688" s="1">
        <v>46073</v>
      </c>
      <c r="B1688">
        <v>1</v>
      </c>
      <c r="C1688">
        <v>2</v>
      </c>
      <c r="D1688" t="s">
        <v>910</v>
      </c>
      <c r="E1688" t="s">
        <v>34</v>
      </c>
      <c r="F1688">
        <v>322493</v>
      </c>
      <c r="G1688" s="6">
        <v>0</v>
      </c>
      <c r="H1688" t="s">
        <v>816</v>
      </c>
      <c r="I1688">
        <v>10686190</v>
      </c>
      <c r="J1688">
        <v>4</v>
      </c>
      <c r="K1688">
        <v>23</v>
      </c>
      <c r="L1688">
        <v>23</v>
      </c>
      <c r="M1688">
        <v>1020</v>
      </c>
      <c r="N1688" s="2">
        <v>61200</v>
      </c>
      <c r="O1688" s="2">
        <v>1020</v>
      </c>
      <c r="P1688" s="2">
        <v>0</v>
      </c>
      <c r="Q1688" s="2">
        <v>4080</v>
      </c>
      <c r="R1688" s="2">
        <v>5100</v>
      </c>
      <c r="S1688">
        <v>117.3</v>
      </c>
      <c r="T1688" s="2">
        <v>61200</v>
      </c>
      <c r="U1688" s="2">
        <v>0</v>
      </c>
      <c r="V1688">
        <v>93.84</v>
      </c>
      <c r="W1688">
        <v>0</v>
      </c>
      <c r="X1688">
        <v>0</v>
      </c>
      <c r="Y1688">
        <v>0</v>
      </c>
      <c r="Z1688">
        <v>2.8</v>
      </c>
      <c r="AA1688">
        <v>2.983802216538789E-2</v>
      </c>
      <c r="AB1688">
        <v>26.4</v>
      </c>
      <c r="AC1688">
        <v>7.4799999999999995</v>
      </c>
      <c r="AD1688">
        <v>22.5</v>
      </c>
      <c r="AE1688" s="7"/>
      <c r="AF1688" s="7"/>
      <c r="AG1688" s="7"/>
      <c r="AH1688" s="7"/>
      <c r="AI1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4.5200000000000005</v>
      </c>
      <c r="AJ1688" s="7"/>
      <c r="AK1688" t="s">
        <v>911</v>
      </c>
      <c r="AN1688">
        <f>IFERROR(INT(Table13[[#This Row],[reject_prod]]/Table13[[#This Row],[part_weight]] * 1000), 0)</f>
        <v>121</v>
      </c>
    </row>
    <row r="1689" spans="1:40" hidden="1">
      <c r="A1689" s="1">
        <v>46073</v>
      </c>
      <c r="B1689">
        <v>1</v>
      </c>
      <c r="C1689">
        <v>2</v>
      </c>
      <c r="D1689" t="s">
        <v>912</v>
      </c>
      <c r="E1689" t="s">
        <v>34</v>
      </c>
      <c r="F1689">
        <v>543590</v>
      </c>
      <c r="G1689" s="6">
        <v>0</v>
      </c>
      <c r="H1689" t="s">
        <v>913</v>
      </c>
      <c r="I1689">
        <v>10687749</v>
      </c>
      <c r="J1689">
        <v>4</v>
      </c>
      <c r="K1689">
        <v>19</v>
      </c>
      <c r="L1689">
        <v>19</v>
      </c>
      <c r="M1689">
        <v>0</v>
      </c>
      <c r="N1689" s="2">
        <v>132440</v>
      </c>
      <c r="O1689" s="2">
        <v>0</v>
      </c>
      <c r="P1689" s="2">
        <v>0</v>
      </c>
      <c r="Q1689" s="2">
        <v>0</v>
      </c>
      <c r="R1689" s="2">
        <v>0</v>
      </c>
      <c r="S1689">
        <v>0</v>
      </c>
      <c r="T1689" s="2">
        <v>0</v>
      </c>
      <c r="U1689" s="2">
        <v>132440</v>
      </c>
      <c r="V1689">
        <v>0</v>
      </c>
      <c r="W1689">
        <v>0</v>
      </c>
      <c r="X1689">
        <v>0</v>
      </c>
      <c r="Y1689" t="e">
        <v>#DIV/0!</v>
      </c>
      <c r="Z1689">
        <v>0</v>
      </c>
      <c r="AA1689" t="e">
        <v>#DIV/0!</v>
      </c>
      <c r="AB1689">
        <v>0</v>
      </c>
      <c r="AC1689">
        <v>0</v>
      </c>
      <c r="AD1689">
        <v>18.72</v>
      </c>
      <c r="AE1689" s="7"/>
      <c r="AF1689" s="7">
        <v>3.5</v>
      </c>
      <c r="AG1689" s="7"/>
      <c r="AH1689" s="7"/>
      <c r="AI1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689" s="7"/>
      <c r="AK1689" t="s">
        <v>890</v>
      </c>
      <c r="AN1689">
        <f>IFERROR(INT(Table13[[#This Row],[reject_prod]]/Table13[[#This Row],[part_weight]] * 1000), 0)</f>
        <v>0</v>
      </c>
    </row>
    <row r="1690" spans="1:40" hidden="1">
      <c r="A1690" s="1">
        <v>46073</v>
      </c>
      <c r="B1690">
        <v>1</v>
      </c>
      <c r="C1690">
        <v>3</v>
      </c>
      <c r="D1690" t="s">
        <v>914</v>
      </c>
      <c r="E1690" t="s">
        <v>34</v>
      </c>
      <c r="F1690">
        <v>442034</v>
      </c>
      <c r="G1690" s="6">
        <v>0</v>
      </c>
      <c r="H1690" t="s">
        <v>37</v>
      </c>
      <c r="I1690">
        <v>10685634</v>
      </c>
      <c r="J1690">
        <v>4</v>
      </c>
      <c r="K1690">
        <v>23</v>
      </c>
      <c r="L1690">
        <v>23</v>
      </c>
      <c r="M1690">
        <v>1530</v>
      </c>
      <c r="N1690" s="2">
        <v>139776</v>
      </c>
      <c r="O1690" s="2">
        <v>0</v>
      </c>
      <c r="P1690" s="2">
        <v>1536</v>
      </c>
      <c r="Q1690" s="2">
        <v>6120</v>
      </c>
      <c r="R1690" s="2">
        <v>4608</v>
      </c>
      <c r="S1690">
        <v>105.98399999999999</v>
      </c>
      <c r="T1690" s="2">
        <v>24576</v>
      </c>
      <c r="U1690" s="2">
        <v>115200</v>
      </c>
      <c r="V1690">
        <v>140.76</v>
      </c>
      <c r="W1690">
        <v>0</v>
      </c>
      <c r="X1690">
        <v>0</v>
      </c>
      <c r="Y1690">
        <v>0</v>
      </c>
      <c r="Z1690">
        <v>1</v>
      </c>
      <c r="AA1690">
        <v>7.1042909917590231E-3</v>
      </c>
      <c r="AB1690">
        <v>28.5</v>
      </c>
      <c r="AC1690">
        <v>12</v>
      </c>
      <c r="AD1690">
        <v>22</v>
      </c>
      <c r="AE1690" s="7"/>
      <c r="AF1690" s="7"/>
      <c r="AG1690" s="7"/>
      <c r="AH1690" s="7"/>
      <c r="AI1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0" s="7"/>
      <c r="AK1690" t="s">
        <v>168</v>
      </c>
      <c r="AN1690">
        <f>IFERROR(INT(Table13[[#This Row],[reject_prod]]/Table13[[#This Row],[part_weight]] * 1000), 0)</f>
        <v>43</v>
      </c>
    </row>
    <row r="1691" spans="1:40" hidden="1">
      <c r="A1691" s="1">
        <v>46073</v>
      </c>
      <c r="B1691">
        <v>1</v>
      </c>
      <c r="C1691">
        <v>4</v>
      </c>
      <c r="D1691" t="s">
        <v>915</v>
      </c>
      <c r="E1691" t="s">
        <v>34</v>
      </c>
      <c r="F1691">
        <v>409780</v>
      </c>
      <c r="G1691" s="6">
        <v>0</v>
      </c>
      <c r="H1691" t="s">
        <v>829</v>
      </c>
      <c r="I1691">
        <v>10687750</v>
      </c>
      <c r="J1691">
        <v>3</v>
      </c>
      <c r="K1691">
        <v>29</v>
      </c>
      <c r="L1691">
        <v>29</v>
      </c>
      <c r="M1691">
        <v>1660</v>
      </c>
      <c r="N1691" s="2">
        <v>40608</v>
      </c>
      <c r="O1691" s="2">
        <v>1974</v>
      </c>
      <c r="P1691" s="2">
        <v>0</v>
      </c>
      <c r="Q1691" s="2">
        <v>4980</v>
      </c>
      <c r="R1691" s="2">
        <v>6768</v>
      </c>
      <c r="S1691">
        <v>196.27199999999999</v>
      </c>
      <c r="T1691" s="2">
        <v>30456</v>
      </c>
      <c r="U1691" s="2">
        <v>10152</v>
      </c>
      <c r="V1691">
        <v>144.41999999999999</v>
      </c>
      <c r="W1691">
        <v>0</v>
      </c>
      <c r="X1691">
        <v>0</v>
      </c>
      <c r="Y1691">
        <v>0</v>
      </c>
      <c r="Z1691">
        <v>1.2</v>
      </c>
      <c r="AA1691">
        <v>8.309098462816784E-3</v>
      </c>
      <c r="AB1691">
        <v>26.27</v>
      </c>
      <c r="AC1691">
        <v>12</v>
      </c>
      <c r="AD1691">
        <v>24</v>
      </c>
      <c r="AE1691" s="7"/>
      <c r="AF1691" s="7"/>
      <c r="AG1691" s="7"/>
      <c r="AH1691" s="7"/>
      <c r="AI1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1" s="7"/>
      <c r="AK1691" t="s">
        <v>214</v>
      </c>
      <c r="AN1691">
        <f>IFERROR(INT(Table13[[#This Row],[reject_prod]]/Table13[[#This Row],[part_weight]] * 1000), 0)</f>
        <v>41</v>
      </c>
    </row>
    <row r="1692" spans="1:40" hidden="1">
      <c r="A1692" s="1">
        <v>46073</v>
      </c>
      <c r="B1692">
        <v>1</v>
      </c>
      <c r="C1692">
        <v>5</v>
      </c>
      <c r="D1692" t="s">
        <v>56</v>
      </c>
      <c r="E1692" t="s">
        <v>34</v>
      </c>
      <c r="F1692">
        <v>597507</v>
      </c>
      <c r="G1692" s="6">
        <v>0</v>
      </c>
      <c r="H1692" t="s">
        <v>279</v>
      </c>
      <c r="I1692">
        <v>10687752</v>
      </c>
      <c r="J1692">
        <v>4</v>
      </c>
      <c r="K1692">
        <v>23</v>
      </c>
      <c r="L1692">
        <v>23</v>
      </c>
      <c r="M1692">
        <v>2010</v>
      </c>
      <c r="N1692" s="2">
        <v>86240</v>
      </c>
      <c r="O1692" s="2">
        <v>0</v>
      </c>
      <c r="P1692" s="2">
        <v>462</v>
      </c>
      <c r="Q1692" s="2">
        <v>8040</v>
      </c>
      <c r="R1692" s="2">
        <v>7546</v>
      </c>
      <c r="S1692">
        <v>173.55799999999999</v>
      </c>
      <c r="T1692" s="2">
        <v>11242</v>
      </c>
      <c r="U1692" s="2">
        <v>74998</v>
      </c>
      <c r="V1692">
        <v>184.92</v>
      </c>
      <c r="W1692">
        <v>0</v>
      </c>
      <c r="X1692">
        <v>0</v>
      </c>
      <c r="Y1692">
        <v>0</v>
      </c>
      <c r="Z1692">
        <v>6.3</v>
      </c>
      <c r="AA1692">
        <v>3.4068786502271256E-2</v>
      </c>
      <c r="AB1692">
        <v>20.7</v>
      </c>
      <c r="AC1692">
        <v>11.557499999999999</v>
      </c>
      <c r="AD1692">
        <v>22</v>
      </c>
      <c r="AE1692" s="7"/>
      <c r="AF1692" s="7"/>
      <c r="AG1692" s="7"/>
      <c r="AH1692" s="7"/>
      <c r="AI1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0.44250000000000078</v>
      </c>
      <c r="AJ1692" s="7"/>
      <c r="AK1692" t="s">
        <v>608</v>
      </c>
      <c r="AN1692">
        <f>IFERROR(INT(Table13[[#This Row],[reject_prod]]/Table13[[#This Row],[part_weight]] * 1000), 0)</f>
        <v>273</v>
      </c>
    </row>
    <row r="1693" spans="1:40" hidden="1">
      <c r="A1693" s="1">
        <v>46073</v>
      </c>
      <c r="B1693">
        <v>1</v>
      </c>
      <c r="C1693">
        <v>6</v>
      </c>
      <c r="D1693" t="s">
        <v>84</v>
      </c>
      <c r="E1693" t="s">
        <v>41</v>
      </c>
      <c r="F1693">
        <v>620994</v>
      </c>
      <c r="G1693" s="6">
        <v>0</v>
      </c>
      <c r="H1693" t="s">
        <v>42</v>
      </c>
      <c r="I1693">
        <v>10686806</v>
      </c>
      <c r="J1693">
        <v>4</v>
      </c>
      <c r="K1693">
        <v>32.74</v>
      </c>
      <c r="L1693">
        <v>33</v>
      </c>
      <c r="M1693">
        <v>1776</v>
      </c>
      <c r="N1693" s="2">
        <v>104192</v>
      </c>
      <c r="O1693" s="2">
        <v>296</v>
      </c>
      <c r="P1693" s="2">
        <v>296</v>
      </c>
      <c r="Q1693" s="2">
        <v>7104</v>
      </c>
      <c r="R1693" s="2">
        <v>7104</v>
      </c>
      <c r="S1693">
        <v>234.43199999999999</v>
      </c>
      <c r="T1693" s="2">
        <v>53576</v>
      </c>
      <c r="U1693" s="2">
        <v>50616</v>
      </c>
      <c r="V1693">
        <v>234.43199999999999</v>
      </c>
      <c r="W1693">
        <v>0</v>
      </c>
      <c r="X1693">
        <v>0</v>
      </c>
      <c r="Y1693">
        <v>0</v>
      </c>
      <c r="Z1693">
        <v>1.5</v>
      </c>
      <c r="AA1693">
        <v>6.3984438984438985E-3</v>
      </c>
      <c r="AB1693">
        <v>23.9</v>
      </c>
      <c r="AC1693">
        <v>11.790666666666667</v>
      </c>
      <c r="AD1693">
        <v>22</v>
      </c>
      <c r="AE1693" s="7"/>
      <c r="AF1693" s="7"/>
      <c r="AG1693" s="7"/>
      <c r="AH1693" s="7"/>
      <c r="AI1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0.20933333333333337</v>
      </c>
      <c r="AJ1693" s="7"/>
      <c r="AK1693" t="s">
        <v>214</v>
      </c>
      <c r="AN1693">
        <f>IFERROR(INT(Table13[[#This Row],[reject_prod]]/Table13[[#This Row],[part_weight]] * 1000), 0)</f>
        <v>45</v>
      </c>
    </row>
    <row r="1694" spans="1:40" hidden="1">
      <c r="A1694" s="1">
        <v>46073</v>
      </c>
      <c r="B1694">
        <v>1</v>
      </c>
      <c r="C1694">
        <v>7</v>
      </c>
      <c r="D1694" t="s">
        <v>916</v>
      </c>
      <c r="E1694" t="s">
        <v>34</v>
      </c>
      <c r="F1694">
        <v>324177</v>
      </c>
      <c r="G1694" s="6">
        <v>0</v>
      </c>
      <c r="H1694" t="s">
        <v>246</v>
      </c>
      <c r="I1694">
        <v>10686803</v>
      </c>
      <c r="J1694">
        <v>4</v>
      </c>
      <c r="K1694">
        <v>34.5</v>
      </c>
      <c r="L1694">
        <v>34.5</v>
      </c>
      <c r="M1694">
        <v>1755</v>
      </c>
      <c r="N1694" s="2">
        <v>93600</v>
      </c>
      <c r="O1694" s="2">
        <v>936</v>
      </c>
      <c r="P1694" s="2">
        <v>156</v>
      </c>
      <c r="Q1694" s="2">
        <v>7020</v>
      </c>
      <c r="R1694" s="2">
        <v>7800</v>
      </c>
      <c r="S1694">
        <v>269.10000000000002</v>
      </c>
      <c r="T1694" s="2">
        <v>87516</v>
      </c>
      <c r="U1694" s="2">
        <v>6084</v>
      </c>
      <c r="V1694">
        <v>242.19</v>
      </c>
      <c r="W1694">
        <v>0</v>
      </c>
      <c r="X1694">
        <v>0</v>
      </c>
      <c r="Y1694">
        <v>0</v>
      </c>
      <c r="Z1694">
        <v>9.1999999999999993</v>
      </c>
      <c r="AA1694">
        <v>3.7986704653371318E-2</v>
      </c>
      <c r="AB1694">
        <v>22.2</v>
      </c>
      <c r="AC1694">
        <v>10.8225</v>
      </c>
      <c r="AD1694">
        <v>22</v>
      </c>
      <c r="AE1694" s="7"/>
      <c r="AF1694" s="7"/>
      <c r="AG1694" s="7"/>
      <c r="AH1694" s="7"/>
      <c r="AI1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1.1775000000000002</v>
      </c>
      <c r="AJ1694" s="7"/>
      <c r="AK1694" t="s">
        <v>917</v>
      </c>
      <c r="AN1694">
        <f>IFERROR(INT(Table13[[#This Row],[reject_prod]]/Table13[[#This Row],[part_weight]] * 1000), 0)</f>
        <v>266</v>
      </c>
    </row>
    <row r="1695" spans="1:40" hidden="1">
      <c r="A1695" s="1">
        <v>46073</v>
      </c>
      <c r="B1695">
        <v>1</v>
      </c>
      <c r="C1695">
        <v>8</v>
      </c>
      <c r="D1695" t="s">
        <v>918</v>
      </c>
      <c r="E1695" t="s">
        <v>41</v>
      </c>
      <c r="F1695">
        <v>593537</v>
      </c>
      <c r="G1695" s="6">
        <v>0</v>
      </c>
      <c r="H1695" t="s">
        <v>48</v>
      </c>
      <c r="I1695">
        <v>10687586</v>
      </c>
      <c r="J1695">
        <v>4</v>
      </c>
      <c r="K1695">
        <v>56.5</v>
      </c>
      <c r="L1695">
        <v>56.8</v>
      </c>
      <c r="M1695">
        <v>1437</v>
      </c>
      <c r="N1695" s="2">
        <v>69000</v>
      </c>
      <c r="O1695" s="2">
        <v>115</v>
      </c>
      <c r="P1695" s="2">
        <v>115</v>
      </c>
      <c r="Q1695" s="2">
        <v>5748</v>
      </c>
      <c r="R1695" s="2">
        <v>5750</v>
      </c>
      <c r="S1695">
        <v>326.60000000000002</v>
      </c>
      <c r="T1695" s="2">
        <v>61065</v>
      </c>
      <c r="U1695" s="2">
        <v>7935</v>
      </c>
      <c r="V1695">
        <v>326.48639999999995</v>
      </c>
      <c r="W1695">
        <v>0</v>
      </c>
      <c r="X1695">
        <v>0</v>
      </c>
      <c r="Y1695">
        <v>0</v>
      </c>
      <c r="Z1695">
        <v>3</v>
      </c>
      <c r="AA1695">
        <v>9.1887441559587186E-3</v>
      </c>
      <c r="AB1695">
        <v>30.4</v>
      </c>
      <c r="AC1695">
        <v>12</v>
      </c>
      <c r="AD1695">
        <v>28.5</v>
      </c>
      <c r="AE1695" s="7"/>
      <c r="AF1695" s="7"/>
      <c r="AG1695" s="7"/>
      <c r="AH1695" s="7"/>
      <c r="AI1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5" s="7"/>
      <c r="AK1695" t="s">
        <v>178</v>
      </c>
      <c r="AN1695">
        <f>IFERROR(INT(Table13[[#This Row],[reject_prod]]/Table13[[#This Row],[part_weight]] * 1000), 0)</f>
        <v>52</v>
      </c>
    </row>
    <row r="1696" spans="1:40" hidden="1">
      <c r="A1696" s="1">
        <v>46073</v>
      </c>
      <c r="B1696">
        <v>1</v>
      </c>
      <c r="C1696">
        <v>9</v>
      </c>
      <c r="D1696" t="s">
        <v>289</v>
      </c>
      <c r="E1696" t="s">
        <v>46</v>
      </c>
      <c r="F1696">
        <v>586276</v>
      </c>
      <c r="G1696" s="6">
        <v>1</v>
      </c>
      <c r="H1696" t="s">
        <v>47</v>
      </c>
      <c r="I1696">
        <v>10686684</v>
      </c>
      <c r="J1696">
        <v>6</v>
      </c>
      <c r="K1696">
        <v>12.3</v>
      </c>
      <c r="L1696">
        <v>12.3</v>
      </c>
      <c r="M1696">
        <v>1560</v>
      </c>
      <c r="N1696" s="2">
        <v>162000</v>
      </c>
      <c r="O1696" s="2">
        <v>2025</v>
      </c>
      <c r="P1696" s="2">
        <v>3240</v>
      </c>
      <c r="Q1696" s="2">
        <v>9360</v>
      </c>
      <c r="R1696" s="2">
        <v>8100</v>
      </c>
      <c r="S1696">
        <v>99.63</v>
      </c>
      <c r="T1696" s="2">
        <v>27540</v>
      </c>
      <c r="U1696" s="2">
        <v>134460</v>
      </c>
      <c r="V1696">
        <v>115.128</v>
      </c>
      <c r="W1696">
        <v>0</v>
      </c>
      <c r="X1696">
        <v>0</v>
      </c>
      <c r="Y1696">
        <v>0</v>
      </c>
      <c r="Z1696">
        <v>3.2</v>
      </c>
      <c r="AA1696">
        <v>2.779514974636926E-2</v>
      </c>
      <c r="AB1696">
        <v>26.5</v>
      </c>
      <c r="AC1696">
        <v>11.483333333333333</v>
      </c>
      <c r="AD1696">
        <v>26</v>
      </c>
      <c r="AE1696" s="7"/>
      <c r="AF1696" s="7"/>
      <c r="AG1696" s="7"/>
      <c r="AH1696" s="7"/>
      <c r="AI1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696" s="7"/>
      <c r="AK1696" t="s">
        <v>57</v>
      </c>
      <c r="AN1696">
        <f>IFERROR(INT(Table13[[#This Row],[reject_prod]]/Table13[[#This Row],[part_weight]] * 1000), 0)</f>
        <v>260</v>
      </c>
    </row>
    <row r="1697" spans="1:40" hidden="1">
      <c r="A1697" s="1">
        <v>46073</v>
      </c>
      <c r="B1697">
        <v>1</v>
      </c>
      <c r="C1697">
        <v>10</v>
      </c>
      <c r="D1697" t="s">
        <v>88</v>
      </c>
      <c r="E1697" t="s">
        <v>34</v>
      </c>
      <c r="F1697">
        <v>323092</v>
      </c>
      <c r="G1697" s="6">
        <v>0</v>
      </c>
      <c r="H1697" t="s">
        <v>377</v>
      </c>
      <c r="I1697">
        <v>10686686</v>
      </c>
      <c r="J1697">
        <v>4</v>
      </c>
      <c r="K1697">
        <v>48.9</v>
      </c>
      <c r="L1697">
        <v>48.9</v>
      </c>
      <c r="M1697">
        <v>540</v>
      </c>
      <c r="N1697" s="2">
        <v>37800</v>
      </c>
      <c r="O1697" s="2">
        <v>1365</v>
      </c>
      <c r="P1697" s="2">
        <v>0</v>
      </c>
      <c r="Q1697" s="2">
        <v>2160</v>
      </c>
      <c r="R1697" s="2">
        <v>2100</v>
      </c>
      <c r="S1697">
        <v>102.69</v>
      </c>
      <c r="T1697" s="2">
        <v>2100</v>
      </c>
      <c r="U1697" s="2">
        <v>35700</v>
      </c>
      <c r="V1697">
        <v>105.624</v>
      </c>
      <c r="W1697">
        <v>0</v>
      </c>
      <c r="X1697">
        <v>25</v>
      </c>
      <c r="Y1697">
        <v>0.23668863137165796</v>
      </c>
      <c r="Z1697">
        <v>6.3</v>
      </c>
      <c r="AA1697">
        <v>5.9645535105657808E-2</v>
      </c>
      <c r="AB1697">
        <v>29.1</v>
      </c>
      <c r="AC1697">
        <v>4.3650000000000002</v>
      </c>
      <c r="AD1697">
        <v>27.6</v>
      </c>
      <c r="AE1697" s="7"/>
      <c r="AF1697" s="7"/>
      <c r="AG1697" s="7"/>
      <c r="AH1697" s="7"/>
      <c r="AI1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7.6349999999999998</v>
      </c>
      <c r="AJ1697" s="7"/>
      <c r="AK1697" t="s">
        <v>919</v>
      </c>
      <c r="AN1697">
        <f>IFERROR(INT(Table13[[#This Row],[reject_prod]]/Table13[[#This Row],[part_weight]] * 1000), 0)</f>
        <v>128</v>
      </c>
    </row>
    <row r="1698" spans="1:40" hidden="1">
      <c r="A1698" s="1">
        <v>46073</v>
      </c>
      <c r="B1698">
        <v>1</v>
      </c>
      <c r="C1698">
        <v>11</v>
      </c>
      <c r="D1698" t="s">
        <v>59</v>
      </c>
      <c r="E1698" t="s">
        <v>46</v>
      </c>
      <c r="F1698">
        <v>552181</v>
      </c>
      <c r="G1698" s="6">
        <v>1</v>
      </c>
      <c r="H1698" t="s">
        <v>49</v>
      </c>
      <c r="I1698">
        <v>10686672</v>
      </c>
      <c r="J1698">
        <v>6</v>
      </c>
      <c r="K1698">
        <v>18.8</v>
      </c>
      <c r="L1698">
        <v>18.8</v>
      </c>
      <c r="M1698">
        <v>1380</v>
      </c>
      <c r="N1698" s="2">
        <v>108000</v>
      </c>
      <c r="O1698" s="2">
        <v>11070</v>
      </c>
      <c r="P1698" s="2">
        <v>8370</v>
      </c>
      <c r="Q1698" s="2">
        <v>8280</v>
      </c>
      <c r="R1698" s="2">
        <v>5400</v>
      </c>
      <c r="S1698">
        <v>101.52</v>
      </c>
      <c r="T1698" s="2">
        <v>105570</v>
      </c>
      <c r="U1698" s="2">
        <v>2430</v>
      </c>
      <c r="V1698">
        <v>155.66399999999999</v>
      </c>
      <c r="W1698">
        <v>0</v>
      </c>
      <c r="X1698">
        <v>0</v>
      </c>
      <c r="Y1698">
        <v>0</v>
      </c>
      <c r="Z1698">
        <v>3</v>
      </c>
      <c r="AA1698">
        <v>1.9272278754239903E-2</v>
      </c>
      <c r="AB1698">
        <v>29.4</v>
      </c>
      <c r="AC1698">
        <v>11.27</v>
      </c>
      <c r="AD1698">
        <v>27</v>
      </c>
      <c r="AE1698" s="7"/>
      <c r="AF1698" s="7"/>
      <c r="AG1698" s="7"/>
      <c r="AH1698" s="7"/>
      <c r="AI1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0.73000000000000043</v>
      </c>
      <c r="AJ1698" s="7"/>
      <c r="AK1698" t="s">
        <v>920</v>
      </c>
      <c r="AN1698">
        <f>IFERROR(INT(Table13[[#This Row],[reject_prod]]/Table13[[#This Row],[part_weight]] * 1000), 0)</f>
        <v>159</v>
      </c>
    </row>
    <row r="1699" spans="1:40" hidden="1">
      <c r="A1699" s="1">
        <v>46073</v>
      </c>
      <c r="B1699">
        <v>1</v>
      </c>
      <c r="C1699">
        <v>12</v>
      </c>
      <c r="D1699" t="s">
        <v>54</v>
      </c>
      <c r="E1699" t="s">
        <v>34</v>
      </c>
      <c r="F1699">
        <v>620599</v>
      </c>
      <c r="G1699" s="6">
        <v>0</v>
      </c>
      <c r="H1699" t="s">
        <v>50</v>
      </c>
      <c r="I1699">
        <v>10686675</v>
      </c>
      <c r="J1699">
        <v>4</v>
      </c>
      <c r="K1699">
        <v>55</v>
      </c>
      <c r="L1699">
        <v>55</v>
      </c>
      <c r="M1699">
        <v>1515</v>
      </c>
      <c r="N1699" s="2">
        <v>72000</v>
      </c>
      <c r="O1699" s="2">
        <v>0</v>
      </c>
      <c r="P1699" s="2">
        <v>675</v>
      </c>
      <c r="Q1699" s="2">
        <v>6060</v>
      </c>
      <c r="R1699" s="2">
        <v>5400</v>
      </c>
      <c r="S1699">
        <v>297</v>
      </c>
      <c r="T1699" s="2">
        <v>16875</v>
      </c>
      <c r="U1699" s="2">
        <v>55125</v>
      </c>
      <c r="V1699">
        <v>333.3</v>
      </c>
      <c r="W1699">
        <v>0</v>
      </c>
      <c r="X1699">
        <v>0</v>
      </c>
      <c r="Y1699">
        <v>0</v>
      </c>
      <c r="Z1699">
        <v>4.2</v>
      </c>
      <c r="AA1699">
        <v>1.2601260126012601E-2</v>
      </c>
      <c r="AB1699">
        <v>28.8</v>
      </c>
      <c r="AC1699">
        <v>12</v>
      </c>
      <c r="AD1699">
        <v>28</v>
      </c>
      <c r="AE1699" s="7"/>
      <c r="AF1699" s="7"/>
      <c r="AG1699" s="7"/>
      <c r="AH1699" s="7"/>
      <c r="AI1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9" s="7"/>
      <c r="AK1699" t="s">
        <v>164</v>
      </c>
      <c r="AN1699">
        <f>IFERROR(INT(Table13[[#This Row],[reject_prod]]/Table13[[#This Row],[part_weight]] * 1000), 0)</f>
        <v>76</v>
      </c>
    </row>
    <row r="1700" spans="1:40" hidden="1">
      <c r="A1700" s="1">
        <v>46073</v>
      </c>
      <c r="B1700">
        <v>1</v>
      </c>
      <c r="C1700">
        <v>13</v>
      </c>
      <c r="D1700" t="s">
        <v>59</v>
      </c>
      <c r="E1700" t="s">
        <v>46</v>
      </c>
      <c r="F1700">
        <v>586276</v>
      </c>
      <c r="G1700" s="6">
        <v>2</v>
      </c>
      <c r="H1700" t="s">
        <v>47</v>
      </c>
      <c r="I1700">
        <v>10686676</v>
      </c>
      <c r="J1700">
        <v>6</v>
      </c>
      <c r="K1700">
        <v>12.3</v>
      </c>
      <c r="L1700">
        <v>12.3</v>
      </c>
      <c r="M1700">
        <v>1565</v>
      </c>
      <c r="N1700" s="2">
        <v>162000</v>
      </c>
      <c r="O1700" s="2">
        <v>3645</v>
      </c>
      <c r="P1700" s="2">
        <v>4860</v>
      </c>
      <c r="Q1700" s="2">
        <v>9390</v>
      </c>
      <c r="R1700" s="2">
        <v>8100</v>
      </c>
      <c r="S1700">
        <v>99.63</v>
      </c>
      <c r="T1700" s="2">
        <v>158760</v>
      </c>
      <c r="U1700" s="2">
        <v>3240</v>
      </c>
      <c r="V1700">
        <v>115.497</v>
      </c>
      <c r="W1700">
        <v>0</v>
      </c>
      <c r="X1700">
        <v>0</v>
      </c>
      <c r="Y1700">
        <v>0</v>
      </c>
      <c r="Z1700">
        <v>1</v>
      </c>
      <c r="AA1700">
        <v>8.6582335471917012E-3</v>
      </c>
      <c r="AB1700">
        <v>26.4</v>
      </c>
      <c r="AC1700">
        <v>11.476666666666667</v>
      </c>
      <c r="AD1700">
        <v>26</v>
      </c>
      <c r="AE1700" s="7"/>
      <c r="AF1700" s="7"/>
      <c r="AG1700" s="7"/>
      <c r="AH1700" s="7"/>
      <c r="AI1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1700" s="7"/>
      <c r="AK1700" t="s">
        <v>51</v>
      </c>
      <c r="AN1700">
        <f>IFERROR(INT(Table13[[#This Row],[reject_prod]]/Table13[[#This Row],[part_weight]] * 1000), 0)</f>
        <v>81</v>
      </c>
    </row>
    <row r="1701" spans="1:40" hidden="1">
      <c r="A1701" s="1">
        <v>46073</v>
      </c>
      <c r="B1701">
        <v>1</v>
      </c>
      <c r="C1701">
        <v>14</v>
      </c>
      <c r="D1701" t="s">
        <v>167</v>
      </c>
      <c r="E1701" t="s">
        <v>34</v>
      </c>
      <c r="F1701">
        <v>541381</v>
      </c>
      <c r="G1701" s="6">
        <v>0</v>
      </c>
      <c r="H1701" t="s">
        <v>804</v>
      </c>
      <c r="I1701">
        <v>10686678</v>
      </c>
      <c r="J1701">
        <v>4</v>
      </c>
      <c r="K1701">
        <v>55</v>
      </c>
      <c r="L1701">
        <v>55</v>
      </c>
      <c r="M1701">
        <v>1535</v>
      </c>
      <c r="N1701" s="2">
        <v>84000</v>
      </c>
      <c r="O1701" s="2">
        <v>525</v>
      </c>
      <c r="P1701" s="2">
        <v>350</v>
      </c>
      <c r="Q1701" s="2">
        <v>6140</v>
      </c>
      <c r="R1701" s="2">
        <v>6300</v>
      </c>
      <c r="S1701">
        <v>346.5</v>
      </c>
      <c r="T1701" s="2">
        <v>37450</v>
      </c>
      <c r="U1701" s="2">
        <v>46550</v>
      </c>
      <c r="V1701">
        <v>337.7</v>
      </c>
      <c r="W1701">
        <v>0</v>
      </c>
      <c r="X1701">
        <v>0</v>
      </c>
      <c r="Y1701">
        <v>0</v>
      </c>
      <c r="Z1701">
        <v>6.6</v>
      </c>
      <c r="AA1701">
        <v>1.9543973941368076E-2</v>
      </c>
      <c r="AB1701">
        <v>27.81</v>
      </c>
      <c r="AC1701">
        <v>11.857874999999998</v>
      </c>
      <c r="AD1701">
        <v>30.08</v>
      </c>
      <c r="AE1701" s="7"/>
      <c r="AF1701" s="7"/>
      <c r="AG1701" s="7"/>
      <c r="AH1701" s="7"/>
      <c r="AI1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0.14212500000000183</v>
      </c>
      <c r="AJ1701" s="7"/>
      <c r="AK1701" t="s">
        <v>178</v>
      </c>
      <c r="AN1701">
        <f>IFERROR(INT(Table13[[#This Row],[reject_prod]]/Table13[[#This Row],[part_weight]] * 1000), 0)</f>
        <v>120</v>
      </c>
    </row>
    <row r="1702" spans="1:40" hidden="1">
      <c r="A1702" s="1">
        <v>46073</v>
      </c>
      <c r="B1702">
        <v>1</v>
      </c>
      <c r="C1702">
        <v>15</v>
      </c>
      <c r="D1702" t="s">
        <v>59</v>
      </c>
      <c r="E1702" t="s">
        <v>46</v>
      </c>
      <c r="F1702">
        <v>550076</v>
      </c>
      <c r="G1702" s="6">
        <v>0</v>
      </c>
      <c r="H1702" t="s">
        <v>857</v>
      </c>
      <c r="I1702">
        <v>10687863</v>
      </c>
      <c r="J1702">
        <v>6</v>
      </c>
      <c r="K1702">
        <v>18.8</v>
      </c>
      <c r="L1702">
        <v>18.8</v>
      </c>
      <c r="M1702">
        <v>1395</v>
      </c>
      <c r="N1702" s="2">
        <v>108000</v>
      </c>
      <c r="O1702" s="2">
        <v>0</v>
      </c>
      <c r="P1702" s="2">
        <v>2970</v>
      </c>
      <c r="Q1702" s="2">
        <v>8370</v>
      </c>
      <c r="R1702" s="2">
        <v>5400</v>
      </c>
      <c r="S1702">
        <v>101.52</v>
      </c>
      <c r="T1702" s="2">
        <v>51570</v>
      </c>
      <c r="U1702" s="2">
        <v>56430</v>
      </c>
      <c r="V1702">
        <v>157.35599999999999</v>
      </c>
      <c r="W1702">
        <v>0</v>
      </c>
      <c r="X1702">
        <v>0</v>
      </c>
      <c r="Y1702">
        <v>0</v>
      </c>
      <c r="Z1702">
        <v>1</v>
      </c>
      <c r="AA1702">
        <v>6.3550166501436236E-3</v>
      </c>
      <c r="AB1702">
        <v>31.3</v>
      </c>
      <c r="AC1702">
        <v>12</v>
      </c>
      <c r="AD1702">
        <v>22.5</v>
      </c>
      <c r="AE1702" s="7"/>
      <c r="AF1702" s="7"/>
      <c r="AG1702" s="7"/>
      <c r="AH1702" s="7"/>
      <c r="AI1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2" s="7"/>
      <c r="AK1702" t="s">
        <v>51</v>
      </c>
      <c r="AN1702">
        <f>IFERROR(INT(Table13[[#This Row],[reject_prod]]/Table13[[#This Row],[part_weight]] * 1000), 0)</f>
        <v>53</v>
      </c>
    </row>
    <row r="1703" spans="1:40" s="4" customFormat="1" hidden="1">
      <c r="A1703" s="3">
        <v>46073</v>
      </c>
      <c r="B1703" s="4">
        <v>1</v>
      </c>
      <c r="C1703" s="4">
        <v>16</v>
      </c>
      <c r="D1703" s="4" t="s">
        <v>921</v>
      </c>
      <c r="E1703" s="4" t="s">
        <v>46</v>
      </c>
      <c r="F1703" s="4">
        <v>555979</v>
      </c>
      <c r="G1703" s="9">
        <v>2</v>
      </c>
      <c r="H1703" s="4" t="s">
        <v>52</v>
      </c>
      <c r="I1703" s="4">
        <v>10683785</v>
      </c>
      <c r="J1703" s="4">
        <v>6</v>
      </c>
      <c r="K1703" s="4">
        <v>28</v>
      </c>
      <c r="L1703" s="4">
        <v>28</v>
      </c>
      <c r="M1703" s="4">
        <v>1000</v>
      </c>
      <c r="N1703" s="5">
        <v>100800</v>
      </c>
      <c r="O1703" s="5">
        <v>1176</v>
      </c>
      <c r="P1703" s="5">
        <v>504</v>
      </c>
      <c r="Q1703" s="5">
        <v>6000</v>
      </c>
      <c r="R1703" s="5">
        <v>6720</v>
      </c>
      <c r="S1703" s="4">
        <v>188.16</v>
      </c>
      <c r="T1703" s="5">
        <v>74424</v>
      </c>
      <c r="U1703" s="5">
        <v>26376</v>
      </c>
      <c r="V1703" s="4">
        <v>168</v>
      </c>
      <c r="W1703" s="4">
        <v>0</v>
      </c>
      <c r="X1703" s="4">
        <v>0</v>
      </c>
      <c r="Y1703" s="4">
        <v>0</v>
      </c>
      <c r="Z1703" s="4">
        <v>1.1000000000000001</v>
      </c>
      <c r="AA1703" s="4">
        <v>6.5476190476190478E-3</v>
      </c>
      <c r="AB1703" s="4">
        <v>43.5</v>
      </c>
      <c r="AC1703" s="4">
        <v>12</v>
      </c>
      <c r="AD1703" s="4">
        <v>42</v>
      </c>
      <c r="AE1703" s="8"/>
      <c r="AF1703" s="8"/>
      <c r="AG1703" s="8"/>
      <c r="AH1703" s="8"/>
      <c r="AI170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3" s="8"/>
      <c r="AK1703" s="4" t="s">
        <v>51</v>
      </c>
      <c r="AN1703">
        <f>IFERROR(INT(Table13[[#This Row],[reject_prod]]/Table13[[#This Row],[part_weight]] * 1000), 0)</f>
        <v>39</v>
      </c>
    </row>
    <row r="1704" spans="1:40" hidden="1">
      <c r="A1704" s="1">
        <v>46073</v>
      </c>
      <c r="B1704">
        <v>2</v>
      </c>
      <c r="C1704">
        <v>1</v>
      </c>
      <c r="D1704" t="s">
        <v>110</v>
      </c>
      <c r="E1704" t="s">
        <v>34</v>
      </c>
      <c r="F1704">
        <v>324682</v>
      </c>
      <c r="G1704" s="6">
        <v>0</v>
      </c>
      <c r="H1704" t="s">
        <v>889</v>
      </c>
      <c r="I1704">
        <v>10687748</v>
      </c>
      <c r="J1704">
        <v>4</v>
      </c>
      <c r="K1704">
        <v>33</v>
      </c>
      <c r="L1704">
        <v>33</v>
      </c>
      <c r="M1704">
        <v>1558</v>
      </c>
      <c r="N1704" s="2">
        <v>18480</v>
      </c>
      <c r="O1704" s="2">
        <v>308</v>
      </c>
      <c r="P1704" s="2">
        <v>0</v>
      </c>
      <c r="Q1704" s="2">
        <v>6232</v>
      </c>
      <c r="R1704" s="2">
        <v>6468</v>
      </c>
      <c r="S1704">
        <v>213.44399999999999</v>
      </c>
      <c r="T1704" s="2">
        <v>12012</v>
      </c>
      <c r="U1704" s="2">
        <v>6468</v>
      </c>
      <c r="V1704">
        <v>205.65600000000001</v>
      </c>
      <c r="W1704">
        <v>0</v>
      </c>
      <c r="X1704">
        <v>0</v>
      </c>
      <c r="Y1704">
        <v>0</v>
      </c>
      <c r="Z1704">
        <v>2.4</v>
      </c>
      <c r="AA1704">
        <v>1.1669973159061733E-2</v>
      </c>
      <c r="AB1704">
        <v>27.4</v>
      </c>
      <c r="AC1704">
        <v>11.858111111111111</v>
      </c>
      <c r="AD1704">
        <v>23.972000000000001</v>
      </c>
      <c r="AE1704" s="7"/>
      <c r="AF1704" s="7"/>
      <c r="AG1704" s="7"/>
      <c r="AH1704" s="7"/>
      <c r="AI1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0.1418888888888894</v>
      </c>
      <c r="AJ1704" s="7"/>
      <c r="AK1704" t="s">
        <v>922</v>
      </c>
      <c r="AN1704">
        <f>IFERROR(INT(Table13[[#This Row],[reject_prod]]/Table13[[#This Row],[part_weight]] * 1000), 0)</f>
        <v>72</v>
      </c>
    </row>
    <row r="1705" spans="1:40" hidden="1">
      <c r="A1705" s="1">
        <v>46073</v>
      </c>
      <c r="B1705">
        <v>2</v>
      </c>
      <c r="C1705">
        <v>2</v>
      </c>
      <c r="D1705" t="s">
        <v>33</v>
      </c>
      <c r="E1705" t="s">
        <v>34</v>
      </c>
      <c r="F1705">
        <v>543590</v>
      </c>
      <c r="G1705" s="6">
        <v>0</v>
      </c>
      <c r="H1705" t="s">
        <v>913</v>
      </c>
      <c r="I1705">
        <v>10687749</v>
      </c>
      <c r="J1705">
        <v>4</v>
      </c>
      <c r="K1705">
        <v>19</v>
      </c>
      <c r="L1705">
        <v>19</v>
      </c>
      <c r="M1705">
        <v>0</v>
      </c>
      <c r="N1705" s="2">
        <v>132440</v>
      </c>
      <c r="O1705" s="2">
        <v>0</v>
      </c>
      <c r="P1705" s="2">
        <v>0</v>
      </c>
      <c r="Q1705" s="2">
        <v>0</v>
      </c>
      <c r="R1705" s="2">
        <v>0</v>
      </c>
      <c r="S1705">
        <v>0</v>
      </c>
      <c r="T1705" s="2">
        <v>0</v>
      </c>
      <c r="U1705" s="2">
        <v>132440</v>
      </c>
      <c r="V1705">
        <v>0</v>
      </c>
      <c r="W1705">
        <v>0</v>
      </c>
      <c r="X1705">
        <v>2</v>
      </c>
      <c r="Y1705" t="e">
        <v>#DIV/0!</v>
      </c>
      <c r="Z1705">
        <v>0</v>
      </c>
      <c r="AA1705" t="e">
        <v>#DIV/0!</v>
      </c>
      <c r="AB1705">
        <v>20</v>
      </c>
      <c r="AC1705">
        <v>0</v>
      </c>
      <c r="AD1705">
        <v>18.72</v>
      </c>
      <c r="AE1705" s="7"/>
      <c r="AF1705" s="7"/>
      <c r="AG1705" s="7"/>
      <c r="AH1705" s="7">
        <v>6</v>
      </c>
      <c r="AI1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705" s="7"/>
      <c r="AK1705" t="s">
        <v>923</v>
      </c>
      <c r="AN1705">
        <f>IFERROR(INT(Table13[[#This Row],[reject_prod]]/Table13[[#This Row],[part_weight]] * 1000), 0)</f>
        <v>0</v>
      </c>
    </row>
    <row r="1706" spans="1:40" hidden="1">
      <c r="A1706" s="1">
        <v>46073</v>
      </c>
      <c r="B1706">
        <v>2</v>
      </c>
      <c r="C1706">
        <v>3</v>
      </c>
      <c r="D1706" t="s">
        <v>43</v>
      </c>
      <c r="E1706" t="s">
        <v>34</v>
      </c>
      <c r="F1706">
        <v>442034</v>
      </c>
      <c r="G1706" s="6">
        <v>0</v>
      </c>
      <c r="H1706" t="s">
        <v>37</v>
      </c>
      <c r="I1706">
        <v>10685634</v>
      </c>
      <c r="J1706">
        <v>4</v>
      </c>
      <c r="K1706">
        <v>23</v>
      </c>
      <c r="L1706">
        <v>23</v>
      </c>
      <c r="M1706">
        <v>1446</v>
      </c>
      <c r="N1706" s="2">
        <v>139776</v>
      </c>
      <c r="O1706" s="2">
        <v>1536</v>
      </c>
      <c r="P1706" s="2">
        <v>2688</v>
      </c>
      <c r="Q1706" s="2">
        <v>5784</v>
      </c>
      <c r="R1706" s="2">
        <v>4608</v>
      </c>
      <c r="S1706">
        <v>105.98399999999999</v>
      </c>
      <c r="T1706" s="2">
        <v>30336</v>
      </c>
      <c r="U1706" s="2">
        <v>109440</v>
      </c>
      <c r="V1706">
        <v>133.03200000000001</v>
      </c>
      <c r="W1706">
        <v>0</v>
      </c>
      <c r="X1706">
        <v>0</v>
      </c>
      <c r="Y1706">
        <v>0</v>
      </c>
      <c r="Z1706">
        <v>0.5</v>
      </c>
      <c r="AA1706">
        <v>3.7584941968849595E-3</v>
      </c>
      <c r="AB1706">
        <v>28.5</v>
      </c>
      <c r="AC1706">
        <v>11.447500000000002</v>
      </c>
      <c r="AD1706">
        <v>22</v>
      </c>
      <c r="AE1706" s="7"/>
      <c r="AF1706" s="7"/>
      <c r="AG1706" s="7"/>
      <c r="AH1706" s="7"/>
      <c r="AI1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0.55249999999999844</v>
      </c>
      <c r="AJ1706" s="7"/>
      <c r="AK1706" t="s">
        <v>214</v>
      </c>
      <c r="AN1706">
        <f>IFERROR(INT(Table13[[#This Row],[reject_prod]]/Table13[[#This Row],[part_weight]] * 1000), 0)</f>
        <v>21</v>
      </c>
    </row>
    <row r="1707" spans="1:40" hidden="1">
      <c r="A1707" s="1">
        <v>46073</v>
      </c>
      <c r="B1707">
        <v>2</v>
      </c>
      <c r="C1707">
        <v>4</v>
      </c>
      <c r="D1707" t="s">
        <v>152</v>
      </c>
      <c r="E1707" t="s">
        <v>34</v>
      </c>
      <c r="F1707">
        <v>409780</v>
      </c>
      <c r="G1707" s="6">
        <v>0</v>
      </c>
      <c r="H1707" t="s">
        <v>829</v>
      </c>
      <c r="I1707">
        <v>10687750</v>
      </c>
      <c r="J1707">
        <v>3</v>
      </c>
      <c r="K1707">
        <v>29</v>
      </c>
      <c r="L1707">
        <v>29</v>
      </c>
      <c r="M1707">
        <v>1638</v>
      </c>
      <c r="N1707" s="2">
        <v>40608</v>
      </c>
      <c r="O1707" s="2">
        <v>0</v>
      </c>
      <c r="P1707" s="2">
        <v>1410</v>
      </c>
      <c r="Q1707" s="2">
        <v>4914</v>
      </c>
      <c r="R1707" s="2">
        <v>3384</v>
      </c>
      <c r="S1707">
        <v>98.135999999999996</v>
      </c>
      <c r="T1707" s="2">
        <v>33840</v>
      </c>
      <c r="U1707" s="2">
        <v>6768</v>
      </c>
      <c r="V1707">
        <v>142.506</v>
      </c>
      <c r="W1707">
        <v>0</v>
      </c>
      <c r="X1707">
        <v>0</v>
      </c>
      <c r="Y1707">
        <v>0</v>
      </c>
      <c r="Z1707">
        <v>3.5</v>
      </c>
      <c r="AA1707">
        <v>2.4560369387955593E-2</v>
      </c>
      <c r="AB1707">
        <v>26.27</v>
      </c>
      <c r="AC1707">
        <v>11.95285</v>
      </c>
      <c r="AD1707">
        <v>24</v>
      </c>
      <c r="AE1707" s="7"/>
      <c r="AF1707" s="7"/>
      <c r="AG1707" s="7"/>
      <c r="AH1707" s="7"/>
      <c r="AI1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4.7150000000000247E-2</v>
      </c>
      <c r="AJ1707" s="7"/>
      <c r="AK1707" t="s">
        <v>214</v>
      </c>
      <c r="AN1707">
        <f>IFERROR(INT(Table13[[#This Row],[reject_prod]]/Table13[[#This Row],[part_weight]] * 1000), 0)</f>
        <v>120</v>
      </c>
    </row>
    <row r="1708" spans="1:40" hidden="1">
      <c r="A1708" s="1">
        <v>46073</v>
      </c>
      <c r="B1708">
        <v>2</v>
      </c>
      <c r="C1708">
        <v>5</v>
      </c>
      <c r="D1708" t="s">
        <v>554</v>
      </c>
      <c r="E1708" t="s">
        <v>34</v>
      </c>
      <c r="F1708">
        <v>597507</v>
      </c>
      <c r="G1708" s="6">
        <v>0</v>
      </c>
      <c r="H1708" t="s">
        <v>279</v>
      </c>
      <c r="I1708">
        <v>10687752</v>
      </c>
      <c r="J1708">
        <v>4</v>
      </c>
      <c r="K1708">
        <v>23</v>
      </c>
      <c r="L1708">
        <v>23</v>
      </c>
      <c r="M1708">
        <v>2079</v>
      </c>
      <c r="N1708" s="2">
        <v>86240</v>
      </c>
      <c r="O1708" s="2">
        <v>462</v>
      </c>
      <c r="P1708" s="2">
        <v>0</v>
      </c>
      <c r="Q1708" s="2">
        <v>8316</v>
      </c>
      <c r="R1708" s="2">
        <v>8624</v>
      </c>
      <c r="S1708">
        <v>198.352</v>
      </c>
      <c r="T1708" s="2">
        <v>19404</v>
      </c>
      <c r="U1708" s="2">
        <v>66836</v>
      </c>
      <c r="V1708">
        <v>191.268</v>
      </c>
      <c r="W1708">
        <v>0</v>
      </c>
      <c r="X1708">
        <v>0</v>
      </c>
      <c r="Y1708">
        <v>0</v>
      </c>
      <c r="Z1708">
        <v>3.5</v>
      </c>
      <c r="AA1708">
        <v>1.8298931342409602E-2</v>
      </c>
      <c r="AB1708">
        <v>20.7</v>
      </c>
      <c r="AC1708">
        <v>11.95425</v>
      </c>
      <c r="AD1708">
        <v>22</v>
      </c>
      <c r="AE1708" s="7"/>
      <c r="AF1708" s="7"/>
      <c r="AG1708" s="7"/>
      <c r="AH1708" s="7"/>
      <c r="AI1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4.5749999999999957E-2</v>
      </c>
      <c r="AJ1708" s="7"/>
      <c r="AK1708" t="s">
        <v>924</v>
      </c>
      <c r="AN1708">
        <f>IFERROR(INT(Table13[[#This Row],[reject_prod]]/Table13[[#This Row],[part_weight]] * 1000), 0)</f>
        <v>152</v>
      </c>
    </row>
    <row r="1709" spans="1:40" hidden="1">
      <c r="A1709" s="1">
        <v>46073</v>
      </c>
      <c r="B1709">
        <v>2</v>
      </c>
      <c r="C1709">
        <v>6</v>
      </c>
      <c r="D1709" t="s">
        <v>925</v>
      </c>
      <c r="E1709" t="s">
        <v>41</v>
      </c>
      <c r="F1709">
        <v>620994</v>
      </c>
      <c r="G1709" s="6">
        <v>0</v>
      </c>
      <c r="H1709" t="s">
        <v>42</v>
      </c>
      <c r="I1709">
        <v>10686806</v>
      </c>
      <c r="J1709">
        <v>4</v>
      </c>
      <c r="K1709">
        <v>32.74</v>
      </c>
      <c r="L1709">
        <v>33</v>
      </c>
      <c r="M1709">
        <v>1787</v>
      </c>
      <c r="N1709" s="2">
        <v>104192</v>
      </c>
      <c r="O1709" s="2">
        <v>296</v>
      </c>
      <c r="P1709" s="2">
        <v>296</v>
      </c>
      <c r="Q1709" s="2">
        <v>7148</v>
      </c>
      <c r="R1709" s="2">
        <v>7104</v>
      </c>
      <c r="S1709">
        <v>234.43199999999999</v>
      </c>
      <c r="T1709" s="2">
        <v>60680</v>
      </c>
      <c r="U1709" s="2">
        <v>43512</v>
      </c>
      <c r="V1709">
        <v>235.88399999999999</v>
      </c>
      <c r="W1709">
        <v>0</v>
      </c>
      <c r="X1709">
        <v>0</v>
      </c>
      <c r="Y1709">
        <v>0</v>
      </c>
      <c r="Z1709">
        <v>1.5</v>
      </c>
      <c r="AA1709">
        <v>6.3590578419901308E-3</v>
      </c>
      <c r="AB1709">
        <v>23.9</v>
      </c>
      <c r="AC1709">
        <v>11.863694444444445</v>
      </c>
      <c r="AD1709">
        <v>22</v>
      </c>
      <c r="AE1709" s="7"/>
      <c r="AF1709" s="7"/>
      <c r="AG1709" s="7"/>
      <c r="AH1709" s="7"/>
      <c r="AI1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0.13630555555555546</v>
      </c>
      <c r="AJ1709" s="7"/>
      <c r="AK1709" t="s">
        <v>214</v>
      </c>
      <c r="AN1709">
        <f>IFERROR(INT(Table13[[#This Row],[reject_prod]]/Table13[[#This Row],[part_weight]] * 1000), 0)</f>
        <v>45</v>
      </c>
    </row>
    <row r="1710" spans="1:40" hidden="1">
      <c r="A1710" s="1">
        <v>46073</v>
      </c>
      <c r="B1710">
        <v>2</v>
      </c>
      <c r="C1710">
        <v>7</v>
      </c>
      <c r="D1710" t="s">
        <v>65</v>
      </c>
      <c r="E1710" t="s">
        <v>34</v>
      </c>
      <c r="F1710">
        <v>324177</v>
      </c>
      <c r="G1710" s="6">
        <v>0</v>
      </c>
      <c r="H1710" t="s">
        <v>246</v>
      </c>
      <c r="I1710">
        <v>10686803</v>
      </c>
      <c r="J1710">
        <v>4</v>
      </c>
      <c r="K1710">
        <v>34.5</v>
      </c>
      <c r="L1710">
        <v>34.5</v>
      </c>
      <c r="M1710">
        <v>1582</v>
      </c>
      <c r="N1710" s="2">
        <v>93600</v>
      </c>
      <c r="O1710" s="2">
        <v>156</v>
      </c>
      <c r="P1710" s="2">
        <v>0</v>
      </c>
      <c r="Q1710" s="2">
        <v>6328</v>
      </c>
      <c r="R1710" s="2">
        <v>6240</v>
      </c>
      <c r="S1710">
        <v>215.28</v>
      </c>
      <c r="T1710" s="2">
        <v>93600</v>
      </c>
      <c r="U1710" s="2">
        <v>0</v>
      </c>
      <c r="V1710">
        <v>218.316</v>
      </c>
      <c r="W1710">
        <v>0</v>
      </c>
      <c r="X1710">
        <v>0</v>
      </c>
      <c r="Y1710">
        <v>0</v>
      </c>
      <c r="Z1710">
        <v>8.8000000000000007</v>
      </c>
      <c r="AA1710">
        <v>4.0308543579032234E-2</v>
      </c>
      <c r="AB1710">
        <v>22.2</v>
      </c>
      <c r="AC1710">
        <v>9.7556666666666665</v>
      </c>
      <c r="AD1710">
        <v>22</v>
      </c>
      <c r="AE1710" s="7"/>
      <c r="AF1710" s="7"/>
      <c r="AG1710" s="7"/>
      <c r="AH1710" s="7"/>
      <c r="AI1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2.2443333333333335</v>
      </c>
      <c r="AJ1710" s="7"/>
      <c r="AK1710" t="s">
        <v>926</v>
      </c>
      <c r="AN1710">
        <f>IFERROR(INT(Table13[[#This Row],[reject_prod]]/Table13[[#This Row],[part_weight]] * 1000), 0)</f>
        <v>255</v>
      </c>
    </row>
    <row r="1711" spans="1:40" hidden="1">
      <c r="A1711" s="1">
        <v>46073</v>
      </c>
      <c r="B1711">
        <v>2</v>
      </c>
      <c r="C1711">
        <v>7</v>
      </c>
      <c r="D1711" t="s">
        <v>65</v>
      </c>
      <c r="E1711" t="s">
        <v>34</v>
      </c>
      <c r="F1711">
        <v>324165</v>
      </c>
      <c r="G1711" s="6">
        <v>0</v>
      </c>
      <c r="H1711" t="s">
        <v>44</v>
      </c>
      <c r="I1711">
        <v>10687137</v>
      </c>
      <c r="J1711">
        <v>4</v>
      </c>
      <c r="K1711">
        <v>32.56</v>
      </c>
      <c r="L1711">
        <v>33</v>
      </c>
      <c r="M1711">
        <v>0</v>
      </c>
      <c r="N1711" s="2">
        <v>104192</v>
      </c>
      <c r="O1711" s="2">
        <v>0</v>
      </c>
      <c r="P1711" s="2">
        <v>0</v>
      </c>
      <c r="Q1711" s="2">
        <v>0</v>
      </c>
      <c r="R1711" s="2">
        <v>0</v>
      </c>
      <c r="S1711">
        <v>0</v>
      </c>
      <c r="T1711" s="2">
        <v>0</v>
      </c>
      <c r="U1711" s="2">
        <v>104192</v>
      </c>
      <c r="V1711">
        <v>0</v>
      </c>
      <c r="W1711">
        <v>0</v>
      </c>
      <c r="X1711">
        <v>0</v>
      </c>
      <c r="Y1711" t="e">
        <v>#DIV/0!</v>
      </c>
      <c r="Z1711">
        <v>0</v>
      </c>
      <c r="AA1711" t="e">
        <v>#DIV/0!</v>
      </c>
      <c r="AB1711">
        <v>22.2</v>
      </c>
      <c r="AC1711">
        <v>0</v>
      </c>
      <c r="AD1711">
        <v>22</v>
      </c>
      <c r="AE1711" s="7"/>
      <c r="AF1711" s="7"/>
      <c r="AG1711" s="7">
        <v>2</v>
      </c>
      <c r="AH1711" s="7"/>
      <c r="AI1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1711" s="7"/>
      <c r="AK1711" t="s">
        <v>927</v>
      </c>
      <c r="AN1711">
        <f>IFERROR(INT(Table13[[#This Row],[reject_prod]]/Table13[[#This Row],[part_weight]] * 1000), 0)</f>
        <v>0</v>
      </c>
    </row>
    <row r="1712" spans="1:40" hidden="1">
      <c r="A1712" s="1">
        <v>46073</v>
      </c>
      <c r="B1712">
        <v>2</v>
      </c>
      <c r="C1712">
        <v>8</v>
      </c>
      <c r="D1712" t="s">
        <v>305</v>
      </c>
      <c r="E1712" t="s">
        <v>41</v>
      </c>
      <c r="F1712">
        <v>593537</v>
      </c>
      <c r="G1712" s="6">
        <v>0</v>
      </c>
      <c r="H1712" t="s">
        <v>48</v>
      </c>
      <c r="I1712">
        <v>10687586</v>
      </c>
      <c r="J1712">
        <v>4</v>
      </c>
      <c r="K1712">
        <v>56.5</v>
      </c>
      <c r="L1712">
        <v>56.8</v>
      </c>
      <c r="M1712">
        <v>1334</v>
      </c>
      <c r="N1712" s="2">
        <v>69000</v>
      </c>
      <c r="O1712" s="2">
        <v>115</v>
      </c>
      <c r="P1712" s="2">
        <v>230</v>
      </c>
      <c r="Q1712" s="2">
        <v>5336</v>
      </c>
      <c r="R1712" s="2">
        <v>5175</v>
      </c>
      <c r="S1712">
        <v>293.94</v>
      </c>
      <c r="T1712" s="2">
        <v>66355</v>
      </c>
      <c r="U1712" s="2">
        <v>2645</v>
      </c>
      <c r="V1712">
        <v>303.08479999999997</v>
      </c>
      <c r="W1712">
        <v>0</v>
      </c>
      <c r="X1712">
        <v>0</v>
      </c>
      <c r="Y1712">
        <v>0</v>
      </c>
      <c r="Z1712">
        <v>2.5</v>
      </c>
      <c r="AA1712">
        <v>8.2485165867770341E-3</v>
      </c>
      <c r="AB1712">
        <v>30.4</v>
      </c>
      <c r="AC1712">
        <v>11.264888888888887</v>
      </c>
      <c r="AD1712">
        <v>28.5</v>
      </c>
      <c r="AE1712" s="7"/>
      <c r="AF1712" s="7"/>
      <c r="AG1712" s="7"/>
      <c r="AH1712" s="7"/>
      <c r="AI1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0.73511111111111305</v>
      </c>
      <c r="AJ1712" s="7"/>
      <c r="AK1712" t="s">
        <v>928</v>
      </c>
      <c r="AN1712">
        <f>IFERROR(INT(Table13[[#This Row],[reject_prod]]/Table13[[#This Row],[part_weight]] * 1000), 0)</f>
        <v>44</v>
      </c>
    </row>
    <row r="1713" spans="1:40" hidden="1">
      <c r="A1713" s="1">
        <v>46073</v>
      </c>
      <c r="B1713">
        <v>2</v>
      </c>
      <c r="C1713">
        <v>9</v>
      </c>
      <c r="D1713" t="s">
        <v>141</v>
      </c>
      <c r="E1713" t="s">
        <v>46</v>
      </c>
      <c r="F1713">
        <v>586276</v>
      </c>
      <c r="G1713" s="6">
        <v>1</v>
      </c>
      <c r="H1713" t="s">
        <v>47</v>
      </c>
      <c r="I1713">
        <v>10686684</v>
      </c>
      <c r="J1713">
        <v>6</v>
      </c>
      <c r="K1713">
        <v>12.3</v>
      </c>
      <c r="L1713">
        <v>12.3</v>
      </c>
      <c r="M1713">
        <v>1627</v>
      </c>
      <c r="N1713" s="2">
        <v>162000</v>
      </c>
      <c r="O1713" s="2">
        <v>3240</v>
      </c>
      <c r="P1713" s="2">
        <v>4860</v>
      </c>
      <c r="Q1713" s="2">
        <v>9762</v>
      </c>
      <c r="R1713" s="2">
        <v>8100</v>
      </c>
      <c r="S1713">
        <v>99.63</v>
      </c>
      <c r="T1713" s="2">
        <v>37260</v>
      </c>
      <c r="U1713" s="2">
        <v>124740</v>
      </c>
      <c r="V1713">
        <v>120.07260000000001</v>
      </c>
      <c r="W1713">
        <v>0</v>
      </c>
      <c r="X1713">
        <v>0</v>
      </c>
      <c r="Y1713">
        <v>0</v>
      </c>
      <c r="Z1713">
        <v>0.5</v>
      </c>
      <c r="AA1713">
        <v>4.1641473575153697E-3</v>
      </c>
      <c r="AB1713">
        <v>26.5</v>
      </c>
      <c r="AC1713">
        <v>11.976527777777777</v>
      </c>
      <c r="AD1713">
        <v>26</v>
      </c>
      <c r="AE1713" s="7"/>
      <c r="AF1713" s="7"/>
      <c r="AG1713" s="7"/>
      <c r="AH1713" s="7"/>
      <c r="AI1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713" s="7"/>
      <c r="AK1713" t="s">
        <v>51</v>
      </c>
      <c r="AN1713">
        <f>IFERROR(INT(Table13[[#This Row],[reject_prod]]/Table13[[#This Row],[part_weight]] * 1000), 0)</f>
        <v>40</v>
      </c>
    </row>
    <row r="1714" spans="1:40" hidden="1">
      <c r="A1714" s="1">
        <v>46073</v>
      </c>
      <c r="B1714">
        <v>2</v>
      </c>
      <c r="C1714">
        <v>10</v>
      </c>
      <c r="D1714" t="s">
        <v>40</v>
      </c>
      <c r="E1714" t="s">
        <v>34</v>
      </c>
      <c r="F1714">
        <v>323092</v>
      </c>
      <c r="G1714" s="6">
        <v>0</v>
      </c>
      <c r="H1714" t="s">
        <v>377</v>
      </c>
      <c r="I1714">
        <v>10686686</v>
      </c>
      <c r="J1714">
        <v>4</v>
      </c>
      <c r="K1714">
        <v>48.9</v>
      </c>
      <c r="L1714">
        <v>48.9</v>
      </c>
      <c r="M1714">
        <v>1266</v>
      </c>
      <c r="N1714" s="2">
        <v>37800</v>
      </c>
      <c r="O1714" s="2">
        <v>0</v>
      </c>
      <c r="P1714" s="2">
        <v>0</v>
      </c>
      <c r="Q1714" s="2">
        <v>5064</v>
      </c>
      <c r="R1714" s="2">
        <v>4725</v>
      </c>
      <c r="S1714">
        <v>231.05250000000001</v>
      </c>
      <c r="T1714" s="2">
        <v>6825</v>
      </c>
      <c r="U1714" s="2">
        <v>30975</v>
      </c>
      <c r="V1714">
        <v>247.62960000000001</v>
      </c>
      <c r="W1714">
        <v>0</v>
      </c>
      <c r="X1714">
        <v>0</v>
      </c>
      <c r="Y1714">
        <v>0</v>
      </c>
      <c r="Z1714">
        <v>16.5</v>
      </c>
      <c r="AA1714">
        <v>6.6631775845860108E-2</v>
      </c>
      <c r="AB1714">
        <v>29.1</v>
      </c>
      <c r="AC1714">
        <v>10.233499999999999</v>
      </c>
      <c r="AD1714">
        <v>27.6</v>
      </c>
      <c r="AE1714" s="7"/>
      <c r="AF1714" s="7"/>
      <c r="AG1714" s="7"/>
      <c r="AH1714" s="7"/>
      <c r="AI1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1.7665000000000006</v>
      </c>
      <c r="AJ1714" s="7"/>
      <c r="AK1714" t="s">
        <v>929</v>
      </c>
      <c r="AN1714">
        <f>IFERROR(INT(Table13[[#This Row],[reject_prod]]/Table13[[#This Row],[part_weight]] * 1000), 0)</f>
        <v>337</v>
      </c>
    </row>
    <row r="1715" spans="1:40" hidden="1">
      <c r="A1715" s="1">
        <v>46073</v>
      </c>
      <c r="B1715">
        <v>2</v>
      </c>
      <c r="C1715">
        <v>11</v>
      </c>
      <c r="D1715" t="s">
        <v>33</v>
      </c>
      <c r="E1715" t="s">
        <v>46</v>
      </c>
      <c r="F1715">
        <v>552181</v>
      </c>
      <c r="G1715" s="6">
        <v>1</v>
      </c>
      <c r="H1715" t="s">
        <v>49</v>
      </c>
      <c r="I1715">
        <v>10686672</v>
      </c>
      <c r="J1715">
        <v>6</v>
      </c>
      <c r="K1715">
        <v>18.8</v>
      </c>
      <c r="L1715">
        <v>18.8</v>
      </c>
      <c r="M1715">
        <v>0</v>
      </c>
      <c r="N1715" s="2">
        <v>108000</v>
      </c>
      <c r="O1715" s="2">
        <v>8370</v>
      </c>
      <c r="P1715" s="2">
        <v>10800</v>
      </c>
      <c r="Q1715" s="2">
        <v>0</v>
      </c>
      <c r="R1715" s="2">
        <v>0</v>
      </c>
      <c r="S1715">
        <v>0</v>
      </c>
      <c r="T1715" s="2">
        <v>108000</v>
      </c>
      <c r="U1715" s="2">
        <v>0</v>
      </c>
      <c r="V1715">
        <v>0</v>
      </c>
      <c r="W1715">
        <v>0</v>
      </c>
      <c r="X1715">
        <v>0</v>
      </c>
      <c r="Y1715" t="e">
        <v>#DIV/0!</v>
      </c>
      <c r="Z1715">
        <v>0</v>
      </c>
      <c r="AA1715" t="e">
        <v>#DIV/0!</v>
      </c>
      <c r="AB1715">
        <v>29.4</v>
      </c>
      <c r="AC1715">
        <v>0</v>
      </c>
      <c r="AD1715">
        <v>27</v>
      </c>
      <c r="AE1715" s="7"/>
      <c r="AF1715" s="7"/>
      <c r="AG1715" s="7"/>
      <c r="AH1715" s="7"/>
      <c r="AI1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715" s="7"/>
      <c r="AK1715" t="s">
        <v>930</v>
      </c>
      <c r="AN1715">
        <f>IFERROR(INT(Table13[[#This Row],[reject_prod]]/Table13[[#This Row],[part_weight]] * 1000), 0)</f>
        <v>0</v>
      </c>
    </row>
    <row r="1716" spans="1:40" hidden="1">
      <c r="A1716" s="1">
        <v>46073</v>
      </c>
      <c r="B1716">
        <v>2</v>
      </c>
      <c r="C1716">
        <v>11</v>
      </c>
      <c r="D1716" t="s">
        <v>61</v>
      </c>
      <c r="E1716" t="s">
        <v>46</v>
      </c>
      <c r="F1716">
        <v>552181</v>
      </c>
      <c r="G1716" s="6">
        <v>1</v>
      </c>
      <c r="H1716" t="s">
        <v>49</v>
      </c>
      <c r="I1716">
        <v>10686673</v>
      </c>
      <c r="J1716">
        <v>6</v>
      </c>
      <c r="K1716">
        <v>18.8</v>
      </c>
      <c r="L1716">
        <v>18.8</v>
      </c>
      <c r="M1716">
        <v>515</v>
      </c>
      <c r="N1716" s="2">
        <v>108000</v>
      </c>
      <c r="O1716" s="2">
        <v>0</v>
      </c>
      <c r="P1716" s="2">
        <v>2430</v>
      </c>
      <c r="Q1716" s="2">
        <v>3090</v>
      </c>
      <c r="R1716" s="2">
        <v>0</v>
      </c>
      <c r="S1716">
        <v>0</v>
      </c>
      <c r="T1716" s="2">
        <v>2430</v>
      </c>
      <c r="U1716" s="2">
        <v>105570</v>
      </c>
      <c r="V1716">
        <v>58.091999999999999</v>
      </c>
      <c r="W1716">
        <v>0</v>
      </c>
      <c r="X1716">
        <v>0</v>
      </c>
      <c r="Y1716">
        <v>0</v>
      </c>
      <c r="Z1716">
        <v>12.5</v>
      </c>
      <c r="AA1716">
        <v>0.21517592783860084</v>
      </c>
      <c r="AB1716">
        <v>29.4</v>
      </c>
      <c r="AC1716">
        <v>4.2058333333333326</v>
      </c>
      <c r="AD1716">
        <v>27</v>
      </c>
      <c r="AE1716" s="7"/>
      <c r="AF1716" s="7"/>
      <c r="AG1716" s="7"/>
      <c r="AH1716" s="7"/>
      <c r="AI1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7.7941666666666674</v>
      </c>
      <c r="AJ1716" s="7"/>
      <c r="AK1716" t="s">
        <v>931</v>
      </c>
      <c r="AN1716">
        <f>IFERROR(INT(Table13[[#This Row],[reject_prod]]/Table13[[#This Row],[part_weight]] * 1000), 0)</f>
        <v>664</v>
      </c>
    </row>
    <row r="1717" spans="1:40" hidden="1">
      <c r="A1717" s="1">
        <v>46073</v>
      </c>
      <c r="B1717">
        <v>2</v>
      </c>
      <c r="C1717">
        <v>12</v>
      </c>
      <c r="D1717" t="s">
        <v>112</v>
      </c>
      <c r="E1717" t="s">
        <v>34</v>
      </c>
      <c r="F1717">
        <v>620599</v>
      </c>
      <c r="G1717" s="6">
        <v>0</v>
      </c>
      <c r="H1717" t="s">
        <v>50</v>
      </c>
      <c r="I1717">
        <v>10686675</v>
      </c>
      <c r="J1717">
        <v>4</v>
      </c>
      <c r="K1717">
        <v>55</v>
      </c>
      <c r="L1717">
        <v>55</v>
      </c>
      <c r="M1717">
        <v>1470</v>
      </c>
      <c r="N1717" s="2">
        <v>72000</v>
      </c>
      <c r="O1717" s="2">
        <v>675</v>
      </c>
      <c r="P1717" s="2">
        <v>1125</v>
      </c>
      <c r="Q1717" s="2">
        <v>5880</v>
      </c>
      <c r="R1717" s="2">
        <v>5400</v>
      </c>
      <c r="S1717">
        <v>297</v>
      </c>
      <c r="T1717" s="2">
        <v>22725</v>
      </c>
      <c r="U1717" s="2">
        <v>49275</v>
      </c>
      <c r="V1717">
        <v>323.39999999999998</v>
      </c>
      <c r="W1717">
        <v>0</v>
      </c>
      <c r="X1717">
        <v>0</v>
      </c>
      <c r="Y1717">
        <v>0</v>
      </c>
      <c r="Z1717">
        <v>1.5</v>
      </c>
      <c r="AA1717">
        <v>4.6382189239332098E-3</v>
      </c>
      <c r="AB1717">
        <v>28.9</v>
      </c>
      <c r="AC1717">
        <v>11.800833333333333</v>
      </c>
      <c r="AD1717">
        <v>28</v>
      </c>
      <c r="AE1717" s="7"/>
      <c r="AF1717" s="7"/>
      <c r="AG1717" s="7"/>
      <c r="AH1717" s="7"/>
      <c r="AI1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0.19916666666666671</v>
      </c>
      <c r="AJ1717" s="7"/>
      <c r="AK1717" t="s">
        <v>178</v>
      </c>
      <c r="AN1717">
        <f>IFERROR(INT(Table13[[#This Row],[reject_prod]]/Table13[[#This Row],[part_weight]] * 1000), 0)</f>
        <v>27</v>
      </c>
    </row>
    <row r="1718" spans="1:40" hidden="1">
      <c r="A1718" s="1">
        <v>46073</v>
      </c>
      <c r="B1718">
        <v>2</v>
      </c>
      <c r="C1718">
        <v>13</v>
      </c>
      <c r="D1718" t="s">
        <v>61</v>
      </c>
      <c r="E1718" t="s">
        <v>46</v>
      </c>
      <c r="F1718">
        <v>586276</v>
      </c>
      <c r="G1718" s="6">
        <v>2</v>
      </c>
      <c r="H1718" t="s">
        <v>47</v>
      </c>
      <c r="I1718">
        <v>10686676</v>
      </c>
      <c r="J1718">
        <v>6</v>
      </c>
      <c r="K1718">
        <v>12.3</v>
      </c>
      <c r="L1718">
        <v>12.3</v>
      </c>
      <c r="M1718">
        <v>547</v>
      </c>
      <c r="N1718" s="2">
        <v>162000</v>
      </c>
      <c r="O1718" s="2">
        <v>4860</v>
      </c>
      <c r="P1718" s="2">
        <v>0</v>
      </c>
      <c r="Q1718" s="2">
        <v>3282</v>
      </c>
      <c r="R1718" s="2">
        <v>8100</v>
      </c>
      <c r="S1718">
        <v>99.63</v>
      </c>
      <c r="T1718" s="2">
        <v>162000</v>
      </c>
      <c r="U1718" s="2">
        <v>0</v>
      </c>
      <c r="V1718">
        <v>40.368600000000008</v>
      </c>
      <c r="W1718">
        <v>0</v>
      </c>
      <c r="X1718">
        <v>0</v>
      </c>
      <c r="Y1718">
        <v>0</v>
      </c>
      <c r="Z1718">
        <v>0.5</v>
      </c>
      <c r="AA1718">
        <v>1.2385864260836391E-2</v>
      </c>
      <c r="AB1718">
        <v>26.4</v>
      </c>
      <c r="AC1718">
        <v>4.011333333333333</v>
      </c>
      <c r="AD1718">
        <v>26</v>
      </c>
      <c r="AE1718" s="7"/>
      <c r="AF1718" s="7"/>
      <c r="AG1718" s="7"/>
      <c r="AH1718" s="7"/>
      <c r="AI1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7.988666666666667</v>
      </c>
      <c r="AJ1718" s="7"/>
      <c r="AK1718" t="s">
        <v>102</v>
      </c>
      <c r="AN1718">
        <f>IFERROR(INT(Table13[[#This Row],[reject_prod]]/Table13[[#This Row],[part_weight]] * 1000), 0)</f>
        <v>40</v>
      </c>
    </row>
    <row r="1719" spans="1:40" hidden="1">
      <c r="A1719" s="1">
        <v>46073</v>
      </c>
      <c r="B1719">
        <v>2</v>
      </c>
      <c r="C1719">
        <v>13</v>
      </c>
      <c r="D1719" t="s">
        <v>61</v>
      </c>
      <c r="E1719" t="s">
        <v>46</v>
      </c>
      <c r="F1719">
        <v>586276</v>
      </c>
      <c r="G1719" s="6">
        <v>2</v>
      </c>
      <c r="H1719" t="s">
        <v>47</v>
      </c>
      <c r="I1719">
        <v>10686677</v>
      </c>
      <c r="J1719">
        <v>6</v>
      </c>
      <c r="K1719">
        <v>12.3</v>
      </c>
      <c r="L1719">
        <v>12.3</v>
      </c>
      <c r="M1719">
        <v>1080</v>
      </c>
      <c r="N1719" s="2">
        <v>162000</v>
      </c>
      <c r="O1719" s="2">
        <v>0</v>
      </c>
      <c r="P1719" s="2">
        <v>6480</v>
      </c>
      <c r="Q1719" s="2">
        <v>6480</v>
      </c>
      <c r="R1719" s="2">
        <v>0</v>
      </c>
      <c r="S1719">
        <v>0</v>
      </c>
      <c r="T1719" s="2">
        <v>6480</v>
      </c>
      <c r="U1719" s="2">
        <v>155520</v>
      </c>
      <c r="V1719">
        <v>79.703999999999994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26.4</v>
      </c>
      <c r="AC1719">
        <v>7.92</v>
      </c>
      <c r="AD1719">
        <v>26</v>
      </c>
      <c r="AE1719" s="7"/>
      <c r="AF1719" s="7"/>
      <c r="AG1719" s="7"/>
      <c r="AH1719" s="7"/>
      <c r="AI1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4.08</v>
      </c>
      <c r="AJ1719" s="7"/>
      <c r="AK1719" t="s">
        <v>51</v>
      </c>
      <c r="AN1719">
        <f>IFERROR(INT(Table13[[#This Row],[reject_prod]]/Table13[[#This Row],[part_weight]] * 1000), 0)</f>
        <v>0</v>
      </c>
    </row>
    <row r="1720" spans="1:40" hidden="1">
      <c r="A1720" s="1">
        <v>46073</v>
      </c>
      <c r="B1720">
        <v>2</v>
      </c>
      <c r="C1720">
        <v>14</v>
      </c>
      <c r="D1720" t="s">
        <v>67</v>
      </c>
      <c r="E1720" t="s">
        <v>34</v>
      </c>
      <c r="F1720">
        <v>541381</v>
      </c>
      <c r="G1720" s="6">
        <v>0</v>
      </c>
      <c r="H1720" t="s">
        <v>804</v>
      </c>
      <c r="I1720">
        <v>10686678</v>
      </c>
      <c r="J1720">
        <v>4</v>
      </c>
      <c r="K1720">
        <v>55</v>
      </c>
      <c r="L1720">
        <v>55</v>
      </c>
      <c r="M1720">
        <v>1343</v>
      </c>
      <c r="N1720" s="2">
        <v>84000</v>
      </c>
      <c r="O1720" s="2">
        <v>350</v>
      </c>
      <c r="P1720" s="2">
        <v>0</v>
      </c>
      <c r="Q1720" s="2">
        <v>5372</v>
      </c>
      <c r="R1720" s="2">
        <v>5600</v>
      </c>
      <c r="S1720">
        <v>308</v>
      </c>
      <c r="T1720" s="2">
        <v>42700</v>
      </c>
      <c r="U1720" s="2">
        <v>41300</v>
      </c>
      <c r="V1720">
        <v>295.45999999999998</v>
      </c>
      <c r="W1720">
        <v>0</v>
      </c>
      <c r="X1720">
        <v>0</v>
      </c>
      <c r="Y1720">
        <v>0</v>
      </c>
      <c r="Z1720">
        <v>6.5</v>
      </c>
      <c r="AA1720">
        <v>2.1999593853651935E-2</v>
      </c>
      <c r="AB1720">
        <v>27.81</v>
      </c>
      <c r="AC1720">
        <v>10.374674999999998</v>
      </c>
      <c r="AD1720">
        <v>30.08</v>
      </c>
      <c r="AE1720" s="7"/>
      <c r="AF1720" s="7"/>
      <c r="AG1720" s="7"/>
      <c r="AH1720" s="7"/>
      <c r="AI1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1.6253250000000019</v>
      </c>
      <c r="AJ1720" s="7"/>
      <c r="AK1720" t="s">
        <v>932</v>
      </c>
      <c r="AN1720">
        <f>IFERROR(INT(Table13[[#This Row],[reject_prod]]/Table13[[#This Row],[part_weight]] * 1000), 0)</f>
        <v>118</v>
      </c>
    </row>
    <row r="1721" spans="1:40" hidden="1">
      <c r="A1721" s="1">
        <v>46073</v>
      </c>
      <c r="B1721">
        <v>2</v>
      </c>
      <c r="C1721">
        <v>15</v>
      </c>
      <c r="D1721" t="s">
        <v>61</v>
      </c>
      <c r="E1721" t="s">
        <v>46</v>
      </c>
      <c r="F1721">
        <v>550076</v>
      </c>
      <c r="G1721" s="6">
        <v>0</v>
      </c>
      <c r="H1721" t="s">
        <v>857</v>
      </c>
      <c r="I1721">
        <v>10687863</v>
      </c>
      <c r="J1721">
        <v>6</v>
      </c>
      <c r="K1721">
        <v>18.8</v>
      </c>
      <c r="L1721">
        <v>18.8</v>
      </c>
      <c r="M1721">
        <v>1372</v>
      </c>
      <c r="N1721" s="2">
        <v>108000</v>
      </c>
      <c r="O1721" s="2">
        <v>2970</v>
      </c>
      <c r="P1721" s="2">
        <v>270</v>
      </c>
      <c r="Q1721" s="2">
        <v>8232</v>
      </c>
      <c r="R1721" s="2">
        <v>10800</v>
      </c>
      <c r="S1721">
        <v>203.04</v>
      </c>
      <c r="T1721" s="2">
        <v>59670</v>
      </c>
      <c r="U1721" s="2">
        <v>48330</v>
      </c>
      <c r="V1721">
        <v>154.76160000000002</v>
      </c>
      <c r="W1721">
        <v>0</v>
      </c>
      <c r="X1721">
        <v>0</v>
      </c>
      <c r="Y1721">
        <v>0</v>
      </c>
      <c r="Z1721">
        <v>2.5</v>
      </c>
      <c r="AA1721">
        <v>1.6153877964559683E-2</v>
      </c>
      <c r="AB1721">
        <v>31.3</v>
      </c>
      <c r="AC1721">
        <v>11.928777777777777</v>
      </c>
      <c r="AD1721">
        <v>22.5</v>
      </c>
      <c r="AE1721" s="7"/>
      <c r="AF1721" s="7"/>
      <c r="AG1721" s="7"/>
      <c r="AH1721" s="7"/>
      <c r="AI1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7.1222222222223408E-2</v>
      </c>
      <c r="AJ1721" s="7"/>
      <c r="AK1721" t="s">
        <v>51</v>
      </c>
      <c r="AN1721">
        <f>IFERROR(INT(Table13[[#This Row],[reject_prod]]/Table13[[#This Row],[part_weight]] * 1000), 0)</f>
        <v>132</v>
      </c>
    </row>
    <row r="1722" spans="1:40" s="4" customFormat="1" hidden="1">
      <c r="A1722" s="3">
        <v>46073</v>
      </c>
      <c r="B1722" s="4">
        <v>2</v>
      </c>
      <c r="C1722" s="4">
        <v>16</v>
      </c>
      <c r="D1722" s="4" t="s">
        <v>455</v>
      </c>
      <c r="E1722" s="4" t="s">
        <v>46</v>
      </c>
      <c r="F1722" s="4">
        <v>555979</v>
      </c>
      <c r="G1722" s="9">
        <v>2</v>
      </c>
      <c r="H1722" s="4" t="s">
        <v>52</v>
      </c>
      <c r="I1722" s="4">
        <v>10683785</v>
      </c>
      <c r="J1722" s="4">
        <v>6</v>
      </c>
      <c r="K1722" s="4">
        <v>28</v>
      </c>
      <c r="L1722" s="4">
        <v>28</v>
      </c>
      <c r="M1722" s="4">
        <v>989</v>
      </c>
      <c r="N1722" s="5">
        <v>100800</v>
      </c>
      <c r="O1722" s="5">
        <v>504</v>
      </c>
      <c r="P1722" s="5">
        <v>3024</v>
      </c>
      <c r="Q1722" s="5">
        <v>5934</v>
      </c>
      <c r="R1722" s="5">
        <v>3360</v>
      </c>
      <c r="S1722" s="4">
        <v>94.08</v>
      </c>
      <c r="T1722" s="5">
        <v>80304</v>
      </c>
      <c r="U1722" s="5">
        <v>20496</v>
      </c>
      <c r="V1722" s="4">
        <v>166.15199999999999</v>
      </c>
      <c r="W1722" s="4">
        <v>0</v>
      </c>
      <c r="X1722" s="4">
        <v>0</v>
      </c>
      <c r="Y1722" s="4">
        <v>0</v>
      </c>
      <c r="Z1722" s="4">
        <v>1.5</v>
      </c>
      <c r="AA1722" s="4">
        <v>9.0278780875343058E-3</v>
      </c>
      <c r="AB1722" s="4">
        <v>43.5</v>
      </c>
      <c r="AC1722" s="4">
        <v>11.950416666666666</v>
      </c>
      <c r="AD1722" s="4">
        <v>42</v>
      </c>
      <c r="AE1722" s="8"/>
      <c r="AF1722" s="8"/>
      <c r="AG1722" s="8"/>
      <c r="AH1722" s="8"/>
      <c r="AI172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4.9583333333334423E-2</v>
      </c>
      <c r="AJ1722" s="8"/>
      <c r="AK1722" s="4" t="s">
        <v>51</v>
      </c>
      <c r="AN1722">
        <f>IFERROR(INT(Table13[[#This Row],[reject_prod]]/Table13[[#This Row],[part_weight]] * 1000), 0)</f>
        <v>53</v>
      </c>
    </row>
    <row r="1723" spans="1:40" hidden="1">
      <c r="A1723" s="1">
        <v>46074</v>
      </c>
      <c r="B1723">
        <v>1</v>
      </c>
      <c r="C1723">
        <v>1</v>
      </c>
      <c r="D1723" t="s">
        <v>88</v>
      </c>
      <c r="E1723" t="s">
        <v>34</v>
      </c>
      <c r="F1723">
        <v>324682</v>
      </c>
      <c r="G1723" s="6">
        <v>0</v>
      </c>
      <c r="H1723" t="s">
        <v>889</v>
      </c>
      <c r="I1723">
        <v>10687748</v>
      </c>
      <c r="J1723">
        <v>4</v>
      </c>
      <c r="K1723">
        <v>33</v>
      </c>
      <c r="L1723">
        <v>33</v>
      </c>
      <c r="M1723">
        <v>1386</v>
      </c>
      <c r="N1723" s="2">
        <v>18480</v>
      </c>
      <c r="O1723" s="2">
        <v>0</v>
      </c>
      <c r="P1723" s="2">
        <v>0</v>
      </c>
      <c r="Q1723" s="2">
        <v>5544</v>
      </c>
      <c r="R1723" s="2">
        <v>5544</v>
      </c>
      <c r="S1723">
        <v>182.952</v>
      </c>
      <c r="T1723" s="2">
        <v>17556</v>
      </c>
      <c r="U1723" s="2">
        <v>924</v>
      </c>
      <c r="V1723">
        <v>182.952</v>
      </c>
      <c r="W1723">
        <v>0</v>
      </c>
      <c r="X1723">
        <v>0</v>
      </c>
      <c r="Y1723">
        <v>0</v>
      </c>
      <c r="Z1723">
        <v>3.2</v>
      </c>
      <c r="AA1723">
        <v>1.7490926581835674E-2</v>
      </c>
      <c r="AB1723">
        <v>27.4</v>
      </c>
      <c r="AC1723">
        <v>10.548999999999999</v>
      </c>
      <c r="AD1723">
        <v>23.972000000000001</v>
      </c>
      <c r="AE1723" s="7"/>
      <c r="AF1723" s="7"/>
      <c r="AG1723" s="7"/>
      <c r="AH1723" s="7"/>
      <c r="AI1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1.4510000000000005</v>
      </c>
      <c r="AJ1723" s="7"/>
      <c r="AK1723" t="s">
        <v>214</v>
      </c>
      <c r="AN1723">
        <f>IFERROR(INT(Table13[[#This Row],[reject_prod]]/Table13[[#This Row],[part_weight]] * 1000), 0)</f>
        <v>96</v>
      </c>
    </row>
    <row r="1724" spans="1:40" hidden="1">
      <c r="A1724" s="1">
        <v>46074</v>
      </c>
      <c r="B1724">
        <v>1</v>
      </c>
      <c r="C1724">
        <v>2</v>
      </c>
      <c r="D1724" t="s">
        <v>933</v>
      </c>
      <c r="E1724" t="s">
        <v>34</v>
      </c>
      <c r="F1724">
        <v>543590</v>
      </c>
      <c r="G1724" s="6">
        <v>0</v>
      </c>
      <c r="H1724" t="s">
        <v>913</v>
      </c>
      <c r="I1724">
        <v>10687749</v>
      </c>
      <c r="J1724">
        <v>4</v>
      </c>
      <c r="K1724">
        <v>19</v>
      </c>
      <c r="L1724">
        <v>19</v>
      </c>
      <c r="M1724">
        <v>0</v>
      </c>
      <c r="N1724" s="2">
        <v>132440</v>
      </c>
      <c r="O1724" s="2">
        <v>0</v>
      </c>
      <c r="P1724" s="2">
        <v>0</v>
      </c>
      <c r="Q1724" s="2">
        <v>0</v>
      </c>
      <c r="R1724" s="2">
        <v>0</v>
      </c>
      <c r="S1724">
        <v>0</v>
      </c>
      <c r="T1724" s="2">
        <v>0</v>
      </c>
      <c r="U1724" s="2">
        <v>132440</v>
      </c>
      <c r="V1724">
        <v>0</v>
      </c>
      <c r="W1724">
        <v>0</v>
      </c>
      <c r="X1724">
        <v>6</v>
      </c>
      <c r="Y1724" t="e">
        <v>#DIV/0!</v>
      </c>
      <c r="Z1724">
        <v>0</v>
      </c>
      <c r="AA1724" t="e">
        <v>#DIV/0!</v>
      </c>
      <c r="AB1724">
        <v>20</v>
      </c>
      <c r="AC1724">
        <v>0</v>
      </c>
      <c r="AD1724">
        <v>18.72</v>
      </c>
      <c r="AE1724" s="7"/>
      <c r="AF1724" s="7"/>
      <c r="AG1724" s="7"/>
      <c r="AH1724" s="7">
        <v>6</v>
      </c>
      <c r="AI1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724" s="7"/>
      <c r="AK1724" t="s">
        <v>934</v>
      </c>
      <c r="AL1724">
        <v>8</v>
      </c>
      <c r="AM1724">
        <v>7</v>
      </c>
      <c r="AN1724">
        <f>IFERROR(INT(Table13[[#This Row],[reject_prod]]/Table13[[#This Row],[part_weight]] * 1000), 0)</f>
        <v>0</v>
      </c>
    </row>
    <row r="1725" spans="1:40" hidden="1">
      <c r="A1725" s="1">
        <v>46074</v>
      </c>
      <c r="B1725">
        <v>1</v>
      </c>
      <c r="C1725">
        <v>3</v>
      </c>
      <c r="D1725" t="s">
        <v>56</v>
      </c>
      <c r="E1725" t="s">
        <v>34</v>
      </c>
      <c r="F1725">
        <v>442034</v>
      </c>
      <c r="G1725" s="6">
        <v>0</v>
      </c>
      <c r="H1725" t="s">
        <v>37</v>
      </c>
      <c r="I1725">
        <v>10685634</v>
      </c>
      <c r="J1725">
        <v>4</v>
      </c>
      <c r="K1725">
        <v>23</v>
      </c>
      <c r="L1725">
        <v>23</v>
      </c>
      <c r="M1725">
        <v>960</v>
      </c>
      <c r="N1725" s="2">
        <v>139776</v>
      </c>
      <c r="O1725" s="2">
        <v>2688</v>
      </c>
      <c r="P1725" s="2">
        <v>1920</v>
      </c>
      <c r="Q1725" s="2">
        <v>3840</v>
      </c>
      <c r="R1725" s="2">
        <v>4608</v>
      </c>
      <c r="S1725">
        <v>105.98399999999999</v>
      </c>
      <c r="T1725" s="2">
        <v>34176</v>
      </c>
      <c r="U1725" s="2">
        <v>105600</v>
      </c>
      <c r="V1725">
        <v>88.32</v>
      </c>
      <c r="W1725">
        <v>0</v>
      </c>
      <c r="X1725">
        <v>0</v>
      </c>
      <c r="Y1725">
        <v>0</v>
      </c>
      <c r="Z1725">
        <v>3</v>
      </c>
      <c r="AA1725">
        <v>3.3967391304347831E-2</v>
      </c>
      <c r="AB1725">
        <v>28.5</v>
      </c>
      <c r="AC1725">
        <v>7.6000000000000005</v>
      </c>
      <c r="AD1725">
        <v>22</v>
      </c>
      <c r="AE1725" s="7"/>
      <c r="AF1725" s="7"/>
      <c r="AG1725" s="7"/>
      <c r="AH1725" s="7"/>
      <c r="AI1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4.3999999999999995</v>
      </c>
      <c r="AJ1725" s="7"/>
      <c r="AK1725" t="s">
        <v>935</v>
      </c>
      <c r="AL1725">
        <v>3</v>
      </c>
      <c r="AM1725">
        <v>4</v>
      </c>
      <c r="AN1725">
        <f>IFERROR(INT(Table13[[#This Row],[reject_prod]]/Table13[[#This Row],[part_weight]] * 1000), 0)</f>
        <v>130</v>
      </c>
    </row>
    <row r="1726" spans="1:40" hidden="1">
      <c r="A1726" s="1">
        <v>46074</v>
      </c>
      <c r="B1726">
        <v>1</v>
      </c>
      <c r="C1726">
        <v>4</v>
      </c>
      <c r="D1726" t="s">
        <v>910</v>
      </c>
      <c r="E1726" t="s">
        <v>34</v>
      </c>
      <c r="F1726">
        <v>409780</v>
      </c>
      <c r="G1726" s="6">
        <v>0</v>
      </c>
      <c r="H1726" t="s">
        <v>829</v>
      </c>
      <c r="I1726">
        <v>10687750</v>
      </c>
      <c r="J1726">
        <v>3</v>
      </c>
      <c r="K1726">
        <v>29</v>
      </c>
      <c r="L1726">
        <v>29</v>
      </c>
      <c r="M1726">
        <v>1410</v>
      </c>
      <c r="N1726" s="2">
        <v>40608</v>
      </c>
      <c r="O1726" s="2">
        <v>1410</v>
      </c>
      <c r="P1726" s="2">
        <v>2256</v>
      </c>
      <c r="Q1726" s="2">
        <v>4230</v>
      </c>
      <c r="R1726" s="2">
        <v>3384</v>
      </c>
      <c r="S1726">
        <v>98.135999999999996</v>
      </c>
      <c r="T1726" s="2">
        <v>39480</v>
      </c>
      <c r="U1726" s="2">
        <v>1128</v>
      </c>
      <c r="V1726">
        <v>122.67</v>
      </c>
      <c r="W1726">
        <v>0</v>
      </c>
      <c r="X1726">
        <v>0</v>
      </c>
      <c r="Y1726">
        <v>0</v>
      </c>
      <c r="Z1726">
        <v>4.8</v>
      </c>
      <c r="AA1726">
        <v>3.9129371484470529E-2</v>
      </c>
      <c r="AB1726">
        <v>26.27</v>
      </c>
      <c r="AC1726">
        <v>10.289083333333334</v>
      </c>
      <c r="AD1726">
        <v>24</v>
      </c>
      <c r="AE1726" s="7"/>
      <c r="AF1726" s="7"/>
      <c r="AG1726" s="7"/>
      <c r="AH1726" s="7"/>
      <c r="AI1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1.710916666666666</v>
      </c>
      <c r="AJ1726" s="7"/>
      <c r="AK1726" t="s">
        <v>936</v>
      </c>
      <c r="AN1726">
        <f>IFERROR(INT(Table13[[#This Row],[reject_prod]]/Table13[[#This Row],[part_weight]] * 1000), 0)</f>
        <v>165</v>
      </c>
    </row>
    <row r="1727" spans="1:40" hidden="1">
      <c r="A1727" s="1">
        <v>46074</v>
      </c>
      <c r="B1727">
        <v>1</v>
      </c>
      <c r="C1727">
        <v>5</v>
      </c>
      <c r="D1727" t="s">
        <v>289</v>
      </c>
      <c r="E1727" t="s">
        <v>34</v>
      </c>
      <c r="F1727">
        <v>597507</v>
      </c>
      <c r="G1727" s="6">
        <v>0</v>
      </c>
      <c r="H1727" t="s">
        <v>279</v>
      </c>
      <c r="I1727">
        <v>10687752</v>
      </c>
      <c r="J1727">
        <v>4</v>
      </c>
      <c r="K1727">
        <v>23</v>
      </c>
      <c r="L1727">
        <v>23</v>
      </c>
      <c r="M1727">
        <v>2080</v>
      </c>
      <c r="N1727" s="2">
        <v>86240</v>
      </c>
      <c r="O1727" s="2">
        <v>0</v>
      </c>
      <c r="P1727" s="2">
        <v>780</v>
      </c>
      <c r="Q1727" s="2">
        <v>8320</v>
      </c>
      <c r="R1727" s="2">
        <v>7546</v>
      </c>
      <c r="S1727">
        <v>173.55799999999999</v>
      </c>
      <c r="T1727" s="2">
        <v>27730</v>
      </c>
      <c r="U1727" s="2">
        <v>58510</v>
      </c>
      <c r="V1727">
        <v>191.36</v>
      </c>
      <c r="W1727">
        <v>0</v>
      </c>
      <c r="X1727">
        <v>0</v>
      </c>
      <c r="Y1727">
        <v>0</v>
      </c>
      <c r="Z1727">
        <v>4.3</v>
      </c>
      <c r="AA1727">
        <v>2.2470735785953176E-2</v>
      </c>
      <c r="AB1727">
        <v>20.7</v>
      </c>
      <c r="AC1727">
        <v>11.959999999999999</v>
      </c>
      <c r="AD1727">
        <v>22</v>
      </c>
      <c r="AE1727" s="7"/>
      <c r="AF1727" s="7"/>
      <c r="AG1727" s="7"/>
      <c r="AH1727" s="7"/>
      <c r="AI1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4.0000000000000924E-2</v>
      </c>
      <c r="AJ1727" s="7"/>
      <c r="AK1727" t="s">
        <v>937</v>
      </c>
      <c r="AL1727">
        <v>5</v>
      </c>
      <c r="AM1727">
        <v>7</v>
      </c>
      <c r="AN1727">
        <f>IFERROR(INT(Table13[[#This Row],[reject_prod]]/Table13[[#This Row],[part_weight]] * 1000), 0)</f>
        <v>186</v>
      </c>
    </row>
    <row r="1728" spans="1:40" hidden="1">
      <c r="A1728" s="1">
        <v>46074</v>
      </c>
      <c r="B1728">
        <v>1</v>
      </c>
      <c r="C1728">
        <v>6</v>
      </c>
      <c r="D1728" t="s">
        <v>938</v>
      </c>
      <c r="E1728" t="s">
        <v>41</v>
      </c>
      <c r="F1728">
        <v>620994</v>
      </c>
      <c r="G1728" s="6">
        <v>0</v>
      </c>
      <c r="H1728" t="s">
        <v>42</v>
      </c>
      <c r="I1728">
        <v>10686806</v>
      </c>
      <c r="J1728">
        <v>4</v>
      </c>
      <c r="K1728">
        <v>32.74</v>
      </c>
      <c r="L1728">
        <v>33</v>
      </c>
      <c r="M1728">
        <v>1780</v>
      </c>
      <c r="N1728" s="2">
        <v>104192</v>
      </c>
      <c r="O1728" s="2">
        <v>296</v>
      </c>
      <c r="P1728" s="2">
        <v>296</v>
      </c>
      <c r="Q1728" s="2">
        <v>7120</v>
      </c>
      <c r="R1728" s="2">
        <v>7104</v>
      </c>
      <c r="S1728">
        <v>234.43199999999999</v>
      </c>
      <c r="T1728" s="2">
        <v>67784</v>
      </c>
      <c r="U1728" s="2">
        <v>36408</v>
      </c>
      <c r="V1728">
        <v>234.96</v>
      </c>
      <c r="W1728">
        <v>0</v>
      </c>
      <c r="X1728">
        <v>0</v>
      </c>
      <c r="Y1728">
        <v>0</v>
      </c>
      <c r="Z1728">
        <v>1.8</v>
      </c>
      <c r="AA1728">
        <v>7.6608784473953017E-3</v>
      </c>
      <c r="AB1728">
        <v>23.9</v>
      </c>
      <c r="AC1728">
        <v>11.817222222222222</v>
      </c>
      <c r="AD1728">
        <v>22</v>
      </c>
      <c r="AE1728" s="7"/>
      <c r="AF1728" s="7"/>
      <c r="AG1728" s="7"/>
      <c r="AH1728" s="7"/>
      <c r="AI1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0.18277777777777793</v>
      </c>
      <c r="AJ1728" s="7"/>
      <c r="AK1728" t="s">
        <v>214</v>
      </c>
      <c r="AL1728">
        <v>3</v>
      </c>
      <c r="AM1728">
        <v>4</v>
      </c>
      <c r="AN1728">
        <f>IFERROR(INT(Table13[[#This Row],[reject_prod]]/Table13[[#This Row],[part_weight]] * 1000), 0)</f>
        <v>54</v>
      </c>
    </row>
    <row r="1729" spans="1:40" hidden="1">
      <c r="A1729" s="1">
        <v>46074</v>
      </c>
      <c r="B1729">
        <v>1</v>
      </c>
      <c r="C1729">
        <v>7</v>
      </c>
      <c r="D1729" t="s">
        <v>391</v>
      </c>
      <c r="E1729" t="s">
        <v>34</v>
      </c>
      <c r="F1729">
        <v>324165</v>
      </c>
      <c r="G1729" s="6">
        <v>0</v>
      </c>
      <c r="H1729" t="s">
        <v>44</v>
      </c>
      <c r="I1729">
        <v>10687137</v>
      </c>
      <c r="J1729">
        <v>4</v>
      </c>
      <c r="K1729">
        <v>32.56</v>
      </c>
      <c r="L1729">
        <v>33</v>
      </c>
      <c r="M1729">
        <v>1260</v>
      </c>
      <c r="N1729" s="2">
        <v>104192</v>
      </c>
      <c r="O1729" s="2">
        <v>0</v>
      </c>
      <c r="P1729" s="2">
        <v>1480</v>
      </c>
      <c r="Q1729" s="2">
        <v>5040</v>
      </c>
      <c r="R1729" s="2">
        <v>3552</v>
      </c>
      <c r="S1729">
        <v>117.21599999999999</v>
      </c>
      <c r="T1729" s="2">
        <v>5032</v>
      </c>
      <c r="U1729" s="2">
        <v>99160</v>
      </c>
      <c r="V1729">
        <v>166.32</v>
      </c>
      <c r="W1729">
        <v>-2.2175999999999885</v>
      </c>
      <c r="X1729">
        <v>3</v>
      </c>
      <c r="Y1729">
        <v>1.803751803751804E-2</v>
      </c>
      <c r="Z1729">
        <v>2</v>
      </c>
      <c r="AA1729">
        <v>1.2025012025012025E-2</v>
      </c>
      <c r="AB1729">
        <v>18</v>
      </c>
      <c r="AC1729">
        <v>6.3</v>
      </c>
      <c r="AD1729">
        <v>22</v>
      </c>
      <c r="AE1729" s="7"/>
      <c r="AF1729" s="7"/>
      <c r="AG1729" s="7"/>
      <c r="AH1729" s="7">
        <v>1</v>
      </c>
      <c r="AI1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</v>
      </c>
      <c r="AJ1729" s="7"/>
      <c r="AK1729" t="s">
        <v>939</v>
      </c>
      <c r="AL1729">
        <v>3</v>
      </c>
      <c r="AM1729">
        <v>3</v>
      </c>
      <c r="AN1729">
        <f>IFERROR(INT(Table13[[#This Row],[reject_prod]]/Table13[[#This Row],[part_weight]] * 1000), 0)</f>
        <v>60</v>
      </c>
    </row>
    <row r="1730" spans="1:40" hidden="1">
      <c r="A1730" s="1">
        <v>46074</v>
      </c>
      <c r="B1730">
        <v>1</v>
      </c>
      <c r="C1730">
        <v>8</v>
      </c>
      <c r="D1730" t="s">
        <v>940</v>
      </c>
      <c r="E1730" t="s">
        <v>41</v>
      </c>
      <c r="F1730">
        <v>593537</v>
      </c>
      <c r="G1730" s="6">
        <v>0</v>
      </c>
      <c r="H1730" t="s">
        <v>48</v>
      </c>
      <c r="I1730">
        <v>10687586</v>
      </c>
      <c r="J1730">
        <v>4</v>
      </c>
      <c r="K1730">
        <v>56.5</v>
      </c>
      <c r="L1730">
        <v>56.8</v>
      </c>
      <c r="M1730">
        <v>1295</v>
      </c>
      <c r="N1730" s="2">
        <v>69000</v>
      </c>
      <c r="O1730" s="2">
        <v>230</v>
      </c>
      <c r="P1730" s="2">
        <v>0</v>
      </c>
      <c r="Q1730" s="2">
        <v>5180</v>
      </c>
      <c r="R1730" s="2">
        <v>2875</v>
      </c>
      <c r="S1730">
        <v>163.30000000000001</v>
      </c>
      <c r="T1730" s="2">
        <v>69000</v>
      </c>
      <c r="U1730" s="2">
        <v>0</v>
      </c>
      <c r="V1730">
        <v>294.22399999999999</v>
      </c>
      <c r="W1730">
        <v>0</v>
      </c>
      <c r="X1730">
        <v>0</v>
      </c>
      <c r="Y1730">
        <v>0</v>
      </c>
      <c r="Z1730">
        <v>3.8</v>
      </c>
      <c r="AA1730">
        <v>1.2915329816738267E-2</v>
      </c>
      <c r="AB1730">
        <v>30.4</v>
      </c>
      <c r="AC1730">
        <v>10.935555555555554</v>
      </c>
      <c r="AD1730">
        <v>28.5</v>
      </c>
      <c r="AE1730" s="7"/>
      <c r="AF1730" s="7"/>
      <c r="AG1730" s="7"/>
      <c r="AH1730" s="7"/>
      <c r="AI1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1.0644444444444456</v>
      </c>
      <c r="AJ1730" s="7"/>
      <c r="AK1730" t="s">
        <v>102</v>
      </c>
      <c r="AM1730">
        <v>4</v>
      </c>
      <c r="AN1730">
        <f>IFERROR(INT(Table13[[#This Row],[reject_prod]]/Table13[[#This Row],[part_weight]] * 1000), 0)</f>
        <v>66</v>
      </c>
    </row>
    <row r="1731" spans="1:40" hidden="1">
      <c r="A1731" s="1">
        <v>46074</v>
      </c>
      <c r="B1731">
        <v>1</v>
      </c>
      <c r="C1731">
        <v>8</v>
      </c>
      <c r="D1731" t="s">
        <v>940</v>
      </c>
      <c r="E1731" t="s">
        <v>41</v>
      </c>
      <c r="F1731">
        <v>593537</v>
      </c>
      <c r="G1731" s="6">
        <v>0</v>
      </c>
      <c r="H1731" t="s">
        <v>48</v>
      </c>
      <c r="I1731">
        <v>10688067</v>
      </c>
      <c r="J1731">
        <v>4</v>
      </c>
      <c r="K1731">
        <v>56.5</v>
      </c>
      <c r="L1731">
        <v>56.8</v>
      </c>
      <c r="M1731">
        <v>87</v>
      </c>
      <c r="N1731" s="2">
        <v>69000</v>
      </c>
      <c r="O1731" s="2">
        <v>0</v>
      </c>
      <c r="P1731" s="2">
        <v>345</v>
      </c>
      <c r="Q1731" s="2">
        <v>348</v>
      </c>
      <c r="R1731" s="2">
        <v>2300</v>
      </c>
      <c r="S1731">
        <v>130.63999999999999</v>
      </c>
      <c r="T1731" s="2">
        <v>2645</v>
      </c>
      <c r="U1731" s="2">
        <v>66355</v>
      </c>
      <c r="V1731">
        <v>19.766399999999997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30.4</v>
      </c>
      <c r="AC1731">
        <v>0.73466666666666658</v>
      </c>
      <c r="AD1731">
        <v>28.5</v>
      </c>
      <c r="AE1731" s="7"/>
      <c r="AF1731" s="7"/>
      <c r="AG1731" s="7"/>
      <c r="AH1731" s="7"/>
      <c r="AI1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11.265333333333334</v>
      </c>
      <c r="AJ1731" s="7"/>
      <c r="AK1731" t="s">
        <v>941</v>
      </c>
      <c r="AN1731">
        <f>IFERROR(INT(Table13[[#This Row],[reject_prod]]/Table13[[#This Row],[part_weight]] * 1000), 0)</f>
        <v>0</v>
      </c>
    </row>
    <row r="1732" spans="1:40" hidden="1">
      <c r="A1732" s="1">
        <v>46074</v>
      </c>
      <c r="B1732">
        <v>1</v>
      </c>
      <c r="C1732">
        <v>9</v>
      </c>
      <c r="D1732" t="s">
        <v>54</v>
      </c>
      <c r="E1732" t="s">
        <v>46</v>
      </c>
      <c r="F1732">
        <v>586276</v>
      </c>
      <c r="G1732" s="6">
        <v>1</v>
      </c>
      <c r="H1732" t="s">
        <v>47</v>
      </c>
      <c r="I1732">
        <v>10686684</v>
      </c>
      <c r="J1732">
        <v>6</v>
      </c>
      <c r="K1732">
        <v>12.3</v>
      </c>
      <c r="L1732">
        <v>12.3</v>
      </c>
      <c r="M1732">
        <v>1420</v>
      </c>
      <c r="N1732" s="2">
        <v>162000</v>
      </c>
      <c r="O1732" s="2">
        <v>4860</v>
      </c>
      <c r="P1732" s="2">
        <v>5265</v>
      </c>
      <c r="Q1732" s="2">
        <v>8520</v>
      </c>
      <c r="R1732" s="2">
        <v>8100</v>
      </c>
      <c r="S1732">
        <v>99.63</v>
      </c>
      <c r="T1732" s="2">
        <v>45765</v>
      </c>
      <c r="U1732" s="2">
        <v>116235</v>
      </c>
      <c r="V1732">
        <v>104.79600000000001</v>
      </c>
      <c r="W1732">
        <v>0</v>
      </c>
      <c r="X1732">
        <v>0</v>
      </c>
      <c r="Y1732">
        <v>0</v>
      </c>
      <c r="Z1732">
        <v>6.2</v>
      </c>
      <c r="AA1732">
        <v>5.9162563456620479E-2</v>
      </c>
      <c r="AB1732">
        <v>26.5</v>
      </c>
      <c r="AC1732">
        <v>10.452777777777778</v>
      </c>
      <c r="AD1732">
        <v>26</v>
      </c>
      <c r="AE1732" s="7"/>
      <c r="AF1732" s="7"/>
      <c r="AG1732" s="7"/>
      <c r="AH1732" s="7"/>
      <c r="AI1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1.5472222222222225</v>
      </c>
      <c r="AJ1732" s="7"/>
      <c r="AK1732" t="s">
        <v>942</v>
      </c>
      <c r="AN1732">
        <f>IFERROR(INT(Table13[[#This Row],[reject_prod]]/Table13[[#This Row],[part_weight]] * 1000), 0)</f>
        <v>504</v>
      </c>
    </row>
    <row r="1733" spans="1:40" hidden="1">
      <c r="A1733" s="1">
        <v>46074</v>
      </c>
      <c r="B1733">
        <v>1</v>
      </c>
      <c r="C1733">
        <v>10</v>
      </c>
      <c r="D1733" t="s">
        <v>59</v>
      </c>
      <c r="E1733" t="s">
        <v>34</v>
      </c>
      <c r="F1733">
        <v>323092</v>
      </c>
      <c r="G1733" s="6">
        <v>0</v>
      </c>
      <c r="H1733" t="s">
        <v>377</v>
      </c>
      <c r="I1733">
        <v>10686686</v>
      </c>
      <c r="J1733">
        <v>4</v>
      </c>
      <c r="K1733">
        <v>48.9</v>
      </c>
      <c r="L1733">
        <v>48.9</v>
      </c>
      <c r="M1733">
        <v>1370</v>
      </c>
      <c r="N1733" s="2">
        <v>37800</v>
      </c>
      <c r="O1733" s="2">
        <v>0</v>
      </c>
      <c r="P1733" s="2">
        <v>210</v>
      </c>
      <c r="Q1733" s="2">
        <v>5480</v>
      </c>
      <c r="R1733" s="2">
        <v>5250</v>
      </c>
      <c r="S1733">
        <v>256.72500000000002</v>
      </c>
      <c r="T1733" s="2">
        <v>12285</v>
      </c>
      <c r="U1733" s="2">
        <v>25515</v>
      </c>
      <c r="V1733">
        <v>267.97199999999998</v>
      </c>
      <c r="W1733">
        <v>0</v>
      </c>
      <c r="X1733">
        <v>0</v>
      </c>
      <c r="Y1733">
        <v>0</v>
      </c>
      <c r="Z1733">
        <v>3.8</v>
      </c>
      <c r="AA1733">
        <v>1.4180586031376412E-2</v>
      </c>
      <c r="AB1733">
        <v>29.1</v>
      </c>
      <c r="AC1733">
        <v>11.074166666666667</v>
      </c>
      <c r="AD1733">
        <v>27.6</v>
      </c>
      <c r="AE1733" s="7"/>
      <c r="AF1733" s="7"/>
      <c r="AG1733" s="7"/>
      <c r="AH1733" s="7"/>
      <c r="AI1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0.92583333333333329</v>
      </c>
      <c r="AJ1733" s="7"/>
      <c r="AK1733" t="s">
        <v>943</v>
      </c>
      <c r="AM1733">
        <v>6</v>
      </c>
      <c r="AN1733">
        <f>IFERROR(INT(Table13[[#This Row],[reject_prod]]/Table13[[#This Row],[part_weight]] * 1000), 0)</f>
        <v>77</v>
      </c>
    </row>
    <row r="1734" spans="1:40" hidden="1">
      <c r="A1734" s="1">
        <v>46074</v>
      </c>
      <c r="B1734">
        <v>1</v>
      </c>
      <c r="C1734">
        <v>11</v>
      </c>
      <c r="D1734" t="s">
        <v>139</v>
      </c>
      <c r="E1734" t="s">
        <v>46</v>
      </c>
      <c r="F1734">
        <v>552181</v>
      </c>
      <c r="G1734" s="6">
        <v>1</v>
      </c>
      <c r="H1734" t="s">
        <v>49</v>
      </c>
      <c r="I1734">
        <v>10686673</v>
      </c>
      <c r="J1734">
        <v>6</v>
      </c>
      <c r="K1734">
        <v>18.8</v>
      </c>
      <c r="L1734">
        <v>18.8</v>
      </c>
      <c r="M1734">
        <v>1485</v>
      </c>
      <c r="N1734" s="2">
        <v>108000</v>
      </c>
      <c r="O1734" s="2">
        <v>2430</v>
      </c>
      <c r="P1734" s="2">
        <v>540</v>
      </c>
      <c r="Q1734" s="2">
        <v>8910</v>
      </c>
      <c r="R1734" s="2">
        <v>10800</v>
      </c>
      <c r="S1734">
        <v>203.04</v>
      </c>
      <c r="T1734" s="2">
        <v>108000</v>
      </c>
      <c r="U1734" s="2">
        <v>0</v>
      </c>
      <c r="V1734">
        <v>167.50800000000001</v>
      </c>
      <c r="W1734">
        <v>0</v>
      </c>
      <c r="X1734">
        <v>0</v>
      </c>
      <c r="Y1734">
        <v>0</v>
      </c>
      <c r="Z1734">
        <v>1</v>
      </c>
      <c r="AA1734">
        <v>5.9698641258924944E-3</v>
      </c>
      <c r="AB1734">
        <v>29.4</v>
      </c>
      <c r="AC1734">
        <v>12</v>
      </c>
      <c r="AD1734">
        <v>27</v>
      </c>
      <c r="AE1734" s="7"/>
      <c r="AF1734" s="7"/>
      <c r="AG1734" s="7"/>
      <c r="AH1734" s="7"/>
      <c r="AI1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4" s="7"/>
      <c r="AK1734" t="s">
        <v>102</v>
      </c>
      <c r="AN1734">
        <f>IFERROR(INT(Table13[[#This Row],[reject_prod]]/Table13[[#This Row],[part_weight]] * 1000), 0)</f>
        <v>53</v>
      </c>
    </row>
    <row r="1735" spans="1:40" hidden="1">
      <c r="A1735" s="1">
        <v>46074</v>
      </c>
      <c r="B1735">
        <v>1</v>
      </c>
      <c r="C1735">
        <v>12</v>
      </c>
      <c r="D1735" t="s">
        <v>84</v>
      </c>
      <c r="E1735" t="s">
        <v>34</v>
      </c>
      <c r="F1735">
        <v>620599</v>
      </c>
      <c r="G1735" s="6">
        <v>0</v>
      </c>
      <c r="H1735" t="s">
        <v>50</v>
      </c>
      <c r="I1735">
        <v>10686675</v>
      </c>
      <c r="J1735">
        <v>4</v>
      </c>
      <c r="K1735">
        <v>55</v>
      </c>
      <c r="L1735">
        <v>55</v>
      </c>
      <c r="M1735">
        <v>1305</v>
      </c>
      <c r="N1735" s="2">
        <v>72000</v>
      </c>
      <c r="O1735" s="2">
        <v>1125</v>
      </c>
      <c r="P1735" s="2">
        <v>900</v>
      </c>
      <c r="Q1735" s="2">
        <v>5220</v>
      </c>
      <c r="R1735" s="2">
        <v>5400</v>
      </c>
      <c r="S1735">
        <v>297</v>
      </c>
      <c r="T1735" s="2">
        <v>27900</v>
      </c>
      <c r="U1735" s="2">
        <v>44100</v>
      </c>
      <c r="V1735">
        <v>287.10000000000002</v>
      </c>
      <c r="W1735">
        <v>0</v>
      </c>
      <c r="X1735">
        <v>0</v>
      </c>
      <c r="Y1735">
        <v>0</v>
      </c>
      <c r="Z1735">
        <v>3</v>
      </c>
      <c r="AA1735">
        <v>1.0449320794148379E-2</v>
      </c>
      <c r="AB1735">
        <v>28.9</v>
      </c>
      <c r="AC1735">
        <v>10.47625</v>
      </c>
      <c r="AD1735">
        <v>28</v>
      </c>
      <c r="AE1735" s="7"/>
      <c r="AF1735" s="7"/>
      <c r="AG1735" s="7"/>
      <c r="AH1735" s="7"/>
      <c r="AI1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1.5237499999999997</v>
      </c>
      <c r="AJ1735" s="7"/>
      <c r="AK1735" t="s">
        <v>57</v>
      </c>
      <c r="AN1735">
        <f>IFERROR(INT(Table13[[#This Row],[reject_prod]]/Table13[[#This Row],[part_weight]] * 1000), 0)</f>
        <v>54</v>
      </c>
    </row>
    <row r="1736" spans="1:40" hidden="1">
      <c r="A1736" s="1">
        <v>46074</v>
      </c>
      <c r="B1736">
        <v>1</v>
      </c>
      <c r="C1736">
        <v>13</v>
      </c>
      <c r="D1736" t="s">
        <v>139</v>
      </c>
      <c r="E1736" t="s">
        <v>46</v>
      </c>
      <c r="F1736">
        <v>586276</v>
      </c>
      <c r="G1736" s="6">
        <v>2</v>
      </c>
      <c r="H1736" t="s">
        <v>47</v>
      </c>
      <c r="I1736">
        <v>10686677</v>
      </c>
      <c r="J1736">
        <v>6</v>
      </c>
      <c r="K1736">
        <v>12.3</v>
      </c>
      <c r="L1736">
        <v>12.3</v>
      </c>
      <c r="M1736">
        <v>1620</v>
      </c>
      <c r="N1736" s="2">
        <v>162000</v>
      </c>
      <c r="O1736" s="2">
        <v>6480</v>
      </c>
      <c r="P1736" s="2">
        <v>0</v>
      </c>
      <c r="Q1736" s="2">
        <v>9720</v>
      </c>
      <c r="R1736" s="2">
        <v>16200</v>
      </c>
      <c r="S1736">
        <v>199.26</v>
      </c>
      <c r="T1736" s="2">
        <v>16200</v>
      </c>
      <c r="U1736" s="2">
        <v>145800</v>
      </c>
      <c r="V1736">
        <v>119.556</v>
      </c>
      <c r="W1736">
        <v>0</v>
      </c>
      <c r="X1736">
        <v>0</v>
      </c>
      <c r="Y1736">
        <v>0</v>
      </c>
      <c r="Z1736">
        <v>1</v>
      </c>
      <c r="AA1736">
        <v>8.3642811736759342E-3</v>
      </c>
      <c r="AB1736">
        <v>26.4</v>
      </c>
      <c r="AC1736">
        <v>11.879999999999999</v>
      </c>
      <c r="AD1736">
        <v>26</v>
      </c>
      <c r="AE1736" s="7"/>
      <c r="AF1736" s="7"/>
      <c r="AG1736" s="7"/>
      <c r="AH1736" s="7"/>
      <c r="AI1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1736" s="7"/>
      <c r="AK1736" t="s">
        <v>90</v>
      </c>
      <c r="AN1736">
        <f>IFERROR(INT(Table13[[#This Row],[reject_prod]]/Table13[[#This Row],[part_weight]] * 1000), 0)</f>
        <v>81</v>
      </c>
    </row>
    <row r="1737" spans="1:40" hidden="1">
      <c r="A1737" s="1">
        <v>46074</v>
      </c>
      <c r="B1737">
        <v>1</v>
      </c>
      <c r="C1737">
        <v>14</v>
      </c>
      <c r="D1737" t="s">
        <v>53</v>
      </c>
      <c r="E1737" t="s">
        <v>34</v>
      </c>
      <c r="F1737">
        <v>541381</v>
      </c>
      <c r="G1737" s="6">
        <v>0</v>
      </c>
      <c r="H1737" t="s">
        <v>804</v>
      </c>
      <c r="I1737">
        <v>10686678</v>
      </c>
      <c r="J1737">
        <v>4</v>
      </c>
      <c r="K1737">
        <v>55</v>
      </c>
      <c r="L1737">
        <v>55</v>
      </c>
      <c r="M1737">
        <v>1570</v>
      </c>
      <c r="N1737" s="2">
        <v>84000</v>
      </c>
      <c r="O1737" s="2">
        <v>0</v>
      </c>
      <c r="P1737" s="2">
        <v>0</v>
      </c>
      <c r="Q1737" s="2">
        <v>6280</v>
      </c>
      <c r="R1737" s="2">
        <v>6300</v>
      </c>
      <c r="S1737">
        <v>346.5</v>
      </c>
      <c r="T1737" s="2">
        <v>49000</v>
      </c>
      <c r="U1737" s="2">
        <v>35000</v>
      </c>
      <c r="V1737">
        <v>345.4</v>
      </c>
      <c r="W1737">
        <v>0</v>
      </c>
      <c r="X1737">
        <v>0</v>
      </c>
      <c r="Y1737">
        <v>0</v>
      </c>
      <c r="Z1737">
        <v>2</v>
      </c>
      <c r="AA1737">
        <v>5.7903879559930522E-3</v>
      </c>
      <c r="AB1737">
        <v>27.81</v>
      </c>
      <c r="AC1737">
        <v>12</v>
      </c>
      <c r="AD1737">
        <v>30.08</v>
      </c>
      <c r="AE1737" s="7"/>
      <c r="AF1737" s="7"/>
      <c r="AG1737" s="7"/>
      <c r="AH1737" s="7"/>
      <c r="AI1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7" s="7"/>
      <c r="AK1737" t="s">
        <v>178</v>
      </c>
      <c r="AN1737">
        <f>IFERROR(INT(Table13[[#This Row],[reject_prod]]/Table13[[#This Row],[part_weight]] * 1000), 0)</f>
        <v>36</v>
      </c>
    </row>
    <row r="1738" spans="1:40" hidden="1">
      <c r="A1738" s="1">
        <v>46074</v>
      </c>
      <c r="B1738">
        <v>1</v>
      </c>
      <c r="C1738">
        <v>15</v>
      </c>
      <c r="D1738" t="s">
        <v>139</v>
      </c>
      <c r="E1738" t="s">
        <v>46</v>
      </c>
      <c r="F1738">
        <v>550076</v>
      </c>
      <c r="G1738" s="6">
        <v>0</v>
      </c>
      <c r="H1738" t="s">
        <v>857</v>
      </c>
      <c r="I1738">
        <v>10687863</v>
      </c>
      <c r="J1738">
        <v>6</v>
      </c>
      <c r="K1738">
        <v>18.8</v>
      </c>
      <c r="L1738">
        <v>18.8</v>
      </c>
      <c r="M1738">
        <v>1395</v>
      </c>
      <c r="N1738" s="2">
        <v>108000</v>
      </c>
      <c r="O1738" s="2">
        <v>270</v>
      </c>
      <c r="P1738" s="2">
        <v>3240</v>
      </c>
      <c r="Q1738" s="2">
        <v>8370</v>
      </c>
      <c r="R1738" s="2">
        <v>5400</v>
      </c>
      <c r="S1738">
        <v>101.52</v>
      </c>
      <c r="T1738" s="2">
        <v>68040</v>
      </c>
      <c r="U1738" s="2">
        <v>39960</v>
      </c>
      <c r="V1738">
        <v>157.35599999999999</v>
      </c>
      <c r="W1738">
        <v>0</v>
      </c>
      <c r="X1738">
        <v>0</v>
      </c>
      <c r="Y1738">
        <v>0</v>
      </c>
      <c r="Z1738">
        <v>1.1000000000000001</v>
      </c>
      <c r="AA1738">
        <v>6.9905183151579868E-3</v>
      </c>
      <c r="AB1738">
        <v>31.3</v>
      </c>
      <c r="AC1738">
        <v>12</v>
      </c>
      <c r="AD1738">
        <v>22.5</v>
      </c>
      <c r="AE1738" s="7"/>
      <c r="AF1738" s="7"/>
      <c r="AG1738" s="7"/>
      <c r="AH1738" s="7"/>
      <c r="AI1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8" s="7"/>
      <c r="AK1738" t="s">
        <v>90</v>
      </c>
      <c r="AN1738">
        <f>IFERROR(INT(Table13[[#This Row],[reject_prod]]/Table13[[#This Row],[part_weight]] * 1000), 0)</f>
        <v>58</v>
      </c>
    </row>
    <row r="1739" spans="1:40" s="4" customFormat="1" hidden="1">
      <c r="A1739" s="3">
        <v>46074</v>
      </c>
      <c r="B1739" s="4">
        <v>1</v>
      </c>
      <c r="C1739" s="4">
        <v>16</v>
      </c>
      <c r="D1739" s="4" t="s">
        <v>944</v>
      </c>
      <c r="E1739" s="4" t="s">
        <v>46</v>
      </c>
      <c r="F1739" s="4">
        <v>555979</v>
      </c>
      <c r="G1739" s="9">
        <v>2</v>
      </c>
      <c r="H1739" s="4" t="s">
        <v>52</v>
      </c>
      <c r="I1739" s="4">
        <v>10683785</v>
      </c>
      <c r="J1739" s="4">
        <v>6</v>
      </c>
      <c r="K1739" s="4">
        <v>28</v>
      </c>
      <c r="L1739" s="4">
        <v>28</v>
      </c>
      <c r="M1739" s="4">
        <v>1000</v>
      </c>
      <c r="N1739" s="5">
        <v>100800</v>
      </c>
      <c r="O1739" s="5">
        <v>3024</v>
      </c>
      <c r="P1739" s="5">
        <v>2352</v>
      </c>
      <c r="Q1739" s="5">
        <v>6000</v>
      </c>
      <c r="R1739" s="5">
        <v>6720</v>
      </c>
      <c r="S1739" s="4">
        <v>188.16</v>
      </c>
      <c r="T1739" s="5">
        <v>86352</v>
      </c>
      <c r="U1739" s="5">
        <v>14448</v>
      </c>
      <c r="V1739" s="4">
        <v>168</v>
      </c>
      <c r="W1739" s="4">
        <v>0</v>
      </c>
      <c r="X1739" s="4">
        <v>0</v>
      </c>
      <c r="Y1739" s="4">
        <v>0</v>
      </c>
      <c r="Z1739" s="4">
        <v>1.2</v>
      </c>
      <c r="AA1739" s="4">
        <v>7.1428571428571426E-3</v>
      </c>
      <c r="AB1739" s="4">
        <v>43.5</v>
      </c>
      <c r="AC1739" s="4">
        <v>12</v>
      </c>
      <c r="AD1739" s="4">
        <v>42</v>
      </c>
      <c r="AE1739" s="8"/>
      <c r="AF1739" s="8"/>
      <c r="AG1739" s="8"/>
      <c r="AH1739" s="8"/>
      <c r="AI173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9" s="8"/>
      <c r="AK1739" s="4" t="s">
        <v>90</v>
      </c>
      <c r="AN1739">
        <f>IFERROR(INT(Table13[[#This Row],[reject_prod]]/Table13[[#This Row],[part_weight]] * 1000), 0)</f>
        <v>42</v>
      </c>
    </row>
    <row r="1740" spans="1:40" hidden="1">
      <c r="A1740" s="1">
        <v>46074</v>
      </c>
      <c r="B1740">
        <v>2</v>
      </c>
      <c r="C1740">
        <v>1</v>
      </c>
      <c r="F1740">
        <v>123456</v>
      </c>
      <c r="G1740" s="6">
        <v>0</v>
      </c>
      <c r="M1740">
        <v>0</v>
      </c>
      <c r="N1740" s="2">
        <v>0</v>
      </c>
      <c r="O1740" s="2">
        <v>0</v>
      </c>
      <c r="P1740" s="2">
        <v>0</v>
      </c>
      <c r="Q1740" s="2"/>
      <c r="R1740" s="2">
        <v>0</v>
      </c>
      <c r="T1740" s="2">
        <v>0</v>
      </c>
      <c r="U1740" s="2"/>
      <c r="X1740">
        <v>0</v>
      </c>
      <c r="Z1740">
        <v>0</v>
      </c>
      <c r="AB1740">
        <v>0</v>
      </c>
      <c r="AC1740">
        <v>0</v>
      </c>
      <c r="AD1740">
        <v>0</v>
      </c>
      <c r="AE1740" s="7"/>
      <c r="AF1740" s="7"/>
      <c r="AG1740" s="7"/>
      <c r="AH1740" s="7"/>
      <c r="AI1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0" s="7">
        <v>12</v>
      </c>
      <c r="AK1740" t="s">
        <v>116</v>
      </c>
      <c r="AN1740">
        <f>IFERROR(INT(Table13[[#This Row],[reject_prod]]/Table13[[#This Row],[part_weight]] * 1000), 0)</f>
        <v>0</v>
      </c>
    </row>
    <row r="1741" spans="1:40" hidden="1">
      <c r="A1741" s="1">
        <v>46074</v>
      </c>
      <c r="B1741">
        <v>2</v>
      </c>
      <c r="C1741">
        <v>2</v>
      </c>
      <c r="D1741" t="s">
        <v>69</v>
      </c>
      <c r="E1741" t="s">
        <v>34</v>
      </c>
      <c r="F1741">
        <v>543590</v>
      </c>
      <c r="G1741" s="6">
        <v>0</v>
      </c>
      <c r="H1741" t="s">
        <v>913</v>
      </c>
      <c r="I1741">
        <v>10687749</v>
      </c>
      <c r="J1741">
        <v>4</v>
      </c>
      <c r="K1741">
        <v>19</v>
      </c>
      <c r="L1741">
        <v>19</v>
      </c>
      <c r="M1741">
        <v>2169</v>
      </c>
      <c r="N1741" s="2">
        <v>132440</v>
      </c>
      <c r="O1741" s="2">
        <v>0</v>
      </c>
      <c r="P1741" s="2">
        <v>1232</v>
      </c>
      <c r="Q1741" s="2">
        <v>8676</v>
      </c>
      <c r="R1741" s="2">
        <v>7392</v>
      </c>
      <c r="S1741">
        <v>140.44800000000001</v>
      </c>
      <c r="T1741" s="2">
        <v>8624</v>
      </c>
      <c r="U1741" s="2">
        <v>123816</v>
      </c>
      <c r="V1741">
        <v>164.84399999999999</v>
      </c>
      <c r="W1741">
        <v>0</v>
      </c>
      <c r="X1741">
        <v>0</v>
      </c>
      <c r="Y1741">
        <v>0</v>
      </c>
      <c r="Z1741">
        <v>1</v>
      </c>
      <c r="AA1741">
        <v>6.0663415107616902E-3</v>
      </c>
      <c r="AB1741">
        <v>20</v>
      </c>
      <c r="AC1741">
        <v>12</v>
      </c>
      <c r="AD1741">
        <v>18.72</v>
      </c>
      <c r="AE1741" s="7"/>
      <c r="AF1741" s="7"/>
      <c r="AG1741" s="7"/>
      <c r="AH1741" s="7"/>
      <c r="AI1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1" s="7"/>
      <c r="AK1741" t="s">
        <v>193</v>
      </c>
      <c r="AN1741">
        <f>IFERROR(INT(Table13[[#This Row],[reject_prod]]/Table13[[#This Row],[part_weight]] * 1000), 0)</f>
        <v>52</v>
      </c>
    </row>
    <row r="1742" spans="1:40" hidden="1">
      <c r="A1742" s="1">
        <v>46074</v>
      </c>
      <c r="B1742">
        <v>2</v>
      </c>
      <c r="C1742">
        <v>3</v>
      </c>
      <c r="D1742" t="s">
        <v>149</v>
      </c>
      <c r="E1742" t="s">
        <v>34</v>
      </c>
      <c r="F1742">
        <v>442034</v>
      </c>
      <c r="G1742" s="6">
        <v>0</v>
      </c>
      <c r="H1742" t="s">
        <v>37</v>
      </c>
      <c r="I1742">
        <v>10685634</v>
      </c>
      <c r="J1742">
        <v>4</v>
      </c>
      <c r="K1742">
        <v>23</v>
      </c>
      <c r="L1742">
        <v>23</v>
      </c>
      <c r="M1742">
        <v>1510</v>
      </c>
      <c r="N1742" s="2">
        <v>139776</v>
      </c>
      <c r="O1742" s="2">
        <v>1920</v>
      </c>
      <c r="P1742" s="2">
        <v>3456</v>
      </c>
      <c r="Q1742" s="2">
        <v>6040</v>
      </c>
      <c r="R1742" s="2">
        <v>4608</v>
      </c>
      <c r="S1742">
        <v>105.98399999999999</v>
      </c>
      <c r="T1742" s="2">
        <v>40320</v>
      </c>
      <c r="U1742" s="2">
        <v>99456</v>
      </c>
      <c r="V1742">
        <v>138.91999999999999</v>
      </c>
      <c r="W1742">
        <v>0</v>
      </c>
      <c r="X1742">
        <v>0</v>
      </c>
      <c r="Y1742">
        <v>0</v>
      </c>
      <c r="Z1742">
        <v>3.5</v>
      </c>
      <c r="AA1742">
        <v>2.5194356464152034E-2</v>
      </c>
      <c r="AB1742">
        <v>28.5</v>
      </c>
      <c r="AC1742">
        <v>11.954166666666667</v>
      </c>
      <c r="AD1742">
        <v>22</v>
      </c>
      <c r="AE1742" s="7"/>
      <c r="AF1742" s="7"/>
      <c r="AG1742" s="7"/>
      <c r="AH1742" s="7"/>
      <c r="AI1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4.5833333333332504E-2</v>
      </c>
      <c r="AJ1742" s="7"/>
      <c r="AK1742" t="s">
        <v>214</v>
      </c>
      <c r="AN1742">
        <f>IFERROR(INT(Table13[[#This Row],[reject_prod]]/Table13[[#This Row],[part_weight]] * 1000), 0)</f>
        <v>152</v>
      </c>
    </row>
    <row r="1743" spans="1:40" hidden="1">
      <c r="A1743" s="1">
        <v>46074</v>
      </c>
      <c r="B1743">
        <v>2</v>
      </c>
      <c r="C1743">
        <v>4</v>
      </c>
      <c r="D1743" t="s">
        <v>271</v>
      </c>
      <c r="E1743" t="s">
        <v>34</v>
      </c>
      <c r="F1743">
        <v>409780</v>
      </c>
      <c r="G1743" s="6">
        <v>0</v>
      </c>
      <c r="H1743" t="s">
        <v>829</v>
      </c>
      <c r="I1743">
        <v>10687750</v>
      </c>
      <c r="J1743">
        <v>3</v>
      </c>
      <c r="K1743">
        <v>29</v>
      </c>
      <c r="L1743">
        <v>29</v>
      </c>
      <c r="M1743">
        <v>378</v>
      </c>
      <c r="N1743" s="2">
        <v>40608</v>
      </c>
      <c r="O1743" s="2">
        <v>2256</v>
      </c>
      <c r="P1743" s="2">
        <v>0</v>
      </c>
      <c r="Q1743" s="2">
        <v>1134</v>
      </c>
      <c r="R1743" s="2">
        <v>3384</v>
      </c>
      <c r="S1743">
        <v>98.135999999999996</v>
      </c>
      <c r="T1743" s="2">
        <v>40608</v>
      </c>
      <c r="U1743" s="2">
        <v>0</v>
      </c>
      <c r="V1743">
        <v>32.886000000000003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26.27</v>
      </c>
      <c r="AC1743">
        <v>2.7583500000000001</v>
      </c>
      <c r="AD1743">
        <v>24</v>
      </c>
      <c r="AE1743" s="7"/>
      <c r="AF1743" s="7"/>
      <c r="AG1743" s="7"/>
      <c r="AH1743" s="7"/>
      <c r="AI1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9.2416499999999999</v>
      </c>
      <c r="AJ1743" s="7"/>
      <c r="AK1743" t="s">
        <v>945</v>
      </c>
      <c r="AN1743">
        <f>IFERROR(INT(Table13[[#This Row],[reject_prod]]/Table13[[#This Row],[part_weight]] * 1000), 0)</f>
        <v>0</v>
      </c>
    </row>
    <row r="1744" spans="1:40" hidden="1">
      <c r="A1744" s="1">
        <v>46074</v>
      </c>
      <c r="B1744">
        <v>2</v>
      </c>
      <c r="C1744">
        <v>4</v>
      </c>
      <c r="D1744" t="s">
        <v>271</v>
      </c>
      <c r="E1744" t="s">
        <v>34</v>
      </c>
      <c r="F1744">
        <v>451191</v>
      </c>
      <c r="G1744" s="6">
        <v>0</v>
      </c>
      <c r="H1744" t="s">
        <v>946</v>
      </c>
      <c r="I1744">
        <v>10687751</v>
      </c>
      <c r="J1744">
        <v>4</v>
      </c>
      <c r="K1744">
        <v>29</v>
      </c>
      <c r="L1744">
        <v>29</v>
      </c>
      <c r="M1744">
        <v>761</v>
      </c>
      <c r="N1744" s="2">
        <v>73440</v>
      </c>
      <c r="O1744" s="2">
        <v>0</v>
      </c>
      <c r="P1744" s="2">
        <v>0</v>
      </c>
      <c r="Q1744" s="2">
        <v>3044</v>
      </c>
      <c r="R1744" s="2">
        <v>2754</v>
      </c>
      <c r="S1744">
        <v>79.866</v>
      </c>
      <c r="T1744" s="2">
        <v>2754</v>
      </c>
      <c r="U1744" s="2">
        <v>70686</v>
      </c>
      <c r="V1744">
        <v>88.275999999999996</v>
      </c>
      <c r="W1744">
        <v>0</v>
      </c>
      <c r="X1744">
        <v>8.5</v>
      </c>
      <c r="Y1744">
        <v>9.6288912048574926E-2</v>
      </c>
      <c r="Z1744">
        <v>0</v>
      </c>
      <c r="AA1744">
        <v>0</v>
      </c>
      <c r="AB1744">
        <v>24.7</v>
      </c>
      <c r="AC1744">
        <v>5.2213055555555554</v>
      </c>
      <c r="AD1744">
        <v>24</v>
      </c>
      <c r="AE1744" s="7"/>
      <c r="AF1744" s="7"/>
      <c r="AG1744" s="7">
        <v>1.2</v>
      </c>
      <c r="AH1744" s="7"/>
      <c r="AI1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5.5786944444444444</v>
      </c>
      <c r="AJ1744" s="7"/>
      <c r="AK1744" t="s">
        <v>947</v>
      </c>
      <c r="AN1744">
        <f>IFERROR(INT(Table13[[#This Row],[reject_prod]]/Table13[[#This Row],[part_weight]] * 1000), 0)</f>
        <v>0</v>
      </c>
    </row>
    <row r="1745" spans="1:40" hidden="1">
      <c r="A1745" s="1">
        <v>46074</v>
      </c>
      <c r="B1745">
        <v>2</v>
      </c>
      <c r="C1745">
        <v>5</v>
      </c>
      <c r="D1745" t="s">
        <v>143</v>
      </c>
      <c r="E1745" t="s">
        <v>34</v>
      </c>
      <c r="F1745">
        <v>597507</v>
      </c>
      <c r="G1745" s="6">
        <v>0</v>
      </c>
      <c r="H1745" t="s">
        <v>279</v>
      </c>
      <c r="I1745">
        <v>10687752</v>
      </c>
      <c r="J1745">
        <v>4</v>
      </c>
      <c r="K1745">
        <v>23</v>
      </c>
      <c r="L1745">
        <v>23</v>
      </c>
      <c r="M1745">
        <v>2043</v>
      </c>
      <c r="N1745" s="2">
        <v>86240</v>
      </c>
      <c r="O1745" s="2">
        <v>780</v>
      </c>
      <c r="P1745" s="2">
        <v>154</v>
      </c>
      <c r="Q1745" s="2">
        <v>8172</v>
      </c>
      <c r="R1745" s="2">
        <v>8624</v>
      </c>
      <c r="S1745">
        <v>198.352</v>
      </c>
      <c r="T1745" s="2">
        <v>35728</v>
      </c>
      <c r="U1745" s="2">
        <v>50512</v>
      </c>
      <c r="V1745">
        <v>187.95599999999999</v>
      </c>
      <c r="W1745">
        <v>0</v>
      </c>
      <c r="X1745">
        <v>0</v>
      </c>
      <c r="Y1745">
        <v>0</v>
      </c>
      <c r="Z1745">
        <v>3.7</v>
      </c>
      <c r="AA1745">
        <v>1.9685458298750774E-2</v>
      </c>
      <c r="AB1745">
        <v>20.7</v>
      </c>
      <c r="AC1745">
        <v>11.747249999999999</v>
      </c>
      <c r="AD1745">
        <v>22</v>
      </c>
      <c r="AE1745" s="7"/>
      <c r="AF1745" s="7"/>
      <c r="AG1745" s="7"/>
      <c r="AH1745" s="7"/>
      <c r="AI1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0.2527500000000007</v>
      </c>
      <c r="AJ1745" s="7"/>
      <c r="AK1745" t="s">
        <v>937</v>
      </c>
      <c r="AN1745">
        <f>IFERROR(INT(Table13[[#This Row],[reject_prod]]/Table13[[#This Row],[part_weight]] * 1000), 0)</f>
        <v>160</v>
      </c>
    </row>
    <row r="1746" spans="1:40" hidden="1">
      <c r="A1746" s="1">
        <v>46074</v>
      </c>
      <c r="B1746">
        <v>2</v>
      </c>
      <c r="C1746">
        <v>6</v>
      </c>
      <c r="D1746" t="s">
        <v>870</v>
      </c>
      <c r="E1746" t="s">
        <v>41</v>
      </c>
      <c r="F1746">
        <v>620994</v>
      </c>
      <c r="G1746" s="6">
        <v>0</v>
      </c>
      <c r="H1746" t="s">
        <v>42</v>
      </c>
      <c r="I1746">
        <v>10686806</v>
      </c>
      <c r="J1746">
        <v>4</v>
      </c>
      <c r="K1746">
        <v>32.74</v>
      </c>
      <c r="L1746">
        <v>33</v>
      </c>
      <c r="M1746">
        <v>1780</v>
      </c>
      <c r="N1746" s="2">
        <v>104192</v>
      </c>
      <c r="O1746" s="2">
        <v>296</v>
      </c>
      <c r="P1746" s="2">
        <v>296</v>
      </c>
      <c r="Q1746" s="2">
        <v>7120</v>
      </c>
      <c r="R1746" s="2">
        <v>7104</v>
      </c>
      <c r="S1746">
        <v>234.43199999999999</v>
      </c>
      <c r="T1746" s="2">
        <v>74888</v>
      </c>
      <c r="U1746" s="2">
        <v>29304</v>
      </c>
      <c r="V1746">
        <v>234.96</v>
      </c>
      <c r="W1746">
        <v>0</v>
      </c>
      <c r="X1746">
        <v>0</v>
      </c>
      <c r="Y1746">
        <v>0</v>
      </c>
      <c r="Z1746">
        <v>2.5</v>
      </c>
      <c r="AA1746">
        <v>1.0640108954715696E-2</v>
      </c>
      <c r="AB1746">
        <v>23.9</v>
      </c>
      <c r="AC1746">
        <v>11.817222222222222</v>
      </c>
      <c r="AD1746">
        <v>22</v>
      </c>
      <c r="AE1746" s="7"/>
      <c r="AF1746" s="7"/>
      <c r="AG1746" s="7"/>
      <c r="AH1746" s="7"/>
      <c r="AI1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0.18277777777777793</v>
      </c>
      <c r="AJ1746" s="7"/>
      <c r="AK1746" t="s">
        <v>214</v>
      </c>
      <c r="AN1746">
        <f>IFERROR(INT(Table13[[#This Row],[reject_prod]]/Table13[[#This Row],[part_weight]] * 1000), 0)</f>
        <v>75</v>
      </c>
    </row>
    <row r="1747" spans="1:40" hidden="1">
      <c r="A1747" s="1">
        <v>46074</v>
      </c>
      <c r="B1747">
        <v>2</v>
      </c>
      <c r="C1747">
        <v>7</v>
      </c>
      <c r="D1747" t="s">
        <v>948</v>
      </c>
      <c r="E1747" t="s">
        <v>34</v>
      </c>
      <c r="F1747">
        <v>324165</v>
      </c>
      <c r="G1747" s="6">
        <v>0</v>
      </c>
      <c r="H1747" t="s">
        <v>44</v>
      </c>
      <c r="I1747">
        <v>10687137</v>
      </c>
      <c r="J1747">
        <v>4</v>
      </c>
      <c r="K1747">
        <v>32.56</v>
      </c>
      <c r="L1747">
        <v>33</v>
      </c>
      <c r="M1747">
        <v>2332</v>
      </c>
      <c r="N1747" s="2">
        <v>104192</v>
      </c>
      <c r="O1747" s="2">
        <v>1480</v>
      </c>
      <c r="P1747" s="2">
        <v>0</v>
      </c>
      <c r="Q1747" s="2">
        <v>9328</v>
      </c>
      <c r="R1747" s="2">
        <v>10656</v>
      </c>
      <c r="S1747">
        <v>351.64800000000002</v>
      </c>
      <c r="T1747" s="2">
        <v>14208</v>
      </c>
      <c r="U1747" s="2">
        <v>89984</v>
      </c>
      <c r="V1747">
        <v>307.82400000000001</v>
      </c>
      <c r="W1747">
        <v>-4.1043199999999791</v>
      </c>
      <c r="X1747">
        <v>0</v>
      </c>
      <c r="Y1747">
        <v>0</v>
      </c>
      <c r="Z1747">
        <v>4.5</v>
      </c>
      <c r="AA1747">
        <v>1.4618743177919849E-2</v>
      </c>
      <c r="AB1747">
        <v>18.03</v>
      </c>
      <c r="AC1747">
        <v>11.679433333333334</v>
      </c>
      <c r="AD1747">
        <v>22</v>
      </c>
      <c r="AE1747" s="7"/>
      <c r="AF1747" s="7"/>
      <c r="AG1747" s="7"/>
      <c r="AH1747" s="7"/>
      <c r="AI1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0.32056666666666622</v>
      </c>
      <c r="AJ1747" s="7"/>
      <c r="AK1747" t="s">
        <v>949</v>
      </c>
      <c r="AN1747">
        <f>IFERROR(INT(Table13[[#This Row],[reject_prod]]/Table13[[#This Row],[part_weight]] * 1000), 0)</f>
        <v>136</v>
      </c>
    </row>
    <row r="1748" spans="1:40" hidden="1">
      <c r="A1748" s="1">
        <v>46074</v>
      </c>
      <c r="B1748">
        <v>2</v>
      </c>
      <c r="C1748">
        <v>8</v>
      </c>
      <c r="F1748">
        <v>123456</v>
      </c>
      <c r="G1748" s="6">
        <v>0</v>
      </c>
      <c r="M1748">
        <v>0</v>
      </c>
      <c r="N1748" s="2">
        <v>0</v>
      </c>
      <c r="O1748" s="2">
        <v>0</v>
      </c>
      <c r="P1748" s="2">
        <v>0</v>
      </c>
      <c r="Q1748" s="2"/>
      <c r="R1748" s="2">
        <v>0</v>
      </c>
      <c r="T1748" s="2">
        <v>0</v>
      </c>
      <c r="U1748" s="2"/>
      <c r="X1748">
        <v>0</v>
      </c>
      <c r="Z1748">
        <v>0</v>
      </c>
      <c r="AB1748">
        <v>0</v>
      </c>
      <c r="AC1748">
        <v>0</v>
      </c>
      <c r="AD1748">
        <v>0</v>
      </c>
      <c r="AE1748" s="7"/>
      <c r="AF1748" s="7"/>
      <c r="AG1748" s="7"/>
      <c r="AH1748" s="7"/>
      <c r="AI1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8" s="7">
        <v>12</v>
      </c>
      <c r="AK1748" t="s">
        <v>116</v>
      </c>
      <c r="AN1748">
        <f>IFERROR(INT(Table13[[#This Row],[reject_prod]]/Table13[[#This Row],[part_weight]] * 1000), 0)</f>
        <v>0</v>
      </c>
    </row>
    <row r="1749" spans="1:40" hidden="1">
      <c r="A1749" s="1">
        <v>46074</v>
      </c>
      <c r="B1749">
        <v>2</v>
      </c>
      <c r="C1749">
        <v>9</v>
      </c>
      <c r="D1749" t="s">
        <v>152</v>
      </c>
      <c r="E1749" t="s">
        <v>46</v>
      </c>
      <c r="F1749">
        <v>586276</v>
      </c>
      <c r="G1749" s="6">
        <v>1</v>
      </c>
      <c r="H1749" t="s">
        <v>47</v>
      </c>
      <c r="I1749">
        <v>10686684</v>
      </c>
      <c r="J1749">
        <v>6</v>
      </c>
      <c r="K1749">
        <v>12.3</v>
      </c>
      <c r="L1749">
        <v>12.3</v>
      </c>
      <c r="M1749">
        <v>1620</v>
      </c>
      <c r="N1749" s="2">
        <v>162000</v>
      </c>
      <c r="O1749" s="2">
        <v>5265</v>
      </c>
      <c r="P1749" s="2">
        <v>6885</v>
      </c>
      <c r="Q1749" s="2">
        <v>9720</v>
      </c>
      <c r="R1749" s="2">
        <v>8100</v>
      </c>
      <c r="S1749">
        <v>99.63</v>
      </c>
      <c r="T1749" s="2">
        <v>55485</v>
      </c>
      <c r="U1749" s="2">
        <v>106515</v>
      </c>
      <c r="V1749">
        <v>119.556</v>
      </c>
      <c r="W1749">
        <v>0</v>
      </c>
      <c r="X1749">
        <v>0</v>
      </c>
      <c r="Y1749">
        <v>0</v>
      </c>
      <c r="Z1749">
        <v>2.5</v>
      </c>
      <c r="AA1749">
        <v>2.0910702934189836E-2</v>
      </c>
      <c r="AB1749">
        <v>26.5</v>
      </c>
      <c r="AC1749">
        <v>11.924999999999999</v>
      </c>
      <c r="AD1749">
        <v>26</v>
      </c>
      <c r="AE1749" s="7"/>
      <c r="AF1749" s="7"/>
      <c r="AG1749" s="7"/>
      <c r="AH1749" s="7"/>
      <c r="AI1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749" s="7"/>
      <c r="AK1749" t="s">
        <v>51</v>
      </c>
      <c r="AN1749">
        <f>IFERROR(INT(Table13[[#This Row],[reject_prod]]/Table13[[#This Row],[part_weight]] * 1000), 0)</f>
        <v>203</v>
      </c>
    </row>
    <row r="1750" spans="1:40" hidden="1">
      <c r="A1750" s="1">
        <v>46074</v>
      </c>
      <c r="B1750">
        <v>2</v>
      </c>
      <c r="C1750">
        <v>10</v>
      </c>
      <c r="D1750" t="s">
        <v>61</v>
      </c>
      <c r="E1750" t="s">
        <v>34</v>
      </c>
      <c r="F1750">
        <v>323092</v>
      </c>
      <c r="G1750" s="6">
        <v>0</v>
      </c>
      <c r="H1750" t="s">
        <v>377</v>
      </c>
      <c r="I1750">
        <v>10686686</v>
      </c>
      <c r="J1750">
        <v>4</v>
      </c>
      <c r="K1750">
        <v>48.9</v>
      </c>
      <c r="L1750">
        <v>48.9</v>
      </c>
      <c r="M1750">
        <v>1409</v>
      </c>
      <c r="N1750" s="2">
        <v>37800</v>
      </c>
      <c r="O1750" s="2">
        <v>210</v>
      </c>
      <c r="P1750" s="2">
        <v>0</v>
      </c>
      <c r="Q1750" s="2">
        <v>5636</v>
      </c>
      <c r="R1750" s="2">
        <v>5775</v>
      </c>
      <c r="S1750">
        <v>282.39749999999998</v>
      </c>
      <c r="T1750" s="2">
        <v>17850</v>
      </c>
      <c r="U1750" s="2">
        <v>19950</v>
      </c>
      <c r="V1750">
        <v>275.60039999999998</v>
      </c>
      <c r="W1750">
        <v>0</v>
      </c>
      <c r="X1750">
        <v>0</v>
      </c>
      <c r="Y1750">
        <v>0</v>
      </c>
      <c r="Z1750">
        <v>3.5</v>
      </c>
      <c r="AA1750">
        <v>1.2699546154504856E-2</v>
      </c>
      <c r="AB1750">
        <v>30.75</v>
      </c>
      <c r="AC1750">
        <v>12</v>
      </c>
      <c r="AD1750">
        <v>27.6</v>
      </c>
      <c r="AE1750" s="7"/>
      <c r="AF1750" s="7"/>
      <c r="AG1750" s="7"/>
      <c r="AH1750" s="7"/>
      <c r="AI1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0" s="7"/>
      <c r="AK1750" t="s">
        <v>950</v>
      </c>
      <c r="AN1750">
        <f>IFERROR(INT(Table13[[#This Row],[reject_prod]]/Table13[[#This Row],[part_weight]] * 1000), 0)</f>
        <v>71</v>
      </c>
    </row>
    <row r="1751" spans="1:40" hidden="1">
      <c r="A1751" s="1">
        <v>46074</v>
      </c>
      <c r="B1751">
        <v>2</v>
      </c>
      <c r="C1751">
        <v>11</v>
      </c>
      <c r="D1751" t="s">
        <v>112</v>
      </c>
      <c r="E1751" t="s">
        <v>46</v>
      </c>
      <c r="F1751">
        <v>552181</v>
      </c>
      <c r="G1751" s="6">
        <v>1</v>
      </c>
      <c r="H1751" t="s">
        <v>49</v>
      </c>
      <c r="I1751">
        <v>10686673</v>
      </c>
      <c r="J1751">
        <v>6</v>
      </c>
      <c r="K1751">
        <v>18.8</v>
      </c>
      <c r="L1751">
        <v>18.8</v>
      </c>
      <c r="M1751">
        <v>1530</v>
      </c>
      <c r="N1751" s="2">
        <v>108000</v>
      </c>
      <c r="O1751" s="2">
        <v>540</v>
      </c>
      <c r="P1751" s="2">
        <v>4320</v>
      </c>
      <c r="Q1751" s="2">
        <v>9180</v>
      </c>
      <c r="R1751" s="2">
        <v>5400</v>
      </c>
      <c r="S1751">
        <v>101.52</v>
      </c>
      <c r="T1751" s="2">
        <v>9720</v>
      </c>
      <c r="U1751" s="2">
        <v>98280</v>
      </c>
      <c r="V1751">
        <v>172.584</v>
      </c>
      <c r="W1751">
        <v>0</v>
      </c>
      <c r="X1751">
        <v>0</v>
      </c>
      <c r="Y1751">
        <v>0</v>
      </c>
      <c r="Z1751">
        <v>1</v>
      </c>
      <c r="AA1751">
        <v>5.7942798868956561E-3</v>
      </c>
      <c r="AB1751">
        <v>28.46</v>
      </c>
      <c r="AC1751">
        <v>12</v>
      </c>
      <c r="AD1751">
        <v>27</v>
      </c>
      <c r="AE1751" s="7"/>
      <c r="AF1751" s="7"/>
      <c r="AG1751" s="7"/>
      <c r="AH1751" s="7"/>
      <c r="AI1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1" s="7"/>
      <c r="AK1751" t="s">
        <v>51</v>
      </c>
      <c r="AN1751">
        <f>IFERROR(INT(Table13[[#This Row],[reject_prod]]/Table13[[#This Row],[part_weight]] * 1000), 0)</f>
        <v>53</v>
      </c>
    </row>
    <row r="1752" spans="1:40" hidden="1">
      <c r="A1752" s="1">
        <v>46074</v>
      </c>
      <c r="B1752">
        <v>2</v>
      </c>
      <c r="C1752">
        <v>12</v>
      </c>
      <c r="F1752">
        <v>123456</v>
      </c>
      <c r="G1752" s="6">
        <v>0</v>
      </c>
      <c r="M1752">
        <v>0</v>
      </c>
      <c r="N1752" s="2">
        <v>0</v>
      </c>
      <c r="O1752" s="2">
        <v>0</v>
      </c>
      <c r="P1752" s="2">
        <v>0</v>
      </c>
      <c r="Q1752" s="2"/>
      <c r="R1752" s="2">
        <v>0</v>
      </c>
      <c r="T1752" s="2">
        <v>0</v>
      </c>
      <c r="U1752" s="2"/>
      <c r="X1752">
        <v>0</v>
      </c>
      <c r="Z1752">
        <v>0</v>
      </c>
      <c r="AB1752">
        <v>0</v>
      </c>
      <c r="AC1752">
        <v>0</v>
      </c>
      <c r="AD1752">
        <v>0</v>
      </c>
      <c r="AE1752" s="7"/>
      <c r="AF1752" s="7"/>
      <c r="AG1752" s="7"/>
      <c r="AH1752" s="7"/>
      <c r="AI1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2" s="7">
        <v>12</v>
      </c>
      <c r="AK1752" t="s">
        <v>116</v>
      </c>
      <c r="AN1752">
        <f>IFERROR(INT(Table13[[#This Row],[reject_prod]]/Table13[[#This Row],[part_weight]] * 1000), 0)</f>
        <v>0</v>
      </c>
    </row>
    <row r="1753" spans="1:40" hidden="1">
      <c r="A1753" s="1">
        <v>46074</v>
      </c>
      <c r="B1753">
        <v>2</v>
      </c>
      <c r="C1753">
        <v>13</v>
      </c>
      <c r="D1753" t="s">
        <v>112</v>
      </c>
      <c r="E1753" t="s">
        <v>46</v>
      </c>
      <c r="F1753">
        <v>586276</v>
      </c>
      <c r="G1753" s="6">
        <v>2</v>
      </c>
      <c r="H1753" t="s">
        <v>47</v>
      </c>
      <c r="I1753">
        <v>10686677</v>
      </c>
      <c r="J1753">
        <v>6</v>
      </c>
      <c r="K1753">
        <v>12.3</v>
      </c>
      <c r="L1753">
        <v>12.3</v>
      </c>
      <c r="M1753">
        <v>1642</v>
      </c>
      <c r="N1753" s="2">
        <v>162000</v>
      </c>
      <c r="O1753" s="2">
        <v>0</v>
      </c>
      <c r="P1753" s="2">
        <v>2430</v>
      </c>
      <c r="Q1753" s="2">
        <v>9852</v>
      </c>
      <c r="R1753" s="2">
        <v>8100</v>
      </c>
      <c r="S1753">
        <v>99.63</v>
      </c>
      <c r="T1753" s="2">
        <v>26730</v>
      </c>
      <c r="U1753" s="2">
        <v>135270</v>
      </c>
      <c r="V1753">
        <v>121.17960000000001</v>
      </c>
      <c r="W1753">
        <v>0</v>
      </c>
      <c r="X1753">
        <v>0</v>
      </c>
      <c r="Y1753">
        <v>0</v>
      </c>
      <c r="Z1753">
        <v>1</v>
      </c>
      <c r="AA1753">
        <v>8.2522140690347214E-3</v>
      </c>
      <c r="AB1753">
        <v>26.2</v>
      </c>
      <c r="AC1753">
        <v>11.950111111111111</v>
      </c>
      <c r="AD1753">
        <v>26</v>
      </c>
      <c r="AE1753" s="7"/>
      <c r="AF1753" s="7"/>
      <c r="AG1753" s="7"/>
      <c r="AH1753" s="7"/>
      <c r="AI1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4.9888888888888872E-2</v>
      </c>
      <c r="AJ1753" s="7"/>
      <c r="AK1753" t="s">
        <v>51</v>
      </c>
      <c r="AN1753">
        <f>IFERROR(INT(Table13[[#This Row],[reject_prod]]/Table13[[#This Row],[part_weight]] * 1000), 0)</f>
        <v>81</v>
      </c>
    </row>
    <row r="1754" spans="1:40" hidden="1">
      <c r="A1754" s="1">
        <v>46074</v>
      </c>
      <c r="B1754">
        <v>2</v>
      </c>
      <c r="C1754">
        <v>14</v>
      </c>
      <c r="D1754" t="s">
        <v>870</v>
      </c>
      <c r="E1754" t="s">
        <v>34</v>
      </c>
      <c r="F1754">
        <v>541381</v>
      </c>
      <c r="G1754" s="6">
        <v>0</v>
      </c>
      <c r="H1754" t="s">
        <v>804</v>
      </c>
      <c r="I1754">
        <v>10686678</v>
      </c>
      <c r="J1754">
        <v>4</v>
      </c>
      <c r="K1754">
        <v>55</v>
      </c>
      <c r="L1754">
        <v>55</v>
      </c>
      <c r="M1754">
        <v>1532</v>
      </c>
      <c r="N1754" s="2">
        <v>84000</v>
      </c>
      <c r="O1754" s="2">
        <v>0</v>
      </c>
      <c r="P1754" s="2">
        <v>525</v>
      </c>
      <c r="Q1754" s="2">
        <v>6128</v>
      </c>
      <c r="R1754" s="2">
        <v>5600</v>
      </c>
      <c r="S1754">
        <v>308</v>
      </c>
      <c r="T1754" s="2">
        <v>55125</v>
      </c>
      <c r="U1754" s="2">
        <v>28875</v>
      </c>
      <c r="V1754">
        <v>337.04</v>
      </c>
      <c r="W1754">
        <v>0</v>
      </c>
      <c r="X1754">
        <v>0</v>
      </c>
      <c r="Y1754">
        <v>0</v>
      </c>
      <c r="Z1754">
        <v>2</v>
      </c>
      <c r="AA1754">
        <v>5.9340137669119386E-3</v>
      </c>
      <c r="AB1754">
        <v>27.81</v>
      </c>
      <c r="AC1754">
        <v>11.834699999999998</v>
      </c>
      <c r="AD1754">
        <v>30.08</v>
      </c>
      <c r="AE1754" s="7"/>
      <c r="AF1754" s="7"/>
      <c r="AG1754" s="7"/>
      <c r="AH1754" s="7"/>
      <c r="AI1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0.165300000000002</v>
      </c>
      <c r="AJ1754" s="7"/>
      <c r="AK1754" t="s">
        <v>178</v>
      </c>
      <c r="AN1754">
        <f>IFERROR(INT(Table13[[#This Row],[reject_prod]]/Table13[[#This Row],[part_weight]] * 1000), 0)</f>
        <v>36</v>
      </c>
    </row>
    <row r="1755" spans="1:40" hidden="1">
      <c r="A1755" s="1">
        <v>46074</v>
      </c>
      <c r="B1755">
        <v>2</v>
      </c>
      <c r="C1755">
        <v>15</v>
      </c>
      <c r="D1755" t="s">
        <v>112</v>
      </c>
      <c r="E1755" t="s">
        <v>46</v>
      </c>
      <c r="F1755">
        <v>550076</v>
      </c>
      <c r="G1755" s="6">
        <v>0</v>
      </c>
      <c r="H1755" t="s">
        <v>857</v>
      </c>
      <c r="I1755">
        <v>10687863</v>
      </c>
      <c r="J1755">
        <v>6</v>
      </c>
      <c r="K1755">
        <v>18.8</v>
      </c>
      <c r="L1755">
        <v>18.8</v>
      </c>
      <c r="M1755">
        <v>1395</v>
      </c>
      <c r="N1755" s="2">
        <v>108000</v>
      </c>
      <c r="O1755" s="2">
        <v>3240</v>
      </c>
      <c r="P1755" s="2">
        <v>810</v>
      </c>
      <c r="Q1755" s="2">
        <v>8370</v>
      </c>
      <c r="R1755" s="2">
        <v>10800</v>
      </c>
      <c r="S1755">
        <v>203.04</v>
      </c>
      <c r="T1755" s="2">
        <v>76410</v>
      </c>
      <c r="U1755" s="2">
        <v>31590</v>
      </c>
      <c r="V1755">
        <v>157.35599999999999</v>
      </c>
      <c r="W1755">
        <v>0</v>
      </c>
      <c r="X1755">
        <v>0</v>
      </c>
      <c r="Y1755">
        <v>0</v>
      </c>
      <c r="Z1755">
        <v>3</v>
      </c>
      <c r="AA1755">
        <v>1.906504995043087E-2</v>
      </c>
      <c r="AB1755">
        <v>31.3</v>
      </c>
      <c r="AC1755">
        <v>12</v>
      </c>
      <c r="AD1755">
        <v>22.5</v>
      </c>
      <c r="AE1755" s="7"/>
      <c r="AF1755" s="7"/>
      <c r="AG1755" s="7"/>
      <c r="AH1755" s="7"/>
      <c r="AI1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5" s="7"/>
      <c r="AK1755" t="s">
        <v>51</v>
      </c>
      <c r="AN1755">
        <f>IFERROR(INT(Table13[[#This Row],[reject_prod]]/Table13[[#This Row],[part_weight]] * 1000), 0)</f>
        <v>159</v>
      </c>
    </row>
    <row r="1756" spans="1:40" s="4" customFormat="1" hidden="1">
      <c r="A1756" s="3">
        <v>46074</v>
      </c>
      <c r="B1756" s="4">
        <v>2</v>
      </c>
      <c r="C1756" s="4">
        <v>16</v>
      </c>
      <c r="D1756" s="4" t="s">
        <v>40</v>
      </c>
      <c r="E1756" s="4" t="s">
        <v>46</v>
      </c>
      <c r="F1756" s="4">
        <v>555979</v>
      </c>
      <c r="G1756" s="9">
        <v>2</v>
      </c>
      <c r="H1756" s="4" t="s">
        <v>52</v>
      </c>
      <c r="I1756" s="4">
        <v>10683785</v>
      </c>
      <c r="J1756" s="4">
        <v>6</v>
      </c>
      <c r="K1756" s="4">
        <v>28</v>
      </c>
      <c r="L1756" s="4">
        <v>28</v>
      </c>
      <c r="M1756" s="4">
        <v>988</v>
      </c>
      <c r="N1756" s="5">
        <v>100800</v>
      </c>
      <c r="O1756" s="5">
        <v>2352</v>
      </c>
      <c r="P1756" s="5">
        <v>1512</v>
      </c>
      <c r="Q1756" s="5">
        <v>5928</v>
      </c>
      <c r="R1756" s="5">
        <v>6720</v>
      </c>
      <c r="S1756" s="4">
        <v>188.16</v>
      </c>
      <c r="T1756" s="5">
        <v>92232</v>
      </c>
      <c r="U1756" s="5">
        <v>8568</v>
      </c>
      <c r="V1756" s="4">
        <v>165.98400000000001</v>
      </c>
      <c r="W1756" s="4">
        <v>0</v>
      </c>
      <c r="X1756" s="4">
        <v>0</v>
      </c>
      <c r="Y1756" s="4">
        <v>0</v>
      </c>
      <c r="Z1756" s="4">
        <v>3</v>
      </c>
      <c r="AA1756" s="4">
        <v>1.8074031231925969E-2</v>
      </c>
      <c r="AB1756" s="4">
        <v>43.5</v>
      </c>
      <c r="AC1756" s="4">
        <v>11.938333333333333</v>
      </c>
      <c r="AD1756" s="4">
        <v>42</v>
      </c>
      <c r="AE1756" s="8"/>
      <c r="AF1756" s="8"/>
      <c r="AG1756" s="8"/>
      <c r="AH1756" s="8"/>
      <c r="AI175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6.1666666666667425E-2</v>
      </c>
      <c r="AJ1756" s="8"/>
      <c r="AK1756" s="4" t="s">
        <v>51</v>
      </c>
      <c r="AN1756">
        <f>IFERROR(INT(Table13[[#This Row],[reject_prod]]/Table13[[#This Row],[part_weight]] * 1000), 0)</f>
        <v>107</v>
      </c>
    </row>
    <row r="1757" spans="1:40" hidden="1">
      <c r="A1757" s="1">
        <v>46075</v>
      </c>
      <c r="B1757">
        <v>1</v>
      </c>
      <c r="C1757">
        <v>1</v>
      </c>
      <c r="F1757">
        <v>123456</v>
      </c>
      <c r="G1757" s="6">
        <v>0</v>
      </c>
      <c r="M1757">
        <v>0</v>
      </c>
      <c r="N1757" s="2">
        <v>0</v>
      </c>
      <c r="O1757" s="2">
        <v>0</v>
      </c>
      <c r="P1757" s="2">
        <v>0</v>
      </c>
      <c r="Q1757" s="2"/>
      <c r="R1757" s="2">
        <v>0</v>
      </c>
      <c r="T1757" s="2">
        <v>0</v>
      </c>
      <c r="U1757" s="2"/>
      <c r="X1757">
        <v>0</v>
      </c>
      <c r="Z1757">
        <v>0</v>
      </c>
      <c r="AB1757">
        <v>0</v>
      </c>
      <c r="AC1757">
        <v>0</v>
      </c>
      <c r="AD1757">
        <v>0</v>
      </c>
      <c r="AE1757" s="7"/>
      <c r="AF1757" s="7"/>
      <c r="AG1757" s="7"/>
      <c r="AH1757" s="7"/>
      <c r="AI1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7" s="7">
        <v>12</v>
      </c>
      <c r="AK1757" t="s">
        <v>116</v>
      </c>
      <c r="AN1757">
        <f>IFERROR(INT(Table13[[#This Row],[reject_prod]]/Table13[[#This Row],[part_weight]] * 1000), 0)</f>
        <v>0</v>
      </c>
    </row>
    <row r="1758" spans="1:40" hidden="1">
      <c r="A1758" s="1">
        <v>46075</v>
      </c>
      <c r="B1758">
        <v>1</v>
      </c>
      <c r="C1758">
        <v>2</v>
      </c>
      <c r="D1758" t="s">
        <v>84</v>
      </c>
      <c r="E1758" t="s">
        <v>34</v>
      </c>
      <c r="F1758">
        <v>543590</v>
      </c>
      <c r="G1758" s="6">
        <v>0</v>
      </c>
      <c r="H1758" t="s">
        <v>913</v>
      </c>
      <c r="I1758">
        <v>10687749</v>
      </c>
      <c r="J1758">
        <v>4</v>
      </c>
      <c r="K1758">
        <v>19</v>
      </c>
      <c r="L1758">
        <v>19</v>
      </c>
      <c r="M1758">
        <v>2152</v>
      </c>
      <c r="N1758" s="2">
        <v>132440</v>
      </c>
      <c r="O1758" s="2">
        <v>1232</v>
      </c>
      <c r="P1758" s="2">
        <v>2464</v>
      </c>
      <c r="Q1758" s="2">
        <v>8608</v>
      </c>
      <c r="R1758" s="2">
        <v>7392</v>
      </c>
      <c r="S1758">
        <v>140.44800000000001</v>
      </c>
      <c r="T1758" s="2">
        <v>17248</v>
      </c>
      <c r="U1758" s="2">
        <v>115192</v>
      </c>
      <c r="V1758">
        <v>163.55199999999999</v>
      </c>
      <c r="W1758">
        <v>0</v>
      </c>
      <c r="X1758">
        <v>0</v>
      </c>
      <c r="Y1758">
        <v>0</v>
      </c>
      <c r="Z1758">
        <v>1.3</v>
      </c>
      <c r="AA1758">
        <v>7.9485423596165148E-3</v>
      </c>
      <c r="AB1758">
        <v>20</v>
      </c>
      <c r="AC1758">
        <v>11.955555555555556</v>
      </c>
      <c r="AD1758">
        <v>18.72</v>
      </c>
      <c r="AE1758" s="7"/>
      <c r="AF1758" s="7"/>
      <c r="AG1758" s="7"/>
      <c r="AH1758" s="7"/>
      <c r="AI1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4.4444444444444287E-2</v>
      </c>
      <c r="AJ1758" s="7"/>
      <c r="AK1758" t="s">
        <v>951</v>
      </c>
      <c r="AN1758">
        <f>IFERROR(INT(Table13[[#This Row],[reject_prod]]/Table13[[#This Row],[part_weight]] * 1000), 0)</f>
        <v>68</v>
      </c>
    </row>
    <row r="1759" spans="1:40" hidden="1">
      <c r="A1759" s="1">
        <v>46075</v>
      </c>
      <c r="B1759">
        <v>1</v>
      </c>
      <c r="C1759">
        <v>3</v>
      </c>
      <c r="D1759" t="s">
        <v>181</v>
      </c>
      <c r="E1759" t="s">
        <v>34</v>
      </c>
      <c r="F1759">
        <v>442034</v>
      </c>
      <c r="G1759" s="6">
        <v>0</v>
      </c>
      <c r="H1759" t="s">
        <v>37</v>
      </c>
      <c r="I1759">
        <v>10685634</v>
      </c>
      <c r="J1759">
        <v>4</v>
      </c>
      <c r="K1759">
        <v>23</v>
      </c>
      <c r="L1759">
        <v>23</v>
      </c>
      <c r="M1759">
        <v>1526</v>
      </c>
      <c r="N1759" s="2">
        <v>139776</v>
      </c>
      <c r="O1759" s="2">
        <v>3456</v>
      </c>
      <c r="P1759" s="2">
        <v>384</v>
      </c>
      <c r="Q1759" s="2">
        <v>6104</v>
      </c>
      <c r="R1759" s="2">
        <v>9216</v>
      </c>
      <c r="S1759">
        <v>211.96799999999999</v>
      </c>
      <c r="T1759" s="2">
        <v>46464</v>
      </c>
      <c r="U1759" s="2">
        <v>93312</v>
      </c>
      <c r="V1759">
        <v>140.392</v>
      </c>
      <c r="W1759">
        <v>0</v>
      </c>
      <c r="X1759">
        <v>0</v>
      </c>
      <c r="Y1759">
        <v>0</v>
      </c>
      <c r="Z1759">
        <v>1</v>
      </c>
      <c r="AA1759">
        <v>7.1229129864949572E-3</v>
      </c>
      <c r="AB1759">
        <v>28.5</v>
      </c>
      <c r="AC1759">
        <v>12</v>
      </c>
      <c r="AD1759">
        <v>22</v>
      </c>
      <c r="AE1759" s="7"/>
      <c r="AF1759" s="7"/>
      <c r="AG1759" s="7"/>
      <c r="AH1759" s="7"/>
      <c r="AI1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9" s="7"/>
      <c r="AK1759" t="s">
        <v>93</v>
      </c>
      <c r="AN1759">
        <f>IFERROR(INT(Table13[[#This Row],[reject_prod]]/Table13[[#This Row],[part_weight]] * 1000), 0)</f>
        <v>43</v>
      </c>
    </row>
    <row r="1760" spans="1:40" hidden="1">
      <c r="A1760" s="1">
        <v>46075</v>
      </c>
      <c r="B1760">
        <v>1</v>
      </c>
      <c r="C1760">
        <v>4</v>
      </c>
      <c r="D1760" t="s">
        <v>952</v>
      </c>
      <c r="E1760" t="s">
        <v>34</v>
      </c>
      <c r="F1760">
        <v>451191</v>
      </c>
      <c r="G1760" s="6">
        <v>0</v>
      </c>
      <c r="H1760" t="s">
        <v>946</v>
      </c>
      <c r="I1760">
        <v>10687751</v>
      </c>
      <c r="J1760">
        <v>4</v>
      </c>
      <c r="K1760">
        <v>29</v>
      </c>
      <c r="L1760">
        <v>29</v>
      </c>
      <c r="M1760">
        <v>1724</v>
      </c>
      <c r="N1760" s="2">
        <v>73440</v>
      </c>
      <c r="O1760" s="2"/>
      <c r="P1760" s="2">
        <v>459</v>
      </c>
      <c r="Q1760" s="2">
        <v>6896</v>
      </c>
      <c r="R1760" s="2">
        <v>6426</v>
      </c>
      <c r="S1760">
        <v>186.35400000000001</v>
      </c>
      <c r="T1760" s="2">
        <v>9639</v>
      </c>
      <c r="U1760" s="2">
        <v>63801</v>
      </c>
      <c r="V1760">
        <v>199.98400000000001</v>
      </c>
      <c r="W1760">
        <v>0</v>
      </c>
      <c r="X1760">
        <v>0</v>
      </c>
      <c r="Y1760">
        <v>0</v>
      </c>
      <c r="Z1760">
        <v>1.3</v>
      </c>
      <c r="AA1760">
        <v>6.5005200416033285E-3</v>
      </c>
      <c r="AB1760">
        <v>25.1</v>
      </c>
      <c r="AC1760">
        <v>12</v>
      </c>
      <c r="AD1760">
        <v>24</v>
      </c>
      <c r="AE1760" s="7"/>
      <c r="AF1760" s="7"/>
      <c r="AG1760" s="7"/>
      <c r="AH1760" s="7"/>
      <c r="AI1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0" s="7"/>
      <c r="AK1760" t="s">
        <v>200</v>
      </c>
      <c r="AN1760">
        <f>IFERROR(INT(Table13[[#This Row],[reject_prod]]/Table13[[#This Row],[part_weight]] * 1000), 0)</f>
        <v>44</v>
      </c>
    </row>
    <row r="1761" spans="1:40" hidden="1">
      <c r="A1761" s="1">
        <v>46075</v>
      </c>
      <c r="B1761">
        <v>1</v>
      </c>
      <c r="C1761">
        <v>5</v>
      </c>
      <c r="D1761" t="s">
        <v>88</v>
      </c>
      <c r="E1761" t="s">
        <v>34</v>
      </c>
      <c r="F1761">
        <v>597507</v>
      </c>
      <c r="G1761" s="6">
        <v>0</v>
      </c>
      <c r="H1761" t="s">
        <v>279</v>
      </c>
      <c r="I1761">
        <v>10687752</v>
      </c>
      <c r="J1761">
        <v>4</v>
      </c>
      <c r="K1761">
        <v>23</v>
      </c>
      <c r="L1761">
        <v>23</v>
      </c>
      <c r="M1761">
        <v>2107</v>
      </c>
      <c r="N1761" s="2">
        <v>86240</v>
      </c>
      <c r="O1761" s="2">
        <v>154</v>
      </c>
      <c r="P1761" s="2"/>
      <c r="Q1761" s="2">
        <v>8428</v>
      </c>
      <c r="R1761" s="2">
        <v>8624</v>
      </c>
      <c r="S1761">
        <v>198.352</v>
      </c>
      <c r="T1761" s="2">
        <v>44198</v>
      </c>
      <c r="U1761" s="2">
        <v>42042</v>
      </c>
      <c r="V1761">
        <v>193.84399999999999</v>
      </c>
      <c r="W1761">
        <v>0</v>
      </c>
      <c r="X1761">
        <v>0</v>
      </c>
      <c r="Y1761">
        <v>0</v>
      </c>
      <c r="Z1761">
        <v>1</v>
      </c>
      <c r="AA1761">
        <v>5.158787478591032E-3</v>
      </c>
      <c r="AB1761">
        <v>20.7</v>
      </c>
      <c r="AC1761">
        <v>12</v>
      </c>
      <c r="AD1761">
        <v>22</v>
      </c>
      <c r="AE1761" s="7"/>
      <c r="AF1761" s="7"/>
      <c r="AG1761" s="7"/>
      <c r="AH1761" s="7"/>
      <c r="AI1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1" s="7"/>
      <c r="AK1761" t="s">
        <v>937</v>
      </c>
      <c r="AN1761">
        <f>IFERROR(INT(Table13[[#This Row],[reject_prod]]/Table13[[#This Row],[part_weight]] * 1000), 0)</f>
        <v>43</v>
      </c>
    </row>
    <row r="1762" spans="1:40" hidden="1">
      <c r="A1762" s="1">
        <v>46075</v>
      </c>
      <c r="B1762">
        <v>1</v>
      </c>
      <c r="C1762">
        <v>6</v>
      </c>
      <c r="D1762" t="s">
        <v>265</v>
      </c>
      <c r="E1762" t="s">
        <v>41</v>
      </c>
      <c r="F1762">
        <v>620994</v>
      </c>
      <c r="G1762" s="6">
        <v>0</v>
      </c>
      <c r="H1762" t="s">
        <v>42</v>
      </c>
      <c r="I1762">
        <v>10686806</v>
      </c>
      <c r="J1762">
        <v>4</v>
      </c>
      <c r="K1762">
        <v>32.74</v>
      </c>
      <c r="L1762">
        <v>33</v>
      </c>
      <c r="M1762">
        <v>1830</v>
      </c>
      <c r="N1762" s="2">
        <v>104192</v>
      </c>
      <c r="O1762" s="2">
        <v>296</v>
      </c>
      <c r="P1762" s="2">
        <v>296</v>
      </c>
      <c r="Q1762" s="2">
        <v>7320</v>
      </c>
      <c r="R1762" s="2">
        <v>7104</v>
      </c>
      <c r="S1762">
        <v>234.43199999999999</v>
      </c>
      <c r="T1762" s="2">
        <v>81992</v>
      </c>
      <c r="U1762" s="2">
        <v>22200</v>
      </c>
      <c r="V1762">
        <v>241.56</v>
      </c>
      <c r="W1762">
        <v>0</v>
      </c>
      <c r="X1762">
        <v>0</v>
      </c>
      <c r="Y1762">
        <v>0</v>
      </c>
      <c r="Z1762">
        <v>2</v>
      </c>
      <c r="AA1762">
        <v>8.2795164762377877E-3</v>
      </c>
      <c r="AB1762">
        <v>23.9</v>
      </c>
      <c r="AC1762">
        <v>12</v>
      </c>
      <c r="AD1762">
        <v>22</v>
      </c>
      <c r="AE1762" s="7"/>
      <c r="AF1762" s="7"/>
      <c r="AG1762" s="7"/>
      <c r="AH1762" s="7"/>
      <c r="AI1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2" s="7"/>
      <c r="AK1762" t="s">
        <v>93</v>
      </c>
      <c r="AN1762">
        <f>IFERROR(INT(Table13[[#This Row],[reject_prod]]/Table13[[#This Row],[part_weight]] * 1000), 0)</f>
        <v>60</v>
      </c>
    </row>
    <row r="1763" spans="1:40" hidden="1">
      <c r="A1763" s="1">
        <v>46075</v>
      </c>
      <c r="B1763">
        <v>1</v>
      </c>
      <c r="C1763">
        <v>7</v>
      </c>
      <c r="D1763" t="s">
        <v>953</v>
      </c>
      <c r="E1763" t="s">
        <v>34</v>
      </c>
      <c r="F1763">
        <v>324165</v>
      </c>
      <c r="G1763" s="6">
        <v>0</v>
      </c>
      <c r="H1763" t="s">
        <v>44</v>
      </c>
      <c r="I1763">
        <v>10687137</v>
      </c>
      <c r="J1763">
        <v>4</v>
      </c>
      <c r="K1763">
        <v>32.56</v>
      </c>
      <c r="L1763">
        <v>33</v>
      </c>
      <c r="M1763">
        <v>2414</v>
      </c>
      <c r="N1763" s="2">
        <v>104192</v>
      </c>
      <c r="O1763" s="2"/>
      <c r="P1763" s="2">
        <v>2664</v>
      </c>
      <c r="Q1763" s="2">
        <v>9656</v>
      </c>
      <c r="R1763" s="2">
        <v>7104</v>
      </c>
      <c r="S1763">
        <v>234.43199999999999</v>
      </c>
      <c r="T1763" s="2">
        <v>23976</v>
      </c>
      <c r="U1763" s="2">
        <v>80216</v>
      </c>
      <c r="V1763">
        <v>318.64800000000002</v>
      </c>
      <c r="W1763">
        <v>-4.2486399999999778</v>
      </c>
      <c r="X1763">
        <v>0</v>
      </c>
      <c r="Y1763">
        <v>0</v>
      </c>
      <c r="Z1763">
        <v>3</v>
      </c>
      <c r="AA1763">
        <v>9.4147774346614432E-3</v>
      </c>
      <c r="AB1763">
        <v>18</v>
      </c>
      <c r="AC1763">
        <v>12</v>
      </c>
      <c r="AD1763">
        <v>22</v>
      </c>
      <c r="AE1763" s="7"/>
      <c r="AF1763" s="7"/>
      <c r="AG1763" s="7"/>
      <c r="AH1763" s="7"/>
      <c r="AI1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3" s="7"/>
      <c r="AK1763" t="s">
        <v>954</v>
      </c>
      <c r="AN1763">
        <f>IFERROR(INT(Table13[[#This Row],[reject_prod]]/Table13[[#This Row],[part_weight]] * 1000), 0)</f>
        <v>90</v>
      </c>
    </row>
    <row r="1764" spans="1:40" hidden="1">
      <c r="A1764" s="1">
        <v>46075</v>
      </c>
      <c r="B1764">
        <v>1</v>
      </c>
      <c r="C1764">
        <v>8</v>
      </c>
      <c r="F1764">
        <v>123456</v>
      </c>
      <c r="G1764" s="6">
        <v>0</v>
      </c>
      <c r="M1764">
        <v>0</v>
      </c>
      <c r="N1764" s="2">
        <v>0</v>
      </c>
      <c r="O1764" s="2">
        <v>0</v>
      </c>
      <c r="P1764" s="2">
        <v>0</v>
      </c>
      <c r="Q1764" s="2"/>
      <c r="R1764" s="2">
        <v>0</v>
      </c>
      <c r="T1764" s="2">
        <v>0</v>
      </c>
      <c r="U1764" s="2"/>
      <c r="X1764">
        <v>0</v>
      </c>
      <c r="Z1764">
        <v>0</v>
      </c>
      <c r="AB1764">
        <v>0</v>
      </c>
      <c r="AC1764">
        <v>0</v>
      </c>
      <c r="AD1764">
        <v>0</v>
      </c>
      <c r="AE1764" s="7"/>
      <c r="AF1764" s="7"/>
      <c r="AG1764" s="7"/>
      <c r="AH1764" s="7"/>
      <c r="AI1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4" s="7">
        <v>12</v>
      </c>
      <c r="AK1764" t="s">
        <v>116</v>
      </c>
      <c r="AN1764">
        <f>IFERROR(INT(Table13[[#This Row],[reject_prod]]/Table13[[#This Row],[part_weight]] * 1000), 0)</f>
        <v>0</v>
      </c>
    </row>
    <row r="1765" spans="1:40" hidden="1">
      <c r="A1765" s="1">
        <v>46075</v>
      </c>
      <c r="B1765">
        <v>1</v>
      </c>
      <c r="C1765">
        <v>9</v>
      </c>
      <c r="D1765" t="s">
        <v>53</v>
      </c>
      <c r="E1765" t="s">
        <v>46</v>
      </c>
      <c r="F1765">
        <v>586276</v>
      </c>
      <c r="G1765" s="6">
        <v>1</v>
      </c>
      <c r="H1765" t="s">
        <v>47</v>
      </c>
      <c r="I1765">
        <v>10686684</v>
      </c>
      <c r="J1765">
        <v>6</v>
      </c>
      <c r="K1765">
        <v>12.3</v>
      </c>
      <c r="L1765">
        <v>12.3</v>
      </c>
      <c r="M1765">
        <v>1623</v>
      </c>
      <c r="N1765" s="2">
        <v>162000</v>
      </c>
      <c r="O1765" s="2">
        <v>6885</v>
      </c>
      <c r="P1765" s="2">
        <v>405</v>
      </c>
      <c r="Q1765" s="2">
        <v>9738</v>
      </c>
      <c r="R1765" s="2">
        <v>16200</v>
      </c>
      <c r="S1765">
        <v>199.26</v>
      </c>
      <c r="T1765" s="2">
        <v>65205</v>
      </c>
      <c r="U1765" s="2">
        <v>96795</v>
      </c>
      <c r="V1765">
        <v>119.77740000000001</v>
      </c>
      <c r="W1765">
        <v>0</v>
      </c>
      <c r="X1765">
        <v>0</v>
      </c>
      <c r="Y1765">
        <v>0</v>
      </c>
      <c r="Z1765">
        <v>1</v>
      </c>
      <c r="AA1765">
        <v>8.3488203951663665E-3</v>
      </c>
      <c r="AB1765">
        <v>26.5</v>
      </c>
      <c r="AC1765">
        <v>11.947083333333333</v>
      </c>
      <c r="AD1765">
        <v>26</v>
      </c>
      <c r="AE1765" s="7"/>
      <c r="AF1765" s="7"/>
      <c r="AG1765" s="7"/>
      <c r="AH1765" s="7"/>
      <c r="AI1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5.2916666666666501E-2</v>
      </c>
      <c r="AJ1765" s="7"/>
      <c r="AK1765" t="s">
        <v>955</v>
      </c>
      <c r="AN1765">
        <f>IFERROR(INT(Table13[[#This Row],[reject_prod]]/Table13[[#This Row],[part_weight]] * 1000), 0)</f>
        <v>81</v>
      </c>
    </row>
    <row r="1766" spans="1:40" hidden="1">
      <c r="A1766" s="1">
        <v>46075</v>
      </c>
      <c r="B1766">
        <v>1</v>
      </c>
      <c r="C1766">
        <v>10</v>
      </c>
      <c r="D1766" t="s">
        <v>640</v>
      </c>
      <c r="E1766" t="s">
        <v>34</v>
      </c>
      <c r="F1766">
        <v>323092</v>
      </c>
      <c r="G1766" s="6">
        <v>0</v>
      </c>
      <c r="H1766" t="s">
        <v>377</v>
      </c>
      <c r="I1766">
        <v>10686686</v>
      </c>
      <c r="J1766">
        <v>4</v>
      </c>
      <c r="K1766">
        <v>48.9</v>
      </c>
      <c r="L1766">
        <v>48.9</v>
      </c>
      <c r="M1766">
        <v>1394</v>
      </c>
      <c r="N1766" s="2">
        <v>37800</v>
      </c>
      <c r="O1766" s="2"/>
      <c r="P1766" s="2">
        <v>315</v>
      </c>
      <c r="Q1766" s="2">
        <v>5576</v>
      </c>
      <c r="R1766" s="2">
        <v>5250</v>
      </c>
      <c r="S1766">
        <v>256.72500000000002</v>
      </c>
      <c r="T1766" s="2">
        <v>23625</v>
      </c>
      <c r="U1766" s="2">
        <v>14175</v>
      </c>
      <c r="V1766">
        <v>272.66639999999995</v>
      </c>
      <c r="W1766">
        <v>0</v>
      </c>
      <c r="X1766">
        <v>0</v>
      </c>
      <c r="Y1766">
        <v>0</v>
      </c>
      <c r="Z1766">
        <v>3</v>
      </c>
      <c r="AA1766">
        <v>1.1002455748122983E-2</v>
      </c>
      <c r="AB1766">
        <v>29.1</v>
      </c>
      <c r="AC1766">
        <v>11.268166666666666</v>
      </c>
      <c r="AD1766">
        <v>27.6</v>
      </c>
      <c r="AE1766" s="7"/>
      <c r="AF1766" s="7"/>
      <c r="AG1766" s="7"/>
      <c r="AH1766" s="7"/>
      <c r="AI1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0.73183333333333422</v>
      </c>
      <c r="AJ1766" s="7"/>
      <c r="AK1766" t="s">
        <v>55</v>
      </c>
      <c r="AN1766">
        <f>IFERROR(INT(Table13[[#This Row],[reject_prod]]/Table13[[#This Row],[part_weight]] * 1000), 0)</f>
        <v>61</v>
      </c>
    </row>
    <row r="1767" spans="1:40" hidden="1">
      <c r="A1767" s="1">
        <v>46075</v>
      </c>
      <c r="B1767">
        <v>1</v>
      </c>
      <c r="C1767">
        <v>11</v>
      </c>
      <c r="D1767" t="s">
        <v>59</v>
      </c>
      <c r="E1767" t="s">
        <v>46</v>
      </c>
      <c r="F1767">
        <v>552181</v>
      </c>
      <c r="G1767" s="6">
        <v>1</v>
      </c>
      <c r="H1767" t="s">
        <v>49</v>
      </c>
      <c r="I1767">
        <v>10686673</v>
      </c>
      <c r="J1767">
        <v>6</v>
      </c>
      <c r="K1767">
        <v>18.8</v>
      </c>
      <c r="L1767">
        <v>18.8</v>
      </c>
      <c r="M1767">
        <v>1445</v>
      </c>
      <c r="N1767" s="2">
        <v>108000</v>
      </c>
      <c r="O1767" s="2">
        <v>4320</v>
      </c>
      <c r="P1767" s="2">
        <v>2160</v>
      </c>
      <c r="Q1767" s="2">
        <v>8670</v>
      </c>
      <c r="R1767" s="2">
        <v>10800</v>
      </c>
      <c r="S1767">
        <v>203.04</v>
      </c>
      <c r="T1767" s="2">
        <v>18360</v>
      </c>
      <c r="U1767" s="2">
        <v>89640</v>
      </c>
      <c r="V1767">
        <v>162.99600000000001</v>
      </c>
      <c r="W1767">
        <v>0</v>
      </c>
      <c r="X1767">
        <v>0</v>
      </c>
      <c r="Y1767">
        <v>0</v>
      </c>
      <c r="Z1767">
        <v>1</v>
      </c>
      <c r="AA1767">
        <v>6.1351198802424593E-3</v>
      </c>
      <c r="AB1767">
        <v>29.4</v>
      </c>
      <c r="AC1767">
        <v>11.800833333333332</v>
      </c>
      <c r="AD1767">
        <v>27</v>
      </c>
      <c r="AE1767" s="7"/>
      <c r="AF1767" s="7"/>
      <c r="AG1767" s="7"/>
      <c r="AH1767" s="7"/>
      <c r="AI1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0.19916666666666849</v>
      </c>
      <c r="AJ1767" s="7"/>
      <c r="AK1767" t="s">
        <v>90</v>
      </c>
      <c r="AN1767">
        <f>IFERROR(INT(Table13[[#This Row],[reject_prod]]/Table13[[#This Row],[part_weight]] * 1000), 0)</f>
        <v>53</v>
      </c>
    </row>
    <row r="1768" spans="1:40" hidden="1">
      <c r="A1768" s="1">
        <v>46075</v>
      </c>
      <c r="B1768">
        <v>1</v>
      </c>
      <c r="C1768">
        <v>13</v>
      </c>
      <c r="D1768" t="s">
        <v>59</v>
      </c>
      <c r="E1768" t="s">
        <v>46</v>
      </c>
      <c r="F1768">
        <v>586276</v>
      </c>
      <c r="G1768" s="6">
        <v>2</v>
      </c>
      <c r="H1768" t="s">
        <v>47</v>
      </c>
      <c r="I1768">
        <v>10686677</v>
      </c>
      <c r="J1768">
        <v>6</v>
      </c>
      <c r="K1768">
        <v>12.3</v>
      </c>
      <c r="L1768">
        <v>12.3</v>
      </c>
      <c r="M1768">
        <v>1541</v>
      </c>
      <c r="N1768" s="2">
        <v>162000</v>
      </c>
      <c r="O1768" s="2">
        <v>2430</v>
      </c>
      <c r="P1768" s="2">
        <v>2835</v>
      </c>
      <c r="Q1768" s="2">
        <v>9246</v>
      </c>
      <c r="R1768" s="2">
        <v>8100</v>
      </c>
      <c r="S1768">
        <v>99.63</v>
      </c>
      <c r="T1768" s="2">
        <v>35235</v>
      </c>
      <c r="U1768" s="2">
        <v>126765</v>
      </c>
      <c r="V1768">
        <v>113.72580000000001</v>
      </c>
      <c r="W1768">
        <v>0</v>
      </c>
      <c r="X1768">
        <v>0</v>
      </c>
      <c r="Y1768">
        <v>0</v>
      </c>
      <c r="Z1768">
        <v>0.4</v>
      </c>
      <c r="AA1768">
        <v>3.5172317978857922E-3</v>
      </c>
      <c r="AB1768">
        <v>26.4</v>
      </c>
      <c r="AC1768">
        <v>11.300666666666666</v>
      </c>
      <c r="AD1768">
        <v>26</v>
      </c>
      <c r="AE1768" s="7"/>
      <c r="AF1768" s="7"/>
      <c r="AG1768" s="7"/>
      <c r="AH1768" s="7"/>
      <c r="AI1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0.69933333333333358</v>
      </c>
      <c r="AJ1768" s="7"/>
      <c r="AK1768" t="s">
        <v>90</v>
      </c>
      <c r="AN1768">
        <f>IFERROR(INT(Table13[[#This Row],[reject_prod]]/Table13[[#This Row],[part_weight]] * 1000), 0)</f>
        <v>32</v>
      </c>
    </row>
    <row r="1769" spans="1:40" hidden="1">
      <c r="A1769" s="1">
        <v>46075</v>
      </c>
      <c r="B1769">
        <v>1</v>
      </c>
      <c r="C1769">
        <v>14</v>
      </c>
      <c r="D1769" t="s">
        <v>117</v>
      </c>
      <c r="E1769" t="s">
        <v>34</v>
      </c>
      <c r="F1769">
        <v>541381</v>
      </c>
      <c r="G1769" s="6">
        <v>0</v>
      </c>
      <c r="H1769" t="s">
        <v>804</v>
      </c>
      <c r="I1769">
        <v>10686678</v>
      </c>
      <c r="J1769">
        <v>4</v>
      </c>
      <c r="K1769">
        <v>55</v>
      </c>
      <c r="L1769">
        <v>55</v>
      </c>
      <c r="M1769">
        <v>1534</v>
      </c>
      <c r="N1769" s="2">
        <v>84000</v>
      </c>
      <c r="O1769" s="2">
        <v>525</v>
      </c>
      <c r="P1769" s="2">
        <v>350</v>
      </c>
      <c r="Q1769" s="2">
        <v>6136</v>
      </c>
      <c r="R1769" s="2">
        <v>6300</v>
      </c>
      <c r="S1769">
        <v>346.5</v>
      </c>
      <c r="T1769" s="2">
        <v>61250</v>
      </c>
      <c r="U1769" s="2">
        <v>22750</v>
      </c>
      <c r="V1769">
        <v>337.48</v>
      </c>
      <c r="W1769">
        <v>0</v>
      </c>
      <c r="X1769">
        <v>0</v>
      </c>
      <c r="Y1769">
        <v>0</v>
      </c>
      <c r="Z1769">
        <v>2</v>
      </c>
      <c r="AA1769">
        <v>5.9262771127177906E-3</v>
      </c>
      <c r="AB1769">
        <v>27.81</v>
      </c>
      <c r="AC1769">
        <v>11.850149999999999</v>
      </c>
      <c r="AD1769">
        <v>30.08</v>
      </c>
      <c r="AE1769" s="7"/>
      <c r="AF1769" s="7"/>
      <c r="AG1769" s="7"/>
      <c r="AH1769" s="7"/>
      <c r="AI1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0.1498500000000007</v>
      </c>
      <c r="AJ1769" s="7"/>
      <c r="AK1769" t="s">
        <v>178</v>
      </c>
      <c r="AN1769">
        <f>IFERROR(INT(Table13[[#This Row],[reject_prod]]/Table13[[#This Row],[part_weight]] * 1000), 0)</f>
        <v>36</v>
      </c>
    </row>
    <row r="1770" spans="1:40" hidden="1">
      <c r="A1770" s="1">
        <v>46075</v>
      </c>
      <c r="B1770">
        <v>1</v>
      </c>
      <c r="C1770">
        <v>15</v>
      </c>
      <c r="D1770" t="s">
        <v>59</v>
      </c>
      <c r="E1770" t="s">
        <v>46</v>
      </c>
      <c r="F1770">
        <v>550076</v>
      </c>
      <c r="G1770" s="6">
        <v>0</v>
      </c>
      <c r="H1770" t="s">
        <v>857</v>
      </c>
      <c r="I1770">
        <v>10687863</v>
      </c>
      <c r="J1770">
        <v>6</v>
      </c>
      <c r="K1770">
        <v>18.8</v>
      </c>
      <c r="L1770">
        <v>18.8</v>
      </c>
      <c r="M1770">
        <v>1355</v>
      </c>
      <c r="N1770" s="2">
        <v>108000</v>
      </c>
      <c r="O1770" s="2">
        <v>810</v>
      </c>
      <c r="P1770" s="2">
        <v>3510</v>
      </c>
      <c r="Q1770" s="2">
        <v>8130</v>
      </c>
      <c r="R1770" s="2">
        <v>5400</v>
      </c>
      <c r="S1770">
        <v>101.52</v>
      </c>
      <c r="T1770" s="2">
        <v>84510</v>
      </c>
      <c r="U1770" s="2">
        <v>23490</v>
      </c>
      <c r="V1770">
        <v>152.84399999999999</v>
      </c>
      <c r="W1770">
        <v>0</v>
      </c>
      <c r="X1770">
        <v>0</v>
      </c>
      <c r="Y1770">
        <v>0</v>
      </c>
      <c r="Z1770">
        <v>0.5</v>
      </c>
      <c r="AA1770">
        <v>3.2713093088377692E-3</v>
      </c>
      <c r="AB1770">
        <v>31.3</v>
      </c>
      <c r="AC1770">
        <v>11.780972222222221</v>
      </c>
      <c r="AD1770">
        <v>22.5</v>
      </c>
      <c r="AE1770" s="7"/>
      <c r="AF1770" s="7"/>
      <c r="AG1770" s="7"/>
      <c r="AH1770" s="7"/>
      <c r="AI1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0.21902777777777871</v>
      </c>
      <c r="AJ1770" s="7"/>
      <c r="AK1770" t="s">
        <v>951</v>
      </c>
      <c r="AN1770">
        <f>IFERROR(INT(Table13[[#This Row],[reject_prod]]/Table13[[#This Row],[part_weight]] * 1000), 0)</f>
        <v>26</v>
      </c>
    </row>
    <row r="1771" spans="1:40" s="4" customFormat="1" hidden="1">
      <c r="A1771" s="3">
        <v>46075</v>
      </c>
      <c r="B1771" s="4">
        <v>1</v>
      </c>
      <c r="C1771" s="4">
        <v>16</v>
      </c>
      <c r="D1771" s="4" t="s">
        <v>956</v>
      </c>
      <c r="E1771" s="4" t="s">
        <v>46</v>
      </c>
      <c r="F1771" s="4">
        <v>555979</v>
      </c>
      <c r="G1771" s="9">
        <v>2</v>
      </c>
      <c r="H1771" s="4" t="s">
        <v>52</v>
      </c>
      <c r="I1771" s="4">
        <v>10683785</v>
      </c>
      <c r="J1771" s="4">
        <v>6</v>
      </c>
      <c r="K1771" s="4">
        <v>28</v>
      </c>
      <c r="L1771" s="4">
        <v>28</v>
      </c>
      <c r="M1771" s="4">
        <v>1008</v>
      </c>
      <c r="N1771" s="5">
        <v>100800</v>
      </c>
      <c r="O1771" s="5">
        <v>1512</v>
      </c>
      <c r="P1771" s="5">
        <v>840</v>
      </c>
      <c r="Q1771" s="5">
        <v>6048</v>
      </c>
      <c r="R1771" s="5">
        <v>6720</v>
      </c>
      <c r="S1771" s="4">
        <v>188.16</v>
      </c>
      <c r="T1771" s="5">
        <v>98280</v>
      </c>
      <c r="U1771" s="5">
        <v>2520</v>
      </c>
      <c r="V1771" s="4">
        <v>169.34399999999999</v>
      </c>
      <c r="W1771" s="4">
        <v>0</v>
      </c>
      <c r="X1771" s="4">
        <v>0</v>
      </c>
      <c r="Y1771" s="4">
        <v>0</v>
      </c>
      <c r="Z1771" s="4">
        <v>1.1000000000000001</v>
      </c>
      <c r="AA1771" s="4">
        <v>6.4956538170823893E-3</v>
      </c>
      <c r="AB1771" s="4">
        <v>43.5</v>
      </c>
      <c r="AC1771" s="4">
        <v>12</v>
      </c>
      <c r="AD1771" s="4">
        <v>42</v>
      </c>
      <c r="AE1771" s="8"/>
      <c r="AF1771" s="8"/>
      <c r="AG1771" s="8"/>
      <c r="AH1771" s="8"/>
      <c r="AI177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1" s="8"/>
      <c r="AK1771" s="4" t="s">
        <v>90</v>
      </c>
      <c r="AN1771">
        <f>IFERROR(INT(Table13[[#This Row],[reject_prod]]/Table13[[#This Row],[part_weight]] * 1000), 0)</f>
        <v>39</v>
      </c>
    </row>
    <row r="1772" spans="1:40" hidden="1">
      <c r="A1772" s="1">
        <v>46075</v>
      </c>
      <c r="B1772">
        <v>2</v>
      </c>
      <c r="C1772">
        <v>1</v>
      </c>
      <c r="F1772">
        <v>123456</v>
      </c>
      <c r="G1772" s="6">
        <v>0</v>
      </c>
      <c r="M1772">
        <v>0</v>
      </c>
      <c r="N1772" s="2">
        <v>0</v>
      </c>
      <c r="O1772" s="2">
        <v>0</v>
      </c>
      <c r="P1772" s="2">
        <v>0</v>
      </c>
      <c r="Q1772" s="2"/>
      <c r="R1772" s="2">
        <v>0</v>
      </c>
      <c r="T1772" s="2">
        <v>0</v>
      </c>
      <c r="U1772" s="2"/>
      <c r="X1772">
        <v>0</v>
      </c>
      <c r="Z1772">
        <v>0</v>
      </c>
      <c r="AB1772">
        <v>0</v>
      </c>
      <c r="AC1772">
        <v>0</v>
      </c>
      <c r="AD1772">
        <v>0</v>
      </c>
      <c r="AE1772" s="7"/>
      <c r="AF1772" s="7"/>
      <c r="AG1772" s="7"/>
      <c r="AH1772" s="7"/>
      <c r="AI1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2" s="7">
        <v>12</v>
      </c>
      <c r="AK1772" t="s">
        <v>116</v>
      </c>
      <c r="AN1772">
        <f>IFERROR(INT(Table13[[#This Row],[reject_prod]]/Table13[[#This Row],[part_weight]] * 1000), 0)</f>
        <v>0</v>
      </c>
    </row>
    <row r="1773" spans="1:40" hidden="1">
      <c r="A1773" s="1">
        <v>46075</v>
      </c>
      <c r="B1773">
        <v>2</v>
      </c>
      <c r="C1773">
        <v>2</v>
      </c>
      <c r="D1773" t="s">
        <v>69</v>
      </c>
      <c r="E1773" t="s">
        <v>34</v>
      </c>
      <c r="F1773">
        <v>543590</v>
      </c>
      <c r="G1773" s="6">
        <v>0</v>
      </c>
      <c r="H1773" t="s">
        <v>913</v>
      </c>
      <c r="I1773">
        <v>10687749</v>
      </c>
      <c r="J1773">
        <v>4</v>
      </c>
      <c r="K1773">
        <v>19</v>
      </c>
      <c r="L1773">
        <v>19</v>
      </c>
      <c r="M1773">
        <v>2177</v>
      </c>
      <c r="N1773" s="2">
        <v>132440</v>
      </c>
      <c r="O1773" s="2">
        <v>2464</v>
      </c>
      <c r="P1773" s="2">
        <v>3696</v>
      </c>
      <c r="Q1773" s="2">
        <v>8708</v>
      </c>
      <c r="R1773" s="2">
        <v>7392</v>
      </c>
      <c r="S1773">
        <v>140.44800000000001</v>
      </c>
      <c r="T1773" s="2">
        <v>11088</v>
      </c>
      <c r="U1773" s="2">
        <v>121352</v>
      </c>
      <c r="V1773">
        <v>165.452</v>
      </c>
      <c r="W1773">
        <v>0</v>
      </c>
      <c r="X1773">
        <v>0</v>
      </c>
      <c r="Y1773">
        <v>0</v>
      </c>
      <c r="Z1773">
        <v>1.5</v>
      </c>
      <c r="AA1773">
        <v>9.0660735439885894E-3</v>
      </c>
      <c r="AB1773">
        <v>19.7</v>
      </c>
      <c r="AC1773">
        <v>11.913027777777778</v>
      </c>
      <c r="AD1773">
        <v>18.72</v>
      </c>
      <c r="AE1773" s="7"/>
      <c r="AF1773" s="7"/>
      <c r="AG1773" s="7"/>
      <c r="AH1773" s="7"/>
      <c r="AI1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8.6972222222222229E-2</v>
      </c>
      <c r="AJ1773" s="7"/>
      <c r="AK1773" t="s">
        <v>193</v>
      </c>
      <c r="AN1773">
        <f>IFERROR(INT(Table13[[#This Row],[reject_prod]]/Table13[[#This Row],[part_weight]] * 1000), 0)</f>
        <v>78</v>
      </c>
    </row>
    <row r="1774" spans="1:40" hidden="1">
      <c r="A1774" s="1">
        <v>46075</v>
      </c>
      <c r="B1774">
        <v>2</v>
      </c>
      <c r="C1774">
        <v>3</v>
      </c>
      <c r="D1774" t="s">
        <v>112</v>
      </c>
      <c r="E1774" t="s">
        <v>34</v>
      </c>
      <c r="F1774">
        <v>442034</v>
      </c>
      <c r="G1774" s="6">
        <v>0</v>
      </c>
      <c r="H1774" t="s">
        <v>37</v>
      </c>
      <c r="I1774">
        <v>10685634</v>
      </c>
      <c r="J1774">
        <v>4</v>
      </c>
      <c r="K1774">
        <v>23</v>
      </c>
      <c r="L1774">
        <v>23</v>
      </c>
      <c r="M1774">
        <v>1446</v>
      </c>
      <c r="N1774" s="2">
        <v>139776</v>
      </c>
      <c r="O1774" s="2">
        <v>384</v>
      </c>
      <c r="P1774" s="2">
        <v>1536</v>
      </c>
      <c r="Q1774" s="2">
        <v>5784</v>
      </c>
      <c r="R1774" s="2">
        <v>4608</v>
      </c>
      <c r="S1774">
        <v>105.98399999999999</v>
      </c>
      <c r="T1774" s="2">
        <v>52224</v>
      </c>
      <c r="U1774" s="2">
        <v>87552</v>
      </c>
      <c r="V1774">
        <v>133.03200000000001</v>
      </c>
      <c r="W1774">
        <v>0</v>
      </c>
      <c r="X1774">
        <v>0</v>
      </c>
      <c r="Y1774">
        <v>0</v>
      </c>
      <c r="Z1774">
        <v>0.5</v>
      </c>
      <c r="AA1774">
        <v>3.7584941968849595E-3</v>
      </c>
      <c r="AB1774">
        <v>28.5</v>
      </c>
      <c r="AC1774">
        <v>11.447500000000002</v>
      </c>
      <c r="AD1774">
        <v>22</v>
      </c>
      <c r="AE1774" s="7"/>
      <c r="AF1774" s="7"/>
      <c r="AG1774" s="7"/>
      <c r="AH1774" s="7"/>
      <c r="AI1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0.55249999999999844</v>
      </c>
      <c r="AJ1774" s="7"/>
      <c r="AK1774" t="s">
        <v>214</v>
      </c>
      <c r="AN1774">
        <f>IFERROR(INT(Table13[[#This Row],[reject_prod]]/Table13[[#This Row],[part_weight]] * 1000), 0)</f>
        <v>21</v>
      </c>
    </row>
    <row r="1775" spans="1:40" hidden="1">
      <c r="A1775" s="1">
        <v>46075</v>
      </c>
      <c r="B1775">
        <v>2</v>
      </c>
      <c r="C1775">
        <v>4</v>
      </c>
      <c r="D1775" t="s">
        <v>152</v>
      </c>
      <c r="E1775" t="s">
        <v>34</v>
      </c>
      <c r="F1775">
        <v>451191</v>
      </c>
      <c r="G1775" s="6">
        <v>0</v>
      </c>
      <c r="H1775" t="s">
        <v>946</v>
      </c>
      <c r="I1775">
        <v>10687751</v>
      </c>
      <c r="J1775">
        <v>4</v>
      </c>
      <c r="K1775">
        <v>29</v>
      </c>
      <c r="L1775">
        <v>29</v>
      </c>
      <c r="M1775">
        <v>1701</v>
      </c>
      <c r="N1775" s="2">
        <v>73440</v>
      </c>
      <c r="O1775" s="2">
        <v>459</v>
      </c>
      <c r="P1775" s="2">
        <v>612</v>
      </c>
      <c r="Q1775" s="2">
        <v>6804</v>
      </c>
      <c r="R1775" s="2">
        <v>6426</v>
      </c>
      <c r="S1775">
        <v>186.35400000000001</v>
      </c>
      <c r="T1775" s="2">
        <v>16218</v>
      </c>
      <c r="U1775" s="2">
        <v>57222</v>
      </c>
      <c r="V1775">
        <v>197.316</v>
      </c>
      <c r="W1775">
        <v>0</v>
      </c>
      <c r="Y1775">
        <v>0</v>
      </c>
      <c r="Z1775">
        <v>6.5</v>
      </c>
      <c r="AA1775">
        <v>3.2942082750511865E-2</v>
      </c>
      <c r="AB1775">
        <v>25.1</v>
      </c>
      <c r="AC1775">
        <v>11.85975</v>
      </c>
      <c r="AD1775">
        <v>24</v>
      </c>
      <c r="AE1775" s="7"/>
      <c r="AF1775" s="7"/>
      <c r="AG1775" s="7"/>
      <c r="AH1775" s="7"/>
      <c r="AI1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0.14024999999999999</v>
      </c>
      <c r="AJ1775" s="7"/>
      <c r="AK1775" t="s">
        <v>75</v>
      </c>
      <c r="AN1775">
        <f>IFERROR(INT(Table13[[#This Row],[reject_prod]]/Table13[[#This Row],[part_weight]] * 1000), 0)</f>
        <v>224</v>
      </c>
    </row>
    <row r="1776" spans="1:40" hidden="1">
      <c r="A1776" s="1">
        <v>46075</v>
      </c>
      <c r="B1776">
        <v>2</v>
      </c>
      <c r="C1776">
        <v>5</v>
      </c>
      <c r="D1776" t="s">
        <v>717</v>
      </c>
      <c r="E1776" t="s">
        <v>34</v>
      </c>
      <c r="F1776">
        <v>597507</v>
      </c>
      <c r="G1776" s="6">
        <v>0</v>
      </c>
      <c r="H1776" t="s">
        <v>279</v>
      </c>
      <c r="I1776">
        <v>10687752</v>
      </c>
      <c r="J1776">
        <v>4</v>
      </c>
      <c r="K1776">
        <v>23</v>
      </c>
      <c r="L1776">
        <v>23</v>
      </c>
      <c r="M1776">
        <v>1974</v>
      </c>
      <c r="N1776" s="2">
        <v>86240</v>
      </c>
      <c r="O1776" s="2">
        <v>0</v>
      </c>
      <c r="P1776" s="2">
        <v>154</v>
      </c>
      <c r="Q1776" s="2">
        <v>7896</v>
      </c>
      <c r="R1776" s="2">
        <v>7546</v>
      </c>
      <c r="S1776">
        <v>173.55799999999999</v>
      </c>
      <c r="T1776" s="2">
        <v>54898</v>
      </c>
      <c r="U1776" s="2">
        <v>31342</v>
      </c>
      <c r="V1776">
        <v>181.608</v>
      </c>
      <c r="W1776">
        <v>0</v>
      </c>
      <c r="X1776">
        <v>0</v>
      </c>
      <c r="Y1776">
        <v>0</v>
      </c>
      <c r="Z1776">
        <v>4.5</v>
      </c>
      <c r="AA1776">
        <v>2.4778644112594159E-2</v>
      </c>
      <c r="AB1776">
        <v>21.7</v>
      </c>
      <c r="AC1776">
        <v>11.898833333333334</v>
      </c>
      <c r="AD1776">
        <v>22</v>
      </c>
      <c r="AE1776" s="7"/>
      <c r="AF1776" s="7"/>
      <c r="AG1776" s="7"/>
      <c r="AH1776" s="7"/>
      <c r="AI1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0.10116666666666596</v>
      </c>
      <c r="AJ1776" s="7"/>
      <c r="AK1776" t="s">
        <v>937</v>
      </c>
      <c r="AN1776">
        <f>IFERROR(INT(Table13[[#This Row],[reject_prod]]/Table13[[#This Row],[part_weight]] * 1000), 0)</f>
        <v>195</v>
      </c>
    </row>
    <row r="1777" spans="1:40" hidden="1">
      <c r="A1777" s="1">
        <v>46075</v>
      </c>
      <c r="B1777">
        <v>2</v>
      </c>
      <c r="C1777">
        <v>6</v>
      </c>
      <c r="D1777" t="s">
        <v>43</v>
      </c>
      <c r="E1777" t="s">
        <v>41</v>
      </c>
      <c r="F1777">
        <v>620994</v>
      </c>
      <c r="G1777" s="6">
        <v>0</v>
      </c>
      <c r="H1777" t="s">
        <v>42</v>
      </c>
      <c r="I1777">
        <v>10686806</v>
      </c>
      <c r="J1777">
        <v>4</v>
      </c>
      <c r="K1777">
        <v>32.74</v>
      </c>
      <c r="L1777">
        <v>33</v>
      </c>
      <c r="M1777">
        <v>1784</v>
      </c>
      <c r="N1777" s="2">
        <v>104192</v>
      </c>
      <c r="O1777" s="2">
        <v>296</v>
      </c>
      <c r="P1777" s="2">
        <v>296</v>
      </c>
      <c r="Q1777" s="2">
        <v>7136</v>
      </c>
      <c r="R1777" s="2">
        <v>7104</v>
      </c>
      <c r="S1777">
        <v>234.43199999999999</v>
      </c>
      <c r="T1777" s="2">
        <v>89096</v>
      </c>
      <c r="U1777" s="2">
        <v>15096</v>
      </c>
      <c r="V1777">
        <v>235.488</v>
      </c>
      <c r="W1777">
        <v>0</v>
      </c>
      <c r="X1777">
        <v>0</v>
      </c>
      <c r="Y1777">
        <v>0</v>
      </c>
      <c r="Z1777">
        <v>1.5</v>
      </c>
      <c r="AA1777">
        <v>6.3697513249082755E-3</v>
      </c>
      <c r="AB1777">
        <v>23.9</v>
      </c>
      <c r="AC1777">
        <v>11.843777777777778</v>
      </c>
      <c r="AD1777">
        <v>22</v>
      </c>
      <c r="AE1777" s="7"/>
      <c r="AF1777" s="7"/>
      <c r="AG1777" s="7"/>
      <c r="AH1777" s="7"/>
      <c r="AI1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0.15622222222222248</v>
      </c>
      <c r="AJ1777" s="7"/>
      <c r="AK1777" t="s">
        <v>214</v>
      </c>
      <c r="AN1777">
        <f>IFERROR(INT(Table13[[#This Row],[reject_prod]]/Table13[[#This Row],[part_weight]] * 1000), 0)</f>
        <v>45</v>
      </c>
    </row>
    <row r="1778" spans="1:40" hidden="1">
      <c r="A1778" s="1">
        <v>46075</v>
      </c>
      <c r="B1778">
        <v>2</v>
      </c>
      <c r="C1778">
        <v>7</v>
      </c>
      <c r="D1778" t="s">
        <v>957</v>
      </c>
      <c r="E1778" t="s">
        <v>34</v>
      </c>
      <c r="F1778">
        <v>324165</v>
      </c>
      <c r="G1778" s="6">
        <v>0</v>
      </c>
      <c r="H1778" t="s">
        <v>44</v>
      </c>
      <c r="I1778">
        <v>10687137</v>
      </c>
      <c r="J1778">
        <v>4</v>
      </c>
      <c r="K1778">
        <v>32.56</v>
      </c>
      <c r="L1778">
        <v>33</v>
      </c>
      <c r="M1778">
        <v>2387</v>
      </c>
      <c r="N1778" s="2">
        <v>104192</v>
      </c>
      <c r="O1778" s="2">
        <v>2664</v>
      </c>
      <c r="P1778" s="2">
        <v>5032</v>
      </c>
      <c r="Q1778" s="2">
        <v>9548</v>
      </c>
      <c r="R1778" s="2">
        <v>7104</v>
      </c>
      <c r="S1778">
        <v>234.43199999999999</v>
      </c>
      <c r="T1778" s="2">
        <v>33448</v>
      </c>
      <c r="U1778" s="2">
        <v>70744</v>
      </c>
      <c r="V1778">
        <v>315.084</v>
      </c>
      <c r="W1778">
        <v>0</v>
      </c>
      <c r="X1778">
        <v>0</v>
      </c>
      <c r="Y1778">
        <v>0</v>
      </c>
      <c r="Z1778">
        <v>2.5</v>
      </c>
      <c r="AA1778">
        <v>7.9343920986149723E-3</v>
      </c>
      <c r="AB1778">
        <v>18.03</v>
      </c>
      <c r="AC1778">
        <v>11.954891666666667</v>
      </c>
      <c r="AD1778">
        <v>22</v>
      </c>
      <c r="AE1778" s="7"/>
      <c r="AF1778" s="7"/>
      <c r="AG1778" s="7"/>
      <c r="AH1778" s="7"/>
      <c r="AI1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4.5108333333333306E-2</v>
      </c>
      <c r="AJ1778" s="7"/>
      <c r="AK1778" t="s">
        <v>949</v>
      </c>
      <c r="AN1778">
        <f>IFERROR(INT(Table13[[#This Row],[reject_prod]]/Table13[[#This Row],[part_weight]] * 1000), 0)</f>
        <v>75</v>
      </c>
    </row>
    <row r="1779" spans="1:40" hidden="1">
      <c r="A1779" s="1">
        <v>46075</v>
      </c>
      <c r="B1779">
        <v>2</v>
      </c>
      <c r="C1779">
        <v>8</v>
      </c>
      <c r="F1779">
        <v>123456</v>
      </c>
      <c r="G1779" s="6">
        <v>0</v>
      </c>
      <c r="M1779">
        <v>0</v>
      </c>
      <c r="N1779" s="2">
        <v>0</v>
      </c>
      <c r="O1779" s="2">
        <v>0</v>
      </c>
      <c r="P1779" s="2">
        <v>0</v>
      </c>
      <c r="Q1779" s="2"/>
      <c r="R1779" s="2">
        <v>0</v>
      </c>
      <c r="T1779" s="2">
        <v>0</v>
      </c>
      <c r="U1779" s="2"/>
      <c r="X1779">
        <v>0</v>
      </c>
      <c r="Z1779">
        <v>0</v>
      </c>
      <c r="AB1779">
        <v>0</v>
      </c>
      <c r="AC1779">
        <v>0</v>
      </c>
      <c r="AD1779">
        <v>0</v>
      </c>
      <c r="AE1779" s="7"/>
      <c r="AF1779" s="7"/>
      <c r="AG1779" s="7"/>
      <c r="AH1779" s="7"/>
      <c r="AI1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9" s="7">
        <v>12</v>
      </c>
      <c r="AK1779" t="s">
        <v>116</v>
      </c>
      <c r="AN1779">
        <f>IFERROR(INT(Table13[[#This Row],[reject_prod]]/Table13[[#This Row],[part_weight]] * 1000), 0)</f>
        <v>0</v>
      </c>
    </row>
    <row r="1780" spans="1:40" hidden="1">
      <c r="A1780" s="1">
        <v>46075</v>
      </c>
      <c r="B1780">
        <v>2</v>
      </c>
      <c r="C1780">
        <v>9</v>
      </c>
      <c r="D1780" t="s">
        <v>143</v>
      </c>
      <c r="E1780" t="s">
        <v>46</v>
      </c>
      <c r="F1780">
        <v>586276</v>
      </c>
      <c r="G1780" s="6">
        <v>1</v>
      </c>
      <c r="H1780" t="s">
        <v>47</v>
      </c>
      <c r="I1780">
        <v>10686684</v>
      </c>
      <c r="J1780">
        <v>6</v>
      </c>
      <c r="K1780">
        <v>12.3</v>
      </c>
      <c r="L1780">
        <v>12.3</v>
      </c>
      <c r="M1780">
        <v>1627</v>
      </c>
      <c r="N1780" s="2">
        <v>162000</v>
      </c>
      <c r="O1780" s="2">
        <v>405</v>
      </c>
      <c r="P1780" s="2">
        <v>2025</v>
      </c>
      <c r="Q1780" s="2">
        <v>9762</v>
      </c>
      <c r="R1780" s="2">
        <v>8100</v>
      </c>
      <c r="S1780">
        <v>99.63</v>
      </c>
      <c r="T1780" s="2">
        <v>74925</v>
      </c>
      <c r="U1780" s="2">
        <v>87075</v>
      </c>
      <c r="V1780">
        <v>120.07260000000001</v>
      </c>
      <c r="W1780">
        <v>0</v>
      </c>
      <c r="X1780">
        <v>0</v>
      </c>
      <c r="Y1780">
        <v>0</v>
      </c>
      <c r="Z1780">
        <v>0.5</v>
      </c>
      <c r="AA1780">
        <v>4.1641473575153697E-3</v>
      </c>
      <c r="AB1780">
        <v>26.5</v>
      </c>
      <c r="AC1780">
        <v>11.976527777777777</v>
      </c>
      <c r="AD1780">
        <v>26</v>
      </c>
      <c r="AE1780" s="7"/>
      <c r="AF1780" s="7"/>
      <c r="AG1780" s="7"/>
      <c r="AH1780" s="7"/>
      <c r="AI1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780" s="7"/>
      <c r="AK1780" t="s">
        <v>51</v>
      </c>
      <c r="AN1780">
        <f>IFERROR(INT(Table13[[#This Row],[reject_prod]]/Table13[[#This Row],[part_weight]] * 1000), 0)</f>
        <v>40</v>
      </c>
    </row>
    <row r="1781" spans="1:40" hidden="1">
      <c r="A1781" s="1">
        <v>46075</v>
      </c>
      <c r="B1781">
        <v>2</v>
      </c>
      <c r="C1781">
        <v>10</v>
      </c>
      <c r="D1781" t="s">
        <v>108</v>
      </c>
      <c r="E1781" t="s">
        <v>34</v>
      </c>
      <c r="F1781">
        <v>323092</v>
      </c>
      <c r="G1781" s="6">
        <v>0</v>
      </c>
      <c r="H1781" t="s">
        <v>377</v>
      </c>
      <c r="I1781">
        <v>10686686</v>
      </c>
      <c r="J1781">
        <v>4</v>
      </c>
      <c r="K1781">
        <v>48.9</v>
      </c>
      <c r="L1781">
        <v>48.9</v>
      </c>
      <c r="M1781">
        <v>1373</v>
      </c>
      <c r="N1781" s="2">
        <v>37800</v>
      </c>
      <c r="O1781" s="2">
        <v>315</v>
      </c>
      <c r="P1781" s="2">
        <v>2100</v>
      </c>
      <c r="Q1781" s="2">
        <v>5492</v>
      </c>
      <c r="R1781" s="2">
        <v>3675</v>
      </c>
      <c r="S1781">
        <v>179.70750000000001</v>
      </c>
      <c r="T1781" s="2">
        <v>28875</v>
      </c>
      <c r="U1781" s="2">
        <v>8925</v>
      </c>
      <c r="V1781">
        <v>268.55879999999996</v>
      </c>
      <c r="W1781">
        <v>0</v>
      </c>
      <c r="X1781">
        <v>0</v>
      </c>
      <c r="Y1781">
        <v>0</v>
      </c>
      <c r="Z1781">
        <v>1.5</v>
      </c>
      <c r="AA1781">
        <v>5.5853690141600279E-3</v>
      </c>
      <c r="AB1781">
        <v>30.75</v>
      </c>
      <c r="AC1781">
        <v>11.727708333333332</v>
      </c>
      <c r="AD1781">
        <v>27.6</v>
      </c>
      <c r="AE1781" s="7"/>
      <c r="AF1781" s="7"/>
      <c r="AG1781" s="7"/>
      <c r="AH1781" s="7"/>
      <c r="AI1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0.27229166666666771</v>
      </c>
      <c r="AJ1781" s="7"/>
      <c r="AK1781" t="s">
        <v>75</v>
      </c>
      <c r="AN1781">
        <f>IFERROR(INT(Table13[[#This Row],[reject_prod]]/Table13[[#This Row],[part_weight]] * 1000), 0)</f>
        <v>30</v>
      </c>
    </row>
    <row r="1782" spans="1:40" hidden="1">
      <c r="A1782" s="1">
        <v>46075</v>
      </c>
      <c r="B1782">
        <v>2</v>
      </c>
      <c r="C1782">
        <v>11</v>
      </c>
      <c r="D1782" t="s">
        <v>61</v>
      </c>
      <c r="E1782" t="s">
        <v>46</v>
      </c>
      <c r="F1782">
        <v>552181</v>
      </c>
      <c r="G1782" s="6">
        <v>1</v>
      </c>
      <c r="H1782" t="s">
        <v>49</v>
      </c>
      <c r="I1782">
        <v>10686673</v>
      </c>
      <c r="J1782">
        <v>6</v>
      </c>
      <c r="K1782">
        <v>18.8</v>
      </c>
      <c r="L1782">
        <v>18.8</v>
      </c>
      <c r="M1782">
        <v>1516</v>
      </c>
      <c r="N1782" s="2">
        <v>108000</v>
      </c>
      <c r="O1782" s="2">
        <v>2160</v>
      </c>
      <c r="P1782" s="2">
        <v>270</v>
      </c>
      <c r="Q1782" s="2">
        <v>9096</v>
      </c>
      <c r="R1782" s="2">
        <v>10800</v>
      </c>
      <c r="S1782">
        <v>203.04</v>
      </c>
      <c r="T1782" s="2">
        <v>27270</v>
      </c>
      <c r="U1782" s="2">
        <v>80730</v>
      </c>
      <c r="V1782">
        <v>171.00480000000002</v>
      </c>
      <c r="W1782">
        <v>0</v>
      </c>
      <c r="X1782">
        <v>0</v>
      </c>
      <c r="Y1782">
        <v>0</v>
      </c>
      <c r="Z1782">
        <v>3.5</v>
      </c>
      <c r="AA1782">
        <v>2.0467261737682214E-2</v>
      </c>
      <c r="AB1782">
        <v>28.46</v>
      </c>
      <c r="AC1782">
        <v>11.984822222222224</v>
      </c>
      <c r="AD1782">
        <v>27</v>
      </c>
      <c r="AE1782" s="7"/>
      <c r="AF1782" s="7"/>
      <c r="AG1782" s="7"/>
      <c r="AH1782" s="7"/>
      <c r="AI1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1.5177777777775958E-2</v>
      </c>
      <c r="AJ1782" s="7"/>
      <c r="AK1782" t="s">
        <v>51</v>
      </c>
      <c r="AN1782">
        <f>IFERROR(INT(Table13[[#This Row],[reject_prod]]/Table13[[#This Row],[part_weight]] * 1000), 0)</f>
        <v>186</v>
      </c>
    </row>
    <row r="1783" spans="1:40" hidden="1">
      <c r="A1783" s="1">
        <v>46075</v>
      </c>
      <c r="B1783">
        <v>2</v>
      </c>
      <c r="C1783">
        <v>12</v>
      </c>
      <c r="F1783">
        <v>123456</v>
      </c>
      <c r="G1783" s="6">
        <v>0</v>
      </c>
      <c r="M1783">
        <v>0</v>
      </c>
      <c r="N1783" s="2">
        <v>0</v>
      </c>
      <c r="O1783" s="2">
        <v>0</v>
      </c>
      <c r="P1783" s="2">
        <v>0</v>
      </c>
      <c r="Q1783" s="2"/>
      <c r="R1783" s="2">
        <v>0</v>
      </c>
      <c r="T1783" s="2">
        <v>0</v>
      </c>
      <c r="U1783" s="2"/>
      <c r="X1783">
        <v>0</v>
      </c>
      <c r="Z1783">
        <v>0</v>
      </c>
      <c r="AB1783">
        <v>0</v>
      </c>
      <c r="AC1783">
        <v>0</v>
      </c>
      <c r="AD1783">
        <v>0</v>
      </c>
      <c r="AE1783" s="7"/>
      <c r="AF1783" s="7"/>
      <c r="AG1783" s="7"/>
      <c r="AH1783" s="7"/>
      <c r="AI1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83" s="7">
        <v>12</v>
      </c>
      <c r="AK1783" t="s">
        <v>116</v>
      </c>
      <c r="AN1783">
        <f>IFERROR(INT(Table13[[#This Row],[reject_prod]]/Table13[[#This Row],[part_weight]] * 1000), 0)</f>
        <v>0</v>
      </c>
    </row>
    <row r="1784" spans="1:40" hidden="1">
      <c r="A1784" s="1">
        <v>46075</v>
      </c>
      <c r="B1784">
        <v>2</v>
      </c>
      <c r="C1784">
        <v>13</v>
      </c>
      <c r="D1784" t="s">
        <v>61</v>
      </c>
      <c r="E1784" t="s">
        <v>46</v>
      </c>
      <c r="F1784">
        <v>586276</v>
      </c>
      <c r="G1784" s="6">
        <v>2</v>
      </c>
      <c r="H1784" t="s">
        <v>47</v>
      </c>
      <c r="I1784">
        <v>10686677</v>
      </c>
      <c r="J1784">
        <v>6</v>
      </c>
      <c r="K1784">
        <v>12.3</v>
      </c>
      <c r="L1784">
        <v>12.3</v>
      </c>
      <c r="M1784">
        <v>1629</v>
      </c>
      <c r="N1784" s="2">
        <v>162000</v>
      </c>
      <c r="O1784" s="2">
        <v>2835</v>
      </c>
      <c r="P1784" s="2">
        <v>4455</v>
      </c>
      <c r="Q1784" s="2">
        <v>9774</v>
      </c>
      <c r="R1784" s="2">
        <v>8100</v>
      </c>
      <c r="S1784">
        <v>99.63</v>
      </c>
      <c r="T1784" s="2">
        <v>44955</v>
      </c>
      <c r="U1784" s="2">
        <v>117045</v>
      </c>
      <c r="V1784">
        <v>120.22020000000001</v>
      </c>
      <c r="W1784">
        <v>0</v>
      </c>
      <c r="X1784">
        <v>0</v>
      </c>
      <c r="Y1784">
        <v>0</v>
      </c>
      <c r="Z1784">
        <v>0.5</v>
      </c>
      <c r="AA1784">
        <v>4.159034837739415E-3</v>
      </c>
      <c r="AB1784">
        <v>26.2</v>
      </c>
      <c r="AC1784">
        <v>11.855500000000001</v>
      </c>
      <c r="AD1784">
        <v>26</v>
      </c>
      <c r="AE1784" s="7"/>
      <c r="AF1784" s="7"/>
      <c r="AG1784" s="7"/>
      <c r="AH1784" s="7"/>
      <c r="AI1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0.14449999999999896</v>
      </c>
      <c r="AJ1784" s="7"/>
      <c r="AK1784" t="s">
        <v>51</v>
      </c>
      <c r="AN1784">
        <f>IFERROR(INT(Table13[[#This Row],[reject_prod]]/Table13[[#This Row],[part_weight]] * 1000), 0)</f>
        <v>40</v>
      </c>
    </row>
    <row r="1785" spans="1:40" hidden="1">
      <c r="A1785" s="1">
        <v>46075</v>
      </c>
      <c r="B1785">
        <v>2</v>
      </c>
      <c r="C1785">
        <v>14</v>
      </c>
      <c r="D1785" t="s">
        <v>418</v>
      </c>
      <c r="E1785" t="s">
        <v>34</v>
      </c>
      <c r="F1785">
        <v>541381</v>
      </c>
      <c r="G1785" s="6">
        <v>0</v>
      </c>
      <c r="H1785" t="s">
        <v>804</v>
      </c>
      <c r="I1785">
        <v>10686678</v>
      </c>
      <c r="J1785">
        <v>4</v>
      </c>
      <c r="K1785">
        <v>55</v>
      </c>
      <c r="L1785">
        <v>55</v>
      </c>
      <c r="M1785">
        <v>1519</v>
      </c>
      <c r="N1785" s="2">
        <v>84000</v>
      </c>
      <c r="O1785" s="2">
        <v>350</v>
      </c>
      <c r="P1785" s="2">
        <v>525</v>
      </c>
      <c r="Q1785" s="2">
        <v>6076</v>
      </c>
      <c r="R1785" s="2">
        <v>5600</v>
      </c>
      <c r="S1785">
        <v>308</v>
      </c>
      <c r="T1785" s="2">
        <v>67025</v>
      </c>
      <c r="U1785" s="2">
        <v>16975</v>
      </c>
      <c r="V1785">
        <v>334.18</v>
      </c>
      <c r="W1785">
        <v>0</v>
      </c>
      <c r="X1785">
        <v>0</v>
      </c>
      <c r="Y1785">
        <v>0</v>
      </c>
      <c r="Z1785">
        <v>16.5</v>
      </c>
      <c r="AA1785">
        <v>4.9374588545095459E-2</v>
      </c>
      <c r="AB1785">
        <v>27.81</v>
      </c>
      <c r="AC1785">
        <v>11.734274999999998</v>
      </c>
      <c r="AD1785">
        <v>30.08</v>
      </c>
      <c r="AE1785" s="7"/>
      <c r="AF1785" s="7"/>
      <c r="AG1785" s="7"/>
      <c r="AH1785" s="7"/>
      <c r="AI1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0.26572500000000154</v>
      </c>
      <c r="AJ1785" s="7"/>
      <c r="AK1785" t="s">
        <v>608</v>
      </c>
      <c r="AN1785">
        <f>IFERROR(INT(Table13[[#This Row],[reject_prod]]/Table13[[#This Row],[part_weight]] * 1000), 0)</f>
        <v>300</v>
      </c>
    </row>
    <row r="1786" spans="1:40" hidden="1">
      <c r="A1786" s="1">
        <v>46075</v>
      </c>
      <c r="B1786">
        <v>2</v>
      </c>
      <c r="C1786">
        <v>15</v>
      </c>
      <c r="D1786" t="s">
        <v>61</v>
      </c>
      <c r="E1786" t="s">
        <v>46</v>
      </c>
      <c r="F1786">
        <v>550076</v>
      </c>
      <c r="G1786" s="6">
        <v>0</v>
      </c>
      <c r="H1786" t="s">
        <v>857</v>
      </c>
      <c r="I1786">
        <v>10687863</v>
      </c>
      <c r="J1786">
        <v>6</v>
      </c>
      <c r="K1786">
        <v>18.8</v>
      </c>
      <c r="L1786">
        <v>18.8</v>
      </c>
      <c r="M1786">
        <v>1367</v>
      </c>
      <c r="N1786" s="2">
        <v>108000</v>
      </c>
      <c r="O1786" s="2">
        <v>3510</v>
      </c>
      <c r="P1786" s="2">
        <v>810</v>
      </c>
      <c r="Q1786" s="2">
        <v>8202</v>
      </c>
      <c r="R1786" s="2">
        <v>10800</v>
      </c>
      <c r="S1786">
        <v>203.04</v>
      </c>
      <c r="T1786" s="2">
        <v>92610</v>
      </c>
      <c r="U1786" s="2">
        <v>15390</v>
      </c>
      <c r="V1786">
        <v>154.19759999999999</v>
      </c>
      <c r="W1786">
        <v>0</v>
      </c>
      <c r="X1786">
        <v>0</v>
      </c>
      <c r="Y1786">
        <v>0</v>
      </c>
      <c r="Z1786">
        <v>2</v>
      </c>
      <c r="AA1786">
        <v>1.2970370485662554E-2</v>
      </c>
      <c r="AB1786">
        <v>31.3</v>
      </c>
      <c r="AC1786">
        <v>11.885305555555554</v>
      </c>
      <c r="AD1786">
        <v>22.5</v>
      </c>
      <c r="AE1786" s="7"/>
      <c r="AF1786" s="7"/>
      <c r="AG1786" s="7"/>
      <c r="AH1786" s="7"/>
      <c r="AI1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0.11469444444444576</v>
      </c>
      <c r="AJ1786" s="7"/>
      <c r="AK1786" t="s">
        <v>51</v>
      </c>
      <c r="AN1786">
        <f>IFERROR(INT(Table13[[#This Row],[reject_prod]]/Table13[[#This Row],[part_weight]] * 1000), 0)</f>
        <v>106</v>
      </c>
    </row>
    <row r="1787" spans="1:40" hidden="1">
      <c r="A1787" s="1">
        <v>46075</v>
      </c>
      <c r="B1787">
        <v>2</v>
      </c>
      <c r="C1787">
        <v>16</v>
      </c>
      <c r="D1787" t="s">
        <v>40</v>
      </c>
      <c r="E1787" t="s">
        <v>46</v>
      </c>
      <c r="F1787">
        <v>555979</v>
      </c>
      <c r="G1787" s="6">
        <v>2</v>
      </c>
      <c r="H1787" t="s">
        <v>52</v>
      </c>
      <c r="I1787">
        <v>10683785</v>
      </c>
      <c r="J1787">
        <v>6</v>
      </c>
      <c r="K1787">
        <v>28</v>
      </c>
      <c r="L1787">
        <v>28</v>
      </c>
      <c r="M1787">
        <v>426</v>
      </c>
      <c r="N1787" s="2">
        <v>100800</v>
      </c>
      <c r="O1787" s="2">
        <v>840</v>
      </c>
      <c r="P1787" s="2">
        <v>0</v>
      </c>
      <c r="Q1787" s="2">
        <v>2556</v>
      </c>
      <c r="R1787" s="2">
        <v>3360</v>
      </c>
      <c r="S1787">
        <v>94.08</v>
      </c>
      <c r="T1787" s="2">
        <v>100800</v>
      </c>
      <c r="U1787" s="2">
        <v>0</v>
      </c>
      <c r="V1787">
        <v>71.567999999999998</v>
      </c>
      <c r="W1787">
        <v>0</v>
      </c>
      <c r="X1787">
        <v>0</v>
      </c>
      <c r="Y1787">
        <v>0</v>
      </c>
      <c r="Z1787">
        <v>1</v>
      </c>
      <c r="AA1787">
        <v>1.3972725240330875E-2</v>
      </c>
      <c r="AB1787">
        <v>43.2</v>
      </c>
      <c r="AC1787">
        <v>5.1120000000000001</v>
      </c>
      <c r="AD1787">
        <v>42</v>
      </c>
      <c r="AE1787" s="7"/>
      <c r="AF1787" s="7"/>
      <c r="AG1787" s="7"/>
      <c r="AH1787" s="7"/>
      <c r="AI1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6.8879999999999999</v>
      </c>
      <c r="AJ1787" s="7"/>
      <c r="AK1787" t="s">
        <v>51</v>
      </c>
      <c r="AN1787">
        <f>IFERROR(INT(Table13[[#This Row],[reject_prod]]/Table13[[#This Row],[part_weight]] * 1000), 0)</f>
        <v>35</v>
      </c>
    </row>
    <row r="1788" spans="1:40" s="4" customFormat="1" hidden="1">
      <c r="A1788" s="3">
        <v>46075</v>
      </c>
      <c r="B1788" s="4">
        <v>2</v>
      </c>
      <c r="C1788" s="4">
        <v>16</v>
      </c>
      <c r="D1788" s="4" t="s">
        <v>40</v>
      </c>
      <c r="E1788" s="4" t="s">
        <v>46</v>
      </c>
      <c r="F1788" s="4">
        <v>555979</v>
      </c>
      <c r="G1788" s="9">
        <v>2</v>
      </c>
      <c r="H1788" s="4" t="s">
        <v>52</v>
      </c>
      <c r="I1788" s="4">
        <v>10686701</v>
      </c>
      <c r="J1788" s="4">
        <v>6</v>
      </c>
      <c r="K1788" s="4">
        <v>28</v>
      </c>
      <c r="L1788" s="4">
        <v>28</v>
      </c>
      <c r="M1788" s="4">
        <v>560</v>
      </c>
      <c r="N1788" s="5">
        <v>100800</v>
      </c>
      <c r="O1788" s="5">
        <v>0</v>
      </c>
      <c r="P1788" s="5">
        <v>0</v>
      </c>
      <c r="Q1788" s="5">
        <v>3360</v>
      </c>
      <c r="R1788" s="5">
        <v>3360</v>
      </c>
      <c r="S1788" s="4">
        <v>94.08</v>
      </c>
      <c r="T1788" s="5">
        <v>3360</v>
      </c>
      <c r="U1788" s="5">
        <v>97440</v>
      </c>
      <c r="V1788" s="4">
        <v>94.08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43.2</v>
      </c>
      <c r="AC1788" s="4">
        <v>6.72</v>
      </c>
      <c r="AD1788" s="4">
        <v>42</v>
      </c>
      <c r="AE1788" s="8"/>
      <c r="AF1788" s="8"/>
      <c r="AG1788" s="8"/>
      <c r="AH1788" s="8"/>
      <c r="AI178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5.28</v>
      </c>
      <c r="AJ1788" s="8"/>
      <c r="AK1788" s="4" t="s">
        <v>51</v>
      </c>
      <c r="AN1788">
        <f>IFERROR(INT(Table13[[#This Row],[reject_prod]]/Table13[[#This Row],[part_weight]] * 1000), 0)</f>
        <v>0</v>
      </c>
    </row>
    <row r="1789" spans="1:40" hidden="1">
      <c r="A1789" s="1">
        <v>46076</v>
      </c>
      <c r="B1789">
        <v>1</v>
      </c>
      <c r="C1789">
        <v>1</v>
      </c>
      <c r="D1789" t="s">
        <v>56</v>
      </c>
      <c r="E1789" t="s">
        <v>34</v>
      </c>
      <c r="F1789">
        <v>324682</v>
      </c>
      <c r="G1789" s="6">
        <v>0</v>
      </c>
      <c r="H1789" t="s">
        <v>889</v>
      </c>
      <c r="I1789">
        <v>10687748</v>
      </c>
      <c r="J1789">
        <v>4</v>
      </c>
      <c r="K1789">
        <v>33</v>
      </c>
      <c r="L1789">
        <v>33</v>
      </c>
      <c r="M1789">
        <v>231</v>
      </c>
      <c r="N1789" s="2">
        <v>18480</v>
      </c>
      <c r="O1789" s="2">
        <v>0</v>
      </c>
      <c r="P1789" s="2">
        <v>0</v>
      </c>
      <c r="Q1789" s="2">
        <v>924</v>
      </c>
      <c r="R1789" s="2">
        <v>924</v>
      </c>
      <c r="S1789">
        <v>30.492000000000001</v>
      </c>
      <c r="T1789" s="2">
        <v>0</v>
      </c>
      <c r="U1789" s="2">
        <v>18480</v>
      </c>
      <c r="V1789">
        <v>30.492000000000001</v>
      </c>
      <c r="W1789">
        <v>0</v>
      </c>
      <c r="X1789">
        <v>4</v>
      </c>
      <c r="Y1789">
        <v>0.13118194936376754</v>
      </c>
      <c r="Z1789">
        <v>4</v>
      </c>
      <c r="AA1789">
        <v>0.13118194936376754</v>
      </c>
      <c r="AB1789">
        <v>27.4</v>
      </c>
      <c r="AC1789">
        <v>1.7581666666666667</v>
      </c>
      <c r="AD1789">
        <v>23.972000000000001</v>
      </c>
      <c r="AE1789" s="7"/>
      <c r="AF1789" s="7"/>
      <c r="AG1789" s="7"/>
      <c r="AH1789" s="7"/>
      <c r="AI1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10.241833333333334</v>
      </c>
      <c r="AJ1789" s="7"/>
      <c r="AK1789" t="s">
        <v>102</v>
      </c>
      <c r="AN1789">
        <f>IFERROR(INT(Table13[[#This Row],[reject_prod]]/Table13[[#This Row],[part_weight]] * 1000), 0)</f>
        <v>121</v>
      </c>
    </row>
    <row r="1790" spans="1:40" hidden="1">
      <c r="A1790" s="1">
        <v>46076</v>
      </c>
      <c r="B1790">
        <v>1</v>
      </c>
      <c r="C1790">
        <v>1</v>
      </c>
      <c r="D1790" t="s">
        <v>56</v>
      </c>
      <c r="E1790" t="s">
        <v>34</v>
      </c>
      <c r="F1790">
        <v>324682</v>
      </c>
      <c r="G1790" s="6">
        <v>0</v>
      </c>
      <c r="H1790" t="s">
        <v>889</v>
      </c>
      <c r="J1790">
        <v>4</v>
      </c>
      <c r="K1790">
        <v>33</v>
      </c>
      <c r="L1790">
        <v>33</v>
      </c>
      <c r="M1790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>
        <v>0</v>
      </c>
      <c r="T1790" s="2">
        <v>0</v>
      </c>
      <c r="U1790" s="2">
        <v>0</v>
      </c>
      <c r="V1790">
        <v>0</v>
      </c>
      <c r="W1790">
        <v>0</v>
      </c>
      <c r="X1790">
        <v>10</v>
      </c>
      <c r="Y1790" t="e">
        <v>#DIV/0!</v>
      </c>
      <c r="Z1790">
        <v>0</v>
      </c>
      <c r="AA1790" t="e">
        <v>#DIV/0!</v>
      </c>
      <c r="AB1790">
        <v>19.7</v>
      </c>
      <c r="AC1790">
        <v>0</v>
      </c>
      <c r="AD1790">
        <v>23.972000000000001</v>
      </c>
      <c r="AE1790" s="7"/>
      <c r="AF1790" s="7"/>
      <c r="AG1790" s="7"/>
      <c r="AH1790" s="7"/>
      <c r="AI1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790" s="7"/>
      <c r="AK1790" t="s">
        <v>958</v>
      </c>
      <c r="AN1790">
        <f>IFERROR(INT(Table13[[#This Row],[reject_prod]]/Table13[[#This Row],[part_weight]] * 1000), 0)</f>
        <v>0</v>
      </c>
    </row>
    <row r="1791" spans="1:40" hidden="1">
      <c r="A1791" s="1">
        <v>46076</v>
      </c>
      <c r="B1791">
        <v>1</v>
      </c>
      <c r="C1791">
        <v>1</v>
      </c>
      <c r="D1791" t="s">
        <v>56</v>
      </c>
      <c r="E1791" t="s">
        <v>34</v>
      </c>
      <c r="F1791">
        <v>322517</v>
      </c>
      <c r="G1791" s="6">
        <v>0</v>
      </c>
      <c r="H1791" t="s">
        <v>959</v>
      </c>
      <c r="I1791">
        <v>10688092</v>
      </c>
      <c r="J1791">
        <v>4</v>
      </c>
      <c r="K1791">
        <v>45.3</v>
      </c>
      <c r="L1791">
        <v>45.3</v>
      </c>
      <c r="M1791">
        <v>0</v>
      </c>
      <c r="N1791" s="2">
        <v>26000</v>
      </c>
      <c r="O1791" s="2">
        <v>0</v>
      </c>
      <c r="P1791" s="2">
        <v>0</v>
      </c>
      <c r="Q1791" s="2">
        <v>0</v>
      </c>
      <c r="R1791" s="2">
        <v>0</v>
      </c>
      <c r="S1791">
        <v>0</v>
      </c>
      <c r="T1791" s="2">
        <v>0</v>
      </c>
      <c r="U1791" s="2">
        <v>26000</v>
      </c>
      <c r="V1791">
        <v>0</v>
      </c>
      <c r="W1791">
        <v>0</v>
      </c>
      <c r="X1791">
        <v>5.4</v>
      </c>
      <c r="Y1791" t="e">
        <v>#DIV/0!</v>
      </c>
      <c r="Z1791">
        <v>1</v>
      </c>
      <c r="AA1791" t="e">
        <v>#DIV/0!</v>
      </c>
      <c r="AB1791">
        <v>0</v>
      </c>
      <c r="AC1791">
        <v>0</v>
      </c>
      <c r="AD1791">
        <v>25.88</v>
      </c>
      <c r="AE1791" s="7">
        <v>5.5</v>
      </c>
      <c r="AF1791" s="7"/>
      <c r="AG1791" s="7"/>
      <c r="AH1791" s="7"/>
      <c r="AI1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791" s="7"/>
      <c r="AK1791" t="s">
        <v>960</v>
      </c>
      <c r="AL1791">
        <v>9</v>
      </c>
      <c r="AM1791">
        <v>10</v>
      </c>
      <c r="AN1791">
        <f>IFERROR(INT(Table13[[#This Row],[reject_prod]]/Table13[[#This Row],[part_weight]] * 1000), 0)</f>
        <v>22</v>
      </c>
    </row>
    <row r="1792" spans="1:40" hidden="1">
      <c r="A1792" s="1">
        <v>46076</v>
      </c>
      <c r="B1792">
        <v>1</v>
      </c>
      <c r="C1792">
        <v>2</v>
      </c>
      <c r="D1792" t="s">
        <v>961</v>
      </c>
      <c r="E1792" t="s">
        <v>34</v>
      </c>
      <c r="F1792">
        <v>543590</v>
      </c>
      <c r="G1792" s="6">
        <v>0</v>
      </c>
      <c r="H1792" t="s">
        <v>913</v>
      </c>
      <c r="I1792">
        <v>10687749</v>
      </c>
      <c r="J1792">
        <v>4</v>
      </c>
      <c r="K1792">
        <v>19</v>
      </c>
      <c r="L1792">
        <v>19</v>
      </c>
      <c r="M1792">
        <v>2156</v>
      </c>
      <c r="N1792" s="2">
        <v>132440</v>
      </c>
      <c r="O1792" s="2">
        <v>3696</v>
      </c>
      <c r="P1792" s="2">
        <v>4928</v>
      </c>
      <c r="Q1792" s="2">
        <v>8624</v>
      </c>
      <c r="R1792" s="2">
        <v>7392</v>
      </c>
      <c r="S1792">
        <v>140.44800000000001</v>
      </c>
      <c r="T1792" s="2">
        <v>34496</v>
      </c>
      <c r="U1792" s="2">
        <v>97944</v>
      </c>
      <c r="V1792">
        <v>163.85599999999999</v>
      </c>
      <c r="W1792">
        <v>0</v>
      </c>
      <c r="X1792">
        <v>0</v>
      </c>
      <c r="Y1792">
        <v>0</v>
      </c>
      <c r="Z1792">
        <v>1.2</v>
      </c>
      <c r="AA1792">
        <v>7.3235035641050676E-3</v>
      </c>
      <c r="AB1792">
        <v>19.7</v>
      </c>
      <c r="AC1792">
        <v>11.79811111111111</v>
      </c>
      <c r="AD1792">
        <v>18.72</v>
      </c>
      <c r="AE1792" s="7"/>
      <c r="AF1792" s="7"/>
      <c r="AG1792" s="7"/>
      <c r="AH1792" s="7"/>
      <c r="AI1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0.20188888888888989</v>
      </c>
      <c r="AJ1792" s="7"/>
      <c r="AK1792" t="s">
        <v>193</v>
      </c>
      <c r="AN1792">
        <f>IFERROR(INT(Table13[[#This Row],[reject_prod]]/Table13[[#This Row],[part_weight]] * 1000), 0)</f>
        <v>63</v>
      </c>
    </row>
    <row r="1793" spans="1:40" hidden="1">
      <c r="A1793" s="1">
        <v>46076</v>
      </c>
      <c r="B1793">
        <v>1</v>
      </c>
      <c r="C1793">
        <v>3</v>
      </c>
      <c r="D1793" t="s">
        <v>897</v>
      </c>
      <c r="E1793" t="s">
        <v>34</v>
      </c>
      <c r="F1793">
        <v>442034</v>
      </c>
      <c r="G1793" s="6">
        <v>0</v>
      </c>
      <c r="H1793" t="s">
        <v>37</v>
      </c>
      <c r="I1793">
        <v>10685634</v>
      </c>
      <c r="J1793">
        <v>4</v>
      </c>
      <c r="K1793">
        <v>23</v>
      </c>
      <c r="L1793">
        <v>23</v>
      </c>
      <c r="M1793">
        <v>1460</v>
      </c>
      <c r="N1793" s="2">
        <v>139776</v>
      </c>
      <c r="O1793" s="2">
        <v>1536</v>
      </c>
      <c r="P1793" s="2">
        <v>2688</v>
      </c>
      <c r="Q1793" s="2">
        <v>5840</v>
      </c>
      <c r="R1793" s="2">
        <v>4608</v>
      </c>
      <c r="S1793">
        <v>105.98399999999999</v>
      </c>
      <c r="T1793" s="2">
        <v>57984</v>
      </c>
      <c r="U1793" s="2">
        <v>81792</v>
      </c>
      <c r="V1793">
        <v>134.32</v>
      </c>
      <c r="W1793">
        <v>0</v>
      </c>
      <c r="X1793">
        <v>0</v>
      </c>
      <c r="Y1793">
        <v>0</v>
      </c>
      <c r="Z1793">
        <v>5.3</v>
      </c>
      <c r="AA1793">
        <v>3.9458010720667062E-2</v>
      </c>
      <c r="AB1793">
        <v>28.5</v>
      </c>
      <c r="AC1793">
        <v>11.558333333333334</v>
      </c>
      <c r="AD1793">
        <v>22</v>
      </c>
      <c r="AE1793" s="7"/>
      <c r="AF1793" s="7"/>
      <c r="AG1793" s="7"/>
      <c r="AH1793" s="7"/>
      <c r="AI1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793" s="7"/>
      <c r="AK1793" t="s">
        <v>103</v>
      </c>
      <c r="AN1793">
        <f>IFERROR(INT(Table13[[#This Row],[reject_prod]]/Table13[[#This Row],[part_weight]] * 1000), 0)</f>
        <v>230</v>
      </c>
    </row>
    <row r="1794" spans="1:40" hidden="1">
      <c r="A1794" s="1">
        <v>46076</v>
      </c>
      <c r="B1794">
        <v>1</v>
      </c>
      <c r="C1794">
        <v>4</v>
      </c>
      <c r="D1794" t="s">
        <v>962</v>
      </c>
      <c r="E1794" t="s">
        <v>34</v>
      </c>
      <c r="F1794">
        <v>451191</v>
      </c>
      <c r="G1794" s="6">
        <v>0</v>
      </c>
      <c r="H1794" t="s">
        <v>946</v>
      </c>
      <c r="I1794">
        <v>10687751</v>
      </c>
      <c r="J1794">
        <v>4</v>
      </c>
      <c r="K1794">
        <v>29</v>
      </c>
      <c r="L1794">
        <v>29</v>
      </c>
      <c r="M1794">
        <v>1660</v>
      </c>
      <c r="N1794" s="2">
        <v>73440</v>
      </c>
      <c r="O1794" s="2">
        <v>612</v>
      </c>
      <c r="P1794" s="2">
        <v>765</v>
      </c>
      <c r="Q1794" s="2">
        <v>6640</v>
      </c>
      <c r="R1794" s="2">
        <v>6426</v>
      </c>
      <c r="S1794">
        <v>186.35400000000001</v>
      </c>
      <c r="T1794" s="2">
        <v>22797</v>
      </c>
      <c r="U1794" s="2">
        <v>50643</v>
      </c>
      <c r="V1794">
        <v>192.56</v>
      </c>
      <c r="W1794">
        <v>0</v>
      </c>
      <c r="Y1794">
        <v>0</v>
      </c>
      <c r="Z1794">
        <v>3.4</v>
      </c>
      <c r="AA1794">
        <v>1.7656834233485665E-2</v>
      </c>
      <c r="AB1794">
        <v>25.1</v>
      </c>
      <c r="AC1794">
        <v>11.57388888888889</v>
      </c>
      <c r="AD1794">
        <v>24</v>
      </c>
      <c r="AE1794" s="7"/>
      <c r="AF1794" s="7"/>
      <c r="AG1794" s="7"/>
      <c r="AH1794" s="7"/>
      <c r="AI1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0.42611111111111022</v>
      </c>
      <c r="AJ1794" s="7"/>
      <c r="AK1794" t="s">
        <v>771</v>
      </c>
      <c r="AN1794">
        <f>IFERROR(INT(Table13[[#This Row],[reject_prod]]/Table13[[#This Row],[part_weight]] * 1000), 0)</f>
        <v>117</v>
      </c>
    </row>
    <row r="1795" spans="1:40" hidden="1">
      <c r="A1795" s="1">
        <v>46076</v>
      </c>
      <c r="B1795">
        <v>1</v>
      </c>
      <c r="C1795">
        <v>5</v>
      </c>
      <c r="D1795" t="s">
        <v>54</v>
      </c>
      <c r="E1795" t="s">
        <v>34</v>
      </c>
      <c r="F1795">
        <v>597507</v>
      </c>
      <c r="G1795" s="6">
        <v>0</v>
      </c>
      <c r="H1795" t="s">
        <v>279</v>
      </c>
      <c r="I1795">
        <v>10687752</v>
      </c>
      <c r="J1795">
        <v>4</v>
      </c>
      <c r="K1795">
        <v>23</v>
      </c>
      <c r="L1795">
        <v>23</v>
      </c>
      <c r="M1795">
        <v>1900</v>
      </c>
      <c r="N1795" s="2">
        <v>86240</v>
      </c>
      <c r="O1795" s="2">
        <v>154</v>
      </c>
      <c r="P1795" s="2">
        <v>154</v>
      </c>
      <c r="Q1795" s="2">
        <v>7600</v>
      </c>
      <c r="R1795" s="2">
        <v>7546</v>
      </c>
      <c r="S1795">
        <v>173.55799999999999</v>
      </c>
      <c r="T1795" s="2">
        <v>59444</v>
      </c>
      <c r="U1795" s="2">
        <v>26796</v>
      </c>
      <c r="V1795">
        <v>174.8</v>
      </c>
      <c r="W1795">
        <v>0</v>
      </c>
      <c r="X1795">
        <v>0</v>
      </c>
      <c r="Y1795">
        <v>0</v>
      </c>
      <c r="Z1795">
        <v>4.5999999999999996</v>
      </c>
      <c r="AA1795">
        <v>2.6315789473684206E-2</v>
      </c>
      <c r="AB1795">
        <v>21.7</v>
      </c>
      <c r="AC1795">
        <v>11.452777777777778</v>
      </c>
      <c r="AD1795">
        <v>22</v>
      </c>
      <c r="AE1795" s="7"/>
      <c r="AF1795" s="7"/>
      <c r="AG1795" s="7"/>
      <c r="AH1795" s="7"/>
      <c r="AI1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0.5472222222222225</v>
      </c>
      <c r="AJ1795" s="7"/>
      <c r="AK1795" t="s">
        <v>963</v>
      </c>
      <c r="AN1795">
        <f>IFERROR(INT(Table13[[#This Row],[reject_prod]]/Table13[[#This Row],[part_weight]] * 1000), 0)</f>
        <v>200</v>
      </c>
    </row>
    <row r="1796" spans="1:40" hidden="1">
      <c r="A1796" s="1">
        <v>46076</v>
      </c>
      <c r="B1796">
        <v>1</v>
      </c>
      <c r="C1796">
        <v>6</v>
      </c>
      <c r="D1796" t="s">
        <v>535</v>
      </c>
      <c r="E1796" t="s">
        <v>41</v>
      </c>
      <c r="F1796">
        <v>620994</v>
      </c>
      <c r="G1796" s="6">
        <v>0</v>
      </c>
      <c r="H1796" t="s">
        <v>42</v>
      </c>
      <c r="I1796">
        <v>10686806</v>
      </c>
      <c r="J1796">
        <v>4</v>
      </c>
      <c r="K1796">
        <v>32.74</v>
      </c>
      <c r="L1796">
        <v>33</v>
      </c>
      <c r="M1796">
        <v>1790</v>
      </c>
      <c r="N1796" s="2">
        <v>104192</v>
      </c>
      <c r="O1796" s="2">
        <v>296</v>
      </c>
      <c r="P1796" s="2">
        <v>296</v>
      </c>
      <c r="Q1796" s="2">
        <v>7160</v>
      </c>
      <c r="R1796" s="2">
        <v>7104</v>
      </c>
      <c r="S1796">
        <v>234.43199999999999</v>
      </c>
      <c r="T1796" s="2">
        <v>96200</v>
      </c>
      <c r="U1796" s="2">
        <v>7992</v>
      </c>
      <c r="V1796">
        <v>236.28</v>
      </c>
      <c r="W1796">
        <v>-1.8615999999999857</v>
      </c>
      <c r="X1796">
        <v>0</v>
      </c>
      <c r="Y1796">
        <v>0</v>
      </c>
      <c r="Z1796">
        <v>2</v>
      </c>
      <c r="AA1796">
        <v>8.4645336041984081E-3</v>
      </c>
      <c r="AB1796">
        <v>23.9</v>
      </c>
      <c r="AC1796">
        <v>11.88361111111111</v>
      </c>
      <c r="AD1796">
        <v>22</v>
      </c>
      <c r="AE1796" s="7"/>
      <c r="AF1796" s="7"/>
      <c r="AG1796" s="7"/>
      <c r="AH1796" s="7"/>
      <c r="AI1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0.11638888888889021</v>
      </c>
      <c r="AJ1796" s="7"/>
      <c r="AK1796" t="s">
        <v>214</v>
      </c>
      <c r="AL1796">
        <v>3</v>
      </c>
      <c r="AM1796">
        <v>2</v>
      </c>
      <c r="AN1796">
        <f>IFERROR(INT(Table13[[#This Row],[reject_prod]]/Table13[[#This Row],[part_weight]] * 1000), 0)</f>
        <v>60</v>
      </c>
    </row>
    <row r="1797" spans="1:40" hidden="1">
      <c r="A1797" s="1">
        <v>46076</v>
      </c>
      <c r="B1797">
        <v>1</v>
      </c>
      <c r="C1797">
        <v>7</v>
      </c>
      <c r="D1797" t="s">
        <v>53</v>
      </c>
      <c r="E1797" t="s">
        <v>34</v>
      </c>
      <c r="F1797">
        <v>324165</v>
      </c>
      <c r="G1797" s="6">
        <v>0</v>
      </c>
      <c r="H1797" t="s">
        <v>44</v>
      </c>
      <c r="I1797">
        <v>10687137</v>
      </c>
      <c r="J1797">
        <v>4</v>
      </c>
      <c r="K1797">
        <v>32.56</v>
      </c>
      <c r="L1797">
        <v>33</v>
      </c>
      <c r="M1797">
        <v>1630</v>
      </c>
      <c r="N1797" s="2">
        <v>104192</v>
      </c>
      <c r="O1797" s="2">
        <v>5032</v>
      </c>
      <c r="P1797" s="2">
        <v>888</v>
      </c>
      <c r="Q1797" s="2">
        <v>6520</v>
      </c>
      <c r="R1797" s="2">
        <v>10656</v>
      </c>
      <c r="S1797">
        <v>351.64800000000002</v>
      </c>
      <c r="T1797" s="2">
        <v>39960</v>
      </c>
      <c r="U1797" s="2">
        <v>64232</v>
      </c>
      <c r="V1797">
        <v>215.16</v>
      </c>
      <c r="W1797">
        <v>-2.8687999999999851</v>
      </c>
      <c r="X1797">
        <v>0</v>
      </c>
      <c r="Y1797">
        <v>0</v>
      </c>
      <c r="Z1797">
        <v>21.3</v>
      </c>
      <c r="AA1797">
        <v>9.8996095928611277E-2</v>
      </c>
      <c r="AB1797">
        <v>18.03</v>
      </c>
      <c r="AC1797">
        <v>8.1635833333333334</v>
      </c>
      <c r="AD1797">
        <v>22</v>
      </c>
      <c r="AE1797" s="7"/>
      <c r="AF1797" s="7"/>
      <c r="AG1797" s="7"/>
      <c r="AH1797" s="7"/>
      <c r="AI1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3.8364166666666666</v>
      </c>
      <c r="AJ1797" s="7"/>
      <c r="AK1797" t="s">
        <v>964</v>
      </c>
      <c r="AL1797">
        <v>3</v>
      </c>
      <c r="AM1797">
        <v>3</v>
      </c>
      <c r="AN1797">
        <f>IFERROR(INT(Table13[[#This Row],[reject_prod]]/Table13[[#This Row],[part_weight]] * 1000), 0)</f>
        <v>645</v>
      </c>
    </row>
    <row r="1798" spans="1:40" hidden="1">
      <c r="A1798" s="1">
        <v>46076</v>
      </c>
      <c r="B1798">
        <v>1</v>
      </c>
      <c r="C1798">
        <v>8</v>
      </c>
      <c r="D1798" t="s">
        <v>707</v>
      </c>
      <c r="E1798" t="s">
        <v>41</v>
      </c>
      <c r="F1798">
        <v>593537</v>
      </c>
      <c r="G1798" s="6">
        <v>0</v>
      </c>
      <c r="H1798" t="s">
        <v>48</v>
      </c>
      <c r="I1798">
        <v>10688067</v>
      </c>
      <c r="J1798">
        <v>4</v>
      </c>
      <c r="K1798">
        <v>56.5</v>
      </c>
      <c r="L1798">
        <v>56.8</v>
      </c>
      <c r="M1798">
        <v>1200</v>
      </c>
      <c r="N1798" s="2">
        <v>69000</v>
      </c>
      <c r="O1798" s="2">
        <v>0</v>
      </c>
      <c r="P1798" s="2">
        <v>230</v>
      </c>
      <c r="Q1798" s="2">
        <v>4800</v>
      </c>
      <c r="R1798" s="2">
        <v>4600</v>
      </c>
      <c r="S1798">
        <v>261.27999999999997</v>
      </c>
      <c r="T1798" s="2">
        <v>7130</v>
      </c>
      <c r="U1798" s="2">
        <v>61870</v>
      </c>
      <c r="V1798">
        <v>272.64</v>
      </c>
      <c r="W1798">
        <v>-1.4399999999999864</v>
      </c>
      <c r="X1798">
        <v>2</v>
      </c>
      <c r="Y1798">
        <v>7.335680751173709E-3</v>
      </c>
      <c r="Z1798">
        <v>5.2</v>
      </c>
      <c r="AA1798">
        <v>1.9072769953051644E-2</v>
      </c>
      <c r="AB1798">
        <v>30.4</v>
      </c>
      <c r="AC1798">
        <v>10.133333333333333</v>
      </c>
      <c r="AD1798">
        <v>28.5</v>
      </c>
      <c r="AE1798" s="7"/>
      <c r="AF1798" s="7"/>
      <c r="AG1798" s="7"/>
      <c r="AH1798" s="7"/>
      <c r="AI1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1.8666666666666671</v>
      </c>
      <c r="AJ1798" s="7"/>
      <c r="AK1798" t="s">
        <v>51</v>
      </c>
      <c r="AL1798">
        <v>3</v>
      </c>
      <c r="AM1798">
        <v>3</v>
      </c>
      <c r="AN1798">
        <f>IFERROR(INT(Table13[[#This Row],[reject_prod]]/Table13[[#This Row],[part_weight]] * 1000), 0)</f>
        <v>91</v>
      </c>
    </row>
    <row r="1799" spans="1:40" hidden="1">
      <c r="A1799" s="1">
        <v>46076</v>
      </c>
      <c r="B1799">
        <v>1</v>
      </c>
      <c r="C1799">
        <v>9</v>
      </c>
      <c r="D1799" t="s">
        <v>208</v>
      </c>
      <c r="E1799" t="s">
        <v>46</v>
      </c>
      <c r="F1799">
        <v>586276</v>
      </c>
      <c r="G1799" s="6">
        <v>1</v>
      </c>
      <c r="H1799" t="s">
        <v>47</v>
      </c>
      <c r="I1799">
        <v>10686684</v>
      </c>
      <c r="J1799">
        <v>6</v>
      </c>
      <c r="K1799">
        <v>12.3</v>
      </c>
      <c r="L1799">
        <v>12.3</v>
      </c>
      <c r="M1799">
        <v>1560</v>
      </c>
      <c r="N1799" s="2">
        <v>162000</v>
      </c>
      <c r="O1799" s="2">
        <v>2025</v>
      </c>
      <c r="P1799" s="2">
        <v>3240</v>
      </c>
      <c r="Q1799" s="2">
        <v>9360</v>
      </c>
      <c r="R1799" s="2">
        <v>8100</v>
      </c>
      <c r="S1799">
        <v>99.63</v>
      </c>
      <c r="T1799" s="2">
        <v>84240</v>
      </c>
      <c r="U1799" s="2">
        <v>77760</v>
      </c>
      <c r="V1799">
        <v>115.128</v>
      </c>
      <c r="W1799">
        <v>0</v>
      </c>
      <c r="X1799">
        <v>0</v>
      </c>
      <c r="Y1799">
        <v>0</v>
      </c>
      <c r="Z1799">
        <v>4</v>
      </c>
      <c r="AA1799">
        <v>3.4743937182961572E-2</v>
      </c>
      <c r="AB1799">
        <v>26.5</v>
      </c>
      <c r="AC1799">
        <v>11.483333333333333</v>
      </c>
      <c r="AD1799">
        <v>26</v>
      </c>
      <c r="AE1799" s="7"/>
      <c r="AF1799" s="7"/>
      <c r="AG1799" s="7"/>
      <c r="AH1799" s="7"/>
      <c r="AI1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799" s="7"/>
      <c r="AK1799" t="s">
        <v>57</v>
      </c>
      <c r="AN1799">
        <f>IFERROR(INT(Table13[[#This Row],[reject_prod]]/Table13[[#This Row],[part_weight]] * 1000), 0)</f>
        <v>325</v>
      </c>
    </row>
    <row r="1800" spans="1:40" hidden="1">
      <c r="A1800" s="1">
        <v>46076</v>
      </c>
      <c r="B1800">
        <v>1</v>
      </c>
      <c r="C1800">
        <v>10</v>
      </c>
      <c r="D1800" t="s">
        <v>139</v>
      </c>
      <c r="E1800" t="s">
        <v>34</v>
      </c>
      <c r="F1800">
        <v>323092</v>
      </c>
      <c r="G1800" s="6">
        <v>0</v>
      </c>
      <c r="H1800" t="s">
        <v>377</v>
      </c>
      <c r="I1800">
        <v>10686686</v>
      </c>
      <c r="J1800">
        <v>4</v>
      </c>
      <c r="K1800">
        <v>48.9</v>
      </c>
      <c r="L1800">
        <v>48.9</v>
      </c>
      <c r="M1800">
        <v>1395</v>
      </c>
      <c r="N1800" s="2">
        <v>37800</v>
      </c>
      <c r="O1800" s="2">
        <v>2100</v>
      </c>
      <c r="P1800" s="2">
        <v>315</v>
      </c>
      <c r="Q1800" s="2">
        <v>5580</v>
      </c>
      <c r="R1800" s="2">
        <v>7350</v>
      </c>
      <c r="S1800">
        <v>359.41500000000002</v>
      </c>
      <c r="T1800" s="2">
        <v>34440</v>
      </c>
      <c r="U1800" s="2">
        <v>3360</v>
      </c>
      <c r="V1800">
        <v>272.86200000000002</v>
      </c>
      <c r="W1800">
        <v>0</v>
      </c>
      <c r="X1800">
        <v>0</v>
      </c>
      <c r="Y1800">
        <v>0</v>
      </c>
      <c r="Z1800">
        <v>2</v>
      </c>
      <c r="AA1800">
        <v>7.3297124553803744E-3</v>
      </c>
      <c r="AB1800">
        <v>30.75</v>
      </c>
      <c r="AC1800">
        <v>11.915624999999999</v>
      </c>
      <c r="AD1800">
        <v>27.6</v>
      </c>
      <c r="AE1800" s="7"/>
      <c r="AF1800" s="7"/>
      <c r="AG1800" s="7"/>
      <c r="AH1800" s="7"/>
      <c r="AI1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8.4375000000001421E-2</v>
      </c>
      <c r="AJ1800" s="7"/>
      <c r="AK1800" t="s">
        <v>75</v>
      </c>
      <c r="AM1800">
        <v>2</v>
      </c>
      <c r="AN1800">
        <f>IFERROR(INT(Table13[[#This Row],[reject_prod]]/Table13[[#This Row],[part_weight]] * 1000), 0)</f>
        <v>40</v>
      </c>
    </row>
    <row r="1801" spans="1:40" hidden="1">
      <c r="A1801" s="1">
        <v>46076</v>
      </c>
      <c r="B1801">
        <v>1</v>
      </c>
      <c r="C1801">
        <v>11</v>
      </c>
      <c r="D1801" t="s">
        <v>59</v>
      </c>
      <c r="E1801" t="s">
        <v>46</v>
      </c>
      <c r="F1801">
        <v>552181</v>
      </c>
      <c r="G1801" s="6">
        <v>1</v>
      </c>
      <c r="H1801" t="s">
        <v>49</v>
      </c>
      <c r="I1801">
        <v>10686673</v>
      </c>
      <c r="J1801">
        <v>6</v>
      </c>
      <c r="K1801">
        <v>18.8</v>
      </c>
      <c r="L1801">
        <v>18.8</v>
      </c>
      <c r="M1801">
        <v>1530</v>
      </c>
      <c r="N1801" s="2">
        <v>108000</v>
      </c>
      <c r="O1801" s="2">
        <v>270</v>
      </c>
      <c r="P1801" s="2">
        <v>4050</v>
      </c>
      <c r="Q1801" s="2">
        <v>9180</v>
      </c>
      <c r="R1801" s="2">
        <v>5400</v>
      </c>
      <c r="S1801">
        <v>101.52</v>
      </c>
      <c r="T1801" s="2">
        <v>36450</v>
      </c>
      <c r="U1801" s="2">
        <v>71550</v>
      </c>
      <c r="V1801">
        <v>172.584</v>
      </c>
      <c r="W1801">
        <v>0</v>
      </c>
      <c r="X1801">
        <v>0</v>
      </c>
      <c r="Y1801">
        <v>0</v>
      </c>
      <c r="Z1801">
        <v>1</v>
      </c>
      <c r="AA1801">
        <v>5.7942798868956561E-3</v>
      </c>
      <c r="AB1801">
        <v>28.46</v>
      </c>
      <c r="AC1801">
        <v>12</v>
      </c>
      <c r="AD1801">
        <v>27</v>
      </c>
      <c r="AE1801" s="7"/>
      <c r="AF1801" s="7"/>
      <c r="AG1801" s="7"/>
      <c r="AH1801" s="7"/>
      <c r="AI1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1" s="7"/>
      <c r="AK1801" t="s">
        <v>51</v>
      </c>
      <c r="AN1801">
        <f>IFERROR(INT(Table13[[#This Row],[reject_prod]]/Table13[[#This Row],[part_weight]] * 1000), 0)</f>
        <v>53</v>
      </c>
    </row>
    <row r="1802" spans="1:40" hidden="1">
      <c r="A1802" s="1">
        <v>46076</v>
      </c>
      <c r="B1802">
        <v>1</v>
      </c>
      <c r="C1802">
        <v>12</v>
      </c>
      <c r="D1802" t="s">
        <v>84</v>
      </c>
      <c r="E1802" t="s">
        <v>34</v>
      </c>
      <c r="F1802">
        <v>620599</v>
      </c>
      <c r="G1802" s="6">
        <v>0</v>
      </c>
      <c r="H1802" t="s">
        <v>50</v>
      </c>
      <c r="I1802">
        <v>10686675</v>
      </c>
      <c r="J1802">
        <v>4</v>
      </c>
      <c r="K1802">
        <v>55</v>
      </c>
      <c r="L1802">
        <v>55</v>
      </c>
      <c r="M1802">
        <v>1190</v>
      </c>
      <c r="N1802" s="2">
        <v>72000</v>
      </c>
      <c r="O1802" s="2">
        <v>900</v>
      </c>
      <c r="P1802" s="2">
        <v>225</v>
      </c>
      <c r="Q1802" s="2">
        <v>4760</v>
      </c>
      <c r="R1802" s="2">
        <v>5400</v>
      </c>
      <c r="S1802">
        <v>297</v>
      </c>
      <c r="T1802" s="2">
        <v>32625</v>
      </c>
      <c r="U1802" s="2">
        <v>39375</v>
      </c>
      <c r="V1802">
        <v>261.8</v>
      </c>
      <c r="W1802">
        <v>0</v>
      </c>
      <c r="X1802">
        <v>0</v>
      </c>
      <c r="Y1802">
        <v>0</v>
      </c>
      <c r="Z1802">
        <v>14</v>
      </c>
      <c r="AA1802">
        <v>5.3475935828877004E-2</v>
      </c>
      <c r="AB1802">
        <v>28.8</v>
      </c>
      <c r="AC1802">
        <v>9.52</v>
      </c>
      <c r="AD1802">
        <v>28</v>
      </c>
      <c r="AE1802" s="7"/>
      <c r="AF1802" s="7"/>
      <c r="AG1802" s="7"/>
      <c r="AH1802" s="7"/>
      <c r="AI1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2.4800000000000004</v>
      </c>
      <c r="AJ1802" s="7"/>
      <c r="AK1802" t="s">
        <v>628</v>
      </c>
      <c r="AL1802">
        <v>4</v>
      </c>
      <c r="AM1802">
        <v>2</v>
      </c>
      <c r="AN1802">
        <f>IFERROR(INT(Table13[[#This Row],[reject_prod]]/Table13[[#This Row],[part_weight]] * 1000), 0)</f>
        <v>254</v>
      </c>
    </row>
    <row r="1803" spans="1:40" hidden="1">
      <c r="A1803" s="1">
        <v>46076</v>
      </c>
      <c r="B1803">
        <v>1</v>
      </c>
      <c r="C1803">
        <v>13</v>
      </c>
      <c r="D1803" t="s">
        <v>59</v>
      </c>
      <c r="E1803" t="s">
        <v>46</v>
      </c>
      <c r="F1803">
        <v>586276</v>
      </c>
      <c r="G1803" s="6">
        <v>2</v>
      </c>
      <c r="H1803" t="s">
        <v>47</v>
      </c>
      <c r="I1803">
        <v>10686677</v>
      </c>
      <c r="J1803">
        <v>6</v>
      </c>
      <c r="K1803">
        <v>12.3</v>
      </c>
      <c r="L1803">
        <v>12.3</v>
      </c>
      <c r="M1803">
        <v>1665</v>
      </c>
      <c r="N1803" s="2">
        <v>162000</v>
      </c>
      <c r="O1803" s="2">
        <v>4455</v>
      </c>
      <c r="P1803" s="2">
        <v>6480</v>
      </c>
      <c r="Q1803" s="2">
        <v>9990</v>
      </c>
      <c r="R1803" s="2">
        <v>8100</v>
      </c>
      <c r="S1803">
        <v>99.63</v>
      </c>
      <c r="T1803" s="2">
        <v>55080</v>
      </c>
      <c r="U1803" s="2">
        <v>106920</v>
      </c>
      <c r="V1803">
        <v>122.877</v>
      </c>
      <c r="W1803">
        <v>0</v>
      </c>
      <c r="X1803">
        <v>0</v>
      </c>
      <c r="Y1803">
        <v>0</v>
      </c>
      <c r="Z1803">
        <v>1.2</v>
      </c>
      <c r="AA1803">
        <v>9.7658634244000096E-3</v>
      </c>
      <c r="AB1803">
        <v>26.2</v>
      </c>
      <c r="AC1803">
        <v>12</v>
      </c>
      <c r="AD1803">
        <v>26</v>
      </c>
      <c r="AE1803" s="7"/>
      <c r="AF1803" s="7"/>
      <c r="AG1803" s="7"/>
      <c r="AH1803" s="7"/>
      <c r="AI1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3" s="7"/>
      <c r="AK1803" t="s">
        <v>51</v>
      </c>
      <c r="AN1803">
        <f>IFERROR(INT(Table13[[#This Row],[reject_prod]]/Table13[[#This Row],[part_weight]] * 1000), 0)</f>
        <v>97</v>
      </c>
    </row>
    <row r="1804" spans="1:40" hidden="1">
      <c r="A1804" s="1">
        <v>46076</v>
      </c>
      <c r="B1804">
        <v>1</v>
      </c>
      <c r="C1804">
        <v>14</v>
      </c>
      <c r="D1804" t="s">
        <v>289</v>
      </c>
      <c r="E1804" t="s">
        <v>34</v>
      </c>
      <c r="F1804">
        <v>541381</v>
      </c>
      <c r="G1804" s="6">
        <v>0</v>
      </c>
      <c r="H1804" t="s">
        <v>804</v>
      </c>
      <c r="I1804">
        <v>10686678</v>
      </c>
      <c r="J1804">
        <v>4</v>
      </c>
      <c r="K1804">
        <v>55</v>
      </c>
      <c r="L1804">
        <v>55</v>
      </c>
      <c r="M1804">
        <v>1487</v>
      </c>
      <c r="N1804" s="2">
        <v>84000</v>
      </c>
      <c r="O1804" s="2">
        <v>525</v>
      </c>
      <c r="P1804" s="2">
        <v>175</v>
      </c>
      <c r="Q1804" s="2">
        <v>5948</v>
      </c>
      <c r="R1804" s="2">
        <v>6300</v>
      </c>
      <c r="S1804">
        <v>346.5</v>
      </c>
      <c r="T1804" s="2">
        <v>72975</v>
      </c>
      <c r="U1804" s="2">
        <v>11025</v>
      </c>
      <c r="V1804">
        <v>327.14</v>
      </c>
      <c r="W1804">
        <v>0</v>
      </c>
      <c r="X1804">
        <v>0</v>
      </c>
      <c r="Y1804">
        <v>0</v>
      </c>
      <c r="Z1804">
        <v>9.1999999999999993</v>
      </c>
      <c r="AA1804">
        <v>2.8122516353854619E-2</v>
      </c>
      <c r="AB1804">
        <v>27.81</v>
      </c>
      <c r="AC1804">
        <v>11.487074999999999</v>
      </c>
      <c r="AD1804">
        <v>30.08</v>
      </c>
      <c r="AE1804" s="7"/>
      <c r="AF1804" s="7"/>
      <c r="AG1804" s="7"/>
      <c r="AH1804" s="7"/>
      <c r="AI1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0.51292500000000096</v>
      </c>
      <c r="AJ1804" s="7"/>
      <c r="AK1804" t="s">
        <v>965</v>
      </c>
      <c r="AL1804">
        <v>4</v>
      </c>
      <c r="AM1804">
        <v>4</v>
      </c>
      <c r="AN1804">
        <f>IFERROR(INT(Table13[[#This Row],[reject_prod]]/Table13[[#This Row],[part_weight]] * 1000), 0)</f>
        <v>167</v>
      </c>
    </row>
    <row r="1805" spans="1:40" hidden="1">
      <c r="A1805" s="1">
        <v>46076</v>
      </c>
      <c r="B1805">
        <v>1</v>
      </c>
      <c r="C1805">
        <v>15</v>
      </c>
      <c r="D1805" t="s">
        <v>59</v>
      </c>
      <c r="E1805" t="s">
        <v>46</v>
      </c>
      <c r="F1805">
        <v>550076</v>
      </c>
      <c r="G1805" s="6">
        <v>0</v>
      </c>
      <c r="H1805" t="s">
        <v>857</v>
      </c>
      <c r="I1805">
        <v>10687863</v>
      </c>
      <c r="J1805">
        <v>6</v>
      </c>
      <c r="K1805">
        <v>18.8</v>
      </c>
      <c r="L1805">
        <v>18.8</v>
      </c>
      <c r="M1805">
        <v>1350</v>
      </c>
      <c r="N1805" s="2">
        <v>108000</v>
      </c>
      <c r="O1805" s="2">
        <v>810</v>
      </c>
      <c r="P1805" s="2">
        <v>3510</v>
      </c>
      <c r="Q1805" s="2">
        <v>8100</v>
      </c>
      <c r="R1805" s="2">
        <v>5400</v>
      </c>
      <c r="S1805">
        <v>101.52</v>
      </c>
      <c r="T1805" s="2">
        <v>100710</v>
      </c>
      <c r="U1805" s="2">
        <v>7290</v>
      </c>
      <c r="V1805">
        <v>152.28</v>
      </c>
      <c r="W1805">
        <v>0</v>
      </c>
      <c r="X1805">
        <v>0</v>
      </c>
      <c r="Y1805">
        <v>0</v>
      </c>
      <c r="Z1805">
        <v>1.3</v>
      </c>
      <c r="AA1805">
        <v>8.536905700026267E-3</v>
      </c>
      <c r="AB1805">
        <v>31.3</v>
      </c>
      <c r="AC1805">
        <v>11.737499999999999</v>
      </c>
      <c r="AD1805">
        <v>22.5</v>
      </c>
      <c r="AE1805" s="7"/>
      <c r="AF1805" s="7"/>
      <c r="AG1805" s="7"/>
      <c r="AH1805" s="7"/>
      <c r="AI1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0.26250000000000107</v>
      </c>
      <c r="AJ1805" s="7"/>
      <c r="AK1805" t="s">
        <v>51</v>
      </c>
      <c r="AN1805">
        <f>IFERROR(INT(Table13[[#This Row],[reject_prod]]/Table13[[#This Row],[part_weight]] * 1000), 0)</f>
        <v>69</v>
      </c>
    </row>
    <row r="1806" spans="1:40" s="4" customFormat="1" hidden="1">
      <c r="A1806" s="3">
        <v>46076</v>
      </c>
      <c r="B1806" s="4">
        <v>1</v>
      </c>
      <c r="C1806" s="4">
        <v>16</v>
      </c>
      <c r="D1806" s="4" t="s">
        <v>966</v>
      </c>
      <c r="E1806" s="4" t="s">
        <v>46</v>
      </c>
      <c r="F1806" s="4">
        <v>555979</v>
      </c>
      <c r="G1806" s="9">
        <v>2</v>
      </c>
      <c r="H1806" s="4" t="s">
        <v>52</v>
      </c>
      <c r="I1806" s="4">
        <v>10686701</v>
      </c>
      <c r="J1806" s="4">
        <v>6</v>
      </c>
      <c r="K1806" s="4">
        <v>28</v>
      </c>
      <c r="L1806" s="4">
        <v>28</v>
      </c>
      <c r="M1806" s="4">
        <v>1008</v>
      </c>
      <c r="N1806" s="5">
        <v>100800</v>
      </c>
      <c r="O1806" s="5">
        <v>0</v>
      </c>
      <c r="P1806" s="5">
        <v>2688</v>
      </c>
      <c r="Q1806" s="5">
        <v>6048</v>
      </c>
      <c r="R1806" s="5">
        <v>3360</v>
      </c>
      <c r="S1806" s="4">
        <v>94.08</v>
      </c>
      <c r="T1806" s="5">
        <v>9408</v>
      </c>
      <c r="U1806" s="5">
        <v>91392</v>
      </c>
      <c r="V1806" s="4">
        <v>169.34399999999999</v>
      </c>
      <c r="W1806" s="4">
        <v>0</v>
      </c>
      <c r="X1806" s="4">
        <v>0</v>
      </c>
      <c r="Y1806" s="4">
        <v>0</v>
      </c>
      <c r="Z1806" s="4">
        <v>1.3</v>
      </c>
      <c r="AA1806" s="4">
        <v>7.6766817838246418E-3</v>
      </c>
      <c r="AB1806" s="4">
        <v>43.2</v>
      </c>
      <c r="AC1806" s="4">
        <v>12</v>
      </c>
      <c r="AD1806" s="4">
        <v>42</v>
      </c>
      <c r="AE1806" s="8"/>
      <c r="AF1806" s="8"/>
      <c r="AG1806" s="8"/>
      <c r="AH1806" s="8"/>
      <c r="AI180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6" s="8"/>
      <c r="AK1806" s="4" t="s">
        <v>51</v>
      </c>
      <c r="AN1806">
        <f>IFERROR(INT(Table13[[#This Row],[reject_prod]]/Table13[[#This Row],[part_weight]] * 1000), 0)</f>
        <v>46</v>
      </c>
    </row>
    <row r="1807" spans="1:40" hidden="1">
      <c r="A1807" s="1">
        <v>46076</v>
      </c>
      <c r="B1807">
        <v>2</v>
      </c>
      <c r="C1807">
        <v>1</v>
      </c>
      <c r="D1807" t="s">
        <v>152</v>
      </c>
      <c r="E1807" t="s">
        <v>34</v>
      </c>
      <c r="F1807">
        <v>322517</v>
      </c>
      <c r="G1807" s="6">
        <v>0</v>
      </c>
      <c r="H1807" t="s">
        <v>959</v>
      </c>
      <c r="I1807">
        <v>10688092</v>
      </c>
      <c r="J1807">
        <v>4</v>
      </c>
      <c r="K1807">
        <v>45.3</v>
      </c>
      <c r="L1807">
        <v>45.3</v>
      </c>
      <c r="M1807">
        <v>1672</v>
      </c>
      <c r="N1807" s="2">
        <v>26000</v>
      </c>
      <c r="O1807" s="2">
        <v>0</v>
      </c>
      <c r="P1807" s="2">
        <v>130</v>
      </c>
      <c r="Q1807" s="2">
        <v>6688</v>
      </c>
      <c r="R1807" s="2">
        <v>6500</v>
      </c>
      <c r="S1807">
        <v>294.45</v>
      </c>
      <c r="T1807" s="2">
        <v>6630</v>
      </c>
      <c r="U1807" s="2">
        <v>19370</v>
      </c>
      <c r="V1807">
        <v>302.96639999999996</v>
      </c>
      <c r="W1807">
        <v>0</v>
      </c>
      <c r="X1807">
        <v>0</v>
      </c>
      <c r="Y1807">
        <v>0</v>
      </c>
      <c r="Z1807">
        <v>2.5</v>
      </c>
      <c r="AA1807">
        <v>8.2517401269579741E-3</v>
      </c>
      <c r="AB1807">
        <v>26.4</v>
      </c>
      <c r="AC1807">
        <v>12</v>
      </c>
      <c r="AD1807">
        <v>25.88</v>
      </c>
      <c r="AE1807" s="7"/>
      <c r="AF1807" s="7"/>
      <c r="AG1807" s="7"/>
      <c r="AH1807" s="7"/>
      <c r="AI1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7" s="7"/>
      <c r="AK1807" t="s">
        <v>237</v>
      </c>
      <c r="AN1807">
        <f>IFERROR(INT(Table13[[#This Row],[reject_prod]]/Table13[[#This Row],[part_weight]] * 1000), 0)</f>
        <v>55</v>
      </c>
    </row>
    <row r="1808" spans="1:40" hidden="1">
      <c r="A1808" s="1">
        <v>46076</v>
      </c>
      <c r="B1808">
        <v>2</v>
      </c>
      <c r="C1808">
        <v>2</v>
      </c>
      <c r="D1808" t="s">
        <v>141</v>
      </c>
      <c r="E1808" t="s">
        <v>34</v>
      </c>
      <c r="F1808">
        <v>543590</v>
      </c>
      <c r="G1808" s="6">
        <v>0</v>
      </c>
      <c r="H1808" t="s">
        <v>913</v>
      </c>
      <c r="I1808">
        <v>10687749</v>
      </c>
      <c r="J1808">
        <v>4</v>
      </c>
      <c r="K1808">
        <v>19</v>
      </c>
      <c r="L1808">
        <v>19</v>
      </c>
      <c r="M1808">
        <v>2176</v>
      </c>
      <c r="N1808" s="2">
        <v>132440</v>
      </c>
      <c r="O1808" s="2">
        <v>4928</v>
      </c>
      <c r="P1808" s="2">
        <v>6160</v>
      </c>
      <c r="Q1808" s="2">
        <v>8704</v>
      </c>
      <c r="R1808" s="2">
        <v>7392</v>
      </c>
      <c r="S1808">
        <v>140.44800000000001</v>
      </c>
      <c r="T1808" s="2">
        <v>43120</v>
      </c>
      <c r="U1808" s="2">
        <v>89320</v>
      </c>
      <c r="V1808">
        <v>165.376</v>
      </c>
      <c r="W1808">
        <v>0</v>
      </c>
      <c r="X1808">
        <v>0</v>
      </c>
      <c r="Y1808">
        <v>0</v>
      </c>
      <c r="Z1808">
        <v>1.5</v>
      </c>
      <c r="AA1808">
        <v>9.0702399380804943E-3</v>
      </c>
      <c r="AB1808">
        <v>19.7</v>
      </c>
      <c r="AC1808">
        <v>11.907555555555556</v>
      </c>
      <c r="AD1808">
        <v>18.72</v>
      </c>
      <c r="AE1808" s="7"/>
      <c r="AF1808" s="7"/>
      <c r="AG1808" s="7"/>
      <c r="AH1808" s="7"/>
      <c r="AI1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9.2444444444444329E-2</v>
      </c>
      <c r="AJ1808" s="7"/>
      <c r="AK1808" t="s">
        <v>193</v>
      </c>
      <c r="AN1808">
        <f>IFERROR(INT(Table13[[#This Row],[reject_prod]]/Table13[[#This Row],[part_weight]] * 1000), 0)</f>
        <v>78</v>
      </c>
    </row>
    <row r="1809" spans="1:40" hidden="1">
      <c r="A1809" s="1">
        <v>46076</v>
      </c>
      <c r="B1809">
        <v>2</v>
      </c>
      <c r="C1809">
        <v>3</v>
      </c>
      <c r="D1809" t="s">
        <v>40</v>
      </c>
      <c r="E1809" t="s">
        <v>34</v>
      </c>
      <c r="F1809">
        <v>442034</v>
      </c>
      <c r="G1809" s="6">
        <v>0</v>
      </c>
      <c r="H1809" t="s">
        <v>37</v>
      </c>
      <c r="I1809">
        <v>10685634</v>
      </c>
      <c r="J1809">
        <v>4</v>
      </c>
      <c r="K1809">
        <v>23</v>
      </c>
      <c r="L1809">
        <v>23</v>
      </c>
      <c r="M1809">
        <v>1395</v>
      </c>
      <c r="N1809" s="2">
        <v>139776</v>
      </c>
      <c r="O1809" s="2">
        <v>2688</v>
      </c>
      <c r="P1809" s="2">
        <v>3456</v>
      </c>
      <c r="Q1809" s="2">
        <v>5580</v>
      </c>
      <c r="R1809" s="2">
        <v>4608</v>
      </c>
      <c r="S1809">
        <v>105.98399999999999</v>
      </c>
      <c r="T1809" s="2">
        <v>63360</v>
      </c>
      <c r="U1809" s="2">
        <v>76416</v>
      </c>
      <c r="V1809">
        <v>128.34</v>
      </c>
      <c r="W1809">
        <v>0</v>
      </c>
      <c r="X1809">
        <v>0</v>
      </c>
      <c r="Y1809">
        <v>0</v>
      </c>
      <c r="Z1809">
        <v>4.7</v>
      </c>
      <c r="AA1809">
        <v>3.6621474209131991E-2</v>
      </c>
      <c r="AB1809">
        <v>28.5</v>
      </c>
      <c r="AC1809">
        <v>11.043750000000001</v>
      </c>
      <c r="AD1809">
        <v>22</v>
      </c>
      <c r="AE1809" s="7"/>
      <c r="AF1809" s="7"/>
      <c r="AG1809" s="7"/>
      <c r="AH1809" s="7"/>
      <c r="AI1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0.95624999999999893</v>
      </c>
      <c r="AJ1809" s="7"/>
      <c r="AK1809" t="s">
        <v>967</v>
      </c>
      <c r="AN1809">
        <f>IFERROR(INT(Table13[[#This Row],[reject_prod]]/Table13[[#This Row],[part_weight]] * 1000), 0)</f>
        <v>204</v>
      </c>
    </row>
    <row r="1810" spans="1:40" hidden="1">
      <c r="A1810" s="1">
        <v>46076</v>
      </c>
      <c r="B1810">
        <v>2</v>
      </c>
      <c r="C1810">
        <v>4</v>
      </c>
      <c r="D1810" t="s">
        <v>143</v>
      </c>
      <c r="E1810" t="s">
        <v>34</v>
      </c>
      <c r="F1810">
        <v>451191</v>
      </c>
      <c r="G1810" s="6">
        <v>0</v>
      </c>
      <c r="H1810" t="s">
        <v>946</v>
      </c>
      <c r="I1810">
        <v>10687751</v>
      </c>
      <c r="J1810">
        <v>4</v>
      </c>
      <c r="K1810">
        <v>29</v>
      </c>
      <c r="L1810">
        <v>29</v>
      </c>
      <c r="M1810">
        <v>1529</v>
      </c>
      <c r="N1810" s="2">
        <v>73440</v>
      </c>
      <c r="O1810" s="2">
        <v>765</v>
      </c>
      <c r="P1810" s="2">
        <v>2907</v>
      </c>
      <c r="Q1810" s="2">
        <v>6116</v>
      </c>
      <c r="R1810" s="2">
        <v>3672</v>
      </c>
      <c r="S1810">
        <v>106.488</v>
      </c>
      <c r="T1810" s="2">
        <v>28611</v>
      </c>
      <c r="U1810" s="2">
        <v>44829</v>
      </c>
      <c r="V1810">
        <v>177.364</v>
      </c>
      <c r="W1810">
        <v>0</v>
      </c>
      <c r="Y1810">
        <v>0</v>
      </c>
      <c r="Z1810">
        <v>8.6999999999999993</v>
      </c>
      <c r="AA1810">
        <v>4.9051667756703721E-2</v>
      </c>
      <c r="AB1810">
        <v>25.1</v>
      </c>
      <c r="AC1810">
        <v>10.660527777777778</v>
      </c>
      <c r="AD1810">
        <v>24</v>
      </c>
      <c r="AE1810" s="7"/>
      <c r="AF1810" s="7"/>
      <c r="AG1810" s="7"/>
      <c r="AH1810" s="7"/>
      <c r="AI1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1.3394722222222217</v>
      </c>
      <c r="AJ1810" s="7"/>
      <c r="AK1810" t="s">
        <v>968</v>
      </c>
      <c r="AN1810">
        <f>IFERROR(INT(Table13[[#This Row],[reject_prod]]/Table13[[#This Row],[part_weight]] * 1000), 0)</f>
        <v>300</v>
      </c>
    </row>
    <row r="1811" spans="1:40" hidden="1">
      <c r="A1811" s="1">
        <v>46076</v>
      </c>
      <c r="B1811">
        <v>2</v>
      </c>
      <c r="C1811">
        <v>5</v>
      </c>
      <c r="D1811" t="s">
        <v>254</v>
      </c>
      <c r="E1811" t="s">
        <v>34</v>
      </c>
      <c r="F1811">
        <v>597507</v>
      </c>
      <c r="G1811" s="6">
        <v>0</v>
      </c>
      <c r="H1811" t="s">
        <v>279</v>
      </c>
      <c r="I1811">
        <v>10687752</v>
      </c>
      <c r="J1811">
        <v>4</v>
      </c>
      <c r="K1811">
        <v>23</v>
      </c>
      <c r="L1811">
        <v>23</v>
      </c>
      <c r="M1811">
        <v>2002</v>
      </c>
      <c r="N1811" s="2">
        <v>86240</v>
      </c>
      <c r="O1811" s="2">
        <v>154</v>
      </c>
      <c r="P1811" s="2">
        <v>462</v>
      </c>
      <c r="Q1811" s="2">
        <v>8008</v>
      </c>
      <c r="R1811" s="2">
        <v>7546</v>
      </c>
      <c r="S1811">
        <v>173.55799999999999</v>
      </c>
      <c r="T1811" s="2">
        <v>67298</v>
      </c>
      <c r="U1811" s="2">
        <v>18942</v>
      </c>
      <c r="V1811">
        <v>184.184</v>
      </c>
      <c r="W1811">
        <v>0</v>
      </c>
      <c r="X1811">
        <v>0</v>
      </c>
      <c r="Y1811">
        <v>0</v>
      </c>
      <c r="Z1811">
        <v>3.5</v>
      </c>
      <c r="AA1811">
        <v>1.9002736394040744E-2</v>
      </c>
      <c r="AB1811">
        <v>21.7</v>
      </c>
      <c r="AC1811">
        <v>12</v>
      </c>
      <c r="AD1811">
        <v>22</v>
      </c>
      <c r="AE1811" s="7"/>
      <c r="AF1811" s="7"/>
      <c r="AG1811" s="7"/>
      <c r="AH1811" s="7"/>
      <c r="AI1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11" s="7"/>
      <c r="AK1811" t="s">
        <v>969</v>
      </c>
      <c r="AN1811">
        <f>IFERROR(INT(Table13[[#This Row],[reject_prod]]/Table13[[#This Row],[part_weight]] * 1000), 0)</f>
        <v>152</v>
      </c>
    </row>
    <row r="1812" spans="1:40" hidden="1">
      <c r="A1812" s="1">
        <v>46076</v>
      </c>
      <c r="B1812">
        <v>2</v>
      </c>
      <c r="C1812">
        <v>6</v>
      </c>
      <c r="D1812" t="s">
        <v>554</v>
      </c>
      <c r="E1812" t="s">
        <v>41</v>
      </c>
      <c r="F1812">
        <v>620994</v>
      </c>
      <c r="G1812" s="6">
        <v>0</v>
      </c>
      <c r="H1812" t="s">
        <v>42</v>
      </c>
      <c r="I1812">
        <v>10686806</v>
      </c>
      <c r="J1812">
        <v>4</v>
      </c>
      <c r="K1812">
        <v>32.74</v>
      </c>
      <c r="L1812">
        <v>33</v>
      </c>
      <c r="M1812">
        <v>1782</v>
      </c>
      <c r="N1812" s="2">
        <v>104192</v>
      </c>
      <c r="O1812" s="2">
        <v>296</v>
      </c>
      <c r="P1812" s="2">
        <v>296</v>
      </c>
      <c r="Q1812" s="2">
        <v>7128</v>
      </c>
      <c r="R1812" s="2">
        <v>7104</v>
      </c>
      <c r="S1812">
        <v>234.43199999999999</v>
      </c>
      <c r="T1812" s="2">
        <v>103304</v>
      </c>
      <c r="U1812" s="2">
        <v>888</v>
      </c>
      <c r="V1812">
        <v>235.22399999999999</v>
      </c>
      <c r="W1812">
        <v>0</v>
      </c>
      <c r="X1812">
        <v>0</v>
      </c>
      <c r="Y1812">
        <v>0</v>
      </c>
      <c r="Z1812">
        <v>0.8</v>
      </c>
      <c r="AA1812">
        <v>3.4010135020236033E-3</v>
      </c>
      <c r="AB1812">
        <v>23.9</v>
      </c>
      <c r="AC1812">
        <v>11.830499999999999</v>
      </c>
      <c r="AD1812">
        <v>22</v>
      </c>
      <c r="AE1812" s="7"/>
      <c r="AF1812" s="7"/>
      <c r="AG1812" s="7"/>
      <c r="AH1812" s="7"/>
      <c r="AI1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0.16950000000000109</v>
      </c>
      <c r="AJ1812" s="7"/>
      <c r="AK1812" t="s">
        <v>214</v>
      </c>
      <c r="AN1812">
        <f>IFERROR(INT(Table13[[#This Row],[reject_prod]]/Table13[[#This Row],[part_weight]] * 1000), 0)</f>
        <v>24</v>
      </c>
    </row>
    <row r="1813" spans="1:40" hidden="1">
      <c r="A1813" s="1">
        <v>46076</v>
      </c>
      <c r="B1813">
        <v>2</v>
      </c>
      <c r="C1813">
        <v>7</v>
      </c>
      <c r="D1813" t="s">
        <v>970</v>
      </c>
      <c r="E1813" t="s">
        <v>34</v>
      </c>
      <c r="F1813">
        <v>324165</v>
      </c>
      <c r="G1813" s="6">
        <v>0</v>
      </c>
      <c r="H1813" t="s">
        <v>44</v>
      </c>
      <c r="I1813">
        <v>10687137</v>
      </c>
      <c r="J1813">
        <v>4</v>
      </c>
      <c r="K1813">
        <v>32.56</v>
      </c>
      <c r="L1813">
        <v>33</v>
      </c>
      <c r="M1813">
        <v>1063</v>
      </c>
      <c r="N1813" s="2">
        <v>104192</v>
      </c>
      <c r="O1813" s="2">
        <v>888</v>
      </c>
      <c r="P1813" s="2">
        <v>1480</v>
      </c>
      <c r="Q1813" s="2">
        <v>4252</v>
      </c>
      <c r="R1813" s="2">
        <v>3552</v>
      </c>
      <c r="S1813">
        <v>117.21599999999999</v>
      </c>
      <c r="T1813" s="2">
        <v>44104</v>
      </c>
      <c r="U1813" s="2">
        <v>60088</v>
      </c>
      <c r="V1813">
        <v>140.316</v>
      </c>
      <c r="W1813">
        <v>0</v>
      </c>
      <c r="X1813">
        <v>0</v>
      </c>
      <c r="Y1813">
        <v>0</v>
      </c>
      <c r="Z1813">
        <v>3.5</v>
      </c>
      <c r="AA1813">
        <v>2.4943698509079505E-2</v>
      </c>
      <c r="AB1813">
        <v>22.8</v>
      </c>
      <c r="AC1813">
        <v>6.7323333333333331</v>
      </c>
      <c r="AD1813">
        <v>22</v>
      </c>
      <c r="AE1813" s="7"/>
      <c r="AF1813" s="7"/>
      <c r="AG1813" s="7"/>
      <c r="AH1813" s="7"/>
      <c r="AI1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5.2676666666666669</v>
      </c>
      <c r="AJ1813" s="7"/>
      <c r="AK1813" t="s">
        <v>971</v>
      </c>
      <c r="AN1813">
        <f>IFERROR(INT(Table13[[#This Row],[reject_prod]]/Table13[[#This Row],[part_weight]] * 1000), 0)</f>
        <v>106</v>
      </c>
    </row>
    <row r="1814" spans="1:40" hidden="1">
      <c r="A1814" s="1">
        <v>46076</v>
      </c>
      <c r="B1814">
        <v>2</v>
      </c>
      <c r="C1814">
        <v>8</v>
      </c>
      <c r="D1814" t="s">
        <v>192</v>
      </c>
      <c r="E1814" t="s">
        <v>41</v>
      </c>
      <c r="F1814">
        <v>593537</v>
      </c>
      <c r="G1814" s="6">
        <v>0</v>
      </c>
      <c r="H1814" t="s">
        <v>48</v>
      </c>
      <c r="I1814">
        <v>10688067</v>
      </c>
      <c r="J1814">
        <v>4</v>
      </c>
      <c r="K1814">
        <v>56.5</v>
      </c>
      <c r="L1814">
        <v>56.8</v>
      </c>
      <c r="M1814">
        <v>1257</v>
      </c>
      <c r="N1814" s="2">
        <v>69000</v>
      </c>
      <c r="O1814" s="2">
        <v>230</v>
      </c>
      <c r="P1814" s="2">
        <v>0</v>
      </c>
      <c r="Q1814" s="2">
        <v>5028</v>
      </c>
      <c r="R1814" s="2">
        <v>5175</v>
      </c>
      <c r="S1814">
        <v>293.94</v>
      </c>
      <c r="T1814" s="2">
        <v>12075</v>
      </c>
      <c r="U1814" s="2">
        <v>56925</v>
      </c>
      <c r="V1814">
        <v>285.59039999999999</v>
      </c>
      <c r="W1814">
        <v>0</v>
      </c>
      <c r="X1814">
        <v>0</v>
      </c>
      <c r="Y1814">
        <v>0</v>
      </c>
      <c r="Z1814">
        <v>4.5</v>
      </c>
      <c r="AA1814">
        <v>1.5756832162425627E-2</v>
      </c>
      <c r="AB1814">
        <v>30.7</v>
      </c>
      <c r="AC1814">
        <v>10.719416666666667</v>
      </c>
      <c r="AD1814">
        <v>28.5</v>
      </c>
      <c r="AE1814" s="7"/>
      <c r="AF1814" s="7"/>
      <c r="AG1814" s="7"/>
      <c r="AH1814" s="7"/>
      <c r="AI1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1.2805833333333325</v>
      </c>
      <c r="AJ1814" s="7"/>
      <c r="AK1814" t="s">
        <v>972</v>
      </c>
      <c r="AN1814">
        <f>IFERROR(INT(Table13[[#This Row],[reject_prod]]/Table13[[#This Row],[part_weight]] * 1000), 0)</f>
        <v>79</v>
      </c>
    </row>
    <row r="1815" spans="1:40" hidden="1">
      <c r="A1815" s="1">
        <v>46076</v>
      </c>
      <c r="B1815">
        <v>2</v>
      </c>
      <c r="C1815">
        <v>9</v>
      </c>
      <c r="D1815" t="s">
        <v>61</v>
      </c>
      <c r="E1815" t="s">
        <v>46</v>
      </c>
      <c r="F1815">
        <v>586276</v>
      </c>
      <c r="G1815" s="6">
        <v>1</v>
      </c>
      <c r="H1815" t="s">
        <v>47</v>
      </c>
      <c r="I1815">
        <v>10686684</v>
      </c>
      <c r="J1815">
        <v>6</v>
      </c>
      <c r="K1815">
        <v>12.3</v>
      </c>
      <c r="L1815">
        <v>12.3</v>
      </c>
      <c r="M1815">
        <v>1628</v>
      </c>
      <c r="N1815" s="2">
        <v>162000</v>
      </c>
      <c r="O1815" s="2">
        <v>3240</v>
      </c>
      <c r="P1815" s="2">
        <v>4860</v>
      </c>
      <c r="Q1815" s="2">
        <v>9768</v>
      </c>
      <c r="R1815" s="2">
        <v>8100</v>
      </c>
      <c r="S1815">
        <v>99.63</v>
      </c>
      <c r="T1815" s="2">
        <v>93960</v>
      </c>
      <c r="U1815" s="2">
        <v>68040</v>
      </c>
      <c r="V1815">
        <v>120.14640000000001</v>
      </c>
      <c r="W1815">
        <v>0</v>
      </c>
      <c r="X1815">
        <v>0</v>
      </c>
      <c r="Y1815">
        <v>0</v>
      </c>
      <c r="Z1815">
        <v>0.5</v>
      </c>
      <c r="AA1815">
        <v>4.1615895274431857E-3</v>
      </c>
      <c r="AB1815">
        <v>26.5</v>
      </c>
      <c r="AC1815">
        <v>11.983888888888888</v>
      </c>
      <c r="AD1815">
        <v>26</v>
      </c>
      <c r="AE1815" s="7"/>
      <c r="AF1815" s="7"/>
      <c r="AG1815" s="7"/>
      <c r="AH1815" s="7"/>
      <c r="AI1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1.6111111111111853E-2</v>
      </c>
      <c r="AJ1815" s="7"/>
      <c r="AK1815" t="s">
        <v>51</v>
      </c>
      <c r="AN1815">
        <f>IFERROR(INT(Table13[[#This Row],[reject_prod]]/Table13[[#This Row],[part_weight]] * 1000), 0)</f>
        <v>40</v>
      </c>
    </row>
    <row r="1816" spans="1:40" hidden="1">
      <c r="A1816" s="1">
        <v>46076</v>
      </c>
      <c r="B1816">
        <v>2</v>
      </c>
      <c r="C1816">
        <v>10</v>
      </c>
      <c r="D1816" t="s">
        <v>69</v>
      </c>
      <c r="E1816" t="s">
        <v>34</v>
      </c>
      <c r="F1816">
        <v>323092</v>
      </c>
      <c r="G1816" s="6">
        <v>0</v>
      </c>
      <c r="H1816" t="s">
        <v>377</v>
      </c>
      <c r="I1816">
        <v>10686686</v>
      </c>
      <c r="J1816">
        <v>4</v>
      </c>
      <c r="K1816">
        <v>48.9</v>
      </c>
      <c r="L1816">
        <v>48.9</v>
      </c>
      <c r="M1816">
        <v>851</v>
      </c>
      <c r="N1816" s="2">
        <v>37800</v>
      </c>
      <c r="O1816" s="2">
        <v>315</v>
      </c>
      <c r="P1816" s="2">
        <v>0</v>
      </c>
      <c r="Q1816" s="2">
        <v>3404</v>
      </c>
      <c r="R1816" s="2">
        <v>3675</v>
      </c>
      <c r="S1816">
        <v>179.70750000000001</v>
      </c>
      <c r="T1816" s="2">
        <v>37800</v>
      </c>
      <c r="U1816" s="2">
        <v>0</v>
      </c>
      <c r="V1816">
        <v>166.4556</v>
      </c>
      <c r="W1816">
        <v>0</v>
      </c>
      <c r="X1816">
        <v>0</v>
      </c>
      <c r="Y1816">
        <v>0</v>
      </c>
      <c r="Z1816">
        <v>2.2000000000000002</v>
      </c>
      <c r="AA1816">
        <v>1.321673767659364E-2</v>
      </c>
      <c r="AB1816">
        <v>30.75</v>
      </c>
      <c r="AC1816">
        <v>7.268958333333333</v>
      </c>
      <c r="AD1816">
        <v>27.6</v>
      </c>
      <c r="AE1816" s="7"/>
      <c r="AF1816" s="7"/>
      <c r="AG1816" s="7"/>
      <c r="AH1816" s="7"/>
      <c r="AI1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4.731041666666667</v>
      </c>
      <c r="AJ1816" s="7"/>
      <c r="AK1816" t="s">
        <v>973</v>
      </c>
      <c r="AN1816">
        <f>IFERROR(INT(Table13[[#This Row],[reject_prod]]/Table13[[#This Row],[part_weight]] * 1000), 0)</f>
        <v>44</v>
      </c>
    </row>
    <row r="1817" spans="1:40" hidden="1">
      <c r="A1817" s="1">
        <v>46076</v>
      </c>
      <c r="B1817">
        <v>2</v>
      </c>
      <c r="C1817">
        <v>10</v>
      </c>
      <c r="E1817" t="s">
        <v>34</v>
      </c>
      <c r="F1817">
        <v>650368</v>
      </c>
      <c r="G1817" s="6">
        <v>0</v>
      </c>
      <c r="H1817" t="s">
        <v>974</v>
      </c>
      <c r="I1817">
        <v>10686809</v>
      </c>
      <c r="J1817">
        <v>4</v>
      </c>
      <c r="K1817">
        <v>57</v>
      </c>
      <c r="L1817">
        <v>56.9</v>
      </c>
      <c r="M1817">
        <v>0</v>
      </c>
      <c r="N1817" s="2">
        <v>7680</v>
      </c>
      <c r="O1817" s="2">
        <v>0</v>
      </c>
      <c r="P1817" s="2">
        <v>0</v>
      </c>
      <c r="Q1817" s="2">
        <v>0</v>
      </c>
      <c r="R1817" s="2">
        <v>0</v>
      </c>
      <c r="S1817">
        <v>0</v>
      </c>
      <c r="T1817" s="2">
        <v>0</v>
      </c>
      <c r="U1817" s="2">
        <v>7680</v>
      </c>
      <c r="V1817">
        <v>0</v>
      </c>
      <c r="W1817">
        <v>0</v>
      </c>
      <c r="X1817">
        <v>16.5</v>
      </c>
      <c r="Y1817" t="e">
        <v>#DIV/0!</v>
      </c>
      <c r="Z1817">
        <v>0</v>
      </c>
      <c r="AA1817" t="e">
        <v>#DIV/0!</v>
      </c>
      <c r="AB1817">
        <v>0</v>
      </c>
      <c r="AC1817">
        <v>0</v>
      </c>
      <c r="AD1817">
        <v>26</v>
      </c>
      <c r="AE1817" s="7">
        <v>4.7</v>
      </c>
      <c r="AF1817" s="7"/>
      <c r="AG1817" s="7"/>
      <c r="AH1817" s="7"/>
      <c r="AI1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</v>
      </c>
      <c r="AJ1817" s="7"/>
      <c r="AK1817" t="s">
        <v>975</v>
      </c>
      <c r="AN1817">
        <f>IFERROR(INT(Table13[[#This Row],[reject_prod]]/Table13[[#This Row],[part_weight]] * 1000), 0)</f>
        <v>0</v>
      </c>
    </row>
    <row r="1818" spans="1:40" hidden="1">
      <c r="A1818" s="1">
        <v>46076</v>
      </c>
      <c r="B1818">
        <v>2</v>
      </c>
      <c r="C1818">
        <v>11</v>
      </c>
      <c r="D1818" t="s">
        <v>112</v>
      </c>
      <c r="E1818" t="s">
        <v>46</v>
      </c>
      <c r="F1818">
        <v>552181</v>
      </c>
      <c r="G1818" s="6">
        <v>1</v>
      </c>
      <c r="H1818" t="s">
        <v>49</v>
      </c>
      <c r="I1818">
        <v>10686673</v>
      </c>
      <c r="J1818">
        <v>6</v>
      </c>
      <c r="K1818">
        <v>18.8</v>
      </c>
      <c r="L1818">
        <v>18.8</v>
      </c>
      <c r="M1818">
        <v>1507</v>
      </c>
      <c r="N1818" s="2">
        <v>108000</v>
      </c>
      <c r="O1818" s="2">
        <v>4050</v>
      </c>
      <c r="P1818" s="2">
        <v>0</v>
      </c>
      <c r="Q1818" s="2">
        <v>9042</v>
      </c>
      <c r="R1818" s="2">
        <v>16200</v>
      </c>
      <c r="S1818">
        <v>304.56</v>
      </c>
      <c r="T1818" s="2">
        <v>48600</v>
      </c>
      <c r="U1818" s="2">
        <v>59400</v>
      </c>
      <c r="V1818">
        <v>169.9896</v>
      </c>
      <c r="W1818">
        <v>0</v>
      </c>
      <c r="X1818">
        <v>0</v>
      </c>
      <c r="Y1818">
        <v>0</v>
      </c>
      <c r="Z1818">
        <v>2.5</v>
      </c>
      <c r="AA1818">
        <v>1.4706782061961438E-2</v>
      </c>
      <c r="AB1818">
        <v>28.46</v>
      </c>
      <c r="AC1818">
        <v>11.913672222222223</v>
      </c>
      <c r="AD1818">
        <v>27</v>
      </c>
      <c r="AE1818" s="7"/>
      <c r="AF1818" s="7"/>
      <c r="AG1818" s="7"/>
      <c r="AH1818" s="7"/>
      <c r="AI1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818" s="7"/>
      <c r="AK1818" t="s">
        <v>976</v>
      </c>
      <c r="AN1818">
        <f>IFERROR(INT(Table13[[#This Row],[reject_prod]]/Table13[[#This Row],[part_weight]] * 1000), 0)</f>
        <v>132</v>
      </c>
    </row>
    <row r="1819" spans="1:40" hidden="1">
      <c r="A1819" s="1">
        <v>46076</v>
      </c>
      <c r="B1819">
        <v>2</v>
      </c>
      <c r="C1819">
        <v>12</v>
      </c>
      <c r="D1819" t="s">
        <v>65</v>
      </c>
      <c r="E1819" t="s">
        <v>34</v>
      </c>
      <c r="F1819">
        <v>620599</v>
      </c>
      <c r="G1819" s="6">
        <v>0</v>
      </c>
      <c r="H1819" t="s">
        <v>50</v>
      </c>
      <c r="I1819">
        <v>10686675</v>
      </c>
      <c r="J1819">
        <v>4</v>
      </c>
      <c r="K1819">
        <v>55</v>
      </c>
      <c r="L1819">
        <v>55</v>
      </c>
      <c r="M1819">
        <v>1520</v>
      </c>
      <c r="N1819" s="2">
        <v>72000</v>
      </c>
      <c r="O1819" s="2">
        <v>225</v>
      </c>
      <c r="P1819" s="2">
        <v>675</v>
      </c>
      <c r="Q1819" s="2">
        <v>6080</v>
      </c>
      <c r="R1819" s="2">
        <v>5400</v>
      </c>
      <c r="S1819">
        <v>297</v>
      </c>
      <c r="T1819" s="2">
        <v>38475</v>
      </c>
      <c r="U1819" s="2">
        <v>33525</v>
      </c>
      <c r="V1819">
        <v>334.4</v>
      </c>
      <c r="W1819">
        <v>0</v>
      </c>
      <c r="X1819">
        <v>0</v>
      </c>
      <c r="Y1819">
        <v>0</v>
      </c>
      <c r="Z1819">
        <v>12.5</v>
      </c>
      <c r="AA1819">
        <v>3.7380382775119618E-2</v>
      </c>
      <c r="AB1819">
        <v>28.8</v>
      </c>
      <c r="AC1819">
        <v>12</v>
      </c>
      <c r="AD1819">
        <v>28</v>
      </c>
      <c r="AE1819" s="7"/>
      <c r="AF1819" s="7"/>
      <c r="AG1819" s="7"/>
      <c r="AH1819" s="7"/>
      <c r="AI1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19" s="7"/>
      <c r="AK1819" t="s">
        <v>178</v>
      </c>
      <c r="AN1819">
        <f>IFERROR(INT(Table13[[#This Row],[reject_prod]]/Table13[[#This Row],[part_weight]] * 1000), 0)</f>
        <v>227</v>
      </c>
    </row>
    <row r="1820" spans="1:40" hidden="1">
      <c r="A1820" s="1">
        <v>46076</v>
      </c>
      <c r="B1820">
        <v>2</v>
      </c>
      <c r="C1820">
        <v>13</v>
      </c>
      <c r="D1820" t="s">
        <v>112</v>
      </c>
      <c r="E1820" t="s">
        <v>46</v>
      </c>
      <c r="F1820">
        <v>586276</v>
      </c>
      <c r="G1820" s="6">
        <v>2</v>
      </c>
      <c r="H1820" t="s">
        <v>47</v>
      </c>
      <c r="I1820">
        <v>10686677</v>
      </c>
      <c r="J1820">
        <v>6</v>
      </c>
      <c r="K1820">
        <v>12.3</v>
      </c>
      <c r="L1820">
        <v>12.3</v>
      </c>
      <c r="M1820">
        <v>1627</v>
      </c>
      <c r="N1820" s="2">
        <v>162000</v>
      </c>
      <c r="O1820" s="2">
        <v>6480</v>
      </c>
      <c r="P1820" s="2">
        <v>0</v>
      </c>
      <c r="Q1820" s="2">
        <v>9762</v>
      </c>
      <c r="R1820" s="2">
        <v>16200</v>
      </c>
      <c r="S1820">
        <v>199.26</v>
      </c>
      <c r="T1820" s="2">
        <v>64800</v>
      </c>
      <c r="U1820" s="2">
        <v>97200</v>
      </c>
      <c r="V1820">
        <v>120.07260000000001</v>
      </c>
      <c r="W1820">
        <v>0</v>
      </c>
      <c r="X1820">
        <v>0</v>
      </c>
      <c r="Y1820">
        <v>0</v>
      </c>
      <c r="Z1820">
        <v>0.5</v>
      </c>
      <c r="AA1820">
        <v>4.1641473575153697E-3</v>
      </c>
      <c r="AB1820">
        <v>26.2</v>
      </c>
      <c r="AC1820">
        <v>11.840944444444444</v>
      </c>
      <c r="AD1820">
        <v>26</v>
      </c>
      <c r="AE1820" s="7"/>
      <c r="AF1820" s="7"/>
      <c r="AG1820" s="7"/>
      <c r="AH1820" s="7"/>
      <c r="AI1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1820" s="7"/>
      <c r="AK1820" t="s">
        <v>51</v>
      </c>
      <c r="AN1820">
        <f>IFERROR(INT(Table13[[#This Row],[reject_prod]]/Table13[[#This Row],[part_weight]] * 1000), 0)</f>
        <v>40</v>
      </c>
    </row>
    <row r="1821" spans="1:40" hidden="1">
      <c r="A1821" s="1">
        <v>46076</v>
      </c>
      <c r="B1821">
        <v>2</v>
      </c>
      <c r="C1821">
        <v>14</v>
      </c>
      <c r="D1821" t="s">
        <v>67</v>
      </c>
      <c r="E1821" t="s">
        <v>34</v>
      </c>
      <c r="F1821">
        <v>541381</v>
      </c>
      <c r="G1821" s="6">
        <v>0</v>
      </c>
      <c r="H1821" t="s">
        <v>804</v>
      </c>
      <c r="I1821">
        <v>10686678</v>
      </c>
      <c r="J1821">
        <v>4</v>
      </c>
      <c r="K1821">
        <v>55</v>
      </c>
      <c r="L1821">
        <v>55</v>
      </c>
      <c r="M1821">
        <v>1500</v>
      </c>
      <c r="N1821" s="2">
        <v>84000</v>
      </c>
      <c r="O1821" s="2">
        <v>175</v>
      </c>
      <c r="P1821" s="2">
        <v>525</v>
      </c>
      <c r="Q1821" s="2">
        <v>6000</v>
      </c>
      <c r="R1821" s="2">
        <v>5600</v>
      </c>
      <c r="S1821">
        <v>308</v>
      </c>
      <c r="T1821" s="2">
        <v>78925</v>
      </c>
      <c r="U1821" s="2">
        <v>5075</v>
      </c>
      <c r="V1821">
        <v>330</v>
      </c>
      <c r="W1821">
        <v>0</v>
      </c>
      <c r="X1821">
        <v>0</v>
      </c>
      <c r="Y1821">
        <v>0</v>
      </c>
      <c r="Z1821">
        <v>2.5</v>
      </c>
      <c r="AA1821">
        <v>7.575757575757576E-3</v>
      </c>
      <c r="AB1821">
        <v>27.81</v>
      </c>
      <c r="AC1821">
        <v>11.587499999999999</v>
      </c>
      <c r="AD1821">
        <v>30.08</v>
      </c>
      <c r="AE1821" s="7"/>
      <c r="AF1821" s="7"/>
      <c r="AG1821" s="7"/>
      <c r="AH1821" s="7"/>
      <c r="AI1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0.41250000000000142</v>
      </c>
      <c r="AJ1821" s="7"/>
      <c r="AK1821" t="s">
        <v>178</v>
      </c>
      <c r="AN1821">
        <f>IFERROR(INT(Table13[[#This Row],[reject_prod]]/Table13[[#This Row],[part_weight]] * 1000), 0)</f>
        <v>45</v>
      </c>
    </row>
    <row r="1822" spans="1:40" hidden="1">
      <c r="A1822" s="1">
        <v>46076</v>
      </c>
      <c r="B1822">
        <v>2</v>
      </c>
      <c r="C1822">
        <v>15</v>
      </c>
      <c r="D1822" t="s">
        <v>112</v>
      </c>
      <c r="E1822" t="s">
        <v>46</v>
      </c>
      <c r="F1822">
        <v>550076</v>
      </c>
      <c r="G1822" s="6">
        <v>0</v>
      </c>
      <c r="H1822" t="s">
        <v>857</v>
      </c>
      <c r="I1822">
        <v>10687863</v>
      </c>
      <c r="J1822">
        <v>6</v>
      </c>
      <c r="K1822">
        <v>18.8</v>
      </c>
      <c r="L1822">
        <v>18.8</v>
      </c>
      <c r="M1822">
        <v>1228</v>
      </c>
      <c r="N1822" s="2">
        <v>108000</v>
      </c>
      <c r="O1822" s="2">
        <v>3510</v>
      </c>
      <c r="P1822" s="2">
        <v>0</v>
      </c>
      <c r="Q1822" s="2">
        <v>7368</v>
      </c>
      <c r="R1822" s="2">
        <v>10800</v>
      </c>
      <c r="S1822">
        <v>203.04</v>
      </c>
      <c r="T1822" s="2">
        <v>108000</v>
      </c>
      <c r="U1822" s="2">
        <v>0</v>
      </c>
      <c r="V1822">
        <v>138.51839999999999</v>
      </c>
      <c r="W1822">
        <v>0</v>
      </c>
      <c r="X1822">
        <v>0</v>
      </c>
      <c r="Y1822">
        <v>0</v>
      </c>
      <c r="Z1822">
        <v>1.5</v>
      </c>
      <c r="AA1822">
        <v>1.0828886270704831E-2</v>
      </c>
      <c r="AB1822">
        <v>31.3</v>
      </c>
      <c r="AC1822">
        <v>10.676777777777778</v>
      </c>
      <c r="AD1822">
        <v>22.5</v>
      </c>
      <c r="AE1822" s="7"/>
      <c r="AF1822" s="7"/>
      <c r="AG1822" s="7"/>
      <c r="AH1822" s="7"/>
      <c r="AI1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1.3232222222222223</v>
      </c>
      <c r="AJ1822" s="7"/>
      <c r="AK1822" t="s">
        <v>977</v>
      </c>
      <c r="AN1822">
        <f>IFERROR(INT(Table13[[#This Row],[reject_prod]]/Table13[[#This Row],[part_weight]] * 1000), 0)</f>
        <v>79</v>
      </c>
    </row>
    <row r="1823" spans="1:40" s="4" customFormat="1" hidden="1">
      <c r="A1823" s="3">
        <v>46076</v>
      </c>
      <c r="B1823" s="4">
        <v>2</v>
      </c>
      <c r="C1823" s="4">
        <v>16</v>
      </c>
      <c r="D1823" s="4" t="s">
        <v>108</v>
      </c>
      <c r="E1823" s="4" t="s">
        <v>46</v>
      </c>
      <c r="F1823" s="4">
        <v>555979</v>
      </c>
      <c r="G1823" s="9">
        <v>2</v>
      </c>
      <c r="H1823" s="4" t="s">
        <v>52</v>
      </c>
      <c r="I1823" s="4">
        <v>10686701</v>
      </c>
      <c r="J1823" s="4">
        <v>6</v>
      </c>
      <c r="K1823" s="4">
        <v>28</v>
      </c>
      <c r="L1823" s="4">
        <v>28</v>
      </c>
      <c r="M1823" s="4">
        <v>983</v>
      </c>
      <c r="N1823" s="5">
        <v>100800</v>
      </c>
      <c r="O1823" s="5">
        <v>2688</v>
      </c>
      <c r="P1823" s="5">
        <v>1848</v>
      </c>
      <c r="Q1823" s="5">
        <v>5898</v>
      </c>
      <c r="R1823" s="5">
        <v>6720</v>
      </c>
      <c r="S1823" s="4">
        <v>188.16</v>
      </c>
      <c r="T1823" s="5">
        <v>15288</v>
      </c>
      <c r="U1823" s="5">
        <v>85512</v>
      </c>
      <c r="V1823" s="4">
        <v>165.14400000000001</v>
      </c>
      <c r="W1823" s="4">
        <v>0</v>
      </c>
      <c r="X1823" s="4">
        <v>0</v>
      </c>
      <c r="Y1823" s="4">
        <v>0</v>
      </c>
      <c r="Z1823" s="4">
        <v>0.5</v>
      </c>
      <c r="AA1823" s="4">
        <v>3.0276607082303929E-3</v>
      </c>
      <c r="AB1823" s="4">
        <v>43.2</v>
      </c>
      <c r="AC1823" s="4">
        <v>11.795999999999999</v>
      </c>
      <c r="AD1823" s="4">
        <v>42</v>
      </c>
      <c r="AE1823" s="8"/>
      <c r="AF1823" s="8"/>
      <c r="AG1823" s="8"/>
      <c r="AH1823" s="8"/>
      <c r="AI182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0.20400000000000063</v>
      </c>
      <c r="AJ1823" s="8"/>
      <c r="AK1823" s="4" t="s">
        <v>51</v>
      </c>
      <c r="AN1823">
        <f>IFERROR(INT(Table13[[#This Row],[reject_prod]]/Table13[[#This Row],[part_weight]] * 1000), 0)</f>
        <v>17</v>
      </c>
    </row>
    <row r="1824" spans="1:40" hidden="1">
      <c r="A1824" s="1">
        <v>46077</v>
      </c>
      <c r="B1824">
        <v>1</v>
      </c>
      <c r="C1824">
        <v>1</v>
      </c>
      <c r="D1824" t="s">
        <v>167</v>
      </c>
      <c r="E1824" t="s">
        <v>34</v>
      </c>
      <c r="F1824">
        <v>322517</v>
      </c>
      <c r="G1824" s="6">
        <v>0</v>
      </c>
      <c r="H1824" t="s">
        <v>959</v>
      </c>
      <c r="I1824">
        <v>10688092</v>
      </c>
      <c r="J1824">
        <v>4</v>
      </c>
      <c r="K1824">
        <v>45.3</v>
      </c>
      <c r="L1824">
        <v>45.3</v>
      </c>
      <c r="M1824">
        <v>1535</v>
      </c>
      <c r="N1824" s="2">
        <v>26000</v>
      </c>
      <c r="O1824" s="2">
        <v>130</v>
      </c>
      <c r="P1824" s="2">
        <v>390</v>
      </c>
      <c r="Q1824" s="2">
        <v>6140</v>
      </c>
      <c r="R1824" s="2">
        <v>5850</v>
      </c>
      <c r="S1824">
        <v>265.005</v>
      </c>
      <c r="T1824" s="2">
        <v>12740</v>
      </c>
      <c r="U1824" s="2">
        <v>13260</v>
      </c>
      <c r="V1824">
        <v>278.142</v>
      </c>
      <c r="W1824">
        <v>0</v>
      </c>
      <c r="X1824">
        <v>0</v>
      </c>
      <c r="Y1824">
        <v>0</v>
      </c>
      <c r="Z1824">
        <v>3.1</v>
      </c>
      <c r="AA1824">
        <v>1.114538616965435E-2</v>
      </c>
      <c r="AB1824">
        <v>26.4</v>
      </c>
      <c r="AC1824">
        <v>11.256666666666666</v>
      </c>
      <c r="AD1824">
        <v>25.88</v>
      </c>
      <c r="AE1824" s="7"/>
      <c r="AF1824" s="7"/>
      <c r="AG1824" s="7"/>
      <c r="AH1824" s="7"/>
      <c r="AI1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0.74333333333333407</v>
      </c>
      <c r="AJ1824" s="7"/>
      <c r="AK1824" t="s">
        <v>978</v>
      </c>
      <c r="AM1824">
        <v>4</v>
      </c>
      <c r="AN1824">
        <f>IFERROR(INT(Table13[[#This Row],[reject_prod]]/Table13[[#This Row],[part_weight]] * 1000), 0)</f>
        <v>68</v>
      </c>
    </row>
    <row r="1825" spans="1:40" hidden="1">
      <c r="A1825" s="1">
        <v>46077</v>
      </c>
      <c r="B1825">
        <v>1</v>
      </c>
      <c r="C1825">
        <v>2</v>
      </c>
      <c r="D1825" t="s">
        <v>289</v>
      </c>
      <c r="E1825" t="s">
        <v>34</v>
      </c>
      <c r="F1825">
        <v>543590</v>
      </c>
      <c r="G1825" s="6">
        <v>0</v>
      </c>
      <c r="H1825" t="s">
        <v>913</v>
      </c>
      <c r="I1825">
        <v>10687749</v>
      </c>
      <c r="J1825">
        <v>4</v>
      </c>
      <c r="K1825">
        <v>19</v>
      </c>
      <c r="L1825">
        <v>19</v>
      </c>
      <c r="M1825">
        <v>2206</v>
      </c>
      <c r="N1825" s="2">
        <v>132440</v>
      </c>
      <c r="O1825" s="2">
        <v>6160</v>
      </c>
      <c r="P1825" s="2">
        <v>200</v>
      </c>
      <c r="Q1825" s="2">
        <v>8824</v>
      </c>
      <c r="R1825" s="2">
        <v>14784</v>
      </c>
      <c r="S1825">
        <v>280.89600000000002</v>
      </c>
      <c r="T1825" s="2">
        <v>51944</v>
      </c>
      <c r="U1825" s="2">
        <v>80496</v>
      </c>
      <c r="V1825">
        <v>167.65600000000001</v>
      </c>
      <c r="W1825">
        <v>0</v>
      </c>
      <c r="X1825">
        <v>0</v>
      </c>
      <c r="Y1825">
        <v>0</v>
      </c>
      <c r="Z1825">
        <v>1</v>
      </c>
      <c r="AA1825">
        <v>5.9645941690127406E-3</v>
      </c>
      <c r="AB1825">
        <v>19.7</v>
      </c>
      <c r="AC1825">
        <v>12</v>
      </c>
      <c r="AD1825">
        <v>18.72</v>
      </c>
      <c r="AE1825" s="7"/>
      <c r="AF1825" s="7"/>
      <c r="AG1825" s="7"/>
      <c r="AH1825" s="7"/>
      <c r="AI1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25" s="7"/>
      <c r="AK1825" t="s">
        <v>193</v>
      </c>
      <c r="AN1825">
        <f>IFERROR(INT(Table13[[#This Row],[reject_prod]]/Table13[[#This Row],[part_weight]] * 1000), 0)</f>
        <v>52</v>
      </c>
    </row>
    <row r="1826" spans="1:40" hidden="1">
      <c r="A1826" s="1">
        <v>46077</v>
      </c>
      <c r="B1826">
        <v>1</v>
      </c>
      <c r="C1826">
        <v>3</v>
      </c>
      <c r="D1826" t="s">
        <v>88</v>
      </c>
      <c r="E1826" t="s">
        <v>34</v>
      </c>
      <c r="F1826">
        <v>442034</v>
      </c>
      <c r="G1826" s="6">
        <v>0</v>
      </c>
      <c r="H1826" t="s">
        <v>37</v>
      </c>
      <c r="I1826">
        <v>10685634</v>
      </c>
      <c r="J1826">
        <v>4</v>
      </c>
      <c r="K1826">
        <v>23</v>
      </c>
      <c r="L1826">
        <v>23</v>
      </c>
      <c r="M1826">
        <v>1460</v>
      </c>
      <c r="N1826" s="2">
        <v>139776</v>
      </c>
      <c r="O1826" s="2">
        <v>3456</v>
      </c>
      <c r="P1826" s="2">
        <v>0</v>
      </c>
      <c r="Q1826" s="2">
        <v>5840</v>
      </c>
      <c r="R1826" s="2">
        <v>9216</v>
      </c>
      <c r="S1826">
        <v>211.96799999999999</v>
      </c>
      <c r="T1826" s="2">
        <v>69120</v>
      </c>
      <c r="U1826" s="2">
        <v>70656</v>
      </c>
      <c r="V1826">
        <v>134.32</v>
      </c>
      <c r="W1826">
        <v>0</v>
      </c>
      <c r="X1826">
        <v>0</v>
      </c>
      <c r="Y1826">
        <v>0</v>
      </c>
      <c r="Z1826">
        <v>3.2</v>
      </c>
      <c r="AA1826">
        <v>2.3823704586063137E-2</v>
      </c>
      <c r="AB1826">
        <v>28.5</v>
      </c>
      <c r="AC1826">
        <v>11.558333333333334</v>
      </c>
      <c r="AD1826">
        <v>22</v>
      </c>
      <c r="AE1826" s="7"/>
      <c r="AF1826" s="7"/>
      <c r="AG1826" s="7"/>
      <c r="AH1826" s="7"/>
      <c r="AI1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826" s="7"/>
      <c r="AK1826" t="s">
        <v>103</v>
      </c>
      <c r="AN1826">
        <f>IFERROR(INT(Table13[[#This Row],[reject_prod]]/Table13[[#This Row],[part_weight]] * 1000), 0)</f>
        <v>139</v>
      </c>
    </row>
    <row r="1827" spans="1:40" hidden="1">
      <c r="A1827" s="1">
        <v>46077</v>
      </c>
      <c r="B1827">
        <v>1</v>
      </c>
      <c r="C1827">
        <v>4</v>
      </c>
      <c r="D1827" t="s">
        <v>84</v>
      </c>
      <c r="E1827" t="s">
        <v>34</v>
      </c>
      <c r="F1827">
        <v>451191</v>
      </c>
      <c r="G1827" s="6">
        <v>0</v>
      </c>
      <c r="H1827" t="s">
        <v>946</v>
      </c>
      <c r="I1827">
        <v>10687751</v>
      </c>
      <c r="J1827">
        <v>4</v>
      </c>
      <c r="K1827">
        <v>29</v>
      </c>
      <c r="L1827">
        <v>29</v>
      </c>
      <c r="M1827">
        <v>1643</v>
      </c>
      <c r="N1827" s="2">
        <v>73440</v>
      </c>
      <c r="O1827" s="2">
        <v>2907</v>
      </c>
      <c r="P1827" s="2">
        <v>1836</v>
      </c>
      <c r="Q1827" s="2">
        <v>6572</v>
      </c>
      <c r="R1827" s="2">
        <v>7344</v>
      </c>
      <c r="S1827">
        <v>212.976</v>
      </c>
      <c r="T1827" s="2">
        <v>34884</v>
      </c>
      <c r="U1827" s="2">
        <v>38556</v>
      </c>
      <c r="V1827">
        <v>190.58799999999999</v>
      </c>
      <c r="W1827">
        <v>0</v>
      </c>
      <c r="X1827">
        <v>0</v>
      </c>
      <c r="Y1827">
        <v>0</v>
      </c>
      <c r="Z1827">
        <v>3.2</v>
      </c>
      <c r="AA1827">
        <v>1.6790144185363193E-2</v>
      </c>
      <c r="AB1827">
        <v>25.1</v>
      </c>
      <c r="AC1827">
        <v>11.455361111111111</v>
      </c>
      <c r="AD1827">
        <v>24</v>
      </c>
      <c r="AE1827" s="7"/>
      <c r="AF1827" s="7"/>
      <c r="AG1827" s="7"/>
      <c r="AH1827" s="7"/>
      <c r="AI1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0.54463888888888867</v>
      </c>
      <c r="AJ1827" s="7"/>
      <c r="AK1827" t="s">
        <v>75</v>
      </c>
      <c r="AN1827">
        <f>IFERROR(INT(Table13[[#This Row],[reject_prod]]/Table13[[#This Row],[part_weight]] * 1000), 0)</f>
        <v>110</v>
      </c>
    </row>
    <row r="1828" spans="1:40" hidden="1">
      <c r="A1828" s="1">
        <v>46077</v>
      </c>
      <c r="B1828">
        <v>1</v>
      </c>
      <c r="C1828">
        <v>5</v>
      </c>
      <c r="D1828" t="s">
        <v>979</v>
      </c>
      <c r="E1828" t="s">
        <v>34</v>
      </c>
      <c r="F1828">
        <v>597507</v>
      </c>
      <c r="G1828" s="6">
        <v>0</v>
      </c>
      <c r="H1828" t="s">
        <v>279</v>
      </c>
      <c r="I1828">
        <v>10687752</v>
      </c>
      <c r="J1828">
        <v>4</v>
      </c>
      <c r="K1828">
        <v>23</v>
      </c>
      <c r="L1828">
        <v>23</v>
      </c>
      <c r="M1828">
        <v>1890</v>
      </c>
      <c r="N1828" s="2">
        <v>86240</v>
      </c>
      <c r="O1828" s="2">
        <v>462</v>
      </c>
      <c r="P1828" s="2">
        <v>462</v>
      </c>
      <c r="Q1828" s="2">
        <v>7560</v>
      </c>
      <c r="R1828" s="2">
        <v>7546</v>
      </c>
      <c r="S1828">
        <v>173.55799999999999</v>
      </c>
      <c r="T1828" s="2">
        <v>74844</v>
      </c>
      <c r="U1828" s="2">
        <v>11396</v>
      </c>
      <c r="V1828">
        <v>173.88</v>
      </c>
      <c r="W1828">
        <v>0</v>
      </c>
      <c r="X1828">
        <v>0</v>
      </c>
      <c r="Y1828">
        <v>0</v>
      </c>
      <c r="Z1828">
        <v>11.3</v>
      </c>
      <c r="AA1828">
        <v>6.4987347596043257E-2</v>
      </c>
      <c r="AB1828">
        <v>21.7</v>
      </c>
      <c r="AC1828">
        <v>11.3925</v>
      </c>
      <c r="AD1828">
        <v>22</v>
      </c>
      <c r="AE1828" s="7"/>
      <c r="AF1828" s="7"/>
      <c r="AG1828" s="7"/>
      <c r="AH1828" s="7"/>
      <c r="AI1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0.60749999999999993</v>
      </c>
      <c r="AJ1828" s="7"/>
      <c r="AK1828" t="s">
        <v>980</v>
      </c>
      <c r="AN1828">
        <f>IFERROR(INT(Table13[[#This Row],[reject_prod]]/Table13[[#This Row],[part_weight]] * 1000), 0)</f>
        <v>491</v>
      </c>
    </row>
    <row r="1829" spans="1:40" hidden="1">
      <c r="A1829" s="1">
        <v>46077</v>
      </c>
      <c r="B1829">
        <v>1</v>
      </c>
      <c r="C1829">
        <v>6</v>
      </c>
      <c r="D1829" t="s">
        <v>981</v>
      </c>
      <c r="E1829" t="s">
        <v>41</v>
      </c>
      <c r="F1829">
        <v>620994</v>
      </c>
      <c r="G1829" s="6">
        <v>0</v>
      </c>
      <c r="H1829" t="s">
        <v>42</v>
      </c>
      <c r="I1829">
        <v>10686806</v>
      </c>
      <c r="J1829">
        <v>4</v>
      </c>
      <c r="K1829">
        <v>32.74</v>
      </c>
      <c r="L1829">
        <v>33</v>
      </c>
      <c r="M1829">
        <v>210</v>
      </c>
      <c r="N1829" s="2">
        <v>104192</v>
      </c>
      <c r="O1829" s="2">
        <v>296</v>
      </c>
      <c r="P1829" s="2">
        <v>0</v>
      </c>
      <c r="Q1829" s="2">
        <v>840</v>
      </c>
      <c r="R1829" s="2">
        <v>1184</v>
      </c>
      <c r="S1829">
        <v>39.072000000000003</v>
      </c>
      <c r="T1829" s="2">
        <v>104192</v>
      </c>
      <c r="U1829" s="2">
        <v>0</v>
      </c>
      <c r="V1829">
        <v>27.72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23.9</v>
      </c>
      <c r="AC1829">
        <v>1.3941666666666666</v>
      </c>
      <c r="AD1829">
        <v>22</v>
      </c>
      <c r="AE1829" s="7"/>
      <c r="AF1829" s="7"/>
      <c r="AG1829" s="7"/>
      <c r="AH1829" s="7"/>
      <c r="AI1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10.605833333333333</v>
      </c>
      <c r="AJ1829" s="7"/>
      <c r="AK1829" t="s">
        <v>102</v>
      </c>
      <c r="AN1829">
        <f>IFERROR(INT(Table13[[#This Row],[reject_prod]]/Table13[[#This Row],[part_weight]] * 1000), 0)</f>
        <v>0</v>
      </c>
    </row>
    <row r="1830" spans="1:40" hidden="1">
      <c r="A1830" s="1">
        <v>46077</v>
      </c>
      <c r="B1830">
        <v>1</v>
      </c>
      <c r="C1830">
        <v>6</v>
      </c>
      <c r="D1830" t="s">
        <v>981</v>
      </c>
      <c r="E1830" t="s">
        <v>41</v>
      </c>
      <c r="F1830">
        <v>620994</v>
      </c>
      <c r="G1830" s="6">
        <v>0</v>
      </c>
      <c r="H1830" t="s">
        <v>42</v>
      </c>
      <c r="I1830">
        <v>10686807</v>
      </c>
      <c r="J1830">
        <v>4</v>
      </c>
      <c r="K1830">
        <v>32.74</v>
      </c>
      <c r="L1830">
        <v>33</v>
      </c>
      <c r="M1830">
        <v>1660</v>
      </c>
      <c r="N1830" s="2">
        <v>11776</v>
      </c>
      <c r="O1830" s="2">
        <v>0</v>
      </c>
      <c r="P1830" s="2">
        <v>512</v>
      </c>
      <c r="Q1830" s="2">
        <v>6640</v>
      </c>
      <c r="R1830" s="2">
        <v>6144</v>
      </c>
      <c r="S1830">
        <v>202.75200000000001</v>
      </c>
      <c r="T1830" s="2">
        <v>6656</v>
      </c>
      <c r="U1830" s="2">
        <v>5120</v>
      </c>
      <c r="V1830">
        <v>219.12</v>
      </c>
      <c r="W1830">
        <v>0</v>
      </c>
      <c r="X1830">
        <v>0</v>
      </c>
      <c r="Y1830">
        <v>0</v>
      </c>
      <c r="Z1830">
        <v>2</v>
      </c>
      <c r="AA1830">
        <v>9.1274187659729829E-3</v>
      </c>
      <c r="AB1830">
        <v>23.9</v>
      </c>
      <c r="AC1830">
        <v>11.020555555555555</v>
      </c>
      <c r="AD1830">
        <v>22</v>
      </c>
      <c r="AE1830" s="7"/>
      <c r="AF1830" s="7"/>
      <c r="AG1830" s="7"/>
      <c r="AH1830" s="7"/>
      <c r="AI1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0.97944444444444478</v>
      </c>
      <c r="AJ1830" s="7"/>
      <c r="AK1830" t="s">
        <v>982</v>
      </c>
      <c r="AN1830">
        <f>IFERROR(INT(Table13[[#This Row],[reject_prod]]/Table13[[#This Row],[part_weight]] * 1000), 0)</f>
        <v>60</v>
      </c>
    </row>
    <row r="1831" spans="1:40" hidden="1">
      <c r="A1831" s="1">
        <v>46077</v>
      </c>
      <c r="B1831">
        <v>1</v>
      </c>
      <c r="C1831">
        <v>7</v>
      </c>
      <c r="D1831" t="s">
        <v>983</v>
      </c>
      <c r="E1831" t="s">
        <v>34</v>
      </c>
      <c r="F1831">
        <v>324165</v>
      </c>
      <c r="G1831" s="6">
        <v>0</v>
      </c>
      <c r="H1831" t="s">
        <v>44</v>
      </c>
      <c r="I1831">
        <v>10687137</v>
      </c>
      <c r="J1831">
        <v>4</v>
      </c>
      <c r="K1831">
        <v>32.56</v>
      </c>
      <c r="L1831">
        <v>33</v>
      </c>
      <c r="M1831">
        <v>1780</v>
      </c>
      <c r="N1831" s="2">
        <v>104192</v>
      </c>
      <c r="O1831" s="2">
        <v>1480</v>
      </c>
      <c r="P1831" s="2">
        <v>1480</v>
      </c>
      <c r="Q1831" s="2">
        <v>7120</v>
      </c>
      <c r="R1831" s="2">
        <v>7104</v>
      </c>
      <c r="S1831">
        <v>234.43199999999999</v>
      </c>
      <c r="T1831" s="2">
        <v>51208</v>
      </c>
      <c r="U1831" s="2">
        <v>52984</v>
      </c>
      <c r="V1831">
        <v>234.96</v>
      </c>
      <c r="W1831">
        <v>0</v>
      </c>
      <c r="X1831">
        <v>0</v>
      </c>
      <c r="Y1831">
        <v>0</v>
      </c>
      <c r="Z1831">
        <v>9.8000000000000007</v>
      </c>
      <c r="AA1831">
        <v>4.1709227102485529E-2</v>
      </c>
      <c r="AB1831">
        <v>22.8</v>
      </c>
      <c r="AC1831">
        <v>11.273333333333333</v>
      </c>
      <c r="AD1831">
        <v>22</v>
      </c>
      <c r="AE1831" s="7"/>
      <c r="AF1831" s="7"/>
      <c r="AG1831" s="7"/>
      <c r="AH1831" s="7"/>
      <c r="AI1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0.72666666666666657</v>
      </c>
      <c r="AJ1831" s="7"/>
      <c r="AK1831" t="s">
        <v>984</v>
      </c>
      <c r="AL1831">
        <v>4</v>
      </c>
      <c r="AM1831">
        <v>5</v>
      </c>
      <c r="AN1831">
        <f>IFERROR(INT(Table13[[#This Row],[reject_prod]]/Table13[[#This Row],[part_weight]] * 1000), 0)</f>
        <v>296</v>
      </c>
    </row>
    <row r="1832" spans="1:40" hidden="1">
      <c r="A1832" s="1">
        <v>46077</v>
      </c>
      <c r="B1832">
        <v>1</v>
      </c>
      <c r="C1832">
        <v>8</v>
      </c>
      <c r="D1832" t="s">
        <v>985</v>
      </c>
      <c r="E1832" t="s">
        <v>41</v>
      </c>
      <c r="F1832">
        <v>593537</v>
      </c>
      <c r="G1832" s="6">
        <v>0</v>
      </c>
      <c r="H1832" t="s">
        <v>48</v>
      </c>
      <c r="I1832">
        <v>10688067</v>
      </c>
      <c r="J1832">
        <v>4</v>
      </c>
      <c r="K1832">
        <v>56.5</v>
      </c>
      <c r="L1832">
        <v>56.8</v>
      </c>
      <c r="M1832">
        <v>1380</v>
      </c>
      <c r="N1832" s="2">
        <v>69000</v>
      </c>
      <c r="O1832" s="2">
        <v>0</v>
      </c>
      <c r="P1832" s="2">
        <v>345</v>
      </c>
      <c r="Q1832" s="2">
        <v>5520</v>
      </c>
      <c r="R1832" s="2">
        <v>5175</v>
      </c>
      <c r="S1832">
        <v>293.94</v>
      </c>
      <c r="T1832" s="2">
        <v>17595</v>
      </c>
      <c r="U1832" s="2">
        <v>51405</v>
      </c>
      <c r="V1832">
        <v>313.536</v>
      </c>
      <c r="W1832">
        <v>0</v>
      </c>
      <c r="X1832">
        <v>0</v>
      </c>
      <c r="Y1832">
        <v>0</v>
      </c>
      <c r="Z1832">
        <v>3</v>
      </c>
      <c r="AA1832">
        <v>9.5682792406613596E-3</v>
      </c>
      <c r="AB1832">
        <v>30.7</v>
      </c>
      <c r="AC1832">
        <v>11.768333333333334</v>
      </c>
      <c r="AD1832">
        <v>28.5</v>
      </c>
      <c r="AE1832" s="7"/>
      <c r="AF1832" s="7"/>
      <c r="AG1832" s="7"/>
      <c r="AH1832" s="7"/>
      <c r="AI1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0.23166666666666558</v>
      </c>
      <c r="AJ1832" s="7"/>
      <c r="AK1832" t="s">
        <v>178</v>
      </c>
      <c r="AM1832">
        <v>4</v>
      </c>
      <c r="AN1832">
        <f>IFERROR(INT(Table13[[#This Row],[reject_prod]]/Table13[[#This Row],[part_weight]] * 1000), 0)</f>
        <v>52</v>
      </c>
    </row>
    <row r="1833" spans="1:40" hidden="1">
      <c r="A1833" s="1">
        <v>46077</v>
      </c>
      <c r="B1833">
        <v>1</v>
      </c>
      <c r="C1833">
        <v>9</v>
      </c>
      <c r="D1833" t="s">
        <v>54</v>
      </c>
      <c r="E1833" t="s">
        <v>46</v>
      </c>
      <c r="F1833">
        <v>586276</v>
      </c>
      <c r="G1833" s="6">
        <v>1</v>
      </c>
      <c r="H1833" t="s">
        <v>47</v>
      </c>
      <c r="I1833">
        <v>10686684</v>
      </c>
      <c r="J1833">
        <v>6</v>
      </c>
      <c r="K1833">
        <v>12.3</v>
      </c>
      <c r="L1833">
        <v>12.3</v>
      </c>
      <c r="M1833">
        <v>1620</v>
      </c>
      <c r="N1833" s="2">
        <v>162000</v>
      </c>
      <c r="O1833" s="2">
        <v>4860</v>
      </c>
      <c r="P1833" s="2">
        <v>6480</v>
      </c>
      <c r="Q1833" s="2">
        <v>9720</v>
      </c>
      <c r="R1833" s="2">
        <v>8100</v>
      </c>
      <c r="S1833">
        <v>99.63</v>
      </c>
      <c r="T1833" s="2">
        <v>103680</v>
      </c>
      <c r="U1833" s="2">
        <v>58320</v>
      </c>
      <c r="V1833">
        <v>119.556</v>
      </c>
      <c r="W1833">
        <v>0</v>
      </c>
      <c r="X1833">
        <v>0</v>
      </c>
      <c r="Y1833">
        <v>0</v>
      </c>
      <c r="Z1833">
        <v>3.5</v>
      </c>
      <c r="AA1833">
        <v>2.9274984107865772E-2</v>
      </c>
      <c r="AB1833">
        <v>26.5</v>
      </c>
      <c r="AC1833">
        <v>11.924999999999999</v>
      </c>
      <c r="AD1833">
        <v>26</v>
      </c>
      <c r="AE1833" s="7"/>
      <c r="AF1833" s="7"/>
      <c r="AG1833" s="7"/>
      <c r="AH1833" s="7"/>
      <c r="AI1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833" s="7"/>
      <c r="AK1833" t="s">
        <v>57</v>
      </c>
      <c r="AN1833">
        <f>IFERROR(INT(Table13[[#This Row],[reject_prod]]/Table13[[#This Row],[part_weight]] * 1000), 0)</f>
        <v>284</v>
      </c>
    </row>
    <row r="1834" spans="1:40" hidden="1">
      <c r="A1834" s="1">
        <v>46077</v>
      </c>
      <c r="B1834">
        <v>1</v>
      </c>
      <c r="C1834">
        <v>10</v>
      </c>
      <c r="D1834" t="s">
        <v>124</v>
      </c>
      <c r="E1834" t="s">
        <v>34</v>
      </c>
      <c r="F1834">
        <v>650368</v>
      </c>
      <c r="G1834" s="6">
        <v>0</v>
      </c>
      <c r="H1834" t="s">
        <v>974</v>
      </c>
      <c r="I1834">
        <v>10686809</v>
      </c>
      <c r="J1834">
        <v>4</v>
      </c>
      <c r="K1834">
        <v>57</v>
      </c>
      <c r="L1834">
        <v>56.9</v>
      </c>
      <c r="M1834">
        <v>850</v>
      </c>
      <c r="N1834" s="2">
        <v>7680</v>
      </c>
      <c r="O1834" s="2">
        <v>0</v>
      </c>
      <c r="P1834" s="2">
        <v>0</v>
      </c>
      <c r="Q1834" s="2">
        <v>3400</v>
      </c>
      <c r="R1834" s="2">
        <v>3200</v>
      </c>
      <c r="S1834">
        <v>182.08</v>
      </c>
      <c r="T1834" s="2">
        <v>3200</v>
      </c>
      <c r="U1834" s="2">
        <v>4480</v>
      </c>
      <c r="V1834">
        <v>193.46</v>
      </c>
      <c r="W1834">
        <v>0.34000000000000485</v>
      </c>
      <c r="X1834">
        <v>10</v>
      </c>
      <c r="Y1834">
        <v>5.1690271890830142E-2</v>
      </c>
      <c r="Z1834">
        <v>4.3</v>
      </c>
      <c r="AA1834">
        <v>2.222681691305696E-2</v>
      </c>
      <c r="AB1834">
        <v>28.87</v>
      </c>
      <c r="AC1834">
        <v>6.8165277777777789</v>
      </c>
      <c r="AD1834">
        <v>26</v>
      </c>
      <c r="AE1834" s="7"/>
      <c r="AF1834" s="7"/>
      <c r="AG1834" s="7"/>
      <c r="AH1834" s="7"/>
      <c r="AI1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5.1834722222222211</v>
      </c>
      <c r="AJ1834" s="7"/>
      <c r="AK1834" t="s">
        <v>986</v>
      </c>
      <c r="AL1834">
        <v>5</v>
      </c>
      <c r="AM1834">
        <v>8</v>
      </c>
      <c r="AN1834">
        <f>IFERROR(INT(Table13[[#This Row],[reject_prod]]/Table13[[#This Row],[part_weight]] * 1000), 0)</f>
        <v>75</v>
      </c>
    </row>
    <row r="1835" spans="1:40" hidden="1">
      <c r="A1835" s="1">
        <v>46077</v>
      </c>
      <c r="B1835">
        <v>1</v>
      </c>
      <c r="C1835">
        <v>11</v>
      </c>
      <c r="D1835" t="s">
        <v>59</v>
      </c>
      <c r="E1835" t="s">
        <v>46</v>
      </c>
      <c r="F1835">
        <v>552181</v>
      </c>
      <c r="G1835" s="6">
        <v>1</v>
      </c>
      <c r="H1835" t="s">
        <v>49</v>
      </c>
      <c r="I1835">
        <v>10686673</v>
      </c>
      <c r="J1835">
        <v>6</v>
      </c>
      <c r="K1835">
        <v>18.8</v>
      </c>
      <c r="L1835">
        <v>18.8</v>
      </c>
      <c r="M1835">
        <v>1485</v>
      </c>
      <c r="N1835" s="2">
        <v>108000</v>
      </c>
      <c r="O1835" s="2">
        <v>0</v>
      </c>
      <c r="P1835" s="2">
        <v>3510</v>
      </c>
      <c r="Q1835" s="2">
        <v>8910</v>
      </c>
      <c r="R1835" s="2">
        <v>5400</v>
      </c>
      <c r="S1835">
        <v>101.52</v>
      </c>
      <c r="T1835" s="2">
        <v>57510</v>
      </c>
      <c r="U1835" s="2">
        <v>50490</v>
      </c>
      <c r="V1835">
        <v>167.50800000000001</v>
      </c>
      <c r="W1835">
        <v>0</v>
      </c>
      <c r="X1835">
        <v>0</v>
      </c>
      <c r="Y1835">
        <v>0</v>
      </c>
      <c r="Z1835">
        <v>0.4</v>
      </c>
      <c r="AA1835">
        <v>2.3879456503569977E-3</v>
      </c>
      <c r="AB1835">
        <v>28.46</v>
      </c>
      <c r="AC1835">
        <v>11.739750000000001</v>
      </c>
      <c r="AD1835">
        <v>27</v>
      </c>
      <c r="AE1835" s="7"/>
      <c r="AF1835" s="7"/>
      <c r="AG1835" s="7"/>
      <c r="AH1835" s="7"/>
      <c r="AI1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0.2602499999999992</v>
      </c>
      <c r="AJ1835" s="7"/>
      <c r="AK1835" t="s">
        <v>51</v>
      </c>
      <c r="AN1835">
        <f>IFERROR(INT(Table13[[#This Row],[reject_prod]]/Table13[[#This Row],[part_weight]] * 1000), 0)</f>
        <v>21</v>
      </c>
    </row>
    <row r="1836" spans="1:40" hidden="1">
      <c r="A1836" s="1">
        <v>46077</v>
      </c>
      <c r="B1836">
        <v>1</v>
      </c>
      <c r="C1836">
        <v>12</v>
      </c>
      <c r="D1836" t="s">
        <v>56</v>
      </c>
      <c r="E1836" t="s">
        <v>34</v>
      </c>
      <c r="F1836">
        <v>620599</v>
      </c>
      <c r="G1836" s="6">
        <v>0</v>
      </c>
      <c r="H1836" t="s">
        <v>50</v>
      </c>
      <c r="I1836">
        <v>10686675</v>
      </c>
      <c r="J1836">
        <v>4</v>
      </c>
      <c r="K1836">
        <v>55</v>
      </c>
      <c r="L1836">
        <v>55</v>
      </c>
      <c r="M1836">
        <v>1085</v>
      </c>
      <c r="N1836" s="2">
        <v>72000</v>
      </c>
      <c r="O1836" s="2">
        <v>675</v>
      </c>
      <c r="P1836" s="2">
        <v>1350</v>
      </c>
      <c r="Q1836" s="2">
        <v>4340</v>
      </c>
      <c r="R1836" s="2">
        <v>3600</v>
      </c>
      <c r="S1836">
        <v>198</v>
      </c>
      <c r="T1836" s="2">
        <v>42750</v>
      </c>
      <c r="U1836" s="2">
        <v>29250</v>
      </c>
      <c r="V1836">
        <v>238.7</v>
      </c>
      <c r="W1836">
        <v>0</v>
      </c>
      <c r="X1836">
        <v>0</v>
      </c>
      <c r="Y1836">
        <v>0</v>
      </c>
      <c r="Z1836">
        <v>6.2</v>
      </c>
      <c r="AA1836">
        <v>2.5974025974025976E-2</v>
      </c>
      <c r="AB1836">
        <v>28.8</v>
      </c>
      <c r="AC1836">
        <v>8.68</v>
      </c>
      <c r="AD1836">
        <v>28</v>
      </c>
      <c r="AE1836" s="7"/>
      <c r="AF1836" s="7"/>
      <c r="AG1836" s="7"/>
      <c r="AH1836" s="7">
        <v>3.3</v>
      </c>
      <c r="AI1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2.0000000000000462E-2</v>
      </c>
      <c r="AJ1836" s="7"/>
      <c r="AK1836" t="s">
        <v>987</v>
      </c>
      <c r="AL1836">
        <v>4</v>
      </c>
      <c r="AM1836">
        <v>4</v>
      </c>
      <c r="AN1836">
        <f>IFERROR(INT(Table13[[#This Row],[reject_prod]]/Table13[[#This Row],[part_weight]] * 1000), 0)</f>
        <v>112</v>
      </c>
    </row>
    <row r="1837" spans="1:40" hidden="1">
      <c r="A1837" s="1">
        <v>46077</v>
      </c>
      <c r="B1837">
        <v>1</v>
      </c>
      <c r="C1837">
        <v>13</v>
      </c>
      <c r="D1837" t="s">
        <v>59</v>
      </c>
      <c r="E1837" t="s">
        <v>46</v>
      </c>
      <c r="F1837">
        <v>586276</v>
      </c>
      <c r="G1837" s="6">
        <v>2</v>
      </c>
      <c r="H1837" t="s">
        <v>47</v>
      </c>
      <c r="I1837">
        <v>10686677</v>
      </c>
      <c r="J1837">
        <v>6</v>
      </c>
      <c r="K1837">
        <v>12.3</v>
      </c>
      <c r="L1837">
        <v>12.3</v>
      </c>
      <c r="M1837">
        <v>1420</v>
      </c>
      <c r="N1837" s="2">
        <v>162000</v>
      </c>
      <c r="O1837" s="2">
        <v>0</v>
      </c>
      <c r="P1837" s="2">
        <v>405</v>
      </c>
      <c r="Q1837" s="2">
        <v>8520</v>
      </c>
      <c r="R1837" s="2">
        <v>8100</v>
      </c>
      <c r="S1837">
        <v>99.63</v>
      </c>
      <c r="T1837" s="2">
        <v>73305</v>
      </c>
      <c r="U1837" s="2">
        <v>88695</v>
      </c>
      <c r="V1837">
        <v>104.79600000000001</v>
      </c>
      <c r="W1837">
        <v>0</v>
      </c>
      <c r="X1837">
        <v>0</v>
      </c>
      <c r="Y1837">
        <v>0</v>
      </c>
      <c r="Z1837">
        <v>4</v>
      </c>
      <c r="AA1837">
        <v>3.8169395778464822E-2</v>
      </c>
      <c r="AB1837">
        <v>26.2</v>
      </c>
      <c r="AC1837">
        <v>10.334444444444445</v>
      </c>
      <c r="AD1837">
        <v>26</v>
      </c>
      <c r="AE1837" s="7"/>
      <c r="AF1837" s="7"/>
      <c r="AG1837" s="7"/>
      <c r="AH1837" s="7"/>
      <c r="AI1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1.6655555555555548</v>
      </c>
      <c r="AJ1837" s="7"/>
      <c r="AK1837" t="s">
        <v>988</v>
      </c>
      <c r="AN1837">
        <f>IFERROR(INT(Table13[[#This Row],[reject_prod]]/Table13[[#This Row],[part_weight]] * 1000), 0)</f>
        <v>325</v>
      </c>
    </row>
    <row r="1838" spans="1:40" hidden="1">
      <c r="A1838" s="1">
        <v>46077</v>
      </c>
      <c r="B1838">
        <v>1</v>
      </c>
      <c r="C1838">
        <v>14</v>
      </c>
      <c r="D1838" t="s">
        <v>53</v>
      </c>
      <c r="E1838" t="s">
        <v>34</v>
      </c>
      <c r="F1838">
        <v>541381</v>
      </c>
      <c r="G1838" s="6">
        <v>0</v>
      </c>
      <c r="H1838" t="s">
        <v>804</v>
      </c>
      <c r="I1838">
        <v>10686678</v>
      </c>
      <c r="J1838">
        <v>4</v>
      </c>
      <c r="K1838">
        <v>55</v>
      </c>
      <c r="L1838">
        <v>55</v>
      </c>
      <c r="M1838">
        <v>1268</v>
      </c>
      <c r="N1838" s="2">
        <v>84000</v>
      </c>
      <c r="O1838" s="2">
        <v>525</v>
      </c>
      <c r="P1838" s="2">
        <v>0</v>
      </c>
      <c r="Q1838" s="2">
        <v>5072</v>
      </c>
      <c r="R1838" s="2">
        <v>5600</v>
      </c>
      <c r="S1838">
        <v>308</v>
      </c>
      <c r="T1838" s="2">
        <v>84000</v>
      </c>
      <c r="U1838" s="2">
        <v>0</v>
      </c>
      <c r="V1838">
        <v>278.95999999999998</v>
      </c>
      <c r="W1838">
        <v>0</v>
      </c>
      <c r="X1838">
        <v>0</v>
      </c>
      <c r="Y1838">
        <v>0</v>
      </c>
      <c r="Z1838">
        <v>5.0999999999999996</v>
      </c>
      <c r="AA1838">
        <v>1.828219099512475E-2</v>
      </c>
      <c r="AB1838">
        <v>27.7</v>
      </c>
      <c r="AC1838">
        <v>9.7565555555555541</v>
      </c>
      <c r="AD1838">
        <v>30.08</v>
      </c>
      <c r="AE1838" s="7"/>
      <c r="AF1838" s="7"/>
      <c r="AG1838" s="7"/>
      <c r="AH1838" s="7"/>
      <c r="AI1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2.2434444444444459</v>
      </c>
      <c r="AJ1838" s="7"/>
      <c r="AK1838" t="s">
        <v>102</v>
      </c>
      <c r="AL1838">
        <v>7</v>
      </c>
      <c r="AM1838">
        <v>3</v>
      </c>
      <c r="AN1838">
        <f>IFERROR(INT(Table13[[#This Row],[reject_prod]]/Table13[[#This Row],[part_weight]] * 1000), 0)</f>
        <v>92</v>
      </c>
    </row>
    <row r="1839" spans="1:40" hidden="1">
      <c r="A1839" s="1">
        <v>46077</v>
      </c>
      <c r="B1839">
        <v>1</v>
      </c>
      <c r="C1839">
        <v>14</v>
      </c>
      <c r="D1839" t="s">
        <v>53</v>
      </c>
      <c r="E1839" t="s">
        <v>34</v>
      </c>
      <c r="F1839">
        <v>541381</v>
      </c>
      <c r="G1839" s="6">
        <v>0</v>
      </c>
      <c r="H1839" t="s">
        <v>804</v>
      </c>
      <c r="I1839">
        <v>10688072</v>
      </c>
      <c r="J1839">
        <v>4</v>
      </c>
      <c r="K1839">
        <v>55</v>
      </c>
      <c r="L1839">
        <v>55</v>
      </c>
      <c r="M1839">
        <v>220</v>
      </c>
      <c r="N1839" s="2">
        <v>84000</v>
      </c>
      <c r="O1839" s="2">
        <v>0</v>
      </c>
      <c r="P1839" s="2">
        <v>175</v>
      </c>
      <c r="Q1839" s="2">
        <v>880</v>
      </c>
      <c r="R1839" s="2">
        <v>700</v>
      </c>
      <c r="S1839">
        <v>38.5</v>
      </c>
      <c r="T1839" s="2">
        <v>875</v>
      </c>
      <c r="U1839" s="2">
        <v>83125</v>
      </c>
      <c r="V1839">
        <v>48.4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27.81</v>
      </c>
      <c r="AC1839">
        <v>1.6994999999999998</v>
      </c>
      <c r="AD1839">
        <v>30.08</v>
      </c>
      <c r="AE1839" s="7"/>
      <c r="AF1839" s="7"/>
      <c r="AG1839" s="7"/>
      <c r="AH1839" s="7"/>
      <c r="AI1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10.3005</v>
      </c>
      <c r="AJ1839" s="7"/>
      <c r="AK1839" t="s">
        <v>178</v>
      </c>
      <c r="AN1839">
        <f>IFERROR(INT(Table13[[#This Row],[reject_prod]]/Table13[[#This Row],[part_weight]] * 1000), 0)</f>
        <v>0</v>
      </c>
    </row>
    <row r="1840" spans="1:40" hidden="1">
      <c r="A1840" s="1">
        <v>46077</v>
      </c>
      <c r="B1840">
        <v>1</v>
      </c>
      <c r="C1840">
        <v>15</v>
      </c>
      <c r="D1840" t="s">
        <v>33</v>
      </c>
      <c r="E1840" t="s">
        <v>46</v>
      </c>
      <c r="F1840">
        <v>552181</v>
      </c>
      <c r="G1840" s="6">
        <v>2</v>
      </c>
      <c r="H1840" t="s">
        <v>49</v>
      </c>
      <c r="I1840">
        <v>10686679</v>
      </c>
      <c r="J1840">
        <v>6</v>
      </c>
      <c r="K1840">
        <v>18.8</v>
      </c>
      <c r="L1840">
        <v>18.8</v>
      </c>
      <c r="M1840">
        <v>0</v>
      </c>
      <c r="N1840" s="2">
        <v>108000</v>
      </c>
      <c r="O1840" s="2">
        <v>0</v>
      </c>
      <c r="P1840" s="2">
        <v>0</v>
      </c>
      <c r="Q1840" s="2">
        <v>0</v>
      </c>
      <c r="R1840" s="2">
        <v>0</v>
      </c>
      <c r="S1840">
        <v>0</v>
      </c>
      <c r="T1840" s="2">
        <v>0</v>
      </c>
      <c r="U1840" s="2">
        <v>108000</v>
      </c>
      <c r="V1840">
        <v>0</v>
      </c>
      <c r="W1840">
        <v>0</v>
      </c>
      <c r="X1840">
        <v>14.3</v>
      </c>
      <c r="Y1840" t="e">
        <v>#DIV/0!</v>
      </c>
      <c r="Z1840">
        <v>0</v>
      </c>
      <c r="AA1840" t="e">
        <v>#DIV/0!</v>
      </c>
      <c r="AB1840">
        <v>31.3</v>
      </c>
      <c r="AC1840">
        <v>0</v>
      </c>
      <c r="AD1840">
        <v>27</v>
      </c>
      <c r="AE1840" s="7"/>
      <c r="AF1840" s="7"/>
      <c r="AG1840" s="7">
        <v>0.45</v>
      </c>
      <c r="AH1840" s="7"/>
      <c r="AI1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11.55</v>
      </c>
      <c r="AJ1840" s="7"/>
      <c r="AK1840" t="s">
        <v>989</v>
      </c>
      <c r="AN1840">
        <f>IFERROR(INT(Table13[[#This Row],[reject_prod]]/Table13[[#This Row],[part_weight]] * 1000), 0)</f>
        <v>0</v>
      </c>
    </row>
    <row r="1841" spans="1:40" s="4" customFormat="1" hidden="1">
      <c r="A1841" s="3">
        <v>46077</v>
      </c>
      <c r="B1841" s="4">
        <v>1</v>
      </c>
      <c r="C1841" s="4">
        <v>16</v>
      </c>
      <c r="D1841" s="4" t="s">
        <v>990</v>
      </c>
      <c r="E1841" s="4" t="s">
        <v>46</v>
      </c>
      <c r="F1841" s="4">
        <v>555979</v>
      </c>
      <c r="G1841" s="9">
        <v>2</v>
      </c>
      <c r="H1841" s="4" t="s">
        <v>52</v>
      </c>
      <c r="I1841" s="4">
        <v>10686701</v>
      </c>
      <c r="J1841" s="4">
        <v>6</v>
      </c>
      <c r="K1841" s="4">
        <v>28</v>
      </c>
      <c r="L1841" s="4">
        <v>28</v>
      </c>
      <c r="M1841" s="4">
        <v>1008</v>
      </c>
      <c r="N1841" s="5">
        <v>100800</v>
      </c>
      <c r="O1841" s="5">
        <v>1848</v>
      </c>
      <c r="P1841" s="5">
        <v>1176</v>
      </c>
      <c r="Q1841" s="5">
        <v>6048</v>
      </c>
      <c r="R1841" s="5">
        <v>6720</v>
      </c>
      <c r="S1841" s="4">
        <v>188.16</v>
      </c>
      <c r="T1841" s="5">
        <v>21336</v>
      </c>
      <c r="U1841" s="5">
        <v>79464</v>
      </c>
      <c r="V1841" s="4">
        <v>169.34399999999999</v>
      </c>
      <c r="W1841" s="4">
        <v>0</v>
      </c>
      <c r="X1841" s="4">
        <v>0</v>
      </c>
      <c r="Y1841" s="4">
        <v>0</v>
      </c>
      <c r="Z1841" s="4">
        <v>1</v>
      </c>
      <c r="AA1841" s="4">
        <v>5.9051398337112626E-3</v>
      </c>
      <c r="AB1841" s="4">
        <v>43.2</v>
      </c>
      <c r="AC1841" s="4">
        <v>12</v>
      </c>
      <c r="AD1841" s="4">
        <v>42</v>
      </c>
      <c r="AE1841" s="8"/>
      <c r="AF1841" s="8"/>
      <c r="AG1841" s="8"/>
      <c r="AH1841" s="8"/>
      <c r="AI184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1" s="8"/>
      <c r="AK1841" s="4" t="s">
        <v>51</v>
      </c>
      <c r="AN1841">
        <f>IFERROR(INT(Table13[[#This Row],[reject_prod]]/Table13[[#This Row],[part_weight]] * 1000), 0)</f>
        <v>35</v>
      </c>
    </row>
    <row r="1842" spans="1:40" hidden="1">
      <c r="A1842" s="1">
        <v>46077</v>
      </c>
      <c r="B1842">
        <v>2</v>
      </c>
      <c r="C1842">
        <v>1</v>
      </c>
      <c r="D1842" t="s">
        <v>112</v>
      </c>
      <c r="E1842" t="s">
        <v>34</v>
      </c>
      <c r="F1842">
        <v>322517</v>
      </c>
      <c r="G1842" s="6">
        <v>0</v>
      </c>
      <c r="H1842" t="s">
        <v>959</v>
      </c>
      <c r="I1842">
        <v>10688092</v>
      </c>
      <c r="J1842">
        <v>4</v>
      </c>
      <c r="K1842">
        <v>45.3</v>
      </c>
      <c r="L1842">
        <v>45.3</v>
      </c>
      <c r="M1842">
        <v>1699</v>
      </c>
      <c r="N1842" s="2">
        <v>26000</v>
      </c>
      <c r="O1842" s="2">
        <v>390</v>
      </c>
      <c r="P1842" s="2">
        <v>0</v>
      </c>
      <c r="Q1842" s="2">
        <v>6796</v>
      </c>
      <c r="R1842" s="2">
        <v>7150</v>
      </c>
      <c r="S1842">
        <v>323.89499999999998</v>
      </c>
      <c r="T1842" s="2">
        <v>19500</v>
      </c>
      <c r="U1842" s="2">
        <v>6500</v>
      </c>
      <c r="V1842">
        <v>307.85879999999997</v>
      </c>
      <c r="W1842">
        <v>0</v>
      </c>
      <c r="X1842">
        <v>0</v>
      </c>
      <c r="Y1842">
        <v>0</v>
      </c>
      <c r="Z1842">
        <v>1.5</v>
      </c>
      <c r="AA1842">
        <v>4.8723635640754792E-3</v>
      </c>
      <c r="AB1842">
        <v>26.3</v>
      </c>
      <c r="AC1842">
        <v>12</v>
      </c>
      <c r="AD1842">
        <v>25.88</v>
      </c>
      <c r="AE1842" s="7"/>
      <c r="AF1842" s="7"/>
      <c r="AG1842" s="7"/>
      <c r="AH1842" s="7"/>
      <c r="AI1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2" s="7"/>
      <c r="AK1842" t="s">
        <v>178</v>
      </c>
      <c r="AN1842">
        <f>IFERROR(INT(Table13[[#This Row],[reject_prod]]/Table13[[#This Row],[part_weight]] * 1000), 0)</f>
        <v>33</v>
      </c>
    </row>
    <row r="1843" spans="1:40" hidden="1">
      <c r="A1843" s="1">
        <v>46077</v>
      </c>
      <c r="B1843">
        <v>2</v>
      </c>
      <c r="C1843">
        <v>2</v>
      </c>
      <c r="D1843" t="s">
        <v>40</v>
      </c>
      <c r="E1843" t="s">
        <v>34</v>
      </c>
      <c r="F1843">
        <v>543590</v>
      </c>
      <c r="G1843" s="6">
        <v>0</v>
      </c>
      <c r="H1843" t="s">
        <v>913</v>
      </c>
      <c r="I1843">
        <v>10687749</v>
      </c>
      <c r="J1843">
        <v>4</v>
      </c>
      <c r="K1843">
        <v>19</v>
      </c>
      <c r="L1843">
        <v>19</v>
      </c>
      <c r="M1843">
        <v>2126</v>
      </c>
      <c r="N1843" s="2">
        <v>132440</v>
      </c>
      <c r="O1843" s="2">
        <v>200</v>
      </c>
      <c r="P1843" s="2">
        <v>1232</v>
      </c>
      <c r="Q1843" s="2">
        <v>8504</v>
      </c>
      <c r="R1843" s="2">
        <v>7392</v>
      </c>
      <c r="S1843">
        <v>140.44800000000001</v>
      </c>
      <c r="T1843" s="2">
        <v>60368</v>
      </c>
      <c r="U1843" s="2">
        <v>72072</v>
      </c>
      <c r="V1843">
        <v>161.57599999999999</v>
      </c>
      <c r="W1843">
        <v>0</v>
      </c>
      <c r="X1843">
        <v>0</v>
      </c>
      <c r="Y1843">
        <v>0</v>
      </c>
      <c r="Z1843">
        <v>1.5</v>
      </c>
      <c r="AA1843">
        <v>9.2835569639055301E-3</v>
      </c>
      <c r="AB1843">
        <v>19.7</v>
      </c>
      <c r="AC1843">
        <v>11.633944444444444</v>
      </c>
      <c r="AD1843">
        <v>18.72</v>
      </c>
      <c r="AE1843" s="7"/>
      <c r="AF1843" s="7"/>
      <c r="AG1843" s="7"/>
      <c r="AH1843" s="7"/>
      <c r="AI1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0.36605555555555647</v>
      </c>
      <c r="AJ1843" s="7"/>
      <c r="AK1843" t="s">
        <v>193</v>
      </c>
      <c r="AN1843">
        <f>IFERROR(INT(Table13[[#This Row],[reject_prod]]/Table13[[#This Row],[part_weight]] * 1000), 0)</f>
        <v>78</v>
      </c>
    </row>
    <row r="1844" spans="1:40" hidden="1">
      <c r="A1844" s="1">
        <v>46077</v>
      </c>
      <c r="B1844">
        <v>2</v>
      </c>
      <c r="C1844">
        <v>3</v>
      </c>
      <c r="D1844" t="s">
        <v>67</v>
      </c>
      <c r="E1844" t="s">
        <v>34</v>
      </c>
      <c r="F1844">
        <v>442034</v>
      </c>
      <c r="G1844" s="6">
        <v>0</v>
      </c>
      <c r="H1844" t="s">
        <v>37</v>
      </c>
      <c r="I1844">
        <v>10685634</v>
      </c>
      <c r="J1844">
        <v>4</v>
      </c>
      <c r="K1844">
        <v>23</v>
      </c>
      <c r="L1844">
        <v>23</v>
      </c>
      <c r="M1844">
        <v>913</v>
      </c>
      <c r="N1844" s="2">
        <v>139776</v>
      </c>
      <c r="O1844" s="2">
        <v>0</v>
      </c>
      <c r="P1844" s="2">
        <v>3456</v>
      </c>
      <c r="Q1844" s="2">
        <v>3652</v>
      </c>
      <c r="R1844" s="2">
        <v>0</v>
      </c>
      <c r="S1844">
        <v>0</v>
      </c>
      <c r="T1844" s="2">
        <v>72576</v>
      </c>
      <c r="U1844" s="2">
        <v>67200</v>
      </c>
      <c r="V1844">
        <v>83.995999999999995</v>
      </c>
      <c r="W1844">
        <v>0</v>
      </c>
      <c r="X1844">
        <v>0</v>
      </c>
      <c r="Y1844">
        <v>0</v>
      </c>
      <c r="Z1844">
        <v>4.5</v>
      </c>
      <c r="AA1844">
        <v>5.3573979713319682E-2</v>
      </c>
      <c r="AB1844">
        <v>28.5</v>
      </c>
      <c r="AC1844">
        <v>7.2279166666666672</v>
      </c>
      <c r="AD1844">
        <v>22</v>
      </c>
      <c r="AE1844" s="7"/>
      <c r="AF1844" s="7"/>
      <c r="AG1844" s="7"/>
      <c r="AH1844" s="7"/>
      <c r="AI1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4.7720833333333328</v>
      </c>
      <c r="AJ1844" s="7"/>
      <c r="AK1844" t="s">
        <v>991</v>
      </c>
      <c r="AN1844">
        <f>IFERROR(INT(Table13[[#This Row],[reject_prod]]/Table13[[#This Row],[part_weight]] * 1000), 0)</f>
        <v>195</v>
      </c>
    </row>
    <row r="1845" spans="1:40" hidden="1">
      <c r="A1845" s="1">
        <v>46077</v>
      </c>
      <c r="B1845">
        <v>2</v>
      </c>
      <c r="C1845">
        <v>4</v>
      </c>
      <c r="D1845" t="s">
        <v>65</v>
      </c>
      <c r="E1845" t="s">
        <v>34</v>
      </c>
      <c r="F1845">
        <v>451191</v>
      </c>
      <c r="G1845" s="6">
        <v>0</v>
      </c>
      <c r="H1845" t="s">
        <v>946</v>
      </c>
      <c r="I1845">
        <v>10687751</v>
      </c>
      <c r="J1845">
        <v>4</v>
      </c>
      <c r="K1845">
        <v>29</v>
      </c>
      <c r="L1845">
        <v>29</v>
      </c>
      <c r="M1845">
        <v>1688</v>
      </c>
      <c r="N1845" s="2">
        <v>73440</v>
      </c>
      <c r="O1845" s="2">
        <v>1836</v>
      </c>
      <c r="P1845" s="2">
        <v>1224</v>
      </c>
      <c r="Q1845" s="2">
        <v>6752</v>
      </c>
      <c r="R1845" s="2">
        <v>7344</v>
      </c>
      <c r="S1845">
        <v>212.976</v>
      </c>
      <c r="T1845" s="2">
        <v>40698</v>
      </c>
      <c r="U1845" s="2">
        <v>32742</v>
      </c>
      <c r="V1845">
        <v>195.80799999999999</v>
      </c>
      <c r="W1845">
        <v>0</v>
      </c>
      <c r="X1845">
        <v>0</v>
      </c>
      <c r="Y1845">
        <v>0</v>
      </c>
      <c r="Z1845">
        <v>0.5</v>
      </c>
      <c r="AA1845">
        <v>2.5535218172904072E-3</v>
      </c>
      <c r="AB1845">
        <v>25.1</v>
      </c>
      <c r="AC1845">
        <v>11.769111111111112</v>
      </c>
      <c r="AD1845">
        <v>24</v>
      </c>
      <c r="AE1845" s="7"/>
      <c r="AF1845" s="7"/>
      <c r="AG1845" s="7"/>
      <c r="AH1845" s="7"/>
      <c r="AI1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0.23088888888888803</v>
      </c>
      <c r="AJ1845" s="7"/>
      <c r="AK1845" t="s">
        <v>992</v>
      </c>
      <c r="AN1845">
        <f>IFERROR(INT(Table13[[#This Row],[reject_prod]]/Table13[[#This Row],[part_weight]] * 1000), 0)</f>
        <v>17</v>
      </c>
    </row>
    <row r="1846" spans="1:40" hidden="1">
      <c r="A1846" s="1">
        <v>46077</v>
      </c>
      <c r="B1846">
        <v>2</v>
      </c>
      <c r="C1846">
        <v>5</v>
      </c>
      <c r="D1846" t="s">
        <v>993</v>
      </c>
      <c r="E1846" t="s">
        <v>34</v>
      </c>
      <c r="F1846">
        <v>597507</v>
      </c>
      <c r="G1846" s="6">
        <v>0</v>
      </c>
      <c r="H1846" t="s">
        <v>279</v>
      </c>
      <c r="I1846">
        <v>10687752</v>
      </c>
      <c r="J1846">
        <v>4</v>
      </c>
      <c r="K1846">
        <v>23</v>
      </c>
      <c r="L1846">
        <v>23</v>
      </c>
      <c r="M1846">
        <v>1963</v>
      </c>
      <c r="N1846" s="2">
        <v>86240</v>
      </c>
      <c r="O1846" s="2">
        <v>462</v>
      </c>
      <c r="P1846" s="2">
        <v>616</v>
      </c>
      <c r="Q1846" s="2">
        <v>7852</v>
      </c>
      <c r="R1846" s="2">
        <v>7546</v>
      </c>
      <c r="S1846">
        <v>173.55799999999999</v>
      </c>
      <c r="T1846" s="2">
        <v>82544</v>
      </c>
      <c r="U1846" s="2">
        <v>3696</v>
      </c>
      <c r="V1846">
        <v>180.596</v>
      </c>
      <c r="W1846">
        <v>0</v>
      </c>
      <c r="X1846">
        <v>0</v>
      </c>
      <c r="Y1846">
        <v>0</v>
      </c>
      <c r="Z1846">
        <v>3.5</v>
      </c>
      <c r="AA1846">
        <v>1.9380274203193867E-2</v>
      </c>
      <c r="AB1846">
        <v>21.7</v>
      </c>
      <c r="AC1846">
        <v>11.832527777777777</v>
      </c>
      <c r="AD1846">
        <v>22</v>
      </c>
      <c r="AE1846" s="7"/>
      <c r="AF1846" s="7"/>
      <c r="AG1846" s="7"/>
      <c r="AH1846" s="7"/>
      <c r="AI1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0.16747222222222291</v>
      </c>
      <c r="AJ1846" s="7"/>
      <c r="AK1846" t="s">
        <v>969</v>
      </c>
      <c r="AN1846">
        <f>IFERROR(INT(Table13[[#This Row],[reject_prod]]/Table13[[#This Row],[part_weight]] * 1000), 0)</f>
        <v>152</v>
      </c>
    </row>
    <row r="1847" spans="1:40" hidden="1">
      <c r="A1847" s="1">
        <v>46077</v>
      </c>
      <c r="B1847">
        <v>2</v>
      </c>
      <c r="C1847">
        <v>6</v>
      </c>
      <c r="D1847" t="s">
        <v>994</v>
      </c>
      <c r="E1847" t="s">
        <v>41</v>
      </c>
      <c r="F1847">
        <v>620994</v>
      </c>
      <c r="G1847" s="6">
        <v>0</v>
      </c>
      <c r="H1847" t="s">
        <v>42</v>
      </c>
      <c r="I1847">
        <v>10686807</v>
      </c>
      <c r="J1847">
        <v>4</v>
      </c>
      <c r="K1847">
        <v>32.74</v>
      </c>
      <c r="L1847">
        <v>33</v>
      </c>
      <c r="M1847">
        <v>1284</v>
      </c>
      <c r="N1847" s="2">
        <v>11776</v>
      </c>
      <c r="O1847" s="2">
        <v>512</v>
      </c>
      <c r="P1847" s="2">
        <v>0</v>
      </c>
      <c r="Q1847" s="2">
        <v>5136</v>
      </c>
      <c r="R1847" s="2">
        <v>5632</v>
      </c>
      <c r="S1847">
        <v>185.85599999999999</v>
      </c>
      <c r="T1847" s="2">
        <v>11776</v>
      </c>
      <c r="U1847" s="2">
        <v>0</v>
      </c>
      <c r="V1847">
        <v>169.488</v>
      </c>
      <c r="W1847">
        <v>0</v>
      </c>
      <c r="X1847">
        <v>0</v>
      </c>
      <c r="Y1847">
        <v>0</v>
      </c>
      <c r="Z1847">
        <v>0.5</v>
      </c>
      <c r="AA1847">
        <v>2.9500613612763148E-3</v>
      </c>
      <c r="AB1847">
        <v>23.9</v>
      </c>
      <c r="AC1847">
        <v>8.5243333333333329</v>
      </c>
      <c r="AD1847">
        <v>22</v>
      </c>
      <c r="AE1847" s="7"/>
      <c r="AF1847" s="7"/>
      <c r="AG1847" s="7"/>
      <c r="AH1847" s="7"/>
      <c r="AI1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3.4756666666666671</v>
      </c>
      <c r="AJ1847" s="7"/>
      <c r="AK1847" t="s">
        <v>995</v>
      </c>
      <c r="AN1847">
        <f>IFERROR(INT(Table13[[#This Row],[reject_prod]]/Table13[[#This Row],[part_weight]] * 1000), 0)</f>
        <v>15</v>
      </c>
    </row>
    <row r="1848" spans="1:40" hidden="1">
      <c r="A1848" s="1">
        <v>46077</v>
      </c>
      <c r="B1848">
        <v>2</v>
      </c>
      <c r="C1848">
        <v>6</v>
      </c>
      <c r="E1848" t="s">
        <v>34</v>
      </c>
      <c r="F1848">
        <v>322420</v>
      </c>
      <c r="G1848" s="6">
        <v>0</v>
      </c>
      <c r="H1848" t="s">
        <v>996</v>
      </c>
      <c r="I1848">
        <v>10687136</v>
      </c>
      <c r="J1848">
        <v>4</v>
      </c>
      <c r="K1848">
        <v>34</v>
      </c>
      <c r="L1848">
        <v>34</v>
      </c>
      <c r="M1848">
        <v>0</v>
      </c>
      <c r="N1848" s="2">
        <v>24192</v>
      </c>
      <c r="O1848" s="2">
        <v>0</v>
      </c>
      <c r="P1848" s="2">
        <v>0</v>
      </c>
      <c r="Q1848" s="2">
        <v>0</v>
      </c>
      <c r="R1848" s="2">
        <v>0</v>
      </c>
      <c r="S1848">
        <v>0</v>
      </c>
      <c r="T1848" s="2">
        <v>0</v>
      </c>
      <c r="U1848" s="2">
        <v>24192</v>
      </c>
      <c r="V1848">
        <v>0</v>
      </c>
      <c r="W1848">
        <v>0</v>
      </c>
      <c r="X1848">
        <v>0</v>
      </c>
      <c r="Y1848" t="e">
        <v>#DIV/0!</v>
      </c>
      <c r="Z1848">
        <v>0</v>
      </c>
      <c r="AA1848" t="e">
        <v>#DIV/0!</v>
      </c>
      <c r="AB1848">
        <v>22</v>
      </c>
      <c r="AC1848">
        <v>0</v>
      </c>
      <c r="AD1848">
        <v>22</v>
      </c>
      <c r="AE1848" s="7">
        <v>3.5</v>
      </c>
      <c r="AF1848" s="7"/>
      <c r="AG1848" s="7"/>
      <c r="AH1848" s="7"/>
      <c r="AI1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848" s="7"/>
      <c r="AK1848" t="s">
        <v>588</v>
      </c>
      <c r="AN1848">
        <f>IFERROR(INT(Table13[[#This Row],[reject_prod]]/Table13[[#This Row],[part_weight]] * 1000), 0)</f>
        <v>0</v>
      </c>
    </row>
    <row r="1849" spans="1:40" hidden="1">
      <c r="A1849" s="1">
        <v>46077</v>
      </c>
      <c r="B1849">
        <v>2</v>
      </c>
      <c r="C1849">
        <v>7</v>
      </c>
      <c r="D1849" t="s">
        <v>997</v>
      </c>
      <c r="E1849" t="s">
        <v>34</v>
      </c>
      <c r="F1849">
        <v>324165</v>
      </c>
      <c r="G1849" s="6">
        <v>0</v>
      </c>
      <c r="H1849" t="s">
        <v>44</v>
      </c>
      <c r="I1849">
        <v>10687137</v>
      </c>
      <c r="J1849">
        <v>4</v>
      </c>
      <c r="K1849">
        <v>32.56</v>
      </c>
      <c r="L1849">
        <v>33</v>
      </c>
      <c r="M1849">
        <v>1877</v>
      </c>
      <c r="N1849" s="2">
        <v>104192</v>
      </c>
      <c r="O1849" s="2">
        <v>1480</v>
      </c>
      <c r="P1849" s="2">
        <v>1776</v>
      </c>
      <c r="Q1849" s="2">
        <v>7508</v>
      </c>
      <c r="R1849" s="2">
        <v>7104</v>
      </c>
      <c r="S1849">
        <v>234.43199999999999</v>
      </c>
      <c r="T1849" s="2">
        <v>58608</v>
      </c>
      <c r="U1849" s="2">
        <v>45584</v>
      </c>
      <c r="V1849">
        <v>247.76400000000001</v>
      </c>
      <c r="W1849">
        <v>0</v>
      </c>
      <c r="X1849">
        <v>0</v>
      </c>
      <c r="Y1849">
        <v>0</v>
      </c>
      <c r="Z1849">
        <v>3.5</v>
      </c>
      <c r="AA1849">
        <v>1.412634603897257E-2</v>
      </c>
      <c r="AB1849">
        <v>22.8</v>
      </c>
      <c r="AC1849">
        <v>11.887666666666666</v>
      </c>
      <c r="AD1849">
        <v>22</v>
      </c>
      <c r="AE1849" s="7"/>
      <c r="AF1849" s="7"/>
      <c r="AG1849" s="7"/>
      <c r="AH1849" s="7"/>
      <c r="AI1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0.11233333333333384</v>
      </c>
      <c r="AJ1849" s="7"/>
      <c r="AK1849" t="s">
        <v>998</v>
      </c>
      <c r="AN1849">
        <f>IFERROR(INT(Table13[[#This Row],[reject_prod]]/Table13[[#This Row],[part_weight]] * 1000), 0)</f>
        <v>106</v>
      </c>
    </row>
    <row r="1850" spans="1:40" hidden="1">
      <c r="A1850" s="1">
        <v>46077</v>
      </c>
      <c r="B1850">
        <v>2</v>
      </c>
      <c r="C1850">
        <v>8</v>
      </c>
      <c r="D1850" t="s">
        <v>170</v>
      </c>
      <c r="E1850" t="s">
        <v>41</v>
      </c>
      <c r="F1850">
        <v>593537</v>
      </c>
      <c r="G1850" s="6">
        <v>0</v>
      </c>
      <c r="H1850" t="s">
        <v>48</v>
      </c>
      <c r="I1850">
        <v>10688067</v>
      </c>
      <c r="J1850">
        <v>4</v>
      </c>
      <c r="K1850">
        <v>56.5</v>
      </c>
      <c r="L1850">
        <v>56.8</v>
      </c>
      <c r="M1850">
        <v>1391</v>
      </c>
      <c r="N1850" s="2">
        <v>69000</v>
      </c>
      <c r="O1850" s="2">
        <v>345</v>
      </c>
      <c r="P1850" s="2">
        <v>115</v>
      </c>
      <c r="Q1850" s="2">
        <v>5564</v>
      </c>
      <c r="R1850" s="2">
        <v>5750</v>
      </c>
      <c r="S1850">
        <v>326.60000000000002</v>
      </c>
      <c r="T1850" s="2">
        <v>23115</v>
      </c>
      <c r="U1850" s="2">
        <v>45885</v>
      </c>
      <c r="V1850">
        <v>316.03520000000003</v>
      </c>
      <c r="W1850">
        <v>0</v>
      </c>
      <c r="X1850">
        <v>0</v>
      </c>
      <c r="Y1850">
        <v>0</v>
      </c>
      <c r="Z1850">
        <v>2.5</v>
      </c>
      <c r="AA1850">
        <v>7.9105112341916334E-3</v>
      </c>
      <c r="AB1850">
        <v>30.7</v>
      </c>
      <c r="AC1850">
        <v>11.862138888888889</v>
      </c>
      <c r="AD1850">
        <v>28.5</v>
      </c>
      <c r="AE1850" s="7"/>
      <c r="AF1850" s="7"/>
      <c r="AG1850" s="7"/>
      <c r="AH1850" s="7"/>
      <c r="AI1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0.13786111111111055</v>
      </c>
      <c r="AJ1850" s="7"/>
      <c r="AK1850" t="s">
        <v>178</v>
      </c>
      <c r="AN1850">
        <f>IFERROR(INT(Table13[[#This Row],[reject_prod]]/Table13[[#This Row],[part_weight]] * 1000), 0)</f>
        <v>44</v>
      </c>
    </row>
    <row r="1851" spans="1:40" hidden="1">
      <c r="A1851" s="1">
        <v>46077</v>
      </c>
      <c r="B1851">
        <v>2</v>
      </c>
      <c r="C1851">
        <v>9</v>
      </c>
      <c r="D1851" t="s">
        <v>141</v>
      </c>
      <c r="E1851" t="s">
        <v>46</v>
      </c>
      <c r="F1851">
        <v>586276</v>
      </c>
      <c r="G1851" s="6">
        <v>1</v>
      </c>
      <c r="H1851" t="s">
        <v>47</v>
      </c>
      <c r="I1851">
        <v>10686684</v>
      </c>
      <c r="J1851">
        <v>6</v>
      </c>
      <c r="K1851">
        <v>12.3</v>
      </c>
      <c r="L1851">
        <v>12.3</v>
      </c>
      <c r="M1851">
        <v>1561</v>
      </c>
      <c r="N1851" s="2">
        <v>162000</v>
      </c>
      <c r="O1851" s="2">
        <v>6480</v>
      </c>
      <c r="P1851" s="2">
        <v>7695</v>
      </c>
      <c r="Q1851" s="2">
        <v>9366</v>
      </c>
      <c r="R1851" s="2">
        <v>8100</v>
      </c>
      <c r="S1851">
        <v>99.63</v>
      </c>
      <c r="T1851" s="2">
        <v>112995</v>
      </c>
      <c r="U1851" s="2">
        <v>49005</v>
      </c>
      <c r="V1851">
        <v>115.20180000000001</v>
      </c>
      <c r="W1851">
        <v>0</v>
      </c>
      <c r="X1851">
        <v>0</v>
      </c>
      <c r="Y1851">
        <v>0</v>
      </c>
      <c r="Z1851">
        <v>0.5</v>
      </c>
      <c r="AA1851">
        <v>4.3402099619971211E-3</v>
      </c>
      <c r="AB1851">
        <v>26.5</v>
      </c>
      <c r="AC1851">
        <v>11.490694444444443</v>
      </c>
      <c r="AD1851">
        <v>26</v>
      </c>
      <c r="AE1851" s="7"/>
      <c r="AF1851" s="7"/>
      <c r="AG1851" s="7"/>
      <c r="AH1851" s="7"/>
      <c r="AI1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0.50930555555555657</v>
      </c>
      <c r="AJ1851" s="7"/>
      <c r="AK1851" t="s">
        <v>51</v>
      </c>
      <c r="AN1851">
        <f>IFERROR(INT(Table13[[#This Row],[reject_prod]]/Table13[[#This Row],[part_weight]] * 1000), 0)</f>
        <v>40</v>
      </c>
    </row>
    <row r="1852" spans="1:40" hidden="1">
      <c r="A1852" s="1">
        <v>46077</v>
      </c>
      <c r="B1852">
        <v>2</v>
      </c>
      <c r="C1852">
        <v>10</v>
      </c>
      <c r="D1852" t="s">
        <v>149</v>
      </c>
      <c r="E1852" t="s">
        <v>34</v>
      </c>
      <c r="F1852">
        <v>650368</v>
      </c>
      <c r="G1852" s="6">
        <v>0</v>
      </c>
      <c r="H1852" t="s">
        <v>974</v>
      </c>
      <c r="I1852">
        <v>10686809</v>
      </c>
      <c r="J1852">
        <v>4</v>
      </c>
      <c r="K1852">
        <v>57</v>
      </c>
      <c r="L1852">
        <v>56.9</v>
      </c>
      <c r="M1852">
        <v>1149</v>
      </c>
      <c r="N1852" s="2">
        <v>7680</v>
      </c>
      <c r="O1852" s="2">
        <v>0</v>
      </c>
      <c r="P1852" s="2">
        <v>0</v>
      </c>
      <c r="Q1852" s="2">
        <v>4596</v>
      </c>
      <c r="R1852" s="2">
        <v>4480</v>
      </c>
      <c r="S1852">
        <v>254.91200000000001</v>
      </c>
      <c r="T1852" s="2">
        <v>7680</v>
      </c>
      <c r="U1852" s="2">
        <v>0</v>
      </c>
      <c r="V1852">
        <v>261.51240000000001</v>
      </c>
      <c r="W1852">
        <v>0</v>
      </c>
      <c r="X1852">
        <v>0</v>
      </c>
      <c r="Y1852">
        <v>0</v>
      </c>
      <c r="Z1852">
        <v>6.5</v>
      </c>
      <c r="AA1852">
        <v>2.4855417945764711E-2</v>
      </c>
      <c r="AB1852">
        <v>30.1</v>
      </c>
      <c r="AC1852">
        <v>9.6069166666666668</v>
      </c>
      <c r="AD1852">
        <v>26</v>
      </c>
      <c r="AE1852" s="7"/>
      <c r="AF1852" s="7"/>
      <c r="AG1852" s="7"/>
      <c r="AH1852" s="7"/>
      <c r="AI1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2.3930833333333332</v>
      </c>
      <c r="AJ1852" s="7"/>
      <c r="AK1852" t="s">
        <v>999</v>
      </c>
      <c r="AN1852">
        <f>IFERROR(INT(Table13[[#This Row],[reject_prod]]/Table13[[#This Row],[part_weight]] * 1000), 0)</f>
        <v>114</v>
      </c>
    </row>
    <row r="1853" spans="1:40" hidden="1">
      <c r="A1853" s="1">
        <v>46077</v>
      </c>
      <c r="B1853">
        <v>2</v>
      </c>
      <c r="C1853">
        <v>10</v>
      </c>
      <c r="D1853" t="s">
        <v>149</v>
      </c>
      <c r="E1853" t="s">
        <v>34</v>
      </c>
      <c r="F1853">
        <v>323102</v>
      </c>
      <c r="G1853" s="6">
        <v>0</v>
      </c>
      <c r="H1853" t="s">
        <v>45</v>
      </c>
      <c r="I1853">
        <v>10688202</v>
      </c>
      <c r="J1853">
        <v>4</v>
      </c>
      <c r="K1853">
        <v>57</v>
      </c>
      <c r="L1853">
        <v>56.9</v>
      </c>
      <c r="M1853">
        <v>80</v>
      </c>
      <c r="N1853" s="2">
        <v>38400</v>
      </c>
      <c r="O1853" s="2">
        <v>0</v>
      </c>
      <c r="P1853" s="2">
        <v>320</v>
      </c>
      <c r="Q1853" s="2">
        <v>320</v>
      </c>
      <c r="R1853" s="2">
        <v>0</v>
      </c>
      <c r="S1853">
        <v>0</v>
      </c>
      <c r="T1853" s="2">
        <v>320</v>
      </c>
      <c r="U1853" s="2">
        <v>38080</v>
      </c>
      <c r="V1853">
        <v>18.207999999999998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30.1</v>
      </c>
      <c r="AC1853">
        <v>0.66888888888888887</v>
      </c>
      <c r="AD1853">
        <v>26</v>
      </c>
      <c r="AE1853" s="7"/>
      <c r="AF1853" s="7"/>
      <c r="AG1853" s="7"/>
      <c r="AH1853" s="7"/>
      <c r="AI1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11.331111111111111</v>
      </c>
      <c r="AJ1853" s="7"/>
      <c r="AK1853" t="s">
        <v>1000</v>
      </c>
      <c r="AN1853">
        <f>IFERROR(INT(Table13[[#This Row],[reject_prod]]/Table13[[#This Row],[part_weight]] * 1000), 0)</f>
        <v>0</v>
      </c>
    </row>
    <row r="1854" spans="1:40" hidden="1">
      <c r="A1854" s="1">
        <v>46077</v>
      </c>
      <c r="B1854">
        <v>2</v>
      </c>
      <c r="C1854">
        <v>11</v>
      </c>
      <c r="D1854" t="s">
        <v>61</v>
      </c>
      <c r="E1854" t="s">
        <v>46</v>
      </c>
      <c r="F1854">
        <v>552181</v>
      </c>
      <c r="G1854" s="6">
        <v>1</v>
      </c>
      <c r="H1854" t="s">
        <v>49</v>
      </c>
      <c r="I1854">
        <v>10686673</v>
      </c>
      <c r="J1854">
        <v>6</v>
      </c>
      <c r="K1854">
        <v>18.8</v>
      </c>
      <c r="L1854">
        <v>18.8</v>
      </c>
      <c r="M1854">
        <v>1507</v>
      </c>
      <c r="N1854" s="2">
        <v>108000</v>
      </c>
      <c r="O1854" s="2">
        <v>3510</v>
      </c>
      <c r="P1854" s="2">
        <v>1620</v>
      </c>
      <c r="Q1854" s="2">
        <v>9042</v>
      </c>
      <c r="R1854" s="2">
        <v>10800</v>
      </c>
      <c r="S1854">
        <v>203.04</v>
      </c>
      <c r="T1854" s="2">
        <v>66420</v>
      </c>
      <c r="U1854" s="2">
        <v>41580</v>
      </c>
      <c r="V1854">
        <v>169.9896</v>
      </c>
      <c r="W1854">
        <v>0</v>
      </c>
      <c r="X1854">
        <v>0</v>
      </c>
      <c r="Y1854">
        <v>0</v>
      </c>
      <c r="Z1854">
        <v>2.5</v>
      </c>
      <c r="AA1854">
        <v>1.4706782061961438E-2</v>
      </c>
      <c r="AB1854">
        <v>28.46</v>
      </c>
      <c r="AC1854">
        <v>11.913672222222223</v>
      </c>
      <c r="AD1854">
        <v>27</v>
      </c>
      <c r="AE1854" s="7"/>
      <c r="AF1854" s="7"/>
      <c r="AG1854" s="7"/>
      <c r="AH1854" s="7"/>
      <c r="AI1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854" s="7"/>
      <c r="AK1854" t="s">
        <v>51</v>
      </c>
      <c r="AN1854">
        <f>IFERROR(INT(Table13[[#This Row],[reject_prod]]/Table13[[#This Row],[part_weight]] * 1000), 0)</f>
        <v>132</v>
      </c>
    </row>
    <row r="1855" spans="1:40" hidden="1">
      <c r="A1855" s="1">
        <v>46077</v>
      </c>
      <c r="B1855">
        <v>2</v>
      </c>
      <c r="C1855">
        <v>12</v>
      </c>
      <c r="D1855" t="s">
        <v>43</v>
      </c>
      <c r="E1855" t="s">
        <v>34</v>
      </c>
      <c r="F1855">
        <v>620599</v>
      </c>
      <c r="G1855" s="6">
        <v>0</v>
      </c>
      <c r="H1855" t="s">
        <v>50</v>
      </c>
      <c r="I1855">
        <v>10686675</v>
      </c>
      <c r="J1855">
        <v>4</v>
      </c>
      <c r="K1855">
        <v>55</v>
      </c>
      <c r="L1855">
        <v>55</v>
      </c>
      <c r="M1855">
        <v>1480</v>
      </c>
      <c r="N1855" s="2">
        <v>72000</v>
      </c>
      <c r="O1855" s="2">
        <v>1350</v>
      </c>
      <c r="P1855" s="2">
        <v>0</v>
      </c>
      <c r="Q1855" s="2">
        <v>5920</v>
      </c>
      <c r="R1855" s="2">
        <v>7200</v>
      </c>
      <c r="S1855">
        <v>396</v>
      </c>
      <c r="T1855" s="2">
        <v>48600</v>
      </c>
      <c r="U1855" s="2">
        <v>23400</v>
      </c>
      <c r="V1855">
        <v>325.60000000000002</v>
      </c>
      <c r="W1855">
        <v>0</v>
      </c>
      <c r="X1855">
        <v>0</v>
      </c>
      <c r="Y1855">
        <v>0</v>
      </c>
      <c r="Z1855">
        <v>3.5</v>
      </c>
      <c r="AA1855">
        <v>1.0749385749385748E-2</v>
      </c>
      <c r="AB1855">
        <v>28.8</v>
      </c>
      <c r="AC1855">
        <v>11.84</v>
      </c>
      <c r="AD1855">
        <v>28</v>
      </c>
      <c r="AE1855" s="7"/>
      <c r="AF1855" s="7"/>
      <c r="AG1855" s="7"/>
      <c r="AH1855" s="7"/>
      <c r="AI1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855" s="7"/>
      <c r="AK1855" t="s">
        <v>178</v>
      </c>
      <c r="AN1855">
        <f>IFERROR(INT(Table13[[#This Row],[reject_prod]]/Table13[[#This Row],[part_weight]] * 1000), 0)</f>
        <v>63</v>
      </c>
    </row>
    <row r="1856" spans="1:40" hidden="1">
      <c r="A1856" s="1">
        <v>46077</v>
      </c>
      <c r="B1856">
        <v>2</v>
      </c>
      <c r="C1856">
        <v>13</v>
      </c>
      <c r="D1856" t="s">
        <v>61</v>
      </c>
      <c r="E1856" t="s">
        <v>46</v>
      </c>
      <c r="F1856">
        <v>586276</v>
      </c>
      <c r="G1856" s="6">
        <v>2</v>
      </c>
      <c r="H1856" t="s">
        <v>47</v>
      </c>
      <c r="I1856">
        <v>10686677</v>
      </c>
      <c r="J1856">
        <v>6</v>
      </c>
      <c r="K1856">
        <v>12.3</v>
      </c>
      <c r="L1856">
        <v>12.3</v>
      </c>
      <c r="M1856">
        <v>1628</v>
      </c>
      <c r="N1856" s="2">
        <v>162000</v>
      </c>
      <c r="O1856" s="2">
        <v>405</v>
      </c>
      <c r="P1856" s="2">
        <v>2025</v>
      </c>
      <c r="Q1856" s="2">
        <v>9768</v>
      </c>
      <c r="R1856" s="2">
        <v>8100</v>
      </c>
      <c r="S1856">
        <v>99.63</v>
      </c>
      <c r="T1856" s="2">
        <v>83025</v>
      </c>
      <c r="U1856" s="2">
        <v>78975</v>
      </c>
      <c r="V1856">
        <v>120.14640000000001</v>
      </c>
      <c r="W1856">
        <v>0</v>
      </c>
      <c r="X1856">
        <v>0</v>
      </c>
      <c r="Y1856">
        <v>0</v>
      </c>
      <c r="Z1856">
        <v>0.5</v>
      </c>
      <c r="AA1856">
        <v>4.1615895274431857E-3</v>
      </c>
      <c r="AB1856">
        <v>26.2</v>
      </c>
      <c r="AC1856">
        <v>11.848222222222223</v>
      </c>
      <c r="AD1856">
        <v>26</v>
      </c>
      <c r="AE1856" s="7"/>
      <c r="AF1856" s="7"/>
      <c r="AG1856" s="7"/>
      <c r="AH1856" s="7"/>
      <c r="AI1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856" s="7"/>
      <c r="AK1856" t="s">
        <v>51</v>
      </c>
      <c r="AN1856">
        <f>IFERROR(INT(Table13[[#This Row],[reject_prod]]/Table13[[#This Row],[part_weight]] * 1000), 0)</f>
        <v>40</v>
      </c>
    </row>
    <row r="1857" spans="1:40" hidden="1">
      <c r="A1857" s="1">
        <v>46077</v>
      </c>
      <c r="B1857">
        <v>2</v>
      </c>
      <c r="C1857">
        <v>14</v>
      </c>
      <c r="D1857" t="s">
        <v>152</v>
      </c>
      <c r="E1857" t="s">
        <v>34</v>
      </c>
      <c r="F1857">
        <v>541381</v>
      </c>
      <c r="G1857" s="6">
        <v>0</v>
      </c>
      <c r="H1857" t="s">
        <v>804</v>
      </c>
      <c r="I1857">
        <v>10688072</v>
      </c>
      <c r="J1857">
        <v>4</v>
      </c>
      <c r="K1857">
        <v>55</v>
      </c>
      <c r="L1857">
        <v>55</v>
      </c>
      <c r="M1857">
        <v>1576</v>
      </c>
      <c r="N1857" s="2">
        <v>84000</v>
      </c>
      <c r="O1857" s="2">
        <v>175</v>
      </c>
      <c r="P1857" s="2">
        <v>0</v>
      </c>
      <c r="Q1857" s="2">
        <v>6304</v>
      </c>
      <c r="R1857" s="2">
        <v>6300</v>
      </c>
      <c r="S1857">
        <v>346.5</v>
      </c>
      <c r="T1857" s="2">
        <v>7000</v>
      </c>
      <c r="U1857" s="2">
        <v>77000</v>
      </c>
      <c r="V1857">
        <v>346.72</v>
      </c>
      <c r="W1857">
        <v>0</v>
      </c>
      <c r="X1857">
        <v>0</v>
      </c>
      <c r="Y1857">
        <v>0</v>
      </c>
      <c r="Z1857">
        <v>10</v>
      </c>
      <c r="AA1857">
        <v>2.8841716658975541E-2</v>
      </c>
      <c r="AB1857">
        <v>27.7</v>
      </c>
      <c r="AC1857">
        <v>12</v>
      </c>
      <c r="AD1857">
        <v>30.08</v>
      </c>
      <c r="AE1857" s="7"/>
      <c r="AF1857" s="7"/>
      <c r="AG1857" s="7"/>
      <c r="AH1857" s="7"/>
      <c r="AI1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57" s="7"/>
      <c r="AK1857" t="s">
        <v>1001</v>
      </c>
      <c r="AN1857">
        <f>IFERROR(INT(Table13[[#This Row],[reject_prod]]/Table13[[#This Row],[part_weight]] * 1000), 0)</f>
        <v>181</v>
      </c>
    </row>
    <row r="1858" spans="1:40" hidden="1">
      <c r="A1858" s="1">
        <v>46077</v>
      </c>
      <c r="B1858">
        <v>2</v>
      </c>
      <c r="C1858">
        <v>15</v>
      </c>
      <c r="D1858" t="s">
        <v>61</v>
      </c>
      <c r="E1858" t="s">
        <v>46</v>
      </c>
      <c r="F1858">
        <v>552181</v>
      </c>
      <c r="G1858" s="6">
        <v>2</v>
      </c>
      <c r="H1858" t="s">
        <v>49</v>
      </c>
      <c r="I1858">
        <v>10686679</v>
      </c>
      <c r="J1858">
        <v>6</v>
      </c>
      <c r="K1858">
        <v>18.8</v>
      </c>
      <c r="L1858">
        <v>18.8</v>
      </c>
      <c r="M1858">
        <v>0</v>
      </c>
      <c r="N1858" s="2">
        <v>108000</v>
      </c>
      <c r="O1858" s="2">
        <v>0</v>
      </c>
      <c r="P1858" s="2">
        <v>0</v>
      </c>
      <c r="Q1858" s="2">
        <v>0</v>
      </c>
      <c r="R1858" s="2">
        <v>0</v>
      </c>
      <c r="S1858">
        <v>0</v>
      </c>
      <c r="T1858" s="2">
        <v>0</v>
      </c>
      <c r="U1858" s="2">
        <v>108000</v>
      </c>
      <c r="V1858">
        <v>0</v>
      </c>
      <c r="W1858">
        <v>0</v>
      </c>
      <c r="X1858">
        <v>11.5</v>
      </c>
      <c r="Y1858" t="e">
        <v>#DIV/0!</v>
      </c>
      <c r="Z1858">
        <v>0</v>
      </c>
      <c r="AA1858" t="e">
        <v>#DIV/0!</v>
      </c>
      <c r="AB1858">
        <v>31.3</v>
      </c>
      <c r="AC1858">
        <v>0</v>
      </c>
      <c r="AD1858">
        <v>27</v>
      </c>
      <c r="AE1858" s="7"/>
      <c r="AF1858" s="7"/>
      <c r="AG1858" s="7"/>
      <c r="AH1858" s="7"/>
      <c r="AI1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858" s="7"/>
      <c r="AK1858" t="s">
        <v>1002</v>
      </c>
      <c r="AN1858">
        <f>IFERROR(INT(Table13[[#This Row],[reject_prod]]/Table13[[#This Row],[part_weight]] * 1000), 0)</f>
        <v>0</v>
      </c>
    </row>
    <row r="1859" spans="1:40" s="4" customFormat="1" hidden="1">
      <c r="A1859" s="3">
        <v>46077</v>
      </c>
      <c r="B1859" s="4">
        <v>2</v>
      </c>
      <c r="C1859" s="4">
        <v>16</v>
      </c>
      <c r="D1859" s="4" t="s">
        <v>115</v>
      </c>
      <c r="E1859" s="4" t="s">
        <v>46</v>
      </c>
      <c r="F1859" s="4">
        <v>555979</v>
      </c>
      <c r="G1859" s="9">
        <v>2</v>
      </c>
      <c r="H1859" s="4" t="s">
        <v>52</v>
      </c>
      <c r="I1859" s="4">
        <v>10686701</v>
      </c>
      <c r="J1859" s="4">
        <v>6</v>
      </c>
      <c r="K1859" s="4">
        <v>28</v>
      </c>
      <c r="L1859" s="4">
        <v>28</v>
      </c>
      <c r="M1859" s="4">
        <v>989</v>
      </c>
      <c r="N1859" s="5">
        <v>100800</v>
      </c>
      <c r="O1859" s="5">
        <v>1176</v>
      </c>
      <c r="P1859" s="5">
        <v>336</v>
      </c>
      <c r="Q1859" s="5">
        <v>5934</v>
      </c>
      <c r="R1859" s="5">
        <v>6720</v>
      </c>
      <c r="S1859" s="4">
        <v>188.16</v>
      </c>
      <c r="T1859" s="5">
        <v>27216</v>
      </c>
      <c r="U1859" s="5">
        <v>73584</v>
      </c>
      <c r="V1859" s="4">
        <v>166.15199999999999</v>
      </c>
      <c r="W1859" s="4">
        <v>0</v>
      </c>
      <c r="X1859" s="4">
        <v>0</v>
      </c>
      <c r="Y1859" s="4">
        <v>0</v>
      </c>
      <c r="Z1859" s="4">
        <v>1.5</v>
      </c>
      <c r="AA1859" s="4">
        <v>9.0278780875343058E-3</v>
      </c>
      <c r="AB1859" s="4">
        <v>43.2</v>
      </c>
      <c r="AC1859" s="4">
        <v>11.868</v>
      </c>
      <c r="AD1859" s="4">
        <v>42</v>
      </c>
      <c r="AE1859" s="8"/>
      <c r="AF1859" s="8"/>
      <c r="AG1859" s="8"/>
      <c r="AH1859" s="8"/>
      <c r="AI185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1859" s="8"/>
      <c r="AK1859" s="4" t="s">
        <v>51</v>
      </c>
      <c r="AN1859">
        <f>IFERROR(INT(Table13[[#This Row],[reject_prod]]/Table13[[#This Row],[part_weight]] * 1000), 0)</f>
        <v>53</v>
      </c>
    </row>
    <row r="1860" spans="1:40" hidden="1">
      <c r="A1860" s="1">
        <v>46078</v>
      </c>
      <c r="B1860">
        <v>1</v>
      </c>
      <c r="C1860">
        <v>1</v>
      </c>
      <c r="D1860" t="s">
        <v>289</v>
      </c>
      <c r="E1860" t="s">
        <v>34</v>
      </c>
      <c r="F1860">
        <v>322517</v>
      </c>
      <c r="G1860" s="6">
        <v>0</v>
      </c>
      <c r="H1860" t="s">
        <v>959</v>
      </c>
      <c r="I1860">
        <v>10688092</v>
      </c>
      <c r="J1860">
        <v>4</v>
      </c>
      <c r="K1860">
        <v>45.3</v>
      </c>
      <c r="L1860">
        <v>45.3</v>
      </c>
      <c r="M1860">
        <v>1625</v>
      </c>
      <c r="N1860" s="2">
        <v>26000</v>
      </c>
      <c r="O1860" s="2">
        <v>0</v>
      </c>
      <c r="P1860" s="2">
        <v>0</v>
      </c>
      <c r="Q1860" s="2">
        <v>6500</v>
      </c>
      <c r="R1860" s="2">
        <v>6500</v>
      </c>
      <c r="S1860">
        <v>294.45</v>
      </c>
      <c r="T1860" s="2">
        <v>26000</v>
      </c>
      <c r="U1860" s="2">
        <v>0</v>
      </c>
      <c r="V1860">
        <v>294.45</v>
      </c>
      <c r="W1860">
        <v>0</v>
      </c>
      <c r="X1860">
        <v>0</v>
      </c>
      <c r="Y1860">
        <v>0</v>
      </c>
      <c r="Z1860">
        <v>3</v>
      </c>
      <c r="AA1860">
        <v>1.0188487009679063E-2</v>
      </c>
      <c r="AB1860">
        <v>26.4</v>
      </c>
      <c r="AC1860">
        <v>11.916666666666666</v>
      </c>
      <c r="AD1860">
        <v>25.88</v>
      </c>
      <c r="AE1860" s="7"/>
      <c r="AF1860" s="7"/>
      <c r="AG1860" s="7"/>
      <c r="AH1860" s="7"/>
      <c r="AI1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8.3333333333333925E-2</v>
      </c>
      <c r="AJ1860" s="7"/>
      <c r="AK1860" t="s">
        <v>102</v>
      </c>
      <c r="AN1860">
        <f>IFERROR(INT(Table13[[#This Row],[reject_prod]]/Table13[[#This Row],[part_weight]] * 1000), 0)</f>
        <v>66</v>
      </c>
    </row>
    <row r="1861" spans="1:40" hidden="1">
      <c r="A1861" s="1">
        <v>46078</v>
      </c>
      <c r="B1861">
        <v>1</v>
      </c>
      <c r="C1861">
        <v>2</v>
      </c>
      <c r="D1861" t="s">
        <v>897</v>
      </c>
      <c r="E1861" t="s">
        <v>34</v>
      </c>
      <c r="F1861">
        <v>543590</v>
      </c>
      <c r="G1861" s="6">
        <v>0</v>
      </c>
      <c r="H1861" t="s">
        <v>913</v>
      </c>
      <c r="I1861">
        <v>10687749</v>
      </c>
      <c r="J1861">
        <v>4</v>
      </c>
      <c r="K1861">
        <v>19</v>
      </c>
      <c r="L1861">
        <v>19</v>
      </c>
      <c r="M1861">
        <v>2170</v>
      </c>
      <c r="N1861" s="2">
        <v>132440</v>
      </c>
      <c r="O1861" s="2">
        <v>1232</v>
      </c>
      <c r="P1861" s="2">
        <v>2464</v>
      </c>
      <c r="Q1861" s="2">
        <v>8680</v>
      </c>
      <c r="R1861" s="2">
        <v>7392</v>
      </c>
      <c r="S1861">
        <v>140.44800000000001</v>
      </c>
      <c r="T1861" s="2">
        <v>68992</v>
      </c>
      <c r="U1861" s="2">
        <v>63448</v>
      </c>
      <c r="V1861">
        <v>164.92</v>
      </c>
      <c r="W1861">
        <v>0</v>
      </c>
      <c r="X1861">
        <v>0</v>
      </c>
      <c r="Y1861">
        <v>0</v>
      </c>
      <c r="Z1861">
        <v>1</v>
      </c>
      <c r="AA1861">
        <v>6.0635459616783897E-3</v>
      </c>
      <c r="AB1861">
        <v>19.7</v>
      </c>
      <c r="AC1861">
        <v>11.874722222222221</v>
      </c>
      <c r="AD1861">
        <v>18.72</v>
      </c>
      <c r="AE1861" s="7"/>
      <c r="AF1861" s="7"/>
      <c r="AG1861" s="7"/>
      <c r="AH1861" s="7"/>
      <c r="AI1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0.12527777777777871</v>
      </c>
      <c r="AJ1861" s="7"/>
      <c r="AK1861" t="s">
        <v>193</v>
      </c>
      <c r="AN1861">
        <f>IFERROR(INT(Table13[[#This Row],[reject_prod]]/Table13[[#This Row],[part_weight]] * 1000), 0)</f>
        <v>52</v>
      </c>
    </row>
    <row r="1862" spans="1:40" hidden="1">
      <c r="A1862" s="1">
        <v>46078</v>
      </c>
      <c r="B1862">
        <v>1</v>
      </c>
      <c r="C1862">
        <v>3</v>
      </c>
      <c r="D1862" t="s">
        <v>84</v>
      </c>
      <c r="E1862" t="s">
        <v>34</v>
      </c>
      <c r="F1862">
        <v>442034</v>
      </c>
      <c r="G1862" s="6">
        <v>0</v>
      </c>
      <c r="H1862" t="s">
        <v>37</v>
      </c>
      <c r="I1862">
        <v>10685634</v>
      </c>
      <c r="J1862">
        <v>4</v>
      </c>
      <c r="K1862">
        <v>23</v>
      </c>
      <c r="L1862">
        <v>23</v>
      </c>
      <c r="M1862">
        <v>1460</v>
      </c>
      <c r="N1862" s="2">
        <v>139776</v>
      </c>
      <c r="O1862" s="2">
        <v>3456</v>
      </c>
      <c r="P1862" s="2">
        <v>0</v>
      </c>
      <c r="Q1862" s="2">
        <v>5840</v>
      </c>
      <c r="R1862" s="2">
        <v>9216</v>
      </c>
      <c r="S1862">
        <v>211.96799999999999</v>
      </c>
      <c r="T1862" s="2">
        <v>78336</v>
      </c>
      <c r="U1862" s="2">
        <v>61440</v>
      </c>
      <c r="V1862">
        <v>134.32</v>
      </c>
      <c r="W1862">
        <v>0</v>
      </c>
      <c r="X1862">
        <v>0</v>
      </c>
      <c r="Y1862">
        <v>0</v>
      </c>
      <c r="Z1862">
        <v>5.4</v>
      </c>
      <c r="AA1862">
        <v>4.0202501488981544E-2</v>
      </c>
      <c r="AB1862">
        <v>28.5</v>
      </c>
      <c r="AC1862">
        <v>11.558333333333334</v>
      </c>
      <c r="AD1862">
        <v>22</v>
      </c>
      <c r="AE1862" s="7"/>
      <c r="AF1862" s="7"/>
      <c r="AG1862" s="7"/>
      <c r="AH1862" s="7"/>
      <c r="AI1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862" s="7"/>
      <c r="AK1862" t="s">
        <v>643</v>
      </c>
      <c r="AN1862">
        <f>IFERROR(INT(Table13[[#This Row],[reject_prod]]/Table13[[#This Row],[part_weight]] * 1000), 0)</f>
        <v>234</v>
      </c>
    </row>
    <row r="1863" spans="1:40" hidden="1">
      <c r="A1863" s="1">
        <v>46078</v>
      </c>
      <c r="B1863">
        <v>1</v>
      </c>
      <c r="C1863">
        <v>4</v>
      </c>
      <c r="D1863" t="s">
        <v>1003</v>
      </c>
      <c r="E1863" t="s">
        <v>34</v>
      </c>
      <c r="F1863">
        <v>451191</v>
      </c>
      <c r="G1863" s="6">
        <v>0</v>
      </c>
      <c r="H1863" t="s">
        <v>946</v>
      </c>
      <c r="I1863">
        <v>10687751</v>
      </c>
      <c r="J1863">
        <v>4</v>
      </c>
      <c r="K1863">
        <v>29</v>
      </c>
      <c r="L1863">
        <v>29</v>
      </c>
      <c r="M1863">
        <v>1660</v>
      </c>
      <c r="N1863" s="2">
        <v>73440</v>
      </c>
      <c r="O1863" s="2">
        <v>1224</v>
      </c>
      <c r="P1863" s="2">
        <v>459</v>
      </c>
      <c r="Q1863" s="2">
        <v>6640</v>
      </c>
      <c r="R1863" s="2">
        <v>7344</v>
      </c>
      <c r="S1863">
        <v>212.976</v>
      </c>
      <c r="T1863" s="2">
        <v>48195</v>
      </c>
      <c r="U1863" s="2">
        <v>25245</v>
      </c>
      <c r="V1863">
        <v>192.56</v>
      </c>
      <c r="W1863">
        <v>0</v>
      </c>
      <c r="X1863">
        <v>0</v>
      </c>
      <c r="Y1863">
        <v>0</v>
      </c>
      <c r="Z1863">
        <v>6</v>
      </c>
      <c r="AA1863">
        <v>3.115911923556294E-2</v>
      </c>
      <c r="AB1863">
        <v>25.6</v>
      </c>
      <c r="AC1863">
        <v>11.804444444444446</v>
      </c>
      <c r="AD1863">
        <v>24</v>
      </c>
      <c r="AE1863" s="7"/>
      <c r="AF1863" s="7"/>
      <c r="AG1863" s="7"/>
      <c r="AH1863" s="7"/>
      <c r="AI1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0.19555555555555415</v>
      </c>
      <c r="AJ1863" s="7"/>
      <c r="AK1863" t="s">
        <v>75</v>
      </c>
      <c r="AN1863">
        <f>IFERROR(INT(Table13[[#This Row],[reject_prod]]/Table13[[#This Row],[part_weight]] * 1000), 0)</f>
        <v>206</v>
      </c>
    </row>
    <row r="1864" spans="1:40" hidden="1">
      <c r="A1864" s="1">
        <v>46078</v>
      </c>
      <c r="B1864">
        <v>1</v>
      </c>
      <c r="C1864">
        <v>5</v>
      </c>
      <c r="D1864" t="s">
        <v>966</v>
      </c>
      <c r="E1864" t="s">
        <v>34</v>
      </c>
      <c r="F1864">
        <v>597507</v>
      </c>
      <c r="G1864" s="6">
        <v>0</v>
      </c>
      <c r="H1864" t="s">
        <v>279</v>
      </c>
      <c r="I1864">
        <v>10687752</v>
      </c>
      <c r="J1864">
        <v>4</v>
      </c>
      <c r="K1864">
        <v>23</v>
      </c>
      <c r="L1864">
        <v>23</v>
      </c>
      <c r="M1864">
        <v>950</v>
      </c>
      <c r="N1864" s="2">
        <v>86240</v>
      </c>
      <c r="O1864" s="2">
        <v>616</v>
      </c>
      <c r="P1864" s="2">
        <v>0</v>
      </c>
      <c r="Q1864" s="2">
        <v>3800</v>
      </c>
      <c r="R1864" s="2">
        <v>4312</v>
      </c>
      <c r="S1864">
        <v>99.176000000000002</v>
      </c>
      <c r="T1864" s="2">
        <v>86240</v>
      </c>
      <c r="U1864" s="2">
        <v>0</v>
      </c>
      <c r="V1864">
        <v>87.4</v>
      </c>
      <c r="W1864">
        <v>0</v>
      </c>
      <c r="X1864">
        <v>0</v>
      </c>
      <c r="Y1864">
        <v>0</v>
      </c>
      <c r="Z1864">
        <v>4</v>
      </c>
      <c r="AA1864">
        <v>4.5766590389016017E-2</v>
      </c>
      <c r="AB1864">
        <v>21.7</v>
      </c>
      <c r="AC1864">
        <v>5.7263888888888888</v>
      </c>
      <c r="AD1864">
        <v>22</v>
      </c>
      <c r="AE1864" s="7"/>
      <c r="AF1864" s="7"/>
      <c r="AG1864" s="7"/>
      <c r="AH1864" s="7"/>
      <c r="AI1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6.2736111111111112</v>
      </c>
      <c r="AJ1864" s="7"/>
      <c r="AK1864" t="s">
        <v>1004</v>
      </c>
      <c r="AN1864">
        <f>IFERROR(INT(Table13[[#This Row],[reject_prod]]/Table13[[#This Row],[part_weight]] * 1000), 0)</f>
        <v>173</v>
      </c>
    </row>
    <row r="1865" spans="1:40" hidden="1">
      <c r="A1865" s="1">
        <v>46078</v>
      </c>
      <c r="B1865">
        <v>1</v>
      </c>
      <c r="C1865">
        <v>5</v>
      </c>
      <c r="D1865" t="s">
        <v>966</v>
      </c>
      <c r="E1865" t="s">
        <v>34</v>
      </c>
      <c r="F1865">
        <v>322448</v>
      </c>
      <c r="G1865" s="6">
        <v>0</v>
      </c>
      <c r="H1865" t="s">
        <v>654</v>
      </c>
      <c r="I1865">
        <v>10687753</v>
      </c>
      <c r="J1865">
        <v>4</v>
      </c>
      <c r="K1865">
        <v>40</v>
      </c>
      <c r="L1865">
        <v>40</v>
      </c>
      <c r="M1865">
        <v>0</v>
      </c>
      <c r="N1865" s="2">
        <v>174960</v>
      </c>
      <c r="O1865" s="2">
        <v>0</v>
      </c>
      <c r="P1865" s="2">
        <v>0</v>
      </c>
      <c r="Q1865" s="2">
        <v>0</v>
      </c>
      <c r="R1865" s="2">
        <v>0</v>
      </c>
      <c r="S1865">
        <v>0</v>
      </c>
      <c r="T1865" s="2">
        <v>0</v>
      </c>
      <c r="U1865" s="2">
        <v>174960</v>
      </c>
      <c r="V1865">
        <v>0</v>
      </c>
      <c r="W1865">
        <v>0</v>
      </c>
      <c r="X1865">
        <v>4</v>
      </c>
      <c r="Y1865" t="e">
        <v>#DIV/0!</v>
      </c>
      <c r="Z1865">
        <v>0</v>
      </c>
      <c r="AA1865" t="e">
        <v>#DIV/0!</v>
      </c>
      <c r="AB1865">
        <v>0</v>
      </c>
      <c r="AC1865">
        <v>0</v>
      </c>
      <c r="AD1865">
        <v>23</v>
      </c>
      <c r="AE1865" s="7">
        <v>5.5</v>
      </c>
      <c r="AF1865" s="7"/>
      <c r="AG1865" s="7"/>
      <c r="AH1865" s="7"/>
      <c r="AI1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865" s="7"/>
      <c r="AK1865" t="s">
        <v>1005</v>
      </c>
      <c r="AL1865">
        <v>7</v>
      </c>
      <c r="AM1865">
        <v>8</v>
      </c>
      <c r="AN1865">
        <f>IFERROR(INT(Table13[[#This Row],[reject_prod]]/Table13[[#This Row],[part_weight]] * 1000), 0)</f>
        <v>0</v>
      </c>
    </row>
    <row r="1866" spans="1:40" hidden="1">
      <c r="A1866" s="1">
        <v>46078</v>
      </c>
      <c r="B1866">
        <v>1</v>
      </c>
      <c r="C1866">
        <v>6</v>
      </c>
      <c r="D1866" t="s">
        <v>1006</v>
      </c>
      <c r="E1866" t="s">
        <v>34</v>
      </c>
      <c r="F1866">
        <v>322420</v>
      </c>
      <c r="G1866" s="6">
        <v>0</v>
      </c>
      <c r="H1866" t="s">
        <v>996</v>
      </c>
      <c r="I1866">
        <v>10687136</v>
      </c>
      <c r="J1866">
        <v>4</v>
      </c>
      <c r="K1866">
        <v>34</v>
      </c>
      <c r="L1866">
        <v>34</v>
      </c>
      <c r="M1866">
        <v>0</v>
      </c>
      <c r="N1866" s="2">
        <v>24192</v>
      </c>
      <c r="O1866" s="2">
        <v>0</v>
      </c>
      <c r="P1866" s="2">
        <v>3402</v>
      </c>
      <c r="Q1866" s="2">
        <v>0</v>
      </c>
      <c r="R1866" s="2">
        <v>0</v>
      </c>
      <c r="S1866">
        <v>0</v>
      </c>
      <c r="T1866" s="2">
        <v>3402</v>
      </c>
      <c r="U1866" s="2">
        <v>20790</v>
      </c>
      <c r="V1866">
        <v>0</v>
      </c>
      <c r="W1866">
        <v>0</v>
      </c>
      <c r="X1866">
        <v>15</v>
      </c>
      <c r="Y1866" t="e">
        <v>#DIV/0!</v>
      </c>
      <c r="Z1866">
        <v>2.8</v>
      </c>
      <c r="AA1866" t="e">
        <v>#DIV/0!</v>
      </c>
      <c r="AB1866">
        <v>21.44</v>
      </c>
      <c r="AC1866">
        <v>0</v>
      </c>
      <c r="AD1866">
        <v>22</v>
      </c>
      <c r="AE1866" s="7">
        <v>2</v>
      </c>
      <c r="AF1866" s="7"/>
      <c r="AG1866" s="7"/>
      <c r="AH1866" s="7"/>
      <c r="AI1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1866" s="7"/>
      <c r="AK1866" t="s">
        <v>1007</v>
      </c>
      <c r="AL1866">
        <v>7</v>
      </c>
      <c r="AM1866">
        <v>5</v>
      </c>
      <c r="AN1866">
        <f>IFERROR(INT(Table13[[#This Row],[reject_prod]]/Table13[[#This Row],[part_weight]] * 1000), 0)</f>
        <v>82</v>
      </c>
    </row>
    <row r="1867" spans="1:40" hidden="1">
      <c r="A1867" s="1">
        <v>46078</v>
      </c>
      <c r="B1867">
        <v>1</v>
      </c>
      <c r="C1867">
        <v>7</v>
      </c>
      <c r="D1867" t="s">
        <v>1008</v>
      </c>
      <c r="E1867" t="s">
        <v>34</v>
      </c>
      <c r="F1867">
        <v>324165</v>
      </c>
      <c r="G1867" s="6">
        <v>0</v>
      </c>
      <c r="H1867" t="s">
        <v>44</v>
      </c>
      <c r="I1867">
        <v>10687137</v>
      </c>
      <c r="J1867">
        <v>4</v>
      </c>
      <c r="K1867">
        <v>32.56</v>
      </c>
      <c r="L1867">
        <v>33</v>
      </c>
      <c r="M1867">
        <v>1855</v>
      </c>
      <c r="N1867" s="2">
        <v>104192</v>
      </c>
      <c r="O1867" s="2">
        <v>1776</v>
      </c>
      <c r="P1867" s="2">
        <v>2072</v>
      </c>
      <c r="Q1867" s="2">
        <v>7420</v>
      </c>
      <c r="R1867" s="2">
        <v>7104</v>
      </c>
      <c r="S1867">
        <v>234.43199999999999</v>
      </c>
      <c r="T1867" s="2">
        <v>66008</v>
      </c>
      <c r="U1867" s="2">
        <v>38184</v>
      </c>
      <c r="V1867">
        <v>244.86</v>
      </c>
      <c r="W1867">
        <v>0</v>
      </c>
      <c r="X1867">
        <v>0</v>
      </c>
      <c r="Y1867">
        <v>0</v>
      </c>
      <c r="Z1867">
        <v>3.8</v>
      </c>
      <c r="AA1867">
        <v>1.5519072122845706E-2</v>
      </c>
      <c r="AB1867">
        <v>22.8</v>
      </c>
      <c r="AC1867">
        <v>11.748333333333333</v>
      </c>
      <c r="AD1867">
        <v>22</v>
      </c>
      <c r="AE1867" s="7"/>
      <c r="AF1867" s="7"/>
      <c r="AG1867" s="7"/>
      <c r="AH1867" s="7"/>
      <c r="AI1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0.25166666666666693</v>
      </c>
      <c r="AJ1867" s="7"/>
      <c r="AK1867" t="s">
        <v>79</v>
      </c>
      <c r="AN1867">
        <f>IFERROR(INT(Table13[[#This Row],[reject_prod]]/Table13[[#This Row],[part_weight]] * 1000), 0)</f>
        <v>115</v>
      </c>
    </row>
    <row r="1868" spans="1:40" hidden="1">
      <c r="A1868" s="1">
        <v>46078</v>
      </c>
      <c r="B1868">
        <v>1</v>
      </c>
      <c r="C1868">
        <v>8</v>
      </c>
      <c r="D1868" t="s">
        <v>309</v>
      </c>
      <c r="E1868" t="s">
        <v>41</v>
      </c>
      <c r="F1868">
        <v>593537</v>
      </c>
      <c r="G1868" s="6">
        <v>0</v>
      </c>
      <c r="H1868" t="s">
        <v>48</v>
      </c>
      <c r="I1868">
        <v>10688067</v>
      </c>
      <c r="J1868">
        <v>4</v>
      </c>
      <c r="K1868">
        <v>56.5</v>
      </c>
      <c r="L1868">
        <v>56.8</v>
      </c>
      <c r="M1868">
        <v>1437</v>
      </c>
      <c r="N1868" s="2">
        <v>69000</v>
      </c>
      <c r="O1868" s="2">
        <v>115</v>
      </c>
      <c r="P1868" s="2">
        <v>115</v>
      </c>
      <c r="Q1868" s="2">
        <v>5748</v>
      </c>
      <c r="R1868" s="2">
        <v>5750</v>
      </c>
      <c r="S1868">
        <v>326.60000000000002</v>
      </c>
      <c r="T1868" s="2">
        <v>28865</v>
      </c>
      <c r="U1868" s="2">
        <v>40135</v>
      </c>
      <c r="V1868">
        <v>326.48639999999995</v>
      </c>
      <c r="W1868">
        <v>0</v>
      </c>
      <c r="X1868">
        <v>0</v>
      </c>
      <c r="Y1868">
        <v>0</v>
      </c>
      <c r="Z1868">
        <v>1.2</v>
      </c>
      <c r="AA1868">
        <v>3.6754976623834873E-3</v>
      </c>
      <c r="AB1868">
        <v>30.3</v>
      </c>
      <c r="AC1868">
        <v>12</v>
      </c>
      <c r="AD1868">
        <v>28.5</v>
      </c>
      <c r="AE1868" s="7"/>
      <c r="AF1868" s="7"/>
      <c r="AG1868" s="7"/>
      <c r="AH1868" s="7"/>
      <c r="AI1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68" s="7"/>
      <c r="AK1868" t="s">
        <v>178</v>
      </c>
      <c r="AN1868">
        <f>IFERROR(INT(Table13[[#This Row],[reject_prod]]/Table13[[#This Row],[part_weight]] * 1000), 0)</f>
        <v>21</v>
      </c>
    </row>
    <row r="1869" spans="1:40" hidden="1">
      <c r="A1869" s="1">
        <v>46078</v>
      </c>
      <c r="B1869">
        <v>1</v>
      </c>
      <c r="C1869">
        <v>9</v>
      </c>
      <c r="D1869" t="s">
        <v>56</v>
      </c>
      <c r="E1869" t="s">
        <v>46</v>
      </c>
      <c r="F1869">
        <v>586276</v>
      </c>
      <c r="G1869" s="6">
        <v>1</v>
      </c>
      <c r="H1869" t="s">
        <v>47</v>
      </c>
      <c r="I1869">
        <v>10686684</v>
      </c>
      <c r="J1869">
        <v>6</v>
      </c>
      <c r="K1869">
        <v>12.3</v>
      </c>
      <c r="L1869">
        <v>12.3</v>
      </c>
      <c r="M1869">
        <v>1560</v>
      </c>
      <c r="N1869" s="2">
        <v>162000</v>
      </c>
      <c r="O1869" s="2">
        <v>7695</v>
      </c>
      <c r="P1869" s="2">
        <v>810</v>
      </c>
      <c r="Q1869" s="2">
        <v>9360</v>
      </c>
      <c r="R1869" s="2">
        <v>16200</v>
      </c>
      <c r="S1869">
        <v>199.26</v>
      </c>
      <c r="T1869" s="2">
        <v>122310</v>
      </c>
      <c r="U1869" s="2">
        <v>39690</v>
      </c>
      <c r="V1869">
        <v>115.128</v>
      </c>
      <c r="W1869">
        <v>0</v>
      </c>
      <c r="X1869">
        <v>0</v>
      </c>
      <c r="Y1869">
        <v>0</v>
      </c>
      <c r="Z1869">
        <v>3.4</v>
      </c>
      <c r="AA1869">
        <v>2.9532346605517335E-2</v>
      </c>
      <c r="AB1869">
        <v>26.5</v>
      </c>
      <c r="AC1869">
        <v>11.483333333333333</v>
      </c>
      <c r="AD1869">
        <v>26</v>
      </c>
      <c r="AE1869" s="7"/>
      <c r="AF1869" s="7"/>
      <c r="AG1869" s="7"/>
      <c r="AH1869" s="7"/>
      <c r="AI1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869" s="7"/>
      <c r="AK1869" t="s">
        <v>57</v>
      </c>
      <c r="AN1869">
        <f>IFERROR(INT(Table13[[#This Row],[reject_prod]]/Table13[[#This Row],[part_weight]] * 1000), 0)</f>
        <v>276</v>
      </c>
    </row>
    <row r="1870" spans="1:40" hidden="1">
      <c r="A1870" s="1">
        <v>46078</v>
      </c>
      <c r="B1870">
        <v>1</v>
      </c>
      <c r="C1870">
        <v>10</v>
      </c>
      <c r="D1870" t="s">
        <v>117</v>
      </c>
      <c r="E1870" t="s">
        <v>34</v>
      </c>
      <c r="F1870">
        <v>323102</v>
      </c>
      <c r="G1870" s="6">
        <v>0</v>
      </c>
      <c r="H1870" t="s">
        <v>45</v>
      </c>
      <c r="I1870">
        <v>10688202</v>
      </c>
      <c r="J1870">
        <v>4</v>
      </c>
      <c r="K1870">
        <v>57</v>
      </c>
      <c r="L1870">
        <v>56.9</v>
      </c>
      <c r="M1870">
        <v>1200</v>
      </c>
      <c r="N1870" s="2">
        <v>38400</v>
      </c>
      <c r="O1870" s="2">
        <v>320</v>
      </c>
      <c r="P1870" s="2">
        <v>240</v>
      </c>
      <c r="Q1870" s="2">
        <v>4800</v>
      </c>
      <c r="R1870" s="2">
        <v>4800</v>
      </c>
      <c r="S1870">
        <v>273.12</v>
      </c>
      <c r="T1870" s="2">
        <v>5040</v>
      </c>
      <c r="U1870" s="2">
        <v>33360</v>
      </c>
      <c r="V1870">
        <v>273.12</v>
      </c>
      <c r="W1870">
        <v>0.48000000000000681</v>
      </c>
      <c r="X1870">
        <v>0</v>
      </c>
      <c r="Y1870">
        <v>0</v>
      </c>
      <c r="Z1870">
        <v>5.5</v>
      </c>
      <c r="AA1870">
        <v>2.0137668424135911E-2</v>
      </c>
      <c r="AB1870">
        <v>30.1</v>
      </c>
      <c r="AC1870">
        <v>10.033333333333333</v>
      </c>
      <c r="AD1870">
        <v>26</v>
      </c>
      <c r="AE1870" s="7"/>
      <c r="AF1870" s="7"/>
      <c r="AG1870" s="7"/>
      <c r="AH1870" s="7"/>
      <c r="AI1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1.9666666666666668</v>
      </c>
      <c r="AJ1870" s="7"/>
      <c r="AK1870" t="s">
        <v>1009</v>
      </c>
      <c r="AL1870">
        <v>1.5</v>
      </c>
      <c r="AM1870">
        <v>12</v>
      </c>
      <c r="AN1870">
        <f>IFERROR(INT(Table13[[#This Row],[reject_prod]]/Table13[[#This Row],[part_weight]] * 1000), 0)</f>
        <v>96</v>
      </c>
    </row>
    <row r="1871" spans="1:40" hidden="1">
      <c r="A1871" s="1">
        <v>46078</v>
      </c>
      <c r="B1871">
        <v>1</v>
      </c>
      <c r="C1871">
        <v>11</v>
      </c>
      <c r="D1871" t="s">
        <v>139</v>
      </c>
      <c r="E1871" t="s">
        <v>46</v>
      </c>
      <c r="F1871">
        <v>552181</v>
      </c>
      <c r="G1871" s="6">
        <v>1</v>
      </c>
      <c r="H1871" t="s">
        <v>49</v>
      </c>
      <c r="I1871">
        <v>10686673</v>
      </c>
      <c r="J1871">
        <v>6</v>
      </c>
      <c r="K1871">
        <v>18.8</v>
      </c>
      <c r="L1871">
        <v>18.8</v>
      </c>
      <c r="M1871">
        <v>1530</v>
      </c>
      <c r="N1871" s="2">
        <v>108000</v>
      </c>
      <c r="O1871" s="2">
        <v>1620</v>
      </c>
      <c r="P1871" s="2">
        <v>3510</v>
      </c>
      <c r="Q1871" s="2">
        <v>9180</v>
      </c>
      <c r="R1871" s="2">
        <v>10800</v>
      </c>
      <c r="S1871">
        <v>203.04</v>
      </c>
      <c r="T1871" s="2">
        <v>79110</v>
      </c>
      <c r="U1871" s="2">
        <v>28890</v>
      </c>
      <c r="V1871">
        <v>172.584</v>
      </c>
      <c r="W1871">
        <v>0</v>
      </c>
      <c r="X1871">
        <v>0</v>
      </c>
      <c r="Y1871">
        <v>0</v>
      </c>
      <c r="Z1871">
        <v>0.5</v>
      </c>
      <c r="AA1871">
        <v>2.8971399434478281E-3</v>
      </c>
      <c r="AB1871">
        <v>28.46</v>
      </c>
      <c r="AC1871">
        <v>12</v>
      </c>
      <c r="AD1871">
        <v>27</v>
      </c>
      <c r="AE1871" s="7"/>
      <c r="AF1871" s="7"/>
      <c r="AG1871" s="7"/>
      <c r="AH1871" s="7"/>
      <c r="AI1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71" s="7"/>
      <c r="AK1871" t="s">
        <v>51</v>
      </c>
      <c r="AN1871">
        <f>IFERROR(INT(Table13[[#This Row],[reject_prod]]/Table13[[#This Row],[part_weight]] * 1000), 0)</f>
        <v>26</v>
      </c>
    </row>
    <row r="1872" spans="1:40" hidden="1">
      <c r="A1872" s="1">
        <v>46078</v>
      </c>
      <c r="B1872">
        <v>1</v>
      </c>
      <c r="C1872">
        <v>12</v>
      </c>
      <c r="D1872" t="s">
        <v>53</v>
      </c>
      <c r="E1872" t="s">
        <v>34</v>
      </c>
      <c r="F1872">
        <v>620599</v>
      </c>
      <c r="G1872" s="6">
        <v>0</v>
      </c>
      <c r="H1872" t="s">
        <v>50</v>
      </c>
      <c r="I1872">
        <v>10686675</v>
      </c>
      <c r="J1872">
        <v>4</v>
      </c>
      <c r="K1872">
        <v>55</v>
      </c>
      <c r="L1872">
        <v>55</v>
      </c>
      <c r="M1872">
        <v>1440</v>
      </c>
      <c r="N1872" s="2">
        <v>72000</v>
      </c>
      <c r="O1872" s="2">
        <v>0</v>
      </c>
      <c r="P1872" s="2">
        <v>225</v>
      </c>
      <c r="Q1872" s="2">
        <v>5760</v>
      </c>
      <c r="R1872" s="2">
        <v>5400</v>
      </c>
      <c r="S1872">
        <v>297</v>
      </c>
      <c r="T1872" s="2">
        <v>54225</v>
      </c>
      <c r="U1872" s="2">
        <v>17775</v>
      </c>
      <c r="V1872">
        <v>316.8</v>
      </c>
      <c r="W1872">
        <v>0</v>
      </c>
      <c r="X1872">
        <v>0</v>
      </c>
      <c r="Y1872">
        <v>0</v>
      </c>
      <c r="Z1872">
        <v>5.3</v>
      </c>
      <c r="AA1872">
        <v>1.672979797979798E-2</v>
      </c>
      <c r="AB1872">
        <v>28.8</v>
      </c>
      <c r="AC1872">
        <v>11.52</v>
      </c>
      <c r="AD1872">
        <v>28</v>
      </c>
      <c r="AE1872" s="7"/>
      <c r="AF1872" s="7"/>
      <c r="AG1872" s="7"/>
      <c r="AH1872" s="7"/>
      <c r="AI1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0.48000000000000043</v>
      </c>
      <c r="AJ1872" s="7"/>
      <c r="AK1872" t="s">
        <v>294</v>
      </c>
      <c r="AN1872">
        <f>IFERROR(INT(Table13[[#This Row],[reject_prod]]/Table13[[#This Row],[part_weight]] * 1000), 0)</f>
        <v>96</v>
      </c>
    </row>
    <row r="1873" spans="1:40" hidden="1">
      <c r="A1873" s="1">
        <v>46078</v>
      </c>
      <c r="B1873">
        <v>1</v>
      </c>
      <c r="C1873">
        <v>13</v>
      </c>
      <c r="D1873" t="s">
        <v>139</v>
      </c>
      <c r="E1873" t="s">
        <v>46</v>
      </c>
      <c r="F1873">
        <v>586276</v>
      </c>
      <c r="G1873" s="6">
        <v>2</v>
      </c>
      <c r="H1873" t="s">
        <v>47</v>
      </c>
      <c r="I1873">
        <v>10686677</v>
      </c>
      <c r="J1873">
        <v>6</v>
      </c>
      <c r="K1873">
        <v>12.3</v>
      </c>
      <c r="L1873">
        <v>12.3</v>
      </c>
      <c r="M1873">
        <v>1625</v>
      </c>
      <c r="N1873" s="2">
        <v>162000</v>
      </c>
      <c r="O1873" s="2">
        <v>2025</v>
      </c>
      <c r="P1873" s="2">
        <v>3645</v>
      </c>
      <c r="Q1873" s="2">
        <v>9750</v>
      </c>
      <c r="R1873" s="2">
        <v>8100</v>
      </c>
      <c r="S1873">
        <v>99.63</v>
      </c>
      <c r="T1873" s="2">
        <v>92745</v>
      </c>
      <c r="U1873" s="2">
        <v>69255</v>
      </c>
      <c r="V1873">
        <v>119.925</v>
      </c>
      <c r="W1873">
        <v>0</v>
      </c>
      <c r="X1873">
        <v>0</v>
      </c>
      <c r="Y1873">
        <v>0</v>
      </c>
      <c r="Z1873">
        <v>1.6</v>
      </c>
      <c r="AA1873">
        <v>1.3341671878257246E-2</v>
      </c>
      <c r="AB1873">
        <v>26.2</v>
      </c>
      <c r="AC1873">
        <v>11.826388888888889</v>
      </c>
      <c r="AD1873">
        <v>26</v>
      </c>
      <c r="AE1873" s="7"/>
      <c r="AF1873" s="7"/>
      <c r="AG1873" s="7"/>
      <c r="AH1873" s="7"/>
      <c r="AI1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873" s="7"/>
      <c r="AK1873" t="s">
        <v>51</v>
      </c>
      <c r="AN1873">
        <f>IFERROR(INT(Table13[[#This Row],[reject_prod]]/Table13[[#This Row],[part_weight]] * 1000), 0)</f>
        <v>130</v>
      </c>
    </row>
    <row r="1874" spans="1:40" hidden="1">
      <c r="A1874" s="1">
        <v>46078</v>
      </c>
      <c r="B1874">
        <v>1</v>
      </c>
      <c r="C1874">
        <v>14</v>
      </c>
      <c r="D1874" t="s">
        <v>54</v>
      </c>
      <c r="E1874" t="s">
        <v>34</v>
      </c>
      <c r="F1874">
        <v>541381</v>
      </c>
      <c r="G1874" s="6">
        <v>0</v>
      </c>
      <c r="H1874" t="s">
        <v>804</v>
      </c>
      <c r="I1874">
        <v>10688072</v>
      </c>
      <c r="J1874">
        <v>4</v>
      </c>
      <c r="K1874">
        <v>55</v>
      </c>
      <c r="L1874">
        <v>55</v>
      </c>
      <c r="M1874">
        <v>1465</v>
      </c>
      <c r="N1874" s="2">
        <v>84000</v>
      </c>
      <c r="O1874" s="2">
        <v>0</v>
      </c>
      <c r="P1874" s="2">
        <v>175</v>
      </c>
      <c r="Q1874" s="2">
        <v>5860</v>
      </c>
      <c r="R1874" s="2">
        <v>5600</v>
      </c>
      <c r="S1874">
        <v>308</v>
      </c>
      <c r="T1874" s="2">
        <v>12775</v>
      </c>
      <c r="U1874" s="2">
        <v>71225</v>
      </c>
      <c r="V1874">
        <v>322.3</v>
      </c>
      <c r="W1874">
        <v>0</v>
      </c>
      <c r="X1874">
        <v>0</v>
      </c>
      <c r="Y1874">
        <v>0</v>
      </c>
      <c r="Z1874">
        <v>6.2</v>
      </c>
      <c r="AA1874">
        <v>1.923673596028545E-2</v>
      </c>
      <c r="AB1874">
        <v>27.3</v>
      </c>
      <c r="AC1874">
        <v>11.109583333333333</v>
      </c>
      <c r="AD1874">
        <v>30.08</v>
      </c>
      <c r="AE1874" s="7"/>
      <c r="AF1874" s="7"/>
      <c r="AG1874" s="7"/>
      <c r="AH1874" s="7"/>
      <c r="AI1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0.89041666666666686</v>
      </c>
      <c r="AJ1874" s="7"/>
      <c r="AK1874" t="s">
        <v>178</v>
      </c>
      <c r="AN1874">
        <f>IFERROR(INT(Table13[[#This Row],[reject_prod]]/Table13[[#This Row],[part_weight]] * 1000), 0)</f>
        <v>112</v>
      </c>
    </row>
    <row r="1875" spans="1:40" hidden="1">
      <c r="A1875" s="1">
        <v>46078</v>
      </c>
      <c r="B1875">
        <v>1</v>
      </c>
      <c r="C1875">
        <v>15</v>
      </c>
      <c r="D1875" t="s">
        <v>139</v>
      </c>
      <c r="E1875" t="s">
        <v>46</v>
      </c>
      <c r="F1875">
        <v>552181</v>
      </c>
      <c r="G1875" s="6">
        <v>2</v>
      </c>
      <c r="H1875" t="s">
        <v>49</v>
      </c>
      <c r="I1875">
        <v>10686679</v>
      </c>
      <c r="J1875">
        <v>6</v>
      </c>
      <c r="K1875">
        <v>18.8</v>
      </c>
      <c r="L1875">
        <v>18.8</v>
      </c>
      <c r="M1875">
        <v>0</v>
      </c>
      <c r="N1875" s="2">
        <v>108000</v>
      </c>
      <c r="O1875" s="2">
        <v>0</v>
      </c>
      <c r="P1875" s="2">
        <v>0</v>
      </c>
      <c r="Q1875" s="2">
        <v>0</v>
      </c>
      <c r="R1875" s="2">
        <v>0</v>
      </c>
      <c r="S1875">
        <v>0</v>
      </c>
      <c r="T1875" s="2">
        <v>0</v>
      </c>
      <c r="U1875" s="2">
        <v>108000</v>
      </c>
      <c r="V1875">
        <v>0</v>
      </c>
      <c r="W1875">
        <v>0</v>
      </c>
      <c r="X1875">
        <v>22.6</v>
      </c>
      <c r="Y1875" t="e">
        <v>#DIV/0!</v>
      </c>
      <c r="Z1875">
        <v>0</v>
      </c>
      <c r="AA1875" t="e">
        <v>#DIV/0!</v>
      </c>
      <c r="AB1875">
        <v>31.3</v>
      </c>
      <c r="AC1875">
        <v>0</v>
      </c>
      <c r="AD1875">
        <v>27</v>
      </c>
      <c r="AE1875" s="7"/>
      <c r="AF1875" s="7"/>
      <c r="AG1875" s="7"/>
      <c r="AH1875" s="7"/>
      <c r="AI1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875" s="7"/>
      <c r="AK1875" t="s">
        <v>1002</v>
      </c>
      <c r="AN1875">
        <f>IFERROR(INT(Table13[[#This Row],[reject_prod]]/Table13[[#This Row],[part_weight]] * 1000), 0)</f>
        <v>0</v>
      </c>
    </row>
    <row r="1876" spans="1:40" s="4" customFormat="1" hidden="1">
      <c r="A1876" s="3">
        <v>46078</v>
      </c>
      <c r="B1876" s="4">
        <v>1</v>
      </c>
      <c r="C1876" s="4">
        <v>16</v>
      </c>
      <c r="D1876" s="4" t="s">
        <v>1010</v>
      </c>
      <c r="E1876" s="4" t="s">
        <v>46</v>
      </c>
      <c r="F1876" s="4">
        <v>555979</v>
      </c>
      <c r="G1876" s="9">
        <v>2</v>
      </c>
      <c r="H1876" s="4" t="s">
        <v>52</v>
      </c>
      <c r="I1876" s="4">
        <v>10686701</v>
      </c>
      <c r="J1876" s="4">
        <v>6</v>
      </c>
      <c r="K1876" s="4">
        <v>28</v>
      </c>
      <c r="L1876" s="4">
        <v>28</v>
      </c>
      <c r="M1876" s="4">
        <v>1008</v>
      </c>
      <c r="N1876" s="5">
        <v>100800</v>
      </c>
      <c r="O1876" s="5">
        <v>336</v>
      </c>
      <c r="P1876" s="5">
        <v>3024</v>
      </c>
      <c r="Q1876" s="5">
        <v>6048</v>
      </c>
      <c r="R1876" s="5">
        <v>3360</v>
      </c>
      <c r="S1876" s="4">
        <v>94.08</v>
      </c>
      <c r="T1876" s="5">
        <v>33264</v>
      </c>
      <c r="U1876" s="5">
        <v>67536</v>
      </c>
      <c r="V1876" s="4">
        <v>169.34399999999999</v>
      </c>
      <c r="W1876" s="4">
        <v>0</v>
      </c>
      <c r="X1876" s="4">
        <v>0</v>
      </c>
      <c r="Y1876" s="4">
        <v>0</v>
      </c>
      <c r="Z1876" s="4">
        <v>1</v>
      </c>
      <c r="AA1876" s="4">
        <v>5.9051398337112626E-3</v>
      </c>
      <c r="AB1876" s="4">
        <v>43.2</v>
      </c>
      <c r="AC1876" s="4">
        <v>12</v>
      </c>
      <c r="AD1876" s="4">
        <v>42</v>
      </c>
      <c r="AE1876" s="8"/>
      <c r="AF1876" s="8"/>
      <c r="AG1876" s="8"/>
      <c r="AH1876" s="8"/>
      <c r="AI187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76" s="8"/>
      <c r="AK1876" s="4" t="s">
        <v>51</v>
      </c>
      <c r="AN1876">
        <f>IFERROR(INT(Table13[[#This Row],[reject_prod]]/Table13[[#This Row],[part_weight]] * 1000), 0)</f>
        <v>35</v>
      </c>
    </row>
    <row r="1877" spans="1:40" hidden="1">
      <c r="A1877" s="1">
        <v>46078</v>
      </c>
      <c r="B1877">
        <v>2</v>
      </c>
      <c r="C1877">
        <v>1</v>
      </c>
      <c r="E1877" t="s">
        <v>34</v>
      </c>
      <c r="F1877">
        <v>329667</v>
      </c>
      <c r="G1877" s="6">
        <v>0</v>
      </c>
      <c r="H1877" t="s">
        <v>1011</v>
      </c>
      <c r="I1877">
        <v>10688432</v>
      </c>
      <c r="J1877">
        <v>4</v>
      </c>
      <c r="K1877">
        <v>56.5</v>
      </c>
      <c r="L1877">
        <v>56.5</v>
      </c>
      <c r="M1877">
        <v>271</v>
      </c>
      <c r="N1877" s="2">
        <v>6900</v>
      </c>
      <c r="O1877" s="2">
        <v>0</v>
      </c>
      <c r="P1877" s="2">
        <v>345</v>
      </c>
      <c r="Q1877" s="2">
        <v>1084</v>
      </c>
      <c r="R1877" s="2">
        <v>460</v>
      </c>
      <c r="S1877">
        <v>25.99</v>
      </c>
      <c r="T1877" s="2">
        <v>805</v>
      </c>
      <c r="U1877" s="2">
        <v>6095</v>
      </c>
      <c r="V1877">
        <v>61.246000000000002</v>
      </c>
      <c r="W1877">
        <v>0</v>
      </c>
      <c r="X1877">
        <v>15.8</v>
      </c>
      <c r="Y1877">
        <v>0.25797603108774453</v>
      </c>
      <c r="Z1877">
        <v>0</v>
      </c>
      <c r="AA1877">
        <v>0</v>
      </c>
      <c r="AB1877">
        <v>34.700000000000003</v>
      </c>
      <c r="AC1877">
        <v>2.612138888888889</v>
      </c>
      <c r="AD1877">
        <v>38.72</v>
      </c>
      <c r="AE1877" s="7"/>
      <c r="AF1877" s="7">
        <v>3.5</v>
      </c>
      <c r="AG1877" s="7"/>
      <c r="AH1877" s="7"/>
      <c r="AI1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5.8878611111111105</v>
      </c>
      <c r="AJ1877" s="7"/>
      <c r="AK1877" t="s">
        <v>1012</v>
      </c>
      <c r="AN1877">
        <f>IFERROR(INT(Table13[[#This Row],[reject_prod]]/Table13[[#This Row],[part_weight]] * 1000), 0)</f>
        <v>0</v>
      </c>
    </row>
    <row r="1878" spans="1:40" hidden="1">
      <c r="A1878" s="1">
        <v>46078</v>
      </c>
      <c r="B1878">
        <v>2</v>
      </c>
      <c r="C1878">
        <v>2</v>
      </c>
      <c r="D1878" t="s">
        <v>43</v>
      </c>
      <c r="E1878" t="s">
        <v>34</v>
      </c>
      <c r="F1878">
        <v>543590</v>
      </c>
      <c r="G1878" s="6">
        <v>0</v>
      </c>
      <c r="H1878" t="s">
        <v>913</v>
      </c>
      <c r="I1878">
        <v>10687749</v>
      </c>
      <c r="J1878">
        <v>4</v>
      </c>
      <c r="K1878">
        <v>19</v>
      </c>
      <c r="L1878">
        <v>19</v>
      </c>
      <c r="M1878">
        <v>2185</v>
      </c>
      <c r="N1878" s="2">
        <v>132440</v>
      </c>
      <c r="O1878" s="2">
        <v>2464</v>
      </c>
      <c r="P1878" s="2">
        <v>3696</v>
      </c>
      <c r="Q1878" s="2">
        <v>8740</v>
      </c>
      <c r="R1878" s="2">
        <v>7392</v>
      </c>
      <c r="S1878">
        <v>140.44800000000001</v>
      </c>
      <c r="T1878" s="2">
        <v>77616</v>
      </c>
      <c r="U1878" s="2">
        <v>54824</v>
      </c>
      <c r="V1878">
        <v>166.06</v>
      </c>
      <c r="W1878">
        <v>0</v>
      </c>
      <c r="X1878">
        <v>0</v>
      </c>
      <c r="Y1878">
        <v>0</v>
      </c>
      <c r="Z1878">
        <v>2.2000000000000002</v>
      </c>
      <c r="AA1878">
        <v>1.3248223533662533E-2</v>
      </c>
      <c r="AB1878">
        <v>19.7</v>
      </c>
      <c r="AC1878">
        <v>11.956805555555555</v>
      </c>
      <c r="AD1878">
        <v>18.72</v>
      </c>
      <c r="AE1878" s="7"/>
      <c r="AF1878" s="7"/>
      <c r="AG1878" s="7"/>
      <c r="AH1878" s="7"/>
      <c r="AI1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4.3194444444445423E-2</v>
      </c>
      <c r="AJ1878" s="7"/>
      <c r="AK1878" t="s">
        <v>193</v>
      </c>
      <c r="AN1878">
        <f>IFERROR(INT(Table13[[#This Row],[reject_prod]]/Table13[[#This Row],[part_weight]] * 1000), 0)</f>
        <v>115</v>
      </c>
    </row>
    <row r="1879" spans="1:40" hidden="1">
      <c r="A1879" s="1">
        <v>46078</v>
      </c>
      <c r="B1879">
        <v>2</v>
      </c>
      <c r="C1879">
        <v>3</v>
      </c>
      <c r="D1879" t="s">
        <v>152</v>
      </c>
      <c r="E1879" t="s">
        <v>34</v>
      </c>
      <c r="F1879">
        <v>442034</v>
      </c>
      <c r="G1879" s="6">
        <v>0</v>
      </c>
      <c r="H1879" t="s">
        <v>37</v>
      </c>
      <c r="I1879">
        <v>10685634</v>
      </c>
      <c r="J1879">
        <v>4</v>
      </c>
      <c r="K1879">
        <v>23</v>
      </c>
      <c r="L1879">
        <v>23</v>
      </c>
      <c r="M1879">
        <v>1478</v>
      </c>
      <c r="N1879" s="2">
        <v>139776</v>
      </c>
      <c r="O1879" s="2">
        <v>0</v>
      </c>
      <c r="P1879" s="2">
        <v>1152</v>
      </c>
      <c r="Q1879" s="2">
        <v>5912</v>
      </c>
      <c r="R1879" s="2">
        <v>4608</v>
      </c>
      <c r="S1879">
        <v>105.98399999999999</v>
      </c>
      <c r="T1879" s="2">
        <v>84096</v>
      </c>
      <c r="U1879" s="2">
        <v>55680</v>
      </c>
      <c r="V1879">
        <v>135.976</v>
      </c>
      <c r="W1879">
        <v>0</v>
      </c>
      <c r="X1879">
        <v>0</v>
      </c>
      <c r="Y1879">
        <v>0</v>
      </c>
      <c r="Z1879">
        <v>3.5</v>
      </c>
      <c r="AA1879">
        <v>2.5739836441725009E-2</v>
      </c>
      <c r="AB1879">
        <v>28.5</v>
      </c>
      <c r="AC1879">
        <v>11.700833333333334</v>
      </c>
      <c r="AD1879">
        <v>22</v>
      </c>
      <c r="AE1879" s="7"/>
      <c r="AF1879" s="7"/>
      <c r="AG1879" s="7"/>
      <c r="AH1879" s="7"/>
      <c r="AI1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0.29916666666666636</v>
      </c>
      <c r="AJ1879" s="7"/>
      <c r="AK1879" t="s">
        <v>1013</v>
      </c>
      <c r="AN1879">
        <f>IFERROR(INT(Table13[[#This Row],[reject_prod]]/Table13[[#This Row],[part_weight]] * 1000), 0)</f>
        <v>152</v>
      </c>
    </row>
    <row r="1880" spans="1:40" hidden="1">
      <c r="A1880" s="1">
        <v>46078</v>
      </c>
      <c r="B1880">
        <v>2</v>
      </c>
      <c r="C1880">
        <v>4</v>
      </c>
      <c r="D1880" t="s">
        <v>141</v>
      </c>
      <c r="E1880" t="s">
        <v>34</v>
      </c>
      <c r="F1880">
        <v>451191</v>
      </c>
      <c r="G1880" s="6">
        <v>0</v>
      </c>
      <c r="H1880" t="s">
        <v>946</v>
      </c>
      <c r="I1880">
        <v>10687751</v>
      </c>
      <c r="J1880">
        <v>4</v>
      </c>
      <c r="K1880">
        <v>29</v>
      </c>
      <c r="L1880">
        <v>29</v>
      </c>
      <c r="M1880">
        <v>1663</v>
      </c>
      <c r="N1880" s="2">
        <v>73440</v>
      </c>
      <c r="O1880" s="2">
        <v>459</v>
      </c>
      <c r="P1880" s="2">
        <v>612</v>
      </c>
      <c r="Q1880" s="2">
        <v>6652</v>
      </c>
      <c r="R1880" s="2">
        <v>6426</v>
      </c>
      <c r="S1880">
        <v>186.35400000000001</v>
      </c>
      <c r="T1880" s="2">
        <v>54774</v>
      </c>
      <c r="U1880" s="2">
        <v>18666</v>
      </c>
      <c r="V1880">
        <v>192.90799999999999</v>
      </c>
      <c r="W1880">
        <v>0</v>
      </c>
      <c r="X1880">
        <v>0</v>
      </c>
      <c r="Y1880">
        <v>0</v>
      </c>
      <c r="Z1880">
        <v>2</v>
      </c>
      <c r="AA1880">
        <v>1.0367636386256662E-2</v>
      </c>
      <c r="AB1880">
        <v>25.6</v>
      </c>
      <c r="AC1880">
        <v>11.825777777777779</v>
      </c>
      <c r="AD1880">
        <v>24</v>
      </c>
      <c r="AE1880" s="7"/>
      <c r="AF1880" s="7"/>
      <c r="AG1880" s="7"/>
      <c r="AH1880" s="7"/>
      <c r="AI1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0.17422222222222139</v>
      </c>
      <c r="AJ1880" s="7"/>
      <c r="AK1880" t="s">
        <v>75</v>
      </c>
      <c r="AN1880">
        <f>IFERROR(INT(Table13[[#This Row],[reject_prod]]/Table13[[#This Row],[part_weight]] * 1000), 0)</f>
        <v>68</v>
      </c>
    </row>
    <row r="1881" spans="1:40" hidden="1">
      <c r="A1881" s="1">
        <v>46078</v>
      </c>
      <c r="B1881">
        <v>2</v>
      </c>
      <c r="C1881">
        <v>5</v>
      </c>
      <c r="D1881" t="s">
        <v>219</v>
      </c>
      <c r="E1881" t="s">
        <v>34</v>
      </c>
      <c r="F1881">
        <v>322448</v>
      </c>
      <c r="G1881" s="6">
        <v>0</v>
      </c>
      <c r="H1881" t="s">
        <v>654</v>
      </c>
      <c r="I1881">
        <v>10687753</v>
      </c>
      <c r="J1881">
        <v>4</v>
      </c>
      <c r="K1881">
        <v>40</v>
      </c>
      <c r="L1881">
        <v>40</v>
      </c>
      <c r="M1881">
        <v>1762</v>
      </c>
      <c r="N1881" s="2">
        <v>174960</v>
      </c>
      <c r="O1881" s="2">
        <v>0</v>
      </c>
      <c r="P1881" s="2">
        <v>162</v>
      </c>
      <c r="Q1881" s="2">
        <v>7048</v>
      </c>
      <c r="R1881" s="2">
        <v>6480</v>
      </c>
      <c r="S1881">
        <v>259.2</v>
      </c>
      <c r="T1881" s="2">
        <v>6642</v>
      </c>
      <c r="U1881" s="2">
        <v>168318</v>
      </c>
      <c r="V1881">
        <v>281.92</v>
      </c>
      <c r="W1881">
        <v>0</v>
      </c>
      <c r="X1881">
        <v>10</v>
      </c>
      <c r="Y1881">
        <v>3.5471055618615209E-2</v>
      </c>
      <c r="Z1881">
        <v>6.1</v>
      </c>
      <c r="AA1881">
        <v>2.1637343927355276E-2</v>
      </c>
      <c r="AB1881">
        <v>23.8</v>
      </c>
      <c r="AC1881">
        <v>11.648777777777777</v>
      </c>
      <c r="AD1881">
        <v>23</v>
      </c>
      <c r="AE1881" s="7"/>
      <c r="AF1881" s="7"/>
      <c r="AG1881" s="7"/>
      <c r="AH1881" s="7"/>
      <c r="AI1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0.35122222222222277</v>
      </c>
      <c r="AJ1881" s="7"/>
      <c r="AK1881" t="s">
        <v>193</v>
      </c>
      <c r="AN1881">
        <f>IFERROR(INT(Table13[[#This Row],[reject_prod]]/Table13[[#This Row],[part_weight]] * 1000), 0)</f>
        <v>152</v>
      </c>
    </row>
    <row r="1882" spans="1:40" hidden="1">
      <c r="A1882" s="1">
        <v>46078</v>
      </c>
      <c r="B1882">
        <v>2</v>
      </c>
      <c r="C1882">
        <v>6</v>
      </c>
      <c r="D1882" t="s">
        <v>127</v>
      </c>
      <c r="E1882" t="s">
        <v>34</v>
      </c>
      <c r="F1882">
        <v>322420</v>
      </c>
      <c r="G1882" s="6">
        <v>0</v>
      </c>
      <c r="H1882" t="s">
        <v>996</v>
      </c>
      <c r="I1882">
        <v>10687136</v>
      </c>
      <c r="J1882">
        <v>4</v>
      </c>
      <c r="K1882">
        <v>34</v>
      </c>
      <c r="L1882">
        <v>34</v>
      </c>
      <c r="M1882">
        <v>1932</v>
      </c>
      <c r="N1882" s="2">
        <v>24192</v>
      </c>
      <c r="O1882" s="2">
        <v>3402</v>
      </c>
      <c r="P1882" s="2">
        <v>1890</v>
      </c>
      <c r="Q1882" s="2">
        <v>7728</v>
      </c>
      <c r="R1882" s="2">
        <v>9072</v>
      </c>
      <c r="S1882">
        <v>308.44799999999998</v>
      </c>
      <c r="T1882" s="2">
        <v>10962</v>
      </c>
      <c r="U1882" s="2">
        <v>13230</v>
      </c>
      <c r="V1882">
        <v>262.75200000000001</v>
      </c>
      <c r="W1882">
        <v>0</v>
      </c>
      <c r="X1882">
        <v>0</v>
      </c>
      <c r="Y1882">
        <v>0</v>
      </c>
      <c r="Z1882">
        <v>4</v>
      </c>
      <c r="AA1882">
        <v>1.5223480696626476E-2</v>
      </c>
      <c r="AB1882">
        <v>21.5</v>
      </c>
      <c r="AC1882">
        <v>11.538333333333334</v>
      </c>
      <c r="AD1882">
        <v>22</v>
      </c>
      <c r="AE1882" s="7"/>
      <c r="AF1882" s="7"/>
      <c r="AG1882" s="7"/>
      <c r="AH1882" s="7"/>
      <c r="AI1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0.461666666666666</v>
      </c>
      <c r="AJ1882" s="7"/>
      <c r="AK1882" t="s">
        <v>1014</v>
      </c>
      <c r="AN1882">
        <f>IFERROR(INT(Table13[[#This Row],[reject_prod]]/Table13[[#This Row],[part_weight]] * 1000), 0)</f>
        <v>117</v>
      </c>
    </row>
    <row r="1883" spans="1:40" hidden="1">
      <c r="A1883" s="1">
        <v>46078</v>
      </c>
      <c r="B1883">
        <v>2</v>
      </c>
      <c r="C1883">
        <v>7</v>
      </c>
      <c r="D1883" t="s">
        <v>143</v>
      </c>
      <c r="E1883" t="s">
        <v>34</v>
      </c>
      <c r="F1883">
        <v>324165</v>
      </c>
      <c r="G1883" s="6">
        <v>0</v>
      </c>
      <c r="H1883" t="s">
        <v>44</v>
      </c>
      <c r="I1883">
        <v>10687137</v>
      </c>
      <c r="J1883">
        <v>4</v>
      </c>
      <c r="K1883">
        <v>32.56</v>
      </c>
      <c r="L1883">
        <v>33</v>
      </c>
      <c r="M1883">
        <v>1888</v>
      </c>
      <c r="N1883" s="2">
        <v>104192</v>
      </c>
      <c r="O1883" s="2">
        <v>2072</v>
      </c>
      <c r="P1883" s="2">
        <v>2368</v>
      </c>
      <c r="Q1883" s="2">
        <v>7552</v>
      </c>
      <c r="R1883" s="2">
        <v>7104</v>
      </c>
      <c r="S1883">
        <v>234.43199999999999</v>
      </c>
      <c r="T1883" s="2">
        <v>73408</v>
      </c>
      <c r="U1883" s="2">
        <v>30784</v>
      </c>
      <c r="V1883">
        <v>249.21600000000001</v>
      </c>
      <c r="W1883">
        <v>0</v>
      </c>
      <c r="X1883">
        <v>0</v>
      </c>
      <c r="Y1883">
        <v>0</v>
      </c>
      <c r="Z1883">
        <v>5</v>
      </c>
      <c r="AA1883">
        <v>2.0062917308680019E-2</v>
      </c>
      <c r="AB1883">
        <v>22.8</v>
      </c>
      <c r="AC1883">
        <v>11.957333333333333</v>
      </c>
      <c r="AD1883">
        <v>22</v>
      </c>
      <c r="AE1883" s="7"/>
      <c r="AF1883" s="7"/>
      <c r="AG1883" s="7"/>
      <c r="AH1883" s="7"/>
      <c r="AI1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4.2666666666667297E-2</v>
      </c>
      <c r="AJ1883" s="7"/>
      <c r="AK1883" t="s">
        <v>1015</v>
      </c>
      <c r="AN1883">
        <f>IFERROR(INT(Table13[[#This Row],[reject_prod]]/Table13[[#This Row],[part_weight]] * 1000), 0)</f>
        <v>151</v>
      </c>
    </row>
    <row r="1884" spans="1:40" hidden="1">
      <c r="A1884" s="1">
        <v>46078</v>
      </c>
      <c r="B1884">
        <v>2</v>
      </c>
      <c r="C1884">
        <v>8</v>
      </c>
      <c r="D1884" t="s">
        <v>1016</v>
      </c>
      <c r="E1884" t="s">
        <v>41</v>
      </c>
      <c r="F1884">
        <v>593537</v>
      </c>
      <c r="G1884" s="6">
        <v>0</v>
      </c>
      <c r="H1884" t="s">
        <v>48</v>
      </c>
      <c r="I1884">
        <v>10688067</v>
      </c>
      <c r="J1884">
        <v>4</v>
      </c>
      <c r="K1884">
        <v>56.5</v>
      </c>
      <c r="L1884">
        <v>56.8</v>
      </c>
      <c r="M1884">
        <v>1416</v>
      </c>
      <c r="N1884" s="2">
        <v>69000</v>
      </c>
      <c r="O1884" s="2">
        <v>115</v>
      </c>
      <c r="P1884" s="2">
        <v>0</v>
      </c>
      <c r="Q1884" s="2">
        <v>5664</v>
      </c>
      <c r="R1884" s="2">
        <v>5750</v>
      </c>
      <c r="S1884">
        <v>326.60000000000002</v>
      </c>
      <c r="T1884" s="2">
        <v>34500</v>
      </c>
      <c r="U1884" s="2">
        <v>34500</v>
      </c>
      <c r="V1884">
        <v>321.71520000000004</v>
      </c>
      <c r="W1884">
        <v>0</v>
      </c>
      <c r="X1884">
        <v>0</v>
      </c>
      <c r="Y1884">
        <v>0</v>
      </c>
      <c r="Z1884">
        <v>1.5</v>
      </c>
      <c r="AA1884">
        <v>4.6625089520171874E-3</v>
      </c>
      <c r="AB1884">
        <v>30.3</v>
      </c>
      <c r="AC1884">
        <v>11.917999999999999</v>
      </c>
      <c r="AD1884">
        <v>28.5</v>
      </c>
      <c r="AE1884" s="7"/>
      <c r="AF1884" s="7"/>
      <c r="AG1884" s="7"/>
      <c r="AH1884" s="7"/>
      <c r="AI1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8.2000000000000739E-2</v>
      </c>
      <c r="AJ1884" s="7"/>
      <c r="AK1884" t="s">
        <v>51</v>
      </c>
      <c r="AN1884">
        <f>IFERROR(INT(Table13[[#This Row],[reject_prod]]/Table13[[#This Row],[part_weight]] * 1000), 0)</f>
        <v>26</v>
      </c>
    </row>
    <row r="1885" spans="1:40" hidden="1">
      <c r="A1885" s="1">
        <v>46078</v>
      </c>
      <c r="B1885">
        <v>2</v>
      </c>
      <c r="C1885">
        <v>9</v>
      </c>
      <c r="D1885" t="s">
        <v>65</v>
      </c>
      <c r="E1885" t="s">
        <v>46</v>
      </c>
      <c r="F1885">
        <v>586276</v>
      </c>
      <c r="G1885" s="6">
        <v>1</v>
      </c>
      <c r="H1885" t="s">
        <v>47</v>
      </c>
      <c r="I1885">
        <v>10686684</v>
      </c>
      <c r="J1885">
        <v>6</v>
      </c>
      <c r="K1885">
        <v>12.3</v>
      </c>
      <c r="L1885">
        <v>12.3</v>
      </c>
      <c r="M1885">
        <v>1627</v>
      </c>
      <c r="N1885" s="2">
        <v>162000</v>
      </c>
      <c r="O1885" s="2">
        <v>810</v>
      </c>
      <c r="P1885" s="2">
        <v>405</v>
      </c>
      <c r="Q1885" s="2">
        <v>9762</v>
      </c>
      <c r="R1885" s="2">
        <v>16200</v>
      </c>
      <c r="S1885">
        <v>199.26</v>
      </c>
      <c r="T1885" s="2">
        <v>138105</v>
      </c>
      <c r="U1885" s="2">
        <v>23895</v>
      </c>
      <c r="V1885">
        <v>120.07260000000001</v>
      </c>
      <c r="W1885">
        <v>0</v>
      </c>
      <c r="X1885">
        <v>0</v>
      </c>
      <c r="Y1885">
        <v>0</v>
      </c>
      <c r="Z1885">
        <v>0.5</v>
      </c>
      <c r="AA1885">
        <v>4.1641473575153697E-3</v>
      </c>
      <c r="AB1885">
        <v>26.5</v>
      </c>
      <c r="AC1885">
        <v>11.976527777777777</v>
      </c>
      <c r="AD1885">
        <v>26</v>
      </c>
      <c r="AE1885" s="7"/>
      <c r="AF1885" s="7"/>
      <c r="AG1885" s="7"/>
      <c r="AH1885" s="7"/>
      <c r="AI1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885" s="7"/>
      <c r="AK1885" t="s">
        <v>976</v>
      </c>
      <c r="AN1885">
        <f>IFERROR(INT(Table13[[#This Row],[reject_prod]]/Table13[[#This Row],[part_weight]] * 1000), 0)</f>
        <v>40</v>
      </c>
    </row>
    <row r="1886" spans="1:40" hidden="1">
      <c r="A1886" s="1">
        <v>46078</v>
      </c>
      <c r="B1886">
        <v>2</v>
      </c>
      <c r="C1886">
        <v>10</v>
      </c>
      <c r="D1886" t="s">
        <v>129</v>
      </c>
      <c r="E1886" t="s">
        <v>34</v>
      </c>
      <c r="F1886">
        <v>323102</v>
      </c>
      <c r="G1886" s="6">
        <v>0</v>
      </c>
      <c r="H1886" t="s">
        <v>45</v>
      </c>
      <c r="I1886">
        <v>10688202</v>
      </c>
      <c r="J1886">
        <v>4</v>
      </c>
      <c r="K1886">
        <v>57</v>
      </c>
      <c r="L1886">
        <v>56.9</v>
      </c>
      <c r="M1886">
        <v>1049</v>
      </c>
      <c r="N1886" s="2">
        <v>38400</v>
      </c>
      <c r="O1886" s="2">
        <v>240</v>
      </c>
      <c r="P1886" s="2">
        <v>160</v>
      </c>
      <c r="Q1886" s="2">
        <v>4196</v>
      </c>
      <c r="R1886" s="2">
        <v>4160</v>
      </c>
      <c r="S1886">
        <v>236.70400000000001</v>
      </c>
      <c r="T1886" s="2">
        <v>9120</v>
      </c>
      <c r="U1886" s="2">
        <v>29280</v>
      </c>
      <c r="V1886">
        <v>238.75239999999999</v>
      </c>
      <c r="W1886">
        <v>0</v>
      </c>
      <c r="X1886">
        <v>0</v>
      </c>
      <c r="Y1886">
        <v>0</v>
      </c>
      <c r="Z1886">
        <v>6.5</v>
      </c>
      <c r="AA1886">
        <v>2.7224857216095001E-2</v>
      </c>
      <c r="AB1886">
        <v>29.5</v>
      </c>
      <c r="AC1886">
        <v>8.5959722222222226</v>
      </c>
      <c r="AD1886">
        <v>26</v>
      </c>
      <c r="AE1886" s="7"/>
      <c r="AF1886" s="7"/>
      <c r="AG1886" s="7"/>
      <c r="AH1886" s="7"/>
      <c r="AI1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3.4040277777777774</v>
      </c>
      <c r="AJ1886" s="7"/>
      <c r="AK1886" t="s">
        <v>1017</v>
      </c>
      <c r="AN1886">
        <f>IFERROR(INT(Table13[[#This Row],[reject_prod]]/Table13[[#This Row],[part_weight]] * 1000), 0)</f>
        <v>114</v>
      </c>
    </row>
    <row r="1887" spans="1:40" hidden="1">
      <c r="A1887" s="1">
        <v>46078</v>
      </c>
      <c r="B1887">
        <v>2</v>
      </c>
      <c r="C1887">
        <v>11</v>
      </c>
      <c r="D1887" t="s">
        <v>112</v>
      </c>
      <c r="E1887" t="s">
        <v>46</v>
      </c>
      <c r="F1887">
        <v>552181</v>
      </c>
      <c r="G1887" s="6">
        <v>1</v>
      </c>
      <c r="H1887" t="s">
        <v>49</v>
      </c>
      <c r="I1887">
        <v>10686673</v>
      </c>
      <c r="J1887">
        <v>6</v>
      </c>
      <c r="K1887">
        <v>18.8</v>
      </c>
      <c r="L1887">
        <v>18.8</v>
      </c>
      <c r="M1887">
        <v>1489</v>
      </c>
      <c r="N1887" s="2">
        <v>108000</v>
      </c>
      <c r="O1887" s="2">
        <v>3510</v>
      </c>
      <c r="P1887" s="2">
        <v>1620</v>
      </c>
      <c r="Q1887" s="2">
        <v>8934</v>
      </c>
      <c r="R1887" s="2">
        <v>10800</v>
      </c>
      <c r="S1887">
        <v>203.04</v>
      </c>
      <c r="T1887" s="2">
        <v>97200</v>
      </c>
      <c r="U1887" s="2">
        <v>10800</v>
      </c>
      <c r="V1887">
        <v>167.95920000000001</v>
      </c>
      <c r="W1887">
        <v>0</v>
      </c>
      <c r="X1887">
        <v>0</v>
      </c>
      <c r="Y1887">
        <v>0</v>
      </c>
      <c r="Z1887">
        <v>0.5</v>
      </c>
      <c r="AA1887">
        <v>2.9769134408832621E-3</v>
      </c>
      <c r="AB1887">
        <v>28.46</v>
      </c>
      <c r="AC1887">
        <v>11.771372222222224</v>
      </c>
      <c r="AD1887">
        <v>27</v>
      </c>
      <c r="AE1887" s="7"/>
      <c r="AF1887" s="7"/>
      <c r="AG1887" s="7"/>
      <c r="AH1887" s="7"/>
      <c r="AI1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0.22862777777777588</v>
      </c>
      <c r="AJ1887" s="7"/>
      <c r="AK1887" t="s">
        <v>51</v>
      </c>
      <c r="AN1887">
        <f>IFERROR(INT(Table13[[#This Row],[reject_prod]]/Table13[[#This Row],[part_weight]] * 1000), 0)</f>
        <v>26</v>
      </c>
    </row>
    <row r="1888" spans="1:40" hidden="1">
      <c r="A1888" s="1">
        <v>46078</v>
      </c>
      <c r="B1888">
        <v>2</v>
      </c>
      <c r="C1888">
        <v>12</v>
      </c>
      <c r="D1888" t="s">
        <v>67</v>
      </c>
      <c r="E1888" t="s">
        <v>34</v>
      </c>
      <c r="F1888">
        <v>620599</v>
      </c>
      <c r="G1888" s="6">
        <v>0</v>
      </c>
      <c r="H1888" t="s">
        <v>50</v>
      </c>
      <c r="I1888">
        <v>10686675</v>
      </c>
      <c r="J1888">
        <v>4</v>
      </c>
      <c r="K1888">
        <v>55</v>
      </c>
      <c r="L1888">
        <v>55</v>
      </c>
      <c r="M1888">
        <v>1475</v>
      </c>
      <c r="N1888" s="2">
        <v>72000</v>
      </c>
      <c r="O1888" s="2">
        <v>225</v>
      </c>
      <c r="P1888" s="2">
        <v>675</v>
      </c>
      <c r="Q1888" s="2">
        <v>5900</v>
      </c>
      <c r="R1888" s="2">
        <v>5400</v>
      </c>
      <c r="S1888">
        <v>297</v>
      </c>
      <c r="T1888" s="2">
        <v>60075</v>
      </c>
      <c r="U1888" s="2">
        <v>11925</v>
      </c>
      <c r="V1888">
        <v>324.5</v>
      </c>
      <c r="W1888">
        <v>0</v>
      </c>
      <c r="X1888">
        <v>0</v>
      </c>
      <c r="Y1888">
        <v>0</v>
      </c>
      <c r="Z1888">
        <v>2.5</v>
      </c>
      <c r="AA1888">
        <v>7.7041602465331279E-3</v>
      </c>
      <c r="AB1888">
        <v>28.8</v>
      </c>
      <c r="AC1888">
        <v>11.8</v>
      </c>
      <c r="AD1888">
        <v>28</v>
      </c>
      <c r="AE1888" s="7"/>
      <c r="AF1888" s="7"/>
      <c r="AG1888" s="7"/>
      <c r="AH1888" s="7"/>
      <c r="AI1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0.19999999999999929</v>
      </c>
      <c r="AJ1888" s="7"/>
      <c r="AK1888" t="s">
        <v>178</v>
      </c>
      <c r="AN1888">
        <f>IFERROR(INT(Table13[[#This Row],[reject_prod]]/Table13[[#This Row],[part_weight]] * 1000), 0)</f>
        <v>45</v>
      </c>
    </row>
    <row r="1889" spans="1:40" hidden="1">
      <c r="A1889" s="1">
        <v>46078</v>
      </c>
      <c r="B1889">
        <v>2</v>
      </c>
      <c r="C1889">
        <v>13</v>
      </c>
      <c r="D1889" t="s">
        <v>112</v>
      </c>
      <c r="E1889" t="s">
        <v>46</v>
      </c>
      <c r="F1889">
        <v>586276</v>
      </c>
      <c r="G1889" s="6">
        <v>2</v>
      </c>
      <c r="H1889" t="s">
        <v>47</v>
      </c>
      <c r="I1889">
        <v>10686677</v>
      </c>
      <c r="J1889">
        <v>6</v>
      </c>
      <c r="K1889">
        <v>12.3</v>
      </c>
      <c r="L1889">
        <v>12.3</v>
      </c>
      <c r="M1889">
        <v>1628</v>
      </c>
      <c r="N1889" s="2">
        <v>162000</v>
      </c>
      <c r="O1889" s="2">
        <v>3645</v>
      </c>
      <c r="P1889" s="2">
        <v>5265</v>
      </c>
      <c r="Q1889" s="2">
        <v>9768</v>
      </c>
      <c r="R1889" s="2">
        <v>8100</v>
      </c>
      <c r="S1889">
        <v>99.63</v>
      </c>
      <c r="T1889" s="2">
        <v>102465</v>
      </c>
      <c r="U1889" s="2">
        <v>59535</v>
      </c>
      <c r="V1889">
        <v>120.14640000000001</v>
      </c>
      <c r="W1889">
        <v>0</v>
      </c>
      <c r="X1889">
        <v>0</v>
      </c>
      <c r="Y1889">
        <v>0</v>
      </c>
      <c r="Z1889">
        <v>0.5</v>
      </c>
      <c r="AA1889">
        <v>4.1615895274431857E-3</v>
      </c>
      <c r="AB1889">
        <v>26.2</v>
      </c>
      <c r="AC1889">
        <v>11.848222222222223</v>
      </c>
      <c r="AD1889">
        <v>26</v>
      </c>
      <c r="AE1889" s="7"/>
      <c r="AF1889" s="7"/>
      <c r="AG1889" s="7"/>
      <c r="AH1889" s="7"/>
      <c r="AI1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889" s="7"/>
      <c r="AK1889" t="s">
        <v>51</v>
      </c>
      <c r="AN1889">
        <f>IFERROR(INT(Table13[[#This Row],[reject_prod]]/Table13[[#This Row],[part_weight]] * 1000), 0)</f>
        <v>40</v>
      </c>
    </row>
    <row r="1890" spans="1:40" hidden="1">
      <c r="A1890" s="1">
        <v>46078</v>
      </c>
      <c r="B1890">
        <v>2</v>
      </c>
      <c r="C1890">
        <v>14</v>
      </c>
      <c r="D1890" t="s">
        <v>40</v>
      </c>
      <c r="E1890" t="s">
        <v>34</v>
      </c>
      <c r="F1890">
        <v>541381</v>
      </c>
      <c r="G1890" s="6">
        <v>0</v>
      </c>
      <c r="H1890" t="s">
        <v>804</v>
      </c>
      <c r="I1890">
        <v>10688072</v>
      </c>
      <c r="J1890">
        <v>4</v>
      </c>
      <c r="K1890">
        <v>55</v>
      </c>
      <c r="L1890">
        <v>55</v>
      </c>
      <c r="M1890">
        <v>1582</v>
      </c>
      <c r="N1890" s="2">
        <v>84000</v>
      </c>
      <c r="O1890" s="2">
        <v>175</v>
      </c>
      <c r="P1890" s="2">
        <v>175</v>
      </c>
      <c r="Q1890" s="2">
        <v>6328</v>
      </c>
      <c r="R1890" s="2">
        <v>6300</v>
      </c>
      <c r="S1890">
        <v>346.5</v>
      </c>
      <c r="T1890" s="2">
        <v>19075</v>
      </c>
      <c r="U1890" s="2">
        <v>64925</v>
      </c>
      <c r="V1890">
        <v>348.04</v>
      </c>
      <c r="W1890">
        <v>0</v>
      </c>
      <c r="X1890">
        <v>0</v>
      </c>
      <c r="Y1890">
        <v>0</v>
      </c>
      <c r="Z1890">
        <v>1.5</v>
      </c>
      <c r="AA1890">
        <v>4.3098494425928054E-3</v>
      </c>
      <c r="AB1890">
        <v>27.3</v>
      </c>
      <c r="AC1890">
        <v>11.996833333333333</v>
      </c>
      <c r="AD1890">
        <v>30.08</v>
      </c>
      <c r="AE1890" s="7"/>
      <c r="AF1890" s="7"/>
      <c r="AG1890" s="7"/>
      <c r="AH1890" s="7"/>
      <c r="AI1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3.166666666666984E-3</v>
      </c>
      <c r="AJ1890" s="7"/>
      <c r="AK1890" t="s">
        <v>178</v>
      </c>
      <c r="AN1890">
        <f>IFERROR(INT(Table13[[#This Row],[reject_prod]]/Table13[[#This Row],[part_weight]] * 1000), 0)</f>
        <v>27</v>
      </c>
    </row>
    <row r="1891" spans="1:40" hidden="1">
      <c r="A1891" s="1">
        <v>46078</v>
      </c>
      <c r="B1891">
        <v>2</v>
      </c>
      <c r="C1891">
        <v>15</v>
      </c>
      <c r="D1891" t="s">
        <v>112</v>
      </c>
      <c r="E1891" t="s">
        <v>46</v>
      </c>
      <c r="F1891">
        <v>552181</v>
      </c>
      <c r="G1891" s="6">
        <v>2</v>
      </c>
      <c r="H1891" t="s">
        <v>49</v>
      </c>
      <c r="I1891">
        <v>10686679</v>
      </c>
      <c r="J1891">
        <v>6</v>
      </c>
      <c r="K1891">
        <v>18.8</v>
      </c>
      <c r="L1891">
        <v>18.8</v>
      </c>
      <c r="M1891">
        <v>864</v>
      </c>
      <c r="N1891" s="2">
        <v>108000</v>
      </c>
      <c r="O1891" s="2">
        <v>0</v>
      </c>
      <c r="P1891" s="2">
        <v>5130</v>
      </c>
      <c r="Q1891" s="2">
        <v>5184</v>
      </c>
      <c r="R1891" s="2">
        <v>0</v>
      </c>
      <c r="S1891">
        <v>0</v>
      </c>
      <c r="T1891" s="2">
        <v>32130</v>
      </c>
      <c r="U1891" s="2">
        <v>75870</v>
      </c>
      <c r="V1891">
        <v>97.459199999999996</v>
      </c>
      <c r="W1891">
        <v>0</v>
      </c>
      <c r="X1891">
        <v>1</v>
      </c>
      <c r="Y1891">
        <v>1.0260703966377726E-2</v>
      </c>
      <c r="Z1891">
        <v>0</v>
      </c>
      <c r="AA1891">
        <v>0</v>
      </c>
      <c r="AB1891">
        <v>30.6</v>
      </c>
      <c r="AC1891">
        <v>7.3440000000000003</v>
      </c>
      <c r="AD1891">
        <v>27</v>
      </c>
      <c r="AE1891" s="7"/>
      <c r="AF1891" s="7"/>
      <c r="AG1891" s="7"/>
      <c r="AH1891" s="7"/>
      <c r="AI1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4.6559999999999997</v>
      </c>
      <c r="AJ1891" s="7"/>
      <c r="AK1891" t="s">
        <v>1018</v>
      </c>
      <c r="AN1891">
        <f>IFERROR(INT(Table13[[#This Row],[reject_prod]]/Table13[[#This Row],[part_weight]] * 1000), 0)</f>
        <v>0</v>
      </c>
    </row>
    <row r="1892" spans="1:40" s="4" customFormat="1" hidden="1">
      <c r="A1892" s="3">
        <v>46078</v>
      </c>
      <c r="B1892" s="4">
        <v>2</v>
      </c>
      <c r="C1892" s="4">
        <v>16</v>
      </c>
      <c r="D1892" s="4" t="s">
        <v>108</v>
      </c>
      <c r="E1892" s="4" t="s">
        <v>46</v>
      </c>
      <c r="F1892" s="4">
        <v>555979</v>
      </c>
      <c r="G1892" s="9">
        <v>2</v>
      </c>
      <c r="H1892" s="4" t="s">
        <v>52</v>
      </c>
      <c r="I1892" s="4">
        <v>10686701</v>
      </c>
      <c r="J1892" s="4">
        <v>6</v>
      </c>
      <c r="K1892" s="4">
        <v>28</v>
      </c>
      <c r="L1892" s="4">
        <v>28</v>
      </c>
      <c r="M1892" s="4">
        <v>989</v>
      </c>
      <c r="N1892" s="5">
        <v>100800</v>
      </c>
      <c r="O1892" s="5">
        <v>3024</v>
      </c>
      <c r="P1892" s="5">
        <v>2184</v>
      </c>
      <c r="Q1892" s="5">
        <v>5934</v>
      </c>
      <c r="R1892" s="5">
        <v>6720</v>
      </c>
      <c r="S1892" s="4">
        <v>188.16</v>
      </c>
      <c r="T1892" s="5">
        <v>39144</v>
      </c>
      <c r="U1892" s="5">
        <v>61656</v>
      </c>
      <c r="V1892" s="4">
        <v>166.15199999999999</v>
      </c>
      <c r="W1892" s="4">
        <v>0</v>
      </c>
      <c r="X1892" s="4">
        <v>0</v>
      </c>
      <c r="Y1892" s="4">
        <v>0</v>
      </c>
      <c r="Z1892" s="4">
        <v>1.5</v>
      </c>
      <c r="AA1892" s="4">
        <v>9.0278780875343058E-3</v>
      </c>
      <c r="AB1892" s="4">
        <v>43.2</v>
      </c>
      <c r="AC1892" s="4">
        <v>11.868</v>
      </c>
      <c r="AD1892" s="4">
        <v>42</v>
      </c>
      <c r="AE1892" s="8"/>
      <c r="AF1892" s="8"/>
      <c r="AG1892" s="8"/>
      <c r="AH1892" s="8"/>
      <c r="AI189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1892" s="8"/>
      <c r="AK1892" s="4" t="s">
        <v>51</v>
      </c>
      <c r="AN1892">
        <f>IFERROR(INT(Table13[[#This Row],[reject_prod]]/Table13[[#This Row],[part_weight]] * 1000), 0)</f>
        <v>53</v>
      </c>
    </row>
    <row r="1893" spans="1:40" hidden="1">
      <c r="A1893" s="1">
        <v>46079</v>
      </c>
      <c r="B1893">
        <v>1</v>
      </c>
      <c r="C1893">
        <v>1</v>
      </c>
      <c r="D1893" t="s">
        <v>1019</v>
      </c>
      <c r="E1893" t="s">
        <v>34</v>
      </c>
      <c r="F1893">
        <v>329667</v>
      </c>
      <c r="G1893" s="6">
        <v>0</v>
      </c>
      <c r="H1893" t="s">
        <v>1011</v>
      </c>
      <c r="I1893">
        <v>10688432</v>
      </c>
      <c r="J1893">
        <v>4</v>
      </c>
      <c r="K1893">
        <v>56.5</v>
      </c>
      <c r="L1893">
        <v>56.5</v>
      </c>
      <c r="M1893">
        <v>1260</v>
      </c>
      <c r="N1893" s="2">
        <v>6900</v>
      </c>
      <c r="O1893" s="2">
        <v>345</v>
      </c>
      <c r="P1893" s="2">
        <v>345</v>
      </c>
      <c r="Q1893" s="2">
        <v>5040</v>
      </c>
      <c r="R1893" s="2">
        <v>5060</v>
      </c>
      <c r="S1893">
        <v>285.89</v>
      </c>
      <c r="T1893" s="2">
        <v>5865</v>
      </c>
      <c r="U1893" s="2">
        <v>1035</v>
      </c>
      <c r="V1893">
        <v>284.76</v>
      </c>
      <c r="W1893">
        <v>0</v>
      </c>
      <c r="X1893">
        <v>0</v>
      </c>
      <c r="Y1893">
        <v>0</v>
      </c>
      <c r="Z1893">
        <v>3.3</v>
      </c>
      <c r="AA1893">
        <v>1.1588706278971765E-2</v>
      </c>
      <c r="AB1893">
        <v>34.700000000000003</v>
      </c>
      <c r="AC1893">
        <v>12</v>
      </c>
      <c r="AD1893">
        <v>38.72</v>
      </c>
      <c r="AE1893" s="7"/>
      <c r="AF1893" s="7"/>
      <c r="AG1893" s="7"/>
      <c r="AH1893" s="7"/>
      <c r="AI1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3" s="7"/>
      <c r="AK1893" t="s">
        <v>1020</v>
      </c>
      <c r="AN1893">
        <f>IFERROR(INT(Table13[[#This Row],[reject_prod]]/Table13[[#This Row],[part_weight]] * 1000), 0)</f>
        <v>58</v>
      </c>
    </row>
    <row r="1894" spans="1:40" hidden="1">
      <c r="A1894" s="1">
        <v>46079</v>
      </c>
      <c r="B1894">
        <v>1</v>
      </c>
      <c r="C1894">
        <v>2</v>
      </c>
      <c r="D1894" t="s">
        <v>1021</v>
      </c>
      <c r="E1894" t="s">
        <v>34</v>
      </c>
      <c r="F1894">
        <v>543590</v>
      </c>
      <c r="G1894" s="6">
        <v>0</v>
      </c>
      <c r="H1894" t="s">
        <v>913</v>
      </c>
      <c r="I1894">
        <v>10687749</v>
      </c>
      <c r="J1894">
        <v>4</v>
      </c>
      <c r="K1894">
        <v>19</v>
      </c>
      <c r="L1894">
        <v>19</v>
      </c>
      <c r="M1894">
        <v>2168</v>
      </c>
      <c r="N1894" s="2">
        <v>132440</v>
      </c>
      <c r="O1894" s="2">
        <v>3696</v>
      </c>
      <c r="P1894" s="2">
        <v>4928</v>
      </c>
      <c r="Q1894" s="2">
        <v>8672</v>
      </c>
      <c r="R1894" s="2">
        <v>7392</v>
      </c>
      <c r="S1894">
        <v>140.44800000000001</v>
      </c>
      <c r="T1894" s="2">
        <v>86240</v>
      </c>
      <c r="U1894" s="2">
        <v>46200</v>
      </c>
      <c r="V1894">
        <v>164.768</v>
      </c>
      <c r="W1894">
        <v>0</v>
      </c>
      <c r="X1894">
        <v>0</v>
      </c>
      <c r="Y1894">
        <v>0</v>
      </c>
      <c r="Z1894">
        <v>2</v>
      </c>
      <c r="AA1894">
        <v>1.2138279277529617E-2</v>
      </c>
      <c r="AB1894">
        <v>19.7</v>
      </c>
      <c r="AC1894">
        <v>11.863777777777777</v>
      </c>
      <c r="AD1894">
        <v>18.72</v>
      </c>
      <c r="AE1894" s="7"/>
      <c r="AF1894" s="7"/>
      <c r="AG1894" s="7"/>
      <c r="AH1894" s="7"/>
      <c r="AI1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0.13622222222222291</v>
      </c>
      <c r="AJ1894" s="7"/>
      <c r="AK1894" t="s">
        <v>193</v>
      </c>
      <c r="AN1894">
        <f>IFERROR(INT(Table13[[#This Row],[reject_prod]]/Table13[[#This Row],[part_weight]] * 1000), 0)</f>
        <v>105</v>
      </c>
    </row>
    <row r="1895" spans="1:40" hidden="1">
      <c r="A1895" s="1">
        <v>46079</v>
      </c>
      <c r="B1895">
        <v>1</v>
      </c>
      <c r="C1895">
        <v>3</v>
      </c>
      <c r="D1895" t="s">
        <v>897</v>
      </c>
      <c r="E1895" t="s">
        <v>34</v>
      </c>
      <c r="F1895">
        <v>442034</v>
      </c>
      <c r="G1895" s="6">
        <v>0</v>
      </c>
      <c r="H1895" t="s">
        <v>37</v>
      </c>
      <c r="I1895">
        <v>10685634</v>
      </c>
      <c r="J1895">
        <v>4</v>
      </c>
      <c r="K1895">
        <v>23</v>
      </c>
      <c r="L1895">
        <v>23</v>
      </c>
      <c r="M1895">
        <v>1530</v>
      </c>
      <c r="N1895" s="2">
        <v>139776</v>
      </c>
      <c r="O1895" s="2">
        <v>1152</v>
      </c>
      <c r="P1895" s="2">
        <v>2688</v>
      </c>
      <c r="Q1895" s="2">
        <v>6120</v>
      </c>
      <c r="R1895" s="2">
        <v>4608</v>
      </c>
      <c r="S1895">
        <v>105.98399999999999</v>
      </c>
      <c r="T1895" s="2">
        <v>90240</v>
      </c>
      <c r="U1895" s="2">
        <v>49536</v>
      </c>
      <c r="V1895">
        <v>140.76</v>
      </c>
      <c r="W1895">
        <v>0</v>
      </c>
      <c r="X1895">
        <v>0</v>
      </c>
      <c r="Y1895">
        <v>0</v>
      </c>
      <c r="Z1895">
        <v>2.2999999999999998</v>
      </c>
      <c r="AA1895">
        <v>1.6339869281045753E-2</v>
      </c>
      <c r="AB1895">
        <v>28.5</v>
      </c>
      <c r="AC1895">
        <v>12</v>
      </c>
      <c r="AD1895">
        <v>22</v>
      </c>
      <c r="AE1895" s="7"/>
      <c r="AF1895" s="7"/>
      <c r="AG1895" s="7"/>
      <c r="AH1895" s="7"/>
      <c r="AI1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5" s="7"/>
      <c r="AK1895" t="s">
        <v>1022</v>
      </c>
      <c r="AN1895">
        <f>IFERROR(INT(Table13[[#This Row],[reject_prod]]/Table13[[#This Row],[part_weight]] * 1000), 0)</f>
        <v>100</v>
      </c>
    </row>
    <row r="1896" spans="1:40" hidden="1">
      <c r="A1896" s="1">
        <v>46079</v>
      </c>
      <c r="B1896">
        <v>1</v>
      </c>
      <c r="C1896">
        <v>4</v>
      </c>
      <c r="D1896" t="s">
        <v>289</v>
      </c>
      <c r="E1896" t="s">
        <v>34</v>
      </c>
      <c r="F1896">
        <v>451191</v>
      </c>
      <c r="G1896" s="6">
        <v>0</v>
      </c>
      <c r="H1896" t="s">
        <v>946</v>
      </c>
      <c r="I1896">
        <v>10687751</v>
      </c>
      <c r="J1896">
        <v>4</v>
      </c>
      <c r="K1896">
        <v>29</v>
      </c>
      <c r="L1896">
        <v>29</v>
      </c>
      <c r="M1896">
        <v>1685</v>
      </c>
      <c r="N1896" s="2">
        <v>73440</v>
      </c>
      <c r="O1896" s="2">
        <v>612</v>
      </c>
      <c r="P1896" s="2">
        <v>0</v>
      </c>
      <c r="Q1896" s="2">
        <v>6740</v>
      </c>
      <c r="R1896" s="2">
        <v>7344</v>
      </c>
      <c r="S1896">
        <v>212.976</v>
      </c>
      <c r="T1896" s="2">
        <v>61506</v>
      </c>
      <c r="U1896" s="2">
        <v>11934</v>
      </c>
      <c r="V1896">
        <v>195.46</v>
      </c>
      <c r="W1896">
        <v>0</v>
      </c>
      <c r="X1896">
        <v>0</v>
      </c>
      <c r="Y1896">
        <v>0</v>
      </c>
      <c r="Z1896">
        <v>2</v>
      </c>
      <c r="AA1896">
        <v>1.0232272587741738E-2</v>
      </c>
      <c r="AB1896">
        <v>25.6</v>
      </c>
      <c r="AC1896">
        <v>11.982222222222223</v>
      </c>
      <c r="AD1896">
        <v>24</v>
      </c>
      <c r="AE1896" s="7"/>
      <c r="AF1896" s="7"/>
      <c r="AG1896" s="7"/>
      <c r="AH1896" s="7"/>
      <c r="AI1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1.7777777777777004E-2</v>
      </c>
      <c r="AJ1896" s="7"/>
      <c r="AK1896" t="s">
        <v>75</v>
      </c>
      <c r="AN1896">
        <f>IFERROR(INT(Table13[[#This Row],[reject_prod]]/Table13[[#This Row],[part_weight]] * 1000), 0)</f>
        <v>68</v>
      </c>
    </row>
    <row r="1897" spans="1:40" hidden="1">
      <c r="A1897" s="1">
        <v>46079</v>
      </c>
      <c r="B1897">
        <v>1</v>
      </c>
      <c r="C1897">
        <v>5</v>
      </c>
      <c r="D1897" t="s">
        <v>966</v>
      </c>
      <c r="E1897" t="s">
        <v>34</v>
      </c>
      <c r="F1897">
        <v>322448</v>
      </c>
      <c r="G1897" s="6">
        <v>0</v>
      </c>
      <c r="H1897" t="s">
        <v>654</v>
      </c>
      <c r="I1897">
        <v>10687753</v>
      </c>
      <c r="J1897">
        <v>4</v>
      </c>
      <c r="K1897">
        <v>40</v>
      </c>
      <c r="L1897">
        <v>40</v>
      </c>
      <c r="M1897">
        <v>1705</v>
      </c>
      <c r="N1897" s="2">
        <v>174960</v>
      </c>
      <c r="O1897" s="2">
        <v>162</v>
      </c>
      <c r="P1897" s="2">
        <v>486</v>
      </c>
      <c r="Q1897" s="2">
        <v>6820</v>
      </c>
      <c r="R1897" s="2">
        <v>6480</v>
      </c>
      <c r="S1897">
        <v>259.2</v>
      </c>
      <c r="T1897" s="2">
        <v>13446</v>
      </c>
      <c r="U1897" s="2">
        <v>161514</v>
      </c>
      <c r="V1897">
        <v>272.8</v>
      </c>
      <c r="W1897">
        <v>0</v>
      </c>
      <c r="X1897">
        <v>0</v>
      </c>
      <c r="Y1897">
        <v>0</v>
      </c>
      <c r="Z1897">
        <v>19.5</v>
      </c>
      <c r="AA1897">
        <v>7.1480938416422279E-2</v>
      </c>
      <c r="AB1897">
        <v>26.2</v>
      </c>
      <c r="AC1897">
        <v>12</v>
      </c>
      <c r="AD1897">
        <v>23</v>
      </c>
      <c r="AE1897" s="7"/>
      <c r="AF1897" s="7"/>
      <c r="AG1897" s="7"/>
      <c r="AH1897" s="7"/>
      <c r="AI1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7" s="7"/>
      <c r="AK1897" t="s">
        <v>1023</v>
      </c>
      <c r="AN1897">
        <f>IFERROR(INT(Table13[[#This Row],[reject_prod]]/Table13[[#This Row],[part_weight]] * 1000), 0)</f>
        <v>487</v>
      </c>
    </row>
    <row r="1898" spans="1:40" hidden="1">
      <c r="A1898" s="1">
        <v>46079</v>
      </c>
      <c r="B1898">
        <v>1</v>
      </c>
      <c r="C1898">
        <v>6</v>
      </c>
      <c r="D1898" t="s">
        <v>1024</v>
      </c>
      <c r="E1898" t="s">
        <v>34</v>
      </c>
      <c r="F1898">
        <v>322420</v>
      </c>
      <c r="G1898" s="6">
        <v>0</v>
      </c>
      <c r="H1898" t="s">
        <v>996</v>
      </c>
      <c r="I1898">
        <v>10687136</v>
      </c>
      <c r="J1898">
        <v>4</v>
      </c>
      <c r="K1898">
        <v>34</v>
      </c>
      <c r="L1898">
        <v>34</v>
      </c>
      <c r="M1898">
        <v>1985</v>
      </c>
      <c r="N1898" s="2">
        <v>24192</v>
      </c>
      <c r="O1898" s="2">
        <v>1890</v>
      </c>
      <c r="P1898" s="2">
        <v>756</v>
      </c>
      <c r="Q1898" s="2">
        <v>7940</v>
      </c>
      <c r="R1898" s="2">
        <v>9072</v>
      </c>
      <c r="S1898">
        <v>308.44799999999998</v>
      </c>
      <c r="T1898" s="2">
        <v>18900</v>
      </c>
      <c r="U1898" s="2">
        <v>5292</v>
      </c>
      <c r="V1898">
        <v>269.95999999999998</v>
      </c>
      <c r="W1898">
        <v>0</v>
      </c>
      <c r="X1898">
        <v>0</v>
      </c>
      <c r="Y1898">
        <v>0</v>
      </c>
      <c r="Z1898">
        <v>2.2999999999999998</v>
      </c>
      <c r="AA1898">
        <v>8.5197807082530753E-3</v>
      </c>
      <c r="AB1898">
        <v>21.5</v>
      </c>
      <c r="AC1898">
        <v>11.854861111111111</v>
      </c>
      <c r="AD1898">
        <v>22</v>
      </c>
      <c r="AE1898" s="7"/>
      <c r="AF1898" s="7"/>
      <c r="AG1898" s="7"/>
      <c r="AH1898" s="7"/>
      <c r="AI1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0.14513888888888893</v>
      </c>
      <c r="AJ1898" s="7"/>
      <c r="AK1898" t="s">
        <v>643</v>
      </c>
      <c r="AN1898">
        <f>IFERROR(INT(Table13[[#This Row],[reject_prod]]/Table13[[#This Row],[part_weight]] * 1000), 0)</f>
        <v>67</v>
      </c>
    </row>
    <row r="1899" spans="1:40" hidden="1">
      <c r="A1899" s="1">
        <v>46079</v>
      </c>
      <c r="B1899">
        <v>1</v>
      </c>
      <c r="C1899">
        <v>7</v>
      </c>
      <c r="D1899" t="s">
        <v>89</v>
      </c>
      <c r="E1899" t="s">
        <v>34</v>
      </c>
      <c r="F1899">
        <v>324165</v>
      </c>
      <c r="G1899" s="6">
        <v>0</v>
      </c>
      <c r="H1899" t="s">
        <v>44</v>
      </c>
      <c r="I1899">
        <v>10687137</v>
      </c>
      <c r="J1899">
        <v>4</v>
      </c>
      <c r="K1899">
        <v>32.56</v>
      </c>
      <c r="L1899">
        <v>33</v>
      </c>
      <c r="M1899">
        <v>1915</v>
      </c>
      <c r="N1899" s="2">
        <v>104192</v>
      </c>
      <c r="O1899" s="2">
        <v>2368</v>
      </c>
      <c r="P1899" s="2">
        <v>2960</v>
      </c>
      <c r="Q1899" s="2">
        <v>7660</v>
      </c>
      <c r="R1899" s="2">
        <v>7104</v>
      </c>
      <c r="S1899">
        <v>234.43199999999999</v>
      </c>
      <c r="T1899" s="2">
        <v>81104</v>
      </c>
      <c r="U1899" s="2">
        <v>23088</v>
      </c>
      <c r="V1899">
        <v>252.78</v>
      </c>
      <c r="W1899">
        <v>0</v>
      </c>
      <c r="X1899">
        <v>0</v>
      </c>
      <c r="Y1899">
        <v>0</v>
      </c>
      <c r="Z1899">
        <v>2.8</v>
      </c>
      <c r="AA1899">
        <v>1.1076825698235619E-2</v>
      </c>
      <c r="AB1899">
        <v>22.8</v>
      </c>
      <c r="AC1899">
        <v>12</v>
      </c>
      <c r="AD1899">
        <v>22</v>
      </c>
      <c r="AE1899" s="7"/>
      <c r="AF1899" s="7"/>
      <c r="AG1899" s="7"/>
      <c r="AH1899" s="7"/>
      <c r="AI1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9" s="7"/>
      <c r="AK1899" t="s">
        <v>922</v>
      </c>
      <c r="AN1899">
        <f>IFERROR(INT(Table13[[#This Row],[reject_prod]]/Table13[[#This Row],[part_weight]] * 1000), 0)</f>
        <v>84</v>
      </c>
    </row>
    <row r="1900" spans="1:40" hidden="1">
      <c r="A1900" s="1">
        <v>46079</v>
      </c>
      <c r="B1900">
        <v>1</v>
      </c>
      <c r="C1900">
        <v>8</v>
      </c>
      <c r="D1900" t="s">
        <v>1025</v>
      </c>
      <c r="E1900" t="s">
        <v>41</v>
      </c>
      <c r="F1900">
        <v>593537</v>
      </c>
      <c r="G1900" s="6">
        <v>0</v>
      </c>
      <c r="H1900" t="s">
        <v>48</v>
      </c>
      <c r="I1900">
        <v>10688067</v>
      </c>
      <c r="J1900">
        <v>4</v>
      </c>
      <c r="K1900">
        <v>56.5</v>
      </c>
      <c r="L1900">
        <v>56.8</v>
      </c>
      <c r="M1900">
        <v>1410</v>
      </c>
      <c r="N1900" s="2">
        <v>69000</v>
      </c>
      <c r="O1900" s="2">
        <v>0</v>
      </c>
      <c r="P1900" s="2">
        <v>460</v>
      </c>
      <c r="Q1900" s="2">
        <v>5640</v>
      </c>
      <c r="R1900" s="2">
        <v>5175</v>
      </c>
      <c r="S1900">
        <v>293.94</v>
      </c>
      <c r="T1900" s="2">
        <v>40135</v>
      </c>
      <c r="U1900" s="2">
        <v>28865</v>
      </c>
      <c r="V1900">
        <v>320.35199999999998</v>
      </c>
      <c r="W1900">
        <v>0</v>
      </c>
      <c r="X1900">
        <v>0</v>
      </c>
      <c r="Y1900">
        <v>0</v>
      </c>
      <c r="Z1900">
        <v>1</v>
      </c>
      <c r="AA1900">
        <v>3.1215662770951954E-3</v>
      </c>
      <c r="AB1900">
        <v>30.5</v>
      </c>
      <c r="AC1900">
        <v>11.945833333333335</v>
      </c>
      <c r="AD1900">
        <v>28.5</v>
      </c>
      <c r="AE1900" s="7"/>
      <c r="AF1900" s="7"/>
      <c r="AG1900" s="7"/>
      <c r="AH1900" s="7"/>
      <c r="AI1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5.4166666666665364E-2</v>
      </c>
      <c r="AJ1900" s="7"/>
      <c r="AK1900" t="s">
        <v>51</v>
      </c>
      <c r="AN1900">
        <f>IFERROR(INT(Table13[[#This Row],[reject_prod]]/Table13[[#This Row],[part_weight]] * 1000), 0)</f>
        <v>17</v>
      </c>
    </row>
    <row r="1901" spans="1:40" hidden="1">
      <c r="A1901" s="1">
        <v>46079</v>
      </c>
      <c r="B1901">
        <v>1</v>
      </c>
      <c r="C1901">
        <v>9</v>
      </c>
      <c r="D1901" t="s">
        <v>54</v>
      </c>
      <c r="E1901" t="s">
        <v>46</v>
      </c>
      <c r="F1901">
        <v>586276</v>
      </c>
      <c r="G1901" s="6">
        <v>1</v>
      </c>
      <c r="H1901" t="s">
        <v>47</v>
      </c>
      <c r="I1901">
        <v>10686684</v>
      </c>
      <c r="J1901">
        <v>6</v>
      </c>
      <c r="K1901">
        <v>12.3</v>
      </c>
      <c r="L1901">
        <v>12.3</v>
      </c>
      <c r="M1901">
        <v>1570</v>
      </c>
      <c r="N1901" s="2">
        <v>162000</v>
      </c>
      <c r="O1901" s="2">
        <v>405</v>
      </c>
      <c r="P1901" s="2">
        <v>1620</v>
      </c>
      <c r="Q1901" s="2">
        <v>9420</v>
      </c>
      <c r="R1901" s="2">
        <v>8100</v>
      </c>
      <c r="S1901">
        <v>99.63</v>
      </c>
      <c r="T1901" s="2">
        <v>147420</v>
      </c>
      <c r="U1901" s="2">
        <v>14580</v>
      </c>
      <c r="V1901">
        <v>115.866</v>
      </c>
      <c r="W1901">
        <v>0</v>
      </c>
      <c r="X1901">
        <v>0</v>
      </c>
      <c r="Y1901">
        <v>0</v>
      </c>
      <c r="Z1901">
        <v>2.8</v>
      </c>
      <c r="AA1901">
        <v>2.416584675400894E-2</v>
      </c>
      <c r="AB1901">
        <v>26.5</v>
      </c>
      <c r="AC1901">
        <v>11.556944444444444</v>
      </c>
      <c r="AD1901">
        <v>26</v>
      </c>
      <c r="AE1901" s="7"/>
      <c r="AF1901" s="7"/>
      <c r="AG1901" s="7"/>
      <c r="AH1901" s="7"/>
      <c r="AI1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0.44305555555555642</v>
      </c>
      <c r="AJ1901" s="7"/>
      <c r="AK1901" t="s">
        <v>57</v>
      </c>
      <c r="AN1901">
        <f>IFERROR(INT(Table13[[#This Row],[reject_prod]]/Table13[[#This Row],[part_weight]] * 1000), 0)</f>
        <v>227</v>
      </c>
    </row>
    <row r="1902" spans="1:40" hidden="1">
      <c r="A1902" s="1">
        <v>46079</v>
      </c>
      <c r="B1902">
        <v>1</v>
      </c>
      <c r="C1902">
        <v>10</v>
      </c>
      <c r="D1902" t="s">
        <v>60</v>
      </c>
      <c r="E1902" t="s">
        <v>34</v>
      </c>
      <c r="F1902">
        <v>323102</v>
      </c>
      <c r="G1902" s="6">
        <v>0</v>
      </c>
      <c r="H1902" t="s">
        <v>45</v>
      </c>
      <c r="I1902">
        <v>10688202</v>
      </c>
      <c r="J1902">
        <v>4</v>
      </c>
      <c r="K1902">
        <v>57</v>
      </c>
      <c r="L1902">
        <v>56.9</v>
      </c>
      <c r="M1902">
        <v>1400</v>
      </c>
      <c r="N1902" s="2">
        <v>38400</v>
      </c>
      <c r="O1902" s="2">
        <v>160</v>
      </c>
      <c r="P1902" s="2">
        <v>320</v>
      </c>
      <c r="Q1902" s="2">
        <v>5600</v>
      </c>
      <c r="R1902" s="2">
        <v>5440</v>
      </c>
      <c r="S1902">
        <v>309.536</v>
      </c>
      <c r="T1902" s="2">
        <v>14720</v>
      </c>
      <c r="U1902" s="2">
        <v>23680</v>
      </c>
      <c r="V1902">
        <v>318.64</v>
      </c>
      <c r="W1902">
        <v>0.56000000000000794</v>
      </c>
      <c r="X1902">
        <v>0</v>
      </c>
      <c r="Y1902">
        <v>0</v>
      </c>
      <c r="Z1902">
        <v>3.8</v>
      </c>
      <c r="AA1902">
        <v>1.1925684157670098E-2</v>
      </c>
      <c r="AB1902">
        <v>29.5</v>
      </c>
      <c r="AC1902">
        <v>11.472222222222223</v>
      </c>
      <c r="AD1902">
        <v>26</v>
      </c>
      <c r="AE1902" s="7"/>
      <c r="AF1902" s="7"/>
      <c r="AG1902" s="7"/>
      <c r="AH1902" s="7"/>
      <c r="AI1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0.52777777777777679</v>
      </c>
      <c r="AJ1902" s="7"/>
      <c r="AK1902" t="s">
        <v>227</v>
      </c>
      <c r="AN1902">
        <f>IFERROR(INT(Table13[[#This Row],[reject_prod]]/Table13[[#This Row],[part_weight]] * 1000), 0)</f>
        <v>66</v>
      </c>
    </row>
    <row r="1903" spans="1:40" hidden="1">
      <c r="A1903" s="1">
        <v>46079</v>
      </c>
      <c r="B1903">
        <v>1</v>
      </c>
      <c r="C1903">
        <v>11</v>
      </c>
      <c r="D1903" t="s">
        <v>208</v>
      </c>
      <c r="E1903" t="s">
        <v>46</v>
      </c>
      <c r="F1903">
        <v>552181</v>
      </c>
      <c r="G1903" s="6">
        <v>1</v>
      </c>
      <c r="H1903" t="s">
        <v>49</v>
      </c>
      <c r="I1903">
        <v>10686673</v>
      </c>
      <c r="J1903">
        <v>6</v>
      </c>
      <c r="K1903">
        <v>18.8</v>
      </c>
      <c r="L1903">
        <v>18.8</v>
      </c>
      <c r="M1903">
        <v>1465</v>
      </c>
      <c r="N1903" s="2">
        <v>108000</v>
      </c>
      <c r="O1903" s="2">
        <v>1620</v>
      </c>
      <c r="P1903" s="2">
        <v>4590</v>
      </c>
      <c r="Q1903" s="2">
        <v>8790</v>
      </c>
      <c r="R1903" s="2">
        <v>5400</v>
      </c>
      <c r="S1903">
        <v>101.52</v>
      </c>
      <c r="T1903" s="2">
        <v>96390</v>
      </c>
      <c r="U1903" s="2">
        <v>11610</v>
      </c>
      <c r="V1903">
        <v>165.25200000000001</v>
      </c>
      <c r="W1903">
        <v>0</v>
      </c>
      <c r="X1903">
        <v>0</v>
      </c>
      <c r="Y1903">
        <v>0</v>
      </c>
      <c r="Z1903">
        <v>0.5</v>
      </c>
      <c r="AA1903">
        <v>3.0256819887202573E-3</v>
      </c>
      <c r="AB1903">
        <v>28.46</v>
      </c>
      <c r="AC1903">
        <v>11.581638888888889</v>
      </c>
      <c r="AD1903">
        <v>27</v>
      </c>
      <c r="AE1903" s="7"/>
      <c r="AF1903" s="7"/>
      <c r="AG1903" s="7"/>
      <c r="AH1903" s="7"/>
      <c r="AI1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0.41836111111111052</v>
      </c>
      <c r="AJ1903" s="7"/>
      <c r="AK1903" t="s">
        <v>51</v>
      </c>
      <c r="AN1903">
        <f>IFERROR(INT(Table13[[#This Row],[reject_prod]]/Table13[[#This Row],[part_weight]] * 1000), 0)</f>
        <v>26</v>
      </c>
    </row>
    <row r="1904" spans="1:40" hidden="1">
      <c r="A1904" s="1">
        <v>46079</v>
      </c>
      <c r="B1904">
        <v>1</v>
      </c>
      <c r="C1904">
        <v>12</v>
      </c>
      <c r="D1904" t="s">
        <v>124</v>
      </c>
      <c r="E1904" t="s">
        <v>34</v>
      </c>
      <c r="F1904">
        <v>620599</v>
      </c>
      <c r="G1904" s="6">
        <v>0</v>
      </c>
      <c r="H1904" t="s">
        <v>50</v>
      </c>
      <c r="I1904">
        <v>10686675</v>
      </c>
      <c r="J1904">
        <v>4</v>
      </c>
      <c r="K1904">
        <v>55</v>
      </c>
      <c r="L1904">
        <v>55</v>
      </c>
      <c r="M1904">
        <v>1462</v>
      </c>
      <c r="N1904" s="2">
        <v>72000</v>
      </c>
      <c r="O1904" s="2">
        <v>675</v>
      </c>
      <c r="P1904" s="2">
        <v>225</v>
      </c>
      <c r="Q1904" s="2">
        <v>5848</v>
      </c>
      <c r="R1904" s="2">
        <v>6300</v>
      </c>
      <c r="S1904">
        <v>346.5</v>
      </c>
      <c r="T1904" s="2">
        <v>65925</v>
      </c>
      <c r="U1904" s="2">
        <v>6075</v>
      </c>
      <c r="V1904">
        <v>321.64</v>
      </c>
      <c r="W1904">
        <v>0</v>
      </c>
      <c r="X1904">
        <v>0</v>
      </c>
      <c r="Y1904">
        <v>0</v>
      </c>
      <c r="Z1904">
        <v>4.5</v>
      </c>
      <c r="AA1904">
        <v>1.3990797164531775E-2</v>
      </c>
      <c r="AB1904">
        <v>28.8</v>
      </c>
      <c r="AC1904">
        <v>11.696</v>
      </c>
      <c r="AD1904">
        <v>28</v>
      </c>
      <c r="AE1904" s="7"/>
      <c r="AF1904" s="7"/>
      <c r="AG1904" s="7"/>
      <c r="AH1904" s="7"/>
      <c r="AI1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0.30400000000000027</v>
      </c>
      <c r="AJ1904" s="7"/>
      <c r="AK1904" t="s">
        <v>164</v>
      </c>
      <c r="AN1904">
        <f>IFERROR(INT(Table13[[#This Row],[reject_prod]]/Table13[[#This Row],[part_weight]] * 1000), 0)</f>
        <v>81</v>
      </c>
    </row>
    <row r="1905" spans="1:40" hidden="1">
      <c r="A1905" s="1">
        <v>46079</v>
      </c>
      <c r="B1905">
        <v>1</v>
      </c>
      <c r="C1905">
        <v>13</v>
      </c>
      <c r="D1905" t="s">
        <v>208</v>
      </c>
      <c r="E1905" t="s">
        <v>46</v>
      </c>
      <c r="F1905">
        <v>586276</v>
      </c>
      <c r="G1905" s="6">
        <v>2</v>
      </c>
      <c r="H1905" t="s">
        <v>47</v>
      </c>
      <c r="I1905">
        <v>10686677</v>
      </c>
      <c r="J1905">
        <v>6</v>
      </c>
      <c r="K1905">
        <v>12.3</v>
      </c>
      <c r="L1905">
        <v>12.3</v>
      </c>
      <c r="M1905">
        <v>1590</v>
      </c>
      <c r="N1905" s="2">
        <v>162000</v>
      </c>
      <c r="O1905" s="2">
        <v>5265</v>
      </c>
      <c r="P1905" s="2">
        <v>6480</v>
      </c>
      <c r="Q1905" s="2">
        <v>9540</v>
      </c>
      <c r="R1905" s="2">
        <v>8100</v>
      </c>
      <c r="S1905">
        <v>99.63</v>
      </c>
      <c r="T1905" s="2">
        <v>111780</v>
      </c>
      <c r="U1905" s="2">
        <v>50220</v>
      </c>
      <c r="V1905">
        <v>117.342</v>
      </c>
      <c r="W1905">
        <v>0</v>
      </c>
      <c r="X1905">
        <v>0</v>
      </c>
      <c r="Y1905">
        <v>0</v>
      </c>
      <c r="Z1905">
        <v>2</v>
      </c>
      <c r="AA1905">
        <v>1.7044195599188697E-2</v>
      </c>
      <c r="AB1905">
        <v>26.2</v>
      </c>
      <c r="AC1905">
        <v>11.571666666666667</v>
      </c>
      <c r="AD1905">
        <v>26</v>
      </c>
      <c r="AE1905" s="7"/>
      <c r="AF1905" s="7"/>
      <c r="AG1905" s="7"/>
      <c r="AH1905" s="7"/>
      <c r="AI1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0.42833333333333279</v>
      </c>
      <c r="AJ1905" s="7"/>
      <c r="AK1905" t="s">
        <v>51</v>
      </c>
      <c r="AN1905">
        <f>IFERROR(INT(Table13[[#This Row],[reject_prod]]/Table13[[#This Row],[part_weight]] * 1000), 0)</f>
        <v>162</v>
      </c>
    </row>
    <row r="1906" spans="1:40" hidden="1">
      <c r="A1906" s="1">
        <v>46079</v>
      </c>
      <c r="B1906">
        <v>1</v>
      </c>
      <c r="C1906">
        <v>14</v>
      </c>
      <c r="D1906" t="s">
        <v>595</v>
      </c>
      <c r="E1906" t="s">
        <v>34</v>
      </c>
      <c r="F1906">
        <v>541381</v>
      </c>
      <c r="G1906" s="6">
        <v>0</v>
      </c>
      <c r="H1906" t="s">
        <v>804</v>
      </c>
      <c r="I1906">
        <v>10688072</v>
      </c>
      <c r="J1906">
        <v>4</v>
      </c>
      <c r="K1906">
        <v>55</v>
      </c>
      <c r="L1906">
        <v>55</v>
      </c>
      <c r="M1906">
        <v>1575</v>
      </c>
      <c r="N1906" s="2">
        <v>84000</v>
      </c>
      <c r="O1906" s="2">
        <v>175</v>
      </c>
      <c r="P1906" s="2">
        <v>175</v>
      </c>
      <c r="Q1906" s="2">
        <v>6300</v>
      </c>
      <c r="R1906" s="2">
        <v>6300</v>
      </c>
      <c r="S1906">
        <v>346.5</v>
      </c>
      <c r="T1906" s="2">
        <v>25375</v>
      </c>
      <c r="U1906" s="2">
        <v>58625</v>
      </c>
      <c r="V1906">
        <v>346.5</v>
      </c>
      <c r="W1906">
        <v>0</v>
      </c>
      <c r="X1906">
        <v>0</v>
      </c>
      <c r="Y1906">
        <v>0</v>
      </c>
      <c r="Z1906">
        <v>3.2</v>
      </c>
      <c r="AA1906">
        <v>9.2352092352092352E-3</v>
      </c>
      <c r="AB1906">
        <v>27.3</v>
      </c>
      <c r="AC1906">
        <v>11.94375</v>
      </c>
      <c r="AD1906">
        <v>30.08</v>
      </c>
      <c r="AE1906" s="7"/>
      <c r="AF1906" s="7"/>
      <c r="AG1906" s="7"/>
      <c r="AH1906" s="7"/>
      <c r="AI1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1906" s="7"/>
      <c r="AK1906" t="s">
        <v>178</v>
      </c>
      <c r="AN1906">
        <f>IFERROR(INT(Table13[[#This Row],[reject_prod]]/Table13[[#This Row],[part_weight]] * 1000), 0)</f>
        <v>58</v>
      </c>
    </row>
    <row r="1907" spans="1:40" hidden="1">
      <c r="A1907" s="1">
        <v>46079</v>
      </c>
      <c r="B1907">
        <v>1</v>
      </c>
      <c r="C1907">
        <v>15</v>
      </c>
      <c r="D1907" t="s">
        <v>208</v>
      </c>
      <c r="E1907" t="s">
        <v>46</v>
      </c>
      <c r="F1907">
        <v>552181</v>
      </c>
      <c r="G1907" s="6">
        <v>2</v>
      </c>
      <c r="H1907" t="s">
        <v>49</v>
      </c>
      <c r="I1907">
        <v>10686679</v>
      </c>
      <c r="J1907">
        <v>6</v>
      </c>
      <c r="K1907">
        <v>18.8</v>
      </c>
      <c r="L1907">
        <v>18.8</v>
      </c>
      <c r="M1907">
        <v>1400</v>
      </c>
      <c r="N1907" s="2">
        <v>108000</v>
      </c>
      <c r="O1907" s="2">
        <v>5130</v>
      </c>
      <c r="P1907" s="2">
        <v>2700</v>
      </c>
      <c r="Q1907" s="2">
        <v>8400</v>
      </c>
      <c r="R1907" s="2">
        <v>10800</v>
      </c>
      <c r="S1907">
        <v>203.04</v>
      </c>
      <c r="T1907" s="2">
        <v>40500</v>
      </c>
      <c r="U1907" s="2">
        <v>67500</v>
      </c>
      <c r="V1907">
        <v>157.91999999999999</v>
      </c>
      <c r="W1907">
        <v>0</v>
      </c>
      <c r="X1907">
        <v>0</v>
      </c>
      <c r="Y1907">
        <v>0</v>
      </c>
      <c r="Z1907">
        <v>5.2</v>
      </c>
      <c r="AA1907">
        <v>3.2928064842958467E-2</v>
      </c>
      <c r="AB1907">
        <v>30.6</v>
      </c>
      <c r="AC1907">
        <v>11.9</v>
      </c>
      <c r="AD1907">
        <v>27</v>
      </c>
      <c r="AE1907" s="7"/>
      <c r="AF1907" s="7"/>
      <c r="AG1907" s="7"/>
      <c r="AH1907" s="7"/>
      <c r="AI1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1907" s="7"/>
      <c r="AK1907" t="s">
        <v>51</v>
      </c>
      <c r="AN1907">
        <f>IFERROR(INT(Table13[[#This Row],[reject_prod]]/Table13[[#This Row],[part_weight]] * 1000), 0)</f>
        <v>276</v>
      </c>
    </row>
    <row r="1908" spans="1:40" s="4" customFormat="1" hidden="1">
      <c r="A1908" s="3">
        <v>46079</v>
      </c>
      <c r="B1908" s="4">
        <v>1</v>
      </c>
      <c r="C1908" s="4">
        <v>16</v>
      </c>
      <c r="D1908" s="4" t="s">
        <v>1003</v>
      </c>
      <c r="E1908" s="4" t="s">
        <v>46</v>
      </c>
      <c r="F1908" s="4">
        <v>555979</v>
      </c>
      <c r="G1908" s="9">
        <v>2</v>
      </c>
      <c r="H1908" s="4" t="s">
        <v>52</v>
      </c>
      <c r="I1908" s="4">
        <v>10686701</v>
      </c>
      <c r="J1908" s="4">
        <v>6</v>
      </c>
      <c r="K1908" s="4">
        <v>28</v>
      </c>
      <c r="L1908" s="4">
        <v>28</v>
      </c>
      <c r="M1908" s="4">
        <v>1008</v>
      </c>
      <c r="N1908" s="5">
        <v>100800</v>
      </c>
      <c r="O1908" s="5">
        <v>2184</v>
      </c>
      <c r="P1908" s="5">
        <v>1512</v>
      </c>
      <c r="Q1908" s="5">
        <v>6048</v>
      </c>
      <c r="R1908" s="5">
        <v>6720</v>
      </c>
      <c r="S1908" s="4">
        <v>188.16</v>
      </c>
      <c r="T1908" s="5">
        <v>45192</v>
      </c>
      <c r="U1908" s="5">
        <v>55608</v>
      </c>
      <c r="V1908" s="4">
        <v>169.34399999999999</v>
      </c>
      <c r="W1908" s="4">
        <v>0</v>
      </c>
      <c r="X1908" s="4">
        <v>0</v>
      </c>
      <c r="Y1908" s="4">
        <v>0</v>
      </c>
      <c r="Z1908" s="4">
        <v>1</v>
      </c>
      <c r="AA1908" s="4">
        <v>5.9051398337112626E-3</v>
      </c>
      <c r="AB1908" s="4">
        <v>43.2</v>
      </c>
      <c r="AC1908" s="4">
        <v>12</v>
      </c>
      <c r="AD1908" s="4">
        <v>42</v>
      </c>
      <c r="AE1908" s="8"/>
      <c r="AF1908" s="8"/>
      <c r="AG1908" s="8"/>
      <c r="AH1908" s="8"/>
      <c r="AI190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08" s="8"/>
      <c r="AK1908" s="4" t="s">
        <v>51</v>
      </c>
      <c r="AN1908">
        <f>IFERROR(INT(Table13[[#This Row],[reject_prod]]/Table13[[#This Row],[part_weight]] * 1000), 0)</f>
        <v>35</v>
      </c>
    </row>
    <row r="1909" spans="1:40" hidden="1">
      <c r="A1909" s="1">
        <v>46079</v>
      </c>
      <c r="B1909">
        <v>2</v>
      </c>
      <c r="C1909">
        <v>1</v>
      </c>
      <c r="D1909" t="s">
        <v>115</v>
      </c>
      <c r="E1909" t="s">
        <v>34</v>
      </c>
      <c r="F1909">
        <v>329667</v>
      </c>
      <c r="G1909" s="6">
        <v>0</v>
      </c>
      <c r="H1909" t="s">
        <v>1011</v>
      </c>
      <c r="I1909">
        <v>10688432</v>
      </c>
      <c r="J1909">
        <v>4</v>
      </c>
      <c r="K1909">
        <v>56.5</v>
      </c>
      <c r="L1909">
        <v>56.5</v>
      </c>
      <c r="M1909">
        <v>264</v>
      </c>
      <c r="N1909" s="2">
        <v>6900</v>
      </c>
      <c r="O1909" s="2">
        <v>345</v>
      </c>
      <c r="P1909" s="2">
        <v>0</v>
      </c>
      <c r="Q1909" s="2">
        <v>1056</v>
      </c>
      <c r="R1909" s="2">
        <v>1380</v>
      </c>
      <c r="S1909">
        <v>77.97</v>
      </c>
      <c r="T1909" s="2">
        <v>6900</v>
      </c>
      <c r="U1909" s="2">
        <v>0</v>
      </c>
      <c r="V1909">
        <v>59.664000000000001</v>
      </c>
      <c r="W1909">
        <v>0</v>
      </c>
      <c r="X1909">
        <v>0</v>
      </c>
      <c r="Y1909">
        <v>0</v>
      </c>
      <c r="Z1909">
        <v>1</v>
      </c>
      <c r="AA1909">
        <v>1.6760525610083132E-2</v>
      </c>
      <c r="AB1909">
        <v>34.700000000000003</v>
      </c>
      <c r="AC1909">
        <v>2.5446666666666666</v>
      </c>
      <c r="AD1909">
        <v>38.72</v>
      </c>
      <c r="AE1909" s="7"/>
      <c r="AF1909" s="7"/>
      <c r="AG1909" s="7"/>
      <c r="AH1909" s="7"/>
      <c r="AI1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9.4553333333333338</v>
      </c>
      <c r="AJ1909" s="7"/>
      <c r="AK1909" t="s">
        <v>1026</v>
      </c>
      <c r="AN1909">
        <f>IFERROR(INT(Table13[[#This Row],[reject_prod]]/Table13[[#This Row],[part_weight]] * 1000), 0)</f>
        <v>17</v>
      </c>
    </row>
    <row r="1910" spans="1:40" hidden="1">
      <c r="A1910" s="1">
        <v>46079</v>
      </c>
      <c r="B1910">
        <v>2</v>
      </c>
      <c r="C1910">
        <v>1</v>
      </c>
      <c r="D1910" t="s">
        <v>33</v>
      </c>
      <c r="E1910" t="s">
        <v>34</v>
      </c>
      <c r="F1910">
        <v>504598</v>
      </c>
      <c r="G1910" s="6">
        <v>0</v>
      </c>
      <c r="H1910" t="s">
        <v>1027</v>
      </c>
      <c r="I1910">
        <v>10688434</v>
      </c>
      <c r="J1910">
        <v>4</v>
      </c>
      <c r="K1910">
        <v>30.2</v>
      </c>
      <c r="L1910">
        <v>28</v>
      </c>
      <c r="M1910">
        <v>0</v>
      </c>
      <c r="N1910" s="2">
        <v>10080</v>
      </c>
      <c r="O1910" s="2">
        <v>0</v>
      </c>
      <c r="P1910" s="2">
        <v>0</v>
      </c>
      <c r="Q1910" s="2">
        <v>0</v>
      </c>
      <c r="R1910" s="2">
        <v>0</v>
      </c>
      <c r="S1910">
        <v>0</v>
      </c>
      <c r="T1910" s="2">
        <v>0</v>
      </c>
      <c r="U1910" s="2">
        <v>10080</v>
      </c>
      <c r="V1910">
        <v>0</v>
      </c>
      <c r="W1910">
        <v>0</v>
      </c>
      <c r="X1910">
        <v>12</v>
      </c>
      <c r="Y1910" t="e">
        <v>#DIV/0!</v>
      </c>
      <c r="Z1910">
        <v>0</v>
      </c>
      <c r="AA1910" t="e">
        <v>#DIV/0!</v>
      </c>
      <c r="AB1910">
        <v>22.2</v>
      </c>
      <c r="AC1910">
        <v>0</v>
      </c>
      <c r="AD1910">
        <v>22.24</v>
      </c>
      <c r="AE1910" s="7">
        <v>5.5</v>
      </c>
      <c r="AF1910" s="7"/>
      <c r="AG1910" s="7"/>
      <c r="AH1910" s="7"/>
      <c r="AI1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</v>
      </c>
      <c r="AJ1910" s="7">
        <v>5</v>
      </c>
      <c r="AK1910" t="s">
        <v>1028</v>
      </c>
      <c r="AN1910">
        <f>IFERROR(INT(Table13[[#This Row],[reject_prod]]/Table13[[#This Row],[part_weight]] * 1000), 0)</f>
        <v>0</v>
      </c>
    </row>
    <row r="1911" spans="1:40" hidden="1">
      <c r="A1911" s="1">
        <v>46079</v>
      </c>
      <c r="B1911">
        <v>2</v>
      </c>
      <c r="C1911">
        <v>2</v>
      </c>
      <c r="D1911" t="s">
        <v>152</v>
      </c>
      <c r="E1911" t="s">
        <v>34</v>
      </c>
      <c r="F1911">
        <v>543590</v>
      </c>
      <c r="G1911" s="6">
        <v>0</v>
      </c>
      <c r="H1911" t="s">
        <v>913</v>
      </c>
      <c r="I1911">
        <v>10687749</v>
      </c>
      <c r="J1911">
        <v>4</v>
      </c>
      <c r="K1911">
        <v>19</v>
      </c>
      <c r="L1911">
        <v>19</v>
      </c>
      <c r="M1911">
        <v>2172</v>
      </c>
      <c r="N1911" s="2">
        <v>132440</v>
      </c>
      <c r="O1911" s="2">
        <v>4928</v>
      </c>
      <c r="P1911" s="2">
        <v>6160</v>
      </c>
      <c r="Q1911" s="2">
        <v>8688</v>
      </c>
      <c r="R1911" s="2">
        <v>7392</v>
      </c>
      <c r="S1911">
        <v>140.44800000000001</v>
      </c>
      <c r="T1911" s="2">
        <v>94864</v>
      </c>
      <c r="U1911" s="2">
        <v>37576</v>
      </c>
      <c r="V1911">
        <v>165.072</v>
      </c>
      <c r="W1911">
        <v>0</v>
      </c>
      <c r="X1911">
        <v>0</v>
      </c>
      <c r="Y1911">
        <v>0</v>
      </c>
      <c r="Z1911">
        <v>1.2</v>
      </c>
      <c r="AA1911">
        <v>7.2695551032276821E-3</v>
      </c>
      <c r="AB1911">
        <v>19.7</v>
      </c>
      <c r="AC1911">
        <v>11.885666666666665</v>
      </c>
      <c r="AD1911">
        <v>18.72</v>
      </c>
      <c r="AE1911" s="7"/>
      <c r="AF1911" s="7"/>
      <c r="AG1911" s="7"/>
      <c r="AH1911" s="7"/>
      <c r="AI1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0.11433333333333451</v>
      </c>
      <c r="AJ1911" s="7"/>
      <c r="AK1911" t="s">
        <v>193</v>
      </c>
      <c r="AN1911">
        <f>IFERROR(INT(Table13[[#This Row],[reject_prod]]/Table13[[#This Row],[part_weight]] * 1000), 0)</f>
        <v>63</v>
      </c>
    </row>
    <row r="1912" spans="1:40" hidden="1">
      <c r="A1912" s="1">
        <v>46079</v>
      </c>
      <c r="B1912">
        <v>2</v>
      </c>
      <c r="C1912">
        <v>3</v>
      </c>
      <c r="D1912" t="s">
        <v>141</v>
      </c>
      <c r="E1912" t="s">
        <v>34</v>
      </c>
      <c r="F1912">
        <v>442034</v>
      </c>
      <c r="G1912" s="6">
        <v>0</v>
      </c>
      <c r="H1912" t="s">
        <v>37</v>
      </c>
      <c r="I1912">
        <v>10685634</v>
      </c>
      <c r="J1912">
        <v>4</v>
      </c>
      <c r="K1912">
        <v>23</v>
      </c>
      <c r="L1912">
        <v>23</v>
      </c>
      <c r="M1912">
        <v>1515</v>
      </c>
      <c r="N1912" s="2">
        <v>139776</v>
      </c>
      <c r="O1912" s="2">
        <v>2688</v>
      </c>
      <c r="P1912" s="2">
        <v>4096</v>
      </c>
      <c r="Q1912" s="2">
        <v>6060</v>
      </c>
      <c r="R1912" s="2">
        <v>4608</v>
      </c>
      <c r="S1912">
        <v>105.98399999999999</v>
      </c>
      <c r="T1912" s="2">
        <v>96256</v>
      </c>
      <c r="U1912" s="2">
        <v>43520</v>
      </c>
      <c r="V1912">
        <v>139.38</v>
      </c>
      <c r="W1912">
        <v>0</v>
      </c>
      <c r="X1912">
        <v>0</v>
      </c>
      <c r="Y1912">
        <v>0</v>
      </c>
      <c r="Z1912">
        <v>1</v>
      </c>
      <c r="AA1912">
        <v>7.1746305065289138E-3</v>
      </c>
      <c r="AB1912">
        <v>28.5</v>
      </c>
      <c r="AC1912">
        <v>11.99375</v>
      </c>
      <c r="AD1912">
        <v>22</v>
      </c>
      <c r="AE1912" s="7"/>
      <c r="AF1912" s="7"/>
      <c r="AG1912" s="7"/>
      <c r="AH1912" s="7"/>
      <c r="AI1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6.2499999999996447E-3</v>
      </c>
      <c r="AJ1912" s="7"/>
      <c r="AK1912" t="s">
        <v>214</v>
      </c>
      <c r="AN1912">
        <f>IFERROR(INT(Table13[[#This Row],[reject_prod]]/Table13[[#This Row],[part_weight]] * 1000), 0)</f>
        <v>43</v>
      </c>
    </row>
    <row r="1913" spans="1:40" hidden="1">
      <c r="A1913" s="1">
        <v>46079</v>
      </c>
      <c r="B1913">
        <v>2</v>
      </c>
      <c r="C1913">
        <v>4</v>
      </c>
      <c r="D1913" t="s">
        <v>40</v>
      </c>
      <c r="E1913" t="s">
        <v>34</v>
      </c>
      <c r="F1913">
        <v>451191</v>
      </c>
      <c r="G1913" s="6">
        <v>0</v>
      </c>
      <c r="H1913" t="s">
        <v>946</v>
      </c>
      <c r="I1913">
        <v>10687751</v>
      </c>
      <c r="J1913">
        <v>4</v>
      </c>
      <c r="K1913">
        <v>29</v>
      </c>
      <c r="L1913">
        <v>29</v>
      </c>
      <c r="M1913">
        <v>1504</v>
      </c>
      <c r="N1913" s="2">
        <v>73440</v>
      </c>
      <c r="O1913" s="2">
        <v>0</v>
      </c>
      <c r="P1913" s="2">
        <v>0</v>
      </c>
      <c r="Q1913" s="2">
        <v>6016</v>
      </c>
      <c r="R1913" s="2">
        <v>5508</v>
      </c>
      <c r="S1913">
        <v>159.732</v>
      </c>
      <c r="T1913" s="2">
        <v>67014</v>
      </c>
      <c r="U1913" s="2">
        <v>6426</v>
      </c>
      <c r="V1913">
        <v>174.464</v>
      </c>
      <c r="W1913">
        <v>0</v>
      </c>
      <c r="X1913">
        <v>0</v>
      </c>
      <c r="Y1913">
        <v>0</v>
      </c>
      <c r="Z1913">
        <v>14.7</v>
      </c>
      <c r="AA1913">
        <v>8.4258070432868662E-2</v>
      </c>
      <c r="AB1913">
        <v>25.6</v>
      </c>
      <c r="AC1913">
        <v>10.695111111111112</v>
      </c>
      <c r="AD1913">
        <v>24</v>
      </c>
      <c r="AE1913" s="7"/>
      <c r="AF1913" s="7"/>
      <c r="AG1913" s="7"/>
      <c r="AH1913" s="7"/>
      <c r="AI1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1.3048888888888879</v>
      </c>
      <c r="AJ1913" s="7"/>
      <c r="AK1913" t="s">
        <v>1029</v>
      </c>
      <c r="AN1913">
        <f>IFERROR(INT(Table13[[#This Row],[reject_prod]]/Table13[[#This Row],[part_weight]] * 1000), 0)</f>
        <v>506</v>
      </c>
    </row>
    <row r="1914" spans="1:40" hidden="1">
      <c r="A1914" s="1">
        <v>46079</v>
      </c>
      <c r="B1914">
        <v>2</v>
      </c>
      <c r="C1914">
        <v>5</v>
      </c>
      <c r="D1914" t="s">
        <v>452</v>
      </c>
      <c r="E1914" t="s">
        <v>34</v>
      </c>
      <c r="F1914">
        <v>322448</v>
      </c>
      <c r="G1914" s="6">
        <v>0</v>
      </c>
      <c r="H1914" t="s">
        <v>654</v>
      </c>
      <c r="I1914">
        <v>10687753</v>
      </c>
      <c r="J1914">
        <v>4</v>
      </c>
      <c r="K1914">
        <v>40</v>
      </c>
      <c r="L1914">
        <v>40</v>
      </c>
      <c r="M1914">
        <v>1607</v>
      </c>
      <c r="N1914" s="2">
        <v>174960</v>
      </c>
      <c r="O1914" s="2">
        <v>486</v>
      </c>
      <c r="P1914" s="2">
        <v>324</v>
      </c>
      <c r="Q1914" s="2">
        <v>6428</v>
      </c>
      <c r="R1914" s="2">
        <v>6480</v>
      </c>
      <c r="S1914">
        <v>259.2</v>
      </c>
      <c r="T1914" s="2">
        <v>19764</v>
      </c>
      <c r="U1914" s="2">
        <v>155196</v>
      </c>
      <c r="V1914">
        <v>257.12</v>
      </c>
      <c r="W1914">
        <v>0</v>
      </c>
      <c r="X1914">
        <v>0</v>
      </c>
      <c r="Y1914">
        <v>0</v>
      </c>
      <c r="Z1914">
        <v>4.2</v>
      </c>
      <c r="AA1914">
        <v>1.6334785314250155E-2</v>
      </c>
      <c r="AB1914">
        <v>26.2</v>
      </c>
      <c r="AC1914">
        <v>11.695388888888889</v>
      </c>
      <c r="AD1914">
        <v>23</v>
      </c>
      <c r="AE1914" s="7"/>
      <c r="AF1914" s="7"/>
      <c r="AG1914" s="7"/>
      <c r="AH1914" s="7"/>
      <c r="AI1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0.30461111111111094</v>
      </c>
      <c r="AJ1914" s="7"/>
      <c r="AK1914" t="s">
        <v>79</v>
      </c>
      <c r="AN1914">
        <f>IFERROR(INT(Table13[[#This Row],[reject_prod]]/Table13[[#This Row],[part_weight]] * 1000), 0)</f>
        <v>105</v>
      </c>
    </row>
    <row r="1915" spans="1:40" hidden="1">
      <c r="A1915" s="1">
        <v>46079</v>
      </c>
      <c r="B1915">
        <v>2</v>
      </c>
      <c r="C1915">
        <v>6</v>
      </c>
      <c r="D1915" t="s">
        <v>1030</v>
      </c>
      <c r="E1915" t="s">
        <v>34</v>
      </c>
      <c r="F1915">
        <v>322420</v>
      </c>
      <c r="G1915" s="6">
        <v>0</v>
      </c>
      <c r="H1915" t="s">
        <v>996</v>
      </c>
      <c r="I1915">
        <v>10687136</v>
      </c>
      <c r="J1915">
        <v>4</v>
      </c>
      <c r="K1915">
        <v>34</v>
      </c>
      <c r="L1915">
        <v>34</v>
      </c>
      <c r="M1915">
        <v>1367</v>
      </c>
      <c r="N1915" s="2">
        <v>24192</v>
      </c>
      <c r="O1915" s="2">
        <v>756</v>
      </c>
      <c r="P1915" s="2">
        <v>0</v>
      </c>
      <c r="Q1915" s="2">
        <v>5468</v>
      </c>
      <c r="R1915" s="2">
        <v>6048</v>
      </c>
      <c r="S1915">
        <v>205.63200000000001</v>
      </c>
      <c r="T1915" s="2">
        <v>24192</v>
      </c>
      <c r="U1915" s="2">
        <v>0</v>
      </c>
      <c r="V1915">
        <v>185.91200000000001</v>
      </c>
      <c r="W1915">
        <v>0</v>
      </c>
      <c r="X1915">
        <v>0</v>
      </c>
      <c r="Y1915">
        <v>0</v>
      </c>
      <c r="Z1915">
        <v>4.2</v>
      </c>
      <c r="AA1915">
        <v>2.2591333534145188E-2</v>
      </c>
      <c r="AB1915">
        <v>21.5</v>
      </c>
      <c r="AC1915">
        <v>8.164027777777779</v>
      </c>
      <c r="AD1915">
        <v>22</v>
      </c>
      <c r="AE1915" s="7"/>
      <c r="AF1915" s="7"/>
      <c r="AG1915" s="7"/>
      <c r="AH1915" s="7"/>
      <c r="AI1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3.835972222222221</v>
      </c>
      <c r="AJ1915" s="7"/>
      <c r="AK1915" t="s">
        <v>1031</v>
      </c>
      <c r="AN1915">
        <f>IFERROR(INT(Table13[[#This Row],[reject_prod]]/Table13[[#This Row],[part_weight]] * 1000), 0)</f>
        <v>123</v>
      </c>
    </row>
    <row r="1916" spans="1:40" hidden="1">
      <c r="A1916" s="1">
        <v>46079</v>
      </c>
      <c r="B1916">
        <v>2</v>
      </c>
      <c r="C1916">
        <v>6</v>
      </c>
      <c r="D1916" t="s">
        <v>33</v>
      </c>
      <c r="E1916" t="s">
        <v>34</v>
      </c>
      <c r="F1916">
        <v>597509</v>
      </c>
      <c r="G1916" s="6">
        <v>0</v>
      </c>
      <c r="H1916" t="s">
        <v>1032</v>
      </c>
      <c r="I1916">
        <v>10688093</v>
      </c>
      <c r="J1916">
        <v>4</v>
      </c>
      <c r="K1916">
        <v>24.9</v>
      </c>
      <c r="L1916">
        <v>24.9</v>
      </c>
      <c r="M1916">
        <v>0</v>
      </c>
      <c r="N1916" s="2">
        <v>15600</v>
      </c>
      <c r="O1916" s="2">
        <v>0</v>
      </c>
      <c r="P1916" s="2">
        <v>0</v>
      </c>
      <c r="Q1916" s="2">
        <v>0</v>
      </c>
      <c r="R1916" s="2">
        <v>0</v>
      </c>
      <c r="S1916">
        <v>0</v>
      </c>
      <c r="T1916" s="2">
        <v>0</v>
      </c>
      <c r="U1916" s="2">
        <v>15600</v>
      </c>
      <c r="V1916">
        <v>0</v>
      </c>
      <c r="W1916">
        <v>0</v>
      </c>
      <c r="X1916">
        <v>0</v>
      </c>
      <c r="Y1916" t="e">
        <v>#DIV/0!</v>
      </c>
      <c r="Z1916">
        <v>0</v>
      </c>
      <c r="AA1916" t="e">
        <v>#DIV/0!</v>
      </c>
      <c r="AB1916">
        <v>20</v>
      </c>
      <c r="AC1916">
        <v>0</v>
      </c>
      <c r="AD1916">
        <v>20</v>
      </c>
      <c r="AE1916" s="7"/>
      <c r="AF1916" s="7"/>
      <c r="AG1916" s="7">
        <v>1.5</v>
      </c>
      <c r="AH1916" s="7"/>
      <c r="AI1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</v>
      </c>
      <c r="AJ1916" s="7">
        <v>3</v>
      </c>
      <c r="AK1916" t="s">
        <v>1033</v>
      </c>
      <c r="AN1916">
        <f>IFERROR(INT(Table13[[#This Row],[reject_prod]]/Table13[[#This Row],[part_weight]] * 1000), 0)</f>
        <v>0</v>
      </c>
    </row>
    <row r="1917" spans="1:40" hidden="1">
      <c r="A1917" s="1">
        <v>46079</v>
      </c>
      <c r="B1917">
        <v>2</v>
      </c>
      <c r="C1917">
        <v>7</v>
      </c>
      <c r="D1917" t="s">
        <v>67</v>
      </c>
      <c r="E1917" t="s">
        <v>34</v>
      </c>
      <c r="F1917">
        <v>324165</v>
      </c>
      <c r="G1917" s="6">
        <v>0</v>
      </c>
      <c r="H1917" t="s">
        <v>44</v>
      </c>
      <c r="I1917">
        <v>10687137</v>
      </c>
      <c r="J1917">
        <v>4</v>
      </c>
      <c r="K1917">
        <v>32.56</v>
      </c>
      <c r="L1917">
        <v>33</v>
      </c>
      <c r="M1917">
        <v>1895</v>
      </c>
      <c r="N1917" s="2">
        <v>104192</v>
      </c>
      <c r="O1917" s="2">
        <v>2960</v>
      </c>
      <c r="P1917" s="2">
        <v>3256</v>
      </c>
      <c r="Q1917" s="2">
        <v>7580</v>
      </c>
      <c r="R1917" s="2">
        <v>7104</v>
      </c>
      <c r="S1917">
        <v>234.43199999999999</v>
      </c>
      <c r="T1917" s="2">
        <v>88504</v>
      </c>
      <c r="U1917" s="2">
        <v>15688</v>
      </c>
      <c r="V1917">
        <v>250.14</v>
      </c>
      <c r="W1917">
        <v>0</v>
      </c>
      <c r="X1917">
        <v>0</v>
      </c>
      <c r="Y1917">
        <v>0</v>
      </c>
      <c r="Z1917">
        <v>6</v>
      </c>
      <c r="AA1917">
        <v>2.3986567522187575E-2</v>
      </c>
      <c r="AB1917">
        <v>22.8</v>
      </c>
      <c r="AC1917">
        <v>12</v>
      </c>
      <c r="AD1917">
        <v>22</v>
      </c>
      <c r="AE1917" s="7"/>
      <c r="AF1917" s="7"/>
      <c r="AG1917" s="7"/>
      <c r="AH1917" s="7"/>
      <c r="AI1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17" s="7"/>
      <c r="AK1917" t="s">
        <v>79</v>
      </c>
      <c r="AN1917">
        <f>IFERROR(INT(Table13[[#This Row],[reject_prod]]/Table13[[#This Row],[part_weight]] * 1000), 0)</f>
        <v>181</v>
      </c>
    </row>
    <row r="1918" spans="1:40" hidden="1">
      <c r="A1918" s="1">
        <v>46079</v>
      </c>
      <c r="B1918">
        <v>2</v>
      </c>
      <c r="C1918">
        <v>8</v>
      </c>
      <c r="D1918" t="s">
        <v>1034</v>
      </c>
      <c r="E1918" t="s">
        <v>41</v>
      </c>
      <c r="F1918">
        <v>593537</v>
      </c>
      <c r="G1918" s="6">
        <v>0</v>
      </c>
      <c r="H1918" t="s">
        <v>48</v>
      </c>
      <c r="I1918">
        <v>10688067</v>
      </c>
      <c r="J1918">
        <v>4</v>
      </c>
      <c r="K1918">
        <v>56.5</v>
      </c>
      <c r="L1918">
        <v>56.8</v>
      </c>
      <c r="M1918">
        <v>1391</v>
      </c>
      <c r="N1918" s="2">
        <v>69000</v>
      </c>
      <c r="O1918" s="2">
        <v>460</v>
      </c>
      <c r="P1918" s="2">
        <v>230</v>
      </c>
      <c r="Q1918" s="2">
        <v>5564</v>
      </c>
      <c r="R1918" s="2">
        <v>5750</v>
      </c>
      <c r="S1918">
        <v>326.60000000000002</v>
      </c>
      <c r="T1918" s="2">
        <v>45655</v>
      </c>
      <c r="U1918" s="2">
        <v>23345</v>
      </c>
      <c r="V1918">
        <v>316.03520000000003</v>
      </c>
      <c r="W1918">
        <v>0</v>
      </c>
      <c r="X1918">
        <v>0</v>
      </c>
      <c r="Y1918">
        <v>0</v>
      </c>
      <c r="Z1918">
        <v>2.5</v>
      </c>
      <c r="AA1918">
        <v>7.9105112341916334E-3</v>
      </c>
      <c r="AB1918">
        <v>30.5</v>
      </c>
      <c r="AC1918">
        <v>11.784861111111113</v>
      </c>
      <c r="AD1918">
        <v>28.5</v>
      </c>
      <c r="AE1918" s="7"/>
      <c r="AF1918" s="7"/>
      <c r="AG1918" s="7"/>
      <c r="AH1918" s="7"/>
      <c r="AI1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0.21513888888888744</v>
      </c>
      <c r="AJ1918" s="7"/>
      <c r="AK1918" t="s">
        <v>51</v>
      </c>
      <c r="AN1918">
        <f>IFERROR(INT(Table13[[#This Row],[reject_prod]]/Table13[[#This Row],[part_weight]] * 1000), 0)</f>
        <v>44</v>
      </c>
    </row>
    <row r="1919" spans="1:40" hidden="1">
      <c r="A1919" s="1">
        <v>46079</v>
      </c>
      <c r="B1919">
        <v>2</v>
      </c>
      <c r="C1919">
        <v>9</v>
      </c>
      <c r="D1919" t="s">
        <v>115</v>
      </c>
      <c r="E1919" t="s">
        <v>46</v>
      </c>
      <c r="F1919">
        <v>586276</v>
      </c>
      <c r="G1919" s="6">
        <v>1</v>
      </c>
      <c r="H1919" t="s">
        <v>47</v>
      </c>
      <c r="I1919">
        <v>10686684</v>
      </c>
      <c r="J1919">
        <v>6</v>
      </c>
      <c r="K1919">
        <v>12.3</v>
      </c>
      <c r="L1919">
        <v>12.3</v>
      </c>
      <c r="M1919">
        <v>1588</v>
      </c>
      <c r="N1919" s="2">
        <v>162000</v>
      </c>
      <c r="O1919" s="2">
        <v>1620</v>
      </c>
      <c r="P1919" s="2">
        <v>2835</v>
      </c>
      <c r="Q1919" s="2">
        <v>9528</v>
      </c>
      <c r="R1919" s="2">
        <v>8100</v>
      </c>
      <c r="S1919">
        <v>99.63</v>
      </c>
      <c r="T1919" s="2">
        <v>156735</v>
      </c>
      <c r="U1919" s="2">
        <v>5265</v>
      </c>
      <c r="V1919">
        <v>117.1944</v>
      </c>
      <c r="W1919">
        <v>0</v>
      </c>
      <c r="X1919">
        <v>0</v>
      </c>
      <c r="Y1919">
        <v>0</v>
      </c>
      <c r="Z1919">
        <v>2.5</v>
      </c>
      <c r="AA1919">
        <v>2.1332077300621873E-2</v>
      </c>
      <c r="AB1919">
        <v>26.5</v>
      </c>
      <c r="AC1919">
        <v>11.689444444444444</v>
      </c>
      <c r="AD1919">
        <v>26</v>
      </c>
      <c r="AE1919" s="7"/>
      <c r="AF1919" s="7"/>
      <c r="AG1919" s="7"/>
      <c r="AH1919" s="7"/>
      <c r="AI1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0.31055555555555614</v>
      </c>
      <c r="AJ1919" s="7"/>
      <c r="AK1919" t="s">
        <v>51</v>
      </c>
      <c r="AN1919">
        <f>IFERROR(INT(Table13[[#This Row],[reject_prod]]/Table13[[#This Row],[part_weight]] * 1000), 0)</f>
        <v>203</v>
      </c>
    </row>
    <row r="1920" spans="1:40" hidden="1">
      <c r="A1920" s="1">
        <v>46079</v>
      </c>
      <c r="B1920">
        <v>2</v>
      </c>
      <c r="C1920">
        <v>10</v>
      </c>
      <c r="D1920" t="s">
        <v>43</v>
      </c>
      <c r="E1920" t="s">
        <v>34</v>
      </c>
      <c r="F1920">
        <v>323102</v>
      </c>
      <c r="G1920" s="6">
        <v>0</v>
      </c>
      <c r="H1920" t="s">
        <v>45</v>
      </c>
      <c r="I1920">
        <v>10688202</v>
      </c>
      <c r="J1920">
        <v>4</v>
      </c>
      <c r="K1920">
        <v>57</v>
      </c>
      <c r="L1920">
        <v>56.9</v>
      </c>
      <c r="M1920">
        <v>1433</v>
      </c>
      <c r="N1920" s="2">
        <v>38400</v>
      </c>
      <c r="O1920" s="2">
        <v>320</v>
      </c>
      <c r="P1920" s="2">
        <v>160</v>
      </c>
      <c r="Q1920" s="2">
        <v>5732</v>
      </c>
      <c r="R1920" s="2">
        <v>5760</v>
      </c>
      <c r="S1920">
        <v>327.74400000000003</v>
      </c>
      <c r="T1920" s="2">
        <v>20320</v>
      </c>
      <c r="U1920" s="2">
        <v>18080</v>
      </c>
      <c r="V1920">
        <v>326.1508</v>
      </c>
      <c r="W1920">
        <v>0</v>
      </c>
      <c r="X1920">
        <v>0</v>
      </c>
      <c r="Y1920">
        <v>0</v>
      </c>
      <c r="Z1920">
        <v>7.5</v>
      </c>
      <c r="AA1920">
        <v>2.299549778813972E-2</v>
      </c>
      <c r="AB1920">
        <v>29.7</v>
      </c>
      <c r="AC1920">
        <v>11.82225</v>
      </c>
      <c r="AD1920">
        <v>26</v>
      </c>
      <c r="AE1920" s="7"/>
      <c r="AF1920" s="7"/>
      <c r="AG1920" s="7"/>
      <c r="AH1920" s="7"/>
      <c r="AI1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0.17774999999999963</v>
      </c>
      <c r="AJ1920" s="7"/>
      <c r="AK1920" t="s">
        <v>1035</v>
      </c>
      <c r="AN1920">
        <f>IFERROR(INT(Table13[[#This Row],[reject_prod]]/Table13[[#This Row],[part_weight]] * 1000), 0)</f>
        <v>131</v>
      </c>
    </row>
    <row r="1921" spans="1:40" hidden="1">
      <c r="A1921" s="1">
        <v>46079</v>
      </c>
      <c r="B1921">
        <v>2</v>
      </c>
      <c r="C1921">
        <v>11</v>
      </c>
      <c r="D1921" t="s">
        <v>61</v>
      </c>
      <c r="E1921" t="s">
        <v>46</v>
      </c>
      <c r="F1921">
        <v>552181</v>
      </c>
      <c r="G1921" s="6">
        <v>1</v>
      </c>
      <c r="H1921" t="s">
        <v>49</v>
      </c>
      <c r="I1921">
        <v>10686673</v>
      </c>
      <c r="J1921">
        <v>6</v>
      </c>
      <c r="K1921">
        <v>18.8</v>
      </c>
      <c r="L1921">
        <v>18.8</v>
      </c>
      <c r="M1921">
        <v>1507</v>
      </c>
      <c r="N1921" s="2">
        <v>108000</v>
      </c>
      <c r="O1921" s="2">
        <v>4590</v>
      </c>
      <c r="P1921" s="2">
        <v>2700</v>
      </c>
      <c r="Q1921" s="2">
        <v>9042</v>
      </c>
      <c r="R1921" s="2">
        <v>10800</v>
      </c>
      <c r="S1921">
        <v>203.04</v>
      </c>
      <c r="T1921" s="2">
        <v>108000</v>
      </c>
      <c r="U1921" s="2">
        <v>0</v>
      </c>
      <c r="V1921">
        <v>169.9896</v>
      </c>
      <c r="W1921">
        <v>0</v>
      </c>
      <c r="X1921">
        <v>0</v>
      </c>
      <c r="Y1921">
        <v>0</v>
      </c>
      <c r="Z1921">
        <v>2.5</v>
      </c>
      <c r="AA1921">
        <v>1.4706782061961438E-2</v>
      </c>
      <c r="AB1921">
        <v>28.46</v>
      </c>
      <c r="AC1921">
        <v>11.913672222222223</v>
      </c>
      <c r="AD1921">
        <v>27</v>
      </c>
      <c r="AE1921" s="7"/>
      <c r="AF1921" s="7"/>
      <c r="AG1921" s="7"/>
      <c r="AH1921" s="7"/>
      <c r="AI1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921" s="7"/>
      <c r="AK1921" t="s">
        <v>51</v>
      </c>
      <c r="AN1921">
        <f>IFERROR(INT(Table13[[#This Row],[reject_prod]]/Table13[[#This Row],[part_weight]] * 1000), 0)</f>
        <v>132</v>
      </c>
    </row>
    <row r="1922" spans="1:40" hidden="1">
      <c r="A1922" s="1">
        <v>46079</v>
      </c>
      <c r="B1922">
        <v>2</v>
      </c>
      <c r="C1922">
        <v>12</v>
      </c>
      <c r="D1922" t="s">
        <v>65</v>
      </c>
      <c r="E1922" t="s">
        <v>34</v>
      </c>
      <c r="F1922">
        <v>620599</v>
      </c>
      <c r="G1922" s="6">
        <v>0</v>
      </c>
      <c r="H1922" t="s">
        <v>50</v>
      </c>
      <c r="I1922">
        <v>10686675</v>
      </c>
      <c r="J1922">
        <v>4</v>
      </c>
      <c r="K1922">
        <v>55</v>
      </c>
      <c r="L1922">
        <v>55</v>
      </c>
      <c r="M1922">
        <v>1474</v>
      </c>
      <c r="N1922" s="2">
        <v>72000</v>
      </c>
      <c r="O1922" s="2">
        <v>225</v>
      </c>
      <c r="P1922" s="2">
        <v>675</v>
      </c>
      <c r="Q1922" s="2">
        <v>5896</v>
      </c>
      <c r="R1922" s="2">
        <v>5400</v>
      </c>
      <c r="S1922">
        <v>297</v>
      </c>
      <c r="T1922" s="2">
        <v>71775</v>
      </c>
      <c r="U1922" s="2">
        <v>225</v>
      </c>
      <c r="V1922">
        <v>324.27999999999997</v>
      </c>
      <c r="W1922">
        <v>0</v>
      </c>
      <c r="X1922">
        <v>0</v>
      </c>
      <c r="Y1922">
        <v>0</v>
      </c>
      <c r="Z1922">
        <v>2.5</v>
      </c>
      <c r="AA1922">
        <v>7.7093869495497725E-3</v>
      </c>
      <c r="AB1922">
        <v>28.8</v>
      </c>
      <c r="AC1922">
        <v>11.792</v>
      </c>
      <c r="AD1922">
        <v>28</v>
      </c>
      <c r="AE1922" s="7"/>
      <c r="AF1922" s="7"/>
      <c r="AG1922" s="7"/>
      <c r="AH1922" s="7"/>
      <c r="AI1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1922" s="7"/>
      <c r="AK1922" t="s">
        <v>178</v>
      </c>
      <c r="AN1922">
        <f>IFERROR(INT(Table13[[#This Row],[reject_prod]]/Table13[[#This Row],[part_weight]] * 1000), 0)</f>
        <v>45</v>
      </c>
    </row>
    <row r="1923" spans="1:40" hidden="1">
      <c r="A1923" s="1">
        <v>46079</v>
      </c>
      <c r="B1923">
        <v>2</v>
      </c>
      <c r="C1923">
        <v>13</v>
      </c>
      <c r="D1923" t="s">
        <v>61</v>
      </c>
      <c r="E1923" t="s">
        <v>46</v>
      </c>
      <c r="F1923">
        <v>586276</v>
      </c>
      <c r="G1923" s="6">
        <v>2</v>
      </c>
      <c r="H1923" t="s">
        <v>47</v>
      </c>
      <c r="I1923">
        <v>10686677</v>
      </c>
      <c r="J1923">
        <v>6</v>
      </c>
      <c r="K1923">
        <v>12.3</v>
      </c>
      <c r="L1923">
        <v>12.3</v>
      </c>
      <c r="M1923">
        <v>1656</v>
      </c>
      <c r="N1923" s="2">
        <v>162000</v>
      </c>
      <c r="O1923" s="2">
        <v>6480</v>
      </c>
      <c r="P1923" s="2">
        <v>0</v>
      </c>
      <c r="Q1923" s="2">
        <v>9936</v>
      </c>
      <c r="R1923" s="2">
        <v>16200</v>
      </c>
      <c r="S1923">
        <v>199.26</v>
      </c>
      <c r="T1923" s="2">
        <v>121500</v>
      </c>
      <c r="U1923" s="2">
        <v>40500</v>
      </c>
      <c r="V1923">
        <v>122.2128</v>
      </c>
      <c r="W1923">
        <v>0</v>
      </c>
      <c r="X1923">
        <v>0</v>
      </c>
      <c r="Y1923">
        <v>0</v>
      </c>
      <c r="Z1923">
        <v>4.5</v>
      </c>
      <c r="AA1923">
        <v>3.6821020384116887E-2</v>
      </c>
      <c r="AB1923">
        <v>26.2</v>
      </c>
      <c r="AC1923">
        <v>12</v>
      </c>
      <c r="AD1923">
        <v>26</v>
      </c>
      <c r="AE1923" s="7"/>
      <c r="AF1923" s="7"/>
      <c r="AG1923" s="7"/>
      <c r="AH1923" s="7"/>
      <c r="AI1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3" s="7"/>
      <c r="AK1923" t="s">
        <v>51</v>
      </c>
      <c r="AN1923">
        <f>IFERROR(INT(Table13[[#This Row],[reject_prod]]/Table13[[#This Row],[part_weight]] * 1000), 0)</f>
        <v>365</v>
      </c>
    </row>
    <row r="1924" spans="1:40" hidden="1">
      <c r="A1924" s="1">
        <v>46079</v>
      </c>
      <c r="B1924">
        <v>2</v>
      </c>
      <c r="C1924">
        <v>14</v>
      </c>
      <c r="D1924" t="s">
        <v>143</v>
      </c>
      <c r="E1924" t="s">
        <v>34</v>
      </c>
      <c r="F1924">
        <v>541381</v>
      </c>
      <c r="G1924" s="6">
        <v>0</v>
      </c>
      <c r="H1924" t="s">
        <v>804</v>
      </c>
      <c r="I1924">
        <v>10688072</v>
      </c>
      <c r="J1924">
        <v>4</v>
      </c>
      <c r="K1924">
        <v>55</v>
      </c>
      <c r="L1924">
        <v>55</v>
      </c>
      <c r="M1924">
        <v>1572</v>
      </c>
      <c r="N1924" s="2">
        <v>84000</v>
      </c>
      <c r="O1924" s="2">
        <v>175</v>
      </c>
      <c r="P1924" s="2">
        <v>0</v>
      </c>
      <c r="Q1924" s="2">
        <v>6288</v>
      </c>
      <c r="R1924" s="2">
        <v>6300</v>
      </c>
      <c r="S1924">
        <v>346.5</v>
      </c>
      <c r="T1924" s="2">
        <v>31500</v>
      </c>
      <c r="U1924" s="2">
        <v>52500</v>
      </c>
      <c r="V1924">
        <v>345.84</v>
      </c>
      <c r="W1924">
        <v>0</v>
      </c>
      <c r="X1924">
        <v>0</v>
      </c>
      <c r="Y1924">
        <v>0</v>
      </c>
      <c r="Z1924">
        <v>9</v>
      </c>
      <c r="AA1924">
        <v>2.6023594725884804E-2</v>
      </c>
      <c r="AB1924">
        <v>27.3</v>
      </c>
      <c r="AC1924">
        <v>11.920999999999999</v>
      </c>
      <c r="AD1924">
        <v>30.08</v>
      </c>
      <c r="AE1924" s="7"/>
      <c r="AF1924" s="7"/>
      <c r="AG1924" s="7"/>
      <c r="AH1924" s="7"/>
      <c r="AI1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7.9000000000000625E-2</v>
      </c>
      <c r="AJ1924" s="7"/>
      <c r="AK1924" t="s">
        <v>1036</v>
      </c>
      <c r="AN1924">
        <f>IFERROR(INT(Table13[[#This Row],[reject_prod]]/Table13[[#This Row],[part_weight]] * 1000), 0)</f>
        <v>163</v>
      </c>
    </row>
    <row r="1925" spans="1:40" hidden="1">
      <c r="A1925" s="1">
        <v>46079</v>
      </c>
      <c r="B1925">
        <v>2</v>
      </c>
      <c r="C1925">
        <v>15</v>
      </c>
      <c r="D1925" t="s">
        <v>61</v>
      </c>
      <c r="E1925" t="s">
        <v>46</v>
      </c>
      <c r="F1925">
        <v>552181</v>
      </c>
      <c r="G1925" s="6">
        <v>2</v>
      </c>
      <c r="H1925" t="s">
        <v>49</v>
      </c>
      <c r="I1925">
        <v>10686679</v>
      </c>
      <c r="J1925">
        <v>6</v>
      </c>
      <c r="K1925">
        <v>18.8</v>
      </c>
      <c r="L1925">
        <v>18.8</v>
      </c>
      <c r="M1925">
        <v>1417</v>
      </c>
      <c r="N1925" s="2">
        <v>108000</v>
      </c>
      <c r="O1925" s="2">
        <v>2700</v>
      </c>
      <c r="P1925" s="2">
        <v>270</v>
      </c>
      <c r="Q1925" s="2">
        <v>8502</v>
      </c>
      <c r="R1925" s="2">
        <v>10800</v>
      </c>
      <c r="S1925">
        <v>203.04</v>
      </c>
      <c r="T1925" s="2">
        <v>48870</v>
      </c>
      <c r="U1925" s="2">
        <v>59130</v>
      </c>
      <c r="V1925">
        <v>159.83760000000001</v>
      </c>
      <c r="W1925">
        <v>0</v>
      </c>
      <c r="X1925">
        <v>0</v>
      </c>
      <c r="Y1925">
        <v>0</v>
      </c>
      <c r="Z1925">
        <v>2.5</v>
      </c>
      <c r="AA1925">
        <v>1.5640875488620948E-2</v>
      </c>
      <c r="AB1925">
        <v>30.6</v>
      </c>
      <c r="AC1925">
        <v>12</v>
      </c>
      <c r="AD1925">
        <v>27</v>
      </c>
      <c r="AE1925" s="7"/>
      <c r="AF1925" s="7"/>
      <c r="AG1925" s="7"/>
      <c r="AH1925" s="7"/>
      <c r="AI1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5" s="7"/>
      <c r="AK1925" t="s">
        <v>51</v>
      </c>
      <c r="AN1925">
        <f>IFERROR(INT(Table13[[#This Row],[reject_prod]]/Table13[[#This Row],[part_weight]] * 1000), 0)</f>
        <v>132</v>
      </c>
    </row>
    <row r="1926" spans="1:40" s="4" customFormat="1" hidden="1">
      <c r="A1926" s="3">
        <v>46079</v>
      </c>
      <c r="B1926" s="4">
        <v>2</v>
      </c>
      <c r="C1926" s="4">
        <v>16</v>
      </c>
      <c r="D1926" s="4" t="s">
        <v>69</v>
      </c>
      <c r="E1926" s="4" t="s">
        <v>46</v>
      </c>
      <c r="F1926" s="4">
        <v>555979</v>
      </c>
      <c r="G1926" s="9">
        <v>2</v>
      </c>
      <c r="H1926" s="4" t="s">
        <v>52</v>
      </c>
      <c r="I1926" s="4">
        <v>10686701</v>
      </c>
      <c r="J1926" s="4">
        <v>6</v>
      </c>
      <c r="K1926" s="4">
        <v>28</v>
      </c>
      <c r="L1926" s="4">
        <v>28</v>
      </c>
      <c r="M1926" s="4">
        <v>985</v>
      </c>
      <c r="N1926" s="5">
        <v>100800</v>
      </c>
      <c r="O1926" s="5">
        <v>1512</v>
      </c>
      <c r="P1926" s="5">
        <v>672</v>
      </c>
      <c r="Q1926" s="5">
        <v>5910</v>
      </c>
      <c r="R1926" s="5">
        <v>6720</v>
      </c>
      <c r="S1926" s="4">
        <v>188.16</v>
      </c>
      <c r="T1926" s="5">
        <v>51072</v>
      </c>
      <c r="U1926" s="5">
        <v>49728</v>
      </c>
      <c r="V1926" s="4">
        <v>165.48</v>
      </c>
      <c r="W1926" s="4">
        <v>0</v>
      </c>
      <c r="X1926" s="4">
        <v>0</v>
      </c>
      <c r="Y1926" s="4">
        <v>0</v>
      </c>
      <c r="Z1926" s="4">
        <v>0.5</v>
      </c>
      <c r="AA1926" s="4">
        <v>3.0215131737974378E-3</v>
      </c>
      <c r="AB1926" s="4">
        <v>43.2</v>
      </c>
      <c r="AC1926" s="4">
        <v>11.82</v>
      </c>
      <c r="AD1926" s="4">
        <v>42</v>
      </c>
      <c r="AE1926" s="8"/>
      <c r="AF1926" s="8"/>
      <c r="AG1926" s="8"/>
      <c r="AH1926" s="8"/>
      <c r="AI192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926" s="8"/>
      <c r="AK1926" s="4" t="s">
        <v>51</v>
      </c>
      <c r="AN1926">
        <f>IFERROR(INT(Table13[[#This Row],[reject_prod]]/Table13[[#This Row],[part_weight]] * 1000), 0)</f>
        <v>17</v>
      </c>
    </row>
    <row r="1927" spans="1:40" hidden="1">
      <c r="A1927" s="1">
        <v>46080</v>
      </c>
      <c r="B1927">
        <v>1</v>
      </c>
      <c r="C1927">
        <v>1</v>
      </c>
      <c r="D1927" t="s">
        <v>208</v>
      </c>
      <c r="E1927" t="s">
        <v>34</v>
      </c>
      <c r="F1927">
        <v>504598</v>
      </c>
      <c r="G1927" s="6">
        <v>0</v>
      </c>
      <c r="H1927" t="s">
        <v>1027</v>
      </c>
      <c r="I1927">
        <v>10688434</v>
      </c>
      <c r="J1927">
        <v>4</v>
      </c>
      <c r="K1927">
        <v>30.2</v>
      </c>
      <c r="L1927">
        <v>28</v>
      </c>
      <c r="M1927">
        <v>336</v>
      </c>
      <c r="N1927" s="2">
        <v>10080</v>
      </c>
      <c r="O1927" s="2">
        <v>0</v>
      </c>
      <c r="P1927" s="2">
        <v>1344</v>
      </c>
      <c r="Q1927" s="2">
        <v>1344</v>
      </c>
      <c r="R1927" s="2">
        <v>0</v>
      </c>
      <c r="S1927">
        <v>0</v>
      </c>
      <c r="T1927" s="2">
        <v>1344</v>
      </c>
      <c r="U1927" s="2">
        <v>8736</v>
      </c>
      <c r="V1927">
        <v>37.631999999999998</v>
      </c>
      <c r="W1927">
        <v>2.9567999999999994</v>
      </c>
      <c r="X1927">
        <v>6</v>
      </c>
      <c r="Y1927">
        <v>0.15943877551020408</v>
      </c>
      <c r="Z1927">
        <v>0.3</v>
      </c>
      <c r="AA1927">
        <v>7.9719387755102043E-3</v>
      </c>
      <c r="AB1927">
        <v>26.84</v>
      </c>
      <c r="AC1927">
        <v>2.5050666666666666</v>
      </c>
      <c r="AD1927">
        <v>22.24</v>
      </c>
      <c r="AE1927" s="7"/>
      <c r="AF1927" s="7"/>
      <c r="AG1927" s="7"/>
      <c r="AH1927" s="7"/>
      <c r="AI1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9.4949333333333339</v>
      </c>
      <c r="AJ1927" s="7"/>
      <c r="AK1927" t="s">
        <v>1037</v>
      </c>
      <c r="AL1927">
        <v>10</v>
      </c>
      <c r="AM1927">
        <v>7</v>
      </c>
      <c r="AN1927">
        <f>IFERROR(INT(Table13[[#This Row],[reject_prod]]/Table13[[#This Row],[part_weight]] * 1000), 0)</f>
        <v>10</v>
      </c>
    </row>
    <row r="1928" spans="1:40" hidden="1">
      <c r="A1928" s="1">
        <v>46080</v>
      </c>
      <c r="B1928">
        <v>1</v>
      </c>
      <c r="C1928">
        <v>2</v>
      </c>
      <c r="D1928" t="s">
        <v>84</v>
      </c>
      <c r="E1928" t="s">
        <v>34</v>
      </c>
      <c r="F1928">
        <v>543590</v>
      </c>
      <c r="G1928" s="6">
        <v>0</v>
      </c>
      <c r="H1928" t="s">
        <v>913</v>
      </c>
      <c r="I1928">
        <v>10687749</v>
      </c>
      <c r="J1928">
        <v>4</v>
      </c>
      <c r="K1928">
        <v>19</v>
      </c>
      <c r="L1928">
        <v>19</v>
      </c>
      <c r="M1928">
        <v>2156</v>
      </c>
      <c r="N1928" s="2">
        <v>132440</v>
      </c>
      <c r="O1928" s="2">
        <v>6160</v>
      </c>
      <c r="P1928" s="2">
        <v>0</v>
      </c>
      <c r="Q1928" s="2">
        <v>8624</v>
      </c>
      <c r="R1928" s="2">
        <v>14784</v>
      </c>
      <c r="S1928">
        <v>280.89600000000002</v>
      </c>
      <c r="T1928" s="2">
        <v>103488</v>
      </c>
      <c r="U1928" s="2">
        <v>28952</v>
      </c>
      <c r="V1928">
        <v>163.85599999999999</v>
      </c>
      <c r="W1928">
        <v>0</v>
      </c>
      <c r="X1928">
        <v>0</v>
      </c>
      <c r="Y1928">
        <v>0</v>
      </c>
      <c r="Z1928">
        <v>1</v>
      </c>
      <c r="AA1928">
        <v>6.1029196367542232E-3</v>
      </c>
      <c r="AB1928">
        <v>19.7</v>
      </c>
      <c r="AC1928">
        <v>11.79811111111111</v>
      </c>
      <c r="AD1928">
        <v>18.72</v>
      </c>
      <c r="AE1928" s="7"/>
      <c r="AF1928" s="7"/>
      <c r="AG1928" s="7"/>
      <c r="AH1928" s="7"/>
      <c r="AI1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0.20188888888888989</v>
      </c>
      <c r="AJ1928" s="7"/>
      <c r="AK1928" t="s">
        <v>824</v>
      </c>
      <c r="AN1928">
        <f>IFERROR(INT(Table13[[#This Row],[reject_prod]]/Table13[[#This Row],[part_weight]] * 1000), 0)</f>
        <v>52</v>
      </c>
    </row>
    <row r="1929" spans="1:40" hidden="1">
      <c r="A1929" s="1">
        <v>46080</v>
      </c>
      <c r="B1929">
        <v>1</v>
      </c>
      <c r="C1929">
        <v>3</v>
      </c>
      <c r="D1929" t="s">
        <v>54</v>
      </c>
      <c r="E1929" t="s">
        <v>34</v>
      </c>
      <c r="F1929">
        <v>442034</v>
      </c>
      <c r="G1929" s="6">
        <v>0</v>
      </c>
      <c r="H1929" t="s">
        <v>37</v>
      </c>
      <c r="I1929">
        <v>10685634</v>
      </c>
      <c r="J1929">
        <v>4</v>
      </c>
      <c r="K1929">
        <v>23</v>
      </c>
      <c r="L1929">
        <v>23</v>
      </c>
      <c r="M1929">
        <v>1520</v>
      </c>
      <c r="N1929" s="2">
        <v>139776</v>
      </c>
      <c r="O1929" s="2">
        <v>4096</v>
      </c>
      <c r="P1929" s="2">
        <v>960</v>
      </c>
      <c r="Q1929" s="2">
        <v>6080</v>
      </c>
      <c r="R1929" s="2">
        <v>9216</v>
      </c>
      <c r="S1929">
        <v>211.96799999999999</v>
      </c>
      <c r="T1929" s="2">
        <v>102336</v>
      </c>
      <c r="U1929" s="2">
        <v>37440</v>
      </c>
      <c r="V1929">
        <v>139.84</v>
      </c>
      <c r="W1929">
        <v>0</v>
      </c>
      <c r="X1929">
        <v>0</v>
      </c>
      <c r="Y1929">
        <v>0</v>
      </c>
      <c r="Z1929">
        <v>1.8</v>
      </c>
      <c r="AA1929">
        <v>1.2871853546910755E-2</v>
      </c>
      <c r="AB1929">
        <v>28.5</v>
      </c>
      <c r="AC1929">
        <v>12</v>
      </c>
      <c r="AD1929">
        <v>22</v>
      </c>
      <c r="AE1929" s="7"/>
      <c r="AF1929" s="7"/>
      <c r="AG1929" s="7"/>
      <c r="AH1929" s="7"/>
      <c r="AI1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9" s="7"/>
      <c r="AK1929" t="s">
        <v>1038</v>
      </c>
      <c r="AL1929">
        <v>3</v>
      </c>
      <c r="AM1929">
        <v>2</v>
      </c>
      <c r="AN1929">
        <f>IFERROR(INT(Table13[[#This Row],[reject_prod]]/Table13[[#This Row],[part_weight]] * 1000), 0)</f>
        <v>78</v>
      </c>
    </row>
    <row r="1930" spans="1:40" hidden="1">
      <c r="A1930" s="1">
        <v>46080</v>
      </c>
      <c r="B1930">
        <v>1</v>
      </c>
      <c r="C1930">
        <v>4</v>
      </c>
      <c r="D1930" t="s">
        <v>56</v>
      </c>
      <c r="E1930" t="s">
        <v>34</v>
      </c>
      <c r="F1930">
        <v>451191</v>
      </c>
      <c r="G1930" s="6">
        <v>0</v>
      </c>
      <c r="H1930" t="s">
        <v>946</v>
      </c>
      <c r="I1930">
        <v>10687751</v>
      </c>
      <c r="J1930">
        <v>4</v>
      </c>
      <c r="K1930">
        <v>29</v>
      </c>
      <c r="L1930">
        <v>29</v>
      </c>
      <c r="M1930">
        <v>1606</v>
      </c>
      <c r="N1930" s="2">
        <v>73440</v>
      </c>
      <c r="O1930" s="2">
        <v>0</v>
      </c>
      <c r="P1930" s="2">
        <v>0</v>
      </c>
      <c r="Q1930" s="2">
        <v>6424</v>
      </c>
      <c r="R1930" s="2">
        <v>6426</v>
      </c>
      <c r="S1930">
        <v>186.35400000000001</v>
      </c>
      <c r="T1930" s="2">
        <v>73440</v>
      </c>
      <c r="U1930" s="2">
        <v>0</v>
      </c>
      <c r="V1930">
        <v>186.29599999999999</v>
      </c>
      <c r="W1930">
        <v>0</v>
      </c>
      <c r="X1930">
        <v>0</v>
      </c>
      <c r="Y1930">
        <v>0</v>
      </c>
      <c r="Z1930">
        <v>3.2</v>
      </c>
      <c r="AA1930">
        <v>1.7176965689011038E-2</v>
      </c>
      <c r="AB1930">
        <v>25.6</v>
      </c>
      <c r="AC1930">
        <v>11.420444444444446</v>
      </c>
      <c r="AD1930">
        <v>24</v>
      </c>
      <c r="AE1930" s="7"/>
      <c r="AF1930" s="7"/>
      <c r="AG1930" s="7"/>
      <c r="AH1930" s="7"/>
      <c r="AI1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0.57955555555555449</v>
      </c>
      <c r="AJ1930" s="7"/>
      <c r="AK1930" t="s">
        <v>102</v>
      </c>
      <c r="AN1930">
        <f>IFERROR(INT(Table13[[#This Row],[reject_prod]]/Table13[[#This Row],[part_weight]] * 1000), 0)</f>
        <v>110</v>
      </c>
    </row>
    <row r="1931" spans="1:40" hidden="1">
      <c r="A1931" s="1">
        <v>46080</v>
      </c>
      <c r="B1931">
        <v>1</v>
      </c>
      <c r="C1931">
        <v>4</v>
      </c>
      <c r="D1931" t="s">
        <v>56</v>
      </c>
      <c r="E1931" t="s">
        <v>34</v>
      </c>
      <c r="F1931">
        <v>451191</v>
      </c>
      <c r="G1931" s="6">
        <v>0</v>
      </c>
      <c r="H1931" t="s">
        <v>946</v>
      </c>
      <c r="I1931">
        <v>10688499</v>
      </c>
      <c r="J1931">
        <v>4</v>
      </c>
      <c r="K1931">
        <v>29</v>
      </c>
      <c r="L1931">
        <v>29</v>
      </c>
      <c r="M1931">
        <v>74</v>
      </c>
      <c r="N1931" s="2">
        <v>14850</v>
      </c>
      <c r="O1931" s="2">
        <v>0</v>
      </c>
      <c r="P1931" s="2">
        <v>297</v>
      </c>
      <c r="Q1931" s="2">
        <v>296</v>
      </c>
      <c r="R1931" s="2">
        <v>0</v>
      </c>
      <c r="S1931">
        <v>0</v>
      </c>
      <c r="T1931" s="2">
        <v>297</v>
      </c>
      <c r="U1931" s="2">
        <v>14553</v>
      </c>
      <c r="V1931">
        <v>8.5839999999999996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25.6</v>
      </c>
      <c r="AC1931">
        <v>0.52622222222222226</v>
      </c>
      <c r="AD1931">
        <v>24</v>
      </c>
      <c r="AE1931" s="7"/>
      <c r="AF1931" s="7"/>
      <c r="AG1931" s="7"/>
      <c r="AH1931" s="7"/>
      <c r="AI1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11.473777777777778</v>
      </c>
      <c r="AJ1931" s="7"/>
      <c r="AK1931" t="s">
        <v>1039</v>
      </c>
      <c r="AN1931">
        <f>IFERROR(INT(Table13[[#This Row],[reject_prod]]/Table13[[#This Row],[part_weight]] * 1000), 0)</f>
        <v>0</v>
      </c>
    </row>
    <row r="1932" spans="1:40" hidden="1">
      <c r="A1932" s="1">
        <v>46080</v>
      </c>
      <c r="B1932">
        <v>1</v>
      </c>
      <c r="C1932">
        <v>5</v>
      </c>
      <c r="D1932" t="s">
        <v>535</v>
      </c>
      <c r="E1932" t="s">
        <v>34</v>
      </c>
      <c r="F1932">
        <v>322448</v>
      </c>
      <c r="G1932" s="6">
        <v>0</v>
      </c>
      <c r="H1932" t="s">
        <v>654</v>
      </c>
      <c r="I1932">
        <v>10687753</v>
      </c>
      <c r="J1932">
        <v>4</v>
      </c>
      <c r="K1932">
        <v>40</v>
      </c>
      <c r="L1932">
        <v>40</v>
      </c>
      <c r="M1932">
        <v>1660</v>
      </c>
      <c r="N1932" s="2">
        <v>174960</v>
      </c>
      <c r="O1932" s="2">
        <v>324</v>
      </c>
      <c r="P1932" s="2">
        <v>486</v>
      </c>
      <c r="Q1932" s="2">
        <v>6640</v>
      </c>
      <c r="R1932" s="2">
        <v>6480</v>
      </c>
      <c r="S1932">
        <v>259.2</v>
      </c>
      <c r="T1932" s="2">
        <v>26406</v>
      </c>
      <c r="U1932" s="2">
        <v>148554</v>
      </c>
      <c r="V1932">
        <v>265.60000000000002</v>
      </c>
      <c r="W1932">
        <v>0</v>
      </c>
      <c r="X1932">
        <v>0</v>
      </c>
      <c r="Y1932">
        <v>0</v>
      </c>
      <c r="Z1932">
        <v>6</v>
      </c>
      <c r="AA1932">
        <v>2.2590361445783129E-2</v>
      </c>
      <c r="AB1932">
        <v>26.2</v>
      </c>
      <c r="AC1932">
        <v>12</v>
      </c>
      <c r="AD1932">
        <v>23</v>
      </c>
      <c r="AE1932" s="7"/>
      <c r="AF1932" s="7"/>
      <c r="AG1932" s="7"/>
      <c r="AH1932" s="7"/>
      <c r="AI1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32" s="7"/>
      <c r="AK1932" t="s">
        <v>608</v>
      </c>
      <c r="AN1932">
        <f>IFERROR(INT(Table13[[#This Row],[reject_prod]]/Table13[[#This Row],[part_weight]] * 1000), 0)</f>
        <v>150</v>
      </c>
    </row>
    <row r="1933" spans="1:40" hidden="1">
      <c r="A1933" s="1">
        <v>46080</v>
      </c>
      <c r="B1933">
        <v>1</v>
      </c>
      <c r="C1933">
        <v>6</v>
      </c>
      <c r="D1933" t="s">
        <v>33</v>
      </c>
      <c r="E1933" t="s">
        <v>34</v>
      </c>
      <c r="F1933">
        <v>597509</v>
      </c>
      <c r="G1933" s="6">
        <v>0</v>
      </c>
      <c r="H1933" t="s">
        <v>1032</v>
      </c>
      <c r="I1933">
        <v>10688093</v>
      </c>
      <c r="J1933">
        <v>4</v>
      </c>
      <c r="K1933">
        <v>24.9</v>
      </c>
      <c r="L1933">
        <v>24.9</v>
      </c>
      <c r="M1933">
        <v>510</v>
      </c>
      <c r="N1933" s="2">
        <v>15600</v>
      </c>
      <c r="O1933" s="2">
        <v>0</v>
      </c>
      <c r="P1933" s="2">
        <v>1872</v>
      </c>
      <c r="Q1933" s="2">
        <v>2040</v>
      </c>
      <c r="R1933" s="2">
        <v>0</v>
      </c>
      <c r="S1933">
        <v>0</v>
      </c>
      <c r="T1933" s="2">
        <v>1872</v>
      </c>
      <c r="U1933" s="2">
        <v>13728</v>
      </c>
      <c r="V1933">
        <v>50.795999999999999</v>
      </c>
      <c r="W1933">
        <v>0</v>
      </c>
      <c r="X1933">
        <v>8</v>
      </c>
      <c r="Y1933">
        <v>0.15749271596188677</v>
      </c>
      <c r="Z1933">
        <v>1.5</v>
      </c>
      <c r="AA1933">
        <v>2.9529884242853768E-2</v>
      </c>
      <c r="AB1933">
        <v>21.5</v>
      </c>
      <c r="AC1933">
        <v>3.0458333333333334</v>
      </c>
      <c r="AD1933">
        <v>20</v>
      </c>
      <c r="AE1933" s="7"/>
      <c r="AF1933" s="7"/>
      <c r="AG1933" s="7"/>
      <c r="AH1933" s="7"/>
      <c r="AI1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8.9541666666666657</v>
      </c>
      <c r="AJ1933" s="7"/>
      <c r="AK1933" t="s">
        <v>1040</v>
      </c>
      <c r="AL1933">
        <v>9</v>
      </c>
      <c r="AM1933">
        <v>6</v>
      </c>
      <c r="AN1933">
        <f>IFERROR(INT(Table13[[#This Row],[reject_prod]]/Table13[[#This Row],[part_weight]] * 1000), 0)</f>
        <v>60</v>
      </c>
    </row>
    <row r="1934" spans="1:40" hidden="1">
      <c r="A1934" s="1">
        <v>46080</v>
      </c>
      <c r="B1934">
        <v>1</v>
      </c>
      <c r="C1934">
        <v>7</v>
      </c>
      <c r="D1934" t="s">
        <v>1003</v>
      </c>
      <c r="E1934" t="s">
        <v>34</v>
      </c>
      <c r="F1934">
        <v>324165</v>
      </c>
      <c r="G1934" s="6">
        <v>0</v>
      </c>
      <c r="H1934" t="s">
        <v>44</v>
      </c>
      <c r="I1934">
        <v>10687137</v>
      </c>
      <c r="J1934">
        <v>4</v>
      </c>
      <c r="K1934">
        <v>32.56</v>
      </c>
      <c r="L1934">
        <v>33</v>
      </c>
      <c r="M1934">
        <v>1810</v>
      </c>
      <c r="N1934" s="2">
        <v>104192</v>
      </c>
      <c r="O1934" s="2">
        <v>3256</v>
      </c>
      <c r="P1934" s="2">
        <v>3256</v>
      </c>
      <c r="Q1934" s="2">
        <v>7240</v>
      </c>
      <c r="R1934" s="2">
        <v>7104</v>
      </c>
      <c r="S1934">
        <v>234.43199999999999</v>
      </c>
      <c r="T1934" s="2">
        <v>95608</v>
      </c>
      <c r="U1934" s="2">
        <v>8584</v>
      </c>
      <c r="V1934">
        <v>238.92</v>
      </c>
      <c r="W1934">
        <v>0</v>
      </c>
      <c r="X1934">
        <v>0</v>
      </c>
      <c r="Y1934">
        <v>0</v>
      </c>
      <c r="Z1934">
        <v>7.8</v>
      </c>
      <c r="AA1934">
        <v>3.2646911099949778E-2</v>
      </c>
      <c r="AB1934">
        <v>22.8</v>
      </c>
      <c r="AC1934">
        <v>11.463333333333333</v>
      </c>
      <c r="AD1934">
        <v>22</v>
      </c>
      <c r="AE1934" s="7"/>
      <c r="AF1934" s="7"/>
      <c r="AG1934" s="7"/>
      <c r="AH1934" s="7"/>
      <c r="AI1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0.53666666666666707</v>
      </c>
      <c r="AJ1934" s="7"/>
      <c r="AK1934" t="s">
        <v>79</v>
      </c>
      <c r="AN1934">
        <f>IFERROR(INT(Table13[[#This Row],[reject_prod]]/Table13[[#This Row],[part_weight]] * 1000), 0)</f>
        <v>236</v>
      </c>
    </row>
    <row r="1935" spans="1:40" hidden="1">
      <c r="A1935" s="1">
        <v>46080</v>
      </c>
      <c r="B1935">
        <v>1</v>
      </c>
      <c r="C1935">
        <v>8</v>
      </c>
      <c r="D1935" t="s">
        <v>1041</v>
      </c>
      <c r="E1935" t="s">
        <v>41</v>
      </c>
      <c r="F1935">
        <v>593537</v>
      </c>
      <c r="G1935" s="6">
        <v>0</v>
      </c>
      <c r="H1935" t="s">
        <v>48</v>
      </c>
      <c r="I1935">
        <v>10688067</v>
      </c>
      <c r="J1935">
        <v>4</v>
      </c>
      <c r="K1935">
        <v>56.5</v>
      </c>
      <c r="L1935">
        <v>56.8</v>
      </c>
      <c r="M1935">
        <v>1430</v>
      </c>
      <c r="N1935" s="2">
        <v>69000</v>
      </c>
      <c r="O1935" s="2">
        <v>230</v>
      </c>
      <c r="P1935" s="2">
        <v>230</v>
      </c>
      <c r="Q1935" s="2">
        <v>5720</v>
      </c>
      <c r="R1935" s="2">
        <v>5750</v>
      </c>
      <c r="S1935">
        <v>326.60000000000002</v>
      </c>
      <c r="T1935" s="2">
        <v>51405</v>
      </c>
      <c r="U1935" s="2">
        <v>17595</v>
      </c>
      <c r="V1935">
        <v>324.89600000000002</v>
      </c>
      <c r="W1935">
        <v>0</v>
      </c>
      <c r="X1935">
        <v>0</v>
      </c>
      <c r="Y1935">
        <v>0</v>
      </c>
      <c r="Z1935">
        <v>1</v>
      </c>
      <c r="AA1935">
        <v>3.0779080074854722E-3</v>
      </c>
      <c r="AB1935">
        <v>30.5</v>
      </c>
      <c r="AC1935">
        <v>12</v>
      </c>
      <c r="AD1935">
        <v>28.5</v>
      </c>
      <c r="AE1935" s="7"/>
      <c r="AF1935" s="7"/>
      <c r="AG1935" s="7"/>
      <c r="AH1935" s="7"/>
      <c r="AI1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35" s="7"/>
      <c r="AK1935" t="s">
        <v>178</v>
      </c>
      <c r="AM1935">
        <v>3</v>
      </c>
      <c r="AN1935">
        <f>IFERROR(INT(Table13[[#This Row],[reject_prod]]/Table13[[#This Row],[part_weight]] * 1000), 0)</f>
        <v>17</v>
      </c>
    </row>
    <row r="1936" spans="1:40" hidden="1">
      <c r="A1936" s="1">
        <v>46080</v>
      </c>
      <c r="B1936">
        <v>1</v>
      </c>
      <c r="C1936">
        <v>9</v>
      </c>
      <c r="D1936" t="s">
        <v>124</v>
      </c>
      <c r="E1936" t="s">
        <v>46</v>
      </c>
      <c r="F1936">
        <v>586276</v>
      </c>
      <c r="G1936" s="6">
        <v>1</v>
      </c>
      <c r="H1936" t="s">
        <v>47</v>
      </c>
      <c r="I1936">
        <v>10686684</v>
      </c>
      <c r="J1936">
        <v>6</v>
      </c>
      <c r="K1936">
        <v>12.3</v>
      </c>
      <c r="L1936">
        <v>12.3</v>
      </c>
      <c r="M1936">
        <v>888</v>
      </c>
      <c r="N1936" s="2">
        <v>162000</v>
      </c>
      <c r="O1936" s="2">
        <v>2835</v>
      </c>
      <c r="P1936" s="2">
        <v>0</v>
      </c>
      <c r="Q1936" s="2">
        <v>5328</v>
      </c>
      <c r="R1936" s="2">
        <v>8100</v>
      </c>
      <c r="S1936">
        <v>99.63</v>
      </c>
      <c r="T1936" s="2">
        <v>162000</v>
      </c>
      <c r="U1936" s="2">
        <v>0</v>
      </c>
      <c r="V1936">
        <v>65.534400000000005</v>
      </c>
      <c r="W1936">
        <v>0</v>
      </c>
      <c r="X1936">
        <v>0</v>
      </c>
      <c r="Y1936">
        <v>0</v>
      </c>
      <c r="Z1936">
        <v>2</v>
      </c>
      <c r="AA1936">
        <v>3.0518323201250027E-2</v>
      </c>
      <c r="AB1936">
        <v>26.5</v>
      </c>
      <c r="AC1936">
        <v>6.5366666666666662</v>
      </c>
      <c r="AD1936">
        <v>26</v>
      </c>
      <c r="AE1936" s="7"/>
      <c r="AF1936" s="7"/>
      <c r="AG1936" s="7"/>
      <c r="AH1936" s="7"/>
      <c r="AI1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5.4633333333333338</v>
      </c>
      <c r="AJ1936" s="7"/>
      <c r="AK1936" t="s">
        <v>102</v>
      </c>
      <c r="AN1936">
        <f>IFERROR(INT(Table13[[#This Row],[reject_prod]]/Table13[[#This Row],[part_weight]] * 1000), 0)</f>
        <v>162</v>
      </c>
    </row>
    <row r="1937" spans="1:40" hidden="1">
      <c r="A1937" s="1">
        <v>46080</v>
      </c>
      <c r="B1937">
        <v>1</v>
      </c>
      <c r="C1937">
        <v>9</v>
      </c>
      <c r="D1937" t="s">
        <v>124</v>
      </c>
      <c r="E1937" t="s">
        <v>46</v>
      </c>
      <c r="F1937">
        <v>586276</v>
      </c>
      <c r="G1937" s="6">
        <v>1</v>
      </c>
      <c r="H1937" t="s">
        <v>47</v>
      </c>
      <c r="I1937">
        <v>10686685</v>
      </c>
      <c r="J1937">
        <v>6</v>
      </c>
      <c r="K1937">
        <v>12.3</v>
      </c>
      <c r="L1937">
        <v>12.3</v>
      </c>
      <c r="M1937">
        <v>743</v>
      </c>
      <c r="N1937" s="2">
        <v>162000</v>
      </c>
      <c r="O1937" s="2">
        <v>0</v>
      </c>
      <c r="P1937" s="2">
        <v>4455</v>
      </c>
      <c r="Q1937" s="2">
        <v>4458</v>
      </c>
      <c r="R1937" s="2">
        <v>0</v>
      </c>
      <c r="S1937">
        <v>0</v>
      </c>
      <c r="T1937" s="2">
        <v>4455</v>
      </c>
      <c r="U1937" s="2">
        <v>157545</v>
      </c>
      <c r="V1937">
        <v>54.833400000000005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26.5</v>
      </c>
      <c r="AC1937">
        <v>5.4693055555555556</v>
      </c>
      <c r="AD1937">
        <v>26</v>
      </c>
      <c r="AE1937" s="7"/>
      <c r="AF1937" s="7"/>
      <c r="AG1937" s="7"/>
      <c r="AH1937" s="7"/>
      <c r="AI1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6.5306944444444444</v>
      </c>
      <c r="AJ1937" s="7"/>
      <c r="AK1937" t="s">
        <v>51</v>
      </c>
      <c r="AN1937">
        <f>IFERROR(INT(Table13[[#This Row],[reject_prod]]/Table13[[#This Row],[part_weight]] * 1000), 0)</f>
        <v>0</v>
      </c>
    </row>
    <row r="1938" spans="1:40" hidden="1">
      <c r="A1938" s="1">
        <v>46080</v>
      </c>
      <c r="B1938">
        <v>1</v>
      </c>
      <c r="C1938">
        <v>10</v>
      </c>
      <c r="D1938" t="s">
        <v>208</v>
      </c>
      <c r="E1938" t="s">
        <v>34</v>
      </c>
      <c r="F1938">
        <v>323102</v>
      </c>
      <c r="G1938" s="6">
        <v>0</v>
      </c>
      <c r="H1938" t="s">
        <v>45</v>
      </c>
      <c r="I1938">
        <v>10688202</v>
      </c>
      <c r="J1938">
        <v>4</v>
      </c>
      <c r="K1938">
        <v>57</v>
      </c>
      <c r="L1938">
        <v>56.9</v>
      </c>
      <c r="M1938">
        <v>1400</v>
      </c>
      <c r="N1938" s="2">
        <v>38400</v>
      </c>
      <c r="O1938" s="2">
        <v>160</v>
      </c>
      <c r="P1938" s="2">
        <v>0</v>
      </c>
      <c r="Q1938" s="2">
        <v>5600</v>
      </c>
      <c r="R1938" s="2">
        <v>5760</v>
      </c>
      <c r="S1938">
        <v>327.74400000000003</v>
      </c>
      <c r="T1938" s="2">
        <v>25920</v>
      </c>
      <c r="U1938" s="2">
        <v>12480</v>
      </c>
      <c r="V1938">
        <v>318.64</v>
      </c>
      <c r="W1938">
        <v>0.56000000000000794</v>
      </c>
      <c r="X1938">
        <v>0</v>
      </c>
      <c r="Y1938">
        <v>0</v>
      </c>
      <c r="Z1938">
        <v>3.2</v>
      </c>
      <c r="AA1938">
        <v>1.0042681395932715E-2</v>
      </c>
      <c r="AB1938">
        <v>29.5</v>
      </c>
      <c r="AC1938">
        <v>11.472222222222223</v>
      </c>
      <c r="AD1938">
        <v>26</v>
      </c>
      <c r="AE1938" s="7"/>
      <c r="AF1938" s="7"/>
      <c r="AG1938" s="7"/>
      <c r="AH1938" s="7"/>
      <c r="AI1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0.52777777777777679</v>
      </c>
      <c r="AJ1938" s="7"/>
      <c r="AK1938" t="s">
        <v>75</v>
      </c>
      <c r="AN1938">
        <f>IFERROR(INT(Table13[[#This Row],[reject_prod]]/Table13[[#This Row],[part_weight]] * 1000), 0)</f>
        <v>56</v>
      </c>
    </row>
    <row r="1939" spans="1:40" hidden="1">
      <c r="A1939" s="1">
        <v>46080</v>
      </c>
      <c r="B1939">
        <v>1</v>
      </c>
      <c r="C1939">
        <v>11</v>
      </c>
      <c r="D1939" t="s">
        <v>59</v>
      </c>
      <c r="E1939" t="s">
        <v>46</v>
      </c>
      <c r="F1939">
        <v>552181</v>
      </c>
      <c r="G1939" s="6">
        <v>1</v>
      </c>
      <c r="H1939" t="s">
        <v>49</v>
      </c>
      <c r="I1939">
        <v>10688069</v>
      </c>
      <c r="J1939">
        <v>6</v>
      </c>
      <c r="K1939">
        <v>18.8</v>
      </c>
      <c r="L1939">
        <v>18.8</v>
      </c>
      <c r="M1939">
        <v>395</v>
      </c>
      <c r="N1939" s="2">
        <v>108000</v>
      </c>
      <c r="O1939" s="2">
        <v>2700</v>
      </c>
      <c r="P1939" s="2">
        <v>0</v>
      </c>
      <c r="Q1939" s="2">
        <v>2370</v>
      </c>
      <c r="R1939" s="2">
        <v>5400</v>
      </c>
      <c r="S1939">
        <v>101.52</v>
      </c>
      <c r="T1939" s="2">
        <v>108000</v>
      </c>
      <c r="U1939" s="2">
        <v>0</v>
      </c>
      <c r="V1939">
        <v>44.555999999999997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28.46</v>
      </c>
      <c r="AC1939">
        <v>3.1226944444444449</v>
      </c>
      <c r="AD1939">
        <v>27</v>
      </c>
      <c r="AE1939" s="7"/>
      <c r="AF1939" s="7"/>
      <c r="AG1939" s="7"/>
      <c r="AH1939" s="7"/>
      <c r="AI1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8.8773055555555551</v>
      </c>
      <c r="AJ1939" s="7"/>
      <c r="AK1939" t="s">
        <v>102</v>
      </c>
      <c r="AN1939">
        <f>IFERROR(INT(Table13[[#This Row],[reject_prod]]/Table13[[#This Row],[part_weight]] * 1000), 0)</f>
        <v>0</v>
      </c>
    </row>
    <row r="1940" spans="1:40" hidden="1">
      <c r="A1940" s="1">
        <v>46080</v>
      </c>
      <c r="B1940">
        <v>1</v>
      </c>
      <c r="C1940">
        <v>11</v>
      </c>
      <c r="D1940" t="s">
        <v>59</v>
      </c>
      <c r="E1940" t="s">
        <v>46</v>
      </c>
      <c r="F1940">
        <v>552181</v>
      </c>
      <c r="G1940" s="6">
        <v>1</v>
      </c>
      <c r="H1940" t="s">
        <v>49</v>
      </c>
      <c r="I1940">
        <v>10688069</v>
      </c>
      <c r="J1940">
        <v>6</v>
      </c>
      <c r="K1940">
        <v>18.8</v>
      </c>
      <c r="L1940">
        <v>18.8</v>
      </c>
      <c r="M1940">
        <v>1125</v>
      </c>
      <c r="N1940" s="2">
        <v>108000</v>
      </c>
      <c r="O1940" s="2">
        <v>0</v>
      </c>
      <c r="P1940" s="2">
        <v>1350</v>
      </c>
      <c r="Q1940" s="2">
        <v>6750</v>
      </c>
      <c r="R1940" s="2">
        <v>5400</v>
      </c>
      <c r="S1940">
        <v>101.52</v>
      </c>
      <c r="T1940" s="2">
        <v>0</v>
      </c>
      <c r="U1940" s="2">
        <v>108000</v>
      </c>
      <c r="V1940">
        <v>126.9</v>
      </c>
      <c r="W1940">
        <v>0</v>
      </c>
      <c r="X1940">
        <v>0</v>
      </c>
      <c r="Y1940">
        <v>0</v>
      </c>
      <c r="Z1940">
        <v>0.5</v>
      </c>
      <c r="AA1940">
        <v>3.9401103230890461E-3</v>
      </c>
      <c r="AB1940">
        <v>28.46</v>
      </c>
      <c r="AC1940">
        <v>8.8937500000000007</v>
      </c>
      <c r="AD1940">
        <v>27</v>
      </c>
      <c r="AE1940" s="7"/>
      <c r="AF1940" s="7"/>
      <c r="AG1940" s="7"/>
      <c r="AH1940" s="7"/>
      <c r="AI1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3.1062499999999993</v>
      </c>
      <c r="AJ1940" s="7"/>
      <c r="AK1940" t="s">
        <v>51</v>
      </c>
      <c r="AN1940">
        <f>IFERROR(INT(Table13[[#This Row],[reject_prod]]/Table13[[#This Row],[part_weight]] * 1000), 0)</f>
        <v>26</v>
      </c>
    </row>
    <row r="1941" spans="1:40" hidden="1">
      <c r="A1941" s="1">
        <v>46080</v>
      </c>
      <c r="B1941">
        <v>1</v>
      </c>
      <c r="C1941">
        <v>12</v>
      </c>
      <c r="D1941" t="s">
        <v>117</v>
      </c>
      <c r="E1941" t="s">
        <v>34</v>
      </c>
      <c r="F1941">
        <v>620599</v>
      </c>
      <c r="G1941" s="6">
        <v>0</v>
      </c>
      <c r="H1941" t="s">
        <v>50</v>
      </c>
      <c r="I1941">
        <v>10686675</v>
      </c>
      <c r="J1941">
        <v>4</v>
      </c>
      <c r="K1941">
        <v>55</v>
      </c>
      <c r="L1941">
        <v>55</v>
      </c>
      <c r="M1941">
        <v>57</v>
      </c>
      <c r="N1941" s="2">
        <v>72000</v>
      </c>
      <c r="O1941" s="2">
        <v>675</v>
      </c>
      <c r="P1941" s="2">
        <v>0</v>
      </c>
      <c r="Q1941" s="2">
        <v>228</v>
      </c>
      <c r="R1941" s="2">
        <v>900</v>
      </c>
      <c r="S1941">
        <v>49.5</v>
      </c>
      <c r="T1941" s="2">
        <v>72000</v>
      </c>
      <c r="U1941" s="2">
        <v>0</v>
      </c>
      <c r="V1941">
        <v>12.54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28.8</v>
      </c>
      <c r="AC1941">
        <v>0.45600000000000002</v>
      </c>
      <c r="AD1941">
        <v>28</v>
      </c>
      <c r="AE1941" s="7"/>
      <c r="AF1941" s="7"/>
      <c r="AG1941" s="7"/>
      <c r="AH1941" s="7"/>
      <c r="AI1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11.544</v>
      </c>
      <c r="AJ1941" s="7"/>
      <c r="AK1941" t="s">
        <v>102</v>
      </c>
      <c r="AN1941">
        <f>IFERROR(INT(Table13[[#This Row],[reject_prod]]/Table13[[#This Row],[part_weight]] * 1000), 0)</f>
        <v>0</v>
      </c>
    </row>
    <row r="1942" spans="1:40" hidden="1">
      <c r="A1942" s="1">
        <v>46080</v>
      </c>
      <c r="B1942">
        <v>1</v>
      </c>
      <c r="C1942">
        <v>12</v>
      </c>
      <c r="D1942" t="s">
        <v>117</v>
      </c>
      <c r="E1942" t="s">
        <v>34</v>
      </c>
      <c r="F1942">
        <v>620599</v>
      </c>
      <c r="G1942" s="6">
        <v>0</v>
      </c>
      <c r="H1942" t="s">
        <v>50</v>
      </c>
      <c r="I1942">
        <v>10688071</v>
      </c>
      <c r="J1942">
        <v>4</v>
      </c>
      <c r="K1942">
        <v>55</v>
      </c>
      <c r="L1942">
        <v>55</v>
      </c>
      <c r="M1942">
        <v>1438</v>
      </c>
      <c r="N1942" s="2">
        <v>72000</v>
      </c>
      <c r="O1942" s="2">
        <v>0</v>
      </c>
      <c r="P1942" s="2">
        <v>1350</v>
      </c>
      <c r="Q1942" s="2">
        <v>5752</v>
      </c>
      <c r="R1942" s="2">
        <v>4500</v>
      </c>
      <c r="S1942">
        <v>247.5</v>
      </c>
      <c r="T1942" s="2">
        <v>5850</v>
      </c>
      <c r="U1942" s="2">
        <v>66150</v>
      </c>
      <c r="V1942">
        <v>316.36</v>
      </c>
      <c r="W1942">
        <v>0</v>
      </c>
      <c r="X1942">
        <v>0</v>
      </c>
      <c r="Y1942">
        <v>0</v>
      </c>
      <c r="Z1942">
        <v>2</v>
      </c>
      <c r="AA1942">
        <v>6.3219117461120241E-3</v>
      </c>
      <c r="AB1942">
        <v>28.8</v>
      </c>
      <c r="AC1942">
        <v>11.504</v>
      </c>
      <c r="AD1942">
        <v>28</v>
      </c>
      <c r="AE1942" s="7"/>
      <c r="AF1942" s="7"/>
      <c r="AG1942" s="7"/>
      <c r="AH1942" s="7"/>
      <c r="AI1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0.49600000000000044</v>
      </c>
      <c r="AJ1942" s="7"/>
      <c r="AK1942" t="s">
        <v>243</v>
      </c>
      <c r="AN1942">
        <f>IFERROR(INT(Table13[[#This Row],[reject_prod]]/Table13[[#This Row],[part_weight]] * 1000), 0)</f>
        <v>36</v>
      </c>
    </row>
    <row r="1943" spans="1:40" hidden="1">
      <c r="A1943" s="1">
        <v>46080</v>
      </c>
      <c r="B1943">
        <v>1</v>
      </c>
      <c r="C1943">
        <v>13</v>
      </c>
      <c r="D1943" t="s">
        <v>59</v>
      </c>
      <c r="E1943" t="s">
        <v>46</v>
      </c>
      <c r="F1943">
        <v>586276</v>
      </c>
      <c r="G1943" s="6">
        <v>2</v>
      </c>
      <c r="H1943" t="s">
        <v>47</v>
      </c>
      <c r="I1943">
        <v>10686677</v>
      </c>
      <c r="J1943">
        <v>6</v>
      </c>
      <c r="K1943">
        <v>12.3</v>
      </c>
      <c r="L1943">
        <v>12.3</v>
      </c>
      <c r="M1943">
        <v>1580</v>
      </c>
      <c r="N1943" s="2">
        <v>162000</v>
      </c>
      <c r="O1943" s="2">
        <v>0</v>
      </c>
      <c r="P1943" s="2">
        <v>810</v>
      </c>
      <c r="Q1943" s="2">
        <v>9480</v>
      </c>
      <c r="R1943" s="2">
        <v>8100</v>
      </c>
      <c r="S1943">
        <v>99.63</v>
      </c>
      <c r="T1943" s="2">
        <v>130410</v>
      </c>
      <c r="U1943" s="2">
        <v>31590</v>
      </c>
      <c r="V1943">
        <v>116.604</v>
      </c>
      <c r="W1943">
        <v>0</v>
      </c>
      <c r="X1943">
        <v>0</v>
      </c>
      <c r="Y1943">
        <v>0</v>
      </c>
      <c r="Z1943">
        <v>1</v>
      </c>
      <c r="AA1943">
        <v>8.5760351274398825E-3</v>
      </c>
      <c r="AB1943">
        <v>26.2</v>
      </c>
      <c r="AC1943">
        <v>11.498888888888889</v>
      </c>
      <c r="AD1943">
        <v>26</v>
      </c>
      <c r="AE1943" s="7"/>
      <c r="AF1943" s="7"/>
      <c r="AG1943" s="7"/>
      <c r="AH1943" s="7"/>
      <c r="AI1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1943" s="7"/>
      <c r="AK1943" t="s">
        <v>1042</v>
      </c>
      <c r="AL1943">
        <v>3</v>
      </c>
      <c r="AM1943">
        <v>3</v>
      </c>
      <c r="AN1943">
        <f>IFERROR(INT(Table13[[#This Row],[reject_prod]]/Table13[[#This Row],[part_weight]] * 1000), 0)</f>
        <v>81</v>
      </c>
    </row>
    <row r="1944" spans="1:40" hidden="1">
      <c r="A1944" s="1">
        <v>46080</v>
      </c>
      <c r="B1944">
        <v>1</v>
      </c>
      <c r="C1944">
        <v>14</v>
      </c>
      <c r="D1944" t="s">
        <v>289</v>
      </c>
      <c r="E1944" t="s">
        <v>34</v>
      </c>
      <c r="F1944">
        <v>541381</v>
      </c>
      <c r="G1944" s="6">
        <v>0</v>
      </c>
      <c r="H1944" t="s">
        <v>804</v>
      </c>
      <c r="I1944">
        <v>10688072</v>
      </c>
      <c r="J1944">
        <v>4</v>
      </c>
      <c r="K1944">
        <v>55</v>
      </c>
      <c r="L1944">
        <v>55</v>
      </c>
      <c r="M1944">
        <v>1575</v>
      </c>
      <c r="N1944" s="2">
        <v>84000</v>
      </c>
      <c r="O1944" s="2">
        <v>0</v>
      </c>
      <c r="P1944" s="2">
        <v>0</v>
      </c>
      <c r="Q1944" s="2">
        <v>6300</v>
      </c>
      <c r="R1944" s="2">
        <v>6300</v>
      </c>
      <c r="S1944">
        <v>346.5</v>
      </c>
      <c r="T1944" s="2">
        <v>37800</v>
      </c>
      <c r="U1944" s="2">
        <v>46200</v>
      </c>
      <c r="V1944">
        <v>346.5</v>
      </c>
      <c r="W1944">
        <v>0</v>
      </c>
      <c r="X1944">
        <v>0</v>
      </c>
      <c r="Y1944">
        <v>0</v>
      </c>
      <c r="Z1944">
        <v>3.2</v>
      </c>
      <c r="AA1944">
        <v>9.2352092352092352E-3</v>
      </c>
      <c r="AB1944">
        <v>27.3</v>
      </c>
      <c r="AC1944">
        <v>11.94375</v>
      </c>
      <c r="AD1944">
        <v>30.08</v>
      </c>
      <c r="AE1944" s="7"/>
      <c r="AF1944" s="7"/>
      <c r="AG1944" s="7"/>
      <c r="AH1944" s="7"/>
      <c r="AI1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1944" s="7"/>
      <c r="AK1944" t="s">
        <v>178</v>
      </c>
      <c r="AN1944">
        <f>IFERROR(INT(Table13[[#This Row],[reject_prod]]/Table13[[#This Row],[part_weight]] * 1000), 0)</f>
        <v>58</v>
      </c>
    </row>
    <row r="1945" spans="1:40" hidden="1">
      <c r="A1945" s="1">
        <v>46080</v>
      </c>
      <c r="B1945">
        <v>1</v>
      </c>
      <c r="C1945">
        <v>15</v>
      </c>
      <c r="D1945" t="s">
        <v>59</v>
      </c>
      <c r="E1945" t="s">
        <v>46</v>
      </c>
      <c r="F1945">
        <v>552181</v>
      </c>
      <c r="G1945" s="6">
        <v>2</v>
      </c>
      <c r="H1945" t="s">
        <v>49</v>
      </c>
      <c r="I1945">
        <v>10686679</v>
      </c>
      <c r="J1945">
        <v>6</v>
      </c>
      <c r="K1945">
        <v>18.8</v>
      </c>
      <c r="L1945">
        <v>18.8</v>
      </c>
      <c r="M1945">
        <v>1395</v>
      </c>
      <c r="N1945" s="2">
        <v>108000</v>
      </c>
      <c r="O1945" s="2">
        <v>270</v>
      </c>
      <c r="P1945" s="2">
        <v>3240</v>
      </c>
      <c r="Q1945" s="2">
        <v>8370</v>
      </c>
      <c r="R1945" s="2">
        <v>5400</v>
      </c>
      <c r="S1945">
        <v>101.52</v>
      </c>
      <c r="T1945" s="2">
        <v>57240</v>
      </c>
      <c r="U1945" s="2">
        <v>50760</v>
      </c>
      <c r="V1945">
        <v>157.35599999999999</v>
      </c>
      <c r="W1945">
        <v>0</v>
      </c>
      <c r="X1945">
        <v>0</v>
      </c>
      <c r="Y1945">
        <v>0</v>
      </c>
      <c r="Z1945">
        <v>1</v>
      </c>
      <c r="AA1945">
        <v>6.3550166501436236E-3</v>
      </c>
      <c r="AB1945">
        <v>30.6</v>
      </c>
      <c r="AC1945">
        <v>11.857500000000002</v>
      </c>
      <c r="AD1945">
        <v>27</v>
      </c>
      <c r="AE1945" s="7"/>
      <c r="AF1945" s="7"/>
      <c r="AG1945" s="7"/>
      <c r="AH1945" s="7"/>
      <c r="AI1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0.14249999999999829</v>
      </c>
      <c r="AJ1945" s="7"/>
      <c r="AK1945" t="s">
        <v>51</v>
      </c>
      <c r="AL1945">
        <v>3</v>
      </c>
      <c r="AM1945">
        <v>2</v>
      </c>
      <c r="AN1945">
        <f>IFERROR(INT(Table13[[#This Row],[reject_prod]]/Table13[[#This Row],[part_weight]] * 1000), 0)</f>
        <v>53</v>
      </c>
    </row>
    <row r="1946" spans="1:40" s="4" customFormat="1" hidden="1">
      <c r="A1946" s="3">
        <v>46080</v>
      </c>
      <c r="B1946" s="4">
        <v>1</v>
      </c>
      <c r="C1946" s="4">
        <v>16</v>
      </c>
      <c r="D1946" s="4" t="s">
        <v>966</v>
      </c>
      <c r="E1946" s="4" t="s">
        <v>46</v>
      </c>
      <c r="F1946" s="4">
        <v>555979</v>
      </c>
      <c r="G1946" s="9">
        <v>2</v>
      </c>
      <c r="H1946" s="4" t="s">
        <v>52</v>
      </c>
      <c r="I1946" s="4">
        <v>10686701</v>
      </c>
      <c r="J1946" s="4">
        <v>6</v>
      </c>
      <c r="K1946" s="4">
        <v>28</v>
      </c>
      <c r="L1946" s="4">
        <v>28</v>
      </c>
      <c r="M1946" s="4">
        <v>985</v>
      </c>
      <c r="N1946" s="5">
        <v>100800</v>
      </c>
      <c r="O1946" s="5">
        <v>672</v>
      </c>
      <c r="P1946" s="5">
        <v>6048</v>
      </c>
      <c r="Q1946" s="5">
        <v>5910</v>
      </c>
      <c r="R1946" s="5">
        <v>0</v>
      </c>
      <c r="S1946" s="4">
        <v>0</v>
      </c>
      <c r="T1946" s="5">
        <v>56448</v>
      </c>
      <c r="U1946" s="5">
        <v>44352</v>
      </c>
      <c r="V1946" s="4">
        <v>165.48</v>
      </c>
      <c r="W1946" s="4">
        <v>0</v>
      </c>
      <c r="X1946" s="4">
        <v>0</v>
      </c>
      <c r="Y1946" s="4">
        <v>0</v>
      </c>
      <c r="Z1946" s="4">
        <v>7.5</v>
      </c>
      <c r="AA1946" s="4">
        <v>4.5322697606961566E-2</v>
      </c>
      <c r="AB1946" s="4">
        <v>43.2</v>
      </c>
      <c r="AC1946" s="4">
        <v>11.82</v>
      </c>
      <c r="AD1946" s="4">
        <v>42</v>
      </c>
      <c r="AE1946" s="8"/>
      <c r="AF1946" s="8"/>
      <c r="AG1946" s="8"/>
      <c r="AH1946" s="8"/>
      <c r="AI194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946" s="8"/>
      <c r="AK1946" s="4" t="s">
        <v>1043</v>
      </c>
      <c r="AN1946">
        <f>IFERROR(INT(Table13[[#This Row],[reject_prod]]/Table13[[#This Row],[part_weight]] * 1000), 0)</f>
        <v>267</v>
      </c>
    </row>
    <row r="1947" spans="1:40" hidden="1">
      <c r="A1947" s="1">
        <v>46080</v>
      </c>
      <c r="B1947">
        <v>2</v>
      </c>
      <c r="C1947">
        <v>1</v>
      </c>
      <c r="D1947" t="s">
        <v>141</v>
      </c>
      <c r="E1947" t="s">
        <v>34</v>
      </c>
      <c r="F1947">
        <v>504598</v>
      </c>
      <c r="G1947" s="6">
        <v>0</v>
      </c>
      <c r="H1947" t="s">
        <v>1027</v>
      </c>
      <c r="I1947">
        <v>10688434</v>
      </c>
      <c r="J1947">
        <v>4</v>
      </c>
      <c r="K1947">
        <v>30.2</v>
      </c>
      <c r="L1947">
        <v>28</v>
      </c>
      <c r="M1947">
        <v>1281</v>
      </c>
      <c r="N1947" s="2">
        <v>10080</v>
      </c>
      <c r="O1947" s="2">
        <v>1344</v>
      </c>
      <c r="P1947" s="2">
        <v>2352</v>
      </c>
      <c r="Q1947" s="2">
        <v>5124</v>
      </c>
      <c r="R1947" s="2">
        <v>4032</v>
      </c>
      <c r="S1947">
        <v>112.896</v>
      </c>
      <c r="T1947" s="2">
        <v>6384</v>
      </c>
      <c r="U1947" s="2">
        <v>3696</v>
      </c>
      <c r="V1947">
        <v>143.47200000000001</v>
      </c>
      <c r="W1947">
        <v>11.272799999999995</v>
      </c>
      <c r="X1947">
        <v>0</v>
      </c>
      <c r="Y1947">
        <v>0</v>
      </c>
      <c r="Z1947">
        <v>2.5</v>
      </c>
      <c r="AA1947">
        <v>1.7425002788000445E-2</v>
      </c>
      <c r="AB1947">
        <v>27</v>
      </c>
      <c r="AC1947">
        <v>9.6074999999999999</v>
      </c>
      <c r="AD1947">
        <v>22.24</v>
      </c>
      <c r="AE1947" s="7"/>
      <c r="AF1947" s="7"/>
      <c r="AG1947" s="7"/>
      <c r="AH1947" s="7"/>
      <c r="AI1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2.3925000000000001</v>
      </c>
      <c r="AJ1947" s="7"/>
      <c r="AK1947" t="s">
        <v>1044</v>
      </c>
      <c r="AN1947">
        <f>IFERROR(INT(Table13[[#This Row],[reject_prod]]/Table13[[#This Row],[part_weight]] * 1000), 0)</f>
        <v>89</v>
      </c>
    </row>
    <row r="1948" spans="1:40" hidden="1">
      <c r="A1948" s="1">
        <v>46080</v>
      </c>
      <c r="B1948">
        <v>2</v>
      </c>
      <c r="C1948">
        <v>2</v>
      </c>
      <c r="D1948" t="s">
        <v>69</v>
      </c>
      <c r="E1948" t="s">
        <v>34</v>
      </c>
      <c r="F1948">
        <v>543590</v>
      </c>
      <c r="G1948" s="6">
        <v>0</v>
      </c>
      <c r="H1948" t="s">
        <v>913</v>
      </c>
      <c r="I1948">
        <v>10687749</v>
      </c>
      <c r="J1948">
        <v>4</v>
      </c>
      <c r="K1948">
        <v>19</v>
      </c>
      <c r="L1948">
        <v>19</v>
      </c>
      <c r="M1948">
        <v>2169</v>
      </c>
      <c r="N1948" s="2">
        <v>132440</v>
      </c>
      <c r="O1948" s="2">
        <v>0</v>
      </c>
      <c r="P1948" s="2">
        <v>1232</v>
      </c>
      <c r="Q1948" s="2">
        <v>8676</v>
      </c>
      <c r="R1948" s="2">
        <v>7392</v>
      </c>
      <c r="S1948">
        <v>140.44800000000001</v>
      </c>
      <c r="T1948" s="2">
        <v>112112</v>
      </c>
      <c r="U1948" s="2">
        <v>20328</v>
      </c>
      <c r="V1948">
        <v>164.84399999999999</v>
      </c>
      <c r="W1948">
        <v>0</v>
      </c>
      <c r="X1948">
        <v>0</v>
      </c>
      <c r="Y1948">
        <v>0</v>
      </c>
      <c r="Z1948">
        <v>1</v>
      </c>
      <c r="AA1948">
        <v>6.0663415107616902E-3</v>
      </c>
      <c r="AB1948">
        <v>19.7</v>
      </c>
      <c r="AC1948">
        <v>11.869249999999999</v>
      </c>
      <c r="AD1948">
        <v>18.72</v>
      </c>
      <c r="AE1948" s="7"/>
      <c r="AF1948" s="7"/>
      <c r="AG1948" s="7"/>
      <c r="AH1948" s="7"/>
      <c r="AI1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0.13075000000000081</v>
      </c>
      <c r="AJ1948" s="7"/>
      <c r="AK1948" t="s">
        <v>193</v>
      </c>
      <c r="AN1948">
        <f>IFERROR(INT(Table13[[#This Row],[reject_prod]]/Table13[[#This Row],[part_weight]] * 1000), 0)</f>
        <v>52</v>
      </c>
    </row>
    <row r="1949" spans="1:40" hidden="1">
      <c r="A1949" s="1">
        <v>46080</v>
      </c>
      <c r="B1949">
        <v>2</v>
      </c>
      <c r="C1949">
        <v>3</v>
      </c>
      <c r="D1949" t="s">
        <v>67</v>
      </c>
      <c r="E1949" t="s">
        <v>34</v>
      </c>
      <c r="F1949">
        <v>442034</v>
      </c>
      <c r="G1949" s="6">
        <v>0</v>
      </c>
      <c r="H1949" t="s">
        <v>37</v>
      </c>
      <c r="I1949">
        <v>10685634</v>
      </c>
      <c r="J1949">
        <v>4</v>
      </c>
      <c r="K1949">
        <v>23</v>
      </c>
      <c r="L1949">
        <v>23</v>
      </c>
      <c r="M1949">
        <v>1493</v>
      </c>
      <c r="N1949" s="2">
        <v>139776</v>
      </c>
      <c r="O1949" s="2">
        <v>960</v>
      </c>
      <c r="P1949" s="2">
        <v>2304</v>
      </c>
      <c r="Q1949" s="2">
        <v>5972</v>
      </c>
      <c r="R1949" s="2">
        <v>4608</v>
      </c>
      <c r="S1949">
        <v>105.98399999999999</v>
      </c>
      <c r="T1949" s="2">
        <v>108288</v>
      </c>
      <c r="U1949" s="2">
        <v>31488</v>
      </c>
      <c r="V1949">
        <v>137.35599999999999</v>
      </c>
      <c r="W1949">
        <v>0</v>
      </c>
      <c r="X1949">
        <v>0</v>
      </c>
      <c r="Y1949">
        <v>0</v>
      </c>
      <c r="Z1949">
        <v>0.5</v>
      </c>
      <c r="AA1949">
        <v>3.6401758932991645E-3</v>
      </c>
      <c r="AB1949">
        <v>28.5</v>
      </c>
      <c r="AC1949">
        <v>11.819583333333334</v>
      </c>
      <c r="AD1949">
        <v>22</v>
      </c>
      <c r="AE1949" s="7"/>
      <c r="AF1949" s="7"/>
      <c r="AG1949" s="7"/>
      <c r="AH1949" s="7"/>
      <c r="AI1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0.180416666666666</v>
      </c>
      <c r="AJ1949" s="7"/>
      <c r="AK1949" t="s">
        <v>214</v>
      </c>
      <c r="AN1949">
        <f>IFERROR(INT(Table13[[#This Row],[reject_prod]]/Table13[[#This Row],[part_weight]] * 1000), 0)</f>
        <v>21</v>
      </c>
    </row>
    <row r="1950" spans="1:40" hidden="1">
      <c r="A1950" s="1">
        <v>46080</v>
      </c>
      <c r="B1950">
        <v>2</v>
      </c>
      <c r="C1950">
        <v>4</v>
      </c>
      <c r="D1950" t="s">
        <v>143</v>
      </c>
      <c r="E1950" t="s">
        <v>34</v>
      </c>
      <c r="F1950">
        <v>451191</v>
      </c>
      <c r="G1950" s="6">
        <v>0</v>
      </c>
      <c r="H1950" t="s">
        <v>946</v>
      </c>
      <c r="I1950">
        <v>10688499</v>
      </c>
      <c r="J1950">
        <v>4</v>
      </c>
      <c r="K1950">
        <v>29</v>
      </c>
      <c r="L1950">
        <v>29</v>
      </c>
      <c r="M1950">
        <v>1666</v>
      </c>
      <c r="N1950" s="2">
        <v>14850</v>
      </c>
      <c r="O1950" s="2">
        <v>297</v>
      </c>
      <c r="P1950" s="2">
        <v>3267</v>
      </c>
      <c r="Q1950" s="2">
        <v>6664</v>
      </c>
      <c r="R1950" s="2">
        <v>3564</v>
      </c>
      <c r="S1950">
        <v>103.35599999999999</v>
      </c>
      <c r="T1950" s="2">
        <v>6632</v>
      </c>
      <c r="U1950" s="2">
        <v>8218</v>
      </c>
      <c r="V1950">
        <v>193.256</v>
      </c>
      <c r="W1950">
        <v>0</v>
      </c>
      <c r="X1950">
        <v>0</v>
      </c>
      <c r="Y1950">
        <v>0</v>
      </c>
      <c r="Z1950">
        <v>3.7</v>
      </c>
      <c r="AA1950">
        <v>1.9145589270190836E-2</v>
      </c>
      <c r="AB1950">
        <v>25.6</v>
      </c>
      <c r="AC1950">
        <v>11.847111111111111</v>
      </c>
      <c r="AD1950">
        <v>24</v>
      </c>
      <c r="AE1950" s="7"/>
      <c r="AF1950" s="7"/>
      <c r="AG1950" s="7"/>
      <c r="AH1950" s="7"/>
      <c r="AI1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0.15288888888888863</v>
      </c>
      <c r="AJ1950" s="7"/>
      <c r="AK1950" t="s">
        <v>705</v>
      </c>
      <c r="AN1950">
        <f>IFERROR(INT(Table13[[#This Row],[reject_prod]]/Table13[[#This Row],[part_weight]] * 1000), 0)</f>
        <v>127</v>
      </c>
    </row>
    <row r="1951" spans="1:40" hidden="1">
      <c r="A1951" s="1">
        <v>46080</v>
      </c>
      <c r="B1951">
        <v>2</v>
      </c>
      <c r="C1951">
        <v>5</v>
      </c>
      <c r="D1951" t="s">
        <v>1045</v>
      </c>
      <c r="E1951" t="s">
        <v>34</v>
      </c>
      <c r="F1951">
        <v>322448</v>
      </c>
      <c r="G1951" s="6">
        <v>0</v>
      </c>
      <c r="H1951" t="s">
        <v>654</v>
      </c>
      <c r="I1951">
        <v>10687753</v>
      </c>
      <c r="J1951">
        <v>4</v>
      </c>
      <c r="K1951">
        <v>40</v>
      </c>
      <c r="L1951">
        <v>40</v>
      </c>
      <c r="M1951">
        <v>1642</v>
      </c>
      <c r="N1951" s="2">
        <v>174960</v>
      </c>
      <c r="O1951" s="2">
        <v>486</v>
      </c>
      <c r="P1951" s="2">
        <v>486</v>
      </c>
      <c r="Q1951" s="2">
        <v>6568</v>
      </c>
      <c r="R1951" s="2">
        <v>6480</v>
      </c>
      <c r="S1951">
        <v>259.2</v>
      </c>
      <c r="T1951" s="2">
        <v>32886</v>
      </c>
      <c r="U1951" s="2">
        <v>142074</v>
      </c>
      <c r="V1951">
        <v>262.72000000000003</v>
      </c>
      <c r="W1951">
        <v>0</v>
      </c>
      <c r="X1951">
        <v>0</v>
      </c>
      <c r="Y1951">
        <v>0</v>
      </c>
      <c r="Z1951">
        <v>3.5</v>
      </c>
      <c r="AA1951">
        <v>1.3322168087697928E-2</v>
      </c>
      <c r="AB1951">
        <v>26.2</v>
      </c>
      <c r="AC1951">
        <v>11.950111111111111</v>
      </c>
      <c r="AD1951">
        <v>23</v>
      </c>
      <c r="AE1951" s="7"/>
      <c r="AF1951" s="7"/>
      <c r="AG1951" s="7"/>
      <c r="AH1951" s="7"/>
      <c r="AI1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4.9888888888888872E-2</v>
      </c>
      <c r="AJ1951" s="7"/>
      <c r="AK1951" t="s">
        <v>608</v>
      </c>
      <c r="AN1951">
        <f>IFERROR(INT(Table13[[#This Row],[reject_prod]]/Table13[[#This Row],[part_weight]] * 1000), 0)</f>
        <v>87</v>
      </c>
    </row>
    <row r="1952" spans="1:40" hidden="1">
      <c r="A1952" s="1">
        <v>46080</v>
      </c>
      <c r="B1952">
        <v>2</v>
      </c>
      <c r="C1952">
        <v>6</v>
      </c>
      <c r="D1952" t="s">
        <v>1046</v>
      </c>
      <c r="E1952" t="s">
        <v>34</v>
      </c>
      <c r="F1952">
        <v>597509</v>
      </c>
      <c r="G1952" s="6">
        <v>0</v>
      </c>
      <c r="H1952" t="s">
        <v>1032</v>
      </c>
      <c r="I1952">
        <v>10688093</v>
      </c>
      <c r="J1952">
        <v>4</v>
      </c>
      <c r="K1952">
        <v>24.9</v>
      </c>
      <c r="L1952">
        <v>24.9</v>
      </c>
      <c r="M1952">
        <v>2024</v>
      </c>
      <c r="N1952" s="2">
        <v>15600</v>
      </c>
      <c r="O1952" s="2">
        <v>1872</v>
      </c>
      <c r="P1952" s="2">
        <v>468</v>
      </c>
      <c r="Q1952" s="2">
        <v>8096</v>
      </c>
      <c r="R1952" s="2">
        <v>9360</v>
      </c>
      <c r="S1952">
        <v>233.06399999999999</v>
      </c>
      <c r="T1952" s="2">
        <v>9828</v>
      </c>
      <c r="U1952" s="2">
        <v>5772</v>
      </c>
      <c r="V1952">
        <v>201.59039999999999</v>
      </c>
      <c r="W1952">
        <v>0</v>
      </c>
      <c r="X1952">
        <v>0</v>
      </c>
      <c r="Y1952">
        <v>0</v>
      </c>
      <c r="Z1952">
        <v>3.5</v>
      </c>
      <c r="AA1952">
        <v>1.7361937870057305E-2</v>
      </c>
      <c r="AB1952">
        <v>21</v>
      </c>
      <c r="AC1952">
        <v>11.806666666666667</v>
      </c>
      <c r="AD1952">
        <v>20</v>
      </c>
      <c r="AE1952" s="7"/>
      <c r="AF1952" s="7"/>
      <c r="AG1952" s="7"/>
      <c r="AH1952" s="7"/>
      <c r="AI1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0.19333333333333336</v>
      </c>
      <c r="AJ1952" s="7"/>
      <c r="AK1952" t="s">
        <v>1047</v>
      </c>
      <c r="AN1952">
        <f>IFERROR(INT(Table13[[#This Row],[reject_prod]]/Table13[[#This Row],[part_weight]] * 1000), 0)</f>
        <v>140</v>
      </c>
    </row>
    <row r="1953" spans="1:40" hidden="1">
      <c r="A1953" s="1">
        <v>46080</v>
      </c>
      <c r="B1953">
        <v>2</v>
      </c>
      <c r="C1953">
        <v>7</v>
      </c>
      <c r="D1953" t="s">
        <v>65</v>
      </c>
      <c r="E1953" t="s">
        <v>34</v>
      </c>
      <c r="F1953">
        <v>324165</v>
      </c>
      <c r="G1953" s="6">
        <v>0</v>
      </c>
      <c r="H1953" t="s">
        <v>44</v>
      </c>
      <c r="I1953">
        <v>10687137</v>
      </c>
      <c r="J1953">
        <v>4</v>
      </c>
      <c r="K1953">
        <v>32.56</v>
      </c>
      <c r="L1953">
        <v>33</v>
      </c>
      <c r="M1953">
        <v>1918</v>
      </c>
      <c r="N1953" s="2">
        <v>104192</v>
      </c>
      <c r="O1953" s="2">
        <v>3256</v>
      </c>
      <c r="P1953" s="2">
        <v>0</v>
      </c>
      <c r="Q1953" s="2">
        <v>7672</v>
      </c>
      <c r="R1953" s="2">
        <v>10656</v>
      </c>
      <c r="S1953">
        <v>351.64800000000002</v>
      </c>
      <c r="T1953" s="2">
        <v>103008</v>
      </c>
      <c r="U1953" s="2">
        <v>1184</v>
      </c>
      <c r="V1953">
        <v>253.17599999999999</v>
      </c>
      <c r="W1953">
        <v>0</v>
      </c>
      <c r="X1953">
        <v>0</v>
      </c>
      <c r="Y1953">
        <v>0</v>
      </c>
      <c r="Z1953">
        <v>9</v>
      </c>
      <c r="AA1953">
        <v>3.5548393212626789E-2</v>
      </c>
      <c r="AB1953">
        <v>22.8</v>
      </c>
      <c r="AC1953">
        <v>12</v>
      </c>
      <c r="AD1953">
        <v>22</v>
      </c>
      <c r="AE1953" s="7"/>
      <c r="AF1953" s="7"/>
      <c r="AG1953" s="7"/>
      <c r="AH1953" s="7"/>
      <c r="AI1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3" s="7"/>
      <c r="AK1953" t="s">
        <v>79</v>
      </c>
      <c r="AN1953">
        <f>IFERROR(INT(Table13[[#This Row],[reject_prod]]/Table13[[#This Row],[part_weight]] * 1000), 0)</f>
        <v>272</v>
      </c>
    </row>
    <row r="1954" spans="1:40" hidden="1">
      <c r="A1954" s="1">
        <v>46080</v>
      </c>
      <c r="B1954">
        <v>2</v>
      </c>
      <c r="C1954">
        <v>8</v>
      </c>
      <c r="D1954" t="s">
        <v>257</v>
      </c>
      <c r="E1954" t="s">
        <v>41</v>
      </c>
      <c r="F1954">
        <v>593537</v>
      </c>
      <c r="G1954" s="6">
        <v>0</v>
      </c>
      <c r="H1954" t="s">
        <v>48</v>
      </c>
      <c r="I1954">
        <v>10688067</v>
      </c>
      <c r="J1954">
        <v>4</v>
      </c>
      <c r="K1954">
        <v>56.5</v>
      </c>
      <c r="L1954">
        <v>56.8</v>
      </c>
      <c r="M1954">
        <v>1412</v>
      </c>
      <c r="N1954" s="2">
        <v>69000</v>
      </c>
      <c r="O1954" s="2">
        <v>230</v>
      </c>
      <c r="P1954" s="2">
        <v>115</v>
      </c>
      <c r="Q1954" s="2">
        <v>5648</v>
      </c>
      <c r="R1954" s="2">
        <v>5750</v>
      </c>
      <c r="S1954">
        <v>326.60000000000002</v>
      </c>
      <c r="T1954" s="2">
        <v>51290</v>
      </c>
      <c r="U1954" s="2">
        <v>17710</v>
      </c>
      <c r="V1954">
        <v>320.80639999999994</v>
      </c>
      <c r="W1954">
        <v>0</v>
      </c>
      <c r="X1954">
        <v>0</v>
      </c>
      <c r="Y1954">
        <v>0</v>
      </c>
      <c r="Z1954">
        <v>0.5</v>
      </c>
      <c r="AA1954">
        <v>1.5585723975581538E-3</v>
      </c>
      <c r="AB1954">
        <v>30.5</v>
      </c>
      <c r="AC1954">
        <v>11.962777777777779</v>
      </c>
      <c r="AD1954">
        <v>28.5</v>
      </c>
      <c r="AE1954" s="7"/>
      <c r="AF1954" s="7"/>
      <c r="AG1954" s="7"/>
      <c r="AH1954" s="7"/>
      <c r="AI1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3.7222222222220935E-2</v>
      </c>
      <c r="AJ1954" s="7"/>
      <c r="AK1954" t="s">
        <v>51</v>
      </c>
      <c r="AN1954">
        <f>IFERROR(INT(Table13[[#This Row],[reject_prod]]/Table13[[#This Row],[part_weight]] * 1000), 0)</f>
        <v>8</v>
      </c>
    </row>
    <row r="1955" spans="1:40" hidden="1">
      <c r="A1955" s="1">
        <v>46080</v>
      </c>
      <c r="B1955">
        <v>2</v>
      </c>
      <c r="C1955">
        <v>9</v>
      </c>
      <c r="D1955" t="s">
        <v>43</v>
      </c>
      <c r="E1955" t="s">
        <v>46</v>
      </c>
      <c r="F1955">
        <v>586276</v>
      </c>
      <c r="G1955" s="6">
        <v>1</v>
      </c>
      <c r="H1955" t="s">
        <v>47</v>
      </c>
      <c r="I1955">
        <v>10686685</v>
      </c>
      <c r="J1955">
        <v>6</v>
      </c>
      <c r="K1955">
        <v>12.3</v>
      </c>
      <c r="L1955">
        <v>12.3</v>
      </c>
      <c r="M1955">
        <v>1634</v>
      </c>
      <c r="N1955" s="2">
        <v>162000</v>
      </c>
      <c r="O1955" s="2">
        <v>4455</v>
      </c>
      <c r="P1955" s="2">
        <v>6075</v>
      </c>
      <c r="Q1955" s="2">
        <v>9804</v>
      </c>
      <c r="R1955" s="2">
        <v>8100</v>
      </c>
      <c r="S1955">
        <v>99.63</v>
      </c>
      <c r="T1955" s="2">
        <v>14175</v>
      </c>
      <c r="U1955" s="2">
        <v>147825</v>
      </c>
      <c r="V1955">
        <v>120.58920000000001</v>
      </c>
      <c r="W1955">
        <v>0</v>
      </c>
      <c r="X1955">
        <v>0</v>
      </c>
      <c r="Y1955">
        <v>0</v>
      </c>
      <c r="Z1955">
        <v>1</v>
      </c>
      <c r="AA1955">
        <v>8.2926165858965804E-3</v>
      </c>
      <c r="AB1955">
        <v>26.5</v>
      </c>
      <c r="AC1955">
        <v>12</v>
      </c>
      <c r="AD1955">
        <v>26</v>
      </c>
      <c r="AE1955" s="7"/>
      <c r="AF1955" s="7"/>
      <c r="AG1955" s="7"/>
      <c r="AH1955" s="7"/>
      <c r="AI1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5" s="7"/>
      <c r="AK1955" t="s">
        <v>51</v>
      </c>
      <c r="AN1955">
        <f>IFERROR(INT(Table13[[#This Row],[reject_prod]]/Table13[[#This Row],[part_weight]] * 1000), 0)</f>
        <v>81</v>
      </c>
    </row>
    <row r="1956" spans="1:40" hidden="1">
      <c r="A1956" s="1">
        <v>46080</v>
      </c>
      <c r="B1956">
        <v>2</v>
      </c>
      <c r="C1956">
        <v>10</v>
      </c>
      <c r="D1956" t="s">
        <v>40</v>
      </c>
      <c r="E1956" t="s">
        <v>34</v>
      </c>
      <c r="F1956">
        <v>323102</v>
      </c>
      <c r="G1956" s="6">
        <v>0</v>
      </c>
      <c r="H1956" t="s">
        <v>45</v>
      </c>
      <c r="I1956">
        <v>10688202</v>
      </c>
      <c r="J1956">
        <v>4</v>
      </c>
      <c r="K1956">
        <v>57</v>
      </c>
      <c r="L1956">
        <v>56.9</v>
      </c>
      <c r="M1956">
        <v>1451</v>
      </c>
      <c r="N1956" s="2">
        <v>38400</v>
      </c>
      <c r="O1956" s="2">
        <v>0</v>
      </c>
      <c r="P1956" s="2">
        <v>0</v>
      </c>
      <c r="Q1956" s="2">
        <v>5804</v>
      </c>
      <c r="R1956" s="2">
        <v>5760</v>
      </c>
      <c r="S1956">
        <v>327.74400000000003</v>
      </c>
      <c r="T1956" s="2">
        <v>31680</v>
      </c>
      <c r="U1956" s="2">
        <v>6720</v>
      </c>
      <c r="V1956">
        <v>330.24759999999998</v>
      </c>
      <c r="W1956">
        <v>0</v>
      </c>
      <c r="X1956">
        <v>0</v>
      </c>
      <c r="Y1956">
        <v>0</v>
      </c>
      <c r="Z1956">
        <v>2.5</v>
      </c>
      <c r="AA1956">
        <v>7.5700777235020037E-3</v>
      </c>
      <c r="AB1956">
        <v>29.7</v>
      </c>
      <c r="AC1956">
        <v>11.970750000000001</v>
      </c>
      <c r="AD1956">
        <v>26</v>
      </c>
      <c r="AE1956" s="7"/>
      <c r="AF1956" s="7"/>
      <c r="AG1956" s="7"/>
      <c r="AH1956" s="7"/>
      <c r="AI1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2.9249999999999332E-2</v>
      </c>
      <c r="AJ1956" s="7"/>
      <c r="AK1956" t="s">
        <v>75</v>
      </c>
      <c r="AN1956">
        <f>IFERROR(INT(Table13[[#This Row],[reject_prod]]/Table13[[#This Row],[part_weight]] * 1000), 0)</f>
        <v>43</v>
      </c>
    </row>
    <row r="1957" spans="1:40" hidden="1">
      <c r="A1957" s="1">
        <v>46080</v>
      </c>
      <c r="B1957">
        <v>2</v>
      </c>
      <c r="C1957">
        <v>11</v>
      </c>
      <c r="D1957" t="s">
        <v>149</v>
      </c>
      <c r="E1957" t="s">
        <v>46</v>
      </c>
      <c r="F1957">
        <v>552181</v>
      </c>
      <c r="G1957" s="6">
        <v>1</v>
      </c>
      <c r="H1957" t="s">
        <v>49</v>
      </c>
      <c r="I1957">
        <v>10688069</v>
      </c>
      <c r="J1957">
        <v>6</v>
      </c>
      <c r="K1957">
        <v>18.8</v>
      </c>
      <c r="L1957">
        <v>18.8</v>
      </c>
      <c r="M1957">
        <v>1524</v>
      </c>
      <c r="N1957" s="2">
        <v>108000</v>
      </c>
      <c r="O1957" s="2">
        <v>1350</v>
      </c>
      <c r="P1957" s="2">
        <v>4860</v>
      </c>
      <c r="Q1957" s="2">
        <v>9144</v>
      </c>
      <c r="R1957" s="2">
        <v>5400</v>
      </c>
      <c r="S1957">
        <v>101.52</v>
      </c>
      <c r="T1957" s="2">
        <v>15660</v>
      </c>
      <c r="U1957" s="2">
        <v>92340</v>
      </c>
      <c r="V1957">
        <v>171.90720000000002</v>
      </c>
      <c r="W1957">
        <v>0</v>
      </c>
      <c r="X1957">
        <v>0</v>
      </c>
      <c r="Y1957">
        <v>0</v>
      </c>
      <c r="Z1957">
        <v>2.5</v>
      </c>
      <c r="AA1957">
        <v>1.4542730031086538E-2</v>
      </c>
      <c r="AB1957">
        <v>28.46</v>
      </c>
      <c r="AC1957">
        <v>12</v>
      </c>
      <c r="AD1957">
        <v>27</v>
      </c>
      <c r="AE1957" s="7"/>
      <c r="AF1957" s="7"/>
      <c r="AG1957" s="7"/>
      <c r="AH1957" s="7"/>
      <c r="AI1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7" s="7"/>
      <c r="AK1957" t="s">
        <v>51</v>
      </c>
      <c r="AN1957">
        <f>IFERROR(INT(Table13[[#This Row],[reject_prod]]/Table13[[#This Row],[part_weight]] * 1000), 0)</f>
        <v>132</v>
      </c>
    </row>
    <row r="1958" spans="1:40" hidden="1">
      <c r="A1958" s="1">
        <v>46080</v>
      </c>
      <c r="B1958">
        <v>2</v>
      </c>
      <c r="C1958">
        <v>12</v>
      </c>
      <c r="D1958" t="s">
        <v>61</v>
      </c>
      <c r="E1958" t="s">
        <v>34</v>
      </c>
      <c r="F1958">
        <v>620599</v>
      </c>
      <c r="G1958" s="6">
        <v>0</v>
      </c>
      <c r="H1958" t="s">
        <v>50</v>
      </c>
      <c r="I1958">
        <v>10688071</v>
      </c>
      <c r="J1958">
        <v>4</v>
      </c>
      <c r="K1958">
        <v>55</v>
      </c>
      <c r="L1958">
        <v>55</v>
      </c>
      <c r="M1958">
        <v>1470</v>
      </c>
      <c r="N1958" s="2">
        <v>72000</v>
      </c>
      <c r="O1958" s="2">
        <v>1350</v>
      </c>
      <c r="P1958" s="2">
        <v>0</v>
      </c>
      <c r="Q1958" s="2">
        <v>5880</v>
      </c>
      <c r="R1958" s="2">
        <v>7200</v>
      </c>
      <c r="S1958">
        <v>396</v>
      </c>
      <c r="T1958" s="2">
        <v>11700</v>
      </c>
      <c r="U1958" s="2">
        <v>60300</v>
      </c>
      <c r="V1958">
        <v>323.39999999999998</v>
      </c>
      <c r="W1958">
        <v>0</v>
      </c>
      <c r="X1958">
        <v>0</v>
      </c>
      <c r="Y1958">
        <v>0</v>
      </c>
      <c r="Z1958">
        <v>1.5</v>
      </c>
      <c r="AA1958">
        <v>4.6382189239332098E-3</v>
      </c>
      <c r="AB1958">
        <v>28.8</v>
      </c>
      <c r="AC1958">
        <v>11.76</v>
      </c>
      <c r="AD1958">
        <v>28</v>
      </c>
      <c r="AE1958" s="7"/>
      <c r="AF1958" s="7"/>
      <c r="AG1958" s="7"/>
      <c r="AH1958" s="7"/>
      <c r="AI1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1958" s="7"/>
      <c r="AK1958" t="s">
        <v>178</v>
      </c>
      <c r="AN1958">
        <f>IFERROR(INT(Table13[[#This Row],[reject_prod]]/Table13[[#This Row],[part_weight]] * 1000), 0)</f>
        <v>27</v>
      </c>
    </row>
    <row r="1959" spans="1:40" hidden="1">
      <c r="A1959" s="1">
        <v>46080</v>
      </c>
      <c r="B1959">
        <v>2</v>
      </c>
      <c r="C1959">
        <v>13</v>
      </c>
      <c r="D1959" t="s">
        <v>149</v>
      </c>
      <c r="E1959" t="s">
        <v>46</v>
      </c>
      <c r="F1959">
        <v>586276</v>
      </c>
      <c r="G1959" s="6">
        <v>2</v>
      </c>
      <c r="H1959" t="s">
        <v>47</v>
      </c>
      <c r="I1959">
        <v>10686677</v>
      </c>
      <c r="J1959">
        <v>6</v>
      </c>
      <c r="K1959">
        <v>12.3</v>
      </c>
      <c r="L1959">
        <v>12.3</v>
      </c>
      <c r="M1959">
        <v>1588</v>
      </c>
      <c r="N1959" s="2">
        <v>162000</v>
      </c>
      <c r="O1959" s="2">
        <v>810</v>
      </c>
      <c r="P1959" s="2">
        <v>2025</v>
      </c>
      <c r="Q1959" s="2">
        <v>9528</v>
      </c>
      <c r="R1959" s="2">
        <v>8100</v>
      </c>
      <c r="S1959">
        <v>99.63</v>
      </c>
      <c r="T1959" s="2">
        <v>139725</v>
      </c>
      <c r="U1959" s="2">
        <v>22275</v>
      </c>
      <c r="V1959">
        <v>117.1944</v>
      </c>
      <c r="W1959">
        <v>0</v>
      </c>
      <c r="X1959">
        <v>0</v>
      </c>
      <c r="Y1959">
        <v>0</v>
      </c>
      <c r="Z1959">
        <v>2.5</v>
      </c>
      <c r="AA1959">
        <v>2.1332077300621873E-2</v>
      </c>
      <c r="AB1959">
        <v>26.2</v>
      </c>
      <c r="AC1959">
        <v>11.557111111111112</v>
      </c>
      <c r="AD1959">
        <v>26</v>
      </c>
      <c r="AE1959" s="7"/>
      <c r="AF1959" s="7"/>
      <c r="AG1959" s="7"/>
      <c r="AH1959" s="7"/>
      <c r="AI1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0.44288888888888778</v>
      </c>
      <c r="AJ1959" s="7"/>
      <c r="AK1959" t="s">
        <v>51</v>
      </c>
      <c r="AN1959">
        <f>IFERROR(INT(Table13[[#This Row],[reject_prod]]/Table13[[#This Row],[part_weight]] * 1000), 0)</f>
        <v>203</v>
      </c>
    </row>
    <row r="1960" spans="1:40" hidden="1">
      <c r="A1960" s="1">
        <v>46080</v>
      </c>
      <c r="B1960">
        <v>2</v>
      </c>
      <c r="C1960">
        <v>14</v>
      </c>
      <c r="D1960" t="s">
        <v>152</v>
      </c>
      <c r="E1960" t="s">
        <v>34</v>
      </c>
      <c r="F1960">
        <v>541381</v>
      </c>
      <c r="G1960" s="6">
        <v>0</v>
      </c>
      <c r="H1960" t="s">
        <v>804</v>
      </c>
      <c r="I1960">
        <v>10688072</v>
      </c>
      <c r="J1960">
        <v>4</v>
      </c>
      <c r="K1960">
        <v>55</v>
      </c>
      <c r="L1960">
        <v>55</v>
      </c>
      <c r="M1960">
        <v>1580</v>
      </c>
      <c r="N1960" s="2">
        <v>84000</v>
      </c>
      <c r="O1960" s="2">
        <v>0</v>
      </c>
      <c r="P1960" s="2">
        <v>675</v>
      </c>
      <c r="Q1960" s="2">
        <v>6320</v>
      </c>
      <c r="R1960" s="2">
        <v>5600</v>
      </c>
      <c r="S1960">
        <v>308</v>
      </c>
      <c r="T1960" s="2">
        <v>44075</v>
      </c>
      <c r="U1960" s="2">
        <v>39925</v>
      </c>
      <c r="V1960">
        <v>347.6</v>
      </c>
      <c r="W1960">
        <v>0</v>
      </c>
      <c r="X1960">
        <v>0</v>
      </c>
      <c r="Y1960">
        <v>0</v>
      </c>
      <c r="Z1960">
        <v>2.5</v>
      </c>
      <c r="AA1960">
        <v>7.1921749136939009E-3</v>
      </c>
      <c r="AB1960">
        <v>27.3</v>
      </c>
      <c r="AC1960">
        <v>11.981666666666667</v>
      </c>
      <c r="AD1960">
        <v>30.08</v>
      </c>
      <c r="AE1960" s="7"/>
      <c r="AF1960" s="7"/>
      <c r="AG1960" s="7"/>
      <c r="AH1960" s="7"/>
      <c r="AI1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1.8333333333332646E-2</v>
      </c>
      <c r="AJ1960" s="7"/>
      <c r="AK1960" t="s">
        <v>178</v>
      </c>
      <c r="AN1960">
        <f>IFERROR(INT(Table13[[#This Row],[reject_prod]]/Table13[[#This Row],[part_weight]] * 1000), 0)</f>
        <v>45</v>
      </c>
    </row>
    <row r="1961" spans="1:40" hidden="1">
      <c r="A1961" s="1">
        <v>46080</v>
      </c>
      <c r="B1961">
        <v>2</v>
      </c>
      <c r="C1961">
        <v>15</v>
      </c>
      <c r="D1961" t="s">
        <v>149</v>
      </c>
      <c r="E1961" t="s">
        <v>46</v>
      </c>
      <c r="F1961">
        <v>552181</v>
      </c>
      <c r="G1961" s="6">
        <v>2</v>
      </c>
      <c r="H1961" t="s">
        <v>49</v>
      </c>
      <c r="I1961">
        <v>10686679</v>
      </c>
      <c r="J1961">
        <v>6</v>
      </c>
      <c r="K1961">
        <v>18.8</v>
      </c>
      <c r="L1961">
        <v>18.8</v>
      </c>
      <c r="M1961">
        <v>1408</v>
      </c>
      <c r="N1961" s="2">
        <v>108000</v>
      </c>
      <c r="O1961" s="2">
        <v>3240</v>
      </c>
      <c r="P1961" s="2">
        <v>810</v>
      </c>
      <c r="Q1961" s="2">
        <v>8448</v>
      </c>
      <c r="R1961" s="2">
        <v>10800</v>
      </c>
      <c r="S1961">
        <v>203.04</v>
      </c>
      <c r="T1961" s="2">
        <v>65610</v>
      </c>
      <c r="U1961" s="2">
        <v>42390</v>
      </c>
      <c r="V1961">
        <v>158.82239999999999</v>
      </c>
      <c r="W1961">
        <v>0</v>
      </c>
      <c r="X1961">
        <v>0</v>
      </c>
      <c r="Y1961">
        <v>0</v>
      </c>
      <c r="Z1961">
        <v>1.5</v>
      </c>
      <c r="AA1961">
        <v>9.4445116054158607E-3</v>
      </c>
      <c r="AB1961">
        <v>30.6</v>
      </c>
      <c r="AC1961">
        <v>11.968</v>
      </c>
      <c r="AD1961">
        <v>27</v>
      </c>
      <c r="AE1961" s="7"/>
      <c r="AF1961" s="7"/>
      <c r="AG1961" s="7"/>
      <c r="AH1961" s="7"/>
      <c r="AI1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1961" s="7"/>
      <c r="AK1961" t="s">
        <v>51</v>
      </c>
      <c r="AN1961">
        <f>IFERROR(INT(Table13[[#This Row],[reject_prod]]/Table13[[#This Row],[part_weight]] * 1000), 0)</f>
        <v>79</v>
      </c>
    </row>
    <row r="1962" spans="1:40" s="4" customFormat="1" hidden="1">
      <c r="A1962" s="3">
        <v>46080</v>
      </c>
      <c r="B1962" s="4">
        <v>2</v>
      </c>
      <c r="C1962" s="4">
        <v>16</v>
      </c>
      <c r="D1962" s="4" t="s">
        <v>33</v>
      </c>
      <c r="E1962" s="4" t="s">
        <v>46</v>
      </c>
      <c r="F1962" s="4">
        <v>555979</v>
      </c>
      <c r="G1962" s="9">
        <v>2</v>
      </c>
      <c r="H1962" s="4" t="s">
        <v>52</v>
      </c>
      <c r="I1962" s="4">
        <v>10686701</v>
      </c>
      <c r="J1962" s="4">
        <v>6</v>
      </c>
      <c r="K1962" s="4">
        <v>28</v>
      </c>
      <c r="L1962" s="4">
        <v>28</v>
      </c>
      <c r="M1962" s="4">
        <v>0</v>
      </c>
      <c r="N1962" s="5">
        <v>100800</v>
      </c>
      <c r="O1962" s="5">
        <v>6048</v>
      </c>
      <c r="P1962" s="5">
        <v>6048</v>
      </c>
      <c r="Q1962" s="5">
        <v>0</v>
      </c>
      <c r="R1962" s="5">
        <v>0</v>
      </c>
      <c r="S1962" s="4">
        <v>0</v>
      </c>
      <c r="T1962" s="5">
        <v>56448</v>
      </c>
      <c r="U1962" s="5">
        <v>44352</v>
      </c>
      <c r="V1962" s="4">
        <v>0</v>
      </c>
      <c r="W1962" s="4">
        <v>0</v>
      </c>
      <c r="X1962" s="4">
        <v>0</v>
      </c>
      <c r="Y1962" s="4" t="e">
        <v>#DIV/0!</v>
      </c>
      <c r="Z1962" s="4">
        <v>16</v>
      </c>
      <c r="AA1962" s="4" t="e">
        <v>#DIV/0!</v>
      </c>
      <c r="AB1962" s="4">
        <v>43.2</v>
      </c>
      <c r="AC1962" s="4">
        <v>0</v>
      </c>
      <c r="AD1962" s="4">
        <v>42</v>
      </c>
      <c r="AE1962" s="8"/>
      <c r="AF1962" s="8"/>
      <c r="AG1962" s="8"/>
      <c r="AH1962" s="8"/>
      <c r="AI196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62" s="8"/>
      <c r="AK1962" s="4" t="s">
        <v>1048</v>
      </c>
      <c r="AN1962">
        <f>IFERROR(INT(Table13[[#This Row],[reject_prod]]/Table13[[#This Row],[part_weight]] * 1000), 0)</f>
        <v>571</v>
      </c>
    </row>
    <row r="1963" spans="1:40" hidden="1">
      <c r="A1963" s="1">
        <v>46081</v>
      </c>
      <c r="B1963">
        <v>1</v>
      </c>
      <c r="C1963">
        <v>1</v>
      </c>
      <c r="D1963" t="s">
        <v>84</v>
      </c>
      <c r="E1963" t="s">
        <v>34</v>
      </c>
      <c r="F1963">
        <v>504598</v>
      </c>
      <c r="G1963" s="6">
        <v>0</v>
      </c>
      <c r="H1963" t="s">
        <v>1027</v>
      </c>
      <c r="I1963">
        <v>10688434</v>
      </c>
      <c r="J1963">
        <v>4</v>
      </c>
      <c r="K1963">
        <v>30.2</v>
      </c>
      <c r="L1963">
        <v>28</v>
      </c>
      <c r="M1963">
        <v>930</v>
      </c>
      <c r="N1963" s="2">
        <v>10080</v>
      </c>
      <c r="O1963" s="2">
        <v>2352</v>
      </c>
      <c r="P1963" s="2">
        <v>0</v>
      </c>
      <c r="Q1963" s="2">
        <v>3720</v>
      </c>
      <c r="R1963" s="2">
        <v>6048</v>
      </c>
      <c r="S1963">
        <v>169.34399999999999</v>
      </c>
      <c r="T1963" s="2">
        <v>10080</v>
      </c>
      <c r="U1963" s="2">
        <v>0</v>
      </c>
      <c r="V1963">
        <v>104.16</v>
      </c>
      <c r="W1963">
        <v>8.1839999999999975</v>
      </c>
      <c r="X1963">
        <v>0</v>
      </c>
      <c r="Y1963">
        <v>0</v>
      </c>
      <c r="Z1963">
        <v>2.2999999999999998</v>
      </c>
      <c r="AA1963">
        <v>2.2081413210445468E-2</v>
      </c>
      <c r="AB1963">
        <v>27</v>
      </c>
      <c r="AC1963">
        <v>6.9749999999999996</v>
      </c>
      <c r="AD1963">
        <v>22.24</v>
      </c>
      <c r="AE1963" s="7"/>
      <c r="AF1963" s="7"/>
      <c r="AG1963" s="7"/>
      <c r="AH1963" s="7"/>
      <c r="AI1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5.0250000000000004</v>
      </c>
      <c r="AJ1963" s="7"/>
      <c r="AK1963" t="s">
        <v>102</v>
      </c>
      <c r="AN1963">
        <f>IFERROR(INT(Table13[[#This Row],[reject_prod]]/Table13[[#This Row],[part_weight]] * 1000), 0)</f>
        <v>82</v>
      </c>
    </row>
    <row r="1964" spans="1:40" hidden="1">
      <c r="A1964" s="1">
        <v>46081</v>
      </c>
      <c r="B1964">
        <v>1</v>
      </c>
      <c r="C1964">
        <v>2</v>
      </c>
      <c r="D1964" t="s">
        <v>56</v>
      </c>
      <c r="E1964" t="s">
        <v>34</v>
      </c>
      <c r="F1964">
        <v>543590</v>
      </c>
      <c r="G1964" s="6">
        <v>0</v>
      </c>
      <c r="H1964" t="s">
        <v>913</v>
      </c>
      <c r="I1964">
        <v>10687749</v>
      </c>
      <c r="J1964">
        <v>4</v>
      </c>
      <c r="K1964">
        <v>19</v>
      </c>
      <c r="L1964">
        <v>19</v>
      </c>
      <c r="M1964">
        <v>1850</v>
      </c>
      <c r="N1964" s="2">
        <v>132440</v>
      </c>
      <c r="O1964" s="2">
        <v>1232</v>
      </c>
      <c r="P1964" s="2">
        <v>1232</v>
      </c>
      <c r="Q1964" s="2">
        <v>7400</v>
      </c>
      <c r="R1964" s="2">
        <v>7392</v>
      </c>
      <c r="S1964">
        <v>140.44800000000001</v>
      </c>
      <c r="T1964" s="2">
        <v>119504</v>
      </c>
      <c r="U1964" s="2">
        <v>12936</v>
      </c>
      <c r="V1964">
        <v>140.6</v>
      </c>
      <c r="W1964">
        <v>0</v>
      </c>
      <c r="X1964">
        <v>0</v>
      </c>
      <c r="Y1964">
        <v>0</v>
      </c>
      <c r="Z1964">
        <v>1</v>
      </c>
      <c r="AA1964">
        <v>7.1123755334281651E-3</v>
      </c>
      <c r="AB1964">
        <v>19.7</v>
      </c>
      <c r="AC1964">
        <v>10.12361111111111</v>
      </c>
      <c r="AD1964">
        <v>18.72</v>
      </c>
      <c r="AE1964" s="7"/>
      <c r="AF1964" s="7"/>
      <c r="AG1964" s="7"/>
      <c r="AH1964" s="7"/>
      <c r="AI1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1.87638888888889</v>
      </c>
      <c r="AJ1964" s="7"/>
      <c r="AK1964" t="s">
        <v>193</v>
      </c>
      <c r="AN1964">
        <f>IFERROR(INT(Table13[[#This Row],[reject_prod]]/Table13[[#This Row],[part_weight]] * 1000), 0)</f>
        <v>52</v>
      </c>
    </row>
    <row r="1965" spans="1:40" hidden="1">
      <c r="A1965" s="1">
        <v>46081</v>
      </c>
      <c r="B1965">
        <v>1</v>
      </c>
      <c r="C1965">
        <v>3</v>
      </c>
      <c r="D1965" t="s">
        <v>1049</v>
      </c>
      <c r="E1965" t="s">
        <v>34</v>
      </c>
      <c r="F1965">
        <v>442034</v>
      </c>
      <c r="G1965" s="6">
        <v>0</v>
      </c>
      <c r="H1965" t="s">
        <v>37</v>
      </c>
      <c r="I1965">
        <v>10685634</v>
      </c>
      <c r="J1965">
        <v>4</v>
      </c>
      <c r="K1965">
        <v>23</v>
      </c>
      <c r="L1965">
        <v>23</v>
      </c>
      <c r="M1965">
        <v>1260</v>
      </c>
      <c r="N1965" s="2">
        <v>139776</v>
      </c>
      <c r="O1965" s="2">
        <v>2304</v>
      </c>
      <c r="P1965" s="2">
        <v>2688</v>
      </c>
      <c r="Q1965" s="2">
        <v>5040</v>
      </c>
      <c r="R1965" s="2">
        <v>4608</v>
      </c>
      <c r="S1965">
        <v>105.98399999999999</v>
      </c>
      <c r="T1965" s="2">
        <v>113280</v>
      </c>
      <c r="U1965" s="2">
        <v>26496</v>
      </c>
      <c r="V1965">
        <v>115.92</v>
      </c>
      <c r="W1965">
        <v>0</v>
      </c>
      <c r="X1965">
        <v>0</v>
      </c>
      <c r="Y1965">
        <v>0</v>
      </c>
      <c r="Z1965">
        <v>3.1</v>
      </c>
      <c r="AA1965">
        <v>2.6742581090407176E-2</v>
      </c>
      <c r="AB1965">
        <v>28.5</v>
      </c>
      <c r="AC1965">
        <v>9.9750000000000014</v>
      </c>
      <c r="AD1965">
        <v>22</v>
      </c>
      <c r="AE1965" s="7"/>
      <c r="AF1965" s="7"/>
      <c r="AG1965" s="7"/>
      <c r="AH1965" s="7"/>
      <c r="AI1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2.0249999999999986</v>
      </c>
      <c r="AJ1965" s="7"/>
      <c r="AK1965" t="s">
        <v>1022</v>
      </c>
      <c r="AN1965">
        <f>IFERROR(INT(Table13[[#This Row],[reject_prod]]/Table13[[#This Row],[part_weight]] * 1000), 0)</f>
        <v>134</v>
      </c>
    </row>
    <row r="1966" spans="1:40" hidden="1">
      <c r="A1966" s="1">
        <v>46081</v>
      </c>
      <c r="B1966">
        <v>1</v>
      </c>
      <c r="C1966">
        <v>4</v>
      </c>
      <c r="D1966" t="s">
        <v>897</v>
      </c>
      <c r="E1966" t="s">
        <v>34</v>
      </c>
      <c r="F1966">
        <v>451191</v>
      </c>
      <c r="G1966" s="6">
        <v>0</v>
      </c>
      <c r="H1966" t="s">
        <v>946</v>
      </c>
      <c r="I1966">
        <v>10688499</v>
      </c>
      <c r="J1966">
        <v>4</v>
      </c>
      <c r="K1966">
        <v>29</v>
      </c>
      <c r="L1966">
        <v>29</v>
      </c>
      <c r="M1966">
        <v>1230</v>
      </c>
      <c r="N1966" s="2">
        <v>14850</v>
      </c>
      <c r="O1966" s="2">
        <v>3267</v>
      </c>
      <c r="P1966" s="2">
        <v>594</v>
      </c>
      <c r="Q1966" s="2">
        <v>4920</v>
      </c>
      <c r="R1966" s="2">
        <v>7128</v>
      </c>
      <c r="S1966">
        <v>206.71199999999999</v>
      </c>
      <c r="T1966" s="2">
        <v>11286</v>
      </c>
      <c r="U1966" s="2">
        <v>3564</v>
      </c>
      <c r="V1966">
        <v>142.68</v>
      </c>
      <c r="W1966">
        <v>0</v>
      </c>
      <c r="X1966">
        <v>0</v>
      </c>
      <c r="Y1966">
        <v>0</v>
      </c>
      <c r="Z1966">
        <v>15</v>
      </c>
      <c r="AA1966">
        <v>0.10513036164844407</v>
      </c>
      <c r="AB1966">
        <v>25.6</v>
      </c>
      <c r="AC1966">
        <v>8.7466666666666679</v>
      </c>
      <c r="AD1966">
        <v>24</v>
      </c>
      <c r="AE1966" s="7"/>
      <c r="AF1966" s="7"/>
      <c r="AG1966" s="7"/>
      <c r="AH1966" s="7"/>
      <c r="AI1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3.2533333333333321</v>
      </c>
      <c r="AJ1966" s="7"/>
      <c r="AK1966" t="s">
        <v>1050</v>
      </c>
      <c r="AN1966">
        <f>IFERROR(INT(Table13[[#This Row],[reject_prod]]/Table13[[#This Row],[part_weight]] * 1000), 0)</f>
        <v>517</v>
      </c>
    </row>
    <row r="1967" spans="1:40" hidden="1">
      <c r="A1967" s="1">
        <v>46081</v>
      </c>
      <c r="B1967">
        <v>1</v>
      </c>
      <c r="C1967">
        <v>5</v>
      </c>
      <c r="D1967" t="s">
        <v>1003</v>
      </c>
      <c r="E1967" t="s">
        <v>34</v>
      </c>
      <c r="F1967">
        <v>322448</v>
      </c>
      <c r="G1967" s="6">
        <v>0</v>
      </c>
      <c r="H1967" t="s">
        <v>654</v>
      </c>
      <c r="I1967">
        <v>10687753</v>
      </c>
      <c r="J1967">
        <v>4</v>
      </c>
      <c r="K1967">
        <v>40</v>
      </c>
      <c r="L1967">
        <v>40</v>
      </c>
      <c r="M1967">
        <v>1310</v>
      </c>
      <c r="N1967" s="2">
        <v>174960</v>
      </c>
      <c r="O1967" s="2">
        <v>486</v>
      </c>
      <c r="P1967" s="2">
        <v>810</v>
      </c>
      <c r="Q1967" s="2">
        <v>5240</v>
      </c>
      <c r="R1967" s="2">
        <v>4860</v>
      </c>
      <c r="S1967">
        <v>194.4</v>
      </c>
      <c r="T1967" s="2">
        <v>38070</v>
      </c>
      <c r="U1967" s="2">
        <v>136890</v>
      </c>
      <c r="V1967">
        <v>209.6</v>
      </c>
      <c r="W1967">
        <v>0</v>
      </c>
      <c r="X1967">
        <v>0</v>
      </c>
      <c r="Y1967">
        <v>0</v>
      </c>
      <c r="Z1967">
        <v>2</v>
      </c>
      <c r="AA1967">
        <v>9.5419847328244278E-3</v>
      </c>
      <c r="AB1967">
        <v>26.2</v>
      </c>
      <c r="AC1967">
        <v>9.5338888888888889</v>
      </c>
      <c r="AD1967">
        <v>23</v>
      </c>
      <c r="AE1967" s="7"/>
      <c r="AF1967" s="7"/>
      <c r="AG1967" s="7"/>
      <c r="AH1967" s="7"/>
      <c r="AI1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2.4661111111111111</v>
      </c>
      <c r="AJ1967" s="7"/>
      <c r="AK1967" t="s">
        <v>51</v>
      </c>
      <c r="AN1967">
        <f>IFERROR(INT(Table13[[#This Row],[reject_prod]]/Table13[[#This Row],[part_weight]] * 1000), 0)</f>
        <v>50</v>
      </c>
    </row>
    <row r="1968" spans="1:40" hidden="1">
      <c r="A1968" s="1">
        <v>46081</v>
      </c>
      <c r="B1968">
        <v>1</v>
      </c>
      <c r="C1968">
        <v>6</v>
      </c>
      <c r="D1968" t="s">
        <v>1051</v>
      </c>
      <c r="E1968" t="s">
        <v>34</v>
      </c>
      <c r="F1968">
        <v>597509</v>
      </c>
      <c r="G1968" s="6">
        <v>0</v>
      </c>
      <c r="H1968" t="s">
        <v>1032</v>
      </c>
      <c r="I1968">
        <v>10688093</v>
      </c>
      <c r="J1968">
        <v>4</v>
      </c>
      <c r="K1968">
        <v>24.9</v>
      </c>
      <c r="L1968">
        <v>24.9</v>
      </c>
      <c r="M1968">
        <v>1210</v>
      </c>
      <c r="N1968" s="2">
        <v>15600</v>
      </c>
      <c r="O1968" s="2">
        <v>468</v>
      </c>
      <c r="P1968" s="2">
        <v>0</v>
      </c>
      <c r="Q1968" s="2">
        <v>4840</v>
      </c>
      <c r="R1968" s="2">
        <v>4680</v>
      </c>
      <c r="S1968">
        <v>116.532</v>
      </c>
      <c r="T1968" s="2">
        <v>15600</v>
      </c>
      <c r="U1968" s="2">
        <v>0</v>
      </c>
      <c r="V1968">
        <v>120.51600000000001</v>
      </c>
      <c r="W1968">
        <v>0</v>
      </c>
      <c r="X1968">
        <v>0</v>
      </c>
      <c r="Y1968">
        <v>0</v>
      </c>
      <c r="Z1968">
        <v>2.5</v>
      </c>
      <c r="AA1968">
        <v>2.0744133559029505E-2</v>
      </c>
      <c r="AB1968">
        <v>21</v>
      </c>
      <c r="AC1968">
        <v>7.0583333333333336</v>
      </c>
      <c r="AD1968">
        <v>20</v>
      </c>
      <c r="AE1968" s="7"/>
      <c r="AF1968" s="7"/>
      <c r="AG1968" s="7"/>
      <c r="AH1968" s="7"/>
      <c r="AI1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4.9416666666666664</v>
      </c>
      <c r="AJ1968" s="7"/>
      <c r="AK1968" t="s">
        <v>1052</v>
      </c>
      <c r="AN1968">
        <f>IFERROR(INT(Table13[[#This Row],[reject_prod]]/Table13[[#This Row],[part_weight]] * 1000), 0)</f>
        <v>100</v>
      </c>
    </row>
    <row r="1969" spans="1:40" hidden="1">
      <c r="A1969" s="1">
        <v>46081</v>
      </c>
      <c r="B1969">
        <v>1</v>
      </c>
      <c r="C1969">
        <v>7</v>
      </c>
      <c r="D1969" t="s">
        <v>54</v>
      </c>
      <c r="E1969" t="s">
        <v>34</v>
      </c>
      <c r="F1969">
        <v>324165</v>
      </c>
      <c r="G1969" s="6">
        <v>0</v>
      </c>
      <c r="H1969" t="s">
        <v>44</v>
      </c>
      <c r="I1969">
        <v>10687137</v>
      </c>
      <c r="J1969">
        <v>4</v>
      </c>
      <c r="K1969">
        <v>32.56</v>
      </c>
      <c r="L1969">
        <v>33</v>
      </c>
      <c r="M1969">
        <v>296</v>
      </c>
      <c r="N1969" s="2">
        <v>104192</v>
      </c>
      <c r="O1969" s="2">
        <v>0</v>
      </c>
      <c r="P1969" s="2">
        <v>1184</v>
      </c>
      <c r="Q1969" s="2">
        <v>1184</v>
      </c>
      <c r="R1969" s="2">
        <v>0</v>
      </c>
      <c r="S1969">
        <v>0</v>
      </c>
      <c r="T1969" s="2">
        <v>104192</v>
      </c>
      <c r="U1969" s="2">
        <v>0</v>
      </c>
      <c r="V1969">
        <v>39.072000000000003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22.8</v>
      </c>
      <c r="AC1969">
        <v>1.8746666666666667</v>
      </c>
      <c r="AD1969">
        <v>22</v>
      </c>
      <c r="AE1969" s="7"/>
      <c r="AF1969" s="7"/>
      <c r="AG1969" s="7"/>
      <c r="AH1969" s="7"/>
      <c r="AI1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10.125333333333334</v>
      </c>
      <c r="AJ1969" s="7"/>
      <c r="AK1969" t="s">
        <v>1053</v>
      </c>
      <c r="AN1969">
        <f>IFERROR(INT(Table13[[#This Row],[reject_prod]]/Table13[[#This Row],[part_weight]] * 1000), 0)</f>
        <v>0</v>
      </c>
    </row>
    <row r="1970" spans="1:40" hidden="1">
      <c r="A1970" s="1">
        <v>46081</v>
      </c>
      <c r="B1970">
        <v>1</v>
      </c>
      <c r="C1970">
        <v>7</v>
      </c>
      <c r="D1970" t="s">
        <v>54</v>
      </c>
      <c r="E1970" t="s">
        <v>34</v>
      </c>
      <c r="F1970">
        <v>324165</v>
      </c>
      <c r="G1970" s="6">
        <v>0</v>
      </c>
      <c r="H1970" t="s">
        <v>44</v>
      </c>
      <c r="I1970">
        <v>10687138</v>
      </c>
      <c r="J1970">
        <v>4</v>
      </c>
      <c r="K1970">
        <v>32.56</v>
      </c>
      <c r="L1970">
        <v>33</v>
      </c>
      <c r="M1970">
        <v>1260</v>
      </c>
      <c r="N1970" s="2">
        <v>11776</v>
      </c>
      <c r="O1970" s="2">
        <v>0</v>
      </c>
      <c r="P1970" s="2">
        <v>1920</v>
      </c>
      <c r="Q1970" s="2">
        <v>5040</v>
      </c>
      <c r="R1970" s="2">
        <v>3072</v>
      </c>
      <c r="S1970">
        <v>101.376</v>
      </c>
      <c r="T1970" s="2">
        <v>4992</v>
      </c>
      <c r="U1970" s="2">
        <v>6784</v>
      </c>
      <c r="V1970">
        <v>166.32</v>
      </c>
      <c r="W1970">
        <v>0</v>
      </c>
      <c r="X1970">
        <v>0</v>
      </c>
      <c r="Y1970">
        <v>0</v>
      </c>
      <c r="Z1970">
        <v>3.3</v>
      </c>
      <c r="AA1970">
        <v>1.984126984126984E-2</v>
      </c>
      <c r="AB1970">
        <v>22.8</v>
      </c>
      <c r="AC1970">
        <v>7.9799999999999995</v>
      </c>
      <c r="AD1970">
        <v>22</v>
      </c>
      <c r="AE1970" s="7"/>
      <c r="AF1970" s="7"/>
      <c r="AG1970" s="7"/>
      <c r="AH1970" s="7"/>
      <c r="AI1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4.0200000000000005</v>
      </c>
      <c r="AJ1970" s="7"/>
      <c r="AK1970" t="s">
        <v>214</v>
      </c>
      <c r="AN1970">
        <f>IFERROR(INT(Table13[[#This Row],[reject_prod]]/Table13[[#This Row],[part_weight]] * 1000), 0)</f>
        <v>100</v>
      </c>
    </row>
    <row r="1971" spans="1:40" hidden="1">
      <c r="A1971" s="1">
        <v>46081</v>
      </c>
      <c r="B1971">
        <v>1</v>
      </c>
      <c r="C1971">
        <v>8</v>
      </c>
      <c r="D1971" t="s">
        <v>1054</v>
      </c>
      <c r="E1971" t="s">
        <v>41</v>
      </c>
      <c r="F1971">
        <v>593537</v>
      </c>
      <c r="G1971" s="6">
        <v>0</v>
      </c>
      <c r="H1971" t="s">
        <v>48</v>
      </c>
      <c r="I1971">
        <v>10688067</v>
      </c>
      <c r="J1971">
        <v>4</v>
      </c>
      <c r="K1971">
        <v>56.5</v>
      </c>
      <c r="L1971">
        <v>56.8</v>
      </c>
      <c r="M1971">
        <v>1185</v>
      </c>
      <c r="N1971" s="2">
        <v>69000</v>
      </c>
      <c r="O1971" s="2">
        <v>115</v>
      </c>
      <c r="P1971" s="2">
        <v>230</v>
      </c>
      <c r="Q1971" s="2">
        <v>4740</v>
      </c>
      <c r="R1971" s="2">
        <v>4600</v>
      </c>
      <c r="S1971">
        <v>261.27999999999997</v>
      </c>
      <c r="T1971" s="2">
        <v>61640</v>
      </c>
      <c r="U1971" s="2">
        <v>7360</v>
      </c>
      <c r="V1971">
        <v>269.23200000000003</v>
      </c>
      <c r="W1971">
        <v>0</v>
      </c>
      <c r="X1971">
        <v>0</v>
      </c>
      <c r="Y1971">
        <v>0</v>
      </c>
      <c r="Z1971">
        <v>1</v>
      </c>
      <c r="AA1971">
        <v>3.7142687347714977E-3</v>
      </c>
      <c r="AB1971">
        <v>30.5</v>
      </c>
      <c r="AC1971">
        <v>10.039583333333335</v>
      </c>
      <c r="AD1971">
        <v>28.5</v>
      </c>
      <c r="AE1971" s="7"/>
      <c r="AF1971" s="7"/>
      <c r="AG1971" s="7"/>
      <c r="AH1971" s="7"/>
      <c r="AI1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1.9604166666666654</v>
      </c>
      <c r="AJ1971" s="7"/>
      <c r="AK1971" t="s">
        <v>51</v>
      </c>
      <c r="AN1971">
        <f>IFERROR(INT(Table13[[#This Row],[reject_prod]]/Table13[[#This Row],[part_weight]] * 1000), 0)</f>
        <v>17</v>
      </c>
    </row>
    <row r="1972" spans="1:40" hidden="1">
      <c r="A1972" s="1">
        <v>46081</v>
      </c>
      <c r="B1972">
        <v>1</v>
      </c>
      <c r="C1972">
        <v>9</v>
      </c>
      <c r="D1972" t="s">
        <v>289</v>
      </c>
      <c r="E1972" t="s">
        <v>46</v>
      </c>
      <c r="F1972">
        <v>586276</v>
      </c>
      <c r="G1972" s="6">
        <v>1</v>
      </c>
      <c r="H1972" t="s">
        <v>47</v>
      </c>
      <c r="I1972">
        <v>10686685</v>
      </c>
      <c r="J1972">
        <v>6</v>
      </c>
      <c r="K1972">
        <v>12.3</v>
      </c>
      <c r="L1972">
        <v>12.3</v>
      </c>
      <c r="M1972">
        <v>1360</v>
      </c>
      <c r="N1972" s="2">
        <v>162000</v>
      </c>
      <c r="O1972" s="2">
        <v>6075</v>
      </c>
      <c r="P1972" s="2">
        <v>6075</v>
      </c>
      <c r="Q1972" s="2">
        <v>8160</v>
      </c>
      <c r="R1972" s="2">
        <v>8100</v>
      </c>
      <c r="S1972">
        <v>99.63</v>
      </c>
      <c r="T1972" s="2">
        <v>22275</v>
      </c>
      <c r="U1972" s="2">
        <v>139725</v>
      </c>
      <c r="V1972">
        <v>100.36799999999999</v>
      </c>
      <c r="W1972">
        <v>0</v>
      </c>
      <c r="X1972">
        <v>0</v>
      </c>
      <c r="Y1972">
        <v>0</v>
      </c>
      <c r="Z1972">
        <v>0.5</v>
      </c>
      <c r="AA1972">
        <v>4.9816674637334609E-3</v>
      </c>
      <c r="AB1972">
        <v>26.5</v>
      </c>
      <c r="AC1972">
        <v>10.011111111111111</v>
      </c>
      <c r="AD1972">
        <v>26</v>
      </c>
      <c r="AE1972" s="7"/>
      <c r="AF1972" s="7"/>
      <c r="AG1972" s="7"/>
      <c r="AH1972" s="7"/>
      <c r="AI1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1.9888888888888889</v>
      </c>
      <c r="AJ1972" s="7"/>
      <c r="AK1972" t="s">
        <v>51</v>
      </c>
      <c r="AN1972">
        <f>IFERROR(INT(Table13[[#This Row],[reject_prod]]/Table13[[#This Row],[part_weight]] * 1000), 0)</f>
        <v>40</v>
      </c>
    </row>
    <row r="1973" spans="1:40" hidden="1">
      <c r="A1973" s="1">
        <v>46081</v>
      </c>
      <c r="B1973">
        <v>1</v>
      </c>
      <c r="C1973">
        <v>10</v>
      </c>
      <c r="D1973" t="s">
        <v>167</v>
      </c>
      <c r="E1973" t="s">
        <v>34</v>
      </c>
      <c r="F1973">
        <v>323102</v>
      </c>
      <c r="G1973" s="6">
        <v>0</v>
      </c>
      <c r="H1973" t="s">
        <v>45</v>
      </c>
      <c r="I1973">
        <v>10688202</v>
      </c>
      <c r="J1973">
        <v>4</v>
      </c>
      <c r="K1973">
        <v>57</v>
      </c>
      <c r="L1973">
        <v>56.9</v>
      </c>
      <c r="M1973">
        <v>1185</v>
      </c>
      <c r="N1973" s="2">
        <v>38400</v>
      </c>
      <c r="O1973" s="2">
        <v>0</v>
      </c>
      <c r="P1973" s="2">
        <v>240</v>
      </c>
      <c r="Q1973" s="2">
        <v>4740</v>
      </c>
      <c r="R1973" s="2">
        <v>4480</v>
      </c>
      <c r="S1973">
        <v>254.91200000000001</v>
      </c>
      <c r="T1973" s="2">
        <v>36400</v>
      </c>
      <c r="U1973" s="2">
        <v>2000</v>
      </c>
      <c r="V1973">
        <v>269.70600000000002</v>
      </c>
      <c r="W1973">
        <v>0</v>
      </c>
      <c r="X1973">
        <v>0</v>
      </c>
      <c r="Y1973">
        <v>0</v>
      </c>
      <c r="Z1973">
        <v>2</v>
      </c>
      <c r="AA1973">
        <v>7.4154820434102313E-3</v>
      </c>
      <c r="AB1973">
        <v>29.7</v>
      </c>
      <c r="AC1973">
        <v>9.776250000000001</v>
      </c>
      <c r="AD1973">
        <v>26</v>
      </c>
      <c r="AE1973" s="7"/>
      <c r="AF1973" s="7"/>
      <c r="AG1973" s="7"/>
      <c r="AH1973" s="7"/>
      <c r="AI1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2.223749999999999</v>
      </c>
      <c r="AJ1973" s="7"/>
      <c r="AK1973" t="s">
        <v>75</v>
      </c>
      <c r="AN1973">
        <f>IFERROR(INT(Table13[[#This Row],[reject_prod]]/Table13[[#This Row],[part_weight]] * 1000), 0)</f>
        <v>35</v>
      </c>
    </row>
    <row r="1974" spans="1:40" hidden="1">
      <c r="A1974" s="1">
        <v>46081</v>
      </c>
      <c r="B1974">
        <v>1</v>
      </c>
      <c r="C1974">
        <v>11</v>
      </c>
      <c r="D1974" t="s">
        <v>208</v>
      </c>
      <c r="E1974" t="s">
        <v>46</v>
      </c>
      <c r="F1974">
        <v>552181</v>
      </c>
      <c r="G1974" s="6">
        <v>1</v>
      </c>
      <c r="H1974" t="s">
        <v>49</v>
      </c>
      <c r="I1974">
        <v>10688069</v>
      </c>
      <c r="J1974">
        <v>6</v>
      </c>
      <c r="K1974">
        <v>18.8</v>
      </c>
      <c r="L1974">
        <v>18.8</v>
      </c>
      <c r="M1974">
        <v>1260</v>
      </c>
      <c r="N1974" s="2">
        <v>108000</v>
      </c>
      <c r="O1974" s="2">
        <v>4860</v>
      </c>
      <c r="P1974" s="2">
        <v>1620</v>
      </c>
      <c r="Q1974" s="2">
        <v>7560</v>
      </c>
      <c r="R1974" s="2">
        <v>10800</v>
      </c>
      <c r="S1974">
        <v>203.04</v>
      </c>
      <c r="T1974" s="2">
        <v>23220</v>
      </c>
      <c r="U1974" s="2">
        <v>84780</v>
      </c>
      <c r="V1974">
        <v>142.12799999999999</v>
      </c>
      <c r="W1974">
        <v>0</v>
      </c>
      <c r="X1974">
        <v>0</v>
      </c>
      <c r="Y1974">
        <v>0</v>
      </c>
      <c r="Z1974">
        <v>0.5</v>
      </c>
      <c r="AA1974">
        <v>3.5179556456152203E-3</v>
      </c>
      <c r="AB1974">
        <v>28.46</v>
      </c>
      <c r="AC1974">
        <v>9.9610000000000003</v>
      </c>
      <c r="AD1974">
        <v>27</v>
      </c>
      <c r="AE1974" s="7"/>
      <c r="AF1974" s="7"/>
      <c r="AG1974" s="7"/>
      <c r="AH1974" s="7"/>
      <c r="AI1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2.0389999999999997</v>
      </c>
      <c r="AJ1974" s="7"/>
      <c r="AK1974" t="s">
        <v>51</v>
      </c>
      <c r="AN1974">
        <f>IFERROR(INT(Table13[[#This Row],[reject_prod]]/Table13[[#This Row],[part_weight]] * 1000), 0)</f>
        <v>26</v>
      </c>
    </row>
    <row r="1975" spans="1:40" hidden="1">
      <c r="A1975" s="1">
        <v>46081</v>
      </c>
      <c r="B1975">
        <v>1</v>
      </c>
      <c r="C1975">
        <v>12</v>
      </c>
      <c r="D1975" t="s">
        <v>89</v>
      </c>
      <c r="E1975" t="s">
        <v>34</v>
      </c>
      <c r="F1975">
        <v>620599</v>
      </c>
      <c r="G1975" s="6">
        <v>0</v>
      </c>
      <c r="H1975" t="s">
        <v>50</v>
      </c>
      <c r="I1975">
        <v>10688071</v>
      </c>
      <c r="J1975">
        <v>4</v>
      </c>
      <c r="K1975">
        <v>55</v>
      </c>
      <c r="L1975">
        <v>55</v>
      </c>
      <c r="M1975">
        <v>1300</v>
      </c>
      <c r="N1975" s="2">
        <v>72000</v>
      </c>
      <c r="O1975" s="2">
        <v>0</v>
      </c>
      <c r="P1975" s="2">
        <v>1575</v>
      </c>
      <c r="Q1975" s="2">
        <v>5200</v>
      </c>
      <c r="R1975" s="2">
        <v>3600</v>
      </c>
      <c r="S1975">
        <v>198</v>
      </c>
      <c r="T1975" s="2">
        <v>16875</v>
      </c>
      <c r="U1975" s="2">
        <v>55125</v>
      </c>
      <c r="V1975">
        <v>286</v>
      </c>
      <c r="W1975">
        <v>0</v>
      </c>
      <c r="X1975">
        <v>0</v>
      </c>
      <c r="Y1975">
        <v>0</v>
      </c>
      <c r="Z1975">
        <v>3</v>
      </c>
      <c r="AA1975">
        <v>1.048951048951049E-2</v>
      </c>
      <c r="AB1975">
        <v>28.8</v>
      </c>
      <c r="AC1975">
        <v>10.4</v>
      </c>
      <c r="AD1975">
        <v>28</v>
      </c>
      <c r="AE1975" s="7"/>
      <c r="AF1975" s="7"/>
      <c r="AG1975" s="7"/>
      <c r="AH1975" s="7"/>
      <c r="AI1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1.5999999999999996</v>
      </c>
      <c r="AJ1975" s="7"/>
      <c r="AK1975" t="s">
        <v>178</v>
      </c>
      <c r="AN1975">
        <f>IFERROR(INT(Table13[[#This Row],[reject_prod]]/Table13[[#This Row],[part_weight]] * 1000), 0)</f>
        <v>54</v>
      </c>
    </row>
    <row r="1976" spans="1:40" hidden="1">
      <c r="A1976" s="1">
        <v>46081</v>
      </c>
      <c r="B1976">
        <v>1</v>
      </c>
      <c r="C1976">
        <v>13</v>
      </c>
      <c r="D1976" t="s">
        <v>208</v>
      </c>
      <c r="E1976" t="s">
        <v>46</v>
      </c>
      <c r="F1976">
        <v>586276</v>
      </c>
      <c r="G1976" s="6">
        <v>2</v>
      </c>
      <c r="H1976" t="s">
        <v>47</v>
      </c>
      <c r="I1976">
        <v>10686677</v>
      </c>
      <c r="J1976">
        <v>6</v>
      </c>
      <c r="K1976">
        <v>12.3</v>
      </c>
      <c r="L1976">
        <v>12.3</v>
      </c>
      <c r="M1976">
        <v>1380</v>
      </c>
      <c r="N1976" s="2">
        <v>162000</v>
      </c>
      <c r="O1976" s="2">
        <v>2025</v>
      </c>
      <c r="P1976" s="2">
        <v>2025</v>
      </c>
      <c r="Q1976" s="2">
        <v>8280</v>
      </c>
      <c r="R1976" s="2">
        <v>8100</v>
      </c>
      <c r="S1976">
        <v>99.63</v>
      </c>
      <c r="T1976" s="2">
        <v>147825</v>
      </c>
      <c r="U1976" s="2">
        <v>14175</v>
      </c>
      <c r="V1976">
        <v>101.84399999999999</v>
      </c>
      <c r="W1976">
        <v>0</v>
      </c>
      <c r="X1976">
        <v>0</v>
      </c>
      <c r="Y1976">
        <v>0</v>
      </c>
      <c r="Z1976">
        <v>0.5</v>
      </c>
      <c r="AA1976">
        <v>4.9094693845489184E-3</v>
      </c>
      <c r="AB1976">
        <v>26.2</v>
      </c>
      <c r="AC1976">
        <v>10.043333333333333</v>
      </c>
      <c r="AD1976">
        <v>26</v>
      </c>
      <c r="AE1976" s="7"/>
      <c r="AF1976" s="7"/>
      <c r="AG1976" s="7"/>
      <c r="AH1976" s="7"/>
      <c r="AI1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1.956666666666667</v>
      </c>
      <c r="AJ1976" s="7"/>
      <c r="AK1976" t="s">
        <v>51</v>
      </c>
      <c r="AN1976">
        <f>IFERROR(INT(Table13[[#This Row],[reject_prod]]/Table13[[#This Row],[part_weight]] * 1000), 0)</f>
        <v>40</v>
      </c>
    </row>
    <row r="1977" spans="1:40" hidden="1">
      <c r="A1977" s="1">
        <v>46081</v>
      </c>
      <c r="B1977">
        <v>1</v>
      </c>
      <c r="C1977">
        <v>14</v>
      </c>
      <c r="D1977" t="s">
        <v>139</v>
      </c>
      <c r="E1977" t="s">
        <v>34</v>
      </c>
      <c r="F1977">
        <v>541381</v>
      </c>
      <c r="G1977" s="6">
        <v>0</v>
      </c>
      <c r="H1977" t="s">
        <v>804</v>
      </c>
      <c r="I1977">
        <v>10688072</v>
      </c>
      <c r="J1977">
        <v>4</v>
      </c>
      <c r="K1977">
        <v>55</v>
      </c>
      <c r="L1977">
        <v>55</v>
      </c>
      <c r="M1977">
        <v>1290</v>
      </c>
      <c r="N1977" s="2">
        <v>84000</v>
      </c>
      <c r="O1977" s="2">
        <v>675</v>
      </c>
      <c r="P1977" s="2">
        <v>175</v>
      </c>
      <c r="Q1977" s="2">
        <v>5160</v>
      </c>
      <c r="R1977" s="2">
        <v>5600</v>
      </c>
      <c r="S1977">
        <v>308</v>
      </c>
      <c r="T1977" s="2">
        <v>49175</v>
      </c>
      <c r="U1977" s="2">
        <v>34825</v>
      </c>
      <c r="V1977">
        <v>283.8</v>
      </c>
      <c r="W1977">
        <v>0</v>
      </c>
      <c r="X1977">
        <v>0</v>
      </c>
      <c r="Y1977">
        <v>0</v>
      </c>
      <c r="Z1977">
        <v>2.2999999999999998</v>
      </c>
      <c r="AA1977">
        <v>8.1042988019732198E-3</v>
      </c>
      <c r="AB1977">
        <v>27.3</v>
      </c>
      <c r="AC1977">
        <v>9.7825000000000006</v>
      </c>
      <c r="AD1977">
        <v>30.08</v>
      </c>
      <c r="AE1977" s="7"/>
      <c r="AF1977" s="7"/>
      <c r="AG1977" s="7"/>
      <c r="AH1977" s="7"/>
      <c r="AI1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2.2174999999999994</v>
      </c>
      <c r="AJ1977" s="7"/>
      <c r="AK1977" t="s">
        <v>178</v>
      </c>
      <c r="AN1977">
        <f>IFERROR(INT(Table13[[#This Row],[reject_prod]]/Table13[[#This Row],[part_weight]] * 1000), 0)</f>
        <v>41</v>
      </c>
    </row>
    <row r="1978" spans="1:40" hidden="1">
      <c r="A1978" s="1">
        <v>46081</v>
      </c>
      <c r="B1978">
        <v>1</v>
      </c>
      <c r="C1978">
        <v>15</v>
      </c>
      <c r="D1978" t="s">
        <v>208</v>
      </c>
      <c r="E1978" t="s">
        <v>46</v>
      </c>
      <c r="F1978">
        <v>552181</v>
      </c>
      <c r="G1978" s="6">
        <v>2</v>
      </c>
      <c r="H1978" t="s">
        <v>49</v>
      </c>
      <c r="I1978">
        <v>10686679</v>
      </c>
      <c r="J1978">
        <v>6</v>
      </c>
      <c r="K1978">
        <v>18.8</v>
      </c>
      <c r="L1978">
        <v>18.8</v>
      </c>
      <c r="M1978">
        <v>1175</v>
      </c>
      <c r="N1978" s="2">
        <v>108000</v>
      </c>
      <c r="O1978" s="2">
        <v>810</v>
      </c>
      <c r="P1978" s="2">
        <v>2430</v>
      </c>
      <c r="Q1978" s="2">
        <v>7050</v>
      </c>
      <c r="R1978" s="2">
        <v>5400</v>
      </c>
      <c r="S1978">
        <v>101.52</v>
      </c>
      <c r="T1978" s="2">
        <v>72630</v>
      </c>
      <c r="U1978" s="2">
        <v>35370</v>
      </c>
      <c r="V1978">
        <v>132.54</v>
      </c>
      <c r="W1978">
        <v>0</v>
      </c>
      <c r="X1978">
        <v>0</v>
      </c>
      <c r="Y1978">
        <v>0</v>
      </c>
      <c r="Z1978">
        <v>1</v>
      </c>
      <c r="AA1978">
        <v>7.5448921080428551E-3</v>
      </c>
      <c r="AB1978">
        <v>30.6</v>
      </c>
      <c r="AC1978">
        <v>9.9875000000000007</v>
      </c>
      <c r="AD1978">
        <v>27</v>
      </c>
      <c r="AE1978" s="7"/>
      <c r="AF1978" s="7"/>
      <c r="AG1978" s="7"/>
      <c r="AH1978" s="7"/>
      <c r="AI1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2.0124999999999993</v>
      </c>
      <c r="AJ1978" s="7"/>
      <c r="AK1978" t="s">
        <v>51</v>
      </c>
      <c r="AN1978">
        <f>IFERROR(INT(Table13[[#This Row],[reject_prod]]/Table13[[#This Row],[part_weight]] * 1000), 0)</f>
        <v>53</v>
      </c>
    </row>
    <row r="1979" spans="1:40" s="4" customFormat="1" hidden="1">
      <c r="A1979" s="3">
        <v>46081</v>
      </c>
      <c r="B1979" s="4">
        <v>1</v>
      </c>
      <c r="C1979" s="4">
        <v>16</v>
      </c>
      <c r="D1979" s="4" t="s">
        <v>33</v>
      </c>
      <c r="E1979" s="4" t="s">
        <v>46</v>
      </c>
      <c r="F1979" s="4">
        <v>555979</v>
      </c>
      <c r="G1979" s="9">
        <v>2</v>
      </c>
      <c r="H1979" s="4" t="s">
        <v>52</v>
      </c>
      <c r="I1979" s="4">
        <v>10686701</v>
      </c>
      <c r="J1979" s="4">
        <v>6</v>
      </c>
      <c r="K1979" s="4">
        <v>28</v>
      </c>
      <c r="L1979" s="4">
        <v>28</v>
      </c>
      <c r="M1979" s="4">
        <v>0</v>
      </c>
      <c r="N1979" s="5">
        <v>100800</v>
      </c>
      <c r="O1979" s="5">
        <v>6048</v>
      </c>
      <c r="P1979" s="5">
        <v>0</v>
      </c>
      <c r="Q1979" s="5">
        <v>0</v>
      </c>
      <c r="R1979" s="5">
        <v>0</v>
      </c>
      <c r="S1979" s="4">
        <v>0</v>
      </c>
      <c r="T1979" s="5">
        <v>50400</v>
      </c>
      <c r="U1979" s="5">
        <v>50400</v>
      </c>
      <c r="V1979" s="4">
        <v>0</v>
      </c>
      <c r="W1979" s="4">
        <v>0</v>
      </c>
      <c r="X1979" s="4">
        <v>14</v>
      </c>
      <c r="Y1979" s="4" t="e">
        <v>#DIV/0!</v>
      </c>
      <c r="Z1979" s="4">
        <v>0</v>
      </c>
      <c r="AA1979" s="4" t="e">
        <v>#DIV/0!</v>
      </c>
      <c r="AB1979" s="4">
        <v>43.2</v>
      </c>
      <c r="AC1979" s="4">
        <v>0</v>
      </c>
      <c r="AD1979" s="4">
        <v>42</v>
      </c>
      <c r="AE1979" s="8"/>
      <c r="AF1979" s="8"/>
      <c r="AG1979" s="8"/>
      <c r="AH1979" s="8"/>
      <c r="AI197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79" s="8"/>
      <c r="AK1979" s="4" t="s">
        <v>1048</v>
      </c>
      <c r="AN1979">
        <f>IFERROR(INT(Table13[[#This Row],[reject_prod]]/Table13[[#This Row],[part_weight]] * 1000), 0)</f>
        <v>0</v>
      </c>
    </row>
    <row r="1980" spans="1:40" hidden="1">
      <c r="A1980" s="1">
        <v>46081</v>
      </c>
      <c r="B1980">
        <v>2</v>
      </c>
      <c r="C1980">
        <v>1</v>
      </c>
      <c r="F1980">
        <v>123456</v>
      </c>
      <c r="G1980" s="6">
        <v>0</v>
      </c>
      <c r="M1980">
        <v>0</v>
      </c>
      <c r="N1980" s="2">
        <v>0</v>
      </c>
      <c r="O1980" s="2">
        <v>0</v>
      </c>
      <c r="P1980" s="2">
        <v>0</v>
      </c>
      <c r="Q1980" s="2"/>
      <c r="R1980" s="2">
        <v>0</v>
      </c>
      <c r="T1980" s="2">
        <v>0</v>
      </c>
      <c r="U1980" s="2"/>
      <c r="X1980">
        <v>0</v>
      </c>
      <c r="Z1980">
        <v>0</v>
      </c>
      <c r="AB1980">
        <v>0</v>
      </c>
      <c r="AC1980">
        <v>0</v>
      </c>
      <c r="AD1980">
        <v>0</v>
      </c>
      <c r="AE1980" s="7"/>
      <c r="AF1980" s="7"/>
      <c r="AG1980" s="7"/>
      <c r="AH1980" s="7"/>
      <c r="AI1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0" s="7">
        <v>12</v>
      </c>
      <c r="AK1980" t="s">
        <v>116</v>
      </c>
      <c r="AN1980">
        <f>IFERROR(INT(Table13[[#This Row],[reject_prod]]/Table13[[#This Row],[part_weight]] * 1000), 0)</f>
        <v>0</v>
      </c>
    </row>
    <row r="1981" spans="1:40" hidden="1">
      <c r="A1981" s="1">
        <v>46081</v>
      </c>
      <c r="B1981">
        <v>2</v>
      </c>
      <c r="C1981">
        <v>2</v>
      </c>
      <c r="F1981">
        <v>123456</v>
      </c>
      <c r="G1981" s="6">
        <v>0</v>
      </c>
      <c r="M1981">
        <v>0</v>
      </c>
      <c r="N1981" s="2">
        <v>0</v>
      </c>
      <c r="O1981" s="2">
        <v>0</v>
      </c>
      <c r="P1981" s="2">
        <v>0</v>
      </c>
      <c r="Q1981" s="2"/>
      <c r="R1981" s="2">
        <v>0</v>
      </c>
      <c r="T1981" s="2">
        <v>0</v>
      </c>
      <c r="U1981" s="2"/>
      <c r="X1981">
        <v>0</v>
      </c>
      <c r="Z1981">
        <v>0</v>
      </c>
      <c r="AB1981">
        <v>0</v>
      </c>
      <c r="AC1981">
        <v>0</v>
      </c>
      <c r="AD1981">
        <v>0</v>
      </c>
      <c r="AE1981" s="7"/>
      <c r="AF1981" s="7"/>
      <c r="AG1981" s="7"/>
      <c r="AH1981" s="7"/>
      <c r="AI1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1" s="7">
        <v>12</v>
      </c>
      <c r="AK1981" t="s">
        <v>116</v>
      </c>
      <c r="AN1981">
        <f>IFERROR(INT(Table13[[#This Row],[reject_prod]]/Table13[[#This Row],[part_weight]] * 1000), 0)</f>
        <v>0</v>
      </c>
    </row>
    <row r="1982" spans="1:40" hidden="1">
      <c r="A1982" s="1">
        <v>46081</v>
      </c>
      <c r="B1982">
        <v>2</v>
      </c>
      <c r="C1982">
        <v>3</v>
      </c>
      <c r="F1982">
        <v>123456</v>
      </c>
      <c r="G1982" s="6">
        <v>0</v>
      </c>
      <c r="M1982">
        <v>0</v>
      </c>
      <c r="N1982" s="2">
        <v>0</v>
      </c>
      <c r="O1982" s="2">
        <v>0</v>
      </c>
      <c r="P1982" s="2">
        <v>0</v>
      </c>
      <c r="Q1982" s="2"/>
      <c r="R1982" s="2">
        <v>0</v>
      </c>
      <c r="T1982" s="2">
        <v>0</v>
      </c>
      <c r="U1982" s="2"/>
      <c r="X1982">
        <v>0</v>
      </c>
      <c r="Z1982">
        <v>0</v>
      </c>
      <c r="AB1982">
        <v>0</v>
      </c>
      <c r="AC1982">
        <v>0</v>
      </c>
      <c r="AD1982">
        <v>0</v>
      </c>
      <c r="AE1982" s="7"/>
      <c r="AF1982" s="7"/>
      <c r="AG1982" s="7"/>
      <c r="AH1982" s="7"/>
      <c r="AI1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2" s="7">
        <v>12</v>
      </c>
      <c r="AK1982" t="s">
        <v>116</v>
      </c>
      <c r="AN1982">
        <f>IFERROR(INT(Table13[[#This Row],[reject_prod]]/Table13[[#This Row],[part_weight]] * 1000), 0)</f>
        <v>0</v>
      </c>
    </row>
    <row r="1983" spans="1:40" hidden="1">
      <c r="A1983" s="1">
        <v>46081</v>
      </c>
      <c r="B1983">
        <v>2</v>
      </c>
      <c r="C1983">
        <v>4</v>
      </c>
      <c r="F1983">
        <v>123456</v>
      </c>
      <c r="G1983" s="6">
        <v>0</v>
      </c>
      <c r="M1983">
        <v>0</v>
      </c>
      <c r="N1983" s="2">
        <v>0</v>
      </c>
      <c r="O1983" s="2">
        <v>0</v>
      </c>
      <c r="P1983" s="2">
        <v>0</v>
      </c>
      <c r="Q1983" s="2"/>
      <c r="R1983" s="2">
        <v>0</v>
      </c>
      <c r="T1983" s="2">
        <v>0</v>
      </c>
      <c r="U1983" s="2"/>
      <c r="X1983">
        <v>0</v>
      </c>
      <c r="Z1983">
        <v>0</v>
      </c>
      <c r="AB1983">
        <v>0</v>
      </c>
      <c r="AC1983">
        <v>0</v>
      </c>
      <c r="AD1983">
        <v>0</v>
      </c>
      <c r="AE1983" s="7"/>
      <c r="AF1983" s="7"/>
      <c r="AG1983" s="7"/>
      <c r="AH1983" s="7"/>
      <c r="AI1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3" s="7">
        <v>12</v>
      </c>
      <c r="AK1983" t="s">
        <v>116</v>
      </c>
      <c r="AN1983">
        <f>IFERROR(INT(Table13[[#This Row],[reject_prod]]/Table13[[#This Row],[part_weight]] * 1000), 0)</f>
        <v>0</v>
      </c>
    </row>
    <row r="1984" spans="1:40" hidden="1">
      <c r="A1984" s="1">
        <v>46081</v>
      </c>
      <c r="B1984">
        <v>2</v>
      </c>
      <c r="C1984">
        <v>5</v>
      </c>
      <c r="F1984">
        <v>123456</v>
      </c>
      <c r="G1984" s="6">
        <v>0</v>
      </c>
      <c r="M1984">
        <v>0</v>
      </c>
      <c r="N1984" s="2">
        <v>0</v>
      </c>
      <c r="O1984" s="2">
        <v>0</v>
      </c>
      <c r="P1984" s="2">
        <v>0</v>
      </c>
      <c r="Q1984" s="2"/>
      <c r="R1984" s="2">
        <v>0</v>
      </c>
      <c r="T1984" s="2">
        <v>0</v>
      </c>
      <c r="U1984" s="2"/>
      <c r="X1984">
        <v>0</v>
      </c>
      <c r="Z1984">
        <v>0</v>
      </c>
      <c r="AB1984">
        <v>0</v>
      </c>
      <c r="AC1984">
        <v>0</v>
      </c>
      <c r="AD1984">
        <v>0</v>
      </c>
      <c r="AE1984" s="7"/>
      <c r="AF1984" s="7"/>
      <c r="AG1984" s="7"/>
      <c r="AH1984" s="7"/>
      <c r="AI1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4" s="7">
        <v>12</v>
      </c>
      <c r="AK1984" t="s">
        <v>116</v>
      </c>
      <c r="AN1984">
        <f>IFERROR(INT(Table13[[#This Row],[reject_prod]]/Table13[[#This Row],[part_weight]] * 1000), 0)</f>
        <v>0</v>
      </c>
    </row>
    <row r="1985" spans="1:40" hidden="1">
      <c r="A1985" s="1">
        <v>46081</v>
      </c>
      <c r="B1985">
        <v>2</v>
      </c>
      <c r="C1985">
        <v>6</v>
      </c>
      <c r="F1985">
        <v>123456</v>
      </c>
      <c r="G1985" s="6">
        <v>0</v>
      </c>
      <c r="M1985">
        <v>0</v>
      </c>
      <c r="N1985" s="2">
        <v>0</v>
      </c>
      <c r="O1985" s="2">
        <v>0</v>
      </c>
      <c r="P1985" s="2">
        <v>0</v>
      </c>
      <c r="Q1985" s="2"/>
      <c r="R1985" s="2">
        <v>0</v>
      </c>
      <c r="T1985" s="2">
        <v>0</v>
      </c>
      <c r="U1985" s="2"/>
      <c r="X1985">
        <v>0</v>
      </c>
      <c r="Z1985">
        <v>0</v>
      </c>
      <c r="AB1985">
        <v>0</v>
      </c>
      <c r="AC1985">
        <v>0</v>
      </c>
      <c r="AD1985">
        <v>0</v>
      </c>
      <c r="AE1985" s="7"/>
      <c r="AF1985" s="7"/>
      <c r="AG1985" s="7"/>
      <c r="AH1985" s="7"/>
      <c r="AI1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5" s="7">
        <v>12</v>
      </c>
      <c r="AK1985" t="s">
        <v>116</v>
      </c>
      <c r="AN1985">
        <f>IFERROR(INT(Table13[[#This Row],[reject_prod]]/Table13[[#This Row],[part_weight]] * 1000), 0)</f>
        <v>0</v>
      </c>
    </row>
    <row r="1986" spans="1:40" hidden="1">
      <c r="A1986" s="1">
        <v>46081</v>
      </c>
      <c r="B1986">
        <v>2</v>
      </c>
      <c r="C1986">
        <v>7</v>
      </c>
      <c r="F1986">
        <v>123456</v>
      </c>
      <c r="G1986" s="6">
        <v>0</v>
      </c>
      <c r="M1986">
        <v>0</v>
      </c>
      <c r="N1986" s="2">
        <v>0</v>
      </c>
      <c r="O1986" s="2">
        <v>0</v>
      </c>
      <c r="P1986" s="2">
        <v>0</v>
      </c>
      <c r="Q1986" s="2"/>
      <c r="R1986" s="2">
        <v>0</v>
      </c>
      <c r="T1986" s="2">
        <v>0</v>
      </c>
      <c r="U1986" s="2"/>
      <c r="X1986">
        <v>0</v>
      </c>
      <c r="Z1986">
        <v>0</v>
      </c>
      <c r="AB1986">
        <v>0</v>
      </c>
      <c r="AC1986">
        <v>0</v>
      </c>
      <c r="AD1986">
        <v>0</v>
      </c>
      <c r="AE1986" s="7"/>
      <c r="AF1986" s="7"/>
      <c r="AG1986" s="7"/>
      <c r="AH1986" s="7"/>
      <c r="AI1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6" s="7">
        <v>12</v>
      </c>
      <c r="AK1986" t="s">
        <v>116</v>
      </c>
      <c r="AN1986">
        <f>IFERROR(INT(Table13[[#This Row],[reject_prod]]/Table13[[#This Row],[part_weight]] * 1000), 0)</f>
        <v>0</v>
      </c>
    </row>
    <row r="1987" spans="1:40" hidden="1">
      <c r="A1987" s="1">
        <v>46081</v>
      </c>
      <c r="B1987">
        <v>2</v>
      </c>
      <c r="C1987">
        <v>8</v>
      </c>
      <c r="F1987">
        <v>123456</v>
      </c>
      <c r="G1987" s="6">
        <v>0</v>
      </c>
      <c r="M1987">
        <v>0</v>
      </c>
      <c r="N1987" s="2">
        <v>0</v>
      </c>
      <c r="O1987" s="2">
        <v>0</v>
      </c>
      <c r="P1987" s="2">
        <v>0</v>
      </c>
      <c r="Q1987" s="2"/>
      <c r="R1987" s="2">
        <v>0</v>
      </c>
      <c r="T1987" s="2">
        <v>0</v>
      </c>
      <c r="U1987" s="2"/>
      <c r="X1987">
        <v>0</v>
      </c>
      <c r="Z1987">
        <v>0</v>
      </c>
      <c r="AB1987">
        <v>0</v>
      </c>
      <c r="AC1987">
        <v>0</v>
      </c>
      <c r="AD1987">
        <v>0</v>
      </c>
      <c r="AE1987" s="7"/>
      <c r="AF1987" s="7"/>
      <c r="AG1987" s="7"/>
      <c r="AH1987" s="7"/>
      <c r="AI1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7" s="7">
        <v>12</v>
      </c>
      <c r="AK1987" t="s">
        <v>116</v>
      </c>
      <c r="AN1987">
        <f>IFERROR(INT(Table13[[#This Row],[reject_prod]]/Table13[[#This Row],[part_weight]] * 1000), 0)</f>
        <v>0</v>
      </c>
    </row>
    <row r="1988" spans="1:40" hidden="1">
      <c r="A1988" s="1">
        <v>46081</v>
      </c>
      <c r="B1988">
        <v>2</v>
      </c>
      <c r="C1988">
        <v>9</v>
      </c>
      <c r="F1988">
        <v>123456</v>
      </c>
      <c r="G1988" s="6">
        <v>0</v>
      </c>
      <c r="M1988">
        <v>0</v>
      </c>
      <c r="N1988" s="2">
        <v>0</v>
      </c>
      <c r="O1988" s="2">
        <v>0</v>
      </c>
      <c r="P1988" s="2">
        <v>0</v>
      </c>
      <c r="Q1988" s="2"/>
      <c r="R1988" s="2">
        <v>0</v>
      </c>
      <c r="T1988" s="2">
        <v>0</v>
      </c>
      <c r="U1988" s="2"/>
      <c r="X1988">
        <v>0</v>
      </c>
      <c r="Z1988">
        <v>0</v>
      </c>
      <c r="AB1988">
        <v>0</v>
      </c>
      <c r="AC1988">
        <v>0</v>
      </c>
      <c r="AD1988">
        <v>0</v>
      </c>
      <c r="AE1988" s="7"/>
      <c r="AF1988" s="7"/>
      <c r="AG1988" s="7"/>
      <c r="AH1988" s="7"/>
      <c r="AI1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8" s="7">
        <v>12</v>
      </c>
      <c r="AK1988" t="s">
        <v>116</v>
      </c>
      <c r="AN1988">
        <f>IFERROR(INT(Table13[[#This Row],[reject_prod]]/Table13[[#This Row],[part_weight]] * 1000), 0)</f>
        <v>0</v>
      </c>
    </row>
    <row r="1989" spans="1:40" hidden="1">
      <c r="A1989" s="1">
        <v>46081</v>
      </c>
      <c r="B1989">
        <v>2</v>
      </c>
      <c r="C1989">
        <v>10</v>
      </c>
      <c r="F1989">
        <v>123456</v>
      </c>
      <c r="G1989" s="6">
        <v>0</v>
      </c>
      <c r="M1989">
        <v>0</v>
      </c>
      <c r="N1989" s="2">
        <v>0</v>
      </c>
      <c r="O1989" s="2">
        <v>0</v>
      </c>
      <c r="P1989" s="2">
        <v>0</v>
      </c>
      <c r="Q1989" s="2"/>
      <c r="R1989" s="2">
        <v>0</v>
      </c>
      <c r="T1989" s="2">
        <v>0</v>
      </c>
      <c r="U1989" s="2"/>
      <c r="X1989">
        <v>0</v>
      </c>
      <c r="Z1989">
        <v>0</v>
      </c>
      <c r="AB1989">
        <v>0</v>
      </c>
      <c r="AC1989">
        <v>0</v>
      </c>
      <c r="AD1989">
        <v>0</v>
      </c>
      <c r="AE1989" s="7"/>
      <c r="AF1989" s="7"/>
      <c r="AG1989" s="7"/>
      <c r="AH1989" s="7"/>
      <c r="AI1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9" s="7">
        <v>12</v>
      </c>
      <c r="AK1989" t="s">
        <v>116</v>
      </c>
      <c r="AN1989">
        <f>IFERROR(INT(Table13[[#This Row],[reject_prod]]/Table13[[#This Row],[part_weight]] * 1000), 0)</f>
        <v>0</v>
      </c>
    </row>
    <row r="1990" spans="1:40" hidden="1">
      <c r="A1990" s="1">
        <v>46081</v>
      </c>
      <c r="B1990">
        <v>2</v>
      </c>
      <c r="C1990">
        <v>11</v>
      </c>
      <c r="F1990">
        <v>123456</v>
      </c>
      <c r="G1990" s="6">
        <v>0</v>
      </c>
      <c r="M1990">
        <v>0</v>
      </c>
      <c r="N1990" s="2">
        <v>0</v>
      </c>
      <c r="O1990" s="2">
        <v>0</v>
      </c>
      <c r="P1990" s="2">
        <v>0</v>
      </c>
      <c r="Q1990" s="2"/>
      <c r="R1990" s="2">
        <v>0</v>
      </c>
      <c r="T1990" s="2">
        <v>0</v>
      </c>
      <c r="U1990" s="2"/>
      <c r="X1990">
        <v>0</v>
      </c>
      <c r="Z1990">
        <v>0</v>
      </c>
      <c r="AB1990">
        <v>0</v>
      </c>
      <c r="AC1990">
        <v>0</v>
      </c>
      <c r="AD1990">
        <v>0</v>
      </c>
      <c r="AE1990" s="7"/>
      <c r="AF1990" s="7"/>
      <c r="AG1990" s="7"/>
      <c r="AH1990" s="7"/>
      <c r="AI1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0" s="7">
        <v>12</v>
      </c>
      <c r="AK1990" t="s">
        <v>116</v>
      </c>
      <c r="AN1990">
        <f>IFERROR(INT(Table13[[#This Row],[reject_prod]]/Table13[[#This Row],[part_weight]] * 1000), 0)</f>
        <v>0</v>
      </c>
    </row>
    <row r="1991" spans="1:40" hidden="1">
      <c r="A1991" s="1">
        <v>46081</v>
      </c>
      <c r="B1991">
        <v>2</v>
      </c>
      <c r="C1991">
        <v>12</v>
      </c>
      <c r="F1991">
        <v>123456</v>
      </c>
      <c r="G1991" s="6">
        <v>0</v>
      </c>
      <c r="M1991">
        <v>0</v>
      </c>
      <c r="N1991" s="2">
        <v>0</v>
      </c>
      <c r="O1991" s="2">
        <v>0</v>
      </c>
      <c r="P1991" s="2">
        <v>0</v>
      </c>
      <c r="Q1991" s="2"/>
      <c r="R1991" s="2">
        <v>0</v>
      </c>
      <c r="T1991" s="2">
        <v>0</v>
      </c>
      <c r="U1991" s="2"/>
      <c r="X1991">
        <v>0</v>
      </c>
      <c r="Z1991">
        <v>0</v>
      </c>
      <c r="AB1991">
        <v>0</v>
      </c>
      <c r="AC1991">
        <v>0</v>
      </c>
      <c r="AD1991">
        <v>0</v>
      </c>
      <c r="AE1991" s="7"/>
      <c r="AF1991" s="7"/>
      <c r="AG1991" s="7"/>
      <c r="AH1991" s="7"/>
      <c r="AI1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1" s="7">
        <v>12</v>
      </c>
      <c r="AK1991" t="s">
        <v>116</v>
      </c>
      <c r="AN1991">
        <f>IFERROR(INT(Table13[[#This Row],[reject_prod]]/Table13[[#This Row],[part_weight]] * 1000), 0)</f>
        <v>0</v>
      </c>
    </row>
    <row r="1992" spans="1:40" hidden="1">
      <c r="A1992" s="1">
        <v>46081</v>
      </c>
      <c r="B1992">
        <v>2</v>
      </c>
      <c r="C1992">
        <v>13</v>
      </c>
      <c r="F1992">
        <v>123456</v>
      </c>
      <c r="G1992" s="6">
        <v>0</v>
      </c>
      <c r="M1992">
        <v>0</v>
      </c>
      <c r="N1992" s="2">
        <v>0</v>
      </c>
      <c r="O1992" s="2">
        <v>0</v>
      </c>
      <c r="P1992" s="2">
        <v>0</v>
      </c>
      <c r="Q1992" s="2"/>
      <c r="R1992" s="2">
        <v>0</v>
      </c>
      <c r="T1992" s="2">
        <v>0</v>
      </c>
      <c r="U1992" s="2"/>
      <c r="X1992">
        <v>0</v>
      </c>
      <c r="Z1992">
        <v>0</v>
      </c>
      <c r="AB1992">
        <v>0</v>
      </c>
      <c r="AC1992">
        <v>0</v>
      </c>
      <c r="AD1992">
        <v>0</v>
      </c>
      <c r="AE1992" s="7"/>
      <c r="AF1992" s="7"/>
      <c r="AG1992" s="7"/>
      <c r="AH1992" s="7"/>
      <c r="AI1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2" s="7">
        <v>12</v>
      </c>
      <c r="AK1992" t="s">
        <v>116</v>
      </c>
      <c r="AN1992">
        <f>IFERROR(INT(Table13[[#This Row],[reject_prod]]/Table13[[#This Row],[part_weight]] * 1000), 0)</f>
        <v>0</v>
      </c>
    </row>
    <row r="1993" spans="1:40" hidden="1">
      <c r="A1993" s="1">
        <v>46081</v>
      </c>
      <c r="B1993">
        <v>2</v>
      </c>
      <c r="C1993">
        <v>14</v>
      </c>
      <c r="F1993">
        <v>123456</v>
      </c>
      <c r="G1993" s="6">
        <v>0</v>
      </c>
      <c r="M1993">
        <v>0</v>
      </c>
      <c r="N1993" s="2">
        <v>0</v>
      </c>
      <c r="O1993" s="2">
        <v>0</v>
      </c>
      <c r="P1993" s="2">
        <v>0</v>
      </c>
      <c r="Q1993" s="2"/>
      <c r="R1993" s="2">
        <v>0</v>
      </c>
      <c r="T1993" s="2">
        <v>0</v>
      </c>
      <c r="U1993" s="2"/>
      <c r="X1993">
        <v>0</v>
      </c>
      <c r="Z1993">
        <v>0</v>
      </c>
      <c r="AB1993">
        <v>0</v>
      </c>
      <c r="AC1993">
        <v>0</v>
      </c>
      <c r="AD1993">
        <v>0</v>
      </c>
      <c r="AE1993" s="7"/>
      <c r="AF1993" s="7"/>
      <c r="AG1993" s="7"/>
      <c r="AH1993" s="7"/>
      <c r="AI1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3" s="7">
        <v>12</v>
      </c>
      <c r="AK1993" t="s">
        <v>116</v>
      </c>
      <c r="AN1993">
        <f>IFERROR(INT(Table13[[#This Row],[reject_prod]]/Table13[[#This Row],[part_weight]] * 1000), 0)</f>
        <v>0</v>
      </c>
    </row>
    <row r="1994" spans="1:40" hidden="1">
      <c r="A1994" s="1">
        <v>46081</v>
      </c>
      <c r="B1994">
        <v>2</v>
      </c>
      <c r="C1994">
        <v>15</v>
      </c>
      <c r="F1994">
        <v>123456</v>
      </c>
      <c r="G1994" s="6">
        <v>0</v>
      </c>
      <c r="M1994">
        <v>0</v>
      </c>
      <c r="N1994" s="2">
        <v>0</v>
      </c>
      <c r="O1994" s="2">
        <v>0</v>
      </c>
      <c r="P1994" s="2">
        <v>0</v>
      </c>
      <c r="Q1994" s="2"/>
      <c r="R1994" s="2">
        <v>0</v>
      </c>
      <c r="T1994" s="2">
        <v>0</v>
      </c>
      <c r="U1994" s="2"/>
      <c r="X1994">
        <v>0</v>
      </c>
      <c r="Z1994">
        <v>0</v>
      </c>
      <c r="AB1994">
        <v>0</v>
      </c>
      <c r="AC1994">
        <v>0</v>
      </c>
      <c r="AD1994">
        <v>0</v>
      </c>
      <c r="AE1994" s="7"/>
      <c r="AF1994" s="7"/>
      <c r="AG1994" s="7"/>
      <c r="AH1994" s="7"/>
      <c r="AI1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4" s="7">
        <v>12</v>
      </c>
      <c r="AK1994" t="s">
        <v>116</v>
      </c>
      <c r="AN1994">
        <f>IFERROR(INT(Table13[[#This Row],[reject_prod]]/Table13[[#This Row],[part_weight]] * 1000), 0)</f>
        <v>0</v>
      </c>
    </row>
    <row r="1995" spans="1:40" s="4" customFormat="1" hidden="1">
      <c r="A1995" s="3">
        <v>46081</v>
      </c>
      <c r="B1995" s="4">
        <v>2</v>
      </c>
      <c r="C1995" s="4">
        <v>16</v>
      </c>
      <c r="F1995" s="4">
        <v>123456</v>
      </c>
      <c r="G1995" s="9">
        <v>0</v>
      </c>
      <c r="M1995" s="4">
        <v>0</v>
      </c>
      <c r="N1995" s="5">
        <v>0</v>
      </c>
      <c r="O1995" s="5">
        <v>0</v>
      </c>
      <c r="P1995" s="5">
        <v>0</v>
      </c>
      <c r="Q1995" s="5"/>
      <c r="R1995" s="5">
        <v>0</v>
      </c>
      <c r="T1995" s="5">
        <v>0</v>
      </c>
      <c r="U1995" s="5"/>
      <c r="X1995" s="4">
        <v>0</v>
      </c>
      <c r="Z1995" s="4">
        <v>0</v>
      </c>
      <c r="AB1995" s="4">
        <v>0</v>
      </c>
      <c r="AC1995" s="4">
        <v>0</v>
      </c>
      <c r="AD1995" s="4">
        <v>0</v>
      </c>
      <c r="AE1995" s="8"/>
      <c r="AF1995" s="8"/>
      <c r="AG1995" s="8"/>
      <c r="AH1995" s="8"/>
      <c r="AI1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5" s="8">
        <v>12</v>
      </c>
      <c r="AK1995" s="4" t="s">
        <v>116</v>
      </c>
      <c r="AN1995">
        <f>IFERROR(INT(Table13[[#This Row],[reject_prod]]/Table13[[#This Row],[part_weight]] * 1000), 0)</f>
        <v>0</v>
      </c>
    </row>
    <row r="1996" spans="1:40">
      <c r="A1996" s="1">
        <v>46082</v>
      </c>
      <c r="B1996">
        <v>1</v>
      </c>
      <c r="C1996">
        <v>1</v>
      </c>
      <c r="F1996">
        <v>123456</v>
      </c>
      <c r="G1996" s="6">
        <v>0</v>
      </c>
      <c r="M1996">
        <v>0</v>
      </c>
      <c r="N1996" s="2">
        <v>0</v>
      </c>
      <c r="O1996" s="2">
        <v>0</v>
      </c>
      <c r="P1996" s="2">
        <v>0</v>
      </c>
      <c r="Q1996" s="2"/>
      <c r="R1996" s="2">
        <v>0</v>
      </c>
      <c r="T1996" s="2">
        <v>0</v>
      </c>
      <c r="U1996" s="2"/>
      <c r="X1996">
        <v>0</v>
      </c>
      <c r="Z1996">
        <v>0</v>
      </c>
      <c r="AB1996">
        <v>0</v>
      </c>
      <c r="AC1996">
        <v>0</v>
      </c>
      <c r="AD1996">
        <v>0</v>
      </c>
      <c r="AE1996" s="7"/>
      <c r="AF1996" s="7"/>
      <c r="AG1996" s="7"/>
      <c r="AH1996" s="7"/>
      <c r="AI1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6" s="7">
        <v>12</v>
      </c>
      <c r="AK1996" t="s">
        <v>116</v>
      </c>
      <c r="AN1996">
        <f>IFERROR(INT(Table13[[#This Row],[reject_prod]]/Table13[[#This Row],[part_weight]] * 1000), 0)</f>
        <v>0</v>
      </c>
    </row>
    <row r="1997" spans="1:40">
      <c r="A1997" s="1">
        <v>46082</v>
      </c>
      <c r="B1997">
        <v>1</v>
      </c>
      <c r="C1997">
        <v>2</v>
      </c>
      <c r="F1997">
        <v>123456</v>
      </c>
      <c r="G1997" s="6">
        <v>0</v>
      </c>
      <c r="M1997">
        <v>0</v>
      </c>
      <c r="N1997" s="2">
        <v>0</v>
      </c>
      <c r="O1997" s="2">
        <v>0</v>
      </c>
      <c r="P1997" s="2">
        <v>0</v>
      </c>
      <c r="Q1997" s="2"/>
      <c r="R1997" s="2">
        <v>0</v>
      </c>
      <c r="T1997" s="2">
        <v>0</v>
      </c>
      <c r="U1997" s="2"/>
      <c r="X1997">
        <v>0</v>
      </c>
      <c r="Z1997">
        <v>0</v>
      </c>
      <c r="AB1997">
        <v>0</v>
      </c>
      <c r="AC1997">
        <v>0</v>
      </c>
      <c r="AD1997">
        <v>0</v>
      </c>
      <c r="AE1997" s="7"/>
      <c r="AF1997" s="7"/>
      <c r="AG1997" s="7"/>
      <c r="AH1997" s="7"/>
      <c r="AI1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7" s="7">
        <v>12</v>
      </c>
      <c r="AK1997" t="s">
        <v>116</v>
      </c>
      <c r="AN1997">
        <f>IFERROR(INT(Table13[[#This Row],[reject_prod]]/Table13[[#This Row],[part_weight]] * 1000), 0)</f>
        <v>0</v>
      </c>
    </row>
    <row r="1998" spans="1:40">
      <c r="A1998" s="1">
        <v>46082</v>
      </c>
      <c r="B1998">
        <v>1</v>
      </c>
      <c r="C1998">
        <v>3</v>
      </c>
      <c r="F1998">
        <v>123456</v>
      </c>
      <c r="G1998" s="6">
        <v>0</v>
      </c>
      <c r="M1998">
        <v>0</v>
      </c>
      <c r="N1998" s="2">
        <v>0</v>
      </c>
      <c r="O1998" s="2">
        <v>0</v>
      </c>
      <c r="P1998" s="2">
        <v>0</v>
      </c>
      <c r="Q1998" s="2"/>
      <c r="R1998" s="2">
        <v>0</v>
      </c>
      <c r="T1998" s="2">
        <v>0</v>
      </c>
      <c r="U1998" s="2"/>
      <c r="X1998">
        <v>0</v>
      </c>
      <c r="Z1998">
        <v>0</v>
      </c>
      <c r="AB1998">
        <v>0</v>
      </c>
      <c r="AC1998">
        <v>0</v>
      </c>
      <c r="AD1998">
        <v>0</v>
      </c>
      <c r="AE1998" s="7"/>
      <c r="AF1998" s="7"/>
      <c r="AG1998" s="7"/>
      <c r="AH1998" s="7"/>
      <c r="AI1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8" s="7">
        <v>12</v>
      </c>
      <c r="AK1998" t="s">
        <v>116</v>
      </c>
      <c r="AN1998">
        <f>IFERROR(INT(Table13[[#This Row],[reject_prod]]/Table13[[#This Row],[part_weight]] * 1000), 0)</f>
        <v>0</v>
      </c>
    </row>
    <row r="1999" spans="1:40">
      <c r="A1999" s="1">
        <v>46082</v>
      </c>
      <c r="B1999">
        <v>1</v>
      </c>
      <c r="C1999">
        <v>4</v>
      </c>
      <c r="F1999">
        <v>123456</v>
      </c>
      <c r="G1999" s="6">
        <v>0</v>
      </c>
      <c r="M1999">
        <v>0</v>
      </c>
      <c r="N1999" s="2">
        <v>0</v>
      </c>
      <c r="O1999" s="2">
        <v>0</v>
      </c>
      <c r="P1999" s="2">
        <v>0</v>
      </c>
      <c r="Q1999" s="2"/>
      <c r="R1999" s="2">
        <v>0</v>
      </c>
      <c r="T1999" s="2">
        <v>0</v>
      </c>
      <c r="U1999" s="2"/>
      <c r="X1999">
        <v>0</v>
      </c>
      <c r="Z1999">
        <v>0</v>
      </c>
      <c r="AB1999">
        <v>0</v>
      </c>
      <c r="AC1999">
        <v>0</v>
      </c>
      <c r="AD1999">
        <v>0</v>
      </c>
      <c r="AE1999" s="7"/>
      <c r="AF1999" s="7"/>
      <c r="AG1999" s="7"/>
      <c r="AH1999" s="7"/>
      <c r="AI1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9" s="7">
        <v>12</v>
      </c>
      <c r="AK1999" t="s">
        <v>116</v>
      </c>
      <c r="AN1999">
        <f>IFERROR(INT(Table13[[#This Row],[reject_prod]]/Table13[[#This Row],[part_weight]] * 1000), 0)</f>
        <v>0</v>
      </c>
    </row>
    <row r="2000" spans="1:40">
      <c r="A2000" s="1">
        <v>46082</v>
      </c>
      <c r="B2000">
        <v>1</v>
      </c>
      <c r="C2000">
        <v>5</v>
      </c>
      <c r="F2000">
        <v>123456</v>
      </c>
      <c r="G2000" s="6">
        <v>0</v>
      </c>
      <c r="M2000">
        <v>0</v>
      </c>
      <c r="N2000" s="2">
        <v>0</v>
      </c>
      <c r="O2000" s="2">
        <v>0</v>
      </c>
      <c r="P2000" s="2">
        <v>0</v>
      </c>
      <c r="Q2000" s="2"/>
      <c r="R2000" s="2">
        <v>0</v>
      </c>
      <c r="T2000" s="2">
        <v>0</v>
      </c>
      <c r="U2000" s="2"/>
      <c r="X2000">
        <v>0</v>
      </c>
      <c r="Z2000">
        <v>0</v>
      </c>
      <c r="AB2000">
        <v>0</v>
      </c>
      <c r="AC2000">
        <v>0</v>
      </c>
      <c r="AD2000">
        <v>0</v>
      </c>
      <c r="AE2000" s="7"/>
      <c r="AF2000" s="7"/>
      <c r="AG2000" s="7"/>
      <c r="AH2000" s="7"/>
      <c r="AI2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0" s="7">
        <v>12</v>
      </c>
      <c r="AK2000" t="s">
        <v>116</v>
      </c>
      <c r="AN2000">
        <f>IFERROR(INT(Table13[[#This Row],[reject_prod]]/Table13[[#This Row],[part_weight]] * 1000), 0)</f>
        <v>0</v>
      </c>
    </row>
    <row r="2001" spans="1:40">
      <c r="A2001" s="1">
        <v>46082</v>
      </c>
      <c r="B2001">
        <v>1</v>
      </c>
      <c r="C2001">
        <v>6</v>
      </c>
      <c r="F2001">
        <v>123456</v>
      </c>
      <c r="G2001" s="6">
        <v>0</v>
      </c>
      <c r="M2001">
        <v>0</v>
      </c>
      <c r="N2001" s="2">
        <v>0</v>
      </c>
      <c r="O2001" s="2">
        <v>0</v>
      </c>
      <c r="P2001" s="2">
        <v>0</v>
      </c>
      <c r="Q2001" s="2"/>
      <c r="R2001" s="2">
        <v>0</v>
      </c>
      <c r="T2001" s="2">
        <v>0</v>
      </c>
      <c r="U2001" s="2"/>
      <c r="X2001">
        <v>0</v>
      </c>
      <c r="Z2001">
        <v>0</v>
      </c>
      <c r="AB2001">
        <v>0</v>
      </c>
      <c r="AC2001">
        <v>0</v>
      </c>
      <c r="AD2001">
        <v>0</v>
      </c>
      <c r="AE2001" s="7"/>
      <c r="AF2001" s="7"/>
      <c r="AG2001" s="7"/>
      <c r="AH2001" s="7"/>
      <c r="AI2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1" s="7">
        <v>12</v>
      </c>
      <c r="AK2001" t="s">
        <v>116</v>
      </c>
      <c r="AN2001">
        <f>IFERROR(INT(Table13[[#This Row],[reject_prod]]/Table13[[#This Row],[part_weight]] * 1000), 0)</f>
        <v>0</v>
      </c>
    </row>
    <row r="2002" spans="1:40">
      <c r="A2002" s="1">
        <v>46082</v>
      </c>
      <c r="B2002">
        <v>1</v>
      </c>
      <c r="C2002">
        <v>7</v>
      </c>
      <c r="F2002">
        <v>123456</v>
      </c>
      <c r="G2002" s="6">
        <v>0</v>
      </c>
      <c r="M2002">
        <v>0</v>
      </c>
      <c r="N2002" s="2">
        <v>0</v>
      </c>
      <c r="O2002" s="2">
        <v>0</v>
      </c>
      <c r="P2002" s="2">
        <v>0</v>
      </c>
      <c r="Q2002" s="2"/>
      <c r="R2002" s="2">
        <v>0</v>
      </c>
      <c r="T2002" s="2">
        <v>0</v>
      </c>
      <c r="U2002" s="2"/>
      <c r="X2002">
        <v>0</v>
      </c>
      <c r="Z2002">
        <v>0</v>
      </c>
      <c r="AB2002">
        <v>0</v>
      </c>
      <c r="AC2002">
        <v>0</v>
      </c>
      <c r="AD2002">
        <v>0</v>
      </c>
      <c r="AE2002" s="7"/>
      <c r="AF2002" s="7"/>
      <c r="AG2002" s="7"/>
      <c r="AH2002" s="7"/>
      <c r="AI2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2" s="7">
        <v>12</v>
      </c>
      <c r="AK2002" t="s">
        <v>116</v>
      </c>
      <c r="AN2002">
        <f>IFERROR(INT(Table13[[#This Row],[reject_prod]]/Table13[[#This Row],[part_weight]] * 1000), 0)</f>
        <v>0</v>
      </c>
    </row>
    <row r="2003" spans="1:40">
      <c r="A2003" s="1">
        <v>46082</v>
      </c>
      <c r="B2003">
        <v>1</v>
      </c>
      <c r="C2003">
        <v>8</v>
      </c>
      <c r="F2003">
        <v>123456</v>
      </c>
      <c r="G2003" s="6">
        <v>0</v>
      </c>
      <c r="M2003">
        <v>0</v>
      </c>
      <c r="N2003" s="2">
        <v>0</v>
      </c>
      <c r="O2003" s="2">
        <v>0</v>
      </c>
      <c r="P2003" s="2">
        <v>0</v>
      </c>
      <c r="Q2003" s="2"/>
      <c r="R2003" s="2">
        <v>0</v>
      </c>
      <c r="T2003" s="2">
        <v>0</v>
      </c>
      <c r="U2003" s="2"/>
      <c r="X2003">
        <v>0</v>
      </c>
      <c r="Z2003">
        <v>0</v>
      </c>
      <c r="AB2003">
        <v>0</v>
      </c>
      <c r="AC2003">
        <v>0</v>
      </c>
      <c r="AD2003">
        <v>0</v>
      </c>
      <c r="AE2003" s="7"/>
      <c r="AF2003" s="7"/>
      <c r="AG2003" s="7"/>
      <c r="AH2003" s="7"/>
      <c r="AI2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3" s="7">
        <v>12</v>
      </c>
      <c r="AK2003" t="s">
        <v>116</v>
      </c>
      <c r="AN2003">
        <f>IFERROR(INT(Table13[[#This Row],[reject_prod]]/Table13[[#This Row],[part_weight]] * 1000), 0)</f>
        <v>0</v>
      </c>
    </row>
    <row r="2004" spans="1:40">
      <c r="A2004" s="1">
        <v>46082</v>
      </c>
      <c r="B2004">
        <v>1</v>
      </c>
      <c r="C2004">
        <v>9</v>
      </c>
      <c r="F2004">
        <v>123456</v>
      </c>
      <c r="G2004" s="6">
        <v>0</v>
      </c>
      <c r="M2004">
        <v>0</v>
      </c>
      <c r="N2004" s="2">
        <v>0</v>
      </c>
      <c r="O2004" s="2">
        <v>0</v>
      </c>
      <c r="P2004" s="2">
        <v>0</v>
      </c>
      <c r="Q2004" s="2"/>
      <c r="R2004" s="2">
        <v>0</v>
      </c>
      <c r="T2004" s="2">
        <v>0</v>
      </c>
      <c r="U2004" s="2"/>
      <c r="X2004">
        <v>0</v>
      </c>
      <c r="Z2004">
        <v>0</v>
      </c>
      <c r="AB2004">
        <v>0</v>
      </c>
      <c r="AC2004">
        <v>0</v>
      </c>
      <c r="AD2004">
        <v>0</v>
      </c>
      <c r="AE2004" s="7"/>
      <c r="AF2004" s="7"/>
      <c r="AG2004" s="7"/>
      <c r="AH2004" s="7"/>
      <c r="AI2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4" s="7">
        <v>12</v>
      </c>
      <c r="AK2004" t="s">
        <v>116</v>
      </c>
      <c r="AN2004">
        <f>IFERROR(INT(Table13[[#This Row],[reject_prod]]/Table13[[#This Row],[part_weight]] * 1000), 0)</f>
        <v>0</v>
      </c>
    </row>
    <row r="2005" spans="1:40">
      <c r="A2005" s="1">
        <v>46082</v>
      </c>
      <c r="B2005">
        <v>1</v>
      </c>
      <c r="C2005">
        <v>10</v>
      </c>
      <c r="F2005">
        <v>123456</v>
      </c>
      <c r="G2005" s="6">
        <v>0</v>
      </c>
      <c r="M2005">
        <v>0</v>
      </c>
      <c r="N2005" s="2">
        <v>0</v>
      </c>
      <c r="O2005" s="2">
        <v>0</v>
      </c>
      <c r="P2005" s="2">
        <v>0</v>
      </c>
      <c r="Q2005" s="2"/>
      <c r="R2005" s="2">
        <v>0</v>
      </c>
      <c r="T2005" s="2">
        <v>0</v>
      </c>
      <c r="U2005" s="2"/>
      <c r="X2005">
        <v>0</v>
      </c>
      <c r="Z2005">
        <v>0</v>
      </c>
      <c r="AB2005">
        <v>0</v>
      </c>
      <c r="AC2005">
        <v>0</v>
      </c>
      <c r="AD2005">
        <v>0</v>
      </c>
      <c r="AE2005" s="7"/>
      <c r="AF2005" s="7"/>
      <c r="AG2005" s="7"/>
      <c r="AH2005" s="7"/>
      <c r="AI2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5" s="7">
        <v>12</v>
      </c>
      <c r="AK2005" t="s">
        <v>116</v>
      </c>
      <c r="AN2005">
        <f>IFERROR(INT(Table13[[#This Row],[reject_prod]]/Table13[[#This Row],[part_weight]] * 1000), 0)</f>
        <v>0</v>
      </c>
    </row>
    <row r="2006" spans="1:40">
      <c r="A2006" s="1">
        <v>46082</v>
      </c>
      <c r="B2006">
        <v>1</v>
      </c>
      <c r="C2006">
        <v>11</v>
      </c>
      <c r="F2006">
        <v>123456</v>
      </c>
      <c r="G2006" s="6">
        <v>0</v>
      </c>
      <c r="M2006">
        <v>0</v>
      </c>
      <c r="N2006" s="2">
        <v>0</v>
      </c>
      <c r="O2006" s="2">
        <v>0</v>
      </c>
      <c r="P2006" s="2">
        <v>0</v>
      </c>
      <c r="Q2006" s="2"/>
      <c r="R2006" s="2">
        <v>0</v>
      </c>
      <c r="T2006" s="2">
        <v>0</v>
      </c>
      <c r="U2006" s="2"/>
      <c r="X2006">
        <v>0</v>
      </c>
      <c r="Z2006">
        <v>0</v>
      </c>
      <c r="AB2006">
        <v>0</v>
      </c>
      <c r="AC2006">
        <v>0</v>
      </c>
      <c r="AD2006">
        <v>0</v>
      </c>
      <c r="AE2006" s="7"/>
      <c r="AF2006" s="7"/>
      <c r="AG2006" s="7"/>
      <c r="AH2006" s="7"/>
      <c r="AI2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6" s="7">
        <v>12</v>
      </c>
      <c r="AK2006" t="s">
        <v>116</v>
      </c>
      <c r="AN2006">
        <f>IFERROR(INT(Table13[[#This Row],[reject_prod]]/Table13[[#This Row],[part_weight]] * 1000), 0)</f>
        <v>0</v>
      </c>
    </row>
    <row r="2007" spans="1:40">
      <c r="A2007" s="1">
        <v>46082</v>
      </c>
      <c r="B2007">
        <v>1</v>
      </c>
      <c r="C2007">
        <v>12</v>
      </c>
      <c r="F2007">
        <v>123456</v>
      </c>
      <c r="G2007" s="6">
        <v>0</v>
      </c>
      <c r="M2007">
        <v>0</v>
      </c>
      <c r="N2007" s="2">
        <v>0</v>
      </c>
      <c r="O2007" s="2">
        <v>0</v>
      </c>
      <c r="P2007" s="2">
        <v>0</v>
      </c>
      <c r="Q2007" s="2"/>
      <c r="R2007" s="2">
        <v>0</v>
      </c>
      <c r="T2007" s="2">
        <v>0</v>
      </c>
      <c r="U2007" s="2"/>
      <c r="X2007">
        <v>0</v>
      </c>
      <c r="Z2007">
        <v>0</v>
      </c>
      <c r="AB2007">
        <v>0</v>
      </c>
      <c r="AC2007">
        <v>0</v>
      </c>
      <c r="AD2007">
        <v>0</v>
      </c>
      <c r="AE2007" s="7"/>
      <c r="AF2007" s="7"/>
      <c r="AG2007" s="7"/>
      <c r="AH2007" s="7"/>
      <c r="AI2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7" s="7">
        <v>12</v>
      </c>
      <c r="AK2007" t="s">
        <v>116</v>
      </c>
      <c r="AN2007">
        <f>IFERROR(INT(Table13[[#This Row],[reject_prod]]/Table13[[#This Row],[part_weight]] * 1000), 0)</f>
        <v>0</v>
      </c>
    </row>
    <row r="2008" spans="1:40">
      <c r="A2008" s="1">
        <v>46082</v>
      </c>
      <c r="B2008">
        <v>1</v>
      </c>
      <c r="C2008">
        <v>13</v>
      </c>
      <c r="F2008">
        <v>123456</v>
      </c>
      <c r="G2008" s="6">
        <v>0</v>
      </c>
      <c r="M2008">
        <v>0</v>
      </c>
      <c r="N2008" s="2">
        <v>0</v>
      </c>
      <c r="O2008" s="2">
        <v>0</v>
      </c>
      <c r="P2008" s="2">
        <v>0</v>
      </c>
      <c r="Q2008" s="2"/>
      <c r="R2008" s="2">
        <v>0</v>
      </c>
      <c r="T2008" s="2">
        <v>0</v>
      </c>
      <c r="U2008" s="2"/>
      <c r="X2008">
        <v>0</v>
      </c>
      <c r="Z2008">
        <v>0</v>
      </c>
      <c r="AB2008">
        <v>0</v>
      </c>
      <c r="AC2008">
        <v>0</v>
      </c>
      <c r="AD2008">
        <v>0</v>
      </c>
      <c r="AE2008" s="7"/>
      <c r="AF2008" s="7"/>
      <c r="AG2008" s="7"/>
      <c r="AH2008" s="7"/>
      <c r="AI2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8" s="7">
        <v>12</v>
      </c>
      <c r="AK2008" t="s">
        <v>116</v>
      </c>
      <c r="AN2008">
        <f>IFERROR(INT(Table13[[#This Row],[reject_prod]]/Table13[[#This Row],[part_weight]] * 1000), 0)</f>
        <v>0</v>
      </c>
    </row>
    <row r="2009" spans="1:40">
      <c r="A2009" s="1">
        <v>46082</v>
      </c>
      <c r="B2009">
        <v>1</v>
      </c>
      <c r="C2009">
        <v>14</v>
      </c>
      <c r="F2009">
        <v>123456</v>
      </c>
      <c r="G2009" s="6">
        <v>0</v>
      </c>
      <c r="M2009">
        <v>0</v>
      </c>
      <c r="N2009" s="2">
        <v>0</v>
      </c>
      <c r="O2009" s="2">
        <v>0</v>
      </c>
      <c r="P2009" s="2">
        <v>0</v>
      </c>
      <c r="Q2009" s="2"/>
      <c r="R2009" s="2">
        <v>0</v>
      </c>
      <c r="T2009" s="2">
        <v>0</v>
      </c>
      <c r="U2009" s="2"/>
      <c r="X2009">
        <v>0</v>
      </c>
      <c r="Z2009">
        <v>0</v>
      </c>
      <c r="AB2009">
        <v>0</v>
      </c>
      <c r="AC2009">
        <v>0</v>
      </c>
      <c r="AD2009">
        <v>0</v>
      </c>
      <c r="AE2009" s="7"/>
      <c r="AF2009" s="7"/>
      <c r="AG2009" s="7"/>
      <c r="AH2009" s="7"/>
      <c r="AI2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9" s="7">
        <v>12</v>
      </c>
      <c r="AK2009" t="s">
        <v>116</v>
      </c>
      <c r="AN2009">
        <f>IFERROR(INT(Table13[[#This Row],[reject_prod]]/Table13[[#This Row],[part_weight]] * 1000), 0)</f>
        <v>0</v>
      </c>
    </row>
    <row r="2010" spans="1:40">
      <c r="A2010" s="1">
        <v>46082</v>
      </c>
      <c r="B2010">
        <v>1</v>
      </c>
      <c r="C2010">
        <v>15</v>
      </c>
      <c r="F2010">
        <v>123456</v>
      </c>
      <c r="G2010" s="6">
        <v>0</v>
      </c>
      <c r="M2010">
        <v>0</v>
      </c>
      <c r="N2010" s="2">
        <v>0</v>
      </c>
      <c r="O2010" s="2">
        <v>0</v>
      </c>
      <c r="P2010" s="2">
        <v>0</v>
      </c>
      <c r="Q2010" s="2"/>
      <c r="R2010" s="2">
        <v>0</v>
      </c>
      <c r="T2010" s="2">
        <v>0</v>
      </c>
      <c r="U2010" s="2"/>
      <c r="X2010">
        <v>0</v>
      </c>
      <c r="Z2010">
        <v>0</v>
      </c>
      <c r="AB2010">
        <v>0</v>
      </c>
      <c r="AC2010">
        <v>0</v>
      </c>
      <c r="AD2010">
        <v>0</v>
      </c>
      <c r="AE2010" s="7"/>
      <c r="AF2010" s="7"/>
      <c r="AG2010" s="7"/>
      <c r="AH2010" s="7"/>
      <c r="AI2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0" s="7">
        <v>12</v>
      </c>
      <c r="AK2010" t="s">
        <v>116</v>
      </c>
      <c r="AN2010">
        <f>IFERROR(INT(Table13[[#This Row],[reject_prod]]/Table13[[#This Row],[part_weight]] * 1000), 0)</f>
        <v>0</v>
      </c>
    </row>
    <row r="2011" spans="1:40">
      <c r="A2011" s="1">
        <v>46082</v>
      </c>
      <c r="B2011">
        <v>1</v>
      </c>
      <c r="C2011">
        <v>16</v>
      </c>
      <c r="F2011">
        <v>123456</v>
      </c>
      <c r="G2011" s="6">
        <v>0</v>
      </c>
      <c r="M2011">
        <v>0</v>
      </c>
      <c r="N2011" s="2">
        <v>0</v>
      </c>
      <c r="O2011" s="2">
        <v>0</v>
      </c>
      <c r="P2011" s="2">
        <v>0</v>
      </c>
      <c r="Q2011" s="2"/>
      <c r="R2011" s="2">
        <v>0</v>
      </c>
      <c r="T2011" s="2">
        <v>0</v>
      </c>
      <c r="U2011" s="2"/>
      <c r="X2011">
        <v>0</v>
      </c>
      <c r="Z2011">
        <v>0</v>
      </c>
      <c r="AB2011">
        <v>0</v>
      </c>
      <c r="AC2011">
        <v>0</v>
      </c>
      <c r="AD2011">
        <v>0</v>
      </c>
      <c r="AE2011" s="7"/>
      <c r="AF2011" s="7"/>
      <c r="AG2011" s="7"/>
      <c r="AH2011" s="7"/>
      <c r="AI2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1" s="7">
        <v>12</v>
      </c>
      <c r="AK2011" t="s">
        <v>116</v>
      </c>
      <c r="AN2011">
        <f>IFERROR(INT(Table13[[#This Row],[reject_prod]]/Table13[[#This Row],[part_weight]] * 1000), 0)</f>
        <v>0</v>
      </c>
    </row>
    <row r="2012" spans="1:40">
      <c r="A2012" s="1">
        <v>46082</v>
      </c>
      <c r="B2012">
        <v>2</v>
      </c>
      <c r="C2012">
        <v>1</v>
      </c>
      <c r="F2012">
        <v>123456</v>
      </c>
      <c r="G2012" s="6">
        <v>0</v>
      </c>
      <c r="M2012">
        <v>0</v>
      </c>
      <c r="N2012" s="2">
        <v>0</v>
      </c>
      <c r="O2012" s="2">
        <v>0</v>
      </c>
      <c r="P2012" s="2">
        <v>0</v>
      </c>
      <c r="Q2012" s="2"/>
      <c r="R2012" s="2">
        <v>0</v>
      </c>
      <c r="T2012" s="2">
        <v>0</v>
      </c>
      <c r="U2012" s="2"/>
      <c r="X2012">
        <v>0</v>
      </c>
      <c r="Z2012">
        <v>0</v>
      </c>
      <c r="AB2012">
        <v>0</v>
      </c>
      <c r="AC2012">
        <v>0</v>
      </c>
      <c r="AD2012">
        <v>0</v>
      </c>
      <c r="AE2012" s="7"/>
      <c r="AF2012" s="7"/>
      <c r="AG2012" s="7"/>
      <c r="AH2012" s="7"/>
      <c r="AI2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2" s="7">
        <v>12</v>
      </c>
      <c r="AK2012" t="s">
        <v>116</v>
      </c>
      <c r="AN2012">
        <f>IFERROR(INT(Table13[[#This Row],[reject_prod]]/Table13[[#This Row],[part_weight]] * 1000), 0)</f>
        <v>0</v>
      </c>
    </row>
    <row r="2013" spans="1:40">
      <c r="A2013" s="1">
        <v>46082</v>
      </c>
      <c r="B2013">
        <v>2</v>
      </c>
      <c r="C2013">
        <v>2</v>
      </c>
      <c r="F2013">
        <v>123456</v>
      </c>
      <c r="G2013" s="6">
        <v>0</v>
      </c>
      <c r="M2013">
        <v>0</v>
      </c>
      <c r="N2013" s="2">
        <v>0</v>
      </c>
      <c r="O2013" s="2">
        <v>0</v>
      </c>
      <c r="P2013" s="2">
        <v>0</v>
      </c>
      <c r="Q2013" s="2"/>
      <c r="R2013" s="2">
        <v>0</v>
      </c>
      <c r="T2013" s="2">
        <v>0</v>
      </c>
      <c r="U2013" s="2"/>
      <c r="X2013">
        <v>0</v>
      </c>
      <c r="Z2013">
        <v>0</v>
      </c>
      <c r="AB2013">
        <v>0</v>
      </c>
      <c r="AC2013">
        <v>0</v>
      </c>
      <c r="AD2013">
        <v>0</v>
      </c>
      <c r="AE2013" s="7"/>
      <c r="AF2013" s="7"/>
      <c r="AG2013" s="7"/>
      <c r="AH2013" s="7"/>
      <c r="AI2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3" s="7">
        <v>12</v>
      </c>
      <c r="AK2013" t="s">
        <v>116</v>
      </c>
      <c r="AN2013">
        <f>IFERROR(INT(Table13[[#This Row],[reject_prod]]/Table13[[#This Row],[part_weight]] * 1000), 0)</f>
        <v>0</v>
      </c>
    </row>
    <row r="2014" spans="1:40">
      <c r="A2014" s="1">
        <v>46082</v>
      </c>
      <c r="B2014">
        <v>2</v>
      </c>
      <c r="C2014">
        <v>3</v>
      </c>
      <c r="F2014">
        <v>123456</v>
      </c>
      <c r="G2014" s="6">
        <v>0</v>
      </c>
      <c r="M2014">
        <v>0</v>
      </c>
      <c r="N2014" s="2">
        <v>0</v>
      </c>
      <c r="O2014" s="2">
        <v>0</v>
      </c>
      <c r="P2014" s="2">
        <v>0</v>
      </c>
      <c r="Q2014" s="2"/>
      <c r="R2014" s="2">
        <v>0</v>
      </c>
      <c r="T2014" s="2">
        <v>0</v>
      </c>
      <c r="U2014" s="2"/>
      <c r="X2014">
        <v>0</v>
      </c>
      <c r="Z2014">
        <v>0</v>
      </c>
      <c r="AB2014">
        <v>0</v>
      </c>
      <c r="AC2014">
        <v>0</v>
      </c>
      <c r="AD2014">
        <v>0</v>
      </c>
      <c r="AE2014" s="7"/>
      <c r="AF2014" s="7"/>
      <c r="AG2014" s="7"/>
      <c r="AH2014" s="7"/>
      <c r="AI2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4" s="7">
        <v>12</v>
      </c>
      <c r="AK2014" t="s">
        <v>116</v>
      </c>
      <c r="AN2014">
        <f>IFERROR(INT(Table13[[#This Row],[reject_prod]]/Table13[[#This Row],[part_weight]] * 1000), 0)</f>
        <v>0</v>
      </c>
    </row>
    <row r="2015" spans="1:40">
      <c r="A2015" s="1">
        <v>46082</v>
      </c>
      <c r="B2015">
        <v>2</v>
      </c>
      <c r="C2015">
        <v>4</v>
      </c>
      <c r="F2015">
        <v>123456</v>
      </c>
      <c r="G2015" s="6">
        <v>0</v>
      </c>
      <c r="M2015">
        <v>0</v>
      </c>
      <c r="N2015" s="2">
        <v>0</v>
      </c>
      <c r="O2015" s="2">
        <v>0</v>
      </c>
      <c r="P2015" s="2">
        <v>0</v>
      </c>
      <c r="Q2015" s="2"/>
      <c r="R2015" s="2">
        <v>0</v>
      </c>
      <c r="T2015" s="2">
        <v>0</v>
      </c>
      <c r="U2015" s="2"/>
      <c r="X2015">
        <v>0</v>
      </c>
      <c r="Z2015">
        <v>0</v>
      </c>
      <c r="AB2015">
        <v>0</v>
      </c>
      <c r="AC2015">
        <v>0</v>
      </c>
      <c r="AD2015">
        <v>0</v>
      </c>
      <c r="AE2015" s="7"/>
      <c r="AF2015" s="7"/>
      <c r="AG2015" s="7"/>
      <c r="AH2015" s="7"/>
      <c r="AI2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5" s="7">
        <v>12</v>
      </c>
      <c r="AK2015" t="s">
        <v>116</v>
      </c>
      <c r="AN2015">
        <f>IFERROR(INT(Table13[[#This Row],[reject_prod]]/Table13[[#This Row],[part_weight]] * 1000), 0)</f>
        <v>0</v>
      </c>
    </row>
    <row r="2016" spans="1:40">
      <c r="A2016" s="1">
        <v>46082</v>
      </c>
      <c r="B2016">
        <v>2</v>
      </c>
      <c r="C2016">
        <v>5</v>
      </c>
      <c r="F2016">
        <v>123456</v>
      </c>
      <c r="G2016" s="6">
        <v>0</v>
      </c>
      <c r="M2016">
        <v>0</v>
      </c>
      <c r="N2016" s="2">
        <v>0</v>
      </c>
      <c r="O2016" s="2">
        <v>0</v>
      </c>
      <c r="P2016" s="2">
        <v>0</v>
      </c>
      <c r="Q2016" s="2"/>
      <c r="R2016" s="2">
        <v>0</v>
      </c>
      <c r="T2016" s="2">
        <v>0</v>
      </c>
      <c r="U2016" s="2"/>
      <c r="X2016">
        <v>0</v>
      </c>
      <c r="Z2016">
        <v>0</v>
      </c>
      <c r="AB2016">
        <v>0</v>
      </c>
      <c r="AC2016">
        <v>0</v>
      </c>
      <c r="AD2016">
        <v>0</v>
      </c>
      <c r="AE2016" s="7"/>
      <c r="AF2016" s="7"/>
      <c r="AG2016" s="7"/>
      <c r="AH2016" s="7"/>
      <c r="AI2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6" s="7">
        <v>12</v>
      </c>
      <c r="AK2016" t="s">
        <v>116</v>
      </c>
      <c r="AN2016">
        <f>IFERROR(INT(Table13[[#This Row],[reject_prod]]/Table13[[#This Row],[part_weight]] * 1000), 0)</f>
        <v>0</v>
      </c>
    </row>
    <row r="2017" spans="1:40">
      <c r="A2017" s="1">
        <v>46082</v>
      </c>
      <c r="B2017">
        <v>2</v>
      </c>
      <c r="C2017">
        <v>6</v>
      </c>
      <c r="F2017">
        <v>123456</v>
      </c>
      <c r="G2017" s="6">
        <v>0</v>
      </c>
      <c r="M2017">
        <v>0</v>
      </c>
      <c r="N2017" s="2">
        <v>0</v>
      </c>
      <c r="O2017" s="2">
        <v>0</v>
      </c>
      <c r="P2017" s="2">
        <v>0</v>
      </c>
      <c r="Q2017" s="2"/>
      <c r="R2017" s="2">
        <v>0</v>
      </c>
      <c r="T2017" s="2">
        <v>0</v>
      </c>
      <c r="U2017" s="2"/>
      <c r="X2017">
        <v>0</v>
      </c>
      <c r="Z2017">
        <v>0</v>
      </c>
      <c r="AB2017">
        <v>0</v>
      </c>
      <c r="AC2017">
        <v>0</v>
      </c>
      <c r="AD2017">
        <v>0</v>
      </c>
      <c r="AE2017" s="7"/>
      <c r="AF2017" s="7"/>
      <c r="AG2017" s="7"/>
      <c r="AH2017" s="7"/>
      <c r="AI2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7" s="7">
        <v>12</v>
      </c>
      <c r="AK2017" t="s">
        <v>116</v>
      </c>
      <c r="AN2017">
        <f>IFERROR(INT(Table13[[#This Row],[reject_prod]]/Table13[[#This Row],[part_weight]] * 1000), 0)</f>
        <v>0</v>
      </c>
    </row>
    <row r="2018" spans="1:40">
      <c r="A2018" s="1">
        <v>46082</v>
      </c>
      <c r="B2018">
        <v>2</v>
      </c>
      <c r="C2018">
        <v>7</v>
      </c>
      <c r="F2018">
        <v>123456</v>
      </c>
      <c r="G2018" s="6">
        <v>0</v>
      </c>
      <c r="M2018">
        <v>0</v>
      </c>
      <c r="N2018" s="2">
        <v>0</v>
      </c>
      <c r="O2018" s="2">
        <v>0</v>
      </c>
      <c r="P2018" s="2">
        <v>0</v>
      </c>
      <c r="Q2018" s="2"/>
      <c r="R2018" s="2">
        <v>0</v>
      </c>
      <c r="T2018" s="2">
        <v>0</v>
      </c>
      <c r="U2018" s="2"/>
      <c r="X2018">
        <v>0</v>
      </c>
      <c r="Z2018">
        <v>0</v>
      </c>
      <c r="AB2018">
        <v>0</v>
      </c>
      <c r="AC2018">
        <v>0</v>
      </c>
      <c r="AD2018">
        <v>0</v>
      </c>
      <c r="AE2018" s="7"/>
      <c r="AF2018" s="7"/>
      <c r="AG2018" s="7"/>
      <c r="AH2018" s="7"/>
      <c r="AI2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8" s="7">
        <v>12</v>
      </c>
      <c r="AK2018" t="s">
        <v>116</v>
      </c>
      <c r="AN2018">
        <f>IFERROR(INT(Table13[[#This Row],[reject_prod]]/Table13[[#This Row],[part_weight]] * 1000), 0)</f>
        <v>0</v>
      </c>
    </row>
    <row r="2019" spans="1:40">
      <c r="A2019" s="1">
        <v>46082</v>
      </c>
      <c r="B2019">
        <v>2</v>
      </c>
      <c r="C2019">
        <v>8</v>
      </c>
      <c r="F2019">
        <v>123456</v>
      </c>
      <c r="G2019" s="6">
        <v>0</v>
      </c>
      <c r="M2019">
        <v>0</v>
      </c>
      <c r="N2019" s="2">
        <v>0</v>
      </c>
      <c r="O2019" s="2">
        <v>0</v>
      </c>
      <c r="P2019" s="2">
        <v>0</v>
      </c>
      <c r="Q2019" s="2"/>
      <c r="R2019" s="2">
        <v>0</v>
      </c>
      <c r="T2019" s="2">
        <v>0</v>
      </c>
      <c r="U2019" s="2"/>
      <c r="X2019">
        <v>0</v>
      </c>
      <c r="Z2019">
        <v>0</v>
      </c>
      <c r="AB2019">
        <v>0</v>
      </c>
      <c r="AC2019">
        <v>0</v>
      </c>
      <c r="AD2019">
        <v>0</v>
      </c>
      <c r="AE2019" s="7"/>
      <c r="AF2019" s="7"/>
      <c r="AG2019" s="7"/>
      <c r="AH2019" s="7"/>
      <c r="AI2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9" s="7">
        <v>12</v>
      </c>
      <c r="AK2019" t="s">
        <v>116</v>
      </c>
      <c r="AN2019">
        <f>IFERROR(INT(Table13[[#This Row],[reject_prod]]/Table13[[#This Row],[part_weight]] * 1000), 0)</f>
        <v>0</v>
      </c>
    </row>
    <row r="2020" spans="1:40">
      <c r="A2020" s="1">
        <v>46082</v>
      </c>
      <c r="B2020">
        <v>2</v>
      </c>
      <c r="C2020">
        <v>9</v>
      </c>
      <c r="F2020">
        <v>123456</v>
      </c>
      <c r="G2020" s="6">
        <v>0</v>
      </c>
      <c r="M2020">
        <v>0</v>
      </c>
      <c r="N2020" s="2">
        <v>0</v>
      </c>
      <c r="O2020" s="2">
        <v>0</v>
      </c>
      <c r="P2020" s="2">
        <v>0</v>
      </c>
      <c r="Q2020" s="2"/>
      <c r="R2020" s="2">
        <v>0</v>
      </c>
      <c r="T2020" s="2">
        <v>0</v>
      </c>
      <c r="U2020" s="2"/>
      <c r="X2020">
        <v>0</v>
      </c>
      <c r="Z2020">
        <v>0</v>
      </c>
      <c r="AB2020">
        <v>0</v>
      </c>
      <c r="AC2020">
        <v>0</v>
      </c>
      <c r="AD2020">
        <v>0</v>
      </c>
      <c r="AE2020" s="7"/>
      <c r="AF2020" s="7"/>
      <c r="AG2020" s="7"/>
      <c r="AH2020" s="7"/>
      <c r="AI2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0" s="7">
        <v>12</v>
      </c>
      <c r="AK2020" t="s">
        <v>116</v>
      </c>
      <c r="AN2020">
        <f>IFERROR(INT(Table13[[#This Row],[reject_prod]]/Table13[[#This Row],[part_weight]] * 1000), 0)</f>
        <v>0</v>
      </c>
    </row>
    <row r="2021" spans="1:40">
      <c r="A2021" s="1">
        <v>46082</v>
      </c>
      <c r="B2021">
        <v>2</v>
      </c>
      <c r="C2021">
        <v>10</v>
      </c>
      <c r="F2021">
        <v>123456</v>
      </c>
      <c r="G2021" s="6">
        <v>0</v>
      </c>
      <c r="M2021">
        <v>0</v>
      </c>
      <c r="N2021" s="2">
        <v>0</v>
      </c>
      <c r="O2021" s="2">
        <v>0</v>
      </c>
      <c r="P2021" s="2">
        <v>0</v>
      </c>
      <c r="Q2021" s="2"/>
      <c r="R2021" s="2">
        <v>0</v>
      </c>
      <c r="T2021" s="2">
        <v>0</v>
      </c>
      <c r="U2021" s="2"/>
      <c r="X2021">
        <v>0</v>
      </c>
      <c r="Z2021">
        <v>0</v>
      </c>
      <c r="AB2021">
        <v>0</v>
      </c>
      <c r="AC2021">
        <v>0</v>
      </c>
      <c r="AD2021">
        <v>0</v>
      </c>
      <c r="AE2021" s="7"/>
      <c r="AF2021" s="7"/>
      <c r="AG2021" s="7"/>
      <c r="AH2021" s="7"/>
      <c r="AI2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1" s="7">
        <v>12</v>
      </c>
      <c r="AK2021" t="s">
        <v>116</v>
      </c>
      <c r="AN2021">
        <f>IFERROR(INT(Table13[[#This Row],[reject_prod]]/Table13[[#This Row],[part_weight]] * 1000), 0)</f>
        <v>0</v>
      </c>
    </row>
    <row r="2022" spans="1:40">
      <c r="A2022" s="1">
        <v>46082</v>
      </c>
      <c r="B2022">
        <v>2</v>
      </c>
      <c r="C2022">
        <v>11</v>
      </c>
      <c r="F2022">
        <v>123456</v>
      </c>
      <c r="G2022" s="6">
        <v>0</v>
      </c>
      <c r="M2022">
        <v>0</v>
      </c>
      <c r="N2022" s="2">
        <v>0</v>
      </c>
      <c r="O2022" s="2">
        <v>0</v>
      </c>
      <c r="P2022" s="2">
        <v>0</v>
      </c>
      <c r="Q2022" s="2"/>
      <c r="R2022" s="2">
        <v>0</v>
      </c>
      <c r="T2022" s="2">
        <v>0</v>
      </c>
      <c r="U2022" s="2"/>
      <c r="X2022">
        <v>0</v>
      </c>
      <c r="Z2022">
        <v>0</v>
      </c>
      <c r="AB2022">
        <v>0</v>
      </c>
      <c r="AC2022">
        <v>0</v>
      </c>
      <c r="AD2022">
        <v>0</v>
      </c>
      <c r="AE2022" s="7"/>
      <c r="AF2022" s="7"/>
      <c r="AG2022" s="7"/>
      <c r="AH2022" s="7"/>
      <c r="AI2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2" s="7">
        <v>12</v>
      </c>
      <c r="AK2022" t="s">
        <v>116</v>
      </c>
      <c r="AN2022">
        <f>IFERROR(INT(Table13[[#This Row],[reject_prod]]/Table13[[#This Row],[part_weight]] * 1000), 0)</f>
        <v>0</v>
      </c>
    </row>
    <row r="2023" spans="1:40">
      <c r="A2023" s="1">
        <v>46082</v>
      </c>
      <c r="B2023">
        <v>2</v>
      </c>
      <c r="C2023">
        <v>12</v>
      </c>
      <c r="F2023">
        <v>123456</v>
      </c>
      <c r="G2023" s="6">
        <v>0</v>
      </c>
      <c r="M2023">
        <v>0</v>
      </c>
      <c r="N2023" s="2">
        <v>0</v>
      </c>
      <c r="O2023" s="2">
        <v>0</v>
      </c>
      <c r="P2023" s="2">
        <v>0</v>
      </c>
      <c r="Q2023" s="2"/>
      <c r="R2023" s="2">
        <v>0</v>
      </c>
      <c r="T2023" s="2">
        <v>0</v>
      </c>
      <c r="U2023" s="2"/>
      <c r="X2023">
        <v>0</v>
      </c>
      <c r="Z2023">
        <v>0</v>
      </c>
      <c r="AB2023">
        <v>0</v>
      </c>
      <c r="AC2023">
        <v>0</v>
      </c>
      <c r="AD2023">
        <v>0</v>
      </c>
      <c r="AE2023" s="7"/>
      <c r="AF2023" s="7"/>
      <c r="AG2023" s="7"/>
      <c r="AH2023" s="7"/>
      <c r="AI2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3" s="7">
        <v>12</v>
      </c>
      <c r="AK2023" t="s">
        <v>116</v>
      </c>
      <c r="AN2023">
        <f>IFERROR(INT(Table13[[#This Row],[reject_prod]]/Table13[[#This Row],[part_weight]] * 1000), 0)</f>
        <v>0</v>
      </c>
    </row>
    <row r="2024" spans="1:40">
      <c r="A2024" s="1">
        <v>46082</v>
      </c>
      <c r="B2024">
        <v>2</v>
      </c>
      <c r="C2024">
        <v>13</v>
      </c>
      <c r="F2024">
        <v>123456</v>
      </c>
      <c r="G2024" s="6">
        <v>0</v>
      </c>
      <c r="M2024">
        <v>0</v>
      </c>
      <c r="N2024" s="2">
        <v>0</v>
      </c>
      <c r="O2024" s="2">
        <v>0</v>
      </c>
      <c r="P2024" s="2">
        <v>0</v>
      </c>
      <c r="Q2024" s="2"/>
      <c r="R2024" s="2">
        <v>0</v>
      </c>
      <c r="T2024" s="2">
        <v>0</v>
      </c>
      <c r="U2024" s="2"/>
      <c r="X2024">
        <v>0</v>
      </c>
      <c r="Z2024">
        <v>0</v>
      </c>
      <c r="AB2024">
        <v>0</v>
      </c>
      <c r="AC2024">
        <v>0</v>
      </c>
      <c r="AD2024">
        <v>0</v>
      </c>
      <c r="AE2024" s="7"/>
      <c r="AF2024" s="7"/>
      <c r="AG2024" s="7"/>
      <c r="AH2024" s="7"/>
      <c r="AI2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4" s="7">
        <v>12</v>
      </c>
      <c r="AK2024" t="s">
        <v>116</v>
      </c>
      <c r="AN2024">
        <f>IFERROR(INT(Table13[[#This Row],[reject_prod]]/Table13[[#This Row],[part_weight]] * 1000), 0)</f>
        <v>0</v>
      </c>
    </row>
    <row r="2025" spans="1:40">
      <c r="A2025" s="1">
        <v>46082</v>
      </c>
      <c r="B2025">
        <v>2</v>
      </c>
      <c r="C2025">
        <v>14</v>
      </c>
      <c r="F2025">
        <v>123456</v>
      </c>
      <c r="G2025" s="6">
        <v>0</v>
      </c>
      <c r="M2025">
        <v>0</v>
      </c>
      <c r="N2025" s="2">
        <v>0</v>
      </c>
      <c r="O2025" s="2">
        <v>0</v>
      </c>
      <c r="P2025" s="2">
        <v>0</v>
      </c>
      <c r="Q2025" s="2"/>
      <c r="R2025" s="2">
        <v>0</v>
      </c>
      <c r="T2025" s="2">
        <v>0</v>
      </c>
      <c r="U2025" s="2"/>
      <c r="X2025">
        <v>0</v>
      </c>
      <c r="Z2025">
        <v>0</v>
      </c>
      <c r="AB2025">
        <v>0</v>
      </c>
      <c r="AC2025">
        <v>0</v>
      </c>
      <c r="AD2025">
        <v>0</v>
      </c>
      <c r="AE2025" s="7"/>
      <c r="AF2025" s="7"/>
      <c r="AG2025" s="7"/>
      <c r="AH2025" s="7"/>
      <c r="AI2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5" s="7">
        <v>12</v>
      </c>
      <c r="AK2025" t="s">
        <v>116</v>
      </c>
      <c r="AN2025">
        <f>IFERROR(INT(Table13[[#This Row],[reject_prod]]/Table13[[#This Row],[part_weight]] * 1000), 0)</f>
        <v>0</v>
      </c>
    </row>
    <row r="2026" spans="1:40">
      <c r="A2026" s="1">
        <v>46082</v>
      </c>
      <c r="B2026">
        <v>2</v>
      </c>
      <c r="C2026">
        <v>15</v>
      </c>
      <c r="F2026">
        <v>123456</v>
      </c>
      <c r="G2026" s="6">
        <v>0</v>
      </c>
      <c r="M2026">
        <v>0</v>
      </c>
      <c r="N2026" s="2">
        <v>0</v>
      </c>
      <c r="O2026" s="2">
        <v>0</v>
      </c>
      <c r="P2026" s="2">
        <v>0</v>
      </c>
      <c r="Q2026" s="2"/>
      <c r="R2026" s="2">
        <v>0</v>
      </c>
      <c r="T2026" s="2">
        <v>0</v>
      </c>
      <c r="U2026" s="2"/>
      <c r="X2026">
        <v>0</v>
      </c>
      <c r="Z2026">
        <v>0</v>
      </c>
      <c r="AB2026">
        <v>0</v>
      </c>
      <c r="AC2026">
        <v>0</v>
      </c>
      <c r="AD2026">
        <v>0</v>
      </c>
      <c r="AE2026" s="7"/>
      <c r="AF2026" s="7"/>
      <c r="AG2026" s="7"/>
      <c r="AH2026" s="7"/>
      <c r="AI2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6" s="7">
        <v>12</v>
      </c>
      <c r="AK2026" t="s">
        <v>116</v>
      </c>
      <c r="AN2026">
        <f>IFERROR(INT(Table13[[#This Row],[reject_prod]]/Table13[[#This Row],[part_weight]] * 1000), 0)</f>
        <v>0</v>
      </c>
    </row>
    <row r="2027" spans="1:40">
      <c r="A2027" s="1">
        <v>46082</v>
      </c>
      <c r="B2027">
        <v>2</v>
      </c>
      <c r="C2027">
        <v>16</v>
      </c>
      <c r="F2027">
        <v>123456</v>
      </c>
      <c r="G2027" s="6">
        <v>0</v>
      </c>
      <c r="M2027">
        <v>0</v>
      </c>
      <c r="N2027" s="2">
        <v>0</v>
      </c>
      <c r="O2027" s="2">
        <v>0</v>
      </c>
      <c r="P2027" s="2">
        <v>0</v>
      </c>
      <c r="Q2027" s="2"/>
      <c r="R2027" s="2">
        <v>0</v>
      </c>
      <c r="T2027" s="2">
        <v>0</v>
      </c>
      <c r="U2027" s="2"/>
      <c r="X2027">
        <v>0</v>
      </c>
      <c r="Z2027">
        <v>0</v>
      </c>
      <c r="AB2027">
        <v>0</v>
      </c>
      <c r="AC2027">
        <v>0</v>
      </c>
      <c r="AD2027">
        <v>0</v>
      </c>
      <c r="AE2027" s="7"/>
      <c r="AF2027" s="7"/>
      <c r="AG2027" s="7"/>
      <c r="AH2027" s="7"/>
      <c r="AI2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7" s="7">
        <v>12</v>
      </c>
      <c r="AK2027" t="s">
        <v>116</v>
      </c>
      <c r="AN2027">
        <f>IFERROR(INT(Table13[[#This Row],[reject_prod]]/Table13[[#This Row],[part_weight]] * 1000), 0)</f>
        <v>0</v>
      </c>
    </row>
    <row r="2028" spans="1:40">
      <c r="A2028" s="1">
        <v>46083</v>
      </c>
      <c r="B2028">
        <v>1</v>
      </c>
      <c r="C2028">
        <v>1</v>
      </c>
      <c r="D2028" t="s">
        <v>33</v>
      </c>
      <c r="E2028" t="s">
        <v>34</v>
      </c>
      <c r="F2028">
        <v>324212</v>
      </c>
      <c r="G2028" s="6">
        <v>0</v>
      </c>
      <c r="H2028" t="s">
        <v>1055</v>
      </c>
      <c r="I2028">
        <v>10688490</v>
      </c>
      <c r="J2028">
        <v>4</v>
      </c>
      <c r="K2028">
        <v>16</v>
      </c>
      <c r="L2028">
        <v>16</v>
      </c>
      <c r="M2028">
        <v>0</v>
      </c>
      <c r="N2028" s="2">
        <v>10240</v>
      </c>
      <c r="O2028" s="2">
        <v>0</v>
      </c>
      <c r="P2028" s="2">
        <v>0</v>
      </c>
      <c r="Q2028" s="2">
        <v>0</v>
      </c>
      <c r="R2028" s="2">
        <v>0</v>
      </c>
      <c r="S2028">
        <v>0</v>
      </c>
      <c r="T2028" s="2">
        <v>0</v>
      </c>
      <c r="U2028" s="2">
        <v>10240</v>
      </c>
      <c r="V2028">
        <v>0</v>
      </c>
      <c r="W2028">
        <v>0</v>
      </c>
      <c r="X2028">
        <v>0</v>
      </c>
      <c r="Y2028" t="e">
        <v>#DIV/0!</v>
      </c>
      <c r="Z2028">
        <v>0</v>
      </c>
      <c r="AA2028" t="e">
        <v>#DIV/0!</v>
      </c>
      <c r="AB2028">
        <v>20</v>
      </c>
      <c r="AC2028">
        <v>0</v>
      </c>
      <c r="AD2028">
        <v>18.32</v>
      </c>
      <c r="AE2028" s="7">
        <v>5.5</v>
      </c>
      <c r="AF2028" s="7"/>
      <c r="AG2028" s="7"/>
      <c r="AH2028" s="7"/>
      <c r="AI2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028" s="7"/>
      <c r="AK2028" t="s">
        <v>1056</v>
      </c>
      <c r="AL2028">
        <v>5</v>
      </c>
      <c r="AM2028">
        <v>3</v>
      </c>
      <c r="AN2028">
        <f>IFERROR(INT(Table13[[#This Row],[reject_prod]]/Table13[[#This Row],[part_weight]] * 1000), 0)</f>
        <v>0</v>
      </c>
    </row>
    <row r="2029" spans="1:40">
      <c r="A2029" s="1">
        <v>46083</v>
      </c>
      <c r="B2029">
        <v>1</v>
      </c>
      <c r="C2029">
        <v>2</v>
      </c>
      <c r="D2029" t="s">
        <v>152</v>
      </c>
      <c r="E2029" t="s">
        <v>34</v>
      </c>
      <c r="F2029">
        <v>543590</v>
      </c>
      <c r="G2029" s="6">
        <v>0</v>
      </c>
      <c r="H2029" t="s">
        <v>913</v>
      </c>
      <c r="I2029">
        <v>10687749</v>
      </c>
      <c r="J2029">
        <v>4</v>
      </c>
      <c r="K2029">
        <v>19</v>
      </c>
      <c r="L2029">
        <v>19</v>
      </c>
      <c r="M2029">
        <v>1856</v>
      </c>
      <c r="N2029" s="2">
        <v>132440</v>
      </c>
      <c r="O2029" s="2">
        <v>1232</v>
      </c>
      <c r="P2029" s="2">
        <v>1078</v>
      </c>
      <c r="Q2029" s="2">
        <v>7424</v>
      </c>
      <c r="R2029" s="2">
        <v>7392</v>
      </c>
      <c r="S2029">
        <v>140.44800000000001</v>
      </c>
      <c r="T2029" s="2">
        <v>126742</v>
      </c>
      <c r="U2029" s="2">
        <v>5698</v>
      </c>
      <c r="V2029">
        <v>141.05600000000001</v>
      </c>
      <c r="W2029">
        <v>0</v>
      </c>
      <c r="X2029">
        <v>2.5</v>
      </c>
      <c r="Y2029">
        <v>1.7723457000000001E-2</v>
      </c>
      <c r="Z2029">
        <v>1</v>
      </c>
      <c r="AA2029">
        <v>7.0893830000000003E-3</v>
      </c>
      <c r="AB2029">
        <v>19.7</v>
      </c>
      <c r="AC2029">
        <v>10.15644444</v>
      </c>
      <c r="AD2029">
        <v>18.72</v>
      </c>
      <c r="AE2029" s="7"/>
      <c r="AF2029" s="7"/>
      <c r="AG2029" s="7"/>
      <c r="AH2029" s="7"/>
      <c r="AI2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1.8435555600000004</v>
      </c>
      <c r="AJ2029" s="7"/>
      <c r="AK2029" t="s">
        <v>193</v>
      </c>
      <c r="AL2029">
        <v>5</v>
      </c>
      <c r="AM2029">
        <v>4</v>
      </c>
      <c r="AN2029">
        <f>IFERROR(INT(Table13[[#This Row],[reject_prod]]/Table13[[#This Row],[part_weight]] * 1000), 0)</f>
        <v>52</v>
      </c>
    </row>
    <row r="2030" spans="1:40">
      <c r="A2030" s="1">
        <v>46083</v>
      </c>
      <c r="B2030">
        <v>1</v>
      </c>
      <c r="C2030">
        <v>3</v>
      </c>
      <c r="D2030" t="s">
        <v>1057</v>
      </c>
      <c r="E2030" t="s">
        <v>34</v>
      </c>
      <c r="F2030">
        <v>442034</v>
      </c>
      <c r="G2030" s="6">
        <v>0</v>
      </c>
      <c r="H2030" t="s">
        <v>37</v>
      </c>
      <c r="I2030">
        <v>10685634</v>
      </c>
      <c r="J2030">
        <v>4</v>
      </c>
      <c r="K2030">
        <v>23</v>
      </c>
      <c r="L2030">
        <v>23</v>
      </c>
      <c r="M2030">
        <v>1223</v>
      </c>
      <c r="N2030" s="2">
        <v>139776</v>
      </c>
      <c r="O2030" s="2">
        <v>2688</v>
      </c>
      <c r="P2030" s="2">
        <v>2688</v>
      </c>
      <c r="Q2030" s="2">
        <v>4892</v>
      </c>
      <c r="R2030" s="2">
        <v>4608</v>
      </c>
      <c r="S2030">
        <v>105.98399999999999</v>
      </c>
      <c r="T2030" s="2">
        <v>117888</v>
      </c>
      <c r="U2030" s="2">
        <v>21888</v>
      </c>
      <c r="V2030">
        <v>112.51600000000001</v>
      </c>
      <c r="W2030">
        <v>0</v>
      </c>
      <c r="X2030">
        <v>5</v>
      </c>
      <c r="Y2030">
        <v>4.4438124000000002E-2</v>
      </c>
      <c r="Z2030">
        <v>1.5</v>
      </c>
      <c r="AA2030">
        <v>1.3331437E-2</v>
      </c>
      <c r="AB2030">
        <v>28.5</v>
      </c>
      <c r="AC2030">
        <v>9.6820833329999996</v>
      </c>
      <c r="AD2030">
        <v>22</v>
      </c>
      <c r="AE2030" s="7"/>
      <c r="AF2030" s="7"/>
      <c r="AG2030" s="7"/>
      <c r="AH2030" s="7"/>
      <c r="AI2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2.3179166670000004</v>
      </c>
      <c r="AJ2030" s="7"/>
      <c r="AK2030" t="s">
        <v>1013</v>
      </c>
      <c r="AL2030">
        <v>3</v>
      </c>
      <c r="AM2030">
        <v>2</v>
      </c>
      <c r="AN2030">
        <f>IFERROR(INT(Table13[[#This Row],[reject_prod]]/Table13[[#This Row],[part_weight]] * 1000), 0)</f>
        <v>65</v>
      </c>
    </row>
    <row r="2031" spans="1:40">
      <c r="A2031" s="1">
        <v>46083</v>
      </c>
      <c r="B2031">
        <v>1</v>
      </c>
      <c r="C2031">
        <v>4</v>
      </c>
      <c r="D2031" t="s">
        <v>141</v>
      </c>
      <c r="E2031" t="s">
        <v>34</v>
      </c>
      <c r="F2031">
        <v>451191</v>
      </c>
      <c r="G2031" s="6">
        <v>0</v>
      </c>
      <c r="H2031" t="s">
        <v>946</v>
      </c>
      <c r="I2031">
        <v>10688499</v>
      </c>
      <c r="J2031">
        <v>4</v>
      </c>
      <c r="K2031">
        <v>29</v>
      </c>
      <c r="L2031">
        <v>29</v>
      </c>
      <c r="M2031">
        <v>901</v>
      </c>
      <c r="N2031" s="2">
        <v>14850</v>
      </c>
      <c r="O2031" s="2">
        <v>594</v>
      </c>
      <c r="P2031" s="2">
        <v>0</v>
      </c>
      <c r="Q2031" s="2">
        <v>3604</v>
      </c>
      <c r="R2031" s="2">
        <v>4158</v>
      </c>
      <c r="S2031">
        <v>120.58199999999999</v>
      </c>
      <c r="T2031" s="2">
        <v>14850</v>
      </c>
      <c r="U2031" s="2">
        <v>0</v>
      </c>
      <c r="V2031">
        <v>104.51600000000001</v>
      </c>
      <c r="W2031">
        <v>0</v>
      </c>
      <c r="X2031">
        <v>1</v>
      </c>
      <c r="Y2031">
        <v>9.5679130000000008E-3</v>
      </c>
      <c r="Z2031">
        <v>0</v>
      </c>
      <c r="AA2031">
        <v>0</v>
      </c>
      <c r="AB2031">
        <v>25.6</v>
      </c>
      <c r="AC2031">
        <v>6.4071111109999999</v>
      </c>
      <c r="AD2031">
        <v>24</v>
      </c>
      <c r="AE2031" s="7"/>
      <c r="AF2031" s="7"/>
      <c r="AG2031" s="7"/>
      <c r="AH2031" s="7"/>
      <c r="AI2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5.5928888890000001</v>
      </c>
      <c r="AJ2031" s="7"/>
      <c r="AK2031" t="s">
        <v>1058</v>
      </c>
      <c r="AN2031">
        <f>IFERROR(INT(Table13[[#This Row],[reject_prod]]/Table13[[#This Row],[part_weight]] * 1000), 0)</f>
        <v>0</v>
      </c>
    </row>
    <row r="2032" spans="1:40">
      <c r="A2032" s="1">
        <v>46083</v>
      </c>
      <c r="B2032">
        <v>1</v>
      </c>
      <c r="C2032">
        <v>4</v>
      </c>
      <c r="D2032" t="s">
        <v>141</v>
      </c>
      <c r="E2032" t="s">
        <v>34</v>
      </c>
      <c r="F2032">
        <v>402305</v>
      </c>
      <c r="G2032" s="6">
        <v>0</v>
      </c>
      <c r="H2032" t="s">
        <v>395</v>
      </c>
      <c r="I2032">
        <v>10688065</v>
      </c>
      <c r="J2032">
        <v>4</v>
      </c>
      <c r="K2032">
        <v>29</v>
      </c>
      <c r="L2032">
        <v>29</v>
      </c>
      <c r="M2032">
        <v>0</v>
      </c>
      <c r="N2032" s="2">
        <v>44928</v>
      </c>
      <c r="O2032" s="2">
        <v>0</v>
      </c>
      <c r="P2032" s="2">
        <v>0</v>
      </c>
      <c r="Q2032" s="2">
        <v>0</v>
      </c>
      <c r="R2032" s="2">
        <v>0</v>
      </c>
      <c r="S2032">
        <v>0</v>
      </c>
      <c r="T2032" s="2">
        <v>0</v>
      </c>
      <c r="U2032" s="2">
        <v>44928</v>
      </c>
      <c r="V2032">
        <v>0</v>
      </c>
      <c r="W2032">
        <v>0</v>
      </c>
      <c r="X2032">
        <v>6.5</v>
      </c>
      <c r="Y2032" t="e">
        <v>#DIV/0!</v>
      </c>
      <c r="Z2032">
        <v>0</v>
      </c>
      <c r="AA2032" t="e">
        <v>#DIV/0!</v>
      </c>
      <c r="AB2032">
        <v>25.6</v>
      </c>
      <c r="AC2032">
        <v>0</v>
      </c>
      <c r="AD2032">
        <v>22</v>
      </c>
      <c r="AE2032" s="7"/>
      <c r="AF2032" s="7"/>
      <c r="AG2032" s="7">
        <v>1.5</v>
      </c>
      <c r="AH2032" s="7"/>
      <c r="AI2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032" s="7"/>
      <c r="AK2032" t="s">
        <v>849</v>
      </c>
      <c r="AL2032">
        <v>9</v>
      </c>
      <c r="AM2032">
        <v>7</v>
      </c>
      <c r="AN2032">
        <f>IFERROR(INT(Table13[[#This Row],[reject_prod]]/Table13[[#This Row],[part_weight]] * 1000), 0)</f>
        <v>0</v>
      </c>
    </row>
    <row r="2033" spans="1:40">
      <c r="A2033" s="1">
        <v>46083</v>
      </c>
      <c r="B2033">
        <v>1</v>
      </c>
      <c r="C2033">
        <v>5</v>
      </c>
      <c r="D2033" t="s">
        <v>170</v>
      </c>
      <c r="E2033" t="s">
        <v>34</v>
      </c>
      <c r="F2033">
        <v>322448</v>
      </c>
      <c r="G2033" s="6">
        <v>0</v>
      </c>
      <c r="H2033" t="s">
        <v>654</v>
      </c>
      <c r="I2033">
        <v>10687753</v>
      </c>
      <c r="J2033">
        <v>4</v>
      </c>
      <c r="K2033">
        <v>40</v>
      </c>
      <c r="L2033">
        <v>40</v>
      </c>
      <c r="M2033">
        <v>1240</v>
      </c>
      <c r="N2033" s="2">
        <v>174960</v>
      </c>
      <c r="O2033" s="2">
        <v>810</v>
      </c>
      <c r="P2033" s="2">
        <v>810</v>
      </c>
      <c r="Q2033" s="2">
        <v>4960</v>
      </c>
      <c r="R2033" s="2">
        <v>4860</v>
      </c>
      <c r="S2033">
        <v>194.4</v>
      </c>
      <c r="T2033" s="2">
        <v>42930</v>
      </c>
      <c r="U2033" s="2">
        <v>132030</v>
      </c>
      <c r="V2033">
        <v>198.4</v>
      </c>
      <c r="W2033">
        <v>0</v>
      </c>
      <c r="X2033">
        <v>3</v>
      </c>
      <c r="Y2033">
        <v>1.5120968E-2</v>
      </c>
      <c r="Z2033">
        <v>1</v>
      </c>
      <c r="AA2033">
        <v>5.0403230000000002E-3</v>
      </c>
      <c r="AB2033">
        <v>26.2</v>
      </c>
      <c r="AC2033">
        <v>9.0244444440000002</v>
      </c>
      <c r="AD2033">
        <v>23</v>
      </c>
      <c r="AE2033" s="7"/>
      <c r="AF2033" s="7"/>
      <c r="AG2033" s="7"/>
      <c r="AH2033" s="7"/>
      <c r="AI2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2.9755555559999998</v>
      </c>
      <c r="AJ2033" s="7"/>
      <c r="AK2033" t="s">
        <v>356</v>
      </c>
      <c r="AL2033">
        <v>4</v>
      </c>
      <c r="AM2033">
        <v>4</v>
      </c>
      <c r="AN2033">
        <f>IFERROR(INT(Table13[[#This Row],[reject_prod]]/Table13[[#This Row],[part_weight]] * 1000), 0)</f>
        <v>25</v>
      </c>
    </row>
    <row r="2034" spans="1:40">
      <c r="A2034" s="1">
        <v>46083</v>
      </c>
      <c r="B2034">
        <v>1</v>
      </c>
      <c r="C2034">
        <v>6</v>
      </c>
      <c r="D2034" t="s">
        <v>33</v>
      </c>
      <c r="E2034" t="s">
        <v>34</v>
      </c>
      <c r="F2034">
        <v>123456</v>
      </c>
      <c r="G2034" s="6">
        <v>0</v>
      </c>
      <c r="H2034" t="s">
        <v>1059</v>
      </c>
      <c r="I2034" t="s">
        <v>490</v>
      </c>
      <c r="J2034">
        <v>4</v>
      </c>
      <c r="K2034">
        <v>25</v>
      </c>
      <c r="L2034">
        <v>25</v>
      </c>
      <c r="M2034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>
        <v>0</v>
      </c>
      <c r="T2034" s="2">
        <v>0</v>
      </c>
      <c r="U2034" s="2">
        <v>0</v>
      </c>
      <c r="V2034">
        <v>0</v>
      </c>
      <c r="W2034">
        <v>0</v>
      </c>
      <c r="X2034">
        <v>0</v>
      </c>
      <c r="Y2034" t="e">
        <v>#DIV/0!</v>
      </c>
      <c r="Z2034">
        <v>7.5</v>
      </c>
      <c r="AA2034" t="e">
        <v>#DIV/0!</v>
      </c>
      <c r="AB2034">
        <v>21</v>
      </c>
      <c r="AC2034">
        <v>0</v>
      </c>
      <c r="AD2034" t="e">
        <v>#N/A</v>
      </c>
      <c r="AE2034" s="7"/>
      <c r="AF2034" s="7"/>
      <c r="AG2034" s="7"/>
      <c r="AH2034" s="7"/>
      <c r="AI2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34" s="7">
        <v>0</v>
      </c>
      <c r="AK2034" t="s">
        <v>710</v>
      </c>
      <c r="AL2034">
        <v>6</v>
      </c>
      <c r="AM2034">
        <v>5</v>
      </c>
      <c r="AN2034">
        <f>IFERROR(INT(Table13[[#This Row],[reject_prod]]/Table13[[#This Row],[part_weight]] * 1000), 0)</f>
        <v>300</v>
      </c>
    </row>
    <row r="2035" spans="1:40">
      <c r="A2035" s="1">
        <v>46083</v>
      </c>
      <c r="B2035">
        <v>1</v>
      </c>
      <c r="C2035">
        <v>7</v>
      </c>
      <c r="D2035" t="s">
        <v>33</v>
      </c>
      <c r="E2035" t="s">
        <v>34</v>
      </c>
      <c r="F2035">
        <v>324165</v>
      </c>
      <c r="G2035" s="6">
        <v>0</v>
      </c>
      <c r="H2035" t="s">
        <v>44</v>
      </c>
      <c r="I2035">
        <v>10687137</v>
      </c>
      <c r="J2035">
        <v>4</v>
      </c>
      <c r="K2035">
        <v>32.56</v>
      </c>
      <c r="L2035">
        <v>33</v>
      </c>
      <c r="M2035">
        <v>0</v>
      </c>
      <c r="N2035" s="2">
        <v>104192</v>
      </c>
      <c r="O2035" s="2">
        <v>1184</v>
      </c>
      <c r="P2035" s="2">
        <v>0</v>
      </c>
      <c r="Q2035" s="2">
        <v>0</v>
      </c>
      <c r="R2035" s="2">
        <v>1184</v>
      </c>
      <c r="S2035">
        <v>39.072000000000003</v>
      </c>
      <c r="T2035" s="2">
        <v>104192</v>
      </c>
      <c r="U2035" s="2">
        <v>0</v>
      </c>
      <c r="V2035">
        <v>0</v>
      </c>
      <c r="W2035">
        <v>0</v>
      </c>
      <c r="X2035">
        <v>0</v>
      </c>
      <c r="Y2035" t="e">
        <v>#DIV/0!</v>
      </c>
      <c r="Z2035">
        <v>0</v>
      </c>
      <c r="AA2035" t="e">
        <v>#DIV/0!</v>
      </c>
      <c r="AB2035">
        <v>22.8</v>
      </c>
      <c r="AC2035">
        <v>0</v>
      </c>
      <c r="AD2035">
        <v>22</v>
      </c>
      <c r="AE2035" s="7"/>
      <c r="AF2035" s="7"/>
      <c r="AG2035" s="7"/>
      <c r="AH2035" s="7"/>
      <c r="AI2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35" s="7"/>
      <c r="AK2035" t="s">
        <v>310</v>
      </c>
      <c r="AN2035">
        <f>IFERROR(INT(Table13[[#This Row],[reject_prod]]/Table13[[#This Row],[part_weight]] * 1000), 0)</f>
        <v>0</v>
      </c>
    </row>
    <row r="2036" spans="1:40">
      <c r="A2036" s="1">
        <v>46083</v>
      </c>
      <c r="B2036">
        <v>1</v>
      </c>
      <c r="C2036">
        <v>7</v>
      </c>
      <c r="D2036" t="s">
        <v>69</v>
      </c>
      <c r="E2036" t="s">
        <v>34</v>
      </c>
      <c r="F2036">
        <v>324165</v>
      </c>
      <c r="G2036" s="6">
        <v>0</v>
      </c>
      <c r="H2036" t="s">
        <v>44</v>
      </c>
      <c r="I2036">
        <v>10687138</v>
      </c>
      <c r="J2036">
        <v>4</v>
      </c>
      <c r="K2036">
        <v>32.56</v>
      </c>
      <c r="L2036">
        <v>33</v>
      </c>
      <c r="M2036">
        <v>1592</v>
      </c>
      <c r="N2036" s="2">
        <v>11776</v>
      </c>
      <c r="O2036" s="2">
        <v>1920</v>
      </c>
      <c r="P2036" s="2">
        <v>2048</v>
      </c>
      <c r="Q2036" s="2">
        <v>6368</v>
      </c>
      <c r="R2036" s="2">
        <v>6144</v>
      </c>
      <c r="S2036">
        <v>202.75200000000001</v>
      </c>
      <c r="T2036" s="2">
        <v>11264</v>
      </c>
      <c r="U2036" s="2">
        <v>512</v>
      </c>
      <c r="V2036">
        <v>210.14400000000001</v>
      </c>
      <c r="W2036">
        <v>0</v>
      </c>
      <c r="X2036">
        <v>2</v>
      </c>
      <c r="Y2036">
        <v>9.5172829999999996E-3</v>
      </c>
      <c r="Z2036">
        <v>1.2</v>
      </c>
      <c r="AA2036">
        <v>5.7103700000000002E-3</v>
      </c>
      <c r="AB2036">
        <v>22.8</v>
      </c>
      <c r="AC2036">
        <v>10.08266667</v>
      </c>
      <c r="AD2036">
        <v>22</v>
      </c>
      <c r="AE2036" s="7"/>
      <c r="AF2036" s="7"/>
      <c r="AG2036" s="7"/>
      <c r="AH2036" s="7"/>
      <c r="AI2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1.9173333299999999</v>
      </c>
      <c r="AJ2036" s="7"/>
      <c r="AK2036" t="s">
        <v>1060</v>
      </c>
      <c r="AL2036">
        <v>3</v>
      </c>
      <c r="AM2036">
        <v>3</v>
      </c>
      <c r="AN2036">
        <f>IFERROR(INT(Table13[[#This Row],[reject_prod]]/Table13[[#This Row],[part_weight]] * 1000), 0)</f>
        <v>36</v>
      </c>
    </row>
    <row r="2037" spans="1:40">
      <c r="A2037" s="1">
        <v>46083</v>
      </c>
      <c r="B2037">
        <v>1</v>
      </c>
      <c r="C2037">
        <v>8</v>
      </c>
      <c r="D2037" t="s">
        <v>1057</v>
      </c>
      <c r="E2037" t="s">
        <v>41</v>
      </c>
      <c r="F2037">
        <v>593537</v>
      </c>
      <c r="G2037" s="6">
        <v>0</v>
      </c>
      <c r="H2037" t="s">
        <v>48</v>
      </c>
      <c r="I2037">
        <v>10688067</v>
      </c>
      <c r="J2037">
        <v>4</v>
      </c>
      <c r="K2037">
        <v>56.5</v>
      </c>
      <c r="L2037">
        <v>56.8</v>
      </c>
      <c r="M2037">
        <v>390</v>
      </c>
      <c r="N2037" s="2">
        <v>69000</v>
      </c>
      <c r="O2037" s="2">
        <v>230</v>
      </c>
      <c r="P2037" s="2">
        <v>0</v>
      </c>
      <c r="Q2037" s="2">
        <v>1560</v>
      </c>
      <c r="R2037" s="2">
        <v>1725</v>
      </c>
      <c r="S2037">
        <v>97.98</v>
      </c>
      <c r="T2037" s="2">
        <v>63250</v>
      </c>
      <c r="U2037" s="2">
        <v>5750</v>
      </c>
      <c r="V2037">
        <v>88.608000000000004</v>
      </c>
      <c r="W2037">
        <v>0</v>
      </c>
      <c r="X2037">
        <v>3</v>
      </c>
      <c r="Y2037">
        <v>3.3856987999999998E-2</v>
      </c>
      <c r="Z2037">
        <v>0.5</v>
      </c>
      <c r="AA2037">
        <v>5.6428310000000001E-3</v>
      </c>
      <c r="AB2037">
        <v>30.5</v>
      </c>
      <c r="AC2037">
        <v>3.3041666670000001</v>
      </c>
      <c r="AD2037">
        <v>28.5</v>
      </c>
      <c r="AE2037" s="7"/>
      <c r="AF2037" s="7"/>
      <c r="AG2037" s="7"/>
      <c r="AH2037" s="7"/>
      <c r="AI2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8.6958333329999995</v>
      </c>
      <c r="AJ2037" s="7"/>
      <c r="AK2037" t="s">
        <v>1061</v>
      </c>
      <c r="AL2037">
        <v>4</v>
      </c>
      <c r="AM2037">
        <v>5</v>
      </c>
      <c r="AN2037">
        <f>IFERROR(INT(Table13[[#This Row],[reject_prod]]/Table13[[#This Row],[part_weight]] * 1000), 0)</f>
        <v>8</v>
      </c>
    </row>
    <row r="2038" spans="1:40">
      <c r="A2038" s="1">
        <v>46083</v>
      </c>
      <c r="B2038">
        <v>1</v>
      </c>
      <c r="C2038">
        <v>9</v>
      </c>
      <c r="D2038" t="s">
        <v>40</v>
      </c>
      <c r="E2038" t="s">
        <v>46</v>
      </c>
      <c r="F2038">
        <v>586276</v>
      </c>
      <c r="G2038" s="6">
        <v>1</v>
      </c>
      <c r="H2038" t="s">
        <v>47</v>
      </c>
      <c r="I2038">
        <v>10686685</v>
      </c>
      <c r="J2038">
        <v>6</v>
      </c>
      <c r="K2038">
        <v>12.3</v>
      </c>
      <c r="L2038">
        <v>12.3</v>
      </c>
      <c r="M2038">
        <v>1278</v>
      </c>
      <c r="N2038" s="2">
        <v>162000</v>
      </c>
      <c r="O2038" s="2">
        <v>6075</v>
      </c>
      <c r="P2038" s="2">
        <v>5265</v>
      </c>
      <c r="Q2038" s="2">
        <v>7668</v>
      </c>
      <c r="R2038" s="2">
        <v>8100</v>
      </c>
      <c r="S2038">
        <v>99.63</v>
      </c>
      <c r="T2038" s="2">
        <v>29565</v>
      </c>
      <c r="U2038" s="2">
        <v>132435</v>
      </c>
      <c r="V2038">
        <v>94.316400000000002</v>
      </c>
      <c r="W2038">
        <v>0</v>
      </c>
      <c r="X2038">
        <v>4</v>
      </c>
      <c r="Y2038">
        <v>4.2410440000000001E-2</v>
      </c>
      <c r="Z2038">
        <v>0.5</v>
      </c>
      <c r="AA2038">
        <v>5.3013050000000001E-3</v>
      </c>
      <c r="AB2038">
        <v>26.5</v>
      </c>
      <c r="AC2038">
        <v>9.4075000000000006</v>
      </c>
      <c r="AD2038">
        <v>26</v>
      </c>
      <c r="AE2038" s="7"/>
      <c r="AF2038" s="7"/>
      <c r="AG2038" s="7"/>
      <c r="AH2038" s="7"/>
      <c r="AI2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2.5924999999999994</v>
      </c>
      <c r="AJ2038" s="7"/>
      <c r="AK2038" t="s">
        <v>51</v>
      </c>
      <c r="AL2038">
        <v>1</v>
      </c>
      <c r="AM2038">
        <v>2</v>
      </c>
      <c r="AN2038">
        <f>IFERROR(INT(Table13[[#This Row],[reject_prod]]/Table13[[#This Row],[part_weight]] * 1000), 0)</f>
        <v>40</v>
      </c>
    </row>
    <row r="2039" spans="1:40">
      <c r="A2039" s="1">
        <v>46083</v>
      </c>
      <c r="B2039">
        <v>1</v>
      </c>
      <c r="C2039">
        <v>10</v>
      </c>
      <c r="D2039" t="s">
        <v>112</v>
      </c>
      <c r="E2039" t="s">
        <v>34</v>
      </c>
      <c r="F2039">
        <v>323102</v>
      </c>
      <c r="G2039" s="6">
        <v>0</v>
      </c>
      <c r="H2039" t="s">
        <v>45</v>
      </c>
      <c r="I2039">
        <v>10688202</v>
      </c>
      <c r="J2039">
        <v>4</v>
      </c>
      <c r="K2039">
        <v>57</v>
      </c>
      <c r="L2039">
        <v>56.9</v>
      </c>
      <c r="M2039">
        <v>509</v>
      </c>
      <c r="N2039" s="2">
        <v>38400</v>
      </c>
      <c r="O2039" s="2">
        <v>240</v>
      </c>
      <c r="P2039" s="2">
        <v>0</v>
      </c>
      <c r="Q2039" s="2">
        <v>2036</v>
      </c>
      <c r="R2039" s="2">
        <v>2240</v>
      </c>
      <c r="S2039">
        <v>127.456</v>
      </c>
      <c r="T2039" s="2">
        <v>38400</v>
      </c>
      <c r="U2039" s="2">
        <v>0</v>
      </c>
      <c r="V2039">
        <v>115.8484</v>
      </c>
      <c r="W2039">
        <v>0</v>
      </c>
      <c r="X2039">
        <v>2</v>
      </c>
      <c r="Y2039">
        <v>1.7263941000000001E-2</v>
      </c>
      <c r="AA2039">
        <v>0</v>
      </c>
      <c r="AB2039">
        <v>29.7</v>
      </c>
      <c r="AC2039">
        <v>4.1992500000000001</v>
      </c>
      <c r="AD2039">
        <v>26</v>
      </c>
      <c r="AE2039" s="7"/>
      <c r="AF2039" s="7"/>
      <c r="AG2039" s="7"/>
      <c r="AH2039" s="7"/>
      <c r="AI2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7.8007499999999999</v>
      </c>
      <c r="AJ2039" s="7"/>
      <c r="AK2039" t="s">
        <v>1062</v>
      </c>
      <c r="AL2039">
        <v>8</v>
      </c>
      <c r="AM2039">
        <v>3</v>
      </c>
      <c r="AN2039">
        <f>IFERROR(INT(Table13[[#This Row],[reject_prod]]/Table13[[#This Row],[part_weight]] * 1000), 0)</f>
        <v>0</v>
      </c>
    </row>
    <row r="2040" spans="1:40">
      <c r="A2040" s="1">
        <v>46083</v>
      </c>
      <c r="B2040">
        <v>1</v>
      </c>
      <c r="C2040">
        <v>10</v>
      </c>
      <c r="D2040" t="s">
        <v>112</v>
      </c>
      <c r="E2040" t="s">
        <v>34</v>
      </c>
      <c r="F2040">
        <v>323133</v>
      </c>
      <c r="G2040" s="6">
        <v>0</v>
      </c>
      <c r="H2040" t="s">
        <v>568</v>
      </c>
      <c r="I2040">
        <v>10688500</v>
      </c>
      <c r="J2040">
        <v>4</v>
      </c>
      <c r="K2040">
        <v>57</v>
      </c>
      <c r="L2040">
        <v>77</v>
      </c>
      <c r="M2040">
        <v>199</v>
      </c>
      <c r="N2040" s="2">
        <v>13248</v>
      </c>
      <c r="O2040" s="2">
        <v>0</v>
      </c>
      <c r="P2040" s="2">
        <v>138</v>
      </c>
      <c r="Q2040" s="2">
        <v>796</v>
      </c>
      <c r="R2040" s="2">
        <v>552</v>
      </c>
      <c r="S2040">
        <v>42.503999999999998</v>
      </c>
      <c r="T2040" s="2">
        <v>690</v>
      </c>
      <c r="U2040" s="2">
        <v>12558</v>
      </c>
      <c r="V2040">
        <v>61.292000000000002</v>
      </c>
      <c r="W2040">
        <v>0</v>
      </c>
      <c r="X2040">
        <v>8</v>
      </c>
      <c r="Y2040">
        <v>0.130522744</v>
      </c>
      <c r="Z2040">
        <v>0</v>
      </c>
      <c r="AA2040">
        <v>0</v>
      </c>
      <c r="AB2040">
        <v>38.700000000000003</v>
      </c>
      <c r="AC2040">
        <v>2.1392500000000001</v>
      </c>
      <c r="AD2040">
        <v>35</v>
      </c>
      <c r="AE2040" s="7">
        <v>3.5</v>
      </c>
      <c r="AF2040" s="7"/>
      <c r="AG2040" s="7"/>
      <c r="AH2040" s="7"/>
      <c r="AI2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6.3607499999999995</v>
      </c>
      <c r="AJ2040" s="7"/>
      <c r="AK2040" t="s">
        <v>1063</v>
      </c>
      <c r="AN2040">
        <f>IFERROR(INT(Table13[[#This Row],[reject_prod]]/Table13[[#This Row],[part_weight]] * 1000), 0)</f>
        <v>0</v>
      </c>
    </row>
    <row r="2041" spans="1:40">
      <c r="A2041" s="1">
        <v>46083</v>
      </c>
      <c r="B2041">
        <v>1</v>
      </c>
      <c r="C2041">
        <v>11</v>
      </c>
      <c r="D2041" t="s">
        <v>61</v>
      </c>
      <c r="E2041" t="s">
        <v>46</v>
      </c>
      <c r="F2041">
        <v>552181</v>
      </c>
      <c r="G2041" s="6">
        <v>1</v>
      </c>
      <c r="H2041" t="s">
        <v>49</v>
      </c>
      <c r="I2041">
        <v>10688069</v>
      </c>
      <c r="J2041">
        <v>6</v>
      </c>
      <c r="K2041">
        <v>14.7</v>
      </c>
      <c r="L2041">
        <v>14.7</v>
      </c>
      <c r="M2041">
        <v>1237</v>
      </c>
      <c r="N2041" s="2">
        <v>108000</v>
      </c>
      <c r="O2041" s="2">
        <v>1620</v>
      </c>
      <c r="P2041" s="2">
        <v>3510</v>
      </c>
      <c r="Q2041" s="2">
        <v>7422</v>
      </c>
      <c r="R2041" s="2">
        <v>5400</v>
      </c>
      <c r="S2041">
        <v>79.38</v>
      </c>
      <c r="T2041" s="2">
        <v>30510</v>
      </c>
      <c r="U2041" s="2">
        <v>77490</v>
      </c>
      <c r="V2041">
        <v>109.10339999999999</v>
      </c>
      <c r="W2041">
        <v>0</v>
      </c>
      <c r="X2041">
        <v>1.5</v>
      </c>
      <c r="Y2041">
        <v>1.3748425999999999E-2</v>
      </c>
      <c r="Z2041">
        <v>1</v>
      </c>
      <c r="AA2041">
        <v>9.1656169999999992E-3</v>
      </c>
      <c r="AB2041">
        <v>28.46</v>
      </c>
      <c r="AC2041">
        <v>9.7791722219999997</v>
      </c>
      <c r="AD2041">
        <v>27</v>
      </c>
      <c r="AE2041" s="7"/>
      <c r="AF2041" s="7"/>
      <c r="AG2041" s="7"/>
      <c r="AH2041" s="7"/>
      <c r="AI2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2.2208277780000003</v>
      </c>
      <c r="AJ2041" s="7"/>
      <c r="AK2041" t="s">
        <v>51</v>
      </c>
      <c r="AL2041">
        <v>1</v>
      </c>
      <c r="AM2041">
        <v>1</v>
      </c>
      <c r="AN2041">
        <f>IFERROR(INT(Table13[[#This Row],[reject_prod]]/Table13[[#This Row],[part_weight]] * 1000), 0)</f>
        <v>68</v>
      </c>
    </row>
    <row r="2042" spans="1:40">
      <c r="A2042" s="1">
        <v>46083</v>
      </c>
      <c r="B2042">
        <v>1</v>
      </c>
      <c r="C2042">
        <v>12</v>
      </c>
      <c r="D2042" t="s">
        <v>43</v>
      </c>
      <c r="E2042" t="s">
        <v>34</v>
      </c>
      <c r="F2042">
        <v>620599</v>
      </c>
      <c r="G2042" s="6">
        <v>0</v>
      </c>
      <c r="H2042" t="s">
        <v>50</v>
      </c>
      <c r="I2042">
        <v>10688071</v>
      </c>
      <c r="J2042">
        <v>4</v>
      </c>
      <c r="K2042">
        <v>55</v>
      </c>
      <c r="L2042">
        <v>55</v>
      </c>
      <c r="M2042">
        <v>1159</v>
      </c>
      <c r="N2042" s="2">
        <v>72000</v>
      </c>
      <c r="O2042" s="2">
        <v>1575</v>
      </c>
      <c r="P2042" s="2">
        <v>675</v>
      </c>
      <c r="Q2042" s="2">
        <v>4636</v>
      </c>
      <c r="R2042" s="2">
        <v>5400</v>
      </c>
      <c r="S2042">
        <v>297</v>
      </c>
      <c r="T2042" s="2">
        <v>21375</v>
      </c>
      <c r="U2042" s="2">
        <v>50625</v>
      </c>
      <c r="V2042">
        <v>254.98</v>
      </c>
      <c r="W2042">
        <v>0</v>
      </c>
      <c r="X2042">
        <v>3</v>
      </c>
      <c r="Y2042">
        <v>1.1765629E-2</v>
      </c>
      <c r="Z2042">
        <v>4.5</v>
      </c>
      <c r="AA2042">
        <v>1.7648443E-2</v>
      </c>
      <c r="AB2042">
        <v>28.8</v>
      </c>
      <c r="AC2042">
        <v>9.2720000000000002</v>
      </c>
      <c r="AD2042">
        <v>28</v>
      </c>
      <c r="AE2042" s="7"/>
      <c r="AF2042" s="7"/>
      <c r="AG2042" s="7"/>
      <c r="AH2042" s="7"/>
      <c r="AI2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2.7279999999999998</v>
      </c>
      <c r="AJ2042" s="7"/>
      <c r="AK2042" t="s">
        <v>178</v>
      </c>
      <c r="AL2042">
        <v>3</v>
      </c>
      <c r="AM2042">
        <v>2</v>
      </c>
      <c r="AN2042">
        <f>IFERROR(INT(Table13[[#This Row],[reject_prod]]/Table13[[#This Row],[part_weight]] * 1000), 0)</f>
        <v>81</v>
      </c>
    </row>
    <row r="2043" spans="1:40">
      <c r="A2043" s="1">
        <v>46083</v>
      </c>
      <c r="B2043">
        <v>1</v>
      </c>
      <c r="C2043">
        <v>13</v>
      </c>
      <c r="D2043" t="s">
        <v>61</v>
      </c>
      <c r="E2043" t="s">
        <v>46</v>
      </c>
      <c r="F2043">
        <v>586276</v>
      </c>
      <c r="G2043" s="6">
        <v>2</v>
      </c>
      <c r="H2043" t="s">
        <v>47</v>
      </c>
      <c r="I2043">
        <v>10686677</v>
      </c>
      <c r="J2043">
        <v>6</v>
      </c>
      <c r="K2043">
        <v>12.3</v>
      </c>
      <c r="L2043">
        <v>12.3</v>
      </c>
      <c r="M2043">
        <v>1304</v>
      </c>
      <c r="N2043" s="2">
        <v>162000</v>
      </c>
      <c r="O2043" s="2">
        <v>2025</v>
      </c>
      <c r="P2043" s="2">
        <v>1620</v>
      </c>
      <c r="Q2043" s="2">
        <v>7824</v>
      </c>
      <c r="R2043" s="2">
        <v>8100</v>
      </c>
      <c r="S2043">
        <v>99.63</v>
      </c>
      <c r="T2043" s="2">
        <v>155520</v>
      </c>
      <c r="U2043" s="2">
        <v>6480</v>
      </c>
      <c r="V2043">
        <v>96.235200000000006</v>
      </c>
      <c r="W2043">
        <v>0</v>
      </c>
      <c r="X2043">
        <v>1</v>
      </c>
      <c r="Y2043">
        <v>1.0391208000000001E-2</v>
      </c>
      <c r="Z2043">
        <v>0.5</v>
      </c>
      <c r="AA2043">
        <v>5.1956040000000004E-3</v>
      </c>
      <c r="AB2043">
        <v>26.2</v>
      </c>
      <c r="AC2043">
        <v>9.4902222219999999</v>
      </c>
      <c r="AD2043">
        <v>26</v>
      </c>
      <c r="AE2043" s="7"/>
      <c r="AF2043" s="7"/>
      <c r="AG2043" s="7"/>
      <c r="AH2043" s="7"/>
      <c r="AI2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2.5097777780000001</v>
      </c>
      <c r="AJ2043" s="7"/>
      <c r="AK2043" t="s">
        <v>51</v>
      </c>
      <c r="AL2043">
        <v>1</v>
      </c>
      <c r="AM2043">
        <v>1</v>
      </c>
      <c r="AN2043">
        <f>IFERROR(INT(Table13[[#This Row],[reject_prod]]/Table13[[#This Row],[part_weight]] * 1000), 0)</f>
        <v>40</v>
      </c>
    </row>
    <row r="2044" spans="1:40">
      <c r="A2044" s="1">
        <v>46083</v>
      </c>
      <c r="B2044">
        <v>1</v>
      </c>
      <c r="C2044">
        <v>14</v>
      </c>
      <c r="D2044" t="s">
        <v>67</v>
      </c>
      <c r="E2044" t="s">
        <v>34</v>
      </c>
      <c r="F2044">
        <v>541381</v>
      </c>
      <c r="G2044" s="6">
        <v>0</v>
      </c>
      <c r="H2044" t="s">
        <v>804</v>
      </c>
      <c r="I2044">
        <v>10688072</v>
      </c>
      <c r="J2044">
        <v>4</v>
      </c>
      <c r="K2044">
        <v>55</v>
      </c>
      <c r="L2044">
        <v>55</v>
      </c>
      <c r="M2044">
        <v>1212</v>
      </c>
      <c r="N2044" s="2">
        <v>84000</v>
      </c>
      <c r="O2044" s="2">
        <v>175</v>
      </c>
      <c r="P2044" s="2">
        <v>0</v>
      </c>
      <c r="Q2044" s="2">
        <v>4848</v>
      </c>
      <c r="R2044" s="2">
        <v>4900</v>
      </c>
      <c r="S2044">
        <v>269.5</v>
      </c>
      <c r="T2044" s="2">
        <v>53900</v>
      </c>
      <c r="U2044" s="2">
        <v>30100</v>
      </c>
      <c r="V2044">
        <v>266.64</v>
      </c>
      <c r="W2044">
        <v>0</v>
      </c>
      <c r="X2044">
        <v>5</v>
      </c>
      <c r="Y2044">
        <v>1.8751875000000001E-2</v>
      </c>
      <c r="Z2044">
        <v>1.5</v>
      </c>
      <c r="AA2044">
        <v>5.6255630000000001E-3</v>
      </c>
      <c r="AB2044">
        <v>27.3</v>
      </c>
      <c r="AC2044">
        <v>9.1910000000000007</v>
      </c>
      <c r="AD2044">
        <v>30.08</v>
      </c>
      <c r="AE2044" s="7"/>
      <c r="AF2044" s="7"/>
      <c r="AG2044" s="7"/>
      <c r="AH2044" s="7"/>
      <c r="AI2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2.8089999999999993</v>
      </c>
      <c r="AJ2044" s="7"/>
      <c r="AK2044" t="s">
        <v>178</v>
      </c>
      <c r="AL2044">
        <v>4</v>
      </c>
      <c r="AM2044">
        <v>2</v>
      </c>
      <c r="AN2044">
        <f>IFERROR(INT(Table13[[#This Row],[reject_prod]]/Table13[[#This Row],[part_weight]] * 1000), 0)</f>
        <v>27</v>
      </c>
    </row>
    <row r="2045" spans="1:40">
      <c r="A2045" s="1">
        <v>46083</v>
      </c>
      <c r="B2045">
        <v>1</v>
      </c>
      <c r="C2045">
        <v>15</v>
      </c>
      <c r="D2045" t="s">
        <v>61</v>
      </c>
      <c r="E2045" t="s">
        <v>46</v>
      </c>
      <c r="F2045">
        <v>552181</v>
      </c>
      <c r="G2045" s="6">
        <v>2</v>
      </c>
      <c r="H2045" t="s">
        <v>49</v>
      </c>
      <c r="I2045">
        <v>10686679</v>
      </c>
      <c r="J2045">
        <v>6</v>
      </c>
      <c r="K2045">
        <v>14.7</v>
      </c>
      <c r="L2045">
        <v>14.7</v>
      </c>
      <c r="M2045">
        <v>1138</v>
      </c>
      <c r="N2045" s="2">
        <v>108000</v>
      </c>
      <c r="O2045" s="2">
        <v>2430</v>
      </c>
      <c r="P2045" s="2">
        <v>3780</v>
      </c>
      <c r="Q2045" s="2">
        <v>6828</v>
      </c>
      <c r="R2045" s="2">
        <v>5400</v>
      </c>
      <c r="S2045">
        <v>79.38</v>
      </c>
      <c r="T2045" s="2">
        <v>79380</v>
      </c>
      <c r="U2045" s="2">
        <v>28620</v>
      </c>
      <c r="V2045">
        <v>100.3716</v>
      </c>
      <c r="W2045">
        <v>0</v>
      </c>
      <c r="X2045">
        <v>1</v>
      </c>
      <c r="Y2045">
        <v>9.9629780000000008E-3</v>
      </c>
      <c r="Z2045">
        <v>0.5</v>
      </c>
      <c r="AA2045">
        <v>4.9814890000000004E-3</v>
      </c>
      <c r="AB2045">
        <v>30.6</v>
      </c>
      <c r="AC2045">
        <v>9.673</v>
      </c>
      <c r="AD2045">
        <v>27</v>
      </c>
      <c r="AE2045" s="7"/>
      <c r="AF2045" s="7"/>
      <c r="AG2045" s="7"/>
      <c r="AH2045" s="7"/>
      <c r="AI2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2.327</v>
      </c>
      <c r="AJ2045" s="7"/>
      <c r="AK2045" t="s">
        <v>51</v>
      </c>
      <c r="AL2045">
        <v>1</v>
      </c>
      <c r="AM2045">
        <v>2</v>
      </c>
      <c r="AN2045">
        <f>IFERROR(INT(Table13[[#This Row],[reject_prod]]/Table13[[#This Row],[part_weight]] * 1000), 0)</f>
        <v>34</v>
      </c>
    </row>
    <row r="2046" spans="1:40">
      <c r="A2046" s="1">
        <v>46083</v>
      </c>
      <c r="B2046">
        <v>1</v>
      </c>
      <c r="C2046">
        <v>16</v>
      </c>
      <c r="D2046" t="s">
        <v>33</v>
      </c>
      <c r="E2046" t="s">
        <v>46</v>
      </c>
      <c r="F2046">
        <v>555979</v>
      </c>
      <c r="G2046" s="6">
        <v>2</v>
      </c>
      <c r="H2046" t="s">
        <v>52</v>
      </c>
      <c r="I2046">
        <v>10686701</v>
      </c>
      <c r="J2046">
        <v>6</v>
      </c>
      <c r="K2046">
        <v>28</v>
      </c>
      <c r="L2046">
        <v>28</v>
      </c>
      <c r="M2046">
        <v>0</v>
      </c>
      <c r="N2046" s="2">
        <v>100800</v>
      </c>
      <c r="O2046" s="2">
        <v>0</v>
      </c>
      <c r="P2046" s="2">
        <v>0</v>
      </c>
      <c r="Q2046" s="2">
        <v>0</v>
      </c>
      <c r="R2046" s="2">
        <v>0</v>
      </c>
      <c r="S2046">
        <v>0</v>
      </c>
      <c r="T2046" s="2">
        <v>50400</v>
      </c>
      <c r="U2046" s="2">
        <v>50400</v>
      </c>
      <c r="V2046">
        <v>0</v>
      </c>
      <c r="W2046">
        <v>0</v>
      </c>
      <c r="X2046">
        <v>4.9000000000000004</v>
      </c>
      <c r="Y2046" t="e">
        <v>#DIV/0!</v>
      </c>
      <c r="Z2046">
        <v>0</v>
      </c>
      <c r="AA2046" t="e">
        <v>#DIV/0!</v>
      </c>
      <c r="AB2046">
        <v>43.2</v>
      </c>
      <c r="AC2046">
        <v>0</v>
      </c>
      <c r="AD2046">
        <v>42</v>
      </c>
      <c r="AE2046" s="7"/>
      <c r="AF2046" s="7"/>
      <c r="AG2046" s="7"/>
      <c r="AH2046" s="7"/>
      <c r="AI2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46" s="7"/>
      <c r="AK2046" t="s">
        <v>1048</v>
      </c>
      <c r="AL2046">
        <v>2</v>
      </c>
      <c r="AM2046">
        <v>4</v>
      </c>
      <c r="AN2046">
        <f>IFERROR(INT(Table13[[#This Row],[reject_prod]]/Table13[[#This Row],[part_weight]] * 1000), 0)</f>
        <v>0</v>
      </c>
    </row>
    <row r="2047" spans="1:40">
      <c r="A2047" s="1">
        <v>46083</v>
      </c>
      <c r="B2047">
        <v>2</v>
      </c>
      <c r="C2047">
        <v>1</v>
      </c>
      <c r="D2047" t="s">
        <v>1010</v>
      </c>
      <c r="E2047" t="s">
        <v>34</v>
      </c>
      <c r="F2047">
        <v>324212</v>
      </c>
      <c r="G2047" s="6">
        <v>0</v>
      </c>
      <c r="H2047" t="s">
        <v>1055</v>
      </c>
      <c r="I2047">
        <v>10688490</v>
      </c>
      <c r="J2047">
        <v>4</v>
      </c>
      <c r="K2047">
        <v>16</v>
      </c>
      <c r="L2047">
        <v>16</v>
      </c>
      <c r="M2047">
        <v>490</v>
      </c>
      <c r="N2047" s="2">
        <v>10240</v>
      </c>
      <c r="O2047" s="2">
        <v>0</v>
      </c>
      <c r="P2047" s="2">
        <v>1920</v>
      </c>
      <c r="Q2047" s="2">
        <v>1960</v>
      </c>
      <c r="R2047" s="2">
        <v>0</v>
      </c>
      <c r="S2047">
        <v>0</v>
      </c>
      <c r="T2047" s="2">
        <v>1920</v>
      </c>
      <c r="U2047" s="2">
        <v>8320</v>
      </c>
      <c r="V2047">
        <v>31.36</v>
      </c>
      <c r="W2047">
        <v>0</v>
      </c>
      <c r="X2047">
        <v>18</v>
      </c>
      <c r="Y2047">
        <v>0.57397959200000004</v>
      </c>
      <c r="Z2047">
        <v>4</v>
      </c>
      <c r="AA2047">
        <v>0.12755101999999999</v>
      </c>
      <c r="AB2047">
        <v>22.28</v>
      </c>
      <c r="AC2047">
        <v>3.0325555560000002</v>
      </c>
      <c r="AD2047">
        <v>18.32</v>
      </c>
      <c r="AE2047" s="7"/>
      <c r="AF2047" s="7"/>
      <c r="AG2047" s="7"/>
      <c r="AH2047" s="7"/>
      <c r="AI2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8.9674444439999998</v>
      </c>
      <c r="AJ2047" s="7"/>
      <c r="AK2047" t="s">
        <v>1064</v>
      </c>
      <c r="AN2047">
        <f>IFERROR(INT(Table13[[#This Row],[reject_prod]]/Table13[[#This Row],[part_weight]] * 1000), 0)</f>
        <v>250</v>
      </c>
    </row>
    <row r="2048" spans="1:40">
      <c r="A2048" s="1">
        <v>46083</v>
      </c>
      <c r="B2048">
        <v>2</v>
      </c>
      <c r="C2048">
        <v>2</v>
      </c>
      <c r="D2048" t="s">
        <v>842</v>
      </c>
      <c r="E2048" t="s">
        <v>34</v>
      </c>
      <c r="F2048">
        <v>543590</v>
      </c>
      <c r="G2048" s="6">
        <v>0</v>
      </c>
      <c r="H2048" t="s">
        <v>913</v>
      </c>
      <c r="I2048">
        <v>10687749</v>
      </c>
      <c r="J2048">
        <v>4</v>
      </c>
      <c r="K2048">
        <v>19</v>
      </c>
      <c r="L2048">
        <v>19</v>
      </c>
      <c r="M2048">
        <v>1430</v>
      </c>
      <c r="N2048" s="2">
        <v>132440</v>
      </c>
      <c r="O2048" s="2">
        <v>1078</v>
      </c>
      <c r="P2048" s="2">
        <v>0</v>
      </c>
      <c r="Q2048" s="2">
        <v>5720</v>
      </c>
      <c r="R2048" s="2">
        <v>6776</v>
      </c>
      <c r="S2048">
        <v>128.744</v>
      </c>
      <c r="T2048" s="2">
        <v>132440</v>
      </c>
      <c r="U2048" s="2">
        <v>0</v>
      </c>
      <c r="V2048">
        <v>108.68</v>
      </c>
      <c r="W2048">
        <v>0</v>
      </c>
      <c r="X2048">
        <v>0</v>
      </c>
      <c r="Y2048">
        <v>0</v>
      </c>
      <c r="Z2048">
        <v>1.8</v>
      </c>
      <c r="AA2048">
        <v>1.6562384999999999E-2</v>
      </c>
      <c r="AB2048">
        <v>19.7</v>
      </c>
      <c r="AC2048">
        <v>7.8252777780000002</v>
      </c>
      <c r="AD2048">
        <v>18.72</v>
      </c>
      <c r="AE2048" s="7"/>
      <c r="AF2048" s="7"/>
      <c r="AG2048" s="7"/>
      <c r="AH2048" s="7"/>
      <c r="AI2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4.1747222219999998</v>
      </c>
      <c r="AJ2048" s="7"/>
      <c r="AK2048" t="s">
        <v>1065</v>
      </c>
      <c r="AN2048">
        <f>IFERROR(INT(Table13[[#This Row],[reject_prod]]/Table13[[#This Row],[part_weight]] * 1000), 0)</f>
        <v>94</v>
      </c>
    </row>
    <row r="2049" spans="1:40">
      <c r="A2049" s="1">
        <v>46083</v>
      </c>
      <c r="B2049">
        <v>2</v>
      </c>
      <c r="C2049">
        <v>2</v>
      </c>
      <c r="D2049" t="s">
        <v>842</v>
      </c>
      <c r="E2049" t="s">
        <v>34</v>
      </c>
      <c r="F2049">
        <v>423215</v>
      </c>
      <c r="G2049" s="6">
        <v>0</v>
      </c>
      <c r="H2049" t="s">
        <v>156</v>
      </c>
      <c r="I2049">
        <v>10688491</v>
      </c>
      <c r="J2049">
        <v>4</v>
      </c>
      <c r="K2049">
        <v>24</v>
      </c>
      <c r="L2049">
        <v>24</v>
      </c>
      <c r="M2049">
        <v>0</v>
      </c>
      <c r="N2049" s="2">
        <v>9870</v>
      </c>
      <c r="O2049" s="2">
        <v>0</v>
      </c>
      <c r="P2049" s="2">
        <v>0</v>
      </c>
      <c r="Q2049" s="2">
        <v>0</v>
      </c>
      <c r="R2049" s="2">
        <v>0</v>
      </c>
      <c r="S2049">
        <v>0</v>
      </c>
      <c r="T2049" s="2">
        <v>0</v>
      </c>
      <c r="U2049" s="2">
        <v>9870</v>
      </c>
      <c r="V2049">
        <v>0</v>
      </c>
      <c r="W2049">
        <v>0</v>
      </c>
      <c r="X2049">
        <v>0</v>
      </c>
      <c r="Y2049" t="e">
        <v>#DIV/0!</v>
      </c>
      <c r="Z2049">
        <v>0</v>
      </c>
      <c r="AA2049" t="e">
        <v>#DIV/0!</v>
      </c>
      <c r="AB2049">
        <v>19.7</v>
      </c>
      <c r="AC2049">
        <v>0</v>
      </c>
      <c r="AD2049">
        <v>22</v>
      </c>
      <c r="AE2049" s="7"/>
      <c r="AF2049" s="7">
        <v>3.5</v>
      </c>
      <c r="AG2049" s="7"/>
      <c r="AH2049" s="7"/>
      <c r="AI2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049" s="7"/>
      <c r="AK2049" t="s">
        <v>584</v>
      </c>
      <c r="AN2049">
        <f>IFERROR(INT(Table13[[#This Row],[reject_prod]]/Table13[[#This Row],[part_weight]] * 1000), 0)</f>
        <v>0</v>
      </c>
    </row>
    <row r="2050" spans="1:40">
      <c r="A2050" s="1">
        <v>46083</v>
      </c>
      <c r="B2050">
        <v>2</v>
      </c>
      <c r="C2050">
        <v>3</v>
      </c>
      <c r="D2050" t="s">
        <v>54</v>
      </c>
      <c r="E2050" t="s">
        <v>34</v>
      </c>
      <c r="F2050">
        <v>442034</v>
      </c>
      <c r="G2050" s="6">
        <v>0</v>
      </c>
      <c r="H2050" t="s">
        <v>37</v>
      </c>
      <c r="I2050">
        <v>10685634</v>
      </c>
      <c r="J2050">
        <v>4</v>
      </c>
      <c r="K2050">
        <v>23</v>
      </c>
      <c r="L2050">
        <v>23</v>
      </c>
      <c r="M2050">
        <v>1530</v>
      </c>
      <c r="N2050" s="2">
        <v>139776</v>
      </c>
      <c r="O2050" s="2">
        <v>2688</v>
      </c>
      <c r="P2050" s="2">
        <v>4224</v>
      </c>
      <c r="Q2050" s="2">
        <v>6120</v>
      </c>
      <c r="R2050" s="2">
        <v>4608</v>
      </c>
      <c r="S2050">
        <v>105.98399999999999</v>
      </c>
      <c r="T2050" s="2">
        <v>124032</v>
      </c>
      <c r="U2050" s="2">
        <v>15744</v>
      </c>
      <c r="V2050">
        <v>140.76</v>
      </c>
      <c r="W2050">
        <v>0</v>
      </c>
      <c r="X2050">
        <v>0</v>
      </c>
      <c r="Y2050">
        <v>0</v>
      </c>
      <c r="Z2050">
        <v>2.6</v>
      </c>
      <c r="AA2050">
        <v>1.8471156999999998E-2</v>
      </c>
      <c r="AB2050">
        <v>28.5</v>
      </c>
      <c r="AC2050">
        <v>12</v>
      </c>
      <c r="AD2050">
        <v>22</v>
      </c>
      <c r="AE2050" s="7"/>
      <c r="AF2050" s="7"/>
      <c r="AG2050" s="7"/>
      <c r="AH2050" s="7"/>
      <c r="AI2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0" s="7"/>
      <c r="AK2050" t="s">
        <v>168</v>
      </c>
      <c r="AN2050">
        <f>IFERROR(INT(Table13[[#This Row],[reject_prod]]/Table13[[#This Row],[part_weight]] * 1000), 0)</f>
        <v>113</v>
      </c>
    </row>
    <row r="2051" spans="1:40">
      <c r="A2051" s="1">
        <v>46083</v>
      </c>
      <c r="B2051">
        <v>2</v>
      </c>
      <c r="C2051">
        <v>4</v>
      </c>
      <c r="D2051" t="s">
        <v>289</v>
      </c>
      <c r="E2051" t="s">
        <v>34</v>
      </c>
      <c r="F2051">
        <v>402305</v>
      </c>
      <c r="G2051" s="6">
        <v>0</v>
      </c>
      <c r="H2051" t="s">
        <v>395</v>
      </c>
      <c r="I2051">
        <v>10688065</v>
      </c>
      <c r="J2051">
        <v>4</v>
      </c>
      <c r="K2051">
        <v>29</v>
      </c>
      <c r="L2051">
        <v>29</v>
      </c>
      <c r="M2051">
        <v>1040</v>
      </c>
      <c r="N2051" s="2">
        <v>44928</v>
      </c>
      <c r="O2051" s="2">
        <v>0</v>
      </c>
      <c r="P2051" s="2">
        <v>416</v>
      </c>
      <c r="Q2051" s="2">
        <v>4160</v>
      </c>
      <c r="R2051" s="2">
        <v>3744</v>
      </c>
      <c r="S2051">
        <v>108.57599999999999</v>
      </c>
      <c r="T2051" s="2">
        <v>4160</v>
      </c>
      <c r="U2051" s="2">
        <v>40768</v>
      </c>
      <c r="V2051">
        <v>120.64</v>
      </c>
      <c r="W2051">
        <v>0</v>
      </c>
      <c r="X2051">
        <v>10</v>
      </c>
      <c r="Y2051">
        <v>8.2891247000000001E-2</v>
      </c>
      <c r="Z2051">
        <v>2.5</v>
      </c>
      <c r="AA2051">
        <v>2.0722812E-2</v>
      </c>
      <c r="AB2051">
        <v>25.73</v>
      </c>
      <c r="AC2051">
        <v>7.4331111109999997</v>
      </c>
      <c r="AD2051">
        <v>22</v>
      </c>
      <c r="AE2051" s="7"/>
      <c r="AF2051" s="7"/>
      <c r="AG2051" s="7"/>
      <c r="AH2051" s="7"/>
      <c r="AI2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4.5668888890000003</v>
      </c>
      <c r="AJ2051" s="7"/>
      <c r="AK2051" t="s">
        <v>1066</v>
      </c>
      <c r="AN2051">
        <f>IFERROR(INT(Table13[[#This Row],[reject_prod]]/Table13[[#This Row],[part_weight]] * 1000), 0)</f>
        <v>86</v>
      </c>
    </row>
    <row r="2052" spans="1:40">
      <c r="A2052" s="1">
        <v>46083</v>
      </c>
      <c r="B2052">
        <v>2</v>
      </c>
      <c r="C2052">
        <v>5</v>
      </c>
      <c r="D2052" t="s">
        <v>427</v>
      </c>
      <c r="E2052" t="s">
        <v>34</v>
      </c>
      <c r="F2052">
        <v>322448</v>
      </c>
      <c r="G2052" s="6">
        <v>0</v>
      </c>
      <c r="H2052" t="s">
        <v>654</v>
      </c>
      <c r="I2052">
        <v>10687753</v>
      </c>
      <c r="J2052">
        <v>4</v>
      </c>
      <c r="K2052">
        <v>40</v>
      </c>
      <c r="L2052">
        <v>40</v>
      </c>
      <c r="M2052">
        <v>1660</v>
      </c>
      <c r="N2052" s="2">
        <v>174960</v>
      </c>
      <c r="O2052" s="2">
        <v>810</v>
      </c>
      <c r="P2052" s="2">
        <v>162</v>
      </c>
      <c r="Q2052" s="2">
        <v>6640</v>
      </c>
      <c r="R2052" s="2">
        <v>7290</v>
      </c>
      <c r="S2052">
        <v>291.60000000000002</v>
      </c>
      <c r="T2052" s="2">
        <v>49572</v>
      </c>
      <c r="U2052" s="2">
        <v>125388</v>
      </c>
      <c r="V2052">
        <v>265.60000000000002</v>
      </c>
      <c r="W2052">
        <v>0</v>
      </c>
      <c r="X2052">
        <v>0</v>
      </c>
      <c r="Y2052">
        <v>0</v>
      </c>
      <c r="Z2052">
        <v>2.7</v>
      </c>
      <c r="AA2052">
        <v>1.0165663E-2</v>
      </c>
      <c r="AB2052">
        <v>26.2</v>
      </c>
      <c r="AC2052">
        <v>12</v>
      </c>
      <c r="AD2052">
        <v>23</v>
      </c>
      <c r="AE2052" s="7"/>
      <c r="AF2052" s="7"/>
      <c r="AG2052" s="7"/>
      <c r="AH2052" s="7"/>
      <c r="AI2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2" s="7"/>
      <c r="AK2052" t="s">
        <v>356</v>
      </c>
      <c r="AN2052">
        <f>IFERROR(INT(Table13[[#This Row],[reject_prod]]/Table13[[#This Row],[part_weight]] * 1000), 0)</f>
        <v>67</v>
      </c>
    </row>
    <row r="2053" spans="1:40">
      <c r="A2053" s="1">
        <v>46083</v>
      </c>
      <c r="B2053">
        <v>2</v>
      </c>
      <c r="C2053">
        <v>6</v>
      </c>
      <c r="D2053" t="s">
        <v>33</v>
      </c>
      <c r="E2053" t="s">
        <v>34</v>
      </c>
      <c r="F2053">
        <v>532981</v>
      </c>
      <c r="G2053" s="6">
        <v>0</v>
      </c>
      <c r="H2053" t="s">
        <v>233</v>
      </c>
      <c r="I2053">
        <v>10688648</v>
      </c>
      <c r="J2053">
        <v>4</v>
      </c>
      <c r="K2053">
        <v>25</v>
      </c>
      <c r="L2053">
        <v>25</v>
      </c>
      <c r="M2053">
        <v>150</v>
      </c>
      <c r="N2053" s="2">
        <v>87552</v>
      </c>
      <c r="O2053" s="2">
        <v>0</v>
      </c>
      <c r="P2053" s="2">
        <v>456</v>
      </c>
      <c r="Q2053" s="2">
        <v>600</v>
      </c>
      <c r="R2053" s="2">
        <v>0</v>
      </c>
      <c r="S2053">
        <v>0</v>
      </c>
      <c r="T2053" s="2">
        <v>456</v>
      </c>
      <c r="U2053" s="2">
        <v>87096</v>
      </c>
      <c r="V2053">
        <v>15</v>
      </c>
      <c r="W2053">
        <v>0</v>
      </c>
      <c r="X2053">
        <v>8</v>
      </c>
      <c r="Y2053">
        <v>0.53333333299999997</v>
      </c>
      <c r="Z2053">
        <v>8.3000000000000007</v>
      </c>
      <c r="AA2053">
        <v>0.55333333299999998</v>
      </c>
      <c r="AB2053">
        <v>21</v>
      </c>
      <c r="AC2053">
        <v>0.875</v>
      </c>
      <c r="AD2053">
        <v>20</v>
      </c>
      <c r="AE2053" s="7"/>
      <c r="AF2053" s="7">
        <v>3.5</v>
      </c>
      <c r="AG2053" s="7"/>
      <c r="AH2053" s="7"/>
      <c r="AI2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2.625</v>
      </c>
      <c r="AJ2053" s="7">
        <v>5</v>
      </c>
      <c r="AK2053" t="s">
        <v>1067</v>
      </c>
      <c r="AN2053">
        <f>IFERROR(INT(Table13[[#This Row],[reject_prod]]/Table13[[#This Row],[part_weight]] * 1000), 0)</f>
        <v>332</v>
      </c>
    </row>
    <row r="2054" spans="1:40">
      <c r="A2054" s="1">
        <v>46083</v>
      </c>
      <c r="B2054">
        <v>2</v>
      </c>
      <c r="C2054">
        <v>7</v>
      </c>
      <c r="D2054" t="s">
        <v>33</v>
      </c>
      <c r="E2054" t="s">
        <v>34</v>
      </c>
      <c r="F2054">
        <v>324165</v>
      </c>
      <c r="G2054" s="6">
        <v>0</v>
      </c>
      <c r="H2054" t="s">
        <v>44</v>
      </c>
      <c r="I2054">
        <v>10687138</v>
      </c>
      <c r="J2054">
        <v>4</v>
      </c>
      <c r="K2054">
        <v>32.56</v>
      </c>
      <c r="L2054">
        <v>33</v>
      </c>
      <c r="M2054">
        <v>128</v>
      </c>
      <c r="N2054" s="2">
        <v>11776</v>
      </c>
      <c r="O2054" s="2">
        <v>2048</v>
      </c>
      <c r="P2054" s="2">
        <v>2560</v>
      </c>
      <c r="Q2054" s="2">
        <v>512</v>
      </c>
      <c r="R2054" s="2">
        <v>0</v>
      </c>
      <c r="S2054">
        <v>0</v>
      </c>
      <c r="T2054" s="2">
        <v>11776</v>
      </c>
      <c r="U2054" s="2">
        <v>0</v>
      </c>
      <c r="V2054">
        <v>16.896000000000001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22.8</v>
      </c>
      <c r="AC2054">
        <v>0.81066666700000001</v>
      </c>
      <c r="AD2054">
        <v>22</v>
      </c>
      <c r="AE2054" s="7"/>
      <c r="AF2054" s="7"/>
      <c r="AG2054" s="7"/>
      <c r="AH2054" s="7"/>
      <c r="AI2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11.189333333</v>
      </c>
      <c r="AJ2054" s="7"/>
      <c r="AK2054" t="s">
        <v>102</v>
      </c>
      <c r="AN2054">
        <f>IFERROR(INT(Table13[[#This Row],[reject_prod]]/Table13[[#This Row],[part_weight]] * 1000), 0)</f>
        <v>0</v>
      </c>
    </row>
    <row r="2055" spans="1:40">
      <c r="A2055" s="1">
        <v>46083</v>
      </c>
      <c r="B2055">
        <v>2</v>
      </c>
      <c r="C2055">
        <v>7</v>
      </c>
      <c r="D2055" t="s">
        <v>56</v>
      </c>
      <c r="E2055" t="s">
        <v>34</v>
      </c>
      <c r="F2055">
        <v>647556</v>
      </c>
      <c r="G2055" s="6">
        <v>0</v>
      </c>
      <c r="H2055" t="s">
        <v>458</v>
      </c>
      <c r="I2055">
        <v>10688945</v>
      </c>
      <c r="J2055">
        <v>4</v>
      </c>
      <c r="K2055">
        <v>35</v>
      </c>
      <c r="L2055">
        <v>34.5</v>
      </c>
      <c r="M2055">
        <v>680</v>
      </c>
      <c r="N2055" s="2">
        <v>27720</v>
      </c>
      <c r="O2055" s="2">
        <v>0</v>
      </c>
      <c r="P2055" s="2">
        <v>2640</v>
      </c>
      <c r="Q2055" s="2">
        <v>2720</v>
      </c>
      <c r="R2055" s="2">
        <v>0</v>
      </c>
      <c r="S2055">
        <v>0</v>
      </c>
      <c r="T2055" s="2">
        <v>2640</v>
      </c>
      <c r="U2055" s="2">
        <v>25080</v>
      </c>
      <c r="V2055">
        <v>93.84</v>
      </c>
      <c r="W2055">
        <v>0</v>
      </c>
      <c r="X2055">
        <v>13</v>
      </c>
      <c r="Y2055">
        <v>0.138533674</v>
      </c>
      <c r="Z2055">
        <v>2</v>
      </c>
      <c r="AA2055">
        <v>2.1312873E-2</v>
      </c>
      <c r="AB2055">
        <v>22.67</v>
      </c>
      <c r="AC2055">
        <v>4.2821111109999999</v>
      </c>
      <c r="AD2055">
        <v>20.399999999999999</v>
      </c>
      <c r="AE2055" s="7"/>
      <c r="AF2055" s="7"/>
      <c r="AG2055" s="7">
        <v>1.5</v>
      </c>
      <c r="AH2055" s="7"/>
      <c r="AI2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6.2178888890000001</v>
      </c>
      <c r="AJ2055" s="7"/>
      <c r="AK2055" t="s">
        <v>1068</v>
      </c>
      <c r="AN2055">
        <f>IFERROR(INT(Table13[[#This Row],[reject_prod]]/Table13[[#This Row],[part_weight]] * 1000), 0)</f>
        <v>57</v>
      </c>
    </row>
    <row r="2056" spans="1:40">
      <c r="A2056" s="1">
        <v>46083</v>
      </c>
      <c r="B2056">
        <v>2</v>
      </c>
      <c r="C2056">
        <v>8</v>
      </c>
      <c r="D2056" t="s">
        <v>33</v>
      </c>
      <c r="E2056" t="s">
        <v>41</v>
      </c>
      <c r="F2056">
        <v>593537</v>
      </c>
      <c r="G2056" s="6">
        <v>0</v>
      </c>
      <c r="H2056" t="s">
        <v>48</v>
      </c>
      <c r="I2056">
        <v>10688067</v>
      </c>
      <c r="J2056">
        <v>4</v>
      </c>
      <c r="K2056">
        <v>56.5</v>
      </c>
      <c r="L2056">
        <v>56.8</v>
      </c>
      <c r="M2056">
        <v>0</v>
      </c>
      <c r="N2056" s="2">
        <v>69000</v>
      </c>
      <c r="O2056" s="2">
        <v>0</v>
      </c>
      <c r="P2056" s="2">
        <v>0</v>
      </c>
      <c r="Q2056" s="2">
        <v>0</v>
      </c>
      <c r="R2056" s="2">
        <v>0</v>
      </c>
      <c r="S2056">
        <v>0</v>
      </c>
      <c r="T2056" s="2">
        <v>63250</v>
      </c>
      <c r="U2056" s="2">
        <v>5750</v>
      </c>
      <c r="V2056">
        <v>0</v>
      </c>
      <c r="W2056">
        <v>0</v>
      </c>
      <c r="X2056">
        <v>0</v>
      </c>
      <c r="Y2056" t="e">
        <v>#DIV/0!</v>
      </c>
      <c r="Z2056">
        <v>0</v>
      </c>
      <c r="AA2056" t="e">
        <v>#DIV/0!</v>
      </c>
      <c r="AB2056">
        <v>30.5</v>
      </c>
      <c r="AC2056">
        <v>0</v>
      </c>
      <c r="AD2056">
        <v>28.5</v>
      </c>
      <c r="AE2056" s="7"/>
      <c r="AF2056" s="7"/>
      <c r="AG2056" s="7"/>
      <c r="AH2056" s="7"/>
      <c r="AI2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56" s="7"/>
      <c r="AK2056" t="s">
        <v>1069</v>
      </c>
      <c r="AN2056">
        <f>IFERROR(INT(Table13[[#This Row],[reject_prod]]/Table13[[#This Row],[part_weight]] * 1000), 0)</f>
        <v>0</v>
      </c>
    </row>
    <row r="2057" spans="1:40">
      <c r="A2057" s="1">
        <v>46083</v>
      </c>
      <c r="B2057">
        <v>2</v>
      </c>
      <c r="C2057">
        <v>9</v>
      </c>
      <c r="D2057" t="s">
        <v>1070</v>
      </c>
      <c r="E2057" t="s">
        <v>46</v>
      </c>
      <c r="F2057">
        <v>586276</v>
      </c>
      <c r="G2057" s="6">
        <v>1</v>
      </c>
      <c r="H2057" t="s">
        <v>47</v>
      </c>
      <c r="I2057">
        <v>10686685</v>
      </c>
      <c r="J2057">
        <v>6</v>
      </c>
      <c r="K2057">
        <v>12.3</v>
      </c>
      <c r="L2057">
        <v>12.3</v>
      </c>
      <c r="M2057">
        <v>1560</v>
      </c>
      <c r="N2057" s="2">
        <v>162000</v>
      </c>
      <c r="O2057" s="2">
        <v>5265</v>
      </c>
      <c r="P2057" s="2">
        <v>6480</v>
      </c>
      <c r="Q2057" s="2">
        <v>9360</v>
      </c>
      <c r="R2057" s="2">
        <v>8100</v>
      </c>
      <c r="S2057">
        <v>99.63</v>
      </c>
      <c r="T2057" s="2">
        <v>38880</v>
      </c>
      <c r="U2057" s="2">
        <v>123120</v>
      </c>
      <c r="V2057">
        <v>115.128</v>
      </c>
      <c r="W2057">
        <v>0</v>
      </c>
      <c r="X2057">
        <v>0</v>
      </c>
      <c r="Y2057">
        <v>0</v>
      </c>
      <c r="Z2057">
        <v>2</v>
      </c>
      <c r="AA2057">
        <v>1.7371969000000001E-2</v>
      </c>
      <c r="AB2057">
        <v>26.5</v>
      </c>
      <c r="AC2057">
        <v>11.483333330000001</v>
      </c>
      <c r="AD2057">
        <v>26</v>
      </c>
      <c r="AE2057" s="7"/>
      <c r="AF2057" s="7"/>
      <c r="AG2057" s="7"/>
      <c r="AH2057" s="7"/>
      <c r="AI2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0.51666666999999933</v>
      </c>
      <c r="AJ2057" s="7"/>
      <c r="AK2057" t="s">
        <v>51</v>
      </c>
      <c r="AN2057">
        <f>IFERROR(INT(Table13[[#This Row],[reject_prod]]/Table13[[#This Row],[part_weight]] * 1000), 0)</f>
        <v>162</v>
      </c>
    </row>
    <row r="2058" spans="1:40">
      <c r="A2058" s="1">
        <v>46083</v>
      </c>
      <c r="B2058">
        <v>2</v>
      </c>
      <c r="C2058">
        <v>10</v>
      </c>
      <c r="D2058" t="s">
        <v>89</v>
      </c>
      <c r="E2058" t="s">
        <v>34</v>
      </c>
      <c r="F2058">
        <v>323133</v>
      </c>
      <c r="G2058" s="6">
        <v>0</v>
      </c>
      <c r="H2058" t="s">
        <v>568</v>
      </c>
      <c r="I2058">
        <v>10688500</v>
      </c>
      <c r="J2058">
        <v>4</v>
      </c>
      <c r="K2058">
        <v>57</v>
      </c>
      <c r="L2058">
        <v>77</v>
      </c>
      <c r="M2058">
        <v>1104</v>
      </c>
      <c r="N2058" s="2">
        <v>13248</v>
      </c>
      <c r="O2058" s="2">
        <v>138</v>
      </c>
      <c r="P2058" s="2">
        <v>138</v>
      </c>
      <c r="Q2058" s="2">
        <v>4416</v>
      </c>
      <c r="R2058" s="2">
        <v>4416</v>
      </c>
      <c r="S2058">
        <v>340.03199999999998</v>
      </c>
      <c r="T2058" s="2">
        <v>5106</v>
      </c>
      <c r="U2058" s="2">
        <v>8142</v>
      </c>
      <c r="V2058">
        <v>340.03199999999998</v>
      </c>
      <c r="W2058">
        <v>0</v>
      </c>
      <c r="X2058">
        <v>0</v>
      </c>
      <c r="Y2058">
        <v>0</v>
      </c>
      <c r="Z2058">
        <v>4</v>
      </c>
      <c r="AA2058">
        <v>1.1763599E-2</v>
      </c>
      <c r="AB2058">
        <v>38.700000000000003</v>
      </c>
      <c r="AC2058">
        <v>11.868</v>
      </c>
      <c r="AD2058">
        <v>35</v>
      </c>
      <c r="AE2058" s="7"/>
      <c r="AF2058" s="7"/>
      <c r="AG2058" s="7"/>
      <c r="AH2058" s="7"/>
      <c r="AI2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2058" s="7"/>
      <c r="AK2058" t="s">
        <v>227</v>
      </c>
      <c r="AN2058">
        <f>IFERROR(INT(Table13[[#This Row],[reject_prod]]/Table13[[#This Row],[part_weight]] * 1000), 0)</f>
        <v>51</v>
      </c>
    </row>
    <row r="2059" spans="1:40">
      <c r="A2059" s="1">
        <v>46083</v>
      </c>
      <c r="B2059">
        <v>2</v>
      </c>
      <c r="C2059">
        <v>11</v>
      </c>
      <c r="D2059" t="s">
        <v>59</v>
      </c>
      <c r="E2059" t="s">
        <v>46</v>
      </c>
      <c r="F2059">
        <v>552181</v>
      </c>
      <c r="G2059" s="6">
        <v>1</v>
      </c>
      <c r="H2059" t="s">
        <v>49</v>
      </c>
      <c r="I2059">
        <v>10688069</v>
      </c>
      <c r="J2059">
        <v>6</v>
      </c>
      <c r="K2059">
        <v>14.7</v>
      </c>
      <c r="L2059">
        <v>14.7</v>
      </c>
      <c r="M2059">
        <v>1410</v>
      </c>
      <c r="N2059" s="2">
        <v>108000</v>
      </c>
      <c r="O2059" s="2">
        <v>3510</v>
      </c>
      <c r="P2059" s="2">
        <v>1080</v>
      </c>
      <c r="Q2059" s="2">
        <v>8460</v>
      </c>
      <c r="R2059" s="2">
        <v>10800</v>
      </c>
      <c r="S2059">
        <v>158.76</v>
      </c>
      <c r="T2059" s="2">
        <v>38880</v>
      </c>
      <c r="U2059" s="2">
        <v>69120</v>
      </c>
      <c r="V2059">
        <v>124.36199999999999</v>
      </c>
      <c r="W2059">
        <v>0</v>
      </c>
      <c r="X2059">
        <v>0</v>
      </c>
      <c r="Y2059">
        <v>0</v>
      </c>
      <c r="Z2059">
        <v>4.2</v>
      </c>
      <c r="AA2059">
        <v>3.3772374000000001E-2</v>
      </c>
      <c r="AB2059">
        <v>28.46</v>
      </c>
      <c r="AC2059">
        <v>11.14683333</v>
      </c>
      <c r="AD2059">
        <v>27</v>
      </c>
      <c r="AE2059" s="7"/>
      <c r="AF2059" s="7"/>
      <c r="AG2059" s="7"/>
      <c r="AH2059" s="7"/>
      <c r="AI2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0.85316667000000024</v>
      </c>
      <c r="AJ2059" s="7"/>
      <c r="AK2059" t="s">
        <v>1071</v>
      </c>
      <c r="AN2059">
        <f>IFERROR(INT(Table13[[#This Row],[reject_prod]]/Table13[[#This Row],[part_weight]] * 1000), 0)</f>
        <v>285</v>
      </c>
    </row>
    <row r="2060" spans="1:40">
      <c r="A2060" s="1">
        <v>46083</v>
      </c>
      <c r="B2060">
        <v>2</v>
      </c>
      <c r="C2060">
        <v>12</v>
      </c>
      <c r="D2060" t="s">
        <v>167</v>
      </c>
      <c r="E2060" t="s">
        <v>34</v>
      </c>
      <c r="F2060">
        <v>620599</v>
      </c>
      <c r="G2060" s="6">
        <v>0</v>
      </c>
      <c r="H2060" t="s">
        <v>50</v>
      </c>
      <c r="I2060">
        <v>10688071</v>
      </c>
      <c r="J2060">
        <v>4</v>
      </c>
      <c r="K2060">
        <v>55</v>
      </c>
      <c r="L2060">
        <v>55</v>
      </c>
      <c r="M2060">
        <v>1515</v>
      </c>
      <c r="N2060" s="2">
        <v>72000</v>
      </c>
      <c r="O2060" s="2">
        <v>625</v>
      </c>
      <c r="P2060" s="2">
        <v>1530</v>
      </c>
      <c r="Q2060" s="2">
        <v>6060</v>
      </c>
      <c r="R2060" s="2">
        <v>5400</v>
      </c>
      <c r="S2060">
        <v>297</v>
      </c>
      <c r="T2060" s="2">
        <v>27630</v>
      </c>
      <c r="U2060" s="2">
        <v>44370</v>
      </c>
      <c r="V2060">
        <v>333.3</v>
      </c>
      <c r="W2060">
        <v>0</v>
      </c>
      <c r="X2060">
        <v>0</v>
      </c>
      <c r="Y2060">
        <v>0</v>
      </c>
      <c r="Z2060">
        <v>2</v>
      </c>
      <c r="AA2060">
        <v>6.0006E-3</v>
      </c>
      <c r="AB2060">
        <v>28.8</v>
      </c>
      <c r="AC2060">
        <v>12</v>
      </c>
      <c r="AD2060">
        <v>28</v>
      </c>
      <c r="AE2060" s="7"/>
      <c r="AF2060" s="7"/>
      <c r="AG2060" s="7"/>
      <c r="AH2060" s="7"/>
      <c r="AI2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0" s="7"/>
      <c r="AK2060" t="s">
        <v>178</v>
      </c>
      <c r="AN2060">
        <f>IFERROR(INT(Table13[[#This Row],[reject_prod]]/Table13[[#This Row],[part_weight]] * 1000), 0)</f>
        <v>36</v>
      </c>
    </row>
    <row r="2061" spans="1:40">
      <c r="A2061" s="1">
        <v>46083</v>
      </c>
      <c r="B2061">
        <v>2</v>
      </c>
      <c r="C2061">
        <v>13</v>
      </c>
      <c r="D2061" t="s">
        <v>59</v>
      </c>
      <c r="E2061" t="s">
        <v>46</v>
      </c>
      <c r="F2061">
        <v>586276</v>
      </c>
      <c r="G2061" s="6">
        <v>2</v>
      </c>
      <c r="H2061" t="s">
        <v>47</v>
      </c>
      <c r="I2061">
        <v>10686677</v>
      </c>
      <c r="J2061">
        <v>6</v>
      </c>
      <c r="K2061">
        <v>12.3</v>
      </c>
      <c r="L2061">
        <v>12.3</v>
      </c>
      <c r="M2061">
        <v>1085</v>
      </c>
      <c r="N2061" s="2">
        <v>162000</v>
      </c>
      <c r="O2061" s="2">
        <v>1620</v>
      </c>
      <c r="P2061" s="2">
        <v>0</v>
      </c>
      <c r="Q2061" s="2">
        <v>6510</v>
      </c>
      <c r="R2061" s="2">
        <v>8100</v>
      </c>
      <c r="S2061">
        <v>99.63</v>
      </c>
      <c r="T2061" s="2">
        <v>162000</v>
      </c>
      <c r="U2061" s="2">
        <v>0</v>
      </c>
      <c r="V2061">
        <v>80.072999999999993</v>
      </c>
      <c r="W2061">
        <v>0</v>
      </c>
      <c r="X2061">
        <v>0</v>
      </c>
      <c r="Y2061">
        <v>0</v>
      </c>
      <c r="Z2061">
        <v>1</v>
      </c>
      <c r="AA2061">
        <v>1.2488604E-2</v>
      </c>
      <c r="AB2061">
        <v>26.2</v>
      </c>
      <c r="AC2061">
        <v>7.8963888889999998</v>
      </c>
      <c r="AD2061">
        <v>26</v>
      </c>
      <c r="AE2061" s="7"/>
      <c r="AF2061" s="7"/>
      <c r="AG2061" s="7"/>
      <c r="AH2061" s="7"/>
      <c r="AI2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4.1036111110000002</v>
      </c>
      <c r="AJ2061" s="7"/>
      <c r="AK2061" t="s">
        <v>51</v>
      </c>
      <c r="AN2061">
        <f>IFERROR(INT(Table13[[#This Row],[reject_prod]]/Table13[[#This Row],[part_weight]] * 1000), 0)</f>
        <v>81</v>
      </c>
    </row>
    <row r="2062" spans="1:40">
      <c r="A2062" s="1">
        <v>46083</v>
      </c>
      <c r="B2062">
        <v>2</v>
      </c>
      <c r="C2062">
        <v>13</v>
      </c>
      <c r="D2062" t="s">
        <v>59</v>
      </c>
      <c r="E2062" t="s">
        <v>46</v>
      </c>
      <c r="F2062">
        <v>586276</v>
      </c>
      <c r="G2062" s="6">
        <v>2</v>
      </c>
      <c r="H2062" t="s">
        <v>47</v>
      </c>
      <c r="I2062">
        <v>10688946</v>
      </c>
      <c r="J2062">
        <v>6</v>
      </c>
      <c r="K2062">
        <v>12.3</v>
      </c>
      <c r="L2062">
        <v>12.3</v>
      </c>
      <c r="M2062">
        <v>540</v>
      </c>
      <c r="N2062" s="2">
        <v>162000</v>
      </c>
      <c r="O2062" s="2">
        <v>0</v>
      </c>
      <c r="P2062" s="2">
        <v>3240</v>
      </c>
      <c r="Q2062" s="2">
        <v>3240</v>
      </c>
      <c r="R2062" s="2">
        <v>0</v>
      </c>
      <c r="S2062">
        <v>0</v>
      </c>
      <c r="T2062" s="2">
        <v>3240</v>
      </c>
      <c r="U2062" s="2">
        <v>158760</v>
      </c>
      <c r="V2062">
        <v>39.851999999999997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26.2</v>
      </c>
      <c r="AC2062">
        <v>3.93</v>
      </c>
      <c r="AD2062">
        <v>26</v>
      </c>
      <c r="AE2062" s="7"/>
      <c r="AF2062" s="7"/>
      <c r="AG2062" s="7"/>
      <c r="AH2062" s="7"/>
      <c r="AI2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8.07</v>
      </c>
      <c r="AJ2062" s="7"/>
      <c r="AK2062" t="s">
        <v>102</v>
      </c>
      <c r="AN2062">
        <f>IFERROR(INT(Table13[[#This Row],[reject_prod]]/Table13[[#This Row],[part_weight]] * 1000), 0)</f>
        <v>0</v>
      </c>
    </row>
    <row r="2063" spans="1:40">
      <c r="A2063" s="1">
        <v>46083</v>
      </c>
      <c r="B2063">
        <v>2</v>
      </c>
      <c r="C2063">
        <v>14</v>
      </c>
      <c r="D2063" t="s">
        <v>84</v>
      </c>
      <c r="E2063" t="s">
        <v>34</v>
      </c>
      <c r="F2063">
        <v>541381</v>
      </c>
      <c r="G2063" s="6">
        <v>0</v>
      </c>
      <c r="H2063" t="s">
        <v>804</v>
      </c>
      <c r="I2063">
        <v>10688072</v>
      </c>
      <c r="J2063">
        <v>4</v>
      </c>
      <c r="K2063">
        <v>55</v>
      </c>
      <c r="L2063">
        <v>55</v>
      </c>
      <c r="M2063">
        <v>1575</v>
      </c>
      <c r="N2063" s="2">
        <v>84000</v>
      </c>
      <c r="O2063" s="2">
        <v>0</v>
      </c>
      <c r="P2063" s="2">
        <v>0</v>
      </c>
      <c r="Q2063" s="2">
        <v>6300</v>
      </c>
      <c r="R2063" s="2">
        <v>6300</v>
      </c>
      <c r="S2063">
        <v>346.5</v>
      </c>
      <c r="T2063" s="2">
        <v>60200</v>
      </c>
      <c r="U2063" s="2">
        <v>23800</v>
      </c>
      <c r="V2063">
        <v>346.5</v>
      </c>
      <c r="W2063">
        <v>0</v>
      </c>
      <c r="X2063">
        <v>0</v>
      </c>
      <c r="Y2063">
        <v>0</v>
      </c>
      <c r="Z2063">
        <v>1.8</v>
      </c>
      <c r="AA2063">
        <v>5.1948050000000003E-3</v>
      </c>
      <c r="AB2063">
        <v>27.3</v>
      </c>
      <c r="AC2063">
        <v>11.94375</v>
      </c>
      <c r="AD2063">
        <v>30.08</v>
      </c>
      <c r="AE2063" s="7"/>
      <c r="AF2063" s="7"/>
      <c r="AG2063" s="7"/>
      <c r="AH2063" s="7"/>
      <c r="AI20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063" s="7"/>
      <c r="AK2063" t="s">
        <v>178</v>
      </c>
      <c r="AN2063">
        <f>IFERROR(INT(Table13[[#This Row],[reject_prod]]/Table13[[#This Row],[part_weight]] * 1000), 0)</f>
        <v>32</v>
      </c>
    </row>
    <row r="2064" spans="1:40">
      <c r="A2064" s="1">
        <v>46083</v>
      </c>
      <c r="B2064">
        <v>2</v>
      </c>
      <c r="C2064">
        <v>15</v>
      </c>
      <c r="D2064" t="s">
        <v>59</v>
      </c>
      <c r="E2064" t="s">
        <v>46</v>
      </c>
      <c r="F2064">
        <v>552181</v>
      </c>
      <c r="G2064" s="6">
        <v>2</v>
      </c>
      <c r="H2064" t="s">
        <v>49</v>
      </c>
      <c r="I2064">
        <v>10686679</v>
      </c>
      <c r="J2064">
        <v>6</v>
      </c>
      <c r="K2064">
        <v>14.7</v>
      </c>
      <c r="L2064">
        <v>14.7</v>
      </c>
      <c r="M2064">
        <v>1425</v>
      </c>
      <c r="N2064" s="2">
        <v>108000</v>
      </c>
      <c r="O2064" s="2">
        <v>3780</v>
      </c>
      <c r="P2064" s="2">
        <v>1620</v>
      </c>
      <c r="Q2064" s="2">
        <v>8550</v>
      </c>
      <c r="R2064" s="2">
        <v>10800</v>
      </c>
      <c r="S2064">
        <v>158.76</v>
      </c>
      <c r="T2064" s="2">
        <v>88020</v>
      </c>
      <c r="U2064" s="2">
        <v>19980</v>
      </c>
      <c r="V2064">
        <v>125.685</v>
      </c>
      <c r="W2064">
        <v>0</v>
      </c>
      <c r="X2064">
        <v>0</v>
      </c>
      <c r="Y2064">
        <v>0</v>
      </c>
      <c r="Z2064">
        <v>1</v>
      </c>
      <c r="AA2064">
        <v>7.9563989999999994E-3</v>
      </c>
      <c r="AB2064">
        <v>30.6</v>
      </c>
      <c r="AC2064">
        <v>12</v>
      </c>
      <c r="AD2064">
        <v>27</v>
      </c>
      <c r="AE2064" s="7"/>
      <c r="AF2064" s="7"/>
      <c r="AG2064" s="7"/>
      <c r="AH2064" s="7"/>
      <c r="AI2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4" s="7"/>
      <c r="AK2064" t="s">
        <v>51</v>
      </c>
      <c r="AN2064">
        <f>IFERROR(INT(Table13[[#This Row],[reject_prod]]/Table13[[#This Row],[part_weight]] * 1000), 0)</f>
        <v>68</v>
      </c>
    </row>
    <row r="2065" spans="1:40">
      <c r="A2065" s="1">
        <v>46083</v>
      </c>
      <c r="B2065">
        <v>2</v>
      </c>
      <c r="C2065">
        <v>16</v>
      </c>
      <c r="D2065" t="s">
        <v>33</v>
      </c>
      <c r="E2065" t="s">
        <v>46</v>
      </c>
      <c r="F2065">
        <v>555979</v>
      </c>
      <c r="G2065" s="6">
        <v>2</v>
      </c>
      <c r="H2065" t="s">
        <v>52</v>
      </c>
      <c r="I2065">
        <v>10686701</v>
      </c>
      <c r="J2065">
        <v>6</v>
      </c>
      <c r="K2065">
        <v>28</v>
      </c>
      <c r="L2065">
        <v>28</v>
      </c>
      <c r="M2065">
        <v>0</v>
      </c>
      <c r="N2065" s="2">
        <v>100800</v>
      </c>
      <c r="O2065" s="2">
        <v>0</v>
      </c>
      <c r="P2065" s="2">
        <v>0</v>
      </c>
      <c r="Q2065" s="2">
        <v>0</v>
      </c>
      <c r="R2065" s="2">
        <v>0</v>
      </c>
      <c r="S2065">
        <v>0</v>
      </c>
      <c r="T2065" s="2">
        <v>50400</v>
      </c>
      <c r="U2065" s="2">
        <v>50400</v>
      </c>
      <c r="V2065">
        <v>0</v>
      </c>
      <c r="W2065">
        <v>0</v>
      </c>
      <c r="X2065">
        <v>6.3</v>
      </c>
      <c r="Y2065" t="e">
        <v>#DIV/0!</v>
      </c>
      <c r="Z2065">
        <v>0</v>
      </c>
      <c r="AA2065" t="e">
        <v>#DIV/0!</v>
      </c>
      <c r="AB2065">
        <v>43.2</v>
      </c>
      <c r="AC2065">
        <v>0</v>
      </c>
      <c r="AD2065">
        <v>42</v>
      </c>
      <c r="AE2065" s="7"/>
      <c r="AF2065" s="7"/>
      <c r="AG2065" s="7"/>
      <c r="AH2065" s="7"/>
      <c r="AI2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65" s="7"/>
      <c r="AK2065" t="s">
        <v>865</v>
      </c>
      <c r="AN2065">
        <f>IFERROR(INT(Table13[[#This Row],[reject_prod]]/Table13[[#This Row],[part_weight]] * 1000), 0)</f>
        <v>0</v>
      </c>
    </row>
    <row r="2066" spans="1:40">
      <c r="A2066" s="1">
        <v>46084</v>
      </c>
      <c r="B2066">
        <v>1</v>
      </c>
      <c r="C2066">
        <v>1</v>
      </c>
      <c r="D2066" t="s">
        <v>698</v>
      </c>
      <c r="E2066" t="s">
        <v>34</v>
      </c>
      <c r="F2066">
        <v>324212</v>
      </c>
      <c r="G2066" s="6">
        <v>0</v>
      </c>
      <c r="H2066" t="s">
        <v>1055</v>
      </c>
      <c r="I2066">
        <v>10688490</v>
      </c>
      <c r="J2066">
        <v>4</v>
      </c>
      <c r="K2066">
        <v>16</v>
      </c>
      <c r="L2066">
        <v>16</v>
      </c>
      <c r="M2066">
        <v>1862</v>
      </c>
      <c r="N2066" s="2">
        <v>10240</v>
      </c>
      <c r="O2066" s="2">
        <v>1920</v>
      </c>
      <c r="P2066" s="2">
        <v>1280</v>
      </c>
      <c r="Q2066" s="2">
        <v>7448</v>
      </c>
      <c r="R2066" s="2">
        <v>7680</v>
      </c>
      <c r="S2066">
        <v>122.88</v>
      </c>
      <c r="T2066" s="2">
        <v>8960</v>
      </c>
      <c r="U2066" s="2">
        <v>1280</v>
      </c>
      <c r="V2066">
        <v>119.16800000000001</v>
      </c>
      <c r="W2066">
        <v>0</v>
      </c>
      <c r="X2066">
        <v>0</v>
      </c>
      <c r="Y2066">
        <v>0</v>
      </c>
      <c r="Z2066">
        <v>6.5</v>
      </c>
      <c r="AA2066">
        <v>5.4544844000000002E-2</v>
      </c>
      <c r="AB2066">
        <v>22.3</v>
      </c>
      <c r="AC2066">
        <v>11.534055560000001</v>
      </c>
      <c r="AD2066">
        <v>18.32</v>
      </c>
      <c r="AE2066" s="7"/>
      <c r="AF2066" s="7"/>
      <c r="AG2066" s="7"/>
      <c r="AH2066" s="7"/>
      <c r="AI2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0.46594443999999946</v>
      </c>
      <c r="AJ2066" s="7"/>
      <c r="AK2066" t="s">
        <v>1072</v>
      </c>
      <c r="AL2066">
        <v>10</v>
      </c>
      <c r="AM2066">
        <v>5</v>
      </c>
      <c r="AN2066">
        <f>IFERROR(INT(Table13[[#This Row],[reject_prod]]/Table13[[#This Row],[part_weight]] * 1000), 0)</f>
        <v>406</v>
      </c>
    </row>
    <row r="2067" spans="1:40">
      <c r="A2067" s="1">
        <v>46084</v>
      </c>
      <c r="B2067">
        <v>1</v>
      </c>
      <c r="C2067">
        <v>2</v>
      </c>
      <c r="D2067" t="s">
        <v>33</v>
      </c>
      <c r="E2067" t="s">
        <v>34</v>
      </c>
      <c r="F2067">
        <v>423215</v>
      </c>
      <c r="G2067" s="6">
        <v>0</v>
      </c>
      <c r="H2067" t="s">
        <v>156</v>
      </c>
      <c r="I2067">
        <v>10688491</v>
      </c>
      <c r="J2067">
        <v>4</v>
      </c>
      <c r="K2067">
        <v>24</v>
      </c>
      <c r="L2067">
        <v>24</v>
      </c>
      <c r="M2067">
        <v>0</v>
      </c>
      <c r="N2067" s="2">
        <v>9870</v>
      </c>
      <c r="O2067" s="2">
        <v>0</v>
      </c>
      <c r="P2067" s="2">
        <v>0</v>
      </c>
      <c r="Q2067" s="2">
        <v>0</v>
      </c>
      <c r="R2067" s="2">
        <v>0</v>
      </c>
      <c r="S2067">
        <v>0</v>
      </c>
      <c r="T2067" s="2">
        <v>0</v>
      </c>
      <c r="U2067" s="2">
        <v>9870</v>
      </c>
      <c r="V2067">
        <v>0</v>
      </c>
      <c r="W2067">
        <v>0</v>
      </c>
      <c r="X2067">
        <v>2.2999999999999998</v>
      </c>
      <c r="Y2067" t="e">
        <v>#DIV/0!</v>
      </c>
      <c r="Z2067">
        <v>0</v>
      </c>
      <c r="AA2067" t="e">
        <v>#DIV/0!</v>
      </c>
      <c r="AB2067">
        <v>19.7</v>
      </c>
      <c r="AC2067">
        <v>0</v>
      </c>
      <c r="AD2067">
        <v>22</v>
      </c>
      <c r="AE2067" s="7"/>
      <c r="AF2067" s="7"/>
      <c r="AG2067" s="7"/>
      <c r="AH2067" s="7">
        <v>12</v>
      </c>
      <c r="AI2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7" s="7"/>
      <c r="AK2067" t="s">
        <v>1073</v>
      </c>
      <c r="AL2067">
        <v>19</v>
      </c>
      <c r="AM2067">
        <v>3</v>
      </c>
      <c r="AN2067">
        <f>IFERROR(INT(Table13[[#This Row],[reject_prod]]/Table13[[#This Row],[part_weight]] * 1000), 0)</f>
        <v>0</v>
      </c>
    </row>
    <row r="2068" spans="1:40">
      <c r="A2068" s="1">
        <v>46084</v>
      </c>
      <c r="B2068">
        <v>1</v>
      </c>
      <c r="C2068">
        <v>3</v>
      </c>
      <c r="D2068" t="s">
        <v>43</v>
      </c>
      <c r="E2068" t="s">
        <v>34</v>
      </c>
      <c r="F2068">
        <v>442034</v>
      </c>
      <c r="G2068" s="6">
        <v>0</v>
      </c>
      <c r="H2068" t="s">
        <v>37</v>
      </c>
      <c r="I2068">
        <v>10685634</v>
      </c>
      <c r="J2068">
        <v>4</v>
      </c>
      <c r="K2068">
        <v>23</v>
      </c>
      <c r="L2068">
        <v>23</v>
      </c>
      <c r="M2068">
        <v>1489</v>
      </c>
      <c r="N2068" s="2">
        <v>139776</v>
      </c>
      <c r="O2068" s="2">
        <v>4224</v>
      </c>
      <c r="P2068" s="2">
        <v>768</v>
      </c>
      <c r="Q2068" s="2">
        <v>5956</v>
      </c>
      <c r="R2068" s="2">
        <v>9216</v>
      </c>
      <c r="S2068">
        <v>211.96799999999999</v>
      </c>
      <c r="T2068" s="2">
        <v>129792</v>
      </c>
      <c r="U2068" s="2">
        <v>9984</v>
      </c>
      <c r="V2068">
        <v>136.988</v>
      </c>
      <c r="W2068">
        <v>0</v>
      </c>
      <c r="X2068">
        <v>0</v>
      </c>
      <c r="Y2068">
        <v>0</v>
      </c>
      <c r="Z2068">
        <v>4.5</v>
      </c>
      <c r="AA2068">
        <v>3.2849593000000003E-2</v>
      </c>
      <c r="AB2068">
        <v>28.5</v>
      </c>
      <c r="AC2068">
        <v>11.78791667</v>
      </c>
      <c r="AD2068">
        <v>22</v>
      </c>
      <c r="AE2068" s="7"/>
      <c r="AF2068" s="7"/>
      <c r="AG2068" s="7"/>
      <c r="AH2068" s="7"/>
      <c r="AI20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0.21208333000000046</v>
      </c>
      <c r="AJ2068" s="7"/>
      <c r="AK2068" t="s">
        <v>1013</v>
      </c>
      <c r="AN2068">
        <f>IFERROR(INT(Table13[[#This Row],[reject_prod]]/Table13[[#This Row],[part_weight]] * 1000), 0)</f>
        <v>195</v>
      </c>
    </row>
    <row r="2069" spans="1:40">
      <c r="A2069" s="1">
        <v>46084</v>
      </c>
      <c r="B2069">
        <v>1</v>
      </c>
      <c r="C2069">
        <v>4</v>
      </c>
      <c r="D2069" t="s">
        <v>152</v>
      </c>
      <c r="E2069" t="s">
        <v>34</v>
      </c>
      <c r="F2069">
        <v>402305</v>
      </c>
      <c r="G2069" s="6">
        <v>0</v>
      </c>
      <c r="H2069" t="s">
        <v>395</v>
      </c>
      <c r="I2069">
        <v>10688065</v>
      </c>
      <c r="J2069">
        <v>4</v>
      </c>
      <c r="K2069">
        <v>29</v>
      </c>
      <c r="L2069">
        <v>29</v>
      </c>
      <c r="M2069">
        <v>812</v>
      </c>
      <c r="N2069" s="2">
        <v>44928</v>
      </c>
      <c r="O2069" s="2">
        <v>416</v>
      </c>
      <c r="P2069" s="2">
        <v>3016</v>
      </c>
      <c r="Q2069" s="2">
        <v>3248</v>
      </c>
      <c r="R2069" s="2">
        <v>0</v>
      </c>
      <c r="S2069">
        <v>0</v>
      </c>
      <c r="T2069" s="2">
        <v>6760</v>
      </c>
      <c r="U2069" s="2">
        <v>38168</v>
      </c>
      <c r="V2069">
        <v>94.191999999999993</v>
      </c>
      <c r="W2069">
        <v>0</v>
      </c>
      <c r="X2069">
        <v>0</v>
      </c>
      <c r="Y2069">
        <v>0</v>
      </c>
      <c r="Z2069">
        <v>18.7</v>
      </c>
      <c r="AA2069">
        <v>0.198530661</v>
      </c>
      <c r="AB2069">
        <v>25.6</v>
      </c>
      <c r="AC2069">
        <v>5.7742222219999997</v>
      </c>
      <c r="AD2069">
        <v>22</v>
      </c>
      <c r="AE2069" s="7"/>
      <c r="AF2069" s="7"/>
      <c r="AG2069" s="7"/>
      <c r="AH2069" s="7"/>
      <c r="AI2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6.2257777780000003</v>
      </c>
      <c r="AJ2069" s="7"/>
      <c r="AK2069" t="s">
        <v>1074</v>
      </c>
      <c r="AL2069">
        <v>10</v>
      </c>
      <c r="AM2069">
        <v>9</v>
      </c>
      <c r="AN2069">
        <f>IFERROR(INT(Table13[[#This Row],[reject_prod]]/Table13[[#This Row],[part_weight]] * 1000), 0)</f>
        <v>644</v>
      </c>
    </row>
    <row r="2070" spans="1:40">
      <c r="A2070" s="1">
        <v>46084</v>
      </c>
      <c r="B2070">
        <v>1</v>
      </c>
      <c r="C2070">
        <v>5</v>
      </c>
      <c r="D2070" t="s">
        <v>1075</v>
      </c>
      <c r="E2070" t="s">
        <v>34</v>
      </c>
      <c r="F2070">
        <v>322448</v>
      </c>
      <c r="G2070" s="6">
        <v>0</v>
      </c>
      <c r="H2070" t="s">
        <v>654</v>
      </c>
      <c r="I2070">
        <v>10687753</v>
      </c>
      <c r="J2070">
        <v>4</v>
      </c>
      <c r="K2070">
        <v>40</v>
      </c>
      <c r="L2070">
        <v>40</v>
      </c>
      <c r="M2070">
        <v>1655</v>
      </c>
      <c r="N2070" s="2">
        <v>174960</v>
      </c>
      <c r="O2070" s="2">
        <v>162</v>
      </c>
      <c r="P2070" s="2">
        <v>162</v>
      </c>
      <c r="Q2070" s="2">
        <v>6620</v>
      </c>
      <c r="R2070" s="2">
        <v>6480</v>
      </c>
      <c r="S2070">
        <v>259.2</v>
      </c>
      <c r="T2070" s="2">
        <v>56052</v>
      </c>
      <c r="U2070" s="2">
        <v>118908</v>
      </c>
      <c r="V2070">
        <v>264.8</v>
      </c>
      <c r="W2070">
        <v>0</v>
      </c>
      <c r="X2070">
        <v>0</v>
      </c>
      <c r="Y2070">
        <v>0</v>
      </c>
      <c r="Z2070">
        <v>5.6</v>
      </c>
      <c r="AA2070">
        <v>2.1148035999999999E-2</v>
      </c>
      <c r="AB2070">
        <v>26.2</v>
      </c>
      <c r="AC2070">
        <v>12</v>
      </c>
      <c r="AD2070">
        <v>23</v>
      </c>
      <c r="AE2070" s="7"/>
      <c r="AF2070" s="7"/>
      <c r="AG2070" s="7"/>
      <c r="AH2070" s="7"/>
      <c r="AI20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70" s="7"/>
      <c r="AK2070" t="s">
        <v>356</v>
      </c>
      <c r="AN2070">
        <f>IFERROR(INT(Table13[[#This Row],[reject_prod]]/Table13[[#This Row],[part_weight]] * 1000), 0)</f>
        <v>140</v>
      </c>
    </row>
    <row r="2071" spans="1:40">
      <c r="A2071" s="1">
        <v>46084</v>
      </c>
      <c r="B2071">
        <v>1</v>
      </c>
      <c r="C2071">
        <v>6</v>
      </c>
      <c r="D2071" t="s">
        <v>259</v>
      </c>
      <c r="E2071" t="s">
        <v>34</v>
      </c>
      <c r="F2071">
        <v>532981</v>
      </c>
      <c r="G2071" s="6">
        <v>0</v>
      </c>
      <c r="H2071" t="s">
        <v>233</v>
      </c>
      <c r="I2071">
        <v>10688648</v>
      </c>
      <c r="J2071">
        <v>4</v>
      </c>
      <c r="K2071">
        <v>24.45</v>
      </c>
      <c r="L2071">
        <v>24</v>
      </c>
      <c r="M2071">
        <v>742</v>
      </c>
      <c r="N2071" s="2">
        <v>87552</v>
      </c>
      <c r="O2071" s="2">
        <v>456</v>
      </c>
      <c r="P2071" s="2">
        <v>3192</v>
      </c>
      <c r="Q2071" s="2">
        <v>2968</v>
      </c>
      <c r="R2071" s="2">
        <v>0</v>
      </c>
      <c r="S2071">
        <v>0</v>
      </c>
      <c r="T2071" s="2">
        <v>3192</v>
      </c>
      <c r="U2071" s="2">
        <v>84360</v>
      </c>
      <c r="V2071">
        <v>71.231999999999999</v>
      </c>
      <c r="W2071">
        <v>0</v>
      </c>
      <c r="X2071">
        <v>0</v>
      </c>
      <c r="Y2071">
        <v>0</v>
      </c>
      <c r="Z2071">
        <v>5.5</v>
      </c>
      <c r="AA2071">
        <v>7.7212488999999995E-2</v>
      </c>
      <c r="AB2071">
        <v>23.2</v>
      </c>
      <c r="AC2071">
        <v>4.7817777780000004</v>
      </c>
      <c r="AD2071">
        <v>20</v>
      </c>
      <c r="AE2071" s="7"/>
      <c r="AF2071" s="7"/>
      <c r="AG2071" s="7"/>
      <c r="AH2071" s="7"/>
      <c r="AI2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1.8222221999999455E-2</v>
      </c>
      <c r="AJ2071" s="7">
        <v>7.2</v>
      </c>
      <c r="AK2071" t="s">
        <v>1076</v>
      </c>
      <c r="AL2071">
        <v>17</v>
      </c>
      <c r="AM2071">
        <v>10</v>
      </c>
      <c r="AN2071">
        <f>IFERROR(INT(Table13[[#This Row],[reject_prod]]/Table13[[#This Row],[part_weight]] * 1000), 0)</f>
        <v>229</v>
      </c>
    </row>
    <row r="2072" spans="1:40">
      <c r="A2072" s="1">
        <v>46084</v>
      </c>
      <c r="B2072">
        <v>1</v>
      </c>
      <c r="C2072">
        <v>7</v>
      </c>
      <c r="D2072" t="s">
        <v>33</v>
      </c>
      <c r="E2072" t="s">
        <v>34</v>
      </c>
      <c r="F2072">
        <v>324165</v>
      </c>
      <c r="G2072" s="6">
        <v>0</v>
      </c>
      <c r="H2072" t="s">
        <v>44</v>
      </c>
      <c r="I2072">
        <v>10687138</v>
      </c>
      <c r="J2072">
        <v>4</v>
      </c>
      <c r="K2072">
        <v>32.56</v>
      </c>
      <c r="L2072">
        <v>33</v>
      </c>
      <c r="M2072">
        <v>0</v>
      </c>
      <c r="N2072" s="2">
        <v>11776</v>
      </c>
      <c r="O2072" s="2">
        <v>2560</v>
      </c>
      <c r="P2072" s="2">
        <v>0</v>
      </c>
      <c r="Q2072" s="2">
        <v>0</v>
      </c>
      <c r="R2072" s="2">
        <v>2560</v>
      </c>
      <c r="S2072">
        <v>84.48</v>
      </c>
      <c r="T2072" s="2">
        <v>0</v>
      </c>
      <c r="U2072" s="2">
        <v>11776</v>
      </c>
      <c r="V2072">
        <v>0</v>
      </c>
      <c r="W2072">
        <v>0</v>
      </c>
      <c r="X2072">
        <v>0</v>
      </c>
      <c r="Y2072" t="e">
        <v>#DIV/0!</v>
      </c>
      <c r="Z2072">
        <v>0</v>
      </c>
      <c r="AA2072" t="e">
        <v>#DIV/0!</v>
      </c>
      <c r="AB2072">
        <v>22.8</v>
      </c>
      <c r="AC2072">
        <v>0</v>
      </c>
      <c r="AD2072">
        <v>22</v>
      </c>
      <c r="AE2072" s="7"/>
      <c r="AF2072" s="7"/>
      <c r="AG2072" s="7"/>
      <c r="AH2072" s="7"/>
      <c r="AI2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72" s="7"/>
      <c r="AK2072" t="s">
        <v>310</v>
      </c>
      <c r="AN2072">
        <f>IFERROR(INT(Table13[[#This Row],[reject_prod]]/Table13[[#This Row],[part_weight]] * 1000), 0)</f>
        <v>0</v>
      </c>
    </row>
    <row r="2073" spans="1:40">
      <c r="A2073" s="1">
        <v>46084</v>
      </c>
      <c r="B2073">
        <v>1</v>
      </c>
      <c r="C2073">
        <v>7</v>
      </c>
      <c r="D2073" t="s">
        <v>141</v>
      </c>
      <c r="E2073" t="s">
        <v>34</v>
      </c>
      <c r="F2073">
        <v>647556</v>
      </c>
      <c r="G2073" s="6">
        <v>0</v>
      </c>
      <c r="H2073" t="s">
        <v>458</v>
      </c>
      <c r="I2073">
        <v>10688945</v>
      </c>
      <c r="J2073">
        <v>4</v>
      </c>
      <c r="K2073">
        <v>35</v>
      </c>
      <c r="L2073">
        <v>34.5</v>
      </c>
      <c r="M2073">
        <v>1824</v>
      </c>
      <c r="N2073" s="2">
        <v>27720</v>
      </c>
      <c r="O2073" s="2">
        <v>2640</v>
      </c>
      <c r="P2073" s="2">
        <v>528</v>
      </c>
      <c r="Q2073" s="2">
        <v>7296</v>
      </c>
      <c r="R2073" s="2">
        <v>9240</v>
      </c>
      <c r="S2073">
        <v>318.77999999999997</v>
      </c>
      <c r="T2073" s="2">
        <v>9768</v>
      </c>
      <c r="U2073" s="2">
        <v>17952</v>
      </c>
      <c r="V2073">
        <v>251.71199999999999</v>
      </c>
      <c r="W2073">
        <v>0</v>
      </c>
      <c r="X2073">
        <v>0</v>
      </c>
      <c r="Y2073">
        <v>0</v>
      </c>
      <c r="Z2073">
        <v>5.6</v>
      </c>
      <c r="AA2073">
        <v>2.2247647999999998E-2</v>
      </c>
      <c r="AB2073">
        <v>22.8</v>
      </c>
      <c r="AC2073">
        <v>11.552</v>
      </c>
      <c r="AD2073">
        <v>20.399999999999999</v>
      </c>
      <c r="AE2073" s="7"/>
      <c r="AF2073" s="7"/>
      <c r="AG2073" s="7"/>
      <c r="AH2073" s="7"/>
      <c r="AI2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0.4480000000000004</v>
      </c>
      <c r="AJ2073" s="7"/>
      <c r="AK2073" t="s">
        <v>1077</v>
      </c>
      <c r="AL2073">
        <v>9</v>
      </c>
      <c r="AM2073">
        <v>16</v>
      </c>
      <c r="AN2073">
        <f>IFERROR(INT(Table13[[#This Row],[reject_prod]]/Table13[[#This Row],[part_weight]] * 1000), 0)</f>
        <v>162</v>
      </c>
    </row>
    <row r="2074" spans="1:40">
      <c r="A2074" s="1">
        <v>46084</v>
      </c>
      <c r="B2074">
        <v>1</v>
      </c>
      <c r="C2074">
        <v>8</v>
      </c>
      <c r="F2074">
        <v>123456</v>
      </c>
      <c r="G2074" s="6">
        <v>0</v>
      </c>
      <c r="M2074">
        <v>0</v>
      </c>
      <c r="N2074" s="2">
        <v>0</v>
      </c>
      <c r="O2074" s="2">
        <v>0</v>
      </c>
      <c r="P2074" s="2">
        <v>0</v>
      </c>
      <c r="Q2074" s="2"/>
      <c r="R2074" s="2">
        <v>0</v>
      </c>
      <c r="T2074" s="2">
        <v>0</v>
      </c>
      <c r="U2074" s="2"/>
      <c r="X2074">
        <v>0</v>
      </c>
      <c r="Z2074">
        <v>0</v>
      </c>
      <c r="AB2074">
        <v>0</v>
      </c>
      <c r="AC2074">
        <v>0</v>
      </c>
      <c r="AD2074">
        <v>0</v>
      </c>
      <c r="AE2074" s="7"/>
      <c r="AF2074" s="7"/>
      <c r="AG2074" s="7"/>
      <c r="AH2074" s="7"/>
      <c r="AI20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74" s="7">
        <v>12</v>
      </c>
      <c r="AK2074" t="s">
        <v>116</v>
      </c>
      <c r="AN2074">
        <f>IFERROR(INT(Table13[[#This Row],[reject_prod]]/Table13[[#This Row],[part_weight]] * 1000), 0)</f>
        <v>0</v>
      </c>
    </row>
    <row r="2075" spans="1:40">
      <c r="A2075" s="1">
        <v>46084</v>
      </c>
      <c r="B2075">
        <v>1</v>
      </c>
      <c r="C2075">
        <v>9</v>
      </c>
      <c r="D2075" t="s">
        <v>1078</v>
      </c>
      <c r="E2075" t="s">
        <v>46</v>
      </c>
      <c r="F2075">
        <v>586276</v>
      </c>
      <c r="G2075" s="6">
        <v>1</v>
      </c>
      <c r="H2075" t="s">
        <v>47</v>
      </c>
      <c r="I2075">
        <v>10686685</v>
      </c>
      <c r="J2075">
        <v>6</v>
      </c>
      <c r="K2075">
        <v>12.3</v>
      </c>
      <c r="L2075">
        <v>12.3</v>
      </c>
      <c r="M2075">
        <v>1627</v>
      </c>
      <c r="N2075" s="2">
        <v>162000</v>
      </c>
      <c r="O2075" s="2">
        <v>6480</v>
      </c>
      <c r="P2075" s="2">
        <v>0</v>
      </c>
      <c r="Q2075" s="2">
        <v>9762</v>
      </c>
      <c r="R2075" s="2">
        <v>16200</v>
      </c>
      <c r="S2075">
        <v>199.26</v>
      </c>
      <c r="T2075" s="2">
        <v>48600</v>
      </c>
      <c r="U2075" s="2">
        <v>113400</v>
      </c>
      <c r="V2075">
        <v>120.07259999999999</v>
      </c>
      <c r="W2075">
        <v>0</v>
      </c>
      <c r="X2075">
        <v>0</v>
      </c>
      <c r="Y2075">
        <v>0</v>
      </c>
      <c r="Z2075">
        <v>0.5</v>
      </c>
      <c r="AA2075">
        <v>4.164147E-3</v>
      </c>
      <c r="AB2075">
        <v>26.5</v>
      </c>
      <c r="AC2075">
        <v>11.97652778</v>
      </c>
      <c r="AD2075">
        <v>26</v>
      </c>
      <c r="AE2075" s="7"/>
      <c r="AF2075" s="7"/>
      <c r="AG2075" s="7"/>
      <c r="AH2075" s="7"/>
      <c r="AI20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2.3472220000000377E-2</v>
      </c>
      <c r="AJ2075" s="7"/>
      <c r="AK2075" t="s">
        <v>51</v>
      </c>
      <c r="AN2075">
        <f>IFERROR(INT(Table13[[#This Row],[reject_prod]]/Table13[[#This Row],[part_weight]] * 1000), 0)</f>
        <v>40</v>
      </c>
    </row>
    <row r="2076" spans="1:40">
      <c r="A2076" s="1">
        <v>46084</v>
      </c>
      <c r="B2076">
        <v>1</v>
      </c>
      <c r="C2076">
        <v>10</v>
      </c>
      <c r="D2076" t="s">
        <v>143</v>
      </c>
      <c r="E2076" t="s">
        <v>34</v>
      </c>
      <c r="F2076">
        <v>323133</v>
      </c>
      <c r="G2076" s="6">
        <v>0</v>
      </c>
      <c r="H2076" t="s">
        <v>568</v>
      </c>
      <c r="I2076">
        <v>10688500</v>
      </c>
      <c r="J2076">
        <v>4</v>
      </c>
      <c r="K2076">
        <v>57</v>
      </c>
      <c r="L2076">
        <v>77</v>
      </c>
      <c r="M2076">
        <v>1074</v>
      </c>
      <c r="N2076" s="2">
        <v>13248</v>
      </c>
      <c r="O2076" s="2">
        <v>138</v>
      </c>
      <c r="P2076" s="2">
        <v>207</v>
      </c>
      <c r="Q2076" s="2">
        <v>4296</v>
      </c>
      <c r="R2076" s="2">
        <v>4140</v>
      </c>
      <c r="S2076">
        <v>318.77999999999997</v>
      </c>
      <c r="T2076" s="2">
        <v>9315</v>
      </c>
      <c r="U2076" s="2">
        <v>3933</v>
      </c>
      <c r="V2076">
        <v>330.79199999999997</v>
      </c>
      <c r="W2076">
        <v>0</v>
      </c>
      <c r="X2076">
        <v>0</v>
      </c>
      <c r="Y2076">
        <v>0</v>
      </c>
      <c r="Z2076">
        <v>6.7</v>
      </c>
      <c r="AA2076">
        <v>2.0254419999999999E-2</v>
      </c>
      <c r="AB2076">
        <v>38.700000000000003</v>
      </c>
      <c r="AC2076">
        <v>11.545500000000001</v>
      </c>
      <c r="AD2076">
        <v>35</v>
      </c>
      <c r="AE2076" s="7"/>
      <c r="AF2076" s="7"/>
      <c r="AG2076" s="7"/>
      <c r="AH2076" s="7"/>
      <c r="AI20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0.45449999999999946</v>
      </c>
      <c r="AJ2076" s="7"/>
      <c r="AK2076" t="s">
        <v>75</v>
      </c>
      <c r="AM2076">
        <v>4</v>
      </c>
      <c r="AN2076">
        <f>IFERROR(INT(Table13[[#This Row],[reject_prod]]/Table13[[#This Row],[part_weight]] * 1000), 0)</f>
        <v>87</v>
      </c>
    </row>
    <row r="2077" spans="1:40">
      <c r="A2077" s="1">
        <v>46084</v>
      </c>
      <c r="B2077">
        <v>1</v>
      </c>
      <c r="C2077">
        <v>11</v>
      </c>
      <c r="D2077" t="s">
        <v>112</v>
      </c>
      <c r="E2077" t="s">
        <v>46</v>
      </c>
      <c r="F2077">
        <v>552181</v>
      </c>
      <c r="G2077" s="6">
        <v>1</v>
      </c>
      <c r="H2077" t="s">
        <v>49</v>
      </c>
      <c r="I2077">
        <v>10688069</v>
      </c>
      <c r="J2077">
        <v>6</v>
      </c>
      <c r="K2077">
        <v>14.7</v>
      </c>
      <c r="L2077">
        <v>14.7</v>
      </c>
      <c r="M2077">
        <v>1350</v>
      </c>
      <c r="N2077" s="2">
        <v>108000</v>
      </c>
      <c r="O2077" s="2">
        <v>1080</v>
      </c>
      <c r="P2077" s="2">
        <v>3780</v>
      </c>
      <c r="Q2077" s="2">
        <v>8100</v>
      </c>
      <c r="R2077" s="2">
        <v>5400</v>
      </c>
      <c r="S2077">
        <v>79.38</v>
      </c>
      <c r="T2077" s="2">
        <v>46980</v>
      </c>
      <c r="U2077" s="2">
        <v>61020</v>
      </c>
      <c r="V2077">
        <v>119.07</v>
      </c>
      <c r="W2077">
        <v>0</v>
      </c>
      <c r="X2077">
        <v>0</v>
      </c>
      <c r="Y2077">
        <v>0</v>
      </c>
      <c r="Z2077">
        <v>12.2</v>
      </c>
      <c r="AA2077">
        <v>0.102460737</v>
      </c>
      <c r="AB2077">
        <v>28.46</v>
      </c>
      <c r="AC2077">
        <v>10.672499999999999</v>
      </c>
      <c r="AD2077">
        <v>27</v>
      </c>
      <c r="AE2077" s="7"/>
      <c r="AF2077" s="7"/>
      <c r="AG2077" s="7"/>
      <c r="AH2077" s="7"/>
      <c r="AI2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1.3275000000000006</v>
      </c>
      <c r="AJ2077" s="7"/>
      <c r="AK2077" t="s">
        <v>1079</v>
      </c>
      <c r="AN2077">
        <f>IFERROR(INT(Table13[[#This Row],[reject_prod]]/Table13[[#This Row],[part_weight]] * 1000), 0)</f>
        <v>829</v>
      </c>
    </row>
    <row r="2078" spans="1:40">
      <c r="A2078" s="1">
        <v>46084</v>
      </c>
      <c r="B2078">
        <v>1</v>
      </c>
      <c r="C2078">
        <v>12</v>
      </c>
      <c r="D2078" t="s">
        <v>65</v>
      </c>
      <c r="E2078" t="s">
        <v>34</v>
      </c>
      <c r="F2078">
        <v>620599</v>
      </c>
      <c r="G2078" s="6">
        <v>0</v>
      </c>
      <c r="H2078" t="s">
        <v>50</v>
      </c>
      <c r="I2078">
        <v>10688071</v>
      </c>
      <c r="J2078">
        <v>4</v>
      </c>
      <c r="K2078">
        <v>55</v>
      </c>
      <c r="L2078">
        <v>55</v>
      </c>
      <c r="M2078">
        <v>1456</v>
      </c>
      <c r="N2078" s="2">
        <v>72000</v>
      </c>
      <c r="O2078" s="2">
        <v>1530</v>
      </c>
      <c r="P2078" s="2">
        <v>125</v>
      </c>
      <c r="Q2078" s="2">
        <v>5824</v>
      </c>
      <c r="R2078" s="2">
        <v>7200</v>
      </c>
      <c r="S2078">
        <v>396</v>
      </c>
      <c r="T2078" s="2">
        <v>33425</v>
      </c>
      <c r="U2078" s="2">
        <v>38575</v>
      </c>
      <c r="V2078">
        <v>320.32</v>
      </c>
      <c r="W2078">
        <v>0</v>
      </c>
      <c r="X2078">
        <v>0</v>
      </c>
      <c r="Y2078">
        <v>0</v>
      </c>
      <c r="Z2078">
        <v>1.5</v>
      </c>
      <c r="AA2078">
        <v>4.6828169999999997E-3</v>
      </c>
      <c r="AB2078">
        <v>28.8</v>
      </c>
      <c r="AC2078">
        <v>11.648</v>
      </c>
      <c r="AD2078">
        <v>28</v>
      </c>
      <c r="AE2078" s="7"/>
      <c r="AF2078" s="7"/>
      <c r="AG2078" s="7"/>
      <c r="AH2078" s="7"/>
      <c r="AI2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0.35200000000000031</v>
      </c>
      <c r="AJ2078" s="7"/>
      <c r="AK2078" t="s">
        <v>178</v>
      </c>
      <c r="AN2078">
        <f>IFERROR(INT(Table13[[#This Row],[reject_prod]]/Table13[[#This Row],[part_weight]] * 1000), 0)</f>
        <v>27</v>
      </c>
    </row>
    <row r="2079" spans="1:40">
      <c r="A2079" s="1">
        <v>46084</v>
      </c>
      <c r="B2079">
        <v>1</v>
      </c>
      <c r="C2079">
        <v>13</v>
      </c>
      <c r="D2079" t="s">
        <v>112</v>
      </c>
      <c r="E2079" t="s">
        <v>46</v>
      </c>
      <c r="F2079">
        <v>586276</v>
      </c>
      <c r="G2079" s="6">
        <v>2</v>
      </c>
      <c r="H2079" t="s">
        <v>47</v>
      </c>
      <c r="I2079">
        <v>10688946</v>
      </c>
      <c r="J2079">
        <v>6</v>
      </c>
      <c r="K2079">
        <v>12.3</v>
      </c>
      <c r="L2079">
        <v>12.3</v>
      </c>
      <c r="M2079">
        <v>1629</v>
      </c>
      <c r="N2079" s="2">
        <v>162000</v>
      </c>
      <c r="O2079" s="2">
        <v>3240</v>
      </c>
      <c r="P2079" s="2">
        <v>4860</v>
      </c>
      <c r="Q2079" s="2">
        <v>9774</v>
      </c>
      <c r="R2079" s="2">
        <v>8100</v>
      </c>
      <c r="S2079">
        <v>99.63</v>
      </c>
      <c r="T2079" s="2">
        <v>12960</v>
      </c>
      <c r="U2079" s="2">
        <v>149040</v>
      </c>
      <c r="V2079">
        <v>120.22020000000001</v>
      </c>
      <c r="W2079">
        <v>0</v>
      </c>
      <c r="X2079">
        <v>0</v>
      </c>
      <c r="Y2079">
        <v>0</v>
      </c>
      <c r="Z2079">
        <v>0.5</v>
      </c>
      <c r="AA2079">
        <v>4.1590350000000002E-3</v>
      </c>
      <c r="AB2079">
        <v>26.2</v>
      </c>
      <c r="AC2079">
        <v>11.855499999999999</v>
      </c>
      <c r="AD2079">
        <v>26</v>
      </c>
      <c r="AE2079" s="7"/>
      <c r="AF2079" s="7"/>
      <c r="AG2079" s="7"/>
      <c r="AH2079" s="7"/>
      <c r="AI2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0.14450000000000074</v>
      </c>
      <c r="AJ2079" s="7"/>
      <c r="AK2079" t="s">
        <v>51</v>
      </c>
      <c r="AN2079">
        <f>IFERROR(INT(Table13[[#This Row],[reject_prod]]/Table13[[#This Row],[part_weight]] * 1000), 0)</f>
        <v>40</v>
      </c>
    </row>
    <row r="2080" spans="1:40">
      <c r="A2080" s="1">
        <v>46084</v>
      </c>
      <c r="B2080">
        <v>1</v>
      </c>
      <c r="C2080">
        <v>14</v>
      </c>
      <c r="D2080" t="s">
        <v>61</v>
      </c>
      <c r="E2080" t="s">
        <v>34</v>
      </c>
      <c r="F2080">
        <v>541381</v>
      </c>
      <c r="G2080" s="6">
        <v>0</v>
      </c>
      <c r="H2080" t="s">
        <v>804</v>
      </c>
      <c r="I2080">
        <v>10688072</v>
      </c>
      <c r="J2080">
        <v>4</v>
      </c>
      <c r="K2080">
        <v>55</v>
      </c>
      <c r="L2080">
        <v>55</v>
      </c>
      <c r="M2080">
        <v>1591</v>
      </c>
      <c r="N2080" s="2">
        <v>84000</v>
      </c>
      <c r="O2080" s="2">
        <v>0</v>
      </c>
      <c r="P2080" s="2">
        <v>0</v>
      </c>
      <c r="Q2080" s="2">
        <v>6364</v>
      </c>
      <c r="R2080" s="2">
        <v>6300</v>
      </c>
      <c r="S2080">
        <v>346.5</v>
      </c>
      <c r="T2080" s="2">
        <v>66500</v>
      </c>
      <c r="U2080" s="2">
        <v>17500</v>
      </c>
      <c r="V2080">
        <v>350.02</v>
      </c>
      <c r="W2080">
        <v>0</v>
      </c>
      <c r="X2080">
        <v>0</v>
      </c>
      <c r="Y2080">
        <v>0</v>
      </c>
      <c r="Z2080">
        <v>3.5</v>
      </c>
      <c r="AA2080">
        <v>9.9994290000000007E-3</v>
      </c>
      <c r="AB2080">
        <v>27.3</v>
      </c>
      <c r="AC2080">
        <v>12</v>
      </c>
      <c r="AD2080">
        <v>30.08</v>
      </c>
      <c r="AE2080" s="7"/>
      <c r="AF2080" s="7"/>
      <c r="AG2080" s="7"/>
      <c r="AH2080" s="7"/>
      <c r="AI2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0" s="7"/>
      <c r="AK2080" t="s">
        <v>178</v>
      </c>
      <c r="AN2080">
        <f>IFERROR(INT(Table13[[#This Row],[reject_prod]]/Table13[[#This Row],[part_weight]] * 1000), 0)</f>
        <v>63</v>
      </c>
    </row>
    <row r="2081" spans="1:40">
      <c r="A2081" s="1">
        <v>46084</v>
      </c>
      <c r="B2081">
        <v>1</v>
      </c>
      <c r="C2081">
        <v>15</v>
      </c>
      <c r="D2081" t="s">
        <v>112</v>
      </c>
      <c r="E2081" t="s">
        <v>46</v>
      </c>
      <c r="F2081">
        <v>552181</v>
      </c>
      <c r="G2081" s="6">
        <v>2</v>
      </c>
      <c r="H2081" t="s">
        <v>49</v>
      </c>
      <c r="I2081">
        <v>10686679</v>
      </c>
      <c r="J2081">
        <v>6</v>
      </c>
      <c r="K2081">
        <v>14.7</v>
      </c>
      <c r="L2081">
        <v>14.7</v>
      </c>
      <c r="M2081">
        <v>1350</v>
      </c>
      <c r="N2081" s="2">
        <v>108000</v>
      </c>
      <c r="O2081" s="2">
        <v>1620</v>
      </c>
      <c r="P2081" s="2">
        <v>4320</v>
      </c>
      <c r="Q2081" s="2">
        <v>8100</v>
      </c>
      <c r="R2081" s="2">
        <v>5400</v>
      </c>
      <c r="S2081">
        <v>79.38</v>
      </c>
      <c r="T2081" s="2">
        <v>96120</v>
      </c>
      <c r="U2081" s="2">
        <v>11880</v>
      </c>
      <c r="V2081">
        <v>119.07</v>
      </c>
      <c r="W2081">
        <v>0</v>
      </c>
      <c r="X2081">
        <v>0</v>
      </c>
      <c r="Y2081">
        <v>0</v>
      </c>
      <c r="Z2081">
        <v>6.7</v>
      </c>
      <c r="AA2081">
        <v>5.6269421E-2</v>
      </c>
      <c r="AB2081">
        <v>30.6</v>
      </c>
      <c r="AC2081">
        <v>11.475</v>
      </c>
      <c r="AD2081">
        <v>27</v>
      </c>
      <c r="AE2081" s="7"/>
      <c r="AF2081" s="7"/>
      <c r="AG2081" s="7"/>
      <c r="AH2081" s="7"/>
      <c r="AI20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2081" s="7"/>
      <c r="AK2081" t="s">
        <v>370</v>
      </c>
      <c r="AN2081">
        <f>IFERROR(INT(Table13[[#This Row],[reject_prod]]/Table13[[#This Row],[part_weight]] * 1000), 0)</f>
        <v>455</v>
      </c>
    </row>
    <row r="2082" spans="1:40">
      <c r="A2082" s="1">
        <v>46084</v>
      </c>
      <c r="B2082">
        <v>1</v>
      </c>
      <c r="C2082">
        <v>16</v>
      </c>
      <c r="D2082" t="s">
        <v>33</v>
      </c>
      <c r="E2082" t="s">
        <v>46</v>
      </c>
      <c r="F2082">
        <v>555979</v>
      </c>
      <c r="G2082" s="6">
        <v>2</v>
      </c>
      <c r="H2082" t="s">
        <v>52</v>
      </c>
      <c r="I2082">
        <v>10686701</v>
      </c>
      <c r="J2082">
        <v>6</v>
      </c>
      <c r="K2082">
        <v>28</v>
      </c>
      <c r="L2082">
        <v>28</v>
      </c>
      <c r="M2082">
        <v>0</v>
      </c>
      <c r="N2082" s="2">
        <v>100800</v>
      </c>
      <c r="O2082" s="2">
        <v>0</v>
      </c>
      <c r="P2082" s="2">
        <v>0</v>
      </c>
      <c r="Q2082" s="2">
        <v>0</v>
      </c>
      <c r="R2082" s="2">
        <v>1289</v>
      </c>
      <c r="S2082">
        <v>36.091999999999999</v>
      </c>
      <c r="T2082" s="2">
        <v>0</v>
      </c>
      <c r="U2082" s="2">
        <v>100800</v>
      </c>
      <c r="V2082">
        <v>0</v>
      </c>
      <c r="W2082">
        <v>0</v>
      </c>
      <c r="X2082">
        <v>0</v>
      </c>
      <c r="Y2082" t="e">
        <v>#DIV/0!</v>
      </c>
      <c r="Z2082">
        <v>22.7</v>
      </c>
      <c r="AA2082" t="e">
        <v>#DIV/0!</v>
      </c>
      <c r="AB2082">
        <v>43.2</v>
      </c>
      <c r="AC2082">
        <v>0</v>
      </c>
      <c r="AD2082">
        <v>42</v>
      </c>
      <c r="AE2082" s="7"/>
      <c r="AF2082" s="7"/>
      <c r="AG2082" s="7"/>
      <c r="AH2082" s="7"/>
      <c r="AI20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82" s="7"/>
      <c r="AK2082" t="s">
        <v>1080</v>
      </c>
      <c r="AL2082">
        <v>5</v>
      </c>
      <c r="AM2082">
        <v>1</v>
      </c>
      <c r="AN2082">
        <f>IFERROR(INT(Table13[[#This Row],[reject_prod]]/Table13[[#This Row],[part_weight]] * 1000), 0)</f>
        <v>810</v>
      </c>
    </row>
    <row r="2083" spans="1:40">
      <c r="A2083" s="1">
        <v>46084</v>
      </c>
      <c r="B2083">
        <v>2</v>
      </c>
      <c r="C2083">
        <v>1</v>
      </c>
      <c r="D2083" t="s">
        <v>33</v>
      </c>
      <c r="E2083" t="s">
        <v>34</v>
      </c>
      <c r="F2083">
        <v>324212</v>
      </c>
      <c r="G2083" s="6">
        <v>0</v>
      </c>
      <c r="H2083" t="s">
        <v>1055</v>
      </c>
      <c r="I2083">
        <v>10688490</v>
      </c>
      <c r="J2083">
        <v>4</v>
      </c>
      <c r="K2083">
        <v>16</v>
      </c>
      <c r="L2083">
        <v>16</v>
      </c>
      <c r="M2083">
        <v>323</v>
      </c>
      <c r="N2083" s="2">
        <v>10240</v>
      </c>
      <c r="O2083" s="2">
        <v>1280</v>
      </c>
      <c r="P2083" s="2">
        <v>0</v>
      </c>
      <c r="Q2083" s="2">
        <v>1292</v>
      </c>
      <c r="R2083" s="2">
        <v>2560</v>
      </c>
      <c r="S2083">
        <v>40.96</v>
      </c>
      <c r="T2083" s="2">
        <v>10240</v>
      </c>
      <c r="U2083" s="2">
        <v>0</v>
      </c>
      <c r="V2083">
        <v>20.672000000000001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22.28</v>
      </c>
      <c r="AC2083">
        <v>1.999011111</v>
      </c>
      <c r="AD2083">
        <v>18.32</v>
      </c>
      <c r="AE2083" s="7"/>
      <c r="AF2083" s="7"/>
      <c r="AG2083" s="7"/>
      <c r="AH2083" s="7"/>
      <c r="AI2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10.000988889</v>
      </c>
      <c r="AJ2083" s="7"/>
      <c r="AK2083" t="s">
        <v>1081</v>
      </c>
      <c r="AN2083">
        <f>IFERROR(INT(Table13[[#This Row],[reject_prod]]/Table13[[#This Row],[part_weight]] * 1000), 0)</f>
        <v>0</v>
      </c>
    </row>
    <row r="2084" spans="1:40">
      <c r="A2084" s="1">
        <v>46084</v>
      </c>
      <c r="B2084">
        <v>2</v>
      </c>
      <c r="C2084">
        <v>1</v>
      </c>
      <c r="D2084" t="s">
        <v>33</v>
      </c>
      <c r="E2084" t="s">
        <v>34</v>
      </c>
      <c r="F2084">
        <v>529004</v>
      </c>
      <c r="G2084" s="6">
        <v>0</v>
      </c>
      <c r="H2084" t="s">
        <v>723</v>
      </c>
      <c r="I2084">
        <v>10688944</v>
      </c>
      <c r="J2084">
        <v>4</v>
      </c>
      <c r="K2084">
        <v>31</v>
      </c>
      <c r="L2084">
        <v>31</v>
      </c>
      <c r="M2084">
        <v>0</v>
      </c>
      <c r="N2084" s="2">
        <v>20400</v>
      </c>
      <c r="O2084" s="2">
        <v>0</v>
      </c>
      <c r="P2084" s="2">
        <v>0</v>
      </c>
      <c r="Q2084" s="2">
        <v>0</v>
      </c>
      <c r="R2084" s="2">
        <v>0</v>
      </c>
      <c r="S2084">
        <v>0</v>
      </c>
      <c r="T2084" s="2">
        <v>0</v>
      </c>
      <c r="U2084" s="2">
        <v>20400</v>
      </c>
      <c r="V2084">
        <v>0</v>
      </c>
      <c r="W2084">
        <v>0</v>
      </c>
      <c r="X2084">
        <v>0</v>
      </c>
      <c r="Y2084" t="e">
        <v>#DIV/0!</v>
      </c>
      <c r="Z2084">
        <v>0</v>
      </c>
      <c r="AA2084" t="e">
        <v>#DIV/0!</v>
      </c>
      <c r="AB2084">
        <v>29</v>
      </c>
      <c r="AC2084">
        <v>0</v>
      </c>
      <c r="AD2084">
        <v>29</v>
      </c>
      <c r="AE2084" s="7">
        <v>5.5</v>
      </c>
      <c r="AF2084" s="7"/>
      <c r="AG2084" s="7"/>
      <c r="AH2084" s="7"/>
      <c r="AI20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084" s="7"/>
      <c r="AK2084" t="s">
        <v>1082</v>
      </c>
      <c r="AN2084">
        <f>IFERROR(INT(Table13[[#This Row],[reject_prod]]/Table13[[#This Row],[part_weight]] * 1000), 0)</f>
        <v>0</v>
      </c>
    </row>
    <row r="2085" spans="1:40">
      <c r="A2085" s="1">
        <v>46084</v>
      </c>
      <c r="B2085">
        <v>2</v>
      </c>
      <c r="C2085">
        <v>2</v>
      </c>
      <c r="D2085" t="s">
        <v>33</v>
      </c>
      <c r="E2085" t="s">
        <v>34</v>
      </c>
      <c r="F2085">
        <v>423215</v>
      </c>
      <c r="G2085" s="6">
        <v>0</v>
      </c>
      <c r="H2085" t="s">
        <v>156</v>
      </c>
      <c r="I2085">
        <v>10688491</v>
      </c>
      <c r="J2085">
        <v>4</v>
      </c>
      <c r="K2085">
        <v>24</v>
      </c>
      <c r="L2085">
        <v>24</v>
      </c>
      <c r="M2085">
        <v>0</v>
      </c>
      <c r="N2085" s="2">
        <v>9870</v>
      </c>
      <c r="O2085" s="2">
        <v>0</v>
      </c>
      <c r="P2085" s="2">
        <v>0</v>
      </c>
      <c r="Q2085" s="2">
        <v>0</v>
      </c>
      <c r="R2085" s="2">
        <v>0</v>
      </c>
      <c r="S2085">
        <v>0</v>
      </c>
      <c r="T2085" s="2">
        <v>0</v>
      </c>
      <c r="U2085" s="2">
        <v>9870</v>
      </c>
      <c r="V2085">
        <v>0</v>
      </c>
      <c r="W2085">
        <v>0</v>
      </c>
      <c r="X2085">
        <v>0</v>
      </c>
      <c r="Y2085" t="e">
        <v>#DIV/0!</v>
      </c>
      <c r="Z2085">
        <v>0</v>
      </c>
      <c r="AA2085" t="e">
        <v>#DIV/0!</v>
      </c>
      <c r="AB2085">
        <v>19.7</v>
      </c>
      <c r="AC2085">
        <v>0</v>
      </c>
      <c r="AD2085">
        <v>22</v>
      </c>
      <c r="AE2085" s="7"/>
      <c r="AF2085" s="7"/>
      <c r="AG2085" s="7"/>
      <c r="AH2085" s="7">
        <v>12</v>
      </c>
      <c r="AI20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5" s="7"/>
      <c r="AK2085" t="s">
        <v>1073</v>
      </c>
      <c r="AN2085">
        <f>IFERROR(INT(Table13[[#This Row],[reject_prod]]/Table13[[#This Row],[part_weight]] * 1000), 0)</f>
        <v>0</v>
      </c>
    </row>
    <row r="2086" spans="1:40">
      <c r="A2086" s="1">
        <v>46084</v>
      </c>
      <c r="B2086">
        <v>2</v>
      </c>
      <c r="C2086">
        <v>3</v>
      </c>
      <c r="D2086" t="s">
        <v>87</v>
      </c>
      <c r="E2086" t="s">
        <v>34</v>
      </c>
      <c r="F2086">
        <v>442034</v>
      </c>
      <c r="G2086" s="6">
        <v>0</v>
      </c>
      <c r="H2086" t="s">
        <v>37</v>
      </c>
      <c r="I2086">
        <v>10685634</v>
      </c>
      <c r="J2086">
        <v>4</v>
      </c>
      <c r="K2086">
        <v>23</v>
      </c>
      <c r="L2086">
        <v>23</v>
      </c>
      <c r="M2086">
        <v>1484</v>
      </c>
      <c r="N2086" s="2">
        <v>139776</v>
      </c>
      <c r="O2086" s="2">
        <v>768</v>
      </c>
      <c r="P2086" s="2">
        <v>1920</v>
      </c>
      <c r="Q2086" s="2">
        <v>5936</v>
      </c>
      <c r="R2086" s="2">
        <v>4608</v>
      </c>
      <c r="S2086">
        <v>105.98399999999999</v>
      </c>
      <c r="T2086" s="2">
        <v>135552</v>
      </c>
      <c r="U2086" s="2">
        <v>4224</v>
      </c>
      <c r="V2086">
        <v>136.52799999999999</v>
      </c>
      <c r="W2086">
        <v>0</v>
      </c>
      <c r="X2086">
        <v>0</v>
      </c>
      <c r="Y2086">
        <v>0</v>
      </c>
      <c r="Z2086">
        <v>17</v>
      </c>
      <c r="AA2086">
        <v>0.124516583</v>
      </c>
      <c r="AB2086">
        <v>28.5</v>
      </c>
      <c r="AC2086">
        <v>11.748333329999999</v>
      </c>
      <c r="AD2086">
        <v>22</v>
      </c>
      <c r="AE2086" s="7"/>
      <c r="AF2086" s="7"/>
      <c r="AG2086" s="7"/>
      <c r="AH2086" s="7"/>
      <c r="AI20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0.25166667000000054</v>
      </c>
      <c r="AJ2086" s="7"/>
      <c r="AK2086" t="s">
        <v>1083</v>
      </c>
      <c r="AN2086">
        <f>IFERROR(INT(Table13[[#This Row],[reject_prod]]/Table13[[#This Row],[part_weight]] * 1000), 0)</f>
        <v>739</v>
      </c>
    </row>
    <row r="2087" spans="1:40">
      <c r="A2087" s="1">
        <v>46084</v>
      </c>
      <c r="B2087">
        <v>2</v>
      </c>
      <c r="C2087">
        <v>4</v>
      </c>
      <c r="D2087" t="s">
        <v>33</v>
      </c>
      <c r="E2087" t="s">
        <v>34</v>
      </c>
      <c r="F2087">
        <v>402305</v>
      </c>
      <c r="G2087" s="6">
        <v>0</v>
      </c>
      <c r="H2087" t="s">
        <v>395</v>
      </c>
      <c r="I2087">
        <v>10688065</v>
      </c>
      <c r="J2087">
        <v>4</v>
      </c>
      <c r="K2087">
        <v>29</v>
      </c>
      <c r="L2087">
        <v>29</v>
      </c>
      <c r="M2087">
        <v>239</v>
      </c>
      <c r="N2087" s="2">
        <v>44928</v>
      </c>
      <c r="O2087" s="2">
        <v>416</v>
      </c>
      <c r="P2087" s="2">
        <v>104</v>
      </c>
      <c r="Q2087" s="2">
        <v>956</v>
      </c>
      <c r="R2087" s="2">
        <v>1248</v>
      </c>
      <c r="S2087">
        <v>36.192</v>
      </c>
      <c r="T2087" s="2">
        <v>5096</v>
      </c>
      <c r="U2087" s="2">
        <v>39832</v>
      </c>
      <c r="V2087">
        <v>27.724</v>
      </c>
      <c r="W2087">
        <v>0</v>
      </c>
      <c r="X2087">
        <v>7</v>
      </c>
      <c r="Y2087">
        <v>0.252488818</v>
      </c>
      <c r="Z2087">
        <v>0</v>
      </c>
      <c r="AA2087">
        <v>0</v>
      </c>
      <c r="AB2087">
        <v>25.73</v>
      </c>
      <c r="AC2087">
        <v>1.7081861110000001</v>
      </c>
      <c r="AD2087">
        <v>22</v>
      </c>
      <c r="AE2087" s="7"/>
      <c r="AF2087" s="7"/>
      <c r="AG2087" s="7"/>
      <c r="AH2087" s="7"/>
      <c r="AI2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10.291813889</v>
      </c>
      <c r="AJ2087" s="7"/>
      <c r="AK2087" t="s">
        <v>1084</v>
      </c>
      <c r="AN2087">
        <f>IFERROR(INT(Table13[[#This Row],[reject_prod]]/Table13[[#This Row],[part_weight]] * 1000), 0)</f>
        <v>0</v>
      </c>
    </row>
    <row r="2088" spans="1:40">
      <c r="A2088" s="1">
        <v>46084</v>
      </c>
      <c r="B2088">
        <v>2</v>
      </c>
      <c r="C2088">
        <v>5</v>
      </c>
      <c r="D2088" t="s">
        <v>117</v>
      </c>
      <c r="E2088" t="s">
        <v>34</v>
      </c>
      <c r="F2088">
        <v>322448</v>
      </c>
      <c r="G2088" s="6">
        <v>0</v>
      </c>
      <c r="H2088" t="s">
        <v>654</v>
      </c>
      <c r="I2088">
        <v>10687753</v>
      </c>
      <c r="J2088">
        <v>4</v>
      </c>
      <c r="K2088">
        <v>40</v>
      </c>
      <c r="L2088">
        <v>40</v>
      </c>
      <c r="M2088">
        <v>1596</v>
      </c>
      <c r="N2088" s="2">
        <v>174960</v>
      </c>
      <c r="O2088" s="2">
        <v>162</v>
      </c>
      <c r="P2088" s="2">
        <v>0</v>
      </c>
      <c r="Q2088" s="2">
        <v>6384</v>
      </c>
      <c r="R2088" s="2">
        <v>6480</v>
      </c>
      <c r="S2088">
        <v>259.2</v>
      </c>
      <c r="T2088" s="2">
        <v>62370</v>
      </c>
      <c r="U2088" s="2">
        <v>112590</v>
      </c>
      <c r="V2088">
        <v>255.36</v>
      </c>
      <c r="W2088">
        <v>0</v>
      </c>
      <c r="X2088">
        <v>0</v>
      </c>
      <c r="Y2088">
        <v>0</v>
      </c>
      <c r="Z2088">
        <v>8</v>
      </c>
      <c r="AA2088">
        <v>3.1328320999999999E-2</v>
      </c>
      <c r="AB2088">
        <v>26.2</v>
      </c>
      <c r="AC2088">
        <v>11.61533333</v>
      </c>
      <c r="AD2088">
        <v>23</v>
      </c>
      <c r="AE2088" s="7"/>
      <c r="AF2088" s="7"/>
      <c r="AG2088" s="7"/>
      <c r="AH2088" s="7"/>
      <c r="AI20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0.38466666999999966</v>
      </c>
      <c r="AJ2088" s="7"/>
      <c r="AK2088" t="s">
        <v>356</v>
      </c>
      <c r="AN2088">
        <f>IFERROR(INT(Table13[[#This Row],[reject_prod]]/Table13[[#This Row],[part_weight]] * 1000), 0)</f>
        <v>200</v>
      </c>
    </row>
    <row r="2089" spans="1:40">
      <c r="A2089" s="1">
        <v>46084</v>
      </c>
      <c r="B2089">
        <v>2</v>
      </c>
      <c r="C2089">
        <v>6</v>
      </c>
      <c r="D2089" t="s">
        <v>449</v>
      </c>
      <c r="E2089" t="s">
        <v>34</v>
      </c>
      <c r="F2089">
        <v>532981</v>
      </c>
      <c r="G2089" s="6">
        <v>0</v>
      </c>
      <c r="H2089" t="s">
        <v>233</v>
      </c>
      <c r="I2089">
        <v>10688648</v>
      </c>
      <c r="J2089">
        <v>4</v>
      </c>
      <c r="K2089">
        <v>25</v>
      </c>
      <c r="L2089">
        <v>24</v>
      </c>
      <c r="M2089">
        <v>1870</v>
      </c>
      <c r="N2089" s="2">
        <v>87552</v>
      </c>
      <c r="O2089" s="2">
        <v>3192</v>
      </c>
      <c r="P2089" s="2">
        <v>5016</v>
      </c>
      <c r="Q2089" s="2">
        <v>7480</v>
      </c>
      <c r="R2089" s="2">
        <v>5472</v>
      </c>
      <c r="S2089">
        <v>131.328</v>
      </c>
      <c r="T2089" s="2">
        <v>7752</v>
      </c>
      <c r="U2089" s="2">
        <v>79800</v>
      </c>
      <c r="V2089">
        <v>179.52</v>
      </c>
      <c r="W2089">
        <v>7.48</v>
      </c>
      <c r="X2089">
        <v>0</v>
      </c>
      <c r="Y2089">
        <v>0</v>
      </c>
      <c r="Z2089">
        <v>2</v>
      </c>
      <c r="AA2089">
        <v>1.1140819999999999E-2</v>
      </c>
      <c r="AB2089">
        <v>23.2</v>
      </c>
      <c r="AC2089">
        <v>12</v>
      </c>
      <c r="AD2089">
        <v>20</v>
      </c>
      <c r="AE2089" s="7"/>
      <c r="AF2089" s="7"/>
      <c r="AG2089" s="7"/>
      <c r="AH2089" s="7"/>
      <c r="AI20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9" s="7"/>
      <c r="AK2089" t="s">
        <v>1085</v>
      </c>
      <c r="AN2089">
        <f>IFERROR(INT(Table13[[#This Row],[reject_prod]]/Table13[[#This Row],[part_weight]] * 1000), 0)</f>
        <v>83</v>
      </c>
    </row>
    <row r="2090" spans="1:40">
      <c r="A2090" s="1">
        <v>46084</v>
      </c>
      <c r="B2090">
        <v>2</v>
      </c>
      <c r="C2090">
        <v>7</v>
      </c>
      <c r="D2090" t="s">
        <v>1086</v>
      </c>
      <c r="E2090" t="s">
        <v>34</v>
      </c>
      <c r="F2090">
        <v>647556</v>
      </c>
      <c r="G2090" s="6">
        <v>0</v>
      </c>
      <c r="H2090" t="s">
        <v>458</v>
      </c>
      <c r="I2090">
        <v>10688945</v>
      </c>
      <c r="J2090">
        <v>4</v>
      </c>
      <c r="K2090">
        <v>35</v>
      </c>
      <c r="L2090">
        <v>34.5</v>
      </c>
      <c r="M2090">
        <v>1896</v>
      </c>
      <c r="N2090" s="2">
        <v>27720</v>
      </c>
      <c r="O2090" s="2">
        <v>528</v>
      </c>
      <c r="P2090" s="2">
        <v>528</v>
      </c>
      <c r="Q2090" s="2">
        <v>7584</v>
      </c>
      <c r="R2090" s="2">
        <v>7392</v>
      </c>
      <c r="S2090">
        <v>255.024</v>
      </c>
      <c r="T2090" s="2">
        <v>9504</v>
      </c>
      <c r="U2090" s="2">
        <v>18216</v>
      </c>
      <c r="V2090">
        <v>261.64800000000002</v>
      </c>
      <c r="W2090">
        <v>0</v>
      </c>
      <c r="X2090">
        <v>0</v>
      </c>
      <c r="Y2090">
        <v>0</v>
      </c>
      <c r="Z2090">
        <v>6</v>
      </c>
      <c r="AA2090">
        <v>2.2931572000000001E-2</v>
      </c>
      <c r="AB2090">
        <v>22.67</v>
      </c>
      <c r="AC2090">
        <v>11.93953333</v>
      </c>
      <c r="AD2090">
        <v>20.399999999999999</v>
      </c>
      <c r="AE2090" s="7"/>
      <c r="AF2090" s="7"/>
      <c r="AG2090" s="7"/>
      <c r="AH2090" s="7"/>
      <c r="AI20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6.0466670000000278E-2</v>
      </c>
      <c r="AJ2090" s="7"/>
      <c r="AK2090" t="s">
        <v>200</v>
      </c>
      <c r="AN2090">
        <f>IFERROR(INT(Table13[[#This Row],[reject_prod]]/Table13[[#This Row],[part_weight]] * 1000), 0)</f>
        <v>173</v>
      </c>
    </row>
    <row r="2091" spans="1:40">
      <c r="A2091" s="1">
        <v>46084</v>
      </c>
      <c r="B2091">
        <v>2</v>
      </c>
      <c r="C2091">
        <v>8</v>
      </c>
      <c r="F2091">
        <v>123456</v>
      </c>
      <c r="G2091" s="6">
        <v>0</v>
      </c>
      <c r="M2091">
        <v>0</v>
      </c>
      <c r="N2091" s="2">
        <v>0</v>
      </c>
      <c r="O2091" s="2">
        <v>0</v>
      </c>
      <c r="P2091" s="2">
        <v>0</v>
      </c>
      <c r="Q2091" s="2"/>
      <c r="R2091" s="2">
        <v>0</v>
      </c>
      <c r="T2091" s="2">
        <v>0</v>
      </c>
      <c r="U2091" s="2"/>
      <c r="X2091">
        <v>0</v>
      </c>
      <c r="Z2091">
        <v>0</v>
      </c>
      <c r="AB2091">
        <v>0</v>
      </c>
      <c r="AC2091">
        <v>0</v>
      </c>
      <c r="AD2091">
        <v>0</v>
      </c>
      <c r="AE2091" s="7"/>
      <c r="AF2091" s="7"/>
      <c r="AG2091" s="7"/>
      <c r="AH2091" s="7"/>
      <c r="AI2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91" s="7">
        <v>12</v>
      </c>
      <c r="AK2091" t="s">
        <v>116</v>
      </c>
      <c r="AN2091">
        <f>IFERROR(INT(Table13[[#This Row],[reject_prod]]/Table13[[#This Row],[part_weight]] * 1000), 0)</f>
        <v>0</v>
      </c>
    </row>
    <row r="2092" spans="1:40">
      <c r="A2092" s="1">
        <v>46084</v>
      </c>
      <c r="B2092">
        <v>2</v>
      </c>
      <c r="C2092">
        <v>9</v>
      </c>
      <c r="D2092" t="s">
        <v>56</v>
      </c>
      <c r="E2092" t="s">
        <v>46</v>
      </c>
      <c r="F2092">
        <v>586276</v>
      </c>
      <c r="G2092" s="6">
        <v>1</v>
      </c>
      <c r="H2092" t="s">
        <v>47</v>
      </c>
      <c r="I2092">
        <v>10686685</v>
      </c>
      <c r="J2092">
        <v>6</v>
      </c>
      <c r="K2092">
        <v>12.3</v>
      </c>
      <c r="L2092">
        <v>12.3</v>
      </c>
      <c r="M2092">
        <v>1648</v>
      </c>
      <c r="N2092" s="2">
        <v>162000</v>
      </c>
      <c r="O2092" s="2">
        <v>0</v>
      </c>
      <c r="P2092" s="2">
        <v>2025</v>
      </c>
      <c r="Q2092" s="2">
        <v>9888</v>
      </c>
      <c r="R2092" s="2">
        <v>8100</v>
      </c>
      <c r="S2092">
        <v>99.63</v>
      </c>
      <c r="T2092" s="2">
        <v>58725</v>
      </c>
      <c r="U2092" s="2">
        <v>103275</v>
      </c>
      <c r="V2092">
        <v>121.6224</v>
      </c>
      <c r="W2092">
        <v>0</v>
      </c>
      <c r="X2092">
        <v>0</v>
      </c>
      <c r="Y2092">
        <v>0</v>
      </c>
      <c r="Z2092">
        <v>2</v>
      </c>
      <c r="AA2092">
        <v>1.6444338999999999E-2</v>
      </c>
      <c r="AB2092">
        <v>26.5</v>
      </c>
      <c r="AC2092">
        <v>12</v>
      </c>
      <c r="AD2092">
        <v>26</v>
      </c>
      <c r="AE2092" s="7"/>
      <c r="AF2092" s="7"/>
      <c r="AG2092" s="7"/>
      <c r="AH2092" s="7"/>
      <c r="AI2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92" s="7"/>
      <c r="AK2092" t="s">
        <v>951</v>
      </c>
      <c r="AN2092">
        <f>IFERROR(INT(Table13[[#This Row],[reject_prod]]/Table13[[#This Row],[part_weight]] * 1000), 0)</f>
        <v>162</v>
      </c>
    </row>
    <row r="2093" spans="1:40">
      <c r="A2093" s="1">
        <v>46084</v>
      </c>
      <c r="B2093">
        <v>2</v>
      </c>
      <c r="C2093">
        <v>10</v>
      </c>
      <c r="D2093" t="s">
        <v>84</v>
      </c>
      <c r="E2093" t="s">
        <v>34</v>
      </c>
      <c r="F2093">
        <v>323133</v>
      </c>
      <c r="G2093" s="6">
        <v>0</v>
      </c>
      <c r="H2093" t="s">
        <v>568</v>
      </c>
      <c r="I2093">
        <v>10688500</v>
      </c>
      <c r="J2093">
        <v>4</v>
      </c>
      <c r="K2093">
        <v>57</v>
      </c>
      <c r="L2093">
        <v>77</v>
      </c>
      <c r="M2093">
        <v>1084</v>
      </c>
      <c r="N2093" s="2">
        <v>13248</v>
      </c>
      <c r="O2093" s="2">
        <v>207</v>
      </c>
      <c r="P2093" s="2">
        <v>69</v>
      </c>
      <c r="Q2093" s="2">
        <v>4336</v>
      </c>
      <c r="R2093" s="2">
        <v>3864</v>
      </c>
      <c r="S2093">
        <v>297.52800000000002</v>
      </c>
      <c r="T2093" s="2">
        <v>13041</v>
      </c>
      <c r="U2093" s="2">
        <v>207</v>
      </c>
      <c r="V2093">
        <v>333.87200000000001</v>
      </c>
      <c r="W2093">
        <v>0</v>
      </c>
      <c r="X2093">
        <v>0</v>
      </c>
      <c r="Y2093">
        <v>0</v>
      </c>
      <c r="Z2093">
        <v>9</v>
      </c>
      <c r="AA2093">
        <v>2.6956437999999999E-2</v>
      </c>
      <c r="AB2093">
        <v>38.700000000000003</v>
      </c>
      <c r="AC2093">
        <v>11.653</v>
      </c>
      <c r="AD2093">
        <v>35</v>
      </c>
      <c r="AE2093" s="7"/>
      <c r="AF2093" s="7"/>
      <c r="AG2093" s="7"/>
      <c r="AH2093" s="7"/>
      <c r="AI2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0.34699999999999953</v>
      </c>
      <c r="AJ2093" s="7"/>
      <c r="AK2093" t="s">
        <v>1087</v>
      </c>
      <c r="AN2093">
        <f>IFERROR(INT(Table13[[#This Row],[reject_prod]]/Table13[[#This Row],[part_weight]] * 1000), 0)</f>
        <v>116</v>
      </c>
    </row>
    <row r="2094" spans="1:40">
      <c r="A2094" s="1">
        <v>46084</v>
      </c>
      <c r="B2094">
        <v>2</v>
      </c>
      <c r="C2094">
        <v>11</v>
      </c>
      <c r="D2094" t="s">
        <v>208</v>
      </c>
      <c r="E2094" t="s">
        <v>46</v>
      </c>
      <c r="F2094">
        <v>552181</v>
      </c>
      <c r="G2094" s="6">
        <v>1</v>
      </c>
      <c r="H2094" t="s">
        <v>49</v>
      </c>
      <c r="I2094">
        <v>10688069</v>
      </c>
      <c r="J2094">
        <v>6</v>
      </c>
      <c r="K2094">
        <v>14.7</v>
      </c>
      <c r="L2094">
        <v>14.7</v>
      </c>
      <c r="M2094">
        <v>1454</v>
      </c>
      <c r="N2094" s="2">
        <v>108000</v>
      </c>
      <c r="O2094" s="2">
        <v>3780</v>
      </c>
      <c r="P2094" s="2">
        <v>12420</v>
      </c>
      <c r="Q2094" s="2">
        <v>8724</v>
      </c>
      <c r="R2094" s="2">
        <v>0</v>
      </c>
      <c r="S2094">
        <v>0</v>
      </c>
      <c r="T2094" s="2">
        <v>61020</v>
      </c>
      <c r="U2094" s="2">
        <v>46980</v>
      </c>
      <c r="V2094">
        <v>128.24279999999999</v>
      </c>
      <c r="W2094">
        <v>0</v>
      </c>
      <c r="X2094">
        <v>0</v>
      </c>
      <c r="Y2094">
        <v>0</v>
      </c>
      <c r="Z2094">
        <v>5</v>
      </c>
      <c r="AA2094">
        <v>3.8988544E-2</v>
      </c>
      <c r="AB2094">
        <v>28.46</v>
      </c>
      <c r="AC2094">
        <v>11.49467778</v>
      </c>
      <c r="AD2094">
        <v>27</v>
      </c>
      <c r="AE2094" s="7"/>
      <c r="AF2094" s="7"/>
      <c r="AG2094" s="7"/>
      <c r="AH2094" s="7"/>
      <c r="AI20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0.50532222000000004</v>
      </c>
      <c r="AJ2094" s="7"/>
      <c r="AK2094" t="s">
        <v>1088</v>
      </c>
      <c r="AN2094">
        <f>IFERROR(INT(Table13[[#This Row],[reject_prod]]/Table13[[#This Row],[part_weight]] * 1000), 0)</f>
        <v>340</v>
      </c>
    </row>
    <row r="2095" spans="1:40">
      <c r="A2095" s="1">
        <v>46084</v>
      </c>
      <c r="B2095">
        <v>2</v>
      </c>
      <c r="C2095">
        <v>12</v>
      </c>
      <c r="D2095" t="s">
        <v>449</v>
      </c>
      <c r="E2095" t="s">
        <v>34</v>
      </c>
      <c r="F2095">
        <v>620599</v>
      </c>
      <c r="G2095" s="6">
        <v>0</v>
      </c>
      <c r="H2095" t="s">
        <v>50</v>
      </c>
      <c r="I2095">
        <v>10688071</v>
      </c>
      <c r="J2095">
        <v>4</v>
      </c>
      <c r="K2095">
        <v>55</v>
      </c>
      <c r="L2095">
        <v>55</v>
      </c>
      <c r="M2095">
        <v>1461</v>
      </c>
      <c r="N2095" s="2">
        <v>72000</v>
      </c>
      <c r="O2095" s="2">
        <v>125</v>
      </c>
      <c r="P2095" s="2">
        <v>450</v>
      </c>
      <c r="Q2095" s="2">
        <v>5844</v>
      </c>
      <c r="R2095" s="2">
        <v>5400</v>
      </c>
      <c r="S2095">
        <v>297</v>
      </c>
      <c r="T2095" s="2">
        <v>39150</v>
      </c>
      <c r="U2095" s="2">
        <v>32850</v>
      </c>
      <c r="V2095">
        <v>321.42</v>
      </c>
      <c r="W2095">
        <v>0</v>
      </c>
      <c r="X2095">
        <v>0</v>
      </c>
      <c r="Y2095">
        <v>0</v>
      </c>
      <c r="Z2095">
        <v>3</v>
      </c>
      <c r="AA2095">
        <v>9.333582E-3</v>
      </c>
      <c r="AB2095">
        <v>28.8</v>
      </c>
      <c r="AC2095">
        <v>11.688000000000001</v>
      </c>
      <c r="AD2095">
        <v>28</v>
      </c>
      <c r="AE2095" s="7"/>
      <c r="AF2095" s="7"/>
      <c r="AG2095" s="7"/>
      <c r="AH2095" s="7"/>
      <c r="AI20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0.31199999999999939</v>
      </c>
      <c r="AJ2095" s="7"/>
      <c r="AK2095" t="s">
        <v>941</v>
      </c>
      <c r="AN2095">
        <f>IFERROR(INT(Table13[[#This Row],[reject_prod]]/Table13[[#This Row],[part_weight]] * 1000), 0)</f>
        <v>54</v>
      </c>
    </row>
    <row r="2096" spans="1:40">
      <c r="A2096" s="1">
        <v>46084</v>
      </c>
      <c r="B2096">
        <v>2</v>
      </c>
      <c r="C2096">
        <v>13</v>
      </c>
      <c r="D2096" t="s">
        <v>208</v>
      </c>
      <c r="E2096" t="s">
        <v>46</v>
      </c>
      <c r="F2096">
        <v>586276</v>
      </c>
      <c r="G2096" s="6">
        <v>2</v>
      </c>
      <c r="H2096" t="s">
        <v>47</v>
      </c>
      <c r="I2096">
        <v>10688946</v>
      </c>
      <c r="J2096">
        <v>6</v>
      </c>
      <c r="K2096">
        <v>12.3</v>
      </c>
      <c r="L2096">
        <v>12.3</v>
      </c>
      <c r="M2096">
        <v>1624</v>
      </c>
      <c r="N2096" s="2">
        <v>162000</v>
      </c>
      <c r="O2096" s="2">
        <v>4860</v>
      </c>
      <c r="P2096" s="2">
        <v>5670</v>
      </c>
      <c r="Q2096" s="2">
        <v>9744</v>
      </c>
      <c r="R2096" s="2">
        <v>8100</v>
      </c>
      <c r="S2096">
        <v>99.63</v>
      </c>
      <c r="T2096" s="2">
        <v>21870</v>
      </c>
      <c r="U2096" s="2">
        <v>140130</v>
      </c>
      <c r="V2096">
        <v>119.85120000000001</v>
      </c>
      <c r="W2096">
        <v>0</v>
      </c>
      <c r="X2096">
        <v>0</v>
      </c>
      <c r="Y2096">
        <v>0</v>
      </c>
      <c r="Z2096">
        <v>2</v>
      </c>
      <c r="AA2096">
        <v>1.6687358999999999E-2</v>
      </c>
      <c r="AB2096">
        <v>26.2</v>
      </c>
      <c r="AC2096">
        <v>11.81911111</v>
      </c>
      <c r="AD2096">
        <v>26</v>
      </c>
      <c r="AE2096" s="7"/>
      <c r="AF2096" s="7"/>
      <c r="AG2096" s="7"/>
      <c r="AH2096" s="7"/>
      <c r="AI2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096" s="7"/>
      <c r="AK2096" t="s">
        <v>90</v>
      </c>
      <c r="AN2096">
        <f>IFERROR(INT(Table13[[#This Row],[reject_prod]]/Table13[[#This Row],[part_weight]] * 1000), 0)</f>
        <v>162</v>
      </c>
    </row>
    <row r="2097" spans="1:40">
      <c r="A2097" s="1">
        <v>46084</v>
      </c>
      <c r="B2097">
        <v>2</v>
      </c>
      <c r="C2097">
        <v>14</v>
      </c>
      <c r="D2097" t="s">
        <v>54</v>
      </c>
      <c r="E2097" t="s">
        <v>34</v>
      </c>
      <c r="F2097">
        <v>541381</v>
      </c>
      <c r="G2097" s="6">
        <v>0</v>
      </c>
      <c r="H2097" t="s">
        <v>804</v>
      </c>
      <c r="I2097">
        <v>10688072</v>
      </c>
      <c r="J2097">
        <v>4</v>
      </c>
      <c r="K2097">
        <v>55</v>
      </c>
      <c r="L2097">
        <v>55</v>
      </c>
      <c r="M2097">
        <v>1575</v>
      </c>
      <c r="N2097" s="2">
        <v>84000</v>
      </c>
      <c r="O2097" s="2">
        <v>0</v>
      </c>
      <c r="P2097" s="2">
        <v>0</v>
      </c>
      <c r="Q2097" s="2">
        <v>6300</v>
      </c>
      <c r="R2097" s="2">
        <v>6300</v>
      </c>
      <c r="S2097">
        <v>346.5</v>
      </c>
      <c r="T2097" s="2">
        <v>72800</v>
      </c>
      <c r="U2097" s="2">
        <v>11200</v>
      </c>
      <c r="V2097">
        <v>346.5</v>
      </c>
      <c r="W2097">
        <v>0</v>
      </c>
      <c r="X2097">
        <v>0</v>
      </c>
      <c r="Y2097">
        <v>0</v>
      </c>
      <c r="Z2097">
        <v>3</v>
      </c>
      <c r="AA2097">
        <v>8.6580089999999995E-3</v>
      </c>
      <c r="AB2097">
        <v>27.3</v>
      </c>
      <c r="AC2097">
        <v>11.94375</v>
      </c>
      <c r="AD2097">
        <v>30.08</v>
      </c>
      <c r="AE2097" s="7"/>
      <c r="AF2097" s="7"/>
      <c r="AG2097" s="7"/>
      <c r="AH2097" s="7"/>
      <c r="AI2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097" s="7"/>
      <c r="AK2097" t="s">
        <v>941</v>
      </c>
      <c r="AN2097">
        <f>IFERROR(INT(Table13[[#This Row],[reject_prod]]/Table13[[#This Row],[part_weight]] * 1000), 0)</f>
        <v>54</v>
      </c>
    </row>
    <row r="2098" spans="1:40">
      <c r="A2098" s="1">
        <v>46084</v>
      </c>
      <c r="B2098">
        <v>2</v>
      </c>
      <c r="C2098">
        <v>15</v>
      </c>
      <c r="D2098" t="s">
        <v>208</v>
      </c>
      <c r="E2098" t="s">
        <v>46</v>
      </c>
      <c r="F2098">
        <v>552181</v>
      </c>
      <c r="G2098" s="6">
        <v>2</v>
      </c>
      <c r="H2098" t="s">
        <v>49</v>
      </c>
      <c r="I2098">
        <v>10686679</v>
      </c>
      <c r="J2098">
        <v>6</v>
      </c>
      <c r="K2098">
        <v>14.7</v>
      </c>
      <c r="L2098">
        <v>14.7</v>
      </c>
      <c r="M2098">
        <v>1324</v>
      </c>
      <c r="N2098" s="2">
        <v>108000</v>
      </c>
      <c r="O2098" s="2">
        <v>4320</v>
      </c>
      <c r="P2098" s="2">
        <v>810</v>
      </c>
      <c r="Q2098" s="2">
        <v>7944</v>
      </c>
      <c r="R2098" s="2">
        <v>10800</v>
      </c>
      <c r="S2098">
        <v>158.76</v>
      </c>
      <c r="T2098" s="2">
        <v>103410</v>
      </c>
      <c r="U2098" s="2">
        <v>4590</v>
      </c>
      <c r="V2098">
        <v>116.77679999999999</v>
      </c>
      <c r="W2098">
        <v>0</v>
      </c>
      <c r="X2098">
        <v>0</v>
      </c>
      <c r="Y2098">
        <v>0</v>
      </c>
      <c r="Z2098">
        <v>2</v>
      </c>
      <c r="AA2098">
        <v>1.712669E-2</v>
      </c>
      <c r="AB2098">
        <v>30.6</v>
      </c>
      <c r="AC2098">
        <v>11.254</v>
      </c>
      <c r="AD2098">
        <v>27</v>
      </c>
      <c r="AE2098" s="7"/>
      <c r="AF2098" s="7"/>
      <c r="AG2098" s="7"/>
      <c r="AH2098" s="7"/>
      <c r="AI2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0.74600000000000044</v>
      </c>
      <c r="AJ2098" s="7"/>
      <c r="AK2098" t="s">
        <v>90</v>
      </c>
      <c r="AN2098">
        <f>IFERROR(INT(Table13[[#This Row],[reject_prod]]/Table13[[#This Row],[part_weight]] * 1000), 0)</f>
        <v>136</v>
      </c>
    </row>
    <row r="2099" spans="1:40">
      <c r="A2099" s="1">
        <v>46084</v>
      </c>
      <c r="B2099">
        <v>2</v>
      </c>
      <c r="C2099">
        <v>16</v>
      </c>
      <c r="D2099" t="s">
        <v>33</v>
      </c>
      <c r="E2099" t="s">
        <v>46</v>
      </c>
      <c r="F2099">
        <v>555979</v>
      </c>
      <c r="G2099" s="6">
        <v>2</v>
      </c>
      <c r="H2099" t="s">
        <v>52</v>
      </c>
      <c r="I2099">
        <v>10686701</v>
      </c>
      <c r="J2099">
        <v>6</v>
      </c>
      <c r="K2099">
        <v>28</v>
      </c>
      <c r="L2099">
        <v>28</v>
      </c>
      <c r="M2099">
        <v>602</v>
      </c>
      <c r="N2099" s="2">
        <v>100800</v>
      </c>
      <c r="O2099" s="2">
        <v>0</v>
      </c>
      <c r="P2099" s="2">
        <v>3024</v>
      </c>
      <c r="Q2099" s="2">
        <v>3612</v>
      </c>
      <c r="R2099" s="2">
        <v>0</v>
      </c>
      <c r="S2099">
        <v>0</v>
      </c>
      <c r="T2099" s="2">
        <v>53424</v>
      </c>
      <c r="U2099" s="2">
        <v>47376</v>
      </c>
      <c r="V2099">
        <v>101.136</v>
      </c>
      <c r="W2099">
        <v>0</v>
      </c>
      <c r="X2099">
        <v>2</v>
      </c>
      <c r="Y2099">
        <v>1.9775352E-2</v>
      </c>
      <c r="AA2099">
        <v>0</v>
      </c>
      <c r="AB2099">
        <v>43.2</v>
      </c>
      <c r="AC2099">
        <v>7.2240000000000002</v>
      </c>
      <c r="AD2099">
        <v>42</v>
      </c>
      <c r="AE2099" s="7"/>
      <c r="AF2099" s="7"/>
      <c r="AG2099" s="7"/>
      <c r="AH2099" s="7"/>
      <c r="AI20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4.7759999999999998</v>
      </c>
      <c r="AJ2099" s="7"/>
      <c r="AK2099" t="s">
        <v>1089</v>
      </c>
      <c r="AN2099">
        <f>IFERROR(INT(Table13[[#This Row],[reject_prod]]/Table13[[#This Row],[part_weight]] * 1000), 0)</f>
        <v>0</v>
      </c>
    </row>
    <row r="2100" spans="1:40">
      <c r="A2100" s="1">
        <v>46085</v>
      </c>
      <c r="B2100">
        <v>1</v>
      </c>
      <c r="C2100">
        <v>1</v>
      </c>
      <c r="D2100" t="s">
        <v>1090</v>
      </c>
      <c r="E2100" t="s">
        <v>34</v>
      </c>
      <c r="F2100">
        <v>529004</v>
      </c>
      <c r="G2100" s="6">
        <v>0</v>
      </c>
      <c r="H2100" t="s">
        <v>723</v>
      </c>
      <c r="I2100">
        <v>10688944</v>
      </c>
      <c r="J2100">
        <v>4</v>
      </c>
      <c r="K2100">
        <v>31</v>
      </c>
      <c r="L2100">
        <v>31</v>
      </c>
      <c r="M2100">
        <v>553</v>
      </c>
      <c r="N2100" s="2">
        <v>20400</v>
      </c>
      <c r="O2100" s="2">
        <v>0</v>
      </c>
      <c r="P2100" s="2">
        <v>720</v>
      </c>
      <c r="Q2100" s="2">
        <v>2212</v>
      </c>
      <c r="R2100" s="2">
        <v>1200</v>
      </c>
      <c r="S2100">
        <v>37.200000000000003</v>
      </c>
      <c r="T2100" s="2">
        <v>1920</v>
      </c>
      <c r="U2100" s="2">
        <v>18480</v>
      </c>
      <c r="V2100">
        <v>68.572000000000003</v>
      </c>
      <c r="W2100">
        <v>0</v>
      </c>
      <c r="X2100">
        <v>8</v>
      </c>
      <c r="Y2100">
        <v>0.116665694</v>
      </c>
      <c r="Z2100">
        <v>1</v>
      </c>
      <c r="AA2100">
        <v>1.4583212E-2</v>
      </c>
      <c r="AB2100">
        <v>30.5</v>
      </c>
      <c r="AC2100">
        <v>4.6851388890000001</v>
      </c>
      <c r="AD2100">
        <v>29</v>
      </c>
      <c r="AE2100" s="7"/>
      <c r="AF2100" s="7"/>
      <c r="AG2100" s="7"/>
      <c r="AH2100" s="7"/>
      <c r="AI2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7.3148611109999999</v>
      </c>
      <c r="AJ2100" s="7"/>
      <c r="AK2100" t="s">
        <v>1091</v>
      </c>
      <c r="AL2100">
        <v>5</v>
      </c>
      <c r="AM2100">
        <v>3</v>
      </c>
      <c r="AN2100">
        <f>IFERROR(INT(Table13[[#This Row],[reject_prod]]/Table13[[#This Row],[part_weight]] * 1000), 0)</f>
        <v>32</v>
      </c>
    </row>
    <row r="2101" spans="1:40">
      <c r="A2101" s="1">
        <v>46085</v>
      </c>
      <c r="B2101">
        <v>1</v>
      </c>
      <c r="C2101">
        <v>2</v>
      </c>
      <c r="D2101" t="s">
        <v>33</v>
      </c>
      <c r="E2101" t="s">
        <v>34</v>
      </c>
      <c r="F2101">
        <v>423215</v>
      </c>
      <c r="G2101" s="6">
        <v>0</v>
      </c>
      <c r="H2101" t="s">
        <v>156</v>
      </c>
      <c r="I2101">
        <v>10688491</v>
      </c>
      <c r="J2101">
        <v>4</v>
      </c>
      <c r="K2101">
        <v>24</v>
      </c>
      <c r="L2101">
        <v>24</v>
      </c>
      <c r="M2101">
        <v>0</v>
      </c>
      <c r="N2101" s="2">
        <v>9870</v>
      </c>
      <c r="O2101" s="2">
        <v>0</v>
      </c>
      <c r="P2101" s="2">
        <v>0</v>
      </c>
      <c r="Q2101" s="2">
        <v>0</v>
      </c>
      <c r="R2101" s="2">
        <v>0</v>
      </c>
      <c r="S2101">
        <v>0</v>
      </c>
      <c r="T2101" s="2">
        <v>0</v>
      </c>
      <c r="U2101" s="2">
        <v>9870</v>
      </c>
      <c r="V2101">
        <v>0</v>
      </c>
      <c r="W2101">
        <v>0</v>
      </c>
      <c r="X2101">
        <v>0</v>
      </c>
      <c r="Y2101" t="e">
        <v>#DIV/0!</v>
      </c>
      <c r="Z2101">
        <v>0</v>
      </c>
      <c r="AA2101" t="e">
        <v>#DIV/0!</v>
      </c>
      <c r="AB2101">
        <v>19.7</v>
      </c>
      <c r="AC2101">
        <v>0</v>
      </c>
      <c r="AD2101">
        <v>22</v>
      </c>
      <c r="AE2101" s="7"/>
      <c r="AF2101" s="7"/>
      <c r="AG2101" s="7"/>
      <c r="AH2101" s="7">
        <v>12</v>
      </c>
      <c r="AI2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1" s="7"/>
      <c r="AK2101" t="s">
        <v>1073</v>
      </c>
      <c r="AN2101">
        <f>IFERROR(INT(Table13[[#This Row],[reject_prod]]/Table13[[#This Row],[part_weight]] * 1000), 0)</f>
        <v>0</v>
      </c>
    </row>
    <row r="2102" spans="1:40">
      <c r="A2102" s="1">
        <v>46085</v>
      </c>
      <c r="B2102">
        <v>1</v>
      </c>
      <c r="C2102">
        <v>3</v>
      </c>
      <c r="D2102" t="s">
        <v>141</v>
      </c>
      <c r="E2102" t="s">
        <v>34</v>
      </c>
      <c r="F2102">
        <v>442034</v>
      </c>
      <c r="G2102" s="6">
        <v>0</v>
      </c>
      <c r="H2102" t="s">
        <v>37</v>
      </c>
      <c r="I2102">
        <v>10685634</v>
      </c>
      <c r="J2102">
        <v>4</v>
      </c>
      <c r="K2102">
        <v>23</v>
      </c>
      <c r="L2102">
        <v>23</v>
      </c>
      <c r="M2102">
        <v>207</v>
      </c>
      <c r="N2102" s="2">
        <v>139776</v>
      </c>
      <c r="O2102" s="2">
        <v>1920</v>
      </c>
      <c r="P2102" s="2">
        <v>2688</v>
      </c>
      <c r="Q2102" s="2">
        <v>828</v>
      </c>
      <c r="R2102" s="2">
        <v>0</v>
      </c>
      <c r="S2102">
        <v>0</v>
      </c>
      <c r="T2102" s="2">
        <v>136320</v>
      </c>
      <c r="U2102" s="2">
        <v>3456</v>
      </c>
      <c r="V2102">
        <v>19.044</v>
      </c>
      <c r="W2102">
        <v>0</v>
      </c>
      <c r="X2102">
        <v>0</v>
      </c>
      <c r="Y2102">
        <v>0</v>
      </c>
      <c r="Z2102">
        <v>1.4</v>
      </c>
      <c r="AA2102">
        <v>7.3513967999999999E-2</v>
      </c>
      <c r="AB2102">
        <v>28.5</v>
      </c>
      <c r="AC2102">
        <v>1.6387499999999999</v>
      </c>
      <c r="AD2102">
        <v>22</v>
      </c>
      <c r="AE2102" s="7"/>
      <c r="AF2102" s="7"/>
      <c r="AG2102" s="7"/>
      <c r="AH2102" s="7"/>
      <c r="AI2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10.36125</v>
      </c>
      <c r="AJ2102" s="7"/>
      <c r="AK2102" t="s">
        <v>1092</v>
      </c>
      <c r="AL2102">
        <v>8</v>
      </c>
      <c r="AM2102">
        <v>3</v>
      </c>
      <c r="AN2102">
        <f>IFERROR(INT(Table13[[#This Row],[reject_prod]]/Table13[[#This Row],[part_weight]] * 1000), 0)</f>
        <v>60</v>
      </c>
    </row>
    <row r="2103" spans="1:40">
      <c r="A2103" s="1">
        <v>46085</v>
      </c>
      <c r="B2103">
        <v>1</v>
      </c>
      <c r="C2103">
        <v>4</v>
      </c>
      <c r="D2103" t="s">
        <v>698</v>
      </c>
      <c r="E2103" t="s">
        <v>34</v>
      </c>
      <c r="F2103">
        <v>402305</v>
      </c>
      <c r="G2103" s="6">
        <v>0</v>
      </c>
      <c r="H2103" t="s">
        <v>395</v>
      </c>
      <c r="I2103">
        <v>10688065</v>
      </c>
      <c r="J2103">
        <v>4</v>
      </c>
      <c r="K2103">
        <v>29</v>
      </c>
      <c r="L2103">
        <v>29</v>
      </c>
      <c r="M2103">
        <v>1641</v>
      </c>
      <c r="N2103" s="2">
        <v>44928</v>
      </c>
      <c r="O2103" s="2">
        <v>104</v>
      </c>
      <c r="P2103" s="2">
        <v>312</v>
      </c>
      <c r="Q2103" s="2">
        <v>6564</v>
      </c>
      <c r="R2103" s="2">
        <v>6240</v>
      </c>
      <c r="S2103">
        <v>180.96</v>
      </c>
      <c r="T2103" s="2">
        <v>11544</v>
      </c>
      <c r="U2103" s="2">
        <v>33384</v>
      </c>
      <c r="V2103">
        <v>190.35599999999999</v>
      </c>
      <c r="W2103">
        <v>0</v>
      </c>
      <c r="X2103">
        <v>0</v>
      </c>
      <c r="Y2103">
        <v>0</v>
      </c>
      <c r="Z2103">
        <v>3.3</v>
      </c>
      <c r="AA2103">
        <v>1.7335939000000002E-2</v>
      </c>
      <c r="AB2103">
        <v>25.6</v>
      </c>
      <c r="AC2103">
        <v>11.669333330000001</v>
      </c>
      <c r="AD2103">
        <v>22</v>
      </c>
      <c r="AE2103" s="7"/>
      <c r="AF2103" s="7"/>
      <c r="AG2103" s="7"/>
      <c r="AH2103" s="7"/>
      <c r="AI2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0.33066666999999939</v>
      </c>
      <c r="AJ2103" s="7"/>
      <c r="AK2103" t="s">
        <v>75</v>
      </c>
      <c r="AL2103">
        <v>3</v>
      </c>
      <c r="AM2103">
        <v>4</v>
      </c>
      <c r="AN2103">
        <f>IFERROR(INT(Table13[[#This Row],[reject_prod]]/Table13[[#This Row],[part_weight]] * 1000), 0)</f>
        <v>113</v>
      </c>
    </row>
    <row r="2104" spans="1:40">
      <c r="A2104" s="1">
        <v>46085</v>
      </c>
      <c r="B2104">
        <v>1</v>
      </c>
      <c r="C2104">
        <v>5</v>
      </c>
      <c r="D2104" t="s">
        <v>67</v>
      </c>
      <c r="E2104" t="s">
        <v>34</v>
      </c>
      <c r="F2104">
        <v>322448</v>
      </c>
      <c r="G2104" s="6">
        <v>0</v>
      </c>
      <c r="H2104" t="s">
        <v>654</v>
      </c>
      <c r="I2104">
        <v>10687753</v>
      </c>
      <c r="J2104">
        <v>4</v>
      </c>
      <c r="K2104">
        <v>40</v>
      </c>
      <c r="L2104">
        <v>40</v>
      </c>
      <c r="M2104">
        <v>1689</v>
      </c>
      <c r="N2104" s="2">
        <v>174960</v>
      </c>
      <c r="O2104" s="2">
        <v>0</v>
      </c>
      <c r="P2104" s="2">
        <v>162</v>
      </c>
      <c r="Q2104" s="2">
        <v>6756</v>
      </c>
      <c r="R2104" s="2">
        <v>6480</v>
      </c>
      <c r="S2104">
        <v>259.2</v>
      </c>
      <c r="T2104" s="2">
        <v>69012</v>
      </c>
      <c r="U2104" s="2">
        <v>105948</v>
      </c>
      <c r="V2104">
        <v>270.24</v>
      </c>
      <c r="W2104">
        <v>0</v>
      </c>
      <c r="X2104">
        <v>0</v>
      </c>
      <c r="Y2104">
        <v>0</v>
      </c>
      <c r="Z2104">
        <v>4.4000000000000004</v>
      </c>
      <c r="AA2104">
        <v>1.6281824E-2</v>
      </c>
      <c r="AB2104">
        <v>26.1</v>
      </c>
      <c r="AC2104">
        <v>12</v>
      </c>
      <c r="AD2104">
        <v>23</v>
      </c>
      <c r="AE2104" s="7"/>
      <c r="AF2104" s="7"/>
      <c r="AG2104" s="7"/>
      <c r="AH2104" s="7"/>
      <c r="AI2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4" s="7"/>
      <c r="AK2104" t="s">
        <v>356</v>
      </c>
      <c r="AN2104">
        <f>IFERROR(INT(Table13[[#This Row],[reject_prod]]/Table13[[#This Row],[part_weight]] * 1000), 0)</f>
        <v>110</v>
      </c>
    </row>
    <row r="2105" spans="1:40">
      <c r="A2105" s="1">
        <v>46085</v>
      </c>
      <c r="B2105">
        <v>1</v>
      </c>
      <c r="C2105">
        <v>6</v>
      </c>
      <c r="D2105" t="s">
        <v>1093</v>
      </c>
      <c r="E2105" t="s">
        <v>34</v>
      </c>
      <c r="F2105">
        <v>532981</v>
      </c>
      <c r="G2105" s="6">
        <v>0</v>
      </c>
      <c r="H2105" t="s">
        <v>233</v>
      </c>
      <c r="I2105">
        <v>10688648</v>
      </c>
      <c r="J2105">
        <v>4</v>
      </c>
      <c r="K2105">
        <v>24.45</v>
      </c>
      <c r="L2105">
        <v>24</v>
      </c>
      <c r="M2105">
        <v>1841</v>
      </c>
      <c r="N2105" s="2">
        <v>87552</v>
      </c>
      <c r="O2105" s="2">
        <v>5016</v>
      </c>
      <c r="P2105" s="2">
        <v>6840</v>
      </c>
      <c r="Q2105" s="2">
        <v>7364</v>
      </c>
      <c r="R2105" s="2">
        <v>5472</v>
      </c>
      <c r="S2105">
        <v>131.328</v>
      </c>
      <c r="T2105" s="2">
        <v>17784</v>
      </c>
      <c r="U2105" s="2">
        <v>69768</v>
      </c>
      <c r="V2105">
        <v>176.73599999999999</v>
      </c>
      <c r="W2105">
        <v>0</v>
      </c>
      <c r="X2105">
        <v>0</v>
      </c>
      <c r="Y2105">
        <v>0</v>
      </c>
      <c r="Z2105">
        <v>1.6</v>
      </c>
      <c r="AA2105">
        <v>9.0530509999999995E-3</v>
      </c>
      <c r="AB2105">
        <v>23.2</v>
      </c>
      <c r="AC2105">
        <v>11.86422222</v>
      </c>
      <c r="AD2105">
        <v>20</v>
      </c>
      <c r="AE2105" s="7"/>
      <c r="AF2105" s="7"/>
      <c r="AG2105" s="7"/>
      <c r="AH2105" s="7"/>
      <c r="AI2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0.13577777999999974</v>
      </c>
      <c r="AJ2105" s="7"/>
      <c r="AK2105" t="s">
        <v>214</v>
      </c>
      <c r="AN2105">
        <f>IFERROR(INT(Table13[[#This Row],[reject_prod]]/Table13[[#This Row],[part_weight]] * 1000), 0)</f>
        <v>66</v>
      </c>
    </row>
    <row r="2106" spans="1:40">
      <c r="A2106" s="1">
        <v>46085</v>
      </c>
      <c r="B2106">
        <v>1</v>
      </c>
      <c r="C2106">
        <v>7</v>
      </c>
      <c r="D2106" t="s">
        <v>141</v>
      </c>
      <c r="E2106" t="s">
        <v>34</v>
      </c>
      <c r="F2106">
        <v>647556</v>
      </c>
      <c r="G2106" s="6">
        <v>0</v>
      </c>
      <c r="H2106" t="s">
        <v>458</v>
      </c>
      <c r="I2106">
        <v>10688945</v>
      </c>
      <c r="J2106">
        <v>4</v>
      </c>
      <c r="K2106">
        <v>35</v>
      </c>
      <c r="L2106">
        <v>34.5</v>
      </c>
      <c r="M2106">
        <v>1898</v>
      </c>
      <c r="N2106" s="2">
        <v>27720</v>
      </c>
      <c r="O2106" s="2">
        <v>528</v>
      </c>
      <c r="P2106" s="2">
        <v>660</v>
      </c>
      <c r="Q2106" s="2">
        <v>7592</v>
      </c>
      <c r="R2106" s="2">
        <v>7392</v>
      </c>
      <c r="S2106">
        <v>255.024</v>
      </c>
      <c r="T2106" s="2">
        <v>24684</v>
      </c>
      <c r="U2106" s="2">
        <v>3036</v>
      </c>
      <c r="V2106">
        <v>261.92399999999998</v>
      </c>
      <c r="W2106">
        <v>0</v>
      </c>
      <c r="X2106">
        <v>0</v>
      </c>
      <c r="Y2106">
        <v>0</v>
      </c>
      <c r="Z2106">
        <v>2.2000000000000002</v>
      </c>
      <c r="AA2106">
        <v>8.3993829999999998E-3</v>
      </c>
      <c r="AB2106">
        <v>22.8</v>
      </c>
      <c r="AC2106">
        <v>12</v>
      </c>
      <c r="AD2106">
        <v>20.399999999999999</v>
      </c>
      <c r="AE2106" s="7"/>
      <c r="AF2106" s="7"/>
      <c r="AG2106" s="7"/>
      <c r="AH2106" s="7"/>
      <c r="AI2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6" s="7"/>
      <c r="AK2106" t="s">
        <v>1077</v>
      </c>
      <c r="AL2106">
        <v>3</v>
      </c>
      <c r="AM2106">
        <v>1</v>
      </c>
      <c r="AN2106">
        <f>IFERROR(INT(Table13[[#This Row],[reject_prod]]/Table13[[#This Row],[part_weight]] * 1000), 0)</f>
        <v>63</v>
      </c>
    </row>
    <row r="2107" spans="1:40">
      <c r="A2107" s="1">
        <v>46085</v>
      </c>
      <c r="B2107">
        <v>1</v>
      </c>
      <c r="C2107">
        <v>8</v>
      </c>
      <c r="F2107">
        <v>123456</v>
      </c>
      <c r="G2107" s="6">
        <v>0</v>
      </c>
      <c r="M2107">
        <v>0</v>
      </c>
      <c r="N2107" s="2">
        <v>0</v>
      </c>
      <c r="O2107" s="2">
        <v>0</v>
      </c>
      <c r="P2107" s="2">
        <v>0</v>
      </c>
      <c r="Q2107" s="2"/>
      <c r="R2107" s="2">
        <v>0</v>
      </c>
      <c r="T2107" s="2">
        <v>0</v>
      </c>
      <c r="U2107" s="2"/>
      <c r="X2107">
        <v>0</v>
      </c>
      <c r="Z2107">
        <v>0</v>
      </c>
      <c r="AB2107">
        <v>0</v>
      </c>
      <c r="AC2107">
        <v>0</v>
      </c>
      <c r="AD2107">
        <v>0</v>
      </c>
      <c r="AE2107" s="7"/>
      <c r="AF2107" s="7"/>
      <c r="AG2107" s="7"/>
      <c r="AH2107" s="7"/>
      <c r="AI2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7" s="7">
        <v>12</v>
      </c>
      <c r="AK2107" t="s">
        <v>116</v>
      </c>
      <c r="AN2107">
        <f>IFERROR(INT(Table13[[#This Row],[reject_prod]]/Table13[[#This Row],[part_weight]] * 1000), 0)</f>
        <v>0</v>
      </c>
    </row>
    <row r="2108" spans="1:40">
      <c r="A2108" s="1">
        <v>46085</v>
      </c>
      <c r="B2108">
        <v>1</v>
      </c>
      <c r="C2108">
        <v>9</v>
      </c>
      <c r="D2108" t="s">
        <v>65</v>
      </c>
      <c r="E2108" t="s">
        <v>46</v>
      </c>
      <c r="F2108">
        <v>586276</v>
      </c>
      <c r="G2108" s="6">
        <v>1</v>
      </c>
      <c r="H2108" t="s">
        <v>47</v>
      </c>
      <c r="I2108">
        <v>10686685</v>
      </c>
      <c r="J2108">
        <v>6</v>
      </c>
      <c r="K2108">
        <v>12.3</v>
      </c>
      <c r="L2108">
        <v>12.3</v>
      </c>
      <c r="M2108">
        <v>1581</v>
      </c>
      <c r="N2108" s="2">
        <v>162000</v>
      </c>
      <c r="O2108" s="2">
        <v>2025</v>
      </c>
      <c r="P2108" s="2">
        <v>3240</v>
      </c>
      <c r="Q2108" s="2">
        <v>9486</v>
      </c>
      <c r="R2108" s="2">
        <v>8100</v>
      </c>
      <c r="S2108">
        <v>99.63</v>
      </c>
      <c r="T2108" s="2">
        <v>68040</v>
      </c>
      <c r="U2108" s="2">
        <v>93960</v>
      </c>
      <c r="V2108">
        <v>116.6778</v>
      </c>
      <c r="W2108">
        <v>0</v>
      </c>
      <c r="X2108">
        <v>0</v>
      </c>
      <c r="Y2108">
        <v>0</v>
      </c>
      <c r="Z2108">
        <v>2</v>
      </c>
      <c r="AA2108">
        <v>1.7141221000000002E-2</v>
      </c>
      <c r="AB2108">
        <v>26.5</v>
      </c>
      <c r="AC2108">
        <v>11.637916669999999</v>
      </c>
      <c r="AD2108">
        <v>26</v>
      </c>
      <c r="AE2108" s="7"/>
      <c r="AF2108" s="7"/>
      <c r="AG2108" s="7"/>
      <c r="AH2108" s="7"/>
      <c r="AI2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0.36208333000000081</v>
      </c>
      <c r="AJ2108" s="7"/>
      <c r="AK2108" t="s">
        <v>51</v>
      </c>
      <c r="AN2108">
        <f>IFERROR(INT(Table13[[#This Row],[reject_prod]]/Table13[[#This Row],[part_weight]] * 1000), 0)</f>
        <v>162</v>
      </c>
    </row>
    <row r="2109" spans="1:40">
      <c r="A2109" s="1">
        <v>46085</v>
      </c>
      <c r="B2109">
        <v>1</v>
      </c>
      <c r="C2109">
        <v>10</v>
      </c>
      <c r="D2109" t="s">
        <v>33</v>
      </c>
      <c r="E2109" t="s">
        <v>34</v>
      </c>
      <c r="F2109">
        <v>323133</v>
      </c>
      <c r="G2109" s="6">
        <v>0</v>
      </c>
      <c r="H2109" t="s">
        <v>568</v>
      </c>
      <c r="I2109">
        <v>10688500</v>
      </c>
      <c r="J2109">
        <v>4</v>
      </c>
      <c r="K2109">
        <v>57</v>
      </c>
      <c r="L2109">
        <v>77</v>
      </c>
      <c r="M2109">
        <v>52</v>
      </c>
      <c r="N2109" s="2">
        <v>13248</v>
      </c>
      <c r="O2109" s="2">
        <v>69</v>
      </c>
      <c r="P2109" s="2">
        <v>0</v>
      </c>
      <c r="Q2109" s="2">
        <v>208</v>
      </c>
      <c r="R2109" s="2">
        <v>276</v>
      </c>
      <c r="S2109">
        <v>21.251999999999999</v>
      </c>
      <c r="T2109" s="2">
        <v>13248</v>
      </c>
      <c r="U2109" s="2">
        <v>0</v>
      </c>
      <c r="V2109">
        <v>16.015999999999998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38.700000000000003</v>
      </c>
      <c r="AC2109">
        <v>0.55900000000000005</v>
      </c>
      <c r="AD2109">
        <v>35</v>
      </c>
      <c r="AE2109" s="7"/>
      <c r="AF2109" s="7"/>
      <c r="AG2109" s="7"/>
      <c r="AH2109" s="7"/>
      <c r="AI2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11.441000000000001</v>
      </c>
      <c r="AJ2109" s="7"/>
      <c r="AK2109" t="s">
        <v>102</v>
      </c>
      <c r="AL2109">
        <v>12</v>
      </c>
      <c r="AM2109">
        <v>3</v>
      </c>
      <c r="AN2109">
        <f>IFERROR(INT(Table13[[#This Row],[reject_prod]]/Table13[[#This Row],[part_weight]] * 1000), 0)</f>
        <v>0</v>
      </c>
    </row>
    <row r="2110" spans="1:40">
      <c r="A2110" s="1">
        <v>46085</v>
      </c>
      <c r="B2110">
        <v>1</v>
      </c>
      <c r="C2110">
        <v>10</v>
      </c>
      <c r="D2110" t="s">
        <v>33</v>
      </c>
      <c r="E2110" t="s">
        <v>34</v>
      </c>
      <c r="F2110">
        <v>414439</v>
      </c>
      <c r="G2110" s="6">
        <v>0</v>
      </c>
      <c r="H2110" t="s">
        <v>587</v>
      </c>
      <c r="I2110">
        <v>10688521</v>
      </c>
      <c r="J2110">
        <v>6</v>
      </c>
      <c r="K2110">
        <v>57</v>
      </c>
      <c r="L2110">
        <v>15</v>
      </c>
      <c r="M2110">
        <v>0</v>
      </c>
      <c r="N2110" s="2">
        <v>206976</v>
      </c>
      <c r="O2110" s="2">
        <v>0</v>
      </c>
      <c r="P2110" s="2">
        <v>0</v>
      </c>
      <c r="Q2110" s="2">
        <v>0</v>
      </c>
      <c r="R2110" s="2">
        <v>0</v>
      </c>
      <c r="S2110">
        <v>0</v>
      </c>
      <c r="T2110" s="2">
        <v>0</v>
      </c>
      <c r="U2110" s="2">
        <v>206976</v>
      </c>
      <c r="V2110">
        <v>0</v>
      </c>
      <c r="W2110">
        <v>0</v>
      </c>
      <c r="X2110">
        <v>0</v>
      </c>
      <c r="Y2110" t="e">
        <v>#DIV/0!</v>
      </c>
      <c r="Z2110">
        <v>0</v>
      </c>
      <c r="AA2110" t="e">
        <v>#DIV/0!</v>
      </c>
      <c r="AB2110">
        <v>15</v>
      </c>
      <c r="AC2110">
        <v>0</v>
      </c>
      <c r="AD2110">
        <v>15</v>
      </c>
      <c r="AE2110" s="7">
        <v>5.5</v>
      </c>
      <c r="AF2110" s="7"/>
      <c r="AG2110" s="7"/>
      <c r="AH2110" s="7"/>
      <c r="AI2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110" s="7"/>
      <c r="AK2110" t="s">
        <v>588</v>
      </c>
      <c r="AN2110">
        <f>IFERROR(INT(Table13[[#This Row],[reject_prod]]/Table13[[#This Row],[part_weight]] * 1000), 0)</f>
        <v>0</v>
      </c>
    </row>
    <row r="2111" spans="1:40">
      <c r="A2111" s="1">
        <v>46085</v>
      </c>
      <c r="B2111">
        <v>1</v>
      </c>
      <c r="C2111">
        <v>11</v>
      </c>
      <c r="D2111" t="s">
        <v>61</v>
      </c>
      <c r="E2111" t="s">
        <v>46</v>
      </c>
      <c r="F2111">
        <v>552181</v>
      </c>
      <c r="G2111" s="6">
        <v>1</v>
      </c>
      <c r="H2111" t="s">
        <v>49</v>
      </c>
      <c r="I2111">
        <v>10688069</v>
      </c>
      <c r="J2111">
        <v>6</v>
      </c>
      <c r="K2111">
        <v>14.7</v>
      </c>
      <c r="L2111">
        <v>14.7</v>
      </c>
      <c r="M2111">
        <v>820</v>
      </c>
      <c r="N2111" s="2">
        <v>108000</v>
      </c>
      <c r="O2111" s="2">
        <v>12420</v>
      </c>
      <c r="P2111" s="2">
        <v>11070</v>
      </c>
      <c r="Q2111" s="2">
        <v>4920</v>
      </c>
      <c r="R2111" s="2">
        <v>5400</v>
      </c>
      <c r="S2111">
        <v>79.38</v>
      </c>
      <c r="T2111" s="2">
        <v>59670</v>
      </c>
      <c r="U2111" s="2">
        <v>48330</v>
      </c>
      <c r="V2111">
        <v>72.323999999999998</v>
      </c>
      <c r="W2111">
        <v>0</v>
      </c>
      <c r="X2111">
        <v>0</v>
      </c>
      <c r="Y2111">
        <v>0</v>
      </c>
      <c r="Z2111">
        <v>16.5</v>
      </c>
      <c r="AA2111">
        <v>0.22814003699999999</v>
      </c>
      <c r="AB2111">
        <v>28.46</v>
      </c>
      <c r="AC2111">
        <v>6.4825555560000003</v>
      </c>
      <c r="AD2111">
        <v>27</v>
      </c>
      <c r="AE2111" s="7"/>
      <c r="AF2111" s="7"/>
      <c r="AG2111" s="7"/>
      <c r="AH2111" s="7"/>
      <c r="AI2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5.5174444439999997</v>
      </c>
      <c r="AJ2111" s="7"/>
      <c r="AK2111" t="s">
        <v>1094</v>
      </c>
      <c r="AN2111">
        <f>IFERROR(INT(Table13[[#This Row],[reject_prod]]/Table13[[#This Row],[part_weight]] * 1000), 0)</f>
        <v>1122</v>
      </c>
    </row>
    <row r="2112" spans="1:40">
      <c r="A2112" s="1">
        <v>46085</v>
      </c>
      <c r="B2112">
        <v>1</v>
      </c>
      <c r="C2112">
        <v>12</v>
      </c>
      <c r="D2112" t="s">
        <v>112</v>
      </c>
      <c r="E2112" t="s">
        <v>34</v>
      </c>
      <c r="F2112">
        <v>620599</v>
      </c>
      <c r="G2112" s="6">
        <v>0</v>
      </c>
      <c r="H2112" t="s">
        <v>50</v>
      </c>
      <c r="I2112">
        <v>10688071</v>
      </c>
      <c r="J2112">
        <v>4</v>
      </c>
      <c r="K2112">
        <v>55</v>
      </c>
      <c r="L2112">
        <v>55</v>
      </c>
      <c r="M2112">
        <v>1474</v>
      </c>
      <c r="N2112" s="2">
        <v>72000</v>
      </c>
      <c r="O2112" s="2">
        <v>450</v>
      </c>
      <c r="P2112" s="2">
        <v>900</v>
      </c>
      <c r="Q2112" s="2">
        <v>5896</v>
      </c>
      <c r="R2112" s="2">
        <v>5400</v>
      </c>
      <c r="S2112">
        <v>297</v>
      </c>
      <c r="T2112" s="2">
        <v>45000</v>
      </c>
      <c r="U2112" s="2">
        <v>27000</v>
      </c>
      <c r="V2112">
        <v>324.27999999999997</v>
      </c>
      <c r="W2112">
        <v>0</v>
      </c>
      <c r="X2112">
        <v>0</v>
      </c>
      <c r="Y2112">
        <v>0</v>
      </c>
      <c r="Z2112">
        <v>2.5</v>
      </c>
      <c r="AA2112">
        <v>7.7093869999999998E-3</v>
      </c>
      <c r="AB2112">
        <v>28.8</v>
      </c>
      <c r="AC2112">
        <v>11.792</v>
      </c>
      <c r="AD2112">
        <v>28</v>
      </c>
      <c r="AE2112" s="7"/>
      <c r="AF2112" s="7"/>
      <c r="AG2112" s="7"/>
      <c r="AH2112" s="7"/>
      <c r="AI2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2112" s="7"/>
      <c r="AK2112" t="s">
        <v>178</v>
      </c>
      <c r="AN2112">
        <f>IFERROR(INT(Table13[[#This Row],[reject_prod]]/Table13[[#This Row],[part_weight]] * 1000), 0)</f>
        <v>45</v>
      </c>
    </row>
    <row r="2113" spans="1:40">
      <c r="A2113" s="1">
        <v>46085</v>
      </c>
      <c r="B2113">
        <v>1</v>
      </c>
      <c r="C2113">
        <v>13</v>
      </c>
      <c r="D2113" t="s">
        <v>61</v>
      </c>
      <c r="E2113" t="s">
        <v>46</v>
      </c>
      <c r="F2113">
        <v>586276</v>
      </c>
      <c r="G2113" s="6">
        <v>2</v>
      </c>
      <c r="H2113" t="s">
        <v>47</v>
      </c>
      <c r="I2113">
        <v>10688946</v>
      </c>
      <c r="J2113">
        <v>6</v>
      </c>
      <c r="K2113">
        <v>12.3</v>
      </c>
      <c r="L2113">
        <v>12.3</v>
      </c>
      <c r="M2113">
        <v>1634</v>
      </c>
      <c r="N2113" s="2">
        <v>162000</v>
      </c>
      <c r="O2113" s="2">
        <v>5670</v>
      </c>
      <c r="P2113" s="2">
        <v>7290</v>
      </c>
      <c r="Q2113" s="2">
        <v>9804</v>
      </c>
      <c r="R2113" s="2">
        <v>8100</v>
      </c>
      <c r="S2113">
        <v>99.63</v>
      </c>
      <c r="T2113" s="2">
        <v>23490</v>
      </c>
      <c r="U2113" s="2">
        <v>138510</v>
      </c>
      <c r="V2113">
        <v>120.58920000000001</v>
      </c>
      <c r="W2113">
        <v>0</v>
      </c>
      <c r="X2113">
        <v>0</v>
      </c>
      <c r="Y2113">
        <v>0</v>
      </c>
      <c r="Z2113">
        <v>1</v>
      </c>
      <c r="AA2113">
        <v>8.2926170000000004E-3</v>
      </c>
      <c r="AB2113">
        <v>26.2</v>
      </c>
      <c r="AC2113">
        <v>11.891888890000001</v>
      </c>
      <c r="AD2113">
        <v>26</v>
      </c>
      <c r="AE2113" s="7"/>
      <c r="AF2113" s="7"/>
      <c r="AG2113" s="7"/>
      <c r="AH2113" s="7"/>
      <c r="AI2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0.1081111099999994</v>
      </c>
      <c r="AJ2113" s="7"/>
      <c r="AK2113" t="s">
        <v>51</v>
      </c>
      <c r="AN2113">
        <f>IFERROR(INT(Table13[[#This Row],[reject_prod]]/Table13[[#This Row],[part_weight]] * 1000), 0)</f>
        <v>81</v>
      </c>
    </row>
    <row r="2114" spans="1:40">
      <c r="A2114" s="1">
        <v>46085</v>
      </c>
      <c r="B2114">
        <v>1</v>
      </c>
      <c r="C2114">
        <v>14</v>
      </c>
      <c r="D2114" t="s">
        <v>40</v>
      </c>
      <c r="E2114" t="s">
        <v>34</v>
      </c>
      <c r="F2114">
        <v>541381</v>
      </c>
      <c r="G2114" s="6">
        <v>0</v>
      </c>
      <c r="H2114" t="s">
        <v>804</v>
      </c>
      <c r="I2114">
        <v>10688072</v>
      </c>
      <c r="J2114">
        <v>4</v>
      </c>
      <c r="K2114">
        <v>55</v>
      </c>
      <c r="L2114">
        <v>55</v>
      </c>
      <c r="M2114">
        <v>1560</v>
      </c>
      <c r="N2114" s="2">
        <v>84000</v>
      </c>
      <c r="O2114" s="2">
        <v>0</v>
      </c>
      <c r="P2114" s="2">
        <v>350</v>
      </c>
      <c r="Q2114" s="2">
        <v>6240</v>
      </c>
      <c r="R2114" s="2">
        <v>5600</v>
      </c>
      <c r="S2114">
        <v>308</v>
      </c>
      <c r="T2114" s="2">
        <v>78750</v>
      </c>
      <c r="U2114" s="2">
        <v>5250</v>
      </c>
      <c r="V2114">
        <v>343.2</v>
      </c>
      <c r="W2114">
        <v>0</v>
      </c>
      <c r="X2114">
        <v>0</v>
      </c>
      <c r="Y2114">
        <v>0</v>
      </c>
      <c r="Z2114">
        <v>16</v>
      </c>
      <c r="AA2114">
        <v>4.6620046999999998E-2</v>
      </c>
      <c r="AB2114">
        <v>27.3</v>
      </c>
      <c r="AC2114">
        <v>11.83</v>
      </c>
      <c r="AD2114">
        <v>30.08</v>
      </c>
      <c r="AE2114" s="7"/>
      <c r="AF2114" s="7"/>
      <c r="AG2114" s="7"/>
      <c r="AH2114" s="7"/>
      <c r="AI2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2114" s="7"/>
      <c r="AK2114" t="s">
        <v>608</v>
      </c>
      <c r="AL2114">
        <v>8</v>
      </c>
      <c r="AM2114">
        <v>1</v>
      </c>
      <c r="AN2114">
        <f>IFERROR(INT(Table13[[#This Row],[reject_prod]]/Table13[[#This Row],[part_weight]] * 1000), 0)</f>
        <v>290</v>
      </c>
    </row>
    <row r="2115" spans="1:40">
      <c r="A2115" s="1">
        <v>46085</v>
      </c>
      <c r="B2115">
        <v>1</v>
      </c>
      <c r="C2115">
        <v>15</v>
      </c>
      <c r="D2115" t="s">
        <v>61</v>
      </c>
      <c r="E2115" t="s">
        <v>46</v>
      </c>
      <c r="F2115">
        <v>552181</v>
      </c>
      <c r="G2115" s="6">
        <v>2</v>
      </c>
      <c r="H2115" t="s">
        <v>49</v>
      </c>
      <c r="I2115">
        <v>10686679</v>
      </c>
      <c r="J2115">
        <v>6</v>
      </c>
      <c r="K2115">
        <v>14.7</v>
      </c>
      <c r="L2115">
        <v>14.7</v>
      </c>
      <c r="M2115">
        <v>770</v>
      </c>
      <c r="N2115" s="2">
        <v>108000</v>
      </c>
      <c r="O2115" s="2">
        <v>810</v>
      </c>
      <c r="P2115" s="2">
        <v>0</v>
      </c>
      <c r="Q2115" s="2">
        <v>4620</v>
      </c>
      <c r="R2115" s="2">
        <v>5400</v>
      </c>
      <c r="S2115">
        <v>79.38</v>
      </c>
      <c r="T2115" s="2">
        <v>108000</v>
      </c>
      <c r="U2115" s="2">
        <v>0</v>
      </c>
      <c r="V2115">
        <v>67.914000000000001</v>
      </c>
      <c r="W2115">
        <v>0</v>
      </c>
      <c r="X2115">
        <v>0</v>
      </c>
      <c r="Y2115">
        <v>0</v>
      </c>
      <c r="Z2115">
        <v>0.5</v>
      </c>
      <c r="AA2115">
        <v>7.3622519999999997E-3</v>
      </c>
      <c r="AB2115">
        <v>30.6</v>
      </c>
      <c r="AC2115">
        <v>6.5449999999999999</v>
      </c>
      <c r="AD2115">
        <v>27</v>
      </c>
      <c r="AE2115" s="7"/>
      <c r="AF2115" s="7"/>
      <c r="AG2115" s="7"/>
      <c r="AH2115" s="7"/>
      <c r="AI2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5.4550000000000001</v>
      </c>
      <c r="AJ2115" s="7"/>
      <c r="AK2115" t="s">
        <v>370</v>
      </c>
      <c r="AN2115">
        <f>IFERROR(INT(Table13[[#This Row],[reject_prod]]/Table13[[#This Row],[part_weight]] * 1000), 0)</f>
        <v>34</v>
      </c>
    </row>
    <row r="2116" spans="1:40">
      <c r="A2116" s="1">
        <v>46085</v>
      </c>
      <c r="B2116">
        <v>1</v>
      </c>
      <c r="C2116">
        <v>15</v>
      </c>
      <c r="D2116" t="s">
        <v>61</v>
      </c>
      <c r="E2116" t="s">
        <v>46</v>
      </c>
      <c r="F2116">
        <v>552181</v>
      </c>
      <c r="G2116" s="6">
        <v>2</v>
      </c>
      <c r="H2116" t="s">
        <v>49</v>
      </c>
      <c r="I2116">
        <v>10686680</v>
      </c>
      <c r="J2116">
        <v>6</v>
      </c>
      <c r="K2116">
        <v>14.7</v>
      </c>
      <c r="L2116">
        <v>14.7</v>
      </c>
      <c r="M2116">
        <v>630</v>
      </c>
      <c r="N2116" s="2">
        <v>108000</v>
      </c>
      <c r="O2116" s="2">
        <v>0</v>
      </c>
      <c r="P2116" s="2">
        <v>3780</v>
      </c>
      <c r="Q2116" s="2">
        <v>3780</v>
      </c>
      <c r="R2116" s="2">
        <v>0</v>
      </c>
      <c r="S2116">
        <v>0</v>
      </c>
      <c r="T2116" s="2">
        <v>3780</v>
      </c>
      <c r="U2116" s="2">
        <v>104220</v>
      </c>
      <c r="V2116">
        <v>55.566000000000003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30.6</v>
      </c>
      <c r="AC2116">
        <v>5.3550000000000004</v>
      </c>
      <c r="AD2116">
        <v>27</v>
      </c>
      <c r="AE2116" s="7"/>
      <c r="AF2116" s="7"/>
      <c r="AG2116" s="7"/>
      <c r="AH2116" s="7"/>
      <c r="AI2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6.6449999999999996</v>
      </c>
      <c r="AJ2116" s="7"/>
      <c r="AK2116" t="s">
        <v>370</v>
      </c>
      <c r="AN2116">
        <f>IFERROR(INT(Table13[[#This Row],[reject_prod]]/Table13[[#This Row],[part_weight]] * 1000), 0)</f>
        <v>0</v>
      </c>
    </row>
    <row r="2117" spans="1:40">
      <c r="A2117" s="1">
        <v>46085</v>
      </c>
      <c r="B2117">
        <v>1</v>
      </c>
      <c r="C2117">
        <v>16</v>
      </c>
      <c r="D2117" t="s">
        <v>1078</v>
      </c>
      <c r="E2117" t="s">
        <v>46</v>
      </c>
      <c r="F2117">
        <v>555979</v>
      </c>
      <c r="G2117" s="6">
        <v>2</v>
      </c>
      <c r="H2117" t="s">
        <v>52</v>
      </c>
      <c r="I2117">
        <v>10686701</v>
      </c>
      <c r="J2117">
        <v>6</v>
      </c>
      <c r="K2117">
        <v>28</v>
      </c>
      <c r="L2117">
        <v>28</v>
      </c>
      <c r="M2117">
        <v>1062</v>
      </c>
      <c r="N2117" s="2">
        <v>100800</v>
      </c>
      <c r="O2117" s="2">
        <v>3024</v>
      </c>
      <c r="P2117" s="2">
        <v>2352</v>
      </c>
      <c r="Q2117" s="2">
        <v>6372</v>
      </c>
      <c r="R2117" s="2">
        <v>6720</v>
      </c>
      <c r="S2117">
        <v>188.16</v>
      </c>
      <c r="T2117" s="2">
        <v>62832</v>
      </c>
      <c r="U2117" s="2">
        <v>37968</v>
      </c>
      <c r="V2117">
        <v>178.416</v>
      </c>
      <c r="W2117">
        <v>0</v>
      </c>
      <c r="X2117">
        <v>0</v>
      </c>
      <c r="Y2117">
        <v>0</v>
      </c>
      <c r="Z2117">
        <v>9.1</v>
      </c>
      <c r="AA2117">
        <v>5.1004394000000002E-2</v>
      </c>
      <c r="AB2117">
        <v>40.5</v>
      </c>
      <c r="AC2117">
        <v>11.9475</v>
      </c>
      <c r="AD2117">
        <v>42</v>
      </c>
      <c r="AE2117" s="7"/>
      <c r="AF2117" s="7"/>
      <c r="AG2117" s="7"/>
      <c r="AH2117" s="7"/>
      <c r="AI2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5.2500000000000213E-2</v>
      </c>
      <c r="AJ2117" s="7"/>
      <c r="AK2117" t="s">
        <v>1095</v>
      </c>
      <c r="AN2117">
        <f>IFERROR(INT(Table13[[#This Row],[reject_prod]]/Table13[[#This Row],[part_weight]] * 1000), 0)</f>
        <v>325</v>
      </c>
    </row>
    <row r="2118" spans="1:40">
      <c r="A2118" s="1">
        <v>46085</v>
      </c>
      <c r="B2118">
        <v>2</v>
      </c>
      <c r="C2118">
        <v>1</v>
      </c>
      <c r="D2118" t="s">
        <v>53</v>
      </c>
      <c r="E2118" t="s">
        <v>34</v>
      </c>
      <c r="F2118">
        <v>529004</v>
      </c>
      <c r="G2118" s="6">
        <v>0</v>
      </c>
      <c r="H2118" t="s">
        <v>723</v>
      </c>
      <c r="I2118">
        <v>10688944</v>
      </c>
      <c r="J2118">
        <v>4</v>
      </c>
      <c r="K2118">
        <v>31</v>
      </c>
      <c r="L2118">
        <v>31</v>
      </c>
      <c r="M2118">
        <v>1380</v>
      </c>
      <c r="N2118" s="2">
        <v>20400</v>
      </c>
      <c r="O2118" s="2">
        <v>720</v>
      </c>
      <c r="P2118" s="2">
        <v>240</v>
      </c>
      <c r="Q2118" s="2">
        <v>5520</v>
      </c>
      <c r="R2118" s="2">
        <v>6000</v>
      </c>
      <c r="S2118">
        <v>186</v>
      </c>
      <c r="T2118" s="2">
        <v>7440</v>
      </c>
      <c r="U2118" s="2">
        <v>12960</v>
      </c>
      <c r="V2118">
        <v>171.12</v>
      </c>
      <c r="W2118">
        <v>0</v>
      </c>
      <c r="X2118">
        <v>0</v>
      </c>
      <c r="Y2118">
        <v>0</v>
      </c>
      <c r="Z2118">
        <v>1.5</v>
      </c>
      <c r="AA2118">
        <v>8.7657780000000001E-3</v>
      </c>
      <c r="AB2118">
        <v>30.5</v>
      </c>
      <c r="AC2118">
        <v>11.69166667</v>
      </c>
      <c r="AD2118">
        <v>29</v>
      </c>
      <c r="AE2118" s="7"/>
      <c r="AF2118" s="7"/>
      <c r="AG2118" s="7"/>
      <c r="AH2118" s="7"/>
      <c r="AI2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118" s="7"/>
      <c r="AK2118" t="s">
        <v>51</v>
      </c>
      <c r="AN2118">
        <f>IFERROR(INT(Table13[[#This Row],[reject_prod]]/Table13[[#This Row],[part_weight]] * 1000), 0)</f>
        <v>48</v>
      </c>
    </row>
    <row r="2119" spans="1:40">
      <c r="A2119" s="1">
        <v>46085</v>
      </c>
      <c r="B2119">
        <v>2</v>
      </c>
      <c r="C2119">
        <v>2</v>
      </c>
      <c r="D2119" t="s">
        <v>33</v>
      </c>
      <c r="E2119" t="s">
        <v>34</v>
      </c>
      <c r="F2119">
        <v>423215</v>
      </c>
      <c r="G2119" s="6">
        <v>0</v>
      </c>
      <c r="H2119" t="s">
        <v>156</v>
      </c>
      <c r="I2119">
        <v>10688491</v>
      </c>
      <c r="J2119">
        <v>4</v>
      </c>
      <c r="K2119">
        <v>24</v>
      </c>
      <c r="L2119">
        <v>24</v>
      </c>
      <c r="M2119">
        <v>0</v>
      </c>
      <c r="N2119" s="2">
        <v>9870</v>
      </c>
      <c r="O2119" s="2">
        <v>0</v>
      </c>
      <c r="P2119" s="2">
        <v>0</v>
      </c>
      <c r="Q2119" s="2">
        <v>0</v>
      </c>
      <c r="R2119" s="2">
        <v>0</v>
      </c>
      <c r="S2119">
        <v>0</v>
      </c>
      <c r="T2119" s="2">
        <v>0</v>
      </c>
      <c r="U2119" s="2">
        <v>9870</v>
      </c>
      <c r="V2119">
        <v>0</v>
      </c>
      <c r="W2119">
        <v>0</v>
      </c>
      <c r="X2119">
        <v>0</v>
      </c>
      <c r="Y2119" t="e">
        <v>#DIV/0!</v>
      </c>
      <c r="Z2119">
        <v>0</v>
      </c>
      <c r="AA2119" t="e">
        <v>#DIV/0!</v>
      </c>
      <c r="AB2119">
        <v>19.7</v>
      </c>
      <c r="AC2119">
        <v>0</v>
      </c>
      <c r="AD2119">
        <v>22</v>
      </c>
      <c r="AE2119" s="7"/>
      <c r="AF2119" s="7"/>
      <c r="AG2119" s="7"/>
      <c r="AH2119" s="7">
        <v>12</v>
      </c>
      <c r="AI2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19" s="7"/>
      <c r="AK2119" t="s">
        <v>1073</v>
      </c>
      <c r="AN2119">
        <f>IFERROR(INT(Table13[[#This Row],[reject_prod]]/Table13[[#This Row],[part_weight]] * 1000), 0)</f>
        <v>0</v>
      </c>
    </row>
    <row r="2120" spans="1:40">
      <c r="A2120" s="1">
        <v>46085</v>
      </c>
      <c r="B2120">
        <v>2</v>
      </c>
      <c r="C2120">
        <v>3</v>
      </c>
      <c r="D2120" t="s">
        <v>54</v>
      </c>
      <c r="E2120" t="s">
        <v>34</v>
      </c>
      <c r="F2120">
        <v>442034</v>
      </c>
      <c r="G2120" s="6">
        <v>0</v>
      </c>
      <c r="H2120" t="s">
        <v>37</v>
      </c>
      <c r="I2120">
        <v>10685634</v>
      </c>
      <c r="J2120">
        <v>4</v>
      </c>
      <c r="K2120">
        <v>23</v>
      </c>
      <c r="L2120">
        <v>23</v>
      </c>
      <c r="M2120">
        <v>862</v>
      </c>
      <c r="N2120" s="2">
        <v>139776</v>
      </c>
      <c r="O2120" s="2">
        <v>2688</v>
      </c>
      <c r="P2120" s="2">
        <v>0</v>
      </c>
      <c r="Q2120" s="2">
        <v>3448</v>
      </c>
      <c r="R2120" s="2">
        <v>6144</v>
      </c>
      <c r="S2120">
        <v>141.31200000000001</v>
      </c>
      <c r="T2120" s="2">
        <v>139776</v>
      </c>
      <c r="U2120" s="2">
        <v>0</v>
      </c>
      <c r="V2120">
        <v>79.304000000000002</v>
      </c>
      <c r="W2120">
        <v>0</v>
      </c>
      <c r="X2120">
        <v>0</v>
      </c>
      <c r="Y2120">
        <v>0</v>
      </c>
      <c r="Z2120">
        <v>1.5</v>
      </c>
      <c r="AA2120">
        <v>1.8914556999999999E-2</v>
      </c>
      <c r="AB2120">
        <v>28.5</v>
      </c>
      <c r="AC2120">
        <v>6.8241666670000001</v>
      </c>
      <c r="AD2120">
        <v>22</v>
      </c>
      <c r="AE2120" s="7"/>
      <c r="AF2120" s="7"/>
      <c r="AG2120" s="7"/>
      <c r="AH2120" s="7"/>
      <c r="AI21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5.1758333329999999</v>
      </c>
      <c r="AJ2120" s="7"/>
      <c r="AK2120" t="s">
        <v>102</v>
      </c>
      <c r="AN2120">
        <f>IFERROR(INT(Table13[[#This Row],[reject_prod]]/Table13[[#This Row],[part_weight]] * 1000), 0)</f>
        <v>65</v>
      </c>
    </row>
    <row r="2121" spans="1:40">
      <c r="A2121" s="1">
        <v>46085</v>
      </c>
      <c r="B2121">
        <v>2</v>
      </c>
      <c r="C2121">
        <v>3</v>
      </c>
      <c r="D2121" t="s">
        <v>54</v>
      </c>
      <c r="E2121" t="s">
        <v>34</v>
      </c>
      <c r="F2121">
        <v>442034</v>
      </c>
      <c r="G2121" s="6">
        <v>0</v>
      </c>
      <c r="H2121" t="s">
        <v>37</v>
      </c>
      <c r="I2121">
        <v>10685635</v>
      </c>
      <c r="J2121">
        <v>4</v>
      </c>
      <c r="K2121">
        <v>23</v>
      </c>
      <c r="L2121">
        <v>23</v>
      </c>
      <c r="M2121">
        <v>672</v>
      </c>
      <c r="N2121" s="2">
        <v>139776</v>
      </c>
      <c r="O2121" s="2">
        <v>0</v>
      </c>
      <c r="P2121" s="2">
        <v>2688</v>
      </c>
      <c r="Q2121" s="2">
        <v>2688</v>
      </c>
      <c r="R2121" s="2">
        <v>0</v>
      </c>
      <c r="S2121">
        <v>0</v>
      </c>
      <c r="T2121" s="2">
        <v>2688</v>
      </c>
      <c r="U2121" s="2">
        <v>137088</v>
      </c>
      <c r="V2121">
        <v>61.823999999999998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28.5</v>
      </c>
      <c r="AC2121">
        <v>5.32</v>
      </c>
      <c r="AD2121">
        <v>22</v>
      </c>
      <c r="AE2121" s="7"/>
      <c r="AF2121" s="7"/>
      <c r="AG2121" s="7"/>
      <c r="AH2121" s="7"/>
      <c r="AI2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6.68</v>
      </c>
      <c r="AJ2121" s="7"/>
      <c r="AK2121" t="s">
        <v>168</v>
      </c>
      <c r="AN2121">
        <f>IFERROR(INT(Table13[[#This Row],[reject_prod]]/Table13[[#This Row],[part_weight]] * 1000), 0)</f>
        <v>0</v>
      </c>
    </row>
    <row r="2122" spans="1:40">
      <c r="A2122" s="1">
        <v>46085</v>
      </c>
      <c r="B2122">
        <v>2</v>
      </c>
      <c r="C2122">
        <v>4</v>
      </c>
      <c r="D2122" t="s">
        <v>58</v>
      </c>
      <c r="E2122" t="s">
        <v>34</v>
      </c>
      <c r="F2122">
        <v>402305</v>
      </c>
      <c r="G2122" s="6">
        <v>0</v>
      </c>
      <c r="H2122" t="s">
        <v>395</v>
      </c>
      <c r="I2122">
        <v>10688065</v>
      </c>
      <c r="J2122">
        <v>4</v>
      </c>
      <c r="K2122">
        <v>29</v>
      </c>
      <c r="L2122">
        <v>29</v>
      </c>
      <c r="M2122">
        <v>1640</v>
      </c>
      <c r="N2122" s="2">
        <v>44928</v>
      </c>
      <c r="O2122" s="2">
        <v>312</v>
      </c>
      <c r="P2122" s="2">
        <v>624</v>
      </c>
      <c r="Q2122" s="2">
        <v>6560</v>
      </c>
      <c r="R2122" s="2">
        <v>6240</v>
      </c>
      <c r="S2122">
        <v>180.96</v>
      </c>
      <c r="T2122" s="2">
        <v>18096</v>
      </c>
      <c r="U2122" s="2">
        <v>26832</v>
      </c>
      <c r="V2122">
        <v>190.24</v>
      </c>
      <c r="W2122">
        <v>0</v>
      </c>
      <c r="X2122">
        <v>0</v>
      </c>
      <c r="Y2122">
        <v>0</v>
      </c>
      <c r="Z2122">
        <v>5.2</v>
      </c>
      <c r="AA2122">
        <v>2.7333894000000001E-2</v>
      </c>
      <c r="AB2122">
        <v>25.6</v>
      </c>
      <c r="AC2122">
        <v>11.66222222</v>
      </c>
      <c r="AD2122">
        <v>22</v>
      </c>
      <c r="AE2122" s="7"/>
      <c r="AF2122" s="7"/>
      <c r="AG2122" s="7"/>
      <c r="AH2122" s="7"/>
      <c r="AI2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0.33777777999999969</v>
      </c>
      <c r="AJ2122" s="7"/>
      <c r="AK2122" t="s">
        <v>75</v>
      </c>
      <c r="AN2122">
        <f>IFERROR(INT(Table13[[#This Row],[reject_prod]]/Table13[[#This Row],[part_weight]] * 1000), 0)</f>
        <v>179</v>
      </c>
    </row>
    <row r="2123" spans="1:40">
      <c r="A2123" s="1">
        <v>46085</v>
      </c>
      <c r="B2123">
        <v>2</v>
      </c>
      <c r="C2123">
        <v>5</v>
      </c>
      <c r="D2123" t="s">
        <v>1096</v>
      </c>
      <c r="E2123" t="s">
        <v>34</v>
      </c>
      <c r="F2123">
        <v>322448</v>
      </c>
      <c r="G2123" s="6">
        <v>0</v>
      </c>
      <c r="H2123" t="s">
        <v>654</v>
      </c>
      <c r="I2123">
        <v>10687753</v>
      </c>
      <c r="J2123">
        <v>4</v>
      </c>
      <c r="K2123">
        <v>40</v>
      </c>
      <c r="L2123">
        <v>40</v>
      </c>
      <c r="M2123">
        <v>1625</v>
      </c>
      <c r="N2123" s="2">
        <v>174960</v>
      </c>
      <c r="O2123" s="2">
        <v>162</v>
      </c>
      <c r="P2123" s="2">
        <v>162</v>
      </c>
      <c r="Q2123" s="2">
        <v>6500</v>
      </c>
      <c r="R2123" s="2">
        <v>6480</v>
      </c>
      <c r="S2123">
        <v>259.2</v>
      </c>
      <c r="T2123" s="2">
        <v>75492</v>
      </c>
      <c r="U2123" s="2">
        <v>99468</v>
      </c>
      <c r="V2123">
        <v>260</v>
      </c>
      <c r="W2123">
        <v>0</v>
      </c>
      <c r="X2123">
        <v>0</v>
      </c>
      <c r="Y2123">
        <v>0</v>
      </c>
      <c r="Z2123">
        <v>3.7</v>
      </c>
      <c r="AA2123">
        <v>1.4230769000000001E-2</v>
      </c>
      <c r="AB2123">
        <v>26.1</v>
      </c>
      <c r="AC2123">
        <v>11.78125</v>
      </c>
      <c r="AD2123">
        <v>23</v>
      </c>
      <c r="AE2123" s="7"/>
      <c r="AF2123" s="7"/>
      <c r="AG2123" s="7"/>
      <c r="AH2123" s="7"/>
      <c r="AI2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0.21875</v>
      </c>
      <c r="AJ2123" s="7"/>
      <c r="AK2123" t="s">
        <v>51</v>
      </c>
      <c r="AN2123">
        <f>IFERROR(INT(Table13[[#This Row],[reject_prod]]/Table13[[#This Row],[part_weight]] * 1000), 0)</f>
        <v>92</v>
      </c>
    </row>
    <row r="2124" spans="1:40">
      <c r="A2124" s="1">
        <v>46085</v>
      </c>
      <c r="B2124">
        <v>2</v>
      </c>
      <c r="C2124">
        <v>6</v>
      </c>
      <c r="D2124" t="s">
        <v>1097</v>
      </c>
      <c r="E2124" t="s">
        <v>34</v>
      </c>
      <c r="F2124">
        <v>532981</v>
      </c>
      <c r="G2124" s="6">
        <v>0</v>
      </c>
      <c r="H2124" t="s">
        <v>233</v>
      </c>
      <c r="I2124">
        <v>10688648</v>
      </c>
      <c r="J2124">
        <v>4</v>
      </c>
      <c r="K2124">
        <v>24.45</v>
      </c>
      <c r="L2124">
        <v>24</v>
      </c>
      <c r="M2124">
        <v>1830</v>
      </c>
      <c r="N2124" s="2">
        <v>87552</v>
      </c>
      <c r="O2124" s="2">
        <v>6840</v>
      </c>
      <c r="P2124" s="2">
        <v>3192</v>
      </c>
      <c r="Q2124" s="2">
        <v>7320</v>
      </c>
      <c r="R2124" s="2">
        <v>10944</v>
      </c>
      <c r="S2124">
        <v>262.65600000000001</v>
      </c>
      <c r="T2124" s="2">
        <v>25080</v>
      </c>
      <c r="U2124" s="2">
        <v>62472</v>
      </c>
      <c r="V2124">
        <v>175.68</v>
      </c>
      <c r="W2124">
        <v>0</v>
      </c>
      <c r="X2124">
        <v>0</v>
      </c>
      <c r="Y2124">
        <v>0</v>
      </c>
      <c r="Z2124">
        <v>1</v>
      </c>
      <c r="AA2124">
        <v>5.6921680000000001E-3</v>
      </c>
      <c r="AB2124">
        <v>23.2</v>
      </c>
      <c r="AC2124">
        <v>11.793333329999999</v>
      </c>
      <c r="AD2124">
        <v>20</v>
      </c>
      <c r="AE2124" s="7"/>
      <c r="AF2124" s="7"/>
      <c r="AG2124" s="7"/>
      <c r="AH2124" s="7"/>
      <c r="AI2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0.20666667000000061</v>
      </c>
      <c r="AJ2124" s="7"/>
      <c r="AK2124" t="s">
        <v>214</v>
      </c>
      <c r="AN2124">
        <f>IFERROR(INT(Table13[[#This Row],[reject_prod]]/Table13[[#This Row],[part_weight]] * 1000), 0)</f>
        <v>41</v>
      </c>
    </row>
    <row r="2125" spans="1:40">
      <c r="A2125" s="1">
        <v>46085</v>
      </c>
      <c r="B2125">
        <v>2</v>
      </c>
      <c r="C2125">
        <v>7</v>
      </c>
      <c r="D2125" t="s">
        <v>309</v>
      </c>
      <c r="E2125" t="s">
        <v>34</v>
      </c>
      <c r="F2125">
        <v>647556</v>
      </c>
      <c r="G2125" s="6">
        <v>0</v>
      </c>
      <c r="H2125" t="s">
        <v>458</v>
      </c>
      <c r="I2125">
        <v>10688945</v>
      </c>
      <c r="J2125">
        <v>4</v>
      </c>
      <c r="K2125">
        <v>35</v>
      </c>
      <c r="L2125">
        <v>34.5</v>
      </c>
      <c r="M2125">
        <v>759</v>
      </c>
      <c r="N2125" s="2">
        <v>27720</v>
      </c>
      <c r="O2125" s="2">
        <v>660</v>
      </c>
      <c r="P2125" s="2">
        <v>0</v>
      </c>
      <c r="Q2125" s="2">
        <v>3036</v>
      </c>
      <c r="R2125" s="2">
        <v>3696</v>
      </c>
      <c r="S2125">
        <v>127.512</v>
      </c>
      <c r="T2125" s="2">
        <v>27720</v>
      </c>
      <c r="U2125" s="2">
        <v>0</v>
      </c>
      <c r="V2125">
        <v>104.742</v>
      </c>
      <c r="W2125">
        <v>0</v>
      </c>
      <c r="X2125">
        <v>0</v>
      </c>
      <c r="Y2125">
        <v>0</v>
      </c>
      <c r="Z2125">
        <v>1.2</v>
      </c>
      <c r="AA2125">
        <v>1.1456722000000001E-2</v>
      </c>
      <c r="AB2125">
        <v>22.8</v>
      </c>
      <c r="AC2125">
        <v>4.8070000000000004</v>
      </c>
      <c r="AD2125">
        <v>20.399999999999999</v>
      </c>
      <c r="AE2125" s="7"/>
      <c r="AF2125" s="7"/>
      <c r="AG2125" s="7"/>
      <c r="AH2125" s="7"/>
      <c r="AI2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7.1929999999999996</v>
      </c>
      <c r="AJ2125" s="7"/>
      <c r="AK2125" t="s">
        <v>1098</v>
      </c>
      <c r="AN2125">
        <f>IFERROR(INT(Table13[[#This Row],[reject_prod]]/Table13[[#This Row],[part_weight]] * 1000), 0)</f>
        <v>34</v>
      </c>
    </row>
    <row r="2126" spans="1:40">
      <c r="A2126" s="1">
        <v>46085</v>
      </c>
      <c r="B2126">
        <v>2</v>
      </c>
      <c r="C2126">
        <v>7</v>
      </c>
      <c r="D2126" t="s">
        <v>309</v>
      </c>
      <c r="E2126" t="s">
        <v>34</v>
      </c>
      <c r="F2126">
        <v>322452</v>
      </c>
      <c r="G2126" s="6">
        <v>0</v>
      </c>
      <c r="H2126" t="s">
        <v>374</v>
      </c>
      <c r="I2126">
        <v>10689204</v>
      </c>
      <c r="J2126">
        <v>4</v>
      </c>
      <c r="K2126">
        <v>33.11</v>
      </c>
      <c r="L2126">
        <v>34.5</v>
      </c>
      <c r="M2126">
        <v>470</v>
      </c>
      <c r="N2126" s="2">
        <v>49920</v>
      </c>
      <c r="O2126" s="2">
        <v>0</v>
      </c>
      <c r="P2126" s="2">
        <v>1872</v>
      </c>
      <c r="Q2126" s="2">
        <v>1880</v>
      </c>
      <c r="R2126" s="2">
        <v>0</v>
      </c>
      <c r="S2126">
        <v>0</v>
      </c>
      <c r="T2126" s="2">
        <v>1872</v>
      </c>
      <c r="U2126" s="2">
        <v>48048</v>
      </c>
      <c r="V2126">
        <v>64.86</v>
      </c>
      <c r="W2126">
        <v>0</v>
      </c>
      <c r="X2126">
        <v>4</v>
      </c>
      <c r="Y2126">
        <v>6.1671292000000003E-2</v>
      </c>
      <c r="Z2126">
        <v>1.2</v>
      </c>
      <c r="AA2126">
        <v>1.8501388000000001E-2</v>
      </c>
      <c r="AB2126">
        <v>22.65</v>
      </c>
      <c r="AC2126">
        <v>2.9570833329999999</v>
      </c>
      <c r="AD2126">
        <v>18.04</v>
      </c>
      <c r="AE2126" s="7"/>
      <c r="AF2126" s="7"/>
      <c r="AG2126" s="7">
        <v>1.5</v>
      </c>
      <c r="AH2126" s="7"/>
      <c r="AI2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7.5429166670000001</v>
      </c>
      <c r="AJ2126" s="7"/>
      <c r="AK2126" t="s">
        <v>1099</v>
      </c>
      <c r="AN2126">
        <f>IFERROR(INT(Table13[[#This Row],[reject_prod]]/Table13[[#This Row],[part_weight]] * 1000), 0)</f>
        <v>34</v>
      </c>
    </row>
    <row r="2127" spans="1:40">
      <c r="A2127" s="1">
        <v>46085</v>
      </c>
      <c r="B2127">
        <v>2</v>
      </c>
      <c r="C2127">
        <v>8</v>
      </c>
      <c r="F2127">
        <v>123456</v>
      </c>
      <c r="G2127" s="6">
        <v>0</v>
      </c>
      <c r="M2127">
        <v>0</v>
      </c>
      <c r="N2127" s="2">
        <v>0</v>
      </c>
      <c r="O2127" s="2">
        <v>0</v>
      </c>
      <c r="P2127" s="2">
        <v>0</v>
      </c>
      <c r="Q2127" s="2"/>
      <c r="R2127" s="2">
        <v>0</v>
      </c>
      <c r="T2127" s="2">
        <v>0</v>
      </c>
      <c r="U2127" s="2"/>
      <c r="X2127">
        <v>0</v>
      </c>
      <c r="Z2127">
        <v>0</v>
      </c>
      <c r="AB2127">
        <v>0</v>
      </c>
      <c r="AC2127">
        <v>0</v>
      </c>
      <c r="AD2127">
        <v>0</v>
      </c>
      <c r="AE2127" s="7"/>
      <c r="AF2127" s="7"/>
      <c r="AG2127" s="7"/>
      <c r="AH2127" s="7"/>
      <c r="AI2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27" s="7">
        <v>12</v>
      </c>
      <c r="AK2127" t="s">
        <v>116</v>
      </c>
      <c r="AN2127">
        <f>IFERROR(INT(Table13[[#This Row],[reject_prod]]/Table13[[#This Row],[part_weight]] * 1000), 0)</f>
        <v>0</v>
      </c>
    </row>
    <row r="2128" spans="1:40">
      <c r="A2128" s="1">
        <v>46085</v>
      </c>
      <c r="B2128">
        <v>2</v>
      </c>
      <c r="C2128">
        <v>9</v>
      </c>
      <c r="D2128" t="s">
        <v>56</v>
      </c>
      <c r="E2128" t="s">
        <v>46</v>
      </c>
      <c r="F2128">
        <v>586276</v>
      </c>
      <c r="G2128" s="6">
        <v>1</v>
      </c>
      <c r="H2128" t="s">
        <v>47</v>
      </c>
      <c r="I2128">
        <v>10686685</v>
      </c>
      <c r="J2128">
        <v>6</v>
      </c>
      <c r="K2128">
        <v>12.3</v>
      </c>
      <c r="L2128">
        <v>12.3</v>
      </c>
      <c r="M2128">
        <v>1570</v>
      </c>
      <c r="N2128" s="2">
        <v>162000</v>
      </c>
      <c r="O2128" s="2">
        <v>3240</v>
      </c>
      <c r="P2128" s="2">
        <v>4455</v>
      </c>
      <c r="Q2128" s="2">
        <v>9420</v>
      </c>
      <c r="R2128" s="2">
        <v>8100</v>
      </c>
      <c r="S2128">
        <v>99.63</v>
      </c>
      <c r="T2128" s="2">
        <v>77355</v>
      </c>
      <c r="U2128" s="2">
        <v>84645</v>
      </c>
      <c r="V2128">
        <v>115.866</v>
      </c>
      <c r="W2128">
        <v>0</v>
      </c>
      <c r="X2128">
        <v>0</v>
      </c>
      <c r="Y2128">
        <v>0</v>
      </c>
      <c r="Z2128">
        <v>1.2</v>
      </c>
      <c r="AA2128">
        <v>1.0356791000000001E-2</v>
      </c>
      <c r="AB2128">
        <v>26.5</v>
      </c>
      <c r="AC2128">
        <v>11.556944440000001</v>
      </c>
      <c r="AD2128">
        <v>26</v>
      </c>
      <c r="AE2128" s="7"/>
      <c r="AF2128" s="7"/>
      <c r="AG2128" s="7"/>
      <c r="AH2128" s="7"/>
      <c r="AI2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0.44305555999999946</v>
      </c>
      <c r="AJ2128" s="7"/>
      <c r="AK2128" t="s">
        <v>51</v>
      </c>
      <c r="AN2128">
        <f>IFERROR(INT(Table13[[#This Row],[reject_prod]]/Table13[[#This Row],[part_weight]] * 1000), 0)</f>
        <v>97</v>
      </c>
    </row>
    <row r="2129" spans="1:40">
      <c r="A2129" s="1">
        <v>46085</v>
      </c>
      <c r="B2129">
        <v>2</v>
      </c>
      <c r="C2129">
        <v>10</v>
      </c>
      <c r="D2129" t="s">
        <v>89</v>
      </c>
      <c r="E2129" t="s">
        <v>34</v>
      </c>
      <c r="F2129">
        <v>414439</v>
      </c>
      <c r="G2129" s="6">
        <v>0</v>
      </c>
      <c r="H2129" t="s">
        <v>587</v>
      </c>
      <c r="I2129">
        <v>10688521</v>
      </c>
      <c r="J2129">
        <v>6</v>
      </c>
      <c r="K2129">
        <v>57</v>
      </c>
      <c r="L2129">
        <v>15</v>
      </c>
      <c r="M2129">
        <v>515</v>
      </c>
      <c r="N2129" s="2">
        <v>206976</v>
      </c>
      <c r="O2129" s="2">
        <v>0</v>
      </c>
      <c r="P2129" s="2">
        <v>3080</v>
      </c>
      <c r="Q2129" s="2">
        <v>3090</v>
      </c>
      <c r="R2129" s="2">
        <v>0</v>
      </c>
      <c r="S2129">
        <v>0</v>
      </c>
      <c r="T2129" s="2">
        <v>3080</v>
      </c>
      <c r="U2129" s="2">
        <v>203896</v>
      </c>
      <c r="V2129">
        <v>46.35</v>
      </c>
      <c r="W2129">
        <v>0</v>
      </c>
      <c r="X2129">
        <v>17</v>
      </c>
      <c r="Y2129">
        <v>0.36677454199999998</v>
      </c>
      <c r="Z2129">
        <v>1.2</v>
      </c>
      <c r="AA2129">
        <v>2.5889967999999999E-2</v>
      </c>
      <c r="AB2129">
        <v>23.32</v>
      </c>
      <c r="AC2129">
        <v>3.3360555559999998</v>
      </c>
      <c r="AD2129">
        <v>15</v>
      </c>
      <c r="AE2129" s="7"/>
      <c r="AF2129" s="7"/>
      <c r="AG2129" s="7"/>
      <c r="AH2129" s="7"/>
      <c r="AI2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8.6639444440000002</v>
      </c>
      <c r="AJ2129" s="7"/>
      <c r="AK2129" t="s">
        <v>1100</v>
      </c>
      <c r="AN2129">
        <f>IFERROR(INT(Table13[[#This Row],[reject_prod]]/Table13[[#This Row],[part_weight]] * 1000), 0)</f>
        <v>80</v>
      </c>
    </row>
    <row r="2130" spans="1:40">
      <c r="A2130" s="1">
        <v>46085</v>
      </c>
      <c r="B2130">
        <v>2</v>
      </c>
      <c r="C2130">
        <v>11</v>
      </c>
      <c r="D2130" t="s">
        <v>33</v>
      </c>
      <c r="E2130" t="s">
        <v>46</v>
      </c>
      <c r="F2130">
        <v>552181</v>
      </c>
      <c r="G2130" s="6">
        <v>1</v>
      </c>
      <c r="H2130" t="s">
        <v>49</v>
      </c>
      <c r="I2130">
        <v>10688069</v>
      </c>
      <c r="J2130">
        <v>6</v>
      </c>
      <c r="K2130">
        <v>14.7</v>
      </c>
      <c r="L2130">
        <v>14.7</v>
      </c>
      <c r="M2130">
        <v>0</v>
      </c>
      <c r="N2130" s="2">
        <v>108000</v>
      </c>
      <c r="O2130" s="2">
        <v>11070</v>
      </c>
      <c r="P2130" s="2">
        <v>11070</v>
      </c>
      <c r="Q2130" s="2">
        <v>0</v>
      </c>
      <c r="R2130" s="2">
        <v>0</v>
      </c>
      <c r="S2130">
        <v>0</v>
      </c>
      <c r="T2130" s="2">
        <v>59670</v>
      </c>
      <c r="U2130" s="2">
        <v>48330</v>
      </c>
      <c r="V2130">
        <v>0</v>
      </c>
      <c r="W2130">
        <v>0</v>
      </c>
      <c r="X2130">
        <v>0</v>
      </c>
      <c r="Y2130" t="e">
        <v>#DIV/0!</v>
      </c>
      <c r="Z2130">
        <v>0</v>
      </c>
      <c r="AA2130" t="e">
        <v>#DIV/0!</v>
      </c>
      <c r="AB2130">
        <v>28.46</v>
      </c>
      <c r="AC2130">
        <v>0</v>
      </c>
      <c r="AD2130">
        <v>27</v>
      </c>
      <c r="AE2130" s="7"/>
      <c r="AF2130" s="7"/>
      <c r="AG2130" s="7"/>
      <c r="AH2130" s="7"/>
      <c r="AI2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30" s="7"/>
      <c r="AK2130" t="s">
        <v>989</v>
      </c>
      <c r="AN2130">
        <f>IFERROR(INT(Table13[[#This Row],[reject_prod]]/Table13[[#This Row],[part_weight]] * 1000), 0)</f>
        <v>0</v>
      </c>
    </row>
    <row r="2131" spans="1:40">
      <c r="A2131" s="1">
        <v>46085</v>
      </c>
      <c r="B2131">
        <v>2</v>
      </c>
      <c r="C2131">
        <v>12</v>
      </c>
      <c r="D2131" t="s">
        <v>124</v>
      </c>
      <c r="E2131" t="s">
        <v>34</v>
      </c>
      <c r="F2131">
        <v>620599</v>
      </c>
      <c r="G2131" s="6">
        <v>0</v>
      </c>
      <c r="H2131" t="s">
        <v>50</v>
      </c>
      <c r="I2131">
        <v>10688071</v>
      </c>
      <c r="J2131">
        <v>4</v>
      </c>
      <c r="K2131">
        <v>55</v>
      </c>
      <c r="L2131">
        <v>55</v>
      </c>
      <c r="M2131">
        <v>1518</v>
      </c>
      <c r="N2131" s="2">
        <v>72000</v>
      </c>
      <c r="O2131" s="2">
        <v>900</v>
      </c>
      <c r="P2131" s="2">
        <v>1575</v>
      </c>
      <c r="Q2131" s="2">
        <v>6072</v>
      </c>
      <c r="R2131" s="2">
        <v>5400</v>
      </c>
      <c r="S2131">
        <v>297</v>
      </c>
      <c r="T2131" s="2">
        <v>51075</v>
      </c>
      <c r="U2131" s="2">
        <v>20925</v>
      </c>
      <c r="V2131">
        <v>333.96</v>
      </c>
      <c r="W2131">
        <v>0</v>
      </c>
      <c r="X2131">
        <v>0</v>
      </c>
      <c r="Y2131">
        <v>0</v>
      </c>
      <c r="Z2131">
        <v>1</v>
      </c>
      <c r="AA2131">
        <v>2.994371E-3</v>
      </c>
      <c r="AB2131">
        <v>28.8</v>
      </c>
      <c r="AC2131">
        <v>12</v>
      </c>
      <c r="AD2131">
        <v>28</v>
      </c>
      <c r="AE2131" s="7"/>
      <c r="AF2131" s="7"/>
      <c r="AG2131" s="7"/>
      <c r="AH2131" s="7"/>
      <c r="AI2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1" s="7"/>
      <c r="AK2131" t="s">
        <v>178</v>
      </c>
      <c r="AN2131">
        <f>IFERROR(INT(Table13[[#This Row],[reject_prod]]/Table13[[#This Row],[part_weight]] * 1000), 0)</f>
        <v>18</v>
      </c>
    </row>
    <row r="2132" spans="1:40">
      <c r="A2132" s="1">
        <v>46085</v>
      </c>
      <c r="B2132">
        <v>2</v>
      </c>
      <c r="C2132">
        <v>13</v>
      </c>
      <c r="D2132" t="s">
        <v>59</v>
      </c>
      <c r="E2132" t="s">
        <v>46</v>
      </c>
      <c r="F2132">
        <v>586276</v>
      </c>
      <c r="G2132" s="6">
        <v>2</v>
      </c>
      <c r="H2132" t="s">
        <v>47</v>
      </c>
      <c r="I2132">
        <v>10688946</v>
      </c>
      <c r="J2132">
        <v>6</v>
      </c>
      <c r="K2132">
        <v>12.3</v>
      </c>
      <c r="L2132">
        <v>12.3</v>
      </c>
      <c r="M2132">
        <v>1635</v>
      </c>
      <c r="N2132" s="2">
        <v>162000</v>
      </c>
      <c r="O2132" s="2">
        <v>7290</v>
      </c>
      <c r="P2132" s="2">
        <v>810</v>
      </c>
      <c r="Q2132" s="2">
        <v>9810</v>
      </c>
      <c r="R2132" s="2">
        <v>16200</v>
      </c>
      <c r="S2132">
        <v>199.26</v>
      </c>
      <c r="T2132" s="2">
        <v>41310</v>
      </c>
      <c r="U2132" s="2">
        <v>120690</v>
      </c>
      <c r="V2132">
        <v>120.663</v>
      </c>
      <c r="W2132">
        <v>0</v>
      </c>
      <c r="X2132">
        <v>0</v>
      </c>
      <c r="Y2132">
        <v>0</v>
      </c>
      <c r="Z2132">
        <v>1.2</v>
      </c>
      <c r="AA2132">
        <v>9.945054E-3</v>
      </c>
      <c r="AB2132">
        <v>26.2</v>
      </c>
      <c r="AC2132">
        <v>11.89916667</v>
      </c>
      <c r="AD2132">
        <v>26</v>
      </c>
      <c r="AE2132" s="7"/>
      <c r="AF2132" s="7"/>
      <c r="AG2132" s="7"/>
      <c r="AH2132" s="7"/>
      <c r="AI2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0.10083333000000039</v>
      </c>
      <c r="AJ2132" s="7"/>
      <c r="AK2132" t="s">
        <v>51</v>
      </c>
      <c r="AN2132">
        <f>IFERROR(INT(Table13[[#This Row],[reject_prod]]/Table13[[#This Row],[part_weight]] * 1000), 0)</f>
        <v>97</v>
      </c>
    </row>
    <row r="2133" spans="1:40">
      <c r="A2133" s="1">
        <v>46085</v>
      </c>
      <c r="B2133">
        <v>2</v>
      </c>
      <c r="C2133">
        <v>14</v>
      </c>
      <c r="D2133" t="s">
        <v>84</v>
      </c>
      <c r="E2133" t="s">
        <v>34</v>
      </c>
      <c r="F2133">
        <v>541381</v>
      </c>
      <c r="G2133" s="6">
        <v>0</v>
      </c>
      <c r="H2133" t="s">
        <v>804</v>
      </c>
      <c r="I2133">
        <v>10688072</v>
      </c>
      <c r="J2133">
        <v>4</v>
      </c>
      <c r="K2133">
        <v>55</v>
      </c>
      <c r="L2133">
        <v>55</v>
      </c>
      <c r="M2133">
        <v>1312</v>
      </c>
      <c r="N2133" s="2">
        <v>84000</v>
      </c>
      <c r="O2133" s="2">
        <v>350</v>
      </c>
      <c r="P2133" s="2">
        <v>0</v>
      </c>
      <c r="Q2133" s="2">
        <v>5248</v>
      </c>
      <c r="R2133" s="2">
        <v>5600</v>
      </c>
      <c r="S2133">
        <v>308</v>
      </c>
      <c r="T2133" s="2">
        <v>84000</v>
      </c>
      <c r="U2133" s="2">
        <v>0</v>
      </c>
      <c r="V2133">
        <v>288.64</v>
      </c>
      <c r="W2133">
        <v>0</v>
      </c>
      <c r="X2133">
        <v>0</v>
      </c>
      <c r="Y2133">
        <v>0</v>
      </c>
      <c r="Z2133">
        <v>2</v>
      </c>
      <c r="AA2133">
        <v>6.9290469999999998E-3</v>
      </c>
      <c r="AB2133">
        <v>27.3</v>
      </c>
      <c r="AC2133">
        <v>9.9493333330000002</v>
      </c>
      <c r="AD2133">
        <v>30.08</v>
      </c>
      <c r="AE2133" s="7"/>
      <c r="AF2133" s="7"/>
      <c r="AG2133" s="7"/>
      <c r="AH2133" s="7"/>
      <c r="AI2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2.0506666669999998</v>
      </c>
      <c r="AJ2133" s="7"/>
      <c r="AK2133" t="s">
        <v>102</v>
      </c>
      <c r="AN2133">
        <f>IFERROR(INT(Table13[[#This Row],[reject_prod]]/Table13[[#This Row],[part_weight]] * 1000), 0)</f>
        <v>36</v>
      </c>
    </row>
    <row r="2134" spans="1:40">
      <c r="A2134" s="1">
        <v>46085</v>
      </c>
      <c r="B2134">
        <v>2</v>
      </c>
      <c r="C2134">
        <v>14</v>
      </c>
      <c r="D2134" t="s">
        <v>84</v>
      </c>
      <c r="E2134" t="s">
        <v>34</v>
      </c>
      <c r="F2134">
        <v>541381</v>
      </c>
      <c r="G2134" s="6">
        <v>0</v>
      </c>
      <c r="H2134" t="s">
        <v>804</v>
      </c>
      <c r="I2134">
        <v>10688073</v>
      </c>
      <c r="J2134">
        <v>4</v>
      </c>
      <c r="K2134">
        <v>55</v>
      </c>
      <c r="L2134">
        <v>55</v>
      </c>
      <c r="M2134">
        <v>263</v>
      </c>
      <c r="N2134" s="2">
        <v>84000</v>
      </c>
      <c r="O2134" s="2">
        <v>0</v>
      </c>
      <c r="P2134" s="2">
        <v>350</v>
      </c>
      <c r="Q2134" s="2">
        <v>1052</v>
      </c>
      <c r="R2134" s="2">
        <v>700</v>
      </c>
      <c r="S2134">
        <v>38.5</v>
      </c>
      <c r="T2134" s="2">
        <v>1050</v>
      </c>
      <c r="U2134" s="2">
        <v>82950</v>
      </c>
      <c r="V2134">
        <v>57.86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27.3</v>
      </c>
      <c r="AC2134">
        <v>1.9944166670000001</v>
      </c>
      <c r="AD2134">
        <v>30.08</v>
      </c>
      <c r="AE2134" s="7"/>
      <c r="AF2134" s="7"/>
      <c r="AG2134" s="7"/>
      <c r="AH2134" s="7"/>
      <c r="AI2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10.005583333000001</v>
      </c>
      <c r="AJ2134" s="7"/>
      <c r="AK2134" t="s">
        <v>178</v>
      </c>
      <c r="AN2134">
        <f>IFERROR(INT(Table13[[#This Row],[reject_prod]]/Table13[[#This Row],[part_weight]] * 1000), 0)</f>
        <v>0</v>
      </c>
    </row>
    <row r="2135" spans="1:40">
      <c r="A2135" s="1">
        <v>46085</v>
      </c>
      <c r="B2135">
        <v>2</v>
      </c>
      <c r="C2135">
        <v>15</v>
      </c>
      <c r="D2135" t="s">
        <v>59</v>
      </c>
      <c r="E2135" t="s">
        <v>46</v>
      </c>
      <c r="F2135">
        <v>552181</v>
      </c>
      <c r="G2135" s="6">
        <v>2</v>
      </c>
      <c r="H2135" t="s">
        <v>49</v>
      </c>
      <c r="I2135">
        <v>10686680</v>
      </c>
      <c r="J2135">
        <v>6</v>
      </c>
      <c r="K2135">
        <v>14.7</v>
      </c>
      <c r="L2135">
        <v>14.7</v>
      </c>
      <c r="M2135">
        <v>1395</v>
      </c>
      <c r="N2135" s="2">
        <v>108000</v>
      </c>
      <c r="O2135" s="2">
        <v>3780</v>
      </c>
      <c r="P2135" s="2">
        <v>1350</v>
      </c>
      <c r="Q2135" s="2">
        <v>8370</v>
      </c>
      <c r="R2135" s="2">
        <v>10800</v>
      </c>
      <c r="S2135">
        <v>158.76</v>
      </c>
      <c r="T2135" s="2">
        <v>12150</v>
      </c>
      <c r="U2135" s="2">
        <v>95850</v>
      </c>
      <c r="V2135">
        <v>123.039</v>
      </c>
      <c r="W2135">
        <v>0</v>
      </c>
      <c r="X2135">
        <v>0</v>
      </c>
      <c r="Y2135">
        <v>0</v>
      </c>
      <c r="Z2135">
        <v>1</v>
      </c>
      <c r="AA2135">
        <v>8.1275040000000007E-3</v>
      </c>
      <c r="AB2135">
        <v>30.6</v>
      </c>
      <c r="AC2135">
        <v>11.8575</v>
      </c>
      <c r="AD2135">
        <v>27</v>
      </c>
      <c r="AE2135" s="7"/>
      <c r="AF2135" s="7"/>
      <c r="AG2135" s="7"/>
      <c r="AH2135" s="7"/>
      <c r="AI2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135" s="7"/>
      <c r="AK2135" t="s">
        <v>51</v>
      </c>
      <c r="AN2135">
        <f>IFERROR(INT(Table13[[#This Row],[reject_prod]]/Table13[[#This Row],[part_weight]] * 1000), 0)</f>
        <v>68</v>
      </c>
    </row>
    <row r="2136" spans="1:40">
      <c r="A2136" s="1">
        <v>46085</v>
      </c>
      <c r="B2136">
        <v>2</v>
      </c>
      <c r="C2136">
        <v>16</v>
      </c>
      <c r="D2136" t="s">
        <v>1101</v>
      </c>
      <c r="E2136" t="s">
        <v>46</v>
      </c>
      <c r="F2136">
        <v>555979</v>
      </c>
      <c r="G2136" s="6">
        <v>2</v>
      </c>
      <c r="H2136" t="s">
        <v>52</v>
      </c>
      <c r="I2136">
        <v>10686701</v>
      </c>
      <c r="J2136">
        <v>6</v>
      </c>
      <c r="K2136">
        <v>28</v>
      </c>
      <c r="L2136">
        <v>28</v>
      </c>
      <c r="M2136">
        <v>1000</v>
      </c>
      <c r="N2136" s="2">
        <v>100800</v>
      </c>
      <c r="O2136" s="2">
        <v>2352</v>
      </c>
      <c r="P2136" s="2">
        <v>1512</v>
      </c>
      <c r="Q2136" s="2">
        <v>6000</v>
      </c>
      <c r="R2136" s="2">
        <v>6720</v>
      </c>
      <c r="S2136">
        <v>188.16</v>
      </c>
      <c r="T2136" s="2">
        <v>68712</v>
      </c>
      <c r="U2136" s="2">
        <v>32088</v>
      </c>
      <c r="V2136">
        <v>168</v>
      </c>
      <c r="W2136">
        <v>0</v>
      </c>
      <c r="X2136">
        <v>0</v>
      </c>
      <c r="Y2136">
        <v>0</v>
      </c>
      <c r="Z2136">
        <v>9</v>
      </c>
      <c r="AA2136">
        <v>5.3571428999999997E-2</v>
      </c>
      <c r="AB2136">
        <v>40.5</v>
      </c>
      <c r="AC2136">
        <v>11.25</v>
      </c>
      <c r="AD2136">
        <v>42</v>
      </c>
      <c r="AE2136" s="7"/>
      <c r="AF2136" s="7"/>
      <c r="AG2136" s="7"/>
      <c r="AH2136" s="7"/>
      <c r="AI2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0.75</v>
      </c>
      <c r="AJ2136" s="7"/>
      <c r="AK2136" t="s">
        <v>1102</v>
      </c>
      <c r="AN2136">
        <f>IFERROR(INT(Table13[[#This Row],[reject_prod]]/Table13[[#This Row],[part_weight]] * 1000), 0)</f>
        <v>321</v>
      </c>
    </row>
    <row r="2137" spans="1:40">
      <c r="A2137" s="1">
        <v>46086</v>
      </c>
      <c r="B2137">
        <v>1</v>
      </c>
      <c r="C2137">
        <v>1</v>
      </c>
      <c r="D2137" t="s">
        <v>141</v>
      </c>
      <c r="E2137" t="s">
        <v>34</v>
      </c>
      <c r="F2137">
        <v>529004</v>
      </c>
      <c r="G2137" s="6">
        <v>0</v>
      </c>
      <c r="H2137" t="s">
        <v>723</v>
      </c>
      <c r="I2137">
        <v>10688944</v>
      </c>
      <c r="J2137">
        <v>4</v>
      </c>
      <c r="K2137">
        <v>31</v>
      </c>
      <c r="L2137">
        <v>31</v>
      </c>
      <c r="M2137">
        <v>1380</v>
      </c>
      <c r="N2137" s="2">
        <v>20400</v>
      </c>
      <c r="O2137" s="2">
        <v>240</v>
      </c>
      <c r="P2137" s="2">
        <v>960</v>
      </c>
      <c r="Q2137" s="2">
        <v>5520</v>
      </c>
      <c r="R2137" s="2">
        <v>4800</v>
      </c>
      <c r="S2137">
        <v>148.80000000000001</v>
      </c>
      <c r="T2137" s="2">
        <v>12960</v>
      </c>
      <c r="U2137" s="2">
        <v>7440</v>
      </c>
      <c r="V2137">
        <v>171.12</v>
      </c>
      <c r="W2137">
        <v>0</v>
      </c>
      <c r="X2137">
        <v>0</v>
      </c>
      <c r="Y2137">
        <v>0</v>
      </c>
      <c r="Z2137">
        <v>3.5</v>
      </c>
      <c r="AA2137">
        <v>2.0453483000000001E-2</v>
      </c>
      <c r="AB2137">
        <v>30.5</v>
      </c>
      <c r="AC2137">
        <v>11.69166667</v>
      </c>
      <c r="AD2137">
        <v>29</v>
      </c>
      <c r="AE2137" s="7"/>
      <c r="AF2137" s="7"/>
      <c r="AG2137" s="7"/>
      <c r="AH2137" s="7"/>
      <c r="AI2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137" s="7"/>
      <c r="AK2137" t="s">
        <v>178</v>
      </c>
      <c r="AN2137">
        <f>IFERROR(INT(Table13[[#This Row],[reject_prod]]/Table13[[#This Row],[part_weight]] * 1000), 0)</f>
        <v>112</v>
      </c>
    </row>
    <row r="2138" spans="1:40">
      <c r="A2138" s="1">
        <v>46086</v>
      </c>
      <c r="B2138">
        <v>1</v>
      </c>
      <c r="C2138">
        <v>2</v>
      </c>
      <c r="D2138" t="s">
        <v>143</v>
      </c>
      <c r="E2138" t="s">
        <v>34</v>
      </c>
      <c r="F2138">
        <v>423215</v>
      </c>
      <c r="G2138" s="6">
        <v>0</v>
      </c>
      <c r="H2138" t="s">
        <v>156</v>
      </c>
      <c r="I2138">
        <v>10688491</v>
      </c>
      <c r="J2138">
        <v>4</v>
      </c>
      <c r="K2138">
        <v>24</v>
      </c>
      <c r="L2138">
        <v>24</v>
      </c>
      <c r="M2138">
        <v>0</v>
      </c>
      <c r="N2138" s="2">
        <v>9870</v>
      </c>
      <c r="O2138" s="2">
        <v>0</v>
      </c>
      <c r="P2138" s="2">
        <v>0</v>
      </c>
      <c r="Q2138" s="2">
        <v>0</v>
      </c>
      <c r="R2138" s="2">
        <v>0</v>
      </c>
      <c r="S2138">
        <v>0</v>
      </c>
      <c r="T2138" s="2">
        <v>0</v>
      </c>
      <c r="U2138" s="2">
        <v>9870</v>
      </c>
      <c r="V2138">
        <v>0</v>
      </c>
      <c r="W2138">
        <v>0</v>
      </c>
      <c r="X2138">
        <v>7.5</v>
      </c>
      <c r="Y2138" t="e">
        <v>#DIV/0!</v>
      </c>
      <c r="Z2138">
        <v>0</v>
      </c>
      <c r="AA2138" t="e">
        <v>#DIV/0!</v>
      </c>
      <c r="AB2138">
        <v>19.7</v>
      </c>
      <c r="AC2138">
        <v>0</v>
      </c>
      <c r="AD2138">
        <v>22</v>
      </c>
      <c r="AE2138" s="7"/>
      <c r="AF2138" s="7"/>
      <c r="AG2138" s="7"/>
      <c r="AH2138" s="7">
        <v>9</v>
      </c>
      <c r="AI2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</v>
      </c>
      <c r="AJ2138" s="7"/>
      <c r="AK2138" t="s">
        <v>1103</v>
      </c>
      <c r="AL2138">
        <v>6</v>
      </c>
      <c r="AM2138">
        <v>8</v>
      </c>
      <c r="AN2138">
        <f>IFERROR(INT(Table13[[#This Row],[reject_prod]]/Table13[[#This Row],[part_weight]] * 1000), 0)</f>
        <v>0</v>
      </c>
    </row>
    <row r="2139" spans="1:40">
      <c r="A2139" s="1">
        <v>46086</v>
      </c>
      <c r="B2139">
        <v>1</v>
      </c>
      <c r="C2139">
        <v>3</v>
      </c>
      <c r="D2139" t="s">
        <v>40</v>
      </c>
      <c r="E2139" t="s">
        <v>34</v>
      </c>
      <c r="F2139">
        <v>442034</v>
      </c>
      <c r="G2139" s="6">
        <v>0</v>
      </c>
      <c r="H2139" t="s">
        <v>37</v>
      </c>
      <c r="I2139">
        <v>10685634</v>
      </c>
      <c r="J2139">
        <v>4</v>
      </c>
      <c r="K2139">
        <v>23</v>
      </c>
      <c r="L2139">
        <v>23</v>
      </c>
      <c r="M2139">
        <v>1532</v>
      </c>
      <c r="N2139" s="2">
        <v>139776</v>
      </c>
      <c r="O2139" s="2">
        <v>2688</v>
      </c>
      <c r="P2139" s="2">
        <v>0</v>
      </c>
      <c r="Q2139" s="2">
        <v>6128</v>
      </c>
      <c r="R2139" s="2">
        <v>9216</v>
      </c>
      <c r="S2139">
        <v>211.96799999999999</v>
      </c>
      <c r="T2139" s="2">
        <v>9216</v>
      </c>
      <c r="U2139" s="2">
        <v>130560</v>
      </c>
      <c r="V2139">
        <v>140.94399999999999</v>
      </c>
      <c r="W2139">
        <v>0</v>
      </c>
      <c r="X2139">
        <v>0</v>
      </c>
      <c r="Y2139">
        <v>0</v>
      </c>
      <c r="Z2139">
        <v>5.5</v>
      </c>
      <c r="AA2139">
        <v>3.9022591000000002E-2</v>
      </c>
      <c r="AB2139">
        <v>28.5</v>
      </c>
      <c r="AC2139">
        <v>12</v>
      </c>
      <c r="AD2139">
        <v>22</v>
      </c>
      <c r="AE2139" s="7"/>
      <c r="AF2139" s="7"/>
      <c r="AG2139" s="7"/>
      <c r="AH2139" s="7"/>
      <c r="AI2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9" s="7"/>
      <c r="AK2139" t="s">
        <v>1013</v>
      </c>
      <c r="AN2139">
        <f>IFERROR(INT(Table13[[#This Row],[reject_prod]]/Table13[[#This Row],[part_weight]] * 1000), 0)</f>
        <v>239</v>
      </c>
    </row>
    <row r="2140" spans="1:40">
      <c r="A2140" s="1">
        <v>46086</v>
      </c>
      <c r="B2140">
        <v>1</v>
      </c>
      <c r="C2140">
        <v>4</v>
      </c>
      <c r="D2140" t="s">
        <v>698</v>
      </c>
      <c r="E2140" t="s">
        <v>34</v>
      </c>
      <c r="F2140">
        <v>402305</v>
      </c>
      <c r="G2140" s="6">
        <v>0</v>
      </c>
      <c r="H2140" t="s">
        <v>395</v>
      </c>
      <c r="I2140">
        <v>10688065</v>
      </c>
      <c r="J2140">
        <v>4</v>
      </c>
      <c r="K2140">
        <v>29</v>
      </c>
      <c r="L2140">
        <v>29</v>
      </c>
      <c r="M2140">
        <v>1698</v>
      </c>
      <c r="N2140" s="2">
        <v>44928</v>
      </c>
      <c r="O2140" s="2">
        <v>1872</v>
      </c>
      <c r="P2140" s="2">
        <v>728</v>
      </c>
      <c r="Q2140" s="2">
        <v>6792</v>
      </c>
      <c r="R2140" s="2">
        <v>8736</v>
      </c>
      <c r="S2140">
        <v>253.34399999999999</v>
      </c>
      <c r="T2140" s="2">
        <v>26936</v>
      </c>
      <c r="U2140" s="2">
        <v>17992</v>
      </c>
      <c r="V2140">
        <v>196.96799999999999</v>
      </c>
      <c r="W2140">
        <v>0</v>
      </c>
      <c r="X2140">
        <v>0</v>
      </c>
      <c r="Y2140">
        <v>0</v>
      </c>
      <c r="Z2140">
        <v>6.5</v>
      </c>
      <c r="AA2140">
        <v>3.3000283999999998E-2</v>
      </c>
      <c r="AB2140">
        <v>25.6</v>
      </c>
      <c r="AC2140">
        <v>12</v>
      </c>
      <c r="AD2140">
        <v>22</v>
      </c>
      <c r="AE2140" s="7"/>
      <c r="AF2140" s="7"/>
      <c r="AG2140" s="7"/>
      <c r="AH2140" s="7"/>
      <c r="AI2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0" s="7"/>
      <c r="AK2140" t="s">
        <v>75</v>
      </c>
      <c r="AN2140">
        <f>IFERROR(INT(Table13[[#This Row],[reject_prod]]/Table13[[#This Row],[part_weight]] * 1000), 0)</f>
        <v>224</v>
      </c>
    </row>
    <row r="2141" spans="1:40">
      <c r="A2141" s="1">
        <v>46086</v>
      </c>
      <c r="B2141">
        <v>1</v>
      </c>
      <c r="C2141">
        <v>5</v>
      </c>
      <c r="D2141" t="s">
        <v>1104</v>
      </c>
      <c r="E2141" t="s">
        <v>34</v>
      </c>
      <c r="F2141">
        <v>322448</v>
      </c>
      <c r="G2141" s="6">
        <v>0</v>
      </c>
      <c r="H2141" t="s">
        <v>654</v>
      </c>
      <c r="I2141">
        <v>10687753</v>
      </c>
      <c r="J2141">
        <v>4</v>
      </c>
      <c r="K2141">
        <v>40</v>
      </c>
      <c r="L2141">
        <v>40</v>
      </c>
      <c r="M2141">
        <v>1649</v>
      </c>
      <c r="N2141" s="2">
        <v>174960</v>
      </c>
      <c r="O2141" s="2">
        <v>162</v>
      </c>
      <c r="P2141" s="2">
        <v>162</v>
      </c>
      <c r="Q2141" s="2">
        <v>6596</v>
      </c>
      <c r="R2141" s="2">
        <v>6480</v>
      </c>
      <c r="S2141">
        <v>259.2</v>
      </c>
      <c r="T2141" s="2">
        <v>81972</v>
      </c>
      <c r="U2141" s="2">
        <v>92988</v>
      </c>
      <c r="V2141">
        <v>263.83999999999997</v>
      </c>
      <c r="W2141">
        <v>0</v>
      </c>
      <c r="X2141">
        <v>0</v>
      </c>
      <c r="Y2141">
        <v>0</v>
      </c>
      <c r="Z2141">
        <v>4.5</v>
      </c>
      <c r="AA2141">
        <v>1.7055791000000001E-2</v>
      </c>
      <c r="AB2141">
        <v>26.1</v>
      </c>
      <c r="AC2141">
        <v>11.955249999999999</v>
      </c>
      <c r="AD2141">
        <v>23</v>
      </c>
      <c r="AE2141" s="7"/>
      <c r="AF2141" s="7"/>
      <c r="AG2141" s="7"/>
      <c r="AH2141" s="7"/>
      <c r="AI2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4.4750000000000512E-2</v>
      </c>
      <c r="AJ2141" s="7"/>
      <c r="AK2141" t="s">
        <v>356</v>
      </c>
      <c r="AN2141">
        <f>IFERROR(INT(Table13[[#This Row],[reject_prod]]/Table13[[#This Row],[part_weight]] * 1000), 0)</f>
        <v>112</v>
      </c>
    </row>
    <row r="2142" spans="1:40">
      <c r="A2142" s="1">
        <v>46086</v>
      </c>
      <c r="B2142">
        <v>1</v>
      </c>
      <c r="C2142">
        <v>6</v>
      </c>
      <c r="D2142" t="s">
        <v>432</v>
      </c>
      <c r="E2142" t="s">
        <v>34</v>
      </c>
      <c r="F2142">
        <v>532981</v>
      </c>
      <c r="G2142" s="6">
        <v>0</v>
      </c>
      <c r="H2142" t="s">
        <v>233</v>
      </c>
      <c r="I2142">
        <v>10688648</v>
      </c>
      <c r="J2142">
        <v>4</v>
      </c>
      <c r="K2142">
        <v>24.45</v>
      </c>
      <c r="L2142">
        <v>24</v>
      </c>
      <c r="M2142">
        <v>1830</v>
      </c>
      <c r="N2142" s="2">
        <v>87552</v>
      </c>
      <c r="O2142" s="2">
        <v>3192</v>
      </c>
      <c r="P2142" s="2">
        <v>10488</v>
      </c>
      <c r="Q2142" s="2">
        <v>7320</v>
      </c>
      <c r="R2142" s="2">
        <v>0</v>
      </c>
      <c r="S2142">
        <v>0</v>
      </c>
      <c r="T2142" s="2">
        <v>32376</v>
      </c>
      <c r="U2142" s="2">
        <v>55176</v>
      </c>
      <c r="V2142">
        <v>175.68</v>
      </c>
      <c r="W2142">
        <v>0</v>
      </c>
      <c r="X2142">
        <v>0</v>
      </c>
      <c r="Y2142">
        <v>0</v>
      </c>
      <c r="Z2142">
        <v>0.5</v>
      </c>
      <c r="AA2142">
        <v>2.846084E-3</v>
      </c>
      <c r="AB2142">
        <v>23.2</v>
      </c>
      <c r="AC2142">
        <v>11.793333329999999</v>
      </c>
      <c r="AD2142">
        <v>20</v>
      </c>
      <c r="AE2142" s="7"/>
      <c r="AF2142" s="7"/>
      <c r="AG2142" s="7"/>
      <c r="AH2142" s="7"/>
      <c r="AI2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0.20666667000000061</v>
      </c>
      <c r="AJ2142" s="7"/>
      <c r="AK2142" t="s">
        <v>1105</v>
      </c>
      <c r="AN2142">
        <f>IFERROR(INT(Table13[[#This Row],[reject_prod]]/Table13[[#This Row],[part_weight]] * 1000), 0)</f>
        <v>20</v>
      </c>
    </row>
    <row r="2143" spans="1:40">
      <c r="A2143" s="1">
        <v>46086</v>
      </c>
      <c r="B2143">
        <v>1</v>
      </c>
      <c r="C2143">
        <v>7</v>
      </c>
      <c r="D2143" t="s">
        <v>419</v>
      </c>
      <c r="E2143" t="s">
        <v>34</v>
      </c>
      <c r="F2143">
        <v>322452</v>
      </c>
      <c r="G2143" s="6">
        <v>0</v>
      </c>
      <c r="H2143" t="s">
        <v>374</v>
      </c>
      <c r="I2143">
        <v>10689204</v>
      </c>
      <c r="J2143">
        <v>4</v>
      </c>
      <c r="K2143">
        <v>33.11</v>
      </c>
      <c r="L2143">
        <v>34.5</v>
      </c>
      <c r="M2143">
        <v>1921</v>
      </c>
      <c r="N2143" s="2">
        <v>49920</v>
      </c>
      <c r="O2143" s="2">
        <v>1872</v>
      </c>
      <c r="P2143" s="2">
        <v>624</v>
      </c>
      <c r="Q2143" s="2">
        <v>7684</v>
      </c>
      <c r="R2143" s="2">
        <v>8736</v>
      </c>
      <c r="S2143">
        <v>301.392</v>
      </c>
      <c r="T2143" s="2">
        <v>9360</v>
      </c>
      <c r="U2143" s="2">
        <v>40560</v>
      </c>
      <c r="V2143">
        <v>265.09800000000001</v>
      </c>
      <c r="W2143">
        <v>0</v>
      </c>
      <c r="X2143">
        <v>0</v>
      </c>
      <c r="Y2143">
        <v>0</v>
      </c>
      <c r="Z2143">
        <v>6.5</v>
      </c>
      <c r="AA2143">
        <v>2.4519234000000001E-2</v>
      </c>
      <c r="AB2143">
        <v>22.8</v>
      </c>
      <c r="AC2143">
        <v>12</v>
      </c>
      <c r="AD2143">
        <v>18.04</v>
      </c>
      <c r="AE2143" s="7"/>
      <c r="AF2143" s="7"/>
      <c r="AG2143" s="7"/>
      <c r="AH2143" s="7"/>
      <c r="AI2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3" s="7"/>
      <c r="AK2143" t="s">
        <v>75</v>
      </c>
      <c r="AL2143">
        <v>4</v>
      </c>
      <c r="AM2143">
        <v>3</v>
      </c>
      <c r="AN2143">
        <f>IFERROR(INT(Table13[[#This Row],[reject_prod]]/Table13[[#This Row],[part_weight]] * 1000), 0)</f>
        <v>188</v>
      </c>
    </row>
    <row r="2144" spans="1:40">
      <c r="A2144" s="1">
        <v>46086</v>
      </c>
      <c r="B2144">
        <v>1</v>
      </c>
      <c r="C2144">
        <v>8</v>
      </c>
      <c r="F2144">
        <v>123456</v>
      </c>
      <c r="G2144" s="6">
        <v>0</v>
      </c>
      <c r="M2144">
        <v>0</v>
      </c>
      <c r="N2144" s="2">
        <v>0</v>
      </c>
      <c r="O2144" s="2">
        <v>0</v>
      </c>
      <c r="P2144" s="2">
        <v>0</v>
      </c>
      <c r="Q2144" s="2"/>
      <c r="R2144" s="2">
        <v>0</v>
      </c>
      <c r="T2144" s="2">
        <v>0</v>
      </c>
      <c r="U2144" s="2"/>
      <c r="X2144">
        <v>0</v>
      </c>
      <c r="Z2144">
        <v>0</v>
      </c>
      <c r="AB2144">
        <v>0</v>
      </c>
      <c r="AC2144">
        <v>0</v>
      </c>
      <c r="AD2144">
        <v>0</v>
      </c>
      <c r="AE2144" s="7"/>
      <c r="AF2144" s="7"/>
      <c r="AG2144" s="7"/>
      <c r="AH2144" s="7"/>
      <c r="AI2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4" s="7">
        <v>12</v>
      </c>
      <c r="AK2144" t="s">
        <v>116</v>
      </c>
      <c r="AN2144">
        <f>IFERROR(INT(Table13[[#This Row],[reject_prod]]/Table13[[#This Row],[part_weight]] * 1000), 0)</f>
        <v>0</v>
      </c>
    </row>
    <row r="2145" spans="1:40">
      <c r="A2145" s="1">
        <v>46086</v>
      </c>
      <c r="B2145">
        <v>1</v>
      </c>
      <c r="C2145">
        <v>9</v>
      </c>
      <c r="D2145" t="s">
        <v>65</v>
      </c>
      <c r="E2145" t="s">
        <v>46</v>
      </c>
      <c r="F2145">
        <v>586276</v>
      </c>
      <c r="G2145" s="6">
        <v>1</v>
      </c>
      <c r="H2145" t="s">
        <v>47</v>
      </c>
      <c r="I2145">
        <v>10686685</v>
      </c>
      <c r="J2145">
        <v>6</v>
      </c>
      <c r="K2145">
        <v>12.3</v>
      </c>
      <c r="L2145">
        <v>12.3</v>
      </c>
      <c r="M2145">
        <v>1627</v>
      </c>
      <c r="N2145" s="2">
        <v>162000</v>
      </c>
      <c r="O2145" s="2">
        <v>4455</v>
      </c>
      <c r="P2145" s="2">
        <v>6075</v>
      </c>
      <c r="Q2145" s="2">
        <v>9762</v>
      </c>
      <c r="R2145" s="2">
        <v>8100</v>
      </c>
      <c r="S2145">
        <v>99.63</v>
      </c>
      <c r="T2145" s="2">
        <v>87075</v>
      </c>
      <c r="U2145" s="2">
        <v>74925</v>
      </c>
      <c r="V2145">
        <v>120.07259999999999</v>
      </c>
      <c r="W2145">
        <v>0</v>
      </c>
      <c r="X2145">
        <v>0</v>
      </c>
      <c r="Y2145">
        <v>0</v>
      </c>
      <c r="Z2145">
        <v>0.7</v>
      </c>
      <c r="AA2145">
        <v>5.8298059999999999E-3</v>
      </c>
      <c r="AB2145">
        <v>26.5</v>
      </c>
      <c r="AC2145">
        <v>11.97652778</v>
      </c>
      <c r="AD2145">
        <v>26</v>
      </c>
      <c r="AE2145" s="7"/>
      <c r="AF2145" s="7"/>
      <c r="AG2145" s="7"/>
      <c r="AH2145" s="7"/>
      <c r="AI2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2.3472220000000377E-2</v>
      </c>
      <c r="AJ2145" s="7"/>
      <c r="AK2145" t="s">
        <v>51</v>
      </c>
      <c r="AN2145">
        <f>IFERROR(INT(Table13[[#This Row],[reject_prod]]/Table13[[#This Row],[part_weight]] * 1000), 0)</f>
        <v>56</v>
      </c>
    </row>
    <row r="2146" spans="1:40">
      <c r="A2146" s="1">
        <v>46086</v>
      </c>
      <c r="B2146">
        <v>1</v>
      </c>
      <c r="C2146">
        <v>10</v>
      </c>
      <c r="D2146" t="s">
        <v>43</v>
      </c>
      <c r="E2146" t="s">
        <v>34</v>
      </c>
      <c r="F2146">
        <v>414439</v>
      </c>
      <c r="G2146" s="6">
        <v>0</v>
      </c>
      <c r="H2146" t="s">
        <v>587</v>
      </c>
      <c r="I2146">
        <v>10688521</v>
      </c>
      <c r="J2146">
        <v>6</v>
      </c>
      <c r="K2146">
        <v>57</v>
      </c>
      <c r="L2146">
        <v>15</v>
      </c>
      <c r="M2146">
        <v>1552</v>
      </c>
      <c r="N2146" s="2">
        <v>206976</v>
      </c>
      <c r="O2146" s="2">
        <v>3080</v>
      </c>
      <c r="P2146" s="2">
        <v>11088</v>
      </c>
      <c r="Q2146" s="2">
        <v>9312</v>
      </c>
      <c r="R2146" s="2">
        <v>0</v>
      </c>
      <c r="S2146">
        <v>0</v>
      </c>
      <c r="T2146" s="2">
        <v>11088</v>
      </c>
      <c r="U2146" s="2">
        <v>195888</v>
      </c>
      <c r="V2146">
        <v>139.68</v>
      </c>
      <c r="W2146">
        <v>0</v>
      </c>
      <c r="X2146">
        <v>0</v>
      </c>
      <c r="Y2146">
        <v>0</v>
      </c>
      <c r="Z2146">
        <v>19.5</v>
      </c>
      <c r="AA2146">
        <v>0.139604811</v>
      </c>
      <c r="AB2146">
        <v>23.3</v>
      </c>
      <c r="AC2146">
        <v>10.044888889999999</v>
      </c>
      <c r="AD2146">
        <v>15</v>
      </c>
      <c r="AE2146" s="7"/>
      <c r="AF2146" s="7"/>
      <c r="AG2146" s="7"/>
      <c r="AH2146" s="7"/>
      <c r="AI2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1.9551111100000007</v>
      </c>
      <c r="AJ2146" s="7"/>
      <c r="AK2146" t="s">
        <v>1106</v>
      </c>
      <c r="AL2146">
        <v>9</v>
      </c>
      <c r="AM2146">
        <v>10</v>
      </c>
      <c r="AN2146">
        <f>IFERROR(INT(Table13[[#This Row],[reject_prod]]/Table13[[#This Row],[part_weight]] * 1000), 0)</f>
        <v>1300</v>
      </c>
    </row>
    <row r="2147" spans="1:40">
      <c r="A2147" s="1">
        <v>46086</v>
      </c>
      <c r="B2147">
        <v>1</v>
      </c>
      <c r="C2147">
        <v>11</v>
      </c>
      <c r="D2147" t="s">
        <v>33</v>
      </c>
      <c r="E2147" t="s">
        <v>46</v>
      </c>
      <c r="F2147">
        <v>552181</v>
      </c>
      <c r="G2147" s="6">
        <v>1</v>
      </c>
      <c r="H2147" t="s">
        <v>49</v>
      </c>
      <c r="I2147">
        <v>10688069</v>
      </c>
      <c r="J2147">
        <v>6</v>
      </c>
      <c r="K2147">
        <v>14.7</v>
      </c>
      <c r="L2147">
        <v>14.7</v>
      </c>
      <c r="M2147">
        <v>0</v>
      </c>
      <c r="N2147" s="2">
        <v>108000</v>
      </c>
      <c r="O2147" s="2">
        <v>11070</v>
      </c>
      <c r="P2147" s="2">
        <v>11070</v>
      </c>
      <c r="Q2147" s="2">
        <v>0</v>
      </c>
      <c r="R2147" s="2">
        <v>0</v>
      </c>
      <c r="S2147">
        <v>0</v>
      </c>
      <c r="T2147" s="2">
        <v>59670</v>
      </c>
      <c r="U2147" s="2">
        <v>48330</v>
      </c>
      <c r="V2147">
        <v>0</v>
      </c>
      <c r="W2147">
        <v>0</v>
      </c>
      <c r="X2147">
        <v>4</v>
      </c>
      <c r="Y2147" t="e">
        <v>#DIV/0!</v>
      </c>
      <c r="Z2147">
        <v>0</v>
      </c>
      <c r="AA2147" t="e">
        <v>#DIV/0!</v>
      </c>
      <c r="AB2147">
        <v>28.46</v>
      </c>
      <c r="AC2147">
        <v>0</v>
      </c>
      <c r="AD2147">
        <v>27</v>
      </c>
      <c r="AE2147" s="7"/>
      <c r="AF2147" s="7"/>
      <c r="AG2147" s="7"/>
      <c r="AH2147" s="7"/>
      <c r="AI2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47" s="7"/>
      <c r="AK2147" t="s">
        <v>1107</v>
      </c>
      <c r="AN2147">
        <f>IFERROR(INT(Table13[[#This Row],[reject_prod]]/Table13[[#This Row],[part_weight]] * 1000), 0)</f>
        <v>0</v>
      </c>
    </row>
    <row r="2148" spans="1:40">
      <c r="A2148" s="1">
        <v>46086</v>
      </c>
      <c r="B2148">
        <v>1</v>
      </c>
      <c r="C2148">
        <v>12</v>
      </c>
      <c r="D2148" t="s">
        <v>65</v>
      </c>
      <c r="E2148" t="s">
        <v>34</v>
      </c>
      <c r="F2148">
        <v>620599</v>
      </c>
      <c r="G2148" s="6">
        <v>0</v>
      </c>
      <c r="H2148" t="s">
        <v>50</v>
      </c>
      <c r="I2148">
        <v>10688071</v>
      </c>
      <c r="J2148">
        <v>4</v>
      </c>
      <c r="K2148">
        <v>55</v>
      </c>
      <c r="L2148">
        <v>55</v>
      </c>
      <c r="M2148">
        <v>970</v>
      </c>
      <c r="N2148" s="2">
        <v>72000</v>
      </c>
      <c r="O2148" s="2">
        <v>1575</v>
      </c>
      <c r="P2148" s="2">
        <v>0</v>
      </c>
      <c r="Q2148" s="2">
        <v>3880</v>
      </c>
      <c r="R2148" s="2">
        <v>5400</v>
      </c>
      <c r="S2148">
        <v>297</v>
      </c>
      <c r="T2148" s="2">
        <v>54900</v>
      </c>
      <c r="U2148" s="2">
        <v>17100</v>
      </c>
      <c r="V2148">
        <v>213.4</v>
      </c>
      <c r="W2148">
        <v>0</v>
      </c>
      <c r="X2148">
        <v>0</v>
      </c>
      <c r="Y2148">
        <v>0</v>
      </c>
      <c r="Z2148">
        <v>3</v>
      </c>
      <c r="AA2148">
        <v>1.4058107E-2</v>
      </c>
      <c r="AB2148">
        <v>28.8</v>
      </c>
      <c r="AC2148">
        <v>7.76</v>
      </c>
      <c r="AD2148">
        <v>28</v>
      </c>
      <c r="AE2148" s="7"/>
      <c r="AF2148" s="7"/>
      <c r="AG2148" s="7"/>
      <c r="AH2148" s="7"/>
      <c r="AI2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4.24</v>
      </c>
      <c r="AJ2148" s="7"/>
      <c r="AK2148" t="s">
        <v>1108</v>
      </c>
      <c r="AN2148">
        <f>IFERROR(INT(Table13[[#This Row],[reject_prod]]/Table13[[#This Row],[part_weight]] * 1000), 0)</f>
        <v>54</v>
      </c>
    </row>
    <row r="2149" spans="1:40">
      <c r="A2149" s="1">
        <v>46086</v>
      </c>
      <c r="B2149">
        <v>1</v>
      </c>
      <c r="C2149">
        <v>12</v>
      </c>
      <c r="D2149" t="s">
        <v>33</v>
      </c>
      <c r="E2149" t="s">
        <v>46</v>
      </c>
      <c r="F2149">
        <v>555979</v>
      </c>
      <c r="G2149" s="6">
        <v>1</v>
      </c>
      <c r="H2149" t="s">
        <v>52</v>
      </c>
      <c r="I2149">
        <v>10689126</v>
      </c>
      <c r="J2149">
        <v>6</v>
      </c>
      <c r="K2149">
        <v>28</v>
      </c>
      <c r="L2149">
        <v>28</v>
      </c>
      <c r="M2149">
        <v>0</v>
      </c>
      <c r="N2149" s="2">
        <v>100800</v>
      </c>
      <c r="O2149" s="2">
        <v>0</v>
      </c>
      <c r="P2149" s="2">
        <v>0</v>
      </c>
      <c r="Q2149" s="2">
        <v>0</v>
      </c>
      <c r="R2149" s="2">
        <v>0</v>
      </c>
      <c r="S2149">
        <v>0</v>
      </c>
      <c r="T2149" s="2">
        <v>0</v>
      </c>
      <c r="U2149" s="2">
        <v>100800</v>
      </c>
      <c r="V2149">
        <v>0</v>
      </c>
      <c r="W2149">
        <v>0</v>
      </c>
      <c r="X2149">
        <v>0</v>
      </c>
      <c r="Y2149" t="e">
        <v>#DIV/0!</v>
      </c>
      <c r="Z2149">
        <v>0</v>
      </c>
      <c r="AA2149" t="e">
        <v>#DIV/0!</v>
      </c>
      <c r="AB2149">
        <v>40.5</v>
      </c>
      <c r="AC2149">
        <v>0</v>
      </c>
      <c r="AD2149">
        <v>42</v>
      </c>
      <c r="AE2149" s="7">
        <v>5.4</v>
      </c>
      <c r="AF2149" s="7"/>
      <c r="AG2149" s="7"/>
      <c r="AH2149" s="7"/>
      <c r="AI2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</v>
      </c>
      <c r="AJ2149" s="7"/>
      <c r="AK2149" t="s">
        <v>1109</v>
      </c>
      <c r="AN2149">
        <f>IFERROR(INT(Table13[[#This Row],[reject_prod]]/Table13[[#This Row],[part_weight]] * 1000), 0)</f>
        <v>0</v>
      </c>
    </row>
    <row r="2150" spans="1:40">
      <c r="A2150" s="1">
        <v>46086</v>
      </c>
      <c r="B2150">
        <v>1</v>
      </c>
      <c r="C2150">
        <v>13</v>
      </c>
      <c r="D2150" t="s">
        <v>61</v>
      </c>
      <c r="E2150" t="s">
        <v>46</v>
      </c>
      <c r="F2150">
        <v>586276</v>
      </c>
      <c r="G2150" s="6">
        <v>2</v>
      </c>
      <c r="H2150" t="s">
        <v>47</v>
      </c>
      <c r="I2150">
        <v>10688946</v>
      </c>
      <c r="J2150">
        <v>6</v>
      </c>
      <c r="K2150">
        <v>12.3</v>
      </c>
      <c r="L2150">
        <v>12.3</v>
      </c>
      <c r="M2150">
        <v>1628</v>
      </c>
      <c r="N2150" s="2">
        <v>162000</v>
      </c>
      <c r="O2150" s="2">
        <v>810</v>
      </c>
      <c r="P2150" s="2">
        <v>2430</v>
      </c>
      <c r="Q2150" s="2">
        <v>9768</v>
      </c>
      <c r="R2150" s="2">
        <v>8100</v>
      </c>
      <c r="S2150">
        <v>99.63</v>
      </c>
      <c r="T2150" s="2">
        <v>51030</v>
      </c>
      <c r="U2150" s="2">
        <v>110970</v>
      </c>
      <c r="V2150">
        <v>120.1464</v>
      </c>
      <c r="W2150">
        <v>0</v>
      </c>
      <c r="X2150">
        <v>0</v>
      </c>
      <c r="Y2150">
        <v>0</v>
      </c>
      <c r="Z2150">
        <v>0.5</v>
      </c>
      <c r="AA2150">
        <v>4.1615899999999997E-3</v>
      </c>
      <c r="AB2150">
        <v>26.2</v>
      </c>
      <c r="AC2150">
        <v>11.84822222</v>
      </c>
      <c r="AD2150">
        <v>26</v>
      </c>
      <c r="AE2150" s="7"/>
      <c r="AF2150" s="7"/>
      <c r="AG2150" s="7"/>
      <c r="AH2150" s="7"/>
      <c r="AI2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0.15177777999999975</v>
      </c>
      <c r="AJ2150" s="7"/>
      <c r="AK2150" t="s">
        <v>51</v>
      </c>
      <c r="AN2150">
        <f>IFERROR(INT(Table13[[#This Row],[reject_prod]]/Table13[[#This Row],[part_weight]] * 1000), 0)</f>
        <v>40</v>
      </c>
    </row>
    <row r="2151" spans="1:40">
      <c r="A2151" s="1">
        <v>46086</v>
      </c>
      <c r="B2151">
        <v>1</v>
      </c>
      <c r="C2151">
        <v>14</v>
      </c>
      <c r="D2151" t="s">
        <v>152</v>
      </c>
      <c r="E2151" t="s">
        <v>34</v>
      </c>
      <c r="F2151">
        <v>541381</v>
      </c>
      <c r="G2151" s="6">
        <v>0</v>
      </c>
      <c r="H2151" t="s">
        <v>804</v>
      </c>
      <c r="I2151">
        <v>10688073</v>
      </c>
      <c r="J2151">
        <v>4</v>
      </c>
      <c r="K2151">
        <v>55</v>
      </c>
      <c r="L2151">
        <v>55</v>
      </c>
      <c r="M2151">
        <v>1494</v>
      </c>
      <c r="N2151" s="2">
        <v>84000</v>
      </c>
      <c r="O2151" s="2">
        <v>350</v>
      </c>
      <c r="P2151" s="2">
        <v>525</v>
      </c>
      <c r="Q2151" s="2">
        <v>5976</v>
      </c>
      <c r="R2151" s="2">
        <v>5600</v>
      </c>
      <c r="S2151">
        <v>308</v>
      </c>
      <c r="T2151" s="2">
        <v>6825</v>
      </c>
      <c r="U2151" s="2">
        <v>77175</v>
      </c>
      <c r="V2151">
        <v>328.68</v>
      </c>
      <c r="W2151">
        <v>0</v>
      </c>
      <c r="X2151">
        <v>0</v>
      </c>
      <c r="Y2151">
        <v>0</v>
      </c>
      <c r="Z2151">
        <v>10.5</v>
      </c>
      <c r="AA2151">
        <v>3.1945965999999999E-2</v>
      </c>
      <c r="AB2151">
        <v>27.3</v>
      </c>
      <c r="AC2151">
        <v>11.329499999999999</v>
      </c>
      <c r="AD2151">
        <v>30.08</v>
      </c>
      <c r="AE2151" s="7"/>
      <c r="AF2151" s="7"/>
      <c r="AG2151" s="7"/>
      <c r="AH2151" s="7"/>
      <c r="AI2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0.67050000000000054</v>
      </c>
      <c r="AJ2151" s="7"/>
      <c r="AK2151" t="s">
        <v>1036</v>
      </c>
      <c r="AM2151">
        <v>4</v>
      </c>
      <c r="AN2151">
        <f>IFERROR(INT(Table13[[#This Row],[reject_prod]]/Table13[[#This Row],[part_weight]] * 1000), 0)</f>
        <v>190</v>
      </c>
    </row>
    <row r="2152" spans="1:40">
      <c r="A2152" s="1">
        <v>46086</v>
      </c>
      <c r="B2152">
        <v>1</v>
      </c>
      <c r="C2152">
        <v>15</v>
      </c>
      <c r="D2152" t="s">
        <v>61</v>
      </c>
      <c r="E2152" t="s">
        <v>46</v>
      </c>
      <c r="F2152">
        <v>552181</v>
      </c>
      <c r="G2152" s="6">
        <v>2</v>
      </c>
      <c r="H2152" t="s">
        <v>49</v>
      </c>
      <c r="I2152">
        <v>10686680</v>
      </c>
      <c r="J2152">
        <v>6</v>
      </c>
      <c r="K2152">
        <v>14.7</v>
      </c>
      <c r="L2152">
        <v>14.7</v>
      </c>
      <c r="M2152">
        <v>1350</v>
      </c>
      <c r="N2152" s="2">
        <v>108000</v>
      </c>
      <c r="O2152" s="2">
        <v>1350</v>
      </c>
      <c r="P2152" s="2">
        <v>4050</v>
      </c>
      <c r="Q2152" s="2">
        <v>8100</v>
      </c>
      <c r="R2152" s="2">
        <v>5400</v>
      </c>
      <c r="S2152">
        <v>79.38</v>
      </c>
      <c r="T2152" s="2">
        <v>20250</v>
      </c>
      <c r="U2152" s="2">
        <v>87750</v>
      </c>
      <c r="V2152">
        <v>119.07</v>
      </c>
      <c r="W2152">
        <v>0</v>
      </c>
      <c r="X2152">
        <v>0</v>
      </c>
      <c r="Y2152">
        <v>0</v>
      </c>
      <c r="Z2152">
        <v>0.5</v>
      </c>
      <c r="AA2152">
        <v>4.1992109999999996E-3</v>
      </c>
      <c r="AB2152">
        <v>30.6</v>
      </c>
      <c r="AC2152">
        <v>11.475</v>
      </c>
      <c r="AD2152">
        <v>27</v>
      </c>
      <c r="AE2152" s="7"/>
      <c r="AF2152" s="7"/>
      <c r="AG2152" s="7"/>
      <c r="AH2152" s="7"/>
      <c r="AI2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2152" s="7"/>
      <c r="AK2152" t="s">
        <v>51</v>
      </c>
      <c r="AN2152">
        <f>IFERROR(INT(Table13[[#This Row],[reject_prod]]/Table13[[#This Row],[part_weight]] * 1000), 0)</f>
        <v>34</v>
      </c>
    </row>
    <row r="2153" spans="1:40">
      <c r="A2153" s="1">
        <v>46086</v>
      </c>
      <c r="B2153">
        <v>1</v>
      </c>
      <c r="C2153">
        <v>16</v>
      </c>
      <c r="D2153" t="s">
        <v>1110</v>
      </c>
      <c r="E2153" t="s">
        <v>46</v>
      </c>
      <c r="F2153">
        <v>555979</v>
      </c>
      <c r="G2153" s="6">
        <v>2</v>
      </c>
      <c r="H2153" t="s">
        <v>52</v>
      </c>
      <c r="I2153">
        <v>10686701</v>
      </c>
      <c r="J2153">
        <v>6</v>
      </c>
      <c r="K2153">
        <v>28</v>
      </c>
      <c r="L2153">
        <v>28</v>
      </c>
      <c r="M2153">
        <v>1073</v>
      </c>
      <c r="N2153" s="2">
        <v>100800</v>
      </c>
      <c r="O2153" s="2">
        <v>1512</v>
      </c>
      <c r="P2153" s="2">
        <v>1176</v>
      </c>
      <c r="Q2153" s="2">
        <v>6438</v>
      </c>
      <c r="R2153" s="2">
        <v>6720</v>
      </c>
      <c r="S2153">
        <v>188.16</v>
      </c>
      <c r="T2153" s="2">
        <v>75096</v>
      </c>
      <c r="U2153" s="2">
        <v>25704</v>
      </c>
      <c r="V2153">
        <v>180.26400000000001</v>
      </c>
      <c r="W2153">
        <v>0</v>
      </c>
      <c r="X2153">
        <v>0</v>
      </c>
      <c r="Y2153">
        <v>0</v>
      </c>
      <c r="Z2153">
        <v>1</v>
      </c>
      <c r="AA2153">
        <v>5.5474189999999996E-3</v>
      </c>
      <c r="AB2153">
        <v>40.5</v>
      </c>
      <c r="AC2153">
        <v>12</v>
      </c>
      <c r="AD2153">
        <v>42</v>
      </c>
      <c r="AE2153" s="7"/>
      <c r="AF2153" s="7"/>
      <c r="AG2153" s="7"/>
      <c r="AH2153" s="7"/>
      <c r="AI2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53" s="7"/>
      <c r="AK2153" t="s">
        <v>51</v>
      </c>
      <c r="AN2153">
        <f>IFERROR(INT(Table13[[#This Row],[reject_prod]]/Table13[[#This Row],[part_weight]] * 1000), 0)</f>
        <v>35</v>
      </c>
    </row>
    <row r="2154" spans="1:40">
      <c r="A2154" s="1">
        <v>46086</v>
      </c>
      <c r="B2154">
        <v>2</v>
      </c>
      <c r="C2154">
        <v>1</v>
      </c>
      <c r="D2154" t="s">
        <v>58</v>
      </c>
      <c r="E2154" t="s">
        <v>34</v>
      </c>
      <c r="F2154">
        <v>529004</v>
      </c>
      <c r="G2154" s="6">
        <v>0</v>
      </c>
      <c r="H2154" t="s">
        <v>723</v>
      </c>
      <c r="I2154">
        <v>10688944</v>
      </c>
      <c r="J2154">
        <v>4</v>
      </c>
      <c r="K2154">
        <v>31</v>
      </c>
      <c r="L2154">
        <v>31</v>
      </c>
      <c r="M2154">
        <v>1320</v>
      </c>
      <c r="N2154" s="2">
        <v>20400</v>
      </c>
      <c r="O2154" s="2">
        <v>960</v>
      </c>
      <c r="P2154" s="2">
        <v>240</v>
      </c>
      <c r="Q2154" s="2">
        <v>5280</v>
      </c>
      <c r="R2154" s="2">
        <v>6000</v>
      </c>
      <c r="S2154">
        <v>186</v>
      </c>
      <c r="T2154" s="2">
        <v>18240</v>
      </c>
      <c r="U2154" s="2">
        <v>2160</v>
      </c>
      <c r="V2154">
        <v>163.68</v>
      </c>
      <c r="W2154">
        <v>0</v>
      </c>
      <c r="X2154">
        <v>0</v>
      </c>
      <c r="Y2154">
        <v>0</v>
      </c>
      <c r="Z2154">
        <v>6.2</v>
      </c>
      <c r="AA2154">
        <v>3.7878787999999997E-2</v>
      </c>
      <c r="AB2154">
        <v>30.5</v>
      </c>
      <c r="AC2154">
        <v>11.18333333</v>
      </c>
      <c r="AD2154">
        <v>29</v>
      </c>
      <c r="AE2154" s="7"/>
      <c r="AF2154" s="7"/>
      <c r="AG2154" s="7"/>
      <c r="AH2154" s="7"/>
      <c r="AI2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0.81666667000000004</v>
      </c>
      <c r="AJ2154" s="7"/>
      <c r="AK2154" t="s">
        <v>1111</v>
      </c>
      <c r="AN2154">
        <f>IFERROR(INT(Table13[[#This Row],[reject_prod]]/Table13[[#This Row],[part_weight]] * 1000), 0)</f>
        <v>200</v>
      </c>
    </row>
    <row r="2155" spans="1:40">
      <c r="A2155" s="1">
        <v>46086</v>
      </c>
      <c r="B2155">
        <v>2</v>
      </c>
      <c r="C2155">
        <v>2</v>
      </c>
      <c r="D2155" t="s">
        <v>56</v>
      </c>
      <c r="E2155" t="s">
        <v>34</v>
      </c>
      <c r="F2155">
        <v>423215</v>
      </c>
      <c r="G2155" s="6">
        <v>0</v>
      </c>
      <c r="H2155" t="s">
        <v>156</v>
      </c>
      <c r="I2155">
        <v>10688491</v>
      </c>
      <c r="J2155">
        <v>4</v>
      </c>
      <c r="K2155">
        <v>24</v>
      </c>
      <c r="L2155">
        <v>24</v>
      </c>
      <c r="M2155">
        <v>1910</v>
      </c>
      <c r="N2155" s="2">
        <v>9870</v>
      </c>
      <c r="O2155" s="2">
        <v>0</v>
      </c>
      <c r="P2155" s="2">
        <v>846</v>
      </c>
      <c r="Q2155" s="2">
        <v>7640</v>
      </c>
      <c r="R2155" s="2">
        <v>6768</v>
      </c>
      <c r="S2155">
        <v>162.43199999999999</v>
      </c>
      <c r="T2155" s="2">
        <v>7614</v>
      </c>
      <c r="U2155" s="2">
        <v>2256</v>
      </c>
      <c r="V2155">
        <v>183.36</v>
      </c>
      <c r="W2155">
        <v>0</v>
      </c>
      <c r="X2155">
        <v>0</v>
      </c>
      <c r="Y2155">
        <v>0</v>
      </c>
      <c r="Z2155">
        <v>1.5</v>
      </c>
      <c r="AA2155">
        <v>8.1806280000000006E-3</v>
      </c>
      <c r="AB2155">
        <v>22.44</v>
      </c>
      <c r="AC2155">
        <v>11.90566667</v>
      </c>
      <c r="AD2155">
        <v>22</v>
      </c>
      <c r="AE2155" s="7"/>
      <c r="AF2155" s="7"/>
      <c r="AG2155" s="7"/>
      <c r="AH2155" s="7"/>
      <c r="AI2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9.4333329999999549E-2</v>
      </c>
      <c r="AJ2155" s="7"/>
      <c r="AK2155" t="s">
        <v>168</v>
      </c>
      <c r="AN2155">
        <f>IFERROR(INT(Table13[[#This Row],[reject_prod]]/Table13[[#This Row],[part_weight]] * 1000), 0)</f>
        <v>62</v>
      </c>
    </row>
    <row r="2156" spans="1:40">
      <c r="A2156" s="1">
        <v>46086</v>
      </c>
      <c r="B2156">
        <v>2</v>
      </c>
      <c r="C2156">
        <v>3</v>
      </c>
      <c r="D2156" t="s">
        <v>84</v>
      </c>
      <c r="E2156" t="s">
        <v>34</v>
      </c>
      <c r="F2156">
        <v>442034</v>
      </c>
      <c r="G2156" s="6">
        <v>0</v>
      </c>
      <c r="H2156" t="s">
        <v>37</v>
      </c>
      <c r="I2156">
        <v>10685635</v>
      </c>
      <c r="J2156">
        <v>4</v>
      </c>
      <c r="K2156">
        <v>23</v>
      </c>
      <c r="L2156">
        <v>23</v>
      </c>
      <c r="M2156">
        <v>1450</v>
      </c>
      <c r="N2156" s="2">
        <v>139776</v>
      </c>
      <c r="O2156" s="2">
        <v>0</v>
      </c>
      <c r="P2156" s="2">
        <v>1152</v>
      </c>
      <c r="Q2156" s="2">
        <v>5800</v>
      </c>
      <c r="R2156" s="2">
        <v>4608</v>
      </c>
      <c r="S2156">
        <v>105.98399999999999</v>
      </c>
      <c r="T2156" s="2">
        <v>14976</v>
      </c>
      <c r="U2156" s="2">
        <v>124800</v>
      </c>
      <c r="V2156">
        <v>133.4</v>
      </c>
      <c r="W2156">
        <v>0</v>
      </c>
      <c r="X2156">
        <v>0</v>
      </c>
      <c r="Y2156">
        <v>0</v>
      </c>
      <c r="Z2156">
        <v>6.3</v>
      </c>
      <c r="AA2156">
        <v>4.7226387000000002E-2</v>
      </c>
      <c r="AB2156">
        <v>28.5</v>
      </c>
      <c r="AC2156">
        <v>11.47916667</v>
      </c>
      <c r="AD2156">
        <v>22</v>
      </c>
      <c r="AE2156" s="7"/>
      <c r="AF2156" s="7"/>
      <c r="AG2156" s="7"/>
      <c r="AH2156" s="7"/>
      <c r="AI2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0.52083333000000032</v>
      </c>
      <c r="AJ2156" s="7"/>
      <c r="AK2156" t="s">
        <v>1111</v>
      </c>
      <c r="AN2156">
        <f>IFERROR(INT(Table13[[#This Row],[reject_prod]]/Table13[[#This Row],[part_weight]] * 1000), 0)</f>
        <v>273</v>
      </c>
    </row>
    <row r="2157" spans="1:40">
      <c r="A2157" s="1">
        <v>46086</v>
      </c>
      <c r="B2157">
        <v>2</v>
      </c>
      <c r="C2157">
        <v>4</v>
      </c>
      <c r="D2157" t="s">
        <v>54</v>
      </c>
      <c r="E2157" t="s">
        <v>34</v>
      </c>
      <c r="F2157">
        <v>402305</v>
      </c>
      <c r="G2157" s="6">
        <v>0</v>
      </c>
      <c r="H2157" t="s">
        <v>395</v>
      </c>
      <c r="I2157">
        <v>10688065</v>
      </c>
      <c r="J2157">
        <v>4</v>
      </c>
      <c r="K2157">
        <v>29</v>
      </c>
      <c r="L2157">
        <v>29</v>
      </c>
      <c r="M2157">
        <v>1586</v>
      </c>
      <c r="N2157" s="2">
        <v>44928</v>
      </c>
      <c r="O2157" s="2">
        <v>728</v>
      </c>
      <c r="P2157" s="2">
        <v>832</v>
      </c>
      <c r="Q2157" s="2">
        <v>6344</v>
      </c>
      <c r="R2157" s="2">
        <v>6240</v>
      </c>
      <c r="S2157">
        <v>180.96</v>
      </c>
      <c r="T2157" s="2">
        <v>33280</v>
      </c>
      <c r="U2157" s="2">
        <v>11648</v>
      </c>
      <c r="V2157">
        <v>183.976</v>
      </c>
      <c r="W2157">
        <v>0</v>
      </c>
      <c r="X2157">
        <v>0</v>
      </c>
      <c r="Y2157">
        <v>0</v>
      </c>
      <c r="Z2157">
        <v>4</v>
      </c>
      <c r="AA2157">
        <v>2.1741966000000001E-2</v>
      </c>
      <c r="AB2157">
        <v>25.6</v>
      </c>
      <c r="AC2157">
        <v>11.27822222</v>
      </c>
      <c r="AD2157">
        <v>22</v>
      </c>
      <c r="AE2157" s="7"/>
      <c r="AF2157" s="7"/>
      <c r="AG2157" s="7"/>
      <c r="AH2157" s="7"/>
      <c r="AI2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0.72177778000000004</v>
      </c>
      <c r="AJ2157" s="7"/>
      <c r="AK2157" t="s">
        <v>75</v>
      </c>
      <c r="AN2157">
        <f>IFERROR(INT(Table13[[#This Row],[reject_prod]]/Table13[[#This Row],[part_weight]] * 1000), 0)</f>
        <v>137</v>
      </c>
    </row>
    <row r="2158" spans="1:40">
      <c r="A2158" s="1">
        <v>46086</v>
      </c>
      <c r="B2158">
        <v>2</v>
      </c>
      <c r="C2158">
        <v>5</v>
      </c>
      <c r="D2158" t="s">
        <v>309</v>
      </c>
      <c r="E2158" t="s">
        <v>34</v>
      </c>
      <c r="F2158">
        <v>322448</v>
      </c>
      <c r="G2158" s="6">
        <v>0</v>
      </c>
      <c r="H2158" t="s">
        <v>654</v>
      </c>
      <c r="I2158">
        <v>10687753</v>
      </c>
      <c r="J2158">
        <v>4</v>
      </c>
      <c r="K2158">
        <v>40</v>
      </c>
      <c r="L2158">
        <v>40</v>
      </c>
      <c r="M2158">
        <v>1620</v>
      </c>
      <c r="N2158" s="2">
        <v>174960</v>
      </c>
      <c r="O2158" s="2">
        <v>162</v>
      </c>
      <c r="P2158" s="2">
        <v>162</v>
      </c>
      <c r="Q2158" s="2">
        <v>6480</v>
      </c>
      <c r="R2158" s="2">
        <v>6480</v>
      </c>
      <c r="S2158">
        <v>259.2</v>
      </c>
      <c r="T2158" s="2">
        <v>88452</v>
      </c>
      <c r="U2158" s="2">
        <v>86508</v>
      </c>
      <c r="V2158">
        <v>259.2</v>
      </c>
      <c r="W2158">
        <v>0</v>
      </c>
      <c r="X2158">
        <v>0</v>
      </c>
      <c r="Y2158">
        <v>0</v>
      </c>
      <c r="Z2158">
        <v>3.4</v>
      </c>
      <c r="AA2158">
        <v>1.3117284E-2</v>
      </c>
      <c r="AB2158">
        <v>26.1</v>
      </c>
      <c r="AC2158">
        <v>11.744999999999999</v>
      </c>
      <c r="AD2158">
        <v>23</v>
      </c>
      <c r="AE2158" s="7"/>
      <c r="AF2158" s="7"/>
      <c r="AG2158" s="7"/>
      <c r="AH2158" s="7"/>
      <c r="AI2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158" s="7"/>
      <c r="AK2158" t="s">
        <v>51</v>
      </c>
      <c r="AN2158">
        <f>IFERROR(INT(Table13[[#This Row],[reject_prod]]/Table13[[#This Row],[part_weight]] * 1000), 0)</f>
        <v>85</v>
      </c>
    </row>
    <row r="2159" spans="1:40">
      <c r="A2159" s="1">
        <v>46086</v>
      </c>
      <c r="B2159">
        <v>2</v>
      </c>
      <c r="C2159">
        <v>6</v>
      </c>
      <c r="D2159" t="s">
        <v>1112</v>
      </c>
      <c r="E2159" t="s">
        <v>34</v>
      </c>
      <c r="F2159">
        <v>532981</v>
      </c>
      <c r="G2159" s="6">
        <v>0</v>
      </c>
      <c r="H2159" t="s">
        <v>233</v>
      </c>
      <c r="I2159">
        <v>10688648</v>
      </c>
      <c r="J2159">
        <v>4</v>
      </c>
      <c r="K2159">
        <v>24.45</v>
      </c>
      <c r="L2159">
        <v>24</v>
      </c>
      <c r="M2159">
        <v>798</v>
      </c>
      <c r="N2159" s="2">
        <v>87552</v>
      </c>
      <c r="O2159" s="2">
        <v>10488</v>
      </c>
      <c r="P2159" s="2">
        <v>13680</v>
      </c>
      <c r="Q2159" s="2">
        <v>3192</v>
      </c>
      <c r="R2159" s="2">
        <v>0</v>
      </c>
      <c r="S2159">
        <v>0</v>
      </c>
      <c r="T2159" s="2">
        <v>35568</v>
      </c>
      <c r="U2159" s="2">
        <v>51984</v>
      </c>
      <c r="V2159">
        <v>76.608000000000004</v>
      </c>
      <c r="W2159">
        <v>0</v>
      </c>
      <c r="X2159">
        <v>0</v>
      </c>
      <c r="Y2159">
        <v>0</v>
      </c>
      <c r="Z2159">
        <v>5.5</v>
      </c>
      <c r="AA2159">
        <v>7.1794069000000002E-2</v>
      </c>
      <c r="AB2159">
        <v>23.2</v>
      </c>
      <c r="AC2159">
        <v>5.1426666670000003</v>
      </c>
      <c r="AD2159">
        <v>20</v>
      </c>
      <c r="AE2159" s="7"/>
      <c r="AF2159" s="7"/>
      <c r="AG2159" s="7"/>
      <c r="AH2159" s="7"/>
      <c r="AI2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6.8573333329999997</v>
      </c>
      <c r="AJ2159" s="7"/>
      <c r="AK2159" t="s">
        <v>1113</v>
      </c>
      <c r="AN2159">
        <f>IFERROR(INT(Table13[[#This Row],[reject_prod]]/Table13[[#This Row],[part_weight]] * 1000), 0)</f>
        <v>229</v>
      </c>
    </row>
    <row r="2160" spans="1:40">
      <c r="A2160" s="1">
        <v>46086</v>
      </c>
      <c r="B2160">
        <v>2</v>
      </c>
      <c r="C2160">
        <v>7</v>
      </c>
      <c r="D2160" t="s">
        <v>979</v>
      </c>
      <c r="E2160" t="s">
        <v>34</v>
      </c>
      <c r="F2160">
        <v>322452</v>
      </c>
      <c r="G2160" s="6">
        <v>0</v>
      </c>
      <c r="H2160" t="s">
        <v>374</v>
      </c>
      <c r="I2160">
        <v>10689204</v>
      </c>
      <c r="J2160">
        <v>4</v>
      </c>
      <c r="K2160">
        <v>33.11</v>
      </c>
      <c r="L2160">
        <v>34.5</v>
      </c>
      <c r="M2160">
        <v>1635</v>
      </c>
      <c r="N2160" s="2">
        <v>49920</v>
      </c>
      <c r="O2160" s="2">
        <v>624</v>
      </c>
      <c r="P2160" s="2">
        <v>924</v>
      </c>
      <c r="Q2160" s="2">
        <v>6540</v>
      </c>
      <c r="R2160" s="2">
        <v>6240</v>
      </c>
      <c r="S2160">
        <v>215.28</v>
      </c>
      <c r="T2160" s="2">
        <v>15900</v>
      </c>
      <c r="U2160" s="2">
        <v>34020</v>
      </c>
      <c r="V2160">
        <v>225.63</v>
      </c>
      <c r="W2160">
        <v>0</v>
      </c>
      <c r="X2160">
        <v>0</v>
      </c>
      <c r="Y2160">
        <v>0</v>
      </c>
      <c r="Z2160">
        <v>12.3</v>
      </c>
      <c r="AA2160">
        <v>5.4514027E-2</v>
      </c>
      <c r="AB2160">
        <v>22.65</v>
      </c>
      <c r="AC2160">
        <v>10.286875</v>
      </c>
      <c r="AD2160">
        <v>18.04</v>
      </c>
      <c r="AE2160" s="7"/>
      <c r="AF2160" s="7"/>
      <c r="AG2160" s="7"/>
      <c r="AH2160" s="7"/>
      <c r="AI2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1.7131249999999998</v>
      </c>
      <c r="AJ2160" s="7"/>
      <c r="AK2160" t="s">
        <v>1114</v>
      </c>
      <c r="AN2160">
        <f>IFERROR(INT(Table13[[#This Row],[reject_prod]]/Table13[[#This Row],[part_weight]] * 1000), 0)</f>
        <v>356</v>
      </c>
    </row>
    <row r="2161" spans="1:40">
      <c r="A2161" s="1">
        <v>46086</v>
      </c>
      <c r="B2161">
        <v>2</v>
      </c>
      <c r="C2161">
        <v>8</v>
      </c>
      <c r="F2161">
        <v>123456</v>
      </c>
      <c r="G2161" s="6">
        <v>0</v>
      </c>
      <c r="M2161">
        <v>0</v>
      </c>
      <c r="N2161" s="2">
        <v>0</v>
      </c>
      <c r="O2161" s="2">
        <v>0</v>
      </c>
      <c r="P2161" s="2">
        <v>0</v>
      </c>
      <c r="Q2161" s="2"/>
      <c r="R2161" s="2">
        <v>0</v>
      </c>
      <c r="T2161" s="2">
        <v>0</v>
      </c>
      <c r="U2161" s="2"/>
      <c r="X2161">
        <v>0</v>
      </c>
      <c r="Z2161">
        <v>0</v>
      </c>
      <c r="AB2161">
        <v>0</v>
      </c>
      <c r="AC2161">
        <v>0</v>
      </c>
      <c r="AD2161">
        <v>0</v>
      </c>
      <c r="AE2161" s="7"/>
      <c r="AF2161" s="7"/>
      <c r="AG2161" s="7"/>
      <c r="AH2161" s="7"/>
      <c r="AI2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61" s="7">
        <v>12</v>
      </c>
      <c r="AK2161" t="s">
        <v>116</v>
      </c>
      <c r="AN2161">
        <f>IFERROR(INT(Table13[[#This Row],[reject_prod]]/Table13[[#This Row],[part_weight]] * 1000), 0)</f>
        <v>0</v>
      </c>
    </row>
    <row r="2162" spans="1:40">
      <c r="A2162" s="1">
        <v>46086</v>
      </c>
      <c r="B2162">
        <v>2</v>
      </c>
      <c r="C2162">
        <v>9</v>
      </c>
      <c r="D2162" t="s">
        <v>289</v>
      </c>
      <c r="E2162" t="s">
        <v>46</v>
      </c>
      <c r="F2162">
        <v>586276</v>
      </c>
      <c r="G2162" s="6">
        <v>1</v>
      </c>
      <c r="H2162" t="s">
        <v>47</v>
      </c>
      <c r="I2162">
        <v>10686685</v>
      </c>
      <c r="J2162">
        <v>6</v>
      </c>
      <c r="K2162">
        <v>12.3</v>
      </c>
      <c r="L2162">
        <v>12.3</v>
      </c>
      <c r="M2162">
        <v>1620</v>
      </c>
      <c r="N2162" s="2">
        <v>162000</v>
      </c>
      <c r="O2162" s="2">
        <v>6075</v>
      </c>
      <c r="P2162" s="2">
        <v>7695</v>
      </c>
      <c r="Q2162" s="2">
        <v>9720</v>
      </c>
      <c r="R2162" s="2">
        <v>8100</v>
      </c>
      <c r="S2162">
        <v>99.63</v>
      </c>
      <c r="T2162" s="2">
        <v>96795</v>
      </c>
      <c r="U2162" s="2">
        <v>65205</v>
      </c>
      <c r="V2162">
        <v>119.556</v>
      </c>
      <c r="W2162">
        <v>0</v>
      </c>
      <c r="X2162">
        <v>0</v>
      </c>
      <c r="Y2162">
        <v>0</v>
      </c>
      <c r="Z2162">
        <v>1.5</v>
      </c>
      <c r="AA2162">
        <v>1.2546422E-2</v>
      </c>
      <c r="AB2162">
        <v>26.5</v>
      </c>
      <c r="AC2162">
        <v>11.925000000000001</v>
      </c>
      <c r="AD2162">
        <v>26</v>
      </c>
      <c r="AE2162" s="7"/>
      <c r="AF2162" s="7"/>
      <c r="AG2162" s="7"/>
      <c r="AH2162" s="7"/>
      <c r="AI2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162" s="7"/>
      <c r="AK2162" t="s">
        <v>51</v>
      </c>
      <c r="AN2162">
        <f>IFERROR(INT(Table13[[#This Row],[reject_prod]]/Table13[[#This Row],[part_weight]] * 1000), 0)</f>
        <v>121</v>
      </c>
    </row>
    <row r="2163" spans="1:40">
      <c r="A2163" s="1">
        <v>46086</v>
      </c>
      <c r="B2163">
        <v>2</v>
      </c>
      <c r="C2163">
        <v>10</v>
      </c>
      <c r="D2163" t="s">
        <v>53</v>
      </c>
      <c r="E2163" t="s">
        <v>34</v>
      </c>
      <c r="F2163">
        <v>414439</v>
      </c>
      <c r="G2163" s="6">
        <v>0</v>
      </c>
      <c r="H2163" t="s">
        <v>587</v>
      </c>
      <c r="I2163">
        <v>10688521</v>
      </c>
      <c r="J2163">
        <v>6</v>
      </c>
      <c r="K2163">
        <v>57</v>
      </c>
      <c r="L2163">
        <v>15</v>
      </c>
      <c r="M2163">
        <v>1790</v>
      </c>
      <c r="N2163" s="2">
        <v>206976</v>
      </c>
      <c r="O2163" s="2">
        <v>11088</v>
      </c>
      <c r="P2163" s="2">
        <v>6776</v>
      </c>
      <c r="Q2163" s="2">
        <v>10740</v>
      </c>
      <c r="R2163" s="2">
        <v>14784</v>
      </c>
      <c r="S2163">
        <v>221.76</v>
      </c>
      <c r="T2163" s="2">
        <v>21560</v>
      </c>
      <c r="U2163" s="2">
        <v>185416</v>
      </c>
      <c r="V2163">
        <v>161.1</v>
      </c>
      <c r="W2163">
        <v>0</v>
      </c>
      <c r="X2163">
        <v>0</v>
      </c>
      <c r="Y2163">
        <v>0</v>
      </c>
      <c r="Z2163">
        <v>4.5999999999999996</v>
      </c>
      <c r="AA2163">
        <v>2.8553693000000002E-2</v>
      </c>
      <c r="AB2163">
        <v>23.32</v>
      </c>
      <c r="AC2163">
        <v>11.59522222</v>
      </c>
      <c r="AD2163">
        <v>15</v>
      </c>
      <c r="AE2163" s="7"/>
      <c r="AF2163" s="7"/>
      <c r="AG2163" s="7"/>
      <c r="AH2163" s="7"/>
      <c r="AI2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0.40477777999999986</v>
      </c>
      <c r="AJ2163" s="7"/>
      <c r="AK2163" t="s">
        <v>643</v>
      </c>
      <c r="AN2163">
        <f>IFERROR(INT(Table13[[#This Row],[reject_prod]]/Table13[[#This Row],[part_weight]] * 1000), 0)</f>
        <v>306</v>
      </c>
    </row>
    <row r="2164" spans="1:40">
      <c r="A2164" s="1">
        <v>46086</v>
      </c>
      <c r="B2164">
        <v>2</v>
      </c>
      <c r="C2164">
        <v>11</v>
      </c>
      <c r="D2164" t="s">
        <v>33</v>
      </c>
      <c r="E2164" t="s">
        <v>46</v>
      </c>
      <c r="F2164">
        <v>552181</v>
      </c>
      <c r="G2164" s="6">
        <v>1</v>
      </c>
      <c r="H2164" t="s">
        <v>49</v>
      </c>
      <c r="I2164">
        <v>10688069</v>
      </c>
      <c r="J2164">
        <v>6</v>
      </c>
      <c r="K2164">
        <v>14.7</v>
      </c>
      <c r="L2164">
        <v>14.7</v>
      </c>
      <c r="M2164">
        <v>0</v>
      </c>
      <c r="N2164" s="2">
        <v>108000</v>
      </c>
      <c r="O2164" s="2">
        <v>11070</v>
      </c>
      <c r="P2164" s="2">
        <v>11070</v>
      </c>
      <c r="Q2164" s="2">
        <v>0</v>
      </c>
      <c r="R2164" s="2">
        <v>0</v>
      </c>
      <c r="S2164">
        <v>0</v>
      </c>
      <c r="T2164" s="2">
        <v>48600</v>
      </c>
      <c r="U2164" s="2">
        <v>59400</v>
      </c>
      <c r="V2164">
        <v>0</v>
      </c>
      <c r="W2164">
        <v>0</v>
      </c>
      <c r="X2164">
        <v>0</v>
      </c>
      <c r="Y2164" t="e">
        <v>#DIV/0!</v>
      </c>
      <c r="Z2164">
        <v>0</v>
      </c>
      <c r="AA2164" t="e">
        <v>#DIV/0!</v>
      </c>
      <c r="AB2164">
        <v>28.46</v>
      </c>
      <c r="AC2164">
        <v>0</v>
      </c>
      <c r="AD2164">
        <v>27</v>
      </c>
      <c r="AE2164" s="7"/>
      <c r="AF2164" s="7"/>
      <c r="AG2164" s="7"/>
      <c r="AH2164" s="7"/>
      <c r="AI2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64" s="7"/>
      <c r="AK2164" t="s">
        <v>989</v>
      </c>
      <c r="AN2164">
        <f>IFERROR(INT(Table13[[#This Row],[reject_prod]]/Table13[[#This Row],[part_weight]] * 1000), 0)</f>
        <v>0</v>
      </c>
    </row>
    <row r="2165" spans="1:40">
      <c r="A2165" s="1">
        <v>46086</v>
      </c>
      <c r="B2165">
        <v>2</v>
      </c>
      <c r="C2165">
        <v>12</v>
      </c>
      <c r="D2165" t="s">
        <v>33</v>
      </c>
      <c r="E2165" t="s">
        <v>46</v>
      </c>
      <c r="F2165">
        <v>555979</v>
      </c>
      <c r="G2165" s="6">
        <v>1</v>
      </c>
      <c r="H2165" t="s">
        <v>52</v>
      </c>
      <c r="I2165">
        <v>10689126</v>
      </c>
      <c r="J2165">
        <v>6</v>
      </c>
      <c r="K2165">
        <v>28</v>
      </c>
      <c r="L2165">
        <v>28</v>
      </c>
      <c r="M2165">
        <v>0</v>
      </c>
      <c r="N2165" s="2">
        <v>100800</v>
      </c>
      <c r="O2165" s="2">
        <v>0</v>
      </c>
      <c r="P2165" s="2">
        <v>0</v>
      </c>
      <c r="Q2165" s="2">
        <v>0</v>
      </c>
      <c r="R2165" s="2">
        <v>0</v>
      </c>
      <c r="S2165">
        <v>0</v>
      </c>
      <c r="T2165" s="2">
        <v>0</v>
      </c>
      <c r="U2165" s="2">
        <v>100800</v>
      </c>
      <c r="V2165">
        <v>0</v>
      </c>
      <c r="W2165">
        <v>0</v>
      </c>
      <c r="X2165">
        <v>0</v>
      </c>
      <c r="Y2165" t="e">
        <v>#DIV/0!</v>
      </c>
      <c r="Z2165">
        <v>0</v>
      </c>
      <c r="AA2165" t="e">
        <v>#DIV/0!</v>
      </c>
      <c r="AB2165">
        <v>28.8</v>
      </c>
      <c r="AC2165">
        <v>0</v>
      </c>
      <c r="AD2165">
        <v>42</v>
      </c>
      <c r="AE2165" s="7"/>
      <c r="AF2165" s="7"/>
      <c r="AG2165" s="7"/>
      <c r="AH2165" s="7"/>
      <c r="AI2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65" s="7"/>
      <c r="AK2165" t="s">
        <v>584</v>
      </c>
      <c r="AN2165">
        <f>IFERROR(INT(Table13[[#This Row],[reject_prod]]/Table13[[#This Row],[part_weight]] * 1000), 0)</f>
        <v>0</v>
      </c>
    </row>
    <row r="2166" spans="1:40">
      <c r="A2166" s="1">
        <v>46086</v>
      </c>
      <c r="B2166">
        <v>2</v>
      </c>
      <c r="C2166">
        <v>13</v>
      </c>
      <c r="D2166" t="s">
        <v>139</v>
      </c>
      <c r="E2166" t="s">
        <v>46</v>
      </c>
      <c r="F2166">
        <v>586276</v>
      </c>
      <c r="G2166" s="6">
        <v>2</v>
      </c>
      <c r="H2166" t="s">
        <v>47</v>
      </c>
      <c r="I2166">
        <v>10688946</v>
      </c>
      <c r="J2166">
        <v>6</v>
      </c>
      <c r="K2166">
        <v>12.3</v>
      </c>
      <c r="L2166">
        <v>12.3</v>
      </c>
      <c r="M2166">
        <v>1620</v>
      </c>
      <c r="N2166" s="2">
        <v>162000</v>
      </c>
      <c r="O2166" s="2">
        <v>2430</v>
      </c>
      <c r="P2166" s="2">
        <v>4050</v>
      </c>
      <c r="Q2166" s="2">
        <v>9720</v>
      </c>
      <c r="R2166" s="2">
        <v>8100</v>
      </c>
      <c r="S2166">
        <v>99.63</v>
      </c>
      <c r="T2166" s="2">
        <v>60750</v>
      </c>
      <c r="U2166" s="2">
        <v>101250</v>
      </c>
      <c r="V2166">
        <v>119.556</v>
      </c>
      <c r="W2166">
        <v>0</v>
      </c>
      <c r="X2166">
        <v>0</v>
      </c>
      <c r="Y2166">
        <v>0</v>
      </c>
      <c r="Z2166">
        <v>1.2</v>
      </c>
      <c r="AA2166">
        <v>1.0037137E-2</v>
      </c>
      <c r="AB2166">
        <v>26.2</v>
      </c>
      <c r="AC2166">
        <v>11.79</v>
      </c>
      <c r="AD2166">
        <v>26</v>
      </c>
      <c r="AE2166" s="7"/>
      <c r="AF2166" s="7"/>
      <c r="AG2166" s="7"/>
      <c r="AH2166" s="7"/>
      <c r="AI2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166" s="7"/>
      <c r="AK2166" t="s">
        <v>51</v>
      </c>
      <c r="AN2166">
        <f>IFERROR(INT(Table13[[#This Row],[reject_prod]]/Table13[[#This Row],[part_weight]] * 1000), 0)</f>
        <v>97</v>
      </c>
    </row>
    <row r="2167" spans="1:40">
      <c r="A2167" s="1">
        <v>46086</v>
      </c>
      <c r="B2167">
        <v>2</v>
      </c>
      <c r="C2167">
        <v>14</v>
      </c>
      <c r="D2167" t="s">
        <v>59</v>
      </c>
      <c r="E2167" t="s">
        <v>34</v>
      </c>
      <c r="F2167">
        <v>541381</v>
      </c>
      <c r="G2167" s="6">
        <v>0</v>
      </c>
      <c r="H2167" t="s">
        <v>804</v>
      </c>
      <c r="I2167">
        <v>10688073</v>
      </c>
      <c r="J2167">
        <v>4</v>
      </c>
      <c r="K2167">
        <v>55</v>
      </c>
      <c r="L2167">
        <v>55</v>
      </c>
      <c r="M2167">
        <v>1520</v>
      </c>
      <c r="N2167" s="2">
        <v>84000</v>
      </c>
      <c r="O2167" s="2">
        <v>525</v>
      </c>
      <c r="P2167" s="2">
        <v>175</v>
      </c>
      <c r="Q2167" s="2">
        <v>6080</v>
      </c>
      <c r="R2167" s="2">
        <v>6300</v>
      </c>
      <c r="S2167">
        <v>346.5</v>
      </c>
      <c r="T2167" s="2">
        <v>16375</v>
      </c>
      <c r="U2167" s="2">
        <v>67625</v>
      </c>
      <c r="V2167">
        <v>334.4</v>
      </c>
      <c r="W2167">
        <v>0</v>
      </c>
      <c r="X2167">
        <v>0</v>
      </c>
      <c r="Y2167">
        <v>0</v>
      </c>
      <c r="Z2167">
        <v>1.2</v>
      </c>
      <c r="AA2167">
        <v>3.5885169999999998E-3</v>
      </c>
      <c r="AB2167">
        <v>27.3</v>
      </c>
      <c r="AC2167">
        <v>11.526666669999999</v>
      </c>
      <c r="AD2167">
        <v>30.08</v>
      </c>
      <c r="AE2167" s="7"/>
      <c r="AF2167" s="7"/>
      <c r="AG2167" s="7"/>
      <c r="AH2167" s="7"/>
      <c r="AI2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0.47333333000000088</v>
      </c>
      <c r="AJ2167" s="7"/>
      <c r="AK2167" t="s">
        <v>178</v>
      </c>
      <c r="AN2167">
        <f>IFERROR(INT(Table13[[#This Row],[reject_prod]]/Table13[[#This Row],[part_weight]] * 1000), 0)</f>
        <v>21</v>
      </c>
    </row>
    <row r="2168" spans="1:40">
      <c r="A2168" s="1">
        <v>46086</v>
      </c>
      <c r="B2168">
        <v>2</v>
      </c>
      <c r="C2168">
        <v>15</v>
      </c>
      <c r="D2168" t="s">
        <v>139</v>
      </c>
      <c r="E2168" t="s">
        <v>46</v>
      </c>
      <c r="F2168">
        <v>552181</v>
      </c>
      <c r="G2168" s="6">
        <v>2</v>
      </c>
      <c r="H2168" t="s">
        <v>49</v>
      </c>
      <c r="I2168">
        <v>10686680</v>
      </c>
      <c r="J2168">
        <v>6</v>
      </c>
      <c r="K2168">
        <v>14.7</v>
      </c>
      <c r="L2168">
        <v>14.7</v>
      </c>
      <c r="M2168">
        <v>1380</v>
      </c>
      <c r="N2168" s="2">
        <v>108000</v>
      </c>
      <c r="O2168" s="2">
        <v>4050</v>
      </c>
      <c r="P2168" s="2">
        <v>1350</v>
      </c>
      <c r="Q2168" s="2">
        <v>8280</v>
      </c>
      <c r="R2168" s="2">
        <v>10800</v>
      </c>
      <c r="S2168">
        <v>158.76</v>
      </c>
      <c r="T2168" s="2">
        <v>28350</v>
      </c>
      <c r="U2168" s="2">
        <v>79650</v>
      </c>
      <c r="V2168">
        <v>121.71599999999999</v>
      </c>
      <c r="W2168">
        <v>0</v>
      </c>
      <c r="X2168">
        <v>0</v>
      </c>
      <c r="Y2168">
        <v>0</v>
      </c>
      <c r="Z2168">
        <v>1.1000000000000001</v>
      </c>
      <c r="AA2168">
        <v>9.0374310000000003E-3</v>
      </c>
      <c r="AB2168">
        <v>30.6</v>
      </c>
      <c r="AC2168">
        <v>11.73</v>
      </c>
      <c r="AD2168">
        <v>27</v>
      </c>
      <c r="AE2168" s="7"/>
      <c r="AF2168" s="7"/>
      <c r="AG2168" s="7"/>
      <c r="AH2168" s="7"/>
      <c r="AI2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168" s="7"/>
      <c r="AK2168" t="s">
        <v>51</v>
      </c>
      <c r="AN2168">
        <f>IFERROR(INT(Table13[[#This Row],[reject_prod]]/Table13[[#This Row],[part_weight]] * 1000), 0)</f>
        <v>74</v>
      </c>
    </row>
    <row r="2169" spans="1:40">
      <c r="A2169" s="1">
        <v>46086</v>
      </c>
      <c r="B2169">
        <v>2</v>
      </c>
      <c r="C2169">
        <v>16</v>
      </c>
      <c r="D2169" t="s">
        <v>1115</v>
      </c>
      <c r="E2169" t="s">
        <v>46</v>
      </c>
      <c r="F2169">
        <v>555979</v>
      </c>
      <c r="G2169" s="6">
        <v>2</v>
      </c>
      <c r="H2169" t="s">
        <v>52</v>
      </c>
      <c r="I2169">
        <v>10686701</v>
      </c>
      <c r="J2169">
        <v>6</v>
      </c>
      <c r="K2169">
        <v>28</v>
      </c>
      <c r="L2169">
        <v>28</v>
      </c>
      <c r="M2169">
        <v>922</v>
      </c>
      <c r="N2169" s="2">
        <v>100800</v>
      </c>
      <c r="O2169" s="2">
        <v>1176</v>
      </c>
      <c r="P2169" s="2">
        <v>2688</v>
      </c>
      <c r="Q2169" s="2">
        <v>5532</v>
      </c>
      <c r="R2169" s="2">
        <v>3360</v>
      </c>
      <c r="S2169">
        <v>94.08</v>
      </c>
      <c r="T2169" s="2">
        <v>79968</v>
      </c>
      <c r="U2169" s="2">
        <v>20832</v>
      </c>
      <c r="V2169">
        <v>154.89599999999999</v>
      </c>
      <c r="W2169">
        <v>0</v>
      </c>
      <c r="X2169">
        <v>0</v>
      </c>
      <c r="Y2169">
        <v>0</v>
      </c>
      <c r="Z2169">
        <v>11.5</v>
      </c>
      <c r="AA2169">
        <v>7.4243363000000007E-2</v>
      </c>
      <c r="AB2169">
        <v>40.5</v>
      </c>
      <c r="AC2169">
        <v>10.3725</v>
      </c>
      <c r="AD2169">
        <v>42</v>
      </c>
      <c r="AE2169" s="7"/>
      <c r="AF2169" s="7"/>
      <c r="AG2169" s="7"/>
      <c r="AH2169" s="7"/>
      <c r="AI2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1.6274999999999995</v>
      </c>
      <c r="AJ2169" s="7"/>
      <c r="AK2169" t="s">
        <v>1116</v>
      </c>
      <c r="AN2169">
        <f>IFERROR(INT(Table13[[#This Row],[reject_prod]]/Table13[[#This Row],[part_weight]] * 1000), 0)</f>
        <v>410</v>
      </c>
    </row>
    <row r="2170" spans="1:40">
      <c r="A2170" s="1">
        <v>46087</v>
      </c>
      <c r="B2170">
        <v>1</v>
      </c>
      <c r="C2170">
        <v>1</v>
      </c>
      <c r="D2170" t="s">
        <v>143</v>
      </c>
      <c r="E2170" t="s">
        <v>34</v>
      </c>
      <c r="F2170">
        <v>529004</v>
      </c>
      <c r="G2170" s="6">
        <v>0</v>
      </c>
      <c r="H2170" t="s">
        <v>723</v>
      </c>
      <c r="I2170">
        <v>10688944</v>
      </c>
      <c r="J2170">
        <v>4</v>
      </c>
      <c r="K2170">
        <v>31</v>
      </c>
      <c r="L2170">
        <v>31</v>
      </c>
      <c r="M2170">
        <v>546</v>
      </c>
      <c r="N2170" s="2">
        <v>20400</v>
      </c>
      <c r="O2170" s="2">
        <v>240</v>
      </c>
      <c r="P2170" s="2">
        <v>0</v>
      </c>
      <c r="Q2170" s="2">
        <v>2184</v>
      </c>
      <c r="R2170" s="2">
        <v>2400</v>
      </c>
      <c r="S2170">
        <v>74.400000000000006</v>
      </c>
      <c r="T2170" s="2">
        <v>20400</v>
      </c>
      <c r="U2170" s="2">
        <v>0</v>
      </c>
      <c r="V2170">
        <v>67.703999999999994</v>
      </c>
      <c r="W2170">
        <v>0</v>
      </c>
      <c r="X2170">
        <v>0</v>
      </c>
      <c r="Y2170">
        <v>0</v>
      </c>
      <c r="Z2170">
        <v>0.7</v>
      </c>
      <c r="AA2170">
        <v>1.0339123E-2</v>
      </c>
      <c r="AB2170">
        <v>30.5</v>
      </c>
      <c r="AC2170">
        <v>4.6258333330000001</v>
      </c>
      <c r="AD2170">
        <v>29</v>
      </c>
      <c r="AE2170" s="7"/>
      <c r="AF2170" s="7"/>
      <c r="AG2170" s="7"/>
      <c r="AH2170" s="7"/>
      <c r="AI2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7.3741666669999999</v>
      </c>
      <c r="AJ2170" s="7"/>
      <c r="AK2170" t="s">
        <v>1117</v>
      </c>
      <c r="AN2170">
        <f>IFERROR(INT(Table13[[#This Row],[reject_prod]]/Table13[[#This Row],[part_weight]] * 1000), 0)</f>
        <v>22</v>
      </c>
    </row>
    <row r="2171" spans="1:40">
      <c r="A2171" s="1">
        <v>46087</v>
      </c>
      <c r="B2171">
        <v>1</v>
      </c>
      <c r="C2171">
        <v>1</v>
      </c>
      <c r="D2171" t="s">
        <v>33</v>
      </c>
      <c r="E2171" t="s">
        <v>34</v>
      </c>
      <c r="F2171">
        <v>577492</v>
      </c>
      <c r="G2171" s="6">
        <v>0</v>
      </c>
      <c r="H2171" t="s">
        <v>341</v>
      </c>
      <c r="I2171">
        <v>10688947</v>
      </c>
      <c r="J2171">
        <v>4</v>
      </c>
      <c r="K2171">
        <v>35.6</v>
      </c>
      <c r="L2171">
        <v>35.6</v>
      </c>
      <c r="M2171">
        <v>0</v>
      </c>
      <c r="N2171" s="2">
        <v>80960</v>
      </c>
      <c r="O2171" s="2">
        <v>0</v>
      </c>
      <c r="P2171" s="2">
        <v>0</v>
      </c>
      <c r="Q2171" s="2">
        <v>0</v>
      </c>
      <c r="R2171" s="2">
        <v>0</v>
      </c>
      <c r="S2171">
        <v>0</v>
      </c>
      <c r="T2171" s="2">
        <v>0</v>
      </c>
      <c r="U2171" s="2">
        <v>80960</v>
      </c>
      <c r="V2171">
        <v>0</v>
      </c>
      <c r="W2171">
        <v>0</v>
      </c>
      <c r="X2171">
        <v>14.5</v>
      </c>
      <c r="Y2171" t="e">
        <v>#DIV/0!</v>
      </c>
      <c r="Z2171">
        <v>0</v>
      </c>
      <c r="AA2171" t="e">
        <v>#DIV/0!</v>
      </c>
      <c r="AB2171">
        <v>27</v>
      </c>
      <c r="AC2171">
        <v>0</v>
      </c>
      <c r="AD2171">
        <v>27</v>
      </c>
      <c r="AE2171" s="7"/>
      <c r="AF2171" s="7">
        <v>3</v>
      </c>
      <c r="AG2171" s="7"/>
      <c r="AH2171" s="7"/>
      <c r="AI2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171" s="7"/>
      <c r="AK2171" t="s">
        <v>1118</v>
      </c>
      <c r="AL2171">
        <v>7</v>
      </c>
      <c r="AM2171">
        <v>6</v>
      </c>
      <c r="AN2171">
        <f>IFERROR(INT(Table13[[#This Row],[reject_prod]]/Table13[[#This Row],[part_weight]] * 1000), 0)</f>
        <v>0</v>
      </c>
    </row>
    <row r="2172" spans="1:40">
      <c r="A2172" s="1">
        <v>46087</v>
      </c>
      <c r="B2172">
        <v>1</v>
      </c>
      <c r="C2172">
        <v>2</v>
      </c>
      <c r="D2172" t="s">
        <v>141</v>
      </c>
      <c r="E2172" t="s">
        <v>34</v>
      </c>
      <c r="F2172">
        <v>423215</v>
      </c>
      <c r="G2172" s="6">
        <v>0</v>
      </c>
      <c r="H2172" t="s">
        <v>156</v>
      </c>
      <c r="I2172">
        <v>10688491</v>
      </c>
      <c r="J2172">
        <v>4</v>
      </c>
      <c r="K2172">
        <v>24</v>
      </c>
      <c r="L2172">
        <v>24</v>
      </c>
      <c r="M2172">
        <v>575</v>
      </c>
      <c r="N2172" s="2">
        <v>9870</v>
      </c>
      <c r="O2172" s="2">
        <v>846</v>
      </c>
      <c r="P2172" s="2">
        <v>0</v>
      </c>
      <c r="Q2172" s="2">
        <v>2300</v>
      </c>
      <c r="R2172" s="2">
        <v>3102</v>
      </c>
      <c r="S2172">
        <v>74.447999999999993</v>
      </c>
      <c r="T2172" s="2">
        <v>9870</v>
      </c>
      <c r="U2172" s="2">
        <v>0</v>
      </c>
      <c r="V2172">
        <v>55.2</v>
      </c>
      <c r="W2172">
        <v>0</v>
      </c>
      <c r="X2172">
        <v>0</v>
      </c>
      <c r="Y2172">
        <v>0</v>
      </c>
      <c r="Z2172">
        <v>1</v>
      </c>
      <c r="AA2172">
        <v>1.8115941999999999E-2</v>
      </c>
      <c r="AB2172">
        <v>22.4</v>
      </c>
      <c r="AC2172">
        <v>3.5777777780000002</v>
      </c>
      <c r="AD2172">
        <v>22</v>
      </c>
      <c r="AE2172" s="7"/>
      <c r="AF2172" s="7"/>
      <c r="AG2172" s="7"/>
      <c r="AH2172" s="7"/>
      <c r="AI2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8.4222222220000003</v>
      </c>
      <c r="AJ2172" s="7"/>
      <c r="AK2172" t="s">
        <v>671</v>
      </c>
      <c r="AN2172">
        <f>IFERROR(INT(Table13[[#This Row],[reject_prod]]/Table13[[#This Row],[part_weight]] * 1000), 0)</f>
        <v>41</v>
      </c>
    </row>
    <row r="2173" spans="1:40">
      <c r="A2173" s="1">
        <v>46087</v>
      </c>
      <c r="B2173">
        <v>1</v>
      </c>
      <c r="C2173">
        <v>2</v>
      </c>
      <c r="D2173" t="s">
        <v>141</v>
      </c>
      <c r="E2173" t="s">
        <v>34</v>
      </c>
      <c r="F2173">
        <v>423213</v>
      </c>
      <c r="G2173" s="6">
        <v>0</v>
      </c>
      <c r="H2173" t="s">
        <v>70</v>
      </c>
      <c r="I2173">
        <v>10688492</v>
      </c>
      <c r="J2173">
        <v>4</v>
      </c>
      <c r="K2173">
        <v>23</v>
      </c>
      <c r="L2173">
        <v>23</v>
      </c>
      <c r="M2173">
        <v>755</v>
      </c>
      <c r="N2173" s="2">
        <v>22860</v>
      </c>
      <c r="O2173" s="2">
        <v>0</v>
      </c>
      <c r="P2173" s="2">
        <v>2286</v>
      </c>
      <c r="Q2173" s="2">
        <v>3020</v>
      </c>
      <c r="R2173" s="2">
        <v>0</v>
      </c>
      <c r="S2173">
        <v>0</v>
      </c>
      <c r="T2173" s="2">
        <v>2286</v>
      </c>
      <c r="U2173" s="2">
        <v>20574</v>
      </c>
      <c r="V2173">
        <v>69.459999999999994</v>
      </c>
      <c r="W2173">
        <v>0</v>
      </c>
      <c r="X2173">
        <v>16.8</v>
      </c>
      <c r="Y2173">
        <v>0.24186582200000001</v>
      </c>
      <c r="Z2173">
        <v>0</v>
      </c>
      <c r="AA2173">
        <v>0</v>
      </c>
      <c r="AB2173">
        <v>22.6</v>
      </c>
      <c r="AC2173">
        <v>4.7397222220000002</v>
      </c>
      <c r="AD2173">
        <v>22.5</v>
      </c>
      <c r="AE2173" s="7"/>
      <c r="AF2173" s="7"/>
      <c r="AG2173" s="7">
        <v>1.5</v>
      </c>
      <c r="AH2173" s="7"/>
      <c r="AI2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5.7602777779999998</v>
      </c>
      <c r="AJ2173" s="7"/>
      <c r="AK2173" t="s">
        <v>1119</v>
      </c>
      <c r="AM2173">
        <v>5</v>
      </c>
      <c r="AN2173">
        <f>IFERROR(INT(Table13[[#This Row],[reject_prod]]/Table13[[#This Row],[part_weight]] * 1000), 0)</f>
        <v>0</v>
      </c>
    </row>
    <row r="2174" spans="1:40">
      <c r="A2174" s="1">
        <v>46087</v>
      </c>
      <c r="B2174">
        <v>1</v>
      </c>
      <c r="C2174">
        <v>3</v>
      </c>
      <c r="D2174" t="s">
        <v>152</v>
      </c>
      <c r="E2174" t="s">
        <v>34</v>
      </c>
      <c r="F2174">
        <v>442034</v>
      </c>
      <c r="G2174" s="6">
        <v>0</v>
      </c>
      <c r="H2174" t="s">
        <v>37</v>
      </c>
      <c r="I2174">
        <v>10685635</v>
      </c>
      <c r="J2174">
        <v>4</v>
      </c>
      <c r="K2174">
        <v>23</v>
      </c>
      <c r="L2174">
        <v>23</v>
      </c>
      <c r="M2174">
        <v>1632</v>
      </c>
      <c r="N2174" s="2">
        <v>139776</v>
      </c>
      <c r="O2174" s="2">
        <v>1152</v>
      </c>
      <c r="P2174" s="2">
        <v>3072</v>
      </c>
      <c r="Q2174" s="2">
        <v>6528</v>
      </c>
      <c r="R2174" s="2">
        <v>4608</v>
      </c>
      <c r="S2174">
        <v>105.98399999999999</v>
      </c>
      <c r="T2174" s="2">
        <v>21504</v>
      </c>
      <c r="U2174" s="2">
        <v>118272</v>
      </c>
      <c r="V2174">
        <v>150.14400000000001</v>
      </c>
      <c r="W2174">
        <v>0</v>
      </c>
      <c r="X2174">
        <v>0</v>
      </c>
      <c r="Y2174">
        <v>0</v>
      </c>
      <c r="Z2174">
        <v>2</v>
      </c>
      <c r="AA2174">
        <v>1.3320546000000001E-2</v>
      </c>
      <c r="AB2174">
        <v>26.1</v>
      </c>
      <c r="AC2174">
        <v>11.832000000000001</v>
      </c>
      <c r="AD2174">
        <v>22</v>
      </c>
      <c r="AE2174" s="7"/>
      <c r="AF2174" s="7"/>
      <c r="AG2174" s="7"/>
      <c r="AH2174" s="7"/>
      <c r="AI2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174" s="7"/>
      <c r="AK2174" t="s">
        <v>1013</v>
      </c>
      <c r="AN2174">
        <f>IFERROR(INT(Table13[[#This Row],[reject_prod]]/Table13[[#This Row],[part_weight]] * 1000), 0)</f>
        <v>86</v>
      </c>
    </row>
    <row r="2175" spans="1:40">
      <c r="A2175" s="1">
        <v>46087</v>
      </c>
      <c r="B2175">
        <v>1</v>
      </c>
      <c r="C2175">
        <v>4</v>
      </c>
      <c r="D2175" t="s">
        <v>40</v>
      </c>
      <c r="E2175" t="s">
        <v>34</v>
      </c>
      <c r="F2175">
        <v>402305</v>
      </c>
      <c r="G2175" s="6">
        <v>0</v>
      </c>
      <c r="H2175" t="s">
        <v>395</v>
      </c>
      <c r="I2175">
        <v>10688065</v>
      </c>
      <c r="J2175">
        <v>4</v>
      </c>
      <c r="K2175">
        <v>29</v>
      </c>
      <c r="L2175">
        <v>29</v>
      </c>
      <c r="M2175">
        <v>1669</v>
      </c>
      <c r="N2175" s="2">
        <v>44928</v>
      </c>
      <c r="O2175" s="2">
        <v>832</v>
      </c>
      <c r="P2175" s="2">
        <v>0</v>
      </c>
      <c r="Q2175" s="2">
        <v>6676</v>
      </c>
      <c r="R2175" s="2">
        <v>7488</v>
      </c>
      <c r="S2175">
        <v>217.15199999999999</v>
      </c>
      <c r="T2175" s="2">
        <v>39936</v>
      </c>
      <c r="U2175" s="2">
        <v>4992</v>
      </c>
      <c r="V2175">
        <v>193.60400000000001</v>
      </c>
      <c r="W2175">
        <v>0</v>
      </c>
      <c r="X2175">
        <v>0</v>
      </c>
      <c r="Y2175">
        <v>0</v>
      </c>
      <c r="Z2175">
        <v>0.5</v>
      </c>
      <c r="AA2175">
        <v>2.582591E-3</v>
      </c>
      <c r="AB2175">
        <v>25.6</v>
      </c>
      <c r="AC2175">
        <v>11.868444439999999</v>
      </c>
      <c r="AD2175">
        <v>22</v>
      </c>
      <c r="AE2175" s="7"/>
      <c r="AF2175" s="7"/>
      <c r="AG2175" s="7"/>
      <c r="AH2175" s="7"/>
      <c r="AI2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0.13155556000000068</v>
      </c>
      <c r="AJ2175" s="7"/>
      <c r="AK2175" t="s">
        <v>214</v>
      </c>
      <c r="AL2175">
        <v>2</v>
      </c>
      <c r="AM2175">
        <v>2</v>
      </c>
      <c r="AN2175">
        <f>IFERROR(INT(Table13[[#This Row],[reject_prod]]/Table13[[#This Row],[part_weight]] * 1000), 0)</f>
        <v>17</v>
      </c>
    </row>
    <row r="2176" spans="1:40">
      <c r="A2176" s="1">
        <v>46087</v>
      </c>
      <c r="B2176">
        <v>1</v>
      </c>
      <c r="C2176">
        <v>5</v>
      </c>
      <c r="D2176" t="s">
        <v>1120</v>
      </c>
      <c r="E2176" t="s">
        <v>34</v>
      </c>
      <c r="F2176">
        <v>322448</v>
      </c>
      <c r="G2176" s="6">
        <v>0</v>
      </c>
      <c r="H2176" t="s">
        <v>654</v>
      </c>
      <c r="I2176">
        <v>10687753</v>
      </c>
      <c r="J2176">
        <v>4</v>
      </c>
      <c r="K2176">
        <v>40</v>
      </c>
      <c r="L2176">
        <v>40</v>
      </c>
      <c r="M2176">
        <v>1655</v>
      </c>
      <c r="N2176" s="2">
        <v>174960</v>
      </c>
      <c r="O2176" s="2">
        <v>162</v>
      </c>
      <c r="P2176" s="2">
        <v>0</v>
      </c>
      <c r="Q2176" s="2">
        <v>6620</v>
      </c>
      <c r="R2176" s="2">
        <v>6480</v>
      </c>
      <c r="S2176">
        <v>259.2</v>
      </c>
      <c r="T2176" s="2">
        <v>94770</v>
      </c>
      <c r="U2176" s="2">
        <v>80190</v>
      </c>
      <c r="V2176">
        <v>264.8</v>
      </c>
      <c r="W2176">
        <v>0</v>
      </c>
      <c r="X2176">
        <v>0</v>
      </c>
      <c r="Y2176">
        <v>0</v>
      </c>
      <c r="Z2176">
        <v>12</v>
      </c>
      <c r="AA2176">
        <v>4.5317220999999998E-2</v>
      </c>
      <c r="AB2176">
        <v>26.1</v>
      </c>
      <c r="AC2176">
        <v>11.998749999999999</v>
      </c>
      <c r="AD2176">
        <v>23</v>
      </c>
      <c r="AE2176" s="7"/>
      <c r="AF2176" s="7"/>
      <c r="AG2176" s="7"/>
      <c r="AH2176" s="7"/>
      <c r="AI21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1.2500000000006395E-3</v>
      </c>
      <c r="AJ2176" s="7"/>
      <c r="AK2176" t="s">
        <v>356</v>
      </c>
      <c r="AN2176">
        <f>IFERROR(INT(Table13[[#This Row],[reject_prod]]/Table13[[#This Row],[part_weight]] * 1000), 0)</f>
        <v>300</v>
      </c>
    </row>
    <row r="2177" spans="1:40">
      <c r="A2177" s="1">
        <v>46087</v>
      </c>
      <c r="B2177">
        <v>1</v>
      </c>
      <c r="C2177">
        <v>6</v>
      </c>
      <c r="D2177" t="s">
        <v>536</v>
      </c>
      <c r="E2177" t="s">
        <v>34</v>
      </c>
      <c r="F2177">
        <v>532981</v>
      </c>
      <c r="G2177" s="6">
        <v>0</v>
      </c>
      <c r="H2177" t="s">
        <v>233</v>
      </c>
      <c r="I2177">
        <v>10688648</v>
      </c>
      <c r="J2177">
        <v>4</v>
      </c>
      <c r="K2177">
        <v>24.45</v>
      </c>
      <c r="L2177">
        <v>24</v>
      </c>
      <c r="M2177">
        <v>1725</v>
      </c>
      <c r="N2177" s="2">
        <v>87552</v>
      </c>
      <c r="O2177" s="2">
        <v>0</v>
      </c>
      <c r="P2177" s="2">
        <v>1368</v>
      </c>
      <c r="Q2177" s="2">
        <v>6900</v>
      </c>
      <c r="R2177" s="2">
        <v>5472</v>
      </c>
      <c r="S2177">
        <v>131.328</v>
      </c>
      <c r="T2177" s="2">
        <v>28728</v>
      </c>
      <c r="U2177" s="2">
        <v>58824</v>
      </c>
      <c r="V2177">
        <v>165.6</v>
      </c>
      <c r="W2177">
        <v>0</v>
      </c>
      <c r="X2177">
        <v>0</v>
      </c>
      <c r="Y2177">
        <v>0</v>
      </c>
      <c r="Z2177">
        <v>1.4</v>
      </c>
      <c r="AA2177">
        <v>8.4541059999999994E-3</v>
      </c>
      <c r="AB2177">
        <v>23.2</v>
      </c>
      <c r="AC2177">
        <v>11.116666670000001</v>
      </c>
      <c r="AD2177">
        <v>20</v>
      </c>
      <c r="AE2177" s="7"/>
      <c r="AF2177" s="7"/>
      <c r="AG2177" s="7"/>
      <c r="AH2177" s="7"/>
      <c r="AI2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0.88333332999999925</v>
      </c>
      <c r="AJ2177" s="7"/>
      <c r="AK2177" t="s">
        <v>214</v>
      </c>
      <c r="AL2177">
        <v>6</v>
      </c>
      <c r="AM2177">
        <v>3</v>
      </c>
      <c r="AN2177">
        <f>IFERROR(INT(Table13[[#This Row],[reject_prod]]/Table13[[#This Row],[part_weight]] * 1000), 0)</f>
        <v>58</v>
      </c>
    </row>
    <row r="2178" spans="1:40">
      <c r="A2178" s="1">
        <v>46087</v>
      </c>
      <c r="B2178">
        <v>1</v>
      </c>
      <c r="C2178">
        <v>7</v>
      </c>
      <c r="D2178" t="s">
        <v>170</v>
      </c>
      <c r="E2178" t="s">
        <v>34</v>
      </c>
      <c r="F2178">
        <v>322452</v>
      </c>
      <c r="G2178" s="6">
        <v>0</v>
      </c>
      <c r="H2178" t="s">
        <v>374</v>
      </c>
      <c r="I2178">
        <v>10689204</v>
      </c>
      <c r="J2178">
        <v>4</v>
      </c>
      <c r="K2178">
        <v>33.11</v>
      </c>
      <c r="L2178">
        <v>34.5</v>
      </c>
      <c r="M2178">
        <v>1854</v>
      </c>
      <c r="N2178" s="2">
        <v>49920</v>
      </c>
      <c r="O2178" s="2">
        <v>924</v>
      </c>
      <c r="P2178" s="2">
        <v>624</v>
      </c>
      <c r="Q2178" s="2">
        <v>7416</v>
      </c>
      <c r="R2178" s="2">
        <v>7488</v>
      </c>
      <c r="S2178">
        <v>258.33600000000001</v>
      </c>
      <c r="T2178" s="2">
        <v>23088</v>
      </c>
      <c r="U2178" s="2">
        <v>26832</v>
      </c>
      <c r="V2178">
        <v>255.852</v>
      </c>
      <c r="W2178">
        <v>0</v>
      </c>
      <c r="X2178">
        <v>0</v>
      </c>
      <c r="Y2178">
        <v>0</v>
      </c>
      <c r="Z2178">
        <v>8</v>
      </c>
      <c r="AA2178">
        <v>3.1268076999999998E-2</v>
      </c>
      <c r="AB2178">
        <v>22.8</v>
      </c>
      <c r="AC2178">
        <v>11.742000000000001</v>
      </c>
      <c r="AD2178">
        <v>18.04</v>
      </c>
      <c r="AE2178" s="7"/>
      <c r="AF2178" s="7"/>
      <c r="AG2178" s="7"/>
      <c r="AH2178" s="7"/>
      <c r="AI2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0.25799999999999912</v>
      </c>
      <c r="AJ2178" s="7"/>
      <c r="AK2178" t="s">
        <v>1121</v>
      </c>
      <c r="AM2178">
        <v>5</v>
      </c>
      <c r="AN2178">
        <f>IFERROR(INT(Table13[[#This Row],[reject_prod]]/Table13[[#This Row],[part_weight]] * 1000), 0)</f>
        <v>231</v>
      </c>
    </row>
    <row r="2179" spans="1:40">
      <c r="A2179" s="1">
        <v>46087</v>
      </c>
      <c r="B2179">
        <v>1</v>
      </c>
      <c r="C2179">
        <v>8</v>
      </c>
      <c r="F2179">
        <v>123456</v>
      </c>
      <c r="G2179" s="6">
        <v>0</v>
      </c>
      <c r="M2179">
        <v>0</v>
      </c>
      <c r="N2179" s="2">
        <v>0</v>
      </c>
      <c r="O2179" s="2">
        <v>0</v>
      </c>
      <c r="P2179" s="2">
        <v>0</v>
      </c>
      <c r="Q2179" s="2"/>
      <c r="R2179" s="2">
        <v>0</v>
      </c>
      <c r="T2179" s="2">
        <v>0</v>
      </c>
      <c r="U2179" s="2"/>
      <c r="X2179">
        <v>0</v>
      </c>
      <c r="Z2179">
        <v>0</v>
      </c>
      <c r="AB2179">
        <v>0</v>
      </c>
      <c r="AC2179">
        <v>0</v>
      </c>
      <c r="AD2179">
        <v>0</v>
      </c>
      <c r="AE2179" s="7"/>
      <c r="AF2179" s="7"/>
      <c r="AG2179" s="7"/>
      <c r="AH2179" s="7"/>
      <c r="AI2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79" s="7">
        <v>12</v>
      </c>
      <c r="AK2179" t="s">
        <v>116</v>
      </c>
      <c r="AN2179">
        <f>IFERROR(INT(Table13[[#This Row],[reject_prod]]/Table13[[#This Row],[part_weight]] * 1000), 0)</f>
        <v>0</v>
      </c>
    </row>
    <row r="2180" spans="1:40">
      <c r="A2180" s="1">
        <v>46087</v>
      </c>
      <c r="B2180">
        <v>1</v>
      </c>
      <c r="C2180">
        <v>9</v>
      </c>
      <c r="D2180" t="s">
        <v>65</v>
      </c>
      <c r="E2180" t="s">
        <v>46</v>
      </c>
      <c r="F2180">
        <v>586276</v>
      </c>
      <c r="G2180" s="6">
        <v>1</v>
      </c>
      <c r="H2180" t="s">
        <v>47</v>
      </c>
      <c r="I2180">
        <v>10686685</v>
      </c>
      <c r="J2180">
        <v>6</v>
      </c>
      <c r="K2180">
        <v>12.3</v>
      </c>
      <c r="L2180">
        <v>12.3</v>
      </c>
      <c r="M2180">
        <v>1575</v>
      </c>
      <c r="N2180" s="2">
        <v>162000</v>
      </c>
      <c r="O2180" s="2">
        <v>7695</v>
      </c>
      <c r="P2180" s="2">
        <v>810</v>
      </c>
      <c r="Q2180" s="2">
        <v>9450</v>
      </c>
      <c r="R2180" s="2">
        <v>16200</v>
      </c>
      <c r="S2180">
        <v>199.26</v>
      </c>
      <c r="T2180" s="2">
        <v>106110</v>
      </c>
      <c r="U2180" s="2">
        <v>55890</v>
      </c>
      <c r="V2180">
        <v>116.235</v>
      </c>
      <c r="W2180">
        <v>0</v>
      </c>
      <c r="X2180">
        <v>0</v>
      </c>
      <c r="Y2180">
        <v>0</v>
      </c>
      <c r="Z2180">
        <v>1.6</v>
      </c>
      <c r="AA2180">
        <v>1.3765217E-2</v>
      </c>
      <c r="AB2180">
        <v>26.5</v>
      </c>
      <c r="AC2180">
        <v>11.59375</v>
      </c>
      <c r="AD2180">
        <v>26</v>
      </c>
      <c r="AE2180" s="7"/>
      <c r="AF2180" s="7"/>
      <c r="AG2180" s="7"/>
      <c r="AH2180" s="7"/>
      <c r="AI2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0.40625</v>
      </c>
      <c r="AJ2180" s="7"/>
      <c r="AK2180" t="s">
        <v>1122</v>
      </c>
      <c r="AN2180">
        <f>IFERROR(INT(Table13[[#This Row],[reject_prod]]/Table13[[#This Row],[part_weight]] * 1000), 0)</f>
        <v>130</v>
      </c>
    </row>
    <row r="2181" spans="1:40">
      <c r="A2181" s="1">
        <v>46087</v>
      </c>
      <c r="B2181">
        <v>1</v>
      </c>
      <c r="C2181">
        <v>10</v>
      </c>
      <c r="D2181" t="s">
        <v>61</v>
      </c>
      <c r="E2181" t="s">
        <v>34</v>
      </c>
      <c r="F2181">
        <v>414439</v>
      </c>
      <c r="G2181" s="6">
        <v>0</v>
      </c>
      <c r="H2181" t="s">
        <v>587</v>
      </c>
      <c r="I2181">
        <v>10688521</v>
      </c>
      <c r="J2181">
        <v>6</v>
      </c>
      <c r="K2181">
        <v>57</v>
      </c>
      <c r="L2181">
        <v>15</v>
      </c>
      <c r="M2181">
        <v>1681</v>
      </c>
      <c r="N2181" s="2">
        <v>206976</v>
      </c>
      <c r="O2181" s="2">
        <v>6776</v>
      </c>
      <c r="P2181" s="2">
        <v>9240</v>
      </c>
      <c r="Q2181" s="2">
        <v>10086</v>
      </c>
      <c r="R2181" s="2">
        <v>7392</v>
      </c>
      <c r="S2181">
        <v>110.88</v>
      </c>
      <c r="T2181" s="2">
        <v>31416</v>
      </c>
      <c r="U2181" s="2">
        <v>175560</v>
      </c>
      <c r="V2181">
        <v>151.29</v>
      </c>
      <c r="W2181">
        <v>0</v>
      </c>
      <c r="X2181">
        <v>0</v>
      </c>
      <c r="Y2181">
        <v>0</v>
      </c>
      <c r="Z2181">
        <v>3.4</v>
      </c>
      <c r="AA2181">
        <v>2.2473395E-2</v>
      </c>
      <c r="AB2181">
        <v>23.7</v>
      </c>
      <c r="AC2181">
        <v>11.06658333</v>
      </c>
      <c r="AD2181">
        <v>15</v>
      </c>
      <c r="AE2181" s="7"/>
      <c r="AF2181" s="7"/>
      <c r="AG2181" s="7"/>
      <c r="AH2181" s="7"/>
      <c r="AI2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0.93341666999999973</v>
      </c>
      <c r="AJ2181" s="7"/>
      <c r="AK2181" t="s">
        <v>1123</v>
      </c>
      <c r="AN2181">
        <f>IFERROR(INT(Table13[[#This Row],[reject_prod]]/Table13[[#This Row],[part_weight]] * 1000), 0)</f>
        <v>226</v>
      </c>
    </row>
    <row r="2182" spans="1:40">
      <c r="A2182" s="1">
        <v>46087</v>
      </c>
      <c r="B2182">
        <v>1</v>
      </c>
      <c r="C2182">
        <v>11</v>
      </c>
      <c r="D2182" t="s">
        <v>33</v>
      </c>
      <c r="E2182" t="s">
        <v>46</v>
      </c>
      <c r="F2182">
        <v>552181</v>
      </c>
      <c r="G2182" s="6">
        <v>1</v>
      </c>
      <c r="H2182" t="s">
        <v>49</v>
      </c>
      <c r="I2182">
        <v>10688069</v>
      </c>
      <c r="J2182">
        <v>6</v>
      </c>
      <c r="K2182">
        <v>14.7</v>
      </c>
      <c r="L2182">
        <v>14.7</v>
      </c>
      <c r="M2182">
        <v>0</v>
      </c>
      <c r="N2182" s="2">
        <v>108000</v>
      </c>
      <c r="O2182" s="2">
        <v>11070</v>
      </c>
      <c r="P2182" s="2">
        <v>5670</v>
      </c>
      <c r="Q2182" s="2">
        <v>0</v>
      </c>
      <c r="R2182" s="2">
        <v>5400</v>
      </c>
      <c r="S2182">
        <v>79.38</v>
      </c>
      <c r="T2182" s="2">
        <v>54000</v>
      </c>
      <c r="U2182" s="2">
        <v>54000</v>
      </c>
      <c r="V2182">
        <v>0</v>
      </c>
      <c r="W2182">
        <v>0</v>
      </c>
      <c r="X2182">
        <v>0</v>
      </c>
      <c r="Y2182" t="e">
        <v>#DIV/0!</v>
      </c>
      <c r="Z2182">
        <v>6.5</v>
      </c>
      <c r="AA2182" t="e">
        <v>#DIV/0!</v>
      </c>
      <c r="AB2182">
        <v>28.46</v>
      </c>
      <c r="AC2182">
        <v>0</v>
      </c>
      <c r="AD2182">
        <v>27</v>
      </c>
      <c r="AE2182" s="7"/>
      <c r="AF2182" s="7"/>
      <c r="AG2182" s="7"/>
      <c r="AH2182" s="7">
        <v>5</v>
      </c>
      <c r="AI2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182" s="7"/>
      <c r="AK2182" t="s">
        <v>1124</v>
      </c>
      <c r="AL2182">
        <v>5</v>
      </c>
      <c r="AM2182">
        <v>2</v>
      </c>
      <c r="AN2182">
        <f>IFERROR(INT(Table13[[#This Row],[reject_prod]]/Table13[[#This Row],[part_weight]] * 1000), 0)</f>
        <v>442</v>
      </c>
    </row>
    <row r="2183" spans="1:40">
      <c r="A2183" s="1">
        <v>46087</v>
      </c>
      <c r="B2183">
        <v>1</v>
      </c>
      <c r="C2183">
        <v>12</v>
      </c>
      <c r="D2183" t="s">
        <v>33</v>
      </c>
      <c r="E2183" t="s">
        <v>46</v>
      </c>
      <c r="F2183">
        <v>555979</v>
      </c>
      <c r="G2183" s="6">
        <v>1</v>
      </c>
      <c r="H2183" t="s">
        <v>52</v>
      </c>
      <c r="I2183">
        <v>10689126</v>
      </c>
      <c r="J2183">
        <v>6</v>
      </c>
      <c r="K2183">
        <v>28</v>
      </c>
      <c r="L2183">
        <v>28</v>
      </c>
      <c r="M2183">
        <v>0</v>
      </c>
      <c r="N2183" s="2">
        <v>100800</v>
      </c>
      <c r="O2183" s="2">
        <v>0</v>
      </c>
      <c r="P2183" s="2">
        <v>0</v>
      </c>
      <c r="Q2183" s="2">
        <v>0</v>
      </c>
      <c r="R2183" s="2">
        <v>0</v>
      </c>
      <c r="S2183">
        <v>0</v>
      </c>
      <c r="T2183" s="2">
        <v>0</v>
      </c>
      <c r="U2183" s="2">
        <v>100800</v>
      </c>
      <c r="V2183">
        <v>0</v>
      </c>
      <c r="W2183">
        <v>0</v>
      </c>
      <c r="X2183">
        <v>0</v>
      </c>
      <c r="Y2183" t="e">
        <v>#DIV/0!</v>
      </c>
      <c r="Z2183">
        <v>0</v>
      </c>
      <c r="AA2183" t="e">
        <v>#DIV/0!</v>
      </c>
      <c r="AB2183">
        <v>40.5</v>
      </c>
      <c r="AC2183">
        <v>0</v>
      </c>
      <c r="AD2183">
        <v>42</v>
      </c>
      <c r="AE2183" s="7"/>
      <c r="AF2183" s="7"/>
      <c r="AG2183" s="7"/>
      <c r="AH2183" s="7">
        <v>6</v>
      </c>
      <c r="AI2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2183" s="7"/>
      <c r="AK2183" t="s">
        <v>1125</v>
      </c>
      <c r="AN2183">
        <f>IFERROR(INT(Table13[[#This Row],[reject_prod]]/Table13[[#This Row],[part_weight]] * 1000), 0)</f>
        <v>0</v>
      </c>
    </row>
    <row r="2184" spans="1:40">
      <c r="A2184" s="1">
        <v>46087</v>
      </c>
      <c r="B2184">
        <v>1</v>
      </c>
      <c r="C2184">
        <v>13</v>
      </c>
      <c r="D2184" t="s">
        <v>112</v>
      </c>
      <c r="E2184" t="s">
        <v>46</v>
      </c>
      <c r="F2184">
        <v>586276</v>
      </c>
      <c r="G2184" s="6">
        <v>2</v>
      </c>
      <c r="H2184" t="s">
        <v>47</v>
      </c>
      <c r="I2184">
        <v>10688946</v>
      </c>
      <c r="J2184">
        <v>6</v>
      </c>
      <c r="K2184">
        <v>12.3</v>
      </c>
      <c r="L2184">
        <v>12.3</v>
      </c>
      <c r="M2184">
        <v>1641</v>
      </c>
      <c r="N2184" s="2">
        <v>162000</v>
      </c>
      <c r="O2184" s="2">
        <v>4050</v>
      </c>
      <c r="P2184" s="2">
        <v>5670</v>
      </c>
      <c r="Q2184" s="2">
        <v>9846</v>
      </c>
      <c r="R2184" s="2">
        <v>8100</v>
      </c>
      <c r="S2184">
        <v>99.63</v>
      </c>
      <c r="T2184" s="2">
        <v>70470</v>
      </c>
      <c r="U2184" s="2">
        <v>91530</v>
      </c>
      <c r="V2184">
        <v>121.1058</v>
      </c>
      <c r="W2184">
        <v>0</v>
      </c>
      <c r="X2184">
        <v>0</v>
      </c>
      <c r="Y2184">
        <v>0</v>
      </c>
      <c r="Z2184">
        <v>1.5</v>
      </c>
      <c r="AA2184">
        <v>1.2385864E-2</v>
      </c>
      <c r="AB2184">
        <v>26.2</v>
      </c>
      <c r="AC2184">
        <v>11.942833329999999</v>
      </c>
      <c r="AD2184">
        <v>26</v>
      </c>
      <c r="AE2184" s="7"/>
      <c r="AF2184" s="7"/>
      <c r="AG2184" s="7"/>
      <c r="AH2184" s="7"/>
      <c r="AI2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184" s="7"/>
      <c r="AK2184" t="s">
        <v>51</v>
      </c>
      <c r="AN2184">
        <f>IFERROR(INT(Table13[[#This Row],[reject_prod]]/Table13[[#This Row],[part_weight]] * 1000), 0)</f>
        <v>121</v>
      </c>
    </row>
    <row r="2185" spans="1:40">
      <c r="A2185" s="1">
        <v>46087</v>
      </c>
      <c r="B2185">
        <v>1</v>
      </c>
      <c r="C2185">
        <v>14</v>
      </c>
      <c r="D2185" t="s">
        <v>67</v>
      </c>
      <c r="E2185" t="s">
        <v>34</v>
      </c>
      <c r="F2185">
        <v>541381</v>
      </c>
      <c r="G2185" s="6">
        <v>0</v>
      </c>
      <c r="H2185" t="s">
        <v>804</v>
      </c>
      <c r="I2185">
        <v>10688073</v>
      </c>
      <c r="J2185">
        <v>4</v>
      </c>
      <c r="K2185">
        <v>55</v>
      </c>
      <c r="L2185">
        <v>55</v>
      </c>
      <c r="M2185">
        <v>1554</v>
      </c>
      <c r="N2185" s="2">
        <v>84000</v>
      </c>
      <c r="O2185" s="2">
        <v>175</v>
      </c>
      <c r="P2185" s="2">
        <v>0</v>
      </c>
      <c r="Q2185" s="2">
        <v>6216</v>
      </c>
      <c r="R2185" s="2">
        <v>6300</v>
      </c>
      <c r="S2185">
        <v>346.5</v>
      </c>
      <c r="T2185" s="2">
        <v>18900</v>
      </c>
      <c r="U2185" s="2">
        <v>65100</v>
      </c>
      <c r="V2185">
        <v>341.88</v>
      </c>
      <c r="W2185">
        <v>0</v>
      </c>
      <c r="X2185">
        <v>0</v>
      </c>
      <c r="Y2185">
        <v>0</v>
      </c>
      <c r="Z2185">
        <v>5</v>
      </c>
      <c r="AA2185">
        <v>1.4625015E-2</v>
      </c>
      <c r="AB2185">
        <v>27.3</v>
      </c>
      <c r="AC2185">
        <v>11.7845</v>
      </c>
      <c r="AD2185">
        <v>30.08</v>
      </c>
      <c r="AE2185" s="7"/>
      <c r="AF2185" s="7"/>
      <c r="AG2185" s="7"/>
      <c r="AH2185" s="7"/>
      <c r="AI2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2185" s="7"/>
      <c r="AK2185" t="s">
        <v>178</v>
      </c>
      <c r="AM2185">
        <v>1</v>
      </c>
      <c r="AN2185">
        <f>IFERROR(INT(Table13[[#This Row],[reject_prod]]/Table13[[#This Row],[part_weight]] * 1000), 0)</f>
        <v>90</v>
      </c>
    </row>
    <row r="2186" spans="1:40">
      <c r="A2186" s="1">
        <v>46087</v>
      </c>
      <c r="B2186">
        <v>1</v>
      </c>
      <c r="C2186">
        <v>15</v>
      </c>
      <c r="D2186" t="s">
        <v>112</v>
      </c>
      <c r="E2186" t="s">
        <v>46</v>
      </c>
      <c r="F2186">
        <v>552181</v>
      </c>
      <c r="G2186" s="6">
        <v>2</v>
      </c>
      <c r="H2186" t="s">
        <v>49</v>
      </c>
      <c r="I2186">
        <v>10686680</v>
      </c>
      <c r="J2186">
        <v>6</v>
      </c>
      <c r="K2186">
        <v>14.7</v>
      </c>
      <c r="L2186">
        <v>14.7</v>
      </c>
      <c r="M2186">
        <v>1404</v>
      </c>
      <c r="N2186" s="2">
        <v>108000</v>
      </c>
      <c r="O2186" s="2">
        <v>1350</v>
      </c>
      <c r="P2186" s="2">
        <v>4320</v>
      </c>
      <c r="Q2186" s="2">
        <v>8424</v>
      </c>
      <c r="R2186" s="2">
        <v>5400</v>
      </c>
      <c r="S2186">
        <v>79.38</v>
      </c>
      <c r="T2186" s="2">
        <v>36720</v>
      </c>
      <c r="U2186" s="2">
        <v>71280</v>
      </c>
      <c r="V2186">
        <v>123.83280000000001</v>
      </c>
      <c r="W2186">
        <v>0</v>
      </c>
      <c r="X2186">
        <v>0</v>
      </c>
      <c r="Y2186">
        <v>0</v>
      </c>
      <c r="Z2186">
        <v>1</v>
      </c>
      <c r="AA2186">
        <v>8.0754050000000008E-3</v>
      </c>
      <c r="AB2186">
        <v>30.6</v>
      </c>
      <c r="AC2186">
        <v>11.933999999999999</v>
      </c>
      <c r="AD2186">
        <v>27</v>
      </c>
      <c r="AE2186" s="7"/>
      <c r="AF2186" s="7"/>
      <c r="AG2186" s="7"/>
      <c r="AH2186" s="7"/>
      <c r="AI2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6.6000000000000725E-2</v>
      </c>
      <c r="AJ2186" s="7"/>
      <c r="AK2186" t="s">
        <v>51</v>
      </c>
      <c r="AN2186">
        <f>IFERROR(INT(Table13[[#This Row],[reject_prod]]/Table13[[#This Row],[part_weight]] * 1000), 0)</f>
        <v>68</v>
      </c>
    </row>
    <row r="2187" spans="1:40">
      <c r="A2187" s="1">
        <v>46087</v>
      </c>
      <c r="B2187">
        <v>1</v>
      </c>
      <c r="C2187">
        <v>16</v>
      </c>
      <c r="D2187" t="s">
        <v>600</v>
      </c>
      <c r="E2187" t="s">
        <v>46</v>
      </c>
      <c r="F2187">
        <v>555979</v>
      </c>
      <c r="G2187" s="6">
        <v>2</v>
      </c>
      <c r="H2187" t="s">
        <v>52</v>
      </c>
      <c r="I2187">
        <v>10686701</v>
      </c>
      <c r="J2187">
        <v>6</v>
      </c>
      <c r="K2187">
        <v>28</v>
      </c>
      <c r="L2187">
        <v>28</v>
      </c>
      <c r="M2187">
        <v>1034</v>
      </c>
      <c r="N2187" s="2">
        <v>100800</v>
      </c>
      <c r="O2187" s="2">
        <v>2688</v>
      </c>
      <c r="P2187" s="2">
        <v>2016</v>
      </c>
      <c r="Q2187" s="2">
        <v>6204</v>
      </c>
      <c r="R2187" s="2">
        <v>6720</v>
      </c>
      <c r="S2187">
        <v>188.16</v>
      </c>
      <c r="T2187" s="2">
        <v>86016</v>
      </c>
      <c r="U2187" s="2">
        <v>14784</v>
      </c>
      <c r="V2187">
        <v>173.71199999999999</v>
      </c>
      <c r="W2187">
        <v>0</v>
      </c>
      <c r="X2187">
        <v>0</v>
      </c>
      <c r="Y2187">
        <v>0</v>
      </c>
      <c r="Z2187">
        <v>4.4000000000000004</v>
      </c>
      <c r="AA2187">
        <v>2.5329280999999999E-2</v>
      </c>
      <c r="AB2187">
        <v>40.5</v>
      </c>
      <c r="AC2187">
        <v>11.6325</v>
      </c>
      <c r="AD2187">
        <v>42</v>
      </c>
      <c r="AE2187" s="7"/>
      <c r="AF2187" s="7"/>
      <c r="AG2187" s="7"/>
      <c r="AH2187" s="7"/>
      <c r="AI2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0.36749999999999972</v>
      </c>
      <c r="AJ2187" s="7"/>
      <c r="AK2187" t="s">
        <v>480</v>
      </c>
      <c r="AL2187">
        <v>4</v>
      </c>
      <c r="AM2187">
        <v>5</v>
      </c>
      <c r="AN2187">
        <f>IFERROR(INT(Table13[[#This Row],[reject_prod]]/Table13[[#This Row],[part_weight]] * 1000), 0)</f>
        <v>157</v>
      </c>
    </row>
    <row r="2188" spans="1:40">
      <c r="A2188" s="1">
        <v>46087</v>
      </c>
      <c r="B2188">
        <v>2</v>
      </c>
      <c r="C2188">
        <v>1</v>
      </c>
      <c r="D2188" t="s">
        <v>289</v>
      </c>
      <c r="E2188" t="s">
        <v>34</v>
      </c>
      <c r="F2188">
        <v>577492</v>
      </c>
      <c r="G2188" s="6">
        <v>0</v>
      </c>
      <c r="H2188" t="s">
        <v>341</v>
      </c>
      <c r="I2188">
        <v>10688947</v>
      </c>
      <c r="J2188">
        <v>4</v>
      </c>
      <c r="K2188">
        <v>35.6</v>
      </c>
      <c r="L2188">
        <v>35.6</v>
      </c>
      <c r="M2188">
        <v>1020</v>
      </c>
      <c r="N2188" s="2">
        <v>80960</v>
      </c>
      <c r="O2188" s="2">
        <v>0</v>
      </c>
      <c r="P2188" s="2">
        <v>400</v>
      </c>
      <c r="Q2188" s="2">
        <v>4080</v>
      </c>
      <c r="R2188" s="2">
        <v>3680</v>
      </c>
      <c r="S2188">
        <v>131.00800000000001</v>
      </c>
      <c r="T2188" s="2">
        <v>4080</v>
      </c>
      <c r="U2188" s="2">
        <v>76880</v>
      </c>
      <c r="V2188">
        <v>145.24799999999999</v>
      </c>
      <c r="W2188">
        <v>0</v>
      </c>
      <c r="X2188">
        <v>7</v>
      </c>
      <c r="Y2188">
        <v>4.8193435E-2</v>
      </c>
      <c r="Z2188">
        <v>0.5</v>
      </c>
      <c r="AA2188">
        <v>3.4423879999999998E-3</v>
      </c>
      <c r="AB2188">
        <v>26.07</v>
      </c>
      <c r="AC2188">
        <v>7.3864999999999998</v>
      </c>
      <c r="AD2188">
        <v>27</v>
      </c>
      <c r="AE2188" s="7"/>
      <c r="AF2188" s="7"/>
      <c r="AG2188" s="7"/>
      <c r="AH2188" s="7"/>
      <c r="AI2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4.6135000000000002</v>
      </c>
      <c r="AJ2188" s="7"/>
      <c r="AK2188" t="s">
        <v>1126</v>
      </c>
      <c r="AN2188">
        <f>IFERROR(INT(Table13[[#This Row],[reject_prod]]/Table13[[#This Row],[part_weight]] * 1000), 0)</f>
        <v>14</v>
      </c>
    </row>
    <row r="2189" spans="1:40">
      <c r="A2189" s="1">
        <v>46087</v>
      </c>
      <c r="B2189">
        <v>2</v>
      </c>
      <c r="C2189">
        <v>2</v>
      </c>
      <c r="D2189" t="s">
        <v>53</v>
      </c>
      <c r="E2189" t="s">
        <v>34</v>
      </c>
      <c r="F2189">
        <v>423213</v>
      </c>
      <c r="G2189" s="6">
        <v>0</v>
      </c>
      <c r="H2189" t="s">
        <v>70</v>
      </c>
      <c r="I2189">
        <v>10688492</v>
      </c>
      <c r="J2189">
        <v>4</v>
      </c>
      <c r="K2189">
        <v>23</v>
      </c>
      <c r="L2189">
        <v>23</v>
      </c>
      <c r="M2189">
        <v>1830</v>
      </c>
      <c r="N2189" s="2">
        <v>22860</v>
      </c>
      <c r="O2189" s="2">
        <v>2286</v>
      </c>
      <c r="P2189" s="2">
        <v>381</v>
      </c>
      <c r="Q2189" s="2">
        <v>7320</v>
      </c>
      <c r="R2189" s="2">
        <v>9144</v>
      </c>
      <c r="S2189">
        <v>210.31200000000001</v>
      </c>
      <c r="T2189" s="2">
        <v>9144</v>
      </c>
      <c r="U2189" s="2">
        <v>13716</v>
      </c>
      <c r="V2189">
        <v>168.36</v>
      </c>
      <c r="W2189">
        <v>0</v>
      </c>
      <c r="X2189">
        <v>0</v>
      </c>
      <c r="Y2189">
        <v>0</v>
      </c>
      <c r="Z2189">
        <v>3</v>
      </c>
      <c r="AA2189">
        <v>1.7818958999999999E-2</v>
      </c>
      <c r="AB2189">
        <v>22.6</v>
      </c>
      <c r="AC2189">
        <v>11.48833333</v>
      </c>
      <c r="AD2189">
        <v>22.5</v>
      </c>
      <c r="AE2189" s="7"/>
      <c r="AF2189" s="7"/>
      <c r="AG2189" s="7"/>
      <c r="AH2189" s="7"/>
      <c r="AI2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0.51166667000000032</v>
      </c>
      <c r="AJ2189" s="7"/>
      <c r="AK2189" t="s">
        <v>168</v>
      </c>
      <c r="AN2189">
        <f>IFERROR(INT(Table13[[#This Row],[reject_prod]]/Table13[[#This Row],[part_weight]] * 1000), 0)</f>
        <v>130</v>
      </c>
    </row>
    <row r="2190" spans="1:40">
      <c r="A2190" s="1">
        <v>46087</v>
      </c>
      <c r="B2190">
        <v>2</v>
      </c>
      <c r="C2190">
        <v>3</v>
      </c>
      <c r="D2190" t="s">
        <v>124</v>
      </c>
      <c r="E2190" t="s">
        <v>34</v>
      </c>
      <c r="F2190">
        <v>442034</v>
      </c>
      <c r="G2190" s="6">
        <v>0</v>
      </c>
      <c r="H2190" t="s">
        <v>37</v>
      </c>
      <c r="I2190">
        <v>10685635</v>
      </c>
      <c r="J2190">
        <v>4</v>
      </c>
      <c r="K2190">
        <v>23</v>
      </c>
      <c r="L2190">
        <v>23</v>
      </c>
      <c r="M2190">
        <v>1530</v>
      </c>
      <c r="N2190" s="2">
        <v>139776</v>
      </c>
      <c r="O2190" s="2">
        <v>3072</v>
      </c>
      <c r="P2190" s="2">
        <v>0</v>
      </c>
      <c r="Q2190" s="2">
        <v>6120</v>
      </c>
      <c r="R2190" s="2">
        <v>9216</v>
      </c>
      <c r="S2190">
        <v>211.96799999999999</v>
      </c>
      <c r="T2190" s="2">
        <v>27648</v>
      </c>
      <c r="U2190" s="2">
        <v>112128</v>
      </c>
      <c r="V2190">
        <v>140.76</v>
      </c>
      <c r="W2190">
        <v>0</v>
      </c>
      <c r="X2190">
        <v>0</v>
      </c>
      <c r="Y2190">
        <v>0</v>
      </c>
      <c r="Z2190">
        <v>4.8</v>
      </c>
      <c r="AA2190">
        <v>3.4100597000000003E-2</v>
      </c>
      <c r="AB2190">
        <v>28.5</v>
      </c>
      <c r="AC2190">
        <v>12</v>
      </c>
      <c r="AD2190">
        <v>22</v>
      </c>
      <c r="AE2190" s="7"/>
      <c r="AF2190" s="7"/>
      <c r="AG2190" s="7"/>
      <c r="AH2190" s="7"/>
      <c r="AI2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90" s="7"/>
      <c r="AK2190" t="s">
        <v>643</v>
      </c>
      <c r="AN2190">
        <f>IFERROR(INT(Table13[[#This Row],[reject_prod]]/Table13[[#This Row],[part_weight]] * 1000), 0)</f>
        <v>208</v>
      </c>
    </row>
    <row r="2191" spans="1:40">
      <c r="A2191" s="1">
        <v>46087</v>
      </c>
      <c r="B2191">
        <v>2</v>
      </c>
      <c r="C2191">
        <v>4</v>
      </c>
      <c r="D2191" t="s">
        <v>56</v>
      </c>
      <c r="E2191" t="s">
        <v>34</v>
      </c>
      <c r="F2191">
        <v>402305</v>
      </c>
      <c r="G2191" s="6">
        <v>0</v>
      </c>
      <c r="H2191" t="s">
        <v>395</v>
      </c>
      <c r="I2191">
        <v>10688065</v>
      </c>
      <c r="J2191">
        <v>4</v>
      </c>
      <c r="K2191">
        <v>29</v>
      </c>
      <c r="L2191">
        <v>29</v>
      </c>
      <c r="M2191">
        <v>1250</v>
      </c>
      <c r="N2191" s="2">
        <v>44928</v>
      </c>
      <c r="O2191" s="2">
        <v>0</v>
      </c>
      <c r="P2191" s="2">
        <v>0</v>
      </c>
      <c r="Q2191" s="2">
        <v>5000</v>
      </c>
      <c r="R2191" s="2">
        <v>4992</v>
      </c>
      <c r="S2191">
        <v>144.768</v>
      </c>
      <c r="T2191" s="2">
        <v>44928</v>
      </c>
      <c r="U2191" s="2">
        <v>0</v>
      </c>
      <c r="V2191">
        <v>145</v>
      </c>
      <c r="W2191">
        <v>0</v>
      </c>
      <c r="X2191">
        <v>0</v>
      </c>
      <c r="Y2191">
        <v>0</v>
      </c>
      <c r="Z2191">
        <v>4.3</v>
      </c>
      <c r="AA2191">
        <v>2.9655172E-2</v>
      </c>
      <c r="AB2191">
        <v>25.6</v>
      </c>
      <c r="AC2191">
        <v>8.8888888890000004</v>
      </c>
      <c r="AD2191">
        <v>22</v>
      </c>
      <c r="AE2191" s="7"/>
      <c r="AF2191" s="7"/>
      <c r="AG2191" s="7"/>
      <c r="AH2191" s="7"/>
      <c r="AI2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3.1111111109999996</v>
      </c>
      <c r="AJ2191" s="7"/>
      <c r="AK2191" t="s">
        <v>1127</v>
      </c>
      <c r="AN2191">
        <f>IFERROR(INT(Table13[[#This Row],[reject_prod]]/Table13[[#This Row],[part_weight]] * 1000), 0)</f>
        <v>148</v>
      </c>
    </row>
    <row r="2192" spans="1:40">
      <c r="A2192" s="1">
        <v>46087</v>
      </c>
      <c r="B2192">
        <v>2</v>
      </c>
      <c r="C2192">
        <v>4</v>
      </c>
      <c r="D2192" t="s">
        <v>56</v>
      </c>
      <c r="E2192" t="s">
        <v>34</v>
      </c>
      <c r="F2192">
        <v>426555</v>
      </c>
      <c r="G2192" s="6">
        <v>0</v>
      </c>
      <c r="H2192" t="s">
        <v>1128</v>
      </c>
      <c r="I2192">
        <v>10688066</v>
      </c>
      <c r="J2192">
        <v>4</v>
      </c>
      <c r="K2192">
        <v>29</v>
      </c>
      <c r="L2192">
        <v>29</v>
      </c>
      <c r="M2192">
        <v>0</v>
      </c>
      <c r="N2192" s="2">
        <v>81600</v>
      </c>
      <c r="O2192" s="2">
        <v>0</v>
      </c>
      <c r="P2192" s="2">
        <v>0</v>
      </c>
      <c r="Q2192" s="2">
        <v>0</v>
      </c>
      <c r="R2192" s="2">
        <v>0</v>
      </c>
      <c r="S2192">
        <v>0</v>
      </c>
      <c r="T2192" s="2">
        <v>0</v>
      </c>
      <c r="U2192" s="2">
        <v>81600</v>
      </c>
      <c r="V2192">
        <v>0</v>
      </c>
      <c r="W2192">
        <v>0</v>
      </c>
      <c r="X2192">
        <v>0</v>
      </c>
      <c r="Y2192" t="e">
        <v>#DIV/0!</v>
      </c>
      <c r="Z2192">
        <v>0</v>
      </c>
      <c r="AA2192" t="e">
        <v>#DIV/0!</v>
      </c>
      <c r="AB2192">
        <v>25.6</v>
      </c>
      <c r="AC2192">
        <v>0</v>
      </c>
      <c r="AD2192">
        <v>22.72</v>
      </c>
      <c r="AE2192" s="7"/>
      <c r="AF2192" s="7"/>
      <c r="AG2192" s="7">
        <v>1.5</v>
      </c>
      <c r="AH2192" s="7"/>
      <c r="AI2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192" s="7"/>
      <c r="AK2192" t="s">
        <v>890</v>
      </c>
      <c r="AN2192">
        <f>IFERROR(INT(Table13[[#This Row],[reject_prod]]/Table13[[#This Row],[part_weight]] * 1000), 0)</f>
        <v>0</v>
      </c>
    </row>
    <row r="2193" spans="1:40">
      <c r="A2193" s="1">
        <v>46087</v>
      </c>
      <c r="B2193">
        <v>2</v>
      </c>
      <c r="C2193">
        <v>5</v>
      </c>
      <c r="D2193" t="s">
        <v>291</v>
      </c>
      <c r="E2193" t="s">
        <v>34</v>
      </c>
      <c r="F2193">
        <v>322448</v>
      </c>
      <c r="G2193" s="6">
        <v>0</v>
      </c>
      <c r="H2193" t="s">
        <v>654</v>
      </c>
      <c r="I2193">
        <v>10687753</v>
      </c>
      <c r="J2193">
        <v>4</v>
      </c>
      <c r="K2193">
        <v>40</v>
      </c>
      <c r="L2193">
        <v>40</v>
      </c>
      <c r="M2193">
        <v>1620</v>
      </c>
      <c r="N2193" s="2">
        <v>174960</v>
      </c>
      <c r="O2193" s="2">
        <v>0</v>
      </c>
      <c r="P2193" s="2">
        <v>0</v>
      </c>
      <c r="Q2193" s="2">
        <v>6480</v>
      </c>
      <c r="R2193" s="2">
        <v>6480</v>
      </c>
      <c r="S2193">
        <v>259.2</v>
      </c>
      <c r="T2193" s="2">
        <v>101250</v>
      </c>
      <c r="U2193" s="2">
        <v>73710</v>
      </c>
      <c r="V2193">
        <v>259.2</v>
      </c>
      <c r="W2193">
        <v>0</v>
      </c>
      <c r="X2193">
        <v>0</v>
      </c>
      <c r="Y2193">
        <v>0</v>
      </c>
      <c r="Z2193">
        <v>5</v>
      </c>
      <c r="AA2193">
        <v>1.9290122999999999E-2</v>
      </c>
      <c r="AB2193">
        <v>26.1</v>
      </c>
      <c r="AC2193">
        <v>11.744999999999999</v>
      </c>
      <c r="AD2193">
        <v>23</v>
      </c>
      <c r="AE2193" s="7"/>
      <c r="AF2193" s="7"/>
      <c r="AG2193" s="7"/>
      <c r="AH2193" s="7"/>
      <c r="AI21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193" s="7"/>
      <c r="AK2193" t="s">
        <v>356</v>
      </c>
      <c r="AN2193">
        <f>IFERROR(INT(Table13[[#This Row],[reject_prod]]/Table13[[#This Row],[part_weight]] * 1000), 0)</f>
        <v>125</v>
      </c>
    </row>
    <row r="2194" spans="1:40">
      <c r="A2194" s="1">
        <v>46087</v>
      </c>
      <c r="B2194">
        <v>2</v>
      </c>
      <c r="C2194">
        <v>6</v>
      </c>
      <c r="D2194" t="s">
        <v>979</v>
      </c>
      <c r="E2194" t="s">
        <v>34</v>
      </c>
      <c r="F2194">
        <v>532981</v>
      </c>
      <c r="G2194" s="6">
        <v>0</v>
      </c>
      <c r="H2194" t="s">
        <v>233</v>
      </c>
      <c r="I2194">
        <v>10688648</v>
      </c>
      <c r="J2194">
        <v>4</v>
      </c>
      <c r="K2194">
        <v>24.45</v>
      </c>
      <c r="L2194">
        <v>24</v>
      </c>
      <c r="M2194">
        <v>1380</v>
      </c>
      <c r="N2194" s="2">
        <v>87552</v>
      </c>
      <c r="O2194" s="2">
        <v>1368</v>
      </c>
      <c r="P2194" s="2">
        <v>1368</v>
      </c>
      <c r="Q2194" s="2">
        <v>5520</v>
      </c>
      <c r="R2194" s="2">
        <v>5472</v>
      </c>
      <c r="S2194">
        <v>131.328</v>
      </c>
      <c r="T2194" s="2">
        <v>34200</v>
      </c>
      <c r="U2194" s="2">
        <v>53352</v>
      </c>
      <c r="V2194">
        <v>132.47999999999999</v>
      </c>
      <c r="W2194">
        <v>0</v>
      </c>
      <c r="X2194">
        <v>0</v>
      </c>
      <c r="Y2194">
        <v>0</v>
      </c>
      <c r="Z2194">
        <v>1</v>
      </c>
      <c r="AA2194">
        <v>7.5483089999999996E-3</v>
      </c>
      <c r="AB2194">
        <v>23.2</v>
      </c>
      <c r="AC2194">
        <v>8.8933333329999993</v>
      </c>
      <c r="AD2194">
        <v>20</v>
      </c>
      <c r="AE2194" s="7"/>
      <c r="AF2194" s="7"/>
      <c r="AG2194" s="7"/>
      <c r="AH2194" s="7">
        <v>3</v>
      </c>
      <c r="AI2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0.10666666700000071</v>
      </c>
      <c r="AJ2194" s="7"/>
      <c r="AK2194" t="s">
        <v>1129</v>
      </c>
      <c r="AN2194">
        <f>IFERROR(INT(Table13[[#This Row],[reject_prod]]/Table13[[#This Row],[part_weight]] * 1000), 0)</f>
        <v>41</v>
      </c>
    </row>
    <row r="2195" spans="1:40">
      <c r="A2195" s="1">
        <v>46087</v>
      </c>
      <c r="B2195">
        <v>2</v>
      </c>
      <c r="C2195">
        <v>7</v>
      </c>
      <c r="D2195" t="s">
        <v>1130</v>
      </c>
      <c r="E2195" t="s">
        <v>34</v>
      </c>
      <c r="F2195">
        <v>322452</v>
      </c>
      <c r="G2195" s="6">
        <v>0</v>
      </c>
      <c r="H2195" t="s">
        <v>374</v>
      </c>
      <c r="I2195">
        <v>10689204</v>
      </c>
      <c r="J2195">
        <v>4</v>
      </c>
      <c r="K2195">
        <v>33.11</v>
      </c>
      <c r="L2195">
        <v>34.5</v>
      </c>
      <c r="M2195">
        <v>1120</v>
      </c>
      <c r="N2195" s="2">
        <v>49920</v>
      </c>
      <c r="O2195" s="2">
        <v>624</v>
      </c>
      <c r="P2195" s="2">
        <v>0</v>
      </c>
      <c r="Q2195" s="2">
        <v>4480</v>
      </c>
      <c r="R2195" s="2">
        <v>4992</v>
      </c>
      <c r="S2195">
        <v>172.22399999999999</v>
      </c>
      <c r="T2195" s="2">
        <v>27456</v>
      </c>
      <c r="U2195" s="2">
        <v>22464</v>
      </c>
      <c r="V2195">
        <v>154.56</v>
      </c>
      <c r="W2195">
        <v>0</v>
      </c>
      <c r="X2195">
        <v>0</v>
      </c>
      <c r="Y2195">
        <v>0</v>
      </c>
      <c r="Z2195">
        <v>8</v>
      </c>
      <c r="AA2195">
        <v>5.1759833999999998E-2</v>
      </c>
      <c r="AB2195">
        <v>22.65</v>
      </c>
      <c r="AC2195">
        <v>7.0466666670000002</v>
      </c>
      <c r="AD2195">
        <v>18.04</v>
      </c>
      <c r="AE2195" s="7"/>
      <c r="AF2195" s="7"/>
      <c r="AG2195" s="7"/>
      <c r="AH2195" s="7">
        <v>3</v>
      </c>
      <c r="AI2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1.9533333329999998</v>
      </c>
      <c r="AJ2195" s="7"/>
      <c r="AK2195" t="s">
        <v>1131</v>
      </c>
      <c r="AN2195">
        <f>IFERROR(INT(Table13[[#This Row],[reject_prod]]/Table13[[#This Row],[part_weight]] * 1000), 0)</f>
        <v>231</v>
      </c>
    </row>
    <row r="2196" spans="1:40">
      <c r="A2196" s="1">
        <v>46087</v>
      </c>
      <c r="B2196">
        <v>2</v>
      </c>
      <c r="C2196">
        <v>8</v>
      </c>
      <c r="F2196">
        <v>123456</v>
      </c>
      <c r="G2196" s="6">
        <v>0</v>
      </c>
      <c r="M2196">
        <v>0</v>
      </c>
      <c r="N2196" s="2">
        <v>0</v>
      </c>
      <c r="O2196" s="2">
        <v>0</v>
      </c>
      <c r="P2196" s="2">
        <v>0</v>
      </c>
      <c r="Q2196" s="2"/>
      <c r="R2196" s="2">
        <v>0</v>
      </c>
      <c r="T2196" s="2">
        <v>0</v>
      </c>
      <c r="U2196" s="2"/>
      <c r="X2196">
        <v>0</v>
      </c>
      <c r="Z2196">
        <v>0</v>
      </c>
      <c r="AB2196">
        <v>0</v>
      </c>
      <c r="AC2196">
        <v>0</v>
      </c>
      <c r="AD2196">
        <v>0</v>
      </c>
      <c r="AE2196" s="7"/>
      <c r="AF2196" s="7"/>
      <c r="AG2196" s="7"/>
      <c r="AH2196" s="7"/>
      <c r="AI2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96" s="7">
        <v>12</v>
      </c>
      <c r="AK2196" t="s">
        <v>116</v>
      </c>
      <c r="AN2196">
        <f>IFERROR(INT(Table13[[#This Row],[reject_prod]]/Table13[[#This Row],[part_weight]] * 1000), 0)</f>
        <v>0</v>
      </c>
    </row>
    <row r="2197" spans="1:40">
      <c r="A2197" s="1">
        <v>46087</v>
      </c>
      <c r="B2197">
        <v>2</v>
      </c>
      <c r="C2197">
        <v>9</v>
      </c>
      <c r="D2197" t="s">
        <v>58</v>
      </c>
      <c r="E2197" t="s">
        <v>46</v>
      </c>
      <c r="F2197">
        <v>586276</v>
      </c>
      <c r="G2197" s="6">
        <v>1</v>
      </c>
      <c r="H2197" t="s">
        <v>47</v>
      </c>
      <c r="I2197">
        <v>10686685</v>
      </c>
      <c r="J2197">
        <v>6</v>
      </c>
      <c r="K2197">
        <v>12.3</v>
      </c>
      <c r="L2197">
        <v>12.3</v>
      </c>
      <c r="M2197">
        <v>1620</v>
      </c>
      <c r="N2197" s="2">
        <v>162000</v>
      </c>
      <c r="O2197" s="2">
        <v>810</v>
      </c>
      <c r="P2197" s="2">
        <v>2430</v>
      </c>
      <c r="Q2197" s="2">
        <v>9720</v>
      </c>
      <c r="R2197" s="2">
        <v>8100</v>
      </c>
      <c r="S2197">
        <v>99.63</v>
      </c>
      <c r="T2197" s="2">
        <v>115830</v>
      </c>
      <c r="U2197" s="2">
        <v>46170</v>
      </c>
      <c r="V2197">
        <v>119.556</v>
      </c>
      <c r="W2197">
        <v>0</v>
      </c>
      <c r="X2197">
        <v>0</v>
      </c>
      <c r="Y2197">
        <v>0</v>
      </c>
      <c r="Z2197">
        <v>2</v>
      </c>
      <c r="AA2197">
        <v>1.6728561999999999E-2</v>
      </c>
      <c r="AB2197">
        <v>26.5</v>
      </c>
      <c r="AC2197">
        <v>11.925000000000001</v>
      </c>
      <c r="AD2197">
        <v>26</v>
      </c>
      <c r="AE2197" s="7"/>
      <c r="AF2197" s="7"/>
      <c r="AG2197" s="7"/>
      <c r="AH2197" s="7"/>
      <c r="AI2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197" s="7"/>
      <c r="AK2197" t="s">
        <v>51</v>
      </c>
      <c r="AN2197">
        <f>IFERROR(INT(Table13[[#This Row],[reject_prod]]/Table13[[#This Row],[part_weight]] * 1000), 0)</f>
        <v>162</v>
      </c>
    </row>
    <row r="2198" spans="1:40">
      <c r="A2198" s="1">
        <v>46087</v>
      </c>
      <c r="B2198">
        <v>2</v>
      </c>
      <c r="C2198">
        <v>10</v>
      </c>
      <c r="D2198" t="s">
        <v>167</v>
      </c>
      <c r="E2198" t="s">
        <v>34</v>
      </c>
      <c r="F2198">
        <v>414439</v>
      </c>
      <c r="G2198" s="6">
        <v>0</v>
      </c>
      <c r="H2198" t="s">
        <v>587</v>
      </c>
      <c r="I2198">
        <v>10688521</v>
      </c>
      <c r="J2198">
        <v>6</v>
      </c>
      <c r="K2198">
        <v>57</v>
      </c>
      <c r="L2198">
        <v>15</v>
      </c>
      <c r="M2198">
        <v>1700</v>
      </c>
      <c r="N2198" s="2">
        <v>206976</v>
      </c>
      <c r="O2198" s="2">
        <v>9240</v>
      </c>
      <c r="P2198" s="2">
        <v>4312</v>
      </c>
      <c r="Q2198" s="2">
        <v>10200</v>
      </c>
      <c r="R2198" s="2">
        <v>14784</v>
      </c>
      <c r="S2198">
        <v>221.76</v>
      </c>
      <c r="T2198" s="2">
        <v>0</v>
      </c>
      <c r="U2198" s="2">
        <v>206976</v>
      </c>
      <c r="V2198">
        <v>153</v>
      </c>
      <c r="W2198">
        <v>0</v>
      </c>
      <c r="X2198">
        <v>0</v>
      </c>
      <c r="Y2198">
        <v>0</v>
      </c>
      <c r="Z2198">
        <v>7.8</v>
      </c>
      <c r="AA2198">
        <v>5.0980391999999999E-2</v>
      </c>
      <c r="AB2198">
        <v>23.7</v>
      </c>
      <c r="AC2198">
        <v>11.19166667</v>
      </c>
      <c r="AD2198">
        <v>15</v>
      </c>
      <c r="AE2198" s="7"/>
      <c r="AF2198" s="7"/>
      <c r="AG2198" s="7"/>
      <c r="AH2198" s="7"/>
      <c r="AI2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0.80833332999999996</v>
      </c>
      <c r="AJ2198" s="7"/>
      <c r="AK2198" t="s">
        <v>643</v>
      </c>
      <c r="AN2198">
        <f>IFERROR(INT(Table13[[#This Row],[reject_prod]]/Table13[[#This Row],[part_weight]] * 1000), 0)</f>
        <v>520</v>
      </c>
    </row>
    <row r="2199" spans="1:40">
      <c r="A2199" s="1">
        <v>46087</v>
      </c>
      <c r="B2199">
        <v>2</v>
      </c>
      <c r="C2199">
        <v>11</v>
      </c>
      <c r="D2199" t="s">
        <v>33</v>
      </c>
      <c r="E2199" t="s">
        <v>46</v>
      </c>
      <c r="F2199">
        <v>552181</v>
      </c>
      <c r="G2199" s="6">
        <v>1</v>
      </c>
      <c r="H2199" t="s">
        <v>49</v>
      </c>
      <c r="I2199">
        <v>10688069</v>
      </c>
      <c r="J2199">
        <v>6</v>
      </c>
      <c r="K2199">
        <v>14.7</v>
      </c>
      <c r="L2199">
        <v>14.7</v>
      </c>
      <c r="M2199">
        <v>0</v>
      </c>
      <c r="N2199" s="2">
        <v>108000</v>
      </c>
      <c r="O2199" s="2">
        <v>5670</v>
      </c>
      <c r="P2199" s="2">
        <v>5670</v>
      </c>
      <c r="Q2199" s="2">
        <v>0</v>
      </c>
      <c r="R2199" s="2">
        <v>0</v>
      </c>
      <c r="S2199">
        <v>0</v>
      </c>
      <c r="T2199" s="2">
        <v>54000</v>
      </c>
      <c r="U2199" s="2">
        <v>54000</v>
      </c>
      <c r="V2199">
        <v>0</v>
      </c>
      <c r="W2199">
        <v>0</v>
      </c>
      <c r="X2199">
        <v>4</v>
      </c>
      <c r="Y2199" t="e">
        <v>#DIV/0!</v>
      </c>
      <c r="Z2199">
        <v>0</v>
      </c>
      <c r="AA2199" t="e">
        <v>#DIV/0!</v>
      </c>
      <c r="AB2199">
        <v>28.46</v>
      </c>
      <c r="AC2199">
        <v>0</v>
      </c>
      <c r="AD2199">
        <v>27</v>
      </c>
      <c r="AE2199" s="7"/>
      <c r="AF2199" s="7"/>
      <c r="AG2199" s="7"/>
      <c r="AH2199" s="7"/>
      <c r="AI2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99" s="7"/>
      <c r="AK2199" t="s">
        <v>989</v>
      </c>
      <c r="AN2199">
        <f>IFERROR(INT(Table13[[#This Row],[reject_prod]]/Table13[[#This Row],[part_weight]] * 1000), 0)</f>
        <v>0</v>
      </c>
    </row>
    <row r="2200" spans="1:40">
      <c r="A2200" s="1">
        <v>46087</v>
      </c>
      <c r="B2200">
        <v>2</v>
      </c>
      <c r="C2200">
        <v>12</v>
      </c>
      <c r="D2200" t="s">
        <v>33</v>
      </c>
      <c r="E2200" t="s">
        <v>46</v>
      </c>
      <c r="F2200">
        <v>555979</v>
      </c>
      <c r="G2200" s="6">
        <v>1</v>
      </c>
      <c r="H2200" t="s">
        <v>52</v>
      </c>
      <c r="I2200">
        <v>10689126</v>
      </c>
      <c r="J2200">
        <v>6</v>
      </c>
      <c r="K2200">
        <v>28</v>
      </c>
      <c r="L2200">
        <v>28</v>
      </c>
      <c r="M2200">
        <v>0</v>
      </c>
      <c r="N2200" s="2">
        <v>100800</v>
      </c>
      <c r="O2200" s="2">
        <v>0</v>
      </c>
      <c r="P2200" s="2">
        <v>0</v>
      </c>
      <c r="Q2200" s="2">
        <v>0</v>
      </c>
      <c r="R2200" s="2">
        <v>0</v>
      </c>
      <c r="S2200">
        <v>0</v>
      </c>
      <c r="T2200" s="2">
        <v>0</v>
      </c>
      <c r="U2200" s="2">
        <v>100800</v>
      </c>
      <c r="V2200">
        <v>0</v>
      </c>
      <c r="W2200">
        <v>0</v>
      </c>
      <c r="X2200">
        <v>0</v>
      </c>
      <c r="Y2200" t="e">
        <v>#DIV/0!</v>
      </c>
      <c r="Z2200">
        <v>7.8</v>
      </c>
      <c r="AA2200" t="e">
        <v>#DIV/0!</v>
      </c>
      <c r="AB2200">
        <v>28.8</v>
      </c>
      <c r="AC2200">
        <v>0</v>
      </c>
      <c r="AD2200">
        <v>42</v>
      </c>
      <c r="AE2200" s="7"/>
      <c r="AF2200" s="7"/>
      <c r="AG2200" s="7"/>
      <c r="AH2200" s="7"/>
      <c r="AI2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00" s="7"/>
      <c r="AK2200" t="s">
        <v>1132</v>
      </c>
      <c r="AN2200">
        <f>IFERROR(INT(Table13[[#This Row],[reject_prod]]/Table13[[#This Row],[part_weight]] * 1000), 0)</f>
        <v>278</v>
      </c>
    </row>
    <row r="2201" spans="1:40">
      <c r="A2201" s="1">
        <v>46087</v>
      </c>
      <c r="B2201">
        <v>2</v>
      </c>
      <c r="C2201">
        <v>13</v>
      </c>
      <c r="D2201" t="s">
        <v>59</v>
      </c>
      <c r="E2201" t="s">
        <v>46</v>
      </c>
      <c r="F2201">
        <v>586276</v>
      </c>
      <c r="G2201" s="6">
        <v>2</v>
      </c>
      <c r="H2201" t="s">
        <v>47</v>
      </c>
      <c r="I2201">
        <v>10688946</v>
      </c>
      <c r="J2201">
        <v>6</v>
      </c>
      <c r="K2201">
        <v>12.3</v>
      </c>
      <c r="L2201">
        <v>12.3</v>
      </c>
      <c r="M2201">
        <v>1672</v>
      </c>
      <c r="N2201" s="2">
        <v>162000</v>
      </c>
      <c r="O2201" s="2">
        <v>5670</v>
      </c>
      <c r="P2201" s="2">
        <v>0</v>
      </c>
      <c r="Q2201" s="2">
        <v>10032</v>
      </c>
      <c r="R2201" s="2">
        <v>16200</v>
      </c>
      <c r="S2201">
        <v>199.26</v>
      </c>
      <c r="T2201" s="2">
        <v>81000</v>
      </c>
      <c r="U2201" s="2">
        <v>81000</v>
      </c>
      <c r="V2201">
        <v>123.39360000000001</v>
      </c>
      <c r="W2201">
        <v>0</v>
      </c>
      <c r="X2201">
        <v>0</v>
      </c>
      <c r="Y2201">
        <v>0</v>
      </c>
      <c r="Z2201">
        <v>1.5</v>
      </c>
      <c r="AA2201">
        <v>1.2156222E-2</v>
      </c>
      <c r="AB2201">
        <v>26.2</v>
      </c>
      <c r="AC2201">
        <v>12</v>
      </c>
      <c r="AD2201">
        <v>26</v>
      </c>
      <c r="AE2201" s="7"/>
      <c r="AF2201" s="7"/>
      <c r="AG2201" s="7"/>
      <c r="AH2201" s="7"/>
      <c r="AI2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1" s="7"/>
      <c r="AK2201" t="s">
        <v>51</v>
      </c>
      <c r="AN2201">
        <f>IFERROR(INT(Table13[[#This Row],[reject_prod]]/Table13[[#This Row],[part_weight]] * 1000), 0)</f>
        <v>121</v>
      </c>
    </row>
    <row r="2202" spans="1:40">
      <c r="A2202" s="1">
        <v>46087</v>
      </c>
      <c r="B2202">
        <v>2</v>
      </c>
      <c r="C2202">
        <v>14</v>
      </c>
      <c r="D2202" t="s">
        <v>84</v>
      </c>
      <c r="E2202" t="s">
        <v>34</v>
      </c>
      <c r="F2202">
        <v>541381</v>
      </c>
      <c r="G2202" s="6">
        <v>0</v>
      </c>
      <c r="H2202" t="s">
        <v>804</v>
      </c>
      <c r="I2202">
        <v>10688073</v>
      </c>
      <c r="J2202">
        <v>4</v>
      </c>
      <c r="K2202">
        <v>55</v>
      </c>
      <c r="L2202">
        <v>55</v>
      </c>
      <c r="M2202">
        <v>1575</v>
      </c>
      <c r="N2202" s="2">
        <v>84000</v>
      </c>
      <c r="O2202" s="2">
        <v>0</v>
      </c>
      <c r="P2202" s="2">
        <v>0</v>
      </c>
      <c r="Q2202" s="2">
        <v>6300</v>
      </c>
      <c r="R2202" s="2">
        <v>6300</v>
      </c>
      <c r="S2202">
        <v>346.5</v>
      </c>
      <c r="T2202" s="2">
        <v>25200</v>
      </c>
      <c r="U2202" s="2">
        <v>58800</v>
      </c>
      <c r="V2202">
        <v>346.5</v>
      </c>
      <c r="W2202">
        <v>0</v>
      </c>
      <c r="X2202">
        <v>0</v>
      </c>
      <c r="Y2202">
        <v>0</v>
      </c>
      <c r="Z2202">
        <v>1</v>
      </c>
      <c r="AA2202">
        <v>2.8860029999999998E-3</v>
      </c>
      <c r="AB2202">
        <v>27.3</v>
      </c>
      <c r="AC2202">
        <v>11.94375</v>
      </c>
      <c r="AD2202">
        <v>30.08</v>
      </c>
      <c r="AE2202" s="7"/>
      <c r="AF2202" s="7"/>
      <c r="AG2202" s="7"/>
      <c r="AH2202" s="7"/>
      <c r="AI2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202" s="7"/>
      <c r="AK2202" t="s">
        <v>178</v>
      </c>
      <c r="AN2202">
        <f>IFERROR(INT(Table13[[#This Row],[reject_prod]]/Table13[[#This Row],[part_weight]] * 1000), 0)</f>
        <v>18</v>
      </c>
    </row>
    <row r="2203" spans="1:40">
      <c r="A2203" s="1">
        <v>46087</v>
      </c>
      <c r="B2203">
        <v>2</v>
      </c>
      <c r="C2203">
        <v>15</v>
      </c>
      <c r="D2203" t="s">
        <v>59</v>
      </c>
      <c r="E2203" t="s">
        <v>46</v>
      </c>
      <c r="F2203">
        <v>552181</v>
      </c>
      <c r="G2203" s="6">
        <v>2</v>
      </c>
      <c r="H2203" t="s">
        <v>49</v>
      </c>
      <c r="I2203">
        <v>10686680</v>
      </c>
      <c r="J2203">
        <v>6</v>
      </c>
      <c r="K2203">
        <v>14.7</v>
      </c>
      <c r="L2203">
        <v>14.7</v>
      </c>
      <c r="M2203">
        <v>1395</v>
      </c>
      <c r="N2203" s="2">
        <v>108000</v>
      </c>
      <c r="O2203" s="2">
        <v>4320</v>
      </c>
      <c r="P2203" s="2">
        <v>1890</v>
      </c>
      <c r="Q2203" s="2">
        <v>8370</v>
      </c>
      <c r="R2203" s="2">
        <v>10800</v>
      </c>
      <c r="S2203">
        <v>158.76</v>
      </c>
      <c r="T2203" s="2">
        <v>45090</v>
      </c>
      <c r="U2203" s="2">
        <v>62910</v>
      </c>
      <c r="V2203">
        <v>123.039</v>
      </c>
      <c r="W2203">
        <v>0</v>
      </c>
      <c r="X2203">
        <v>0</v>
      </c>
      <c r="Y2203">
        <v>0</v>
      </c>
      <c r="Z2203">
        <v>1.2</v>
      </c>
      <c r="AA2203">
        <v>9.7530050000000004E-3</v>
      </c>
      <c r="AB2203">
        <v>30.6</v>
      </c>
      <c r="AC2203">
        <v>11.8575</v>
      </c>
      <c r="AD2203">
        <v>27</v>
      </c>
      <c r="AE2203" s="7"/>
      <c r="AF2203" s="7"/>
      <c r="AG2203" s="7"/>
      <c r="AH2203" s="7"/>
      <c r="AI2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203" s="7"/>
      <c r="AK2203" t="s">
        <v>51</v>
      </c>
      <c r="AN2203">
        <f>IFERROR(INT(Table13[[#This Row],[reject_prod]]/Table13[[#This Row],[part_weight]] * 1000), 0)</f>
        <v>81</v>
      </c>
    </row>
    <row r="2204" spans="1:40">
      <c r="A2204" s="1">
        <v>46087</v>
      </c>
      <c r="B2204">
        <v>2</v>
      </c>
      <c r="C2204">
        <v>16</v>
      </c>
      <c r="D2204" t="s">
        <v>1133</v>
      </c>
      <c r="E2204" t="s">
        <v>46</v>
      </c>
      <c r="F2204">
        <v>555979</v>
      </c>
      <c r="G2204" s="6">
        <v>2</v>
      </c>
      <c r="H2204" t="s">
        <v>52</v>
      </c>
      <c r="I2204">
        <v>10686701</v>
      </c>
      <c r="J2204">
        <v>6</v>
      </c>
      <c r="K2204">
        <v>28</v>
      </c>
      <c r="L2204">
        <v>28</v>
      </c>
      <c r="M2204">
        <v>1000</v>
      </c>
      <c r="N2204" s="2">
        <v>100800</v>
      </c>
      <c r="O2204" s="2">
        <v>2016</v>
      </c>
      <c r="P2204" s="2">
        <v>1176</v>
      </c>
      <c r="Q2204" s="2">
        <v>6000</v>
      </c>
      <c r="R2204" s="2">
        <v>6720</v>
      </c>
      <c r="S2204">
        <v>188.16</v>
      </c>
      <c r="T2204" s="2">
        <v>91896</v>
      </c>
      <c r="U2204" s="2">
        <v>8904</v>
      </c>
      <c r="V2204">
        <v>168</v>
      </c>
      <c r="W2204">
        <v>0</v>
      </c>
      <c r="X2204">
        <v>0</v>
      </c>
      <c r="Y2204">
        <v>0</v>
      </c>
      <c r="Z2204">
        <v>4.8</v>
      </c>
      <c r="AA2204">
        <v>2.8571428999999999E-2</v>
      </c>
      <c r="AB2204">
        <v>40.5</v>
      </c>
      <c r="AC2204">
        <v>11.25</v>
      </c>
      <c r="AD2204">
        <v>42</v>
      </c>
      <c r="AE2204" s="7"/>
      <c r="AF2204" s="7"/>
      <c r="AG2204" s="7"/>
      <c r="AH2204" s="7"/>
      <c r="AI2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0.75</v>
      </c>
      <c r="AJ2204" s="7"/>
      <c r="AK2204" t="s">
        <v>1134</v>
      </c>
      <c r="AN2204">
        <f>IFERROR(INT(Table13[[#This Row],[reject_prod]]/Table13[[#This Row],[part_weight]] * 1000), 0)</f>
        <v>171</v>
      </c>
    </row>
    <row r="2205" spans="1:40">
      <c r="A2205" s="1">
        <v>46088</v>
      </c>
      <c r="B2205">
        <v>1</v>
      </c>
      <c r="C2205">
        <v>1</v>
      </c>
      <c r="D2205" t="s">
        <v>152</v>
      </c>
      <c r="E2205" t="s">
        <v>34</v>
      </c>
      <c r="F2205">
        <v>577492</v>
      </c>
      <c r="G2205" s="6">
        <v>0</v>
      </c>
      <c r="H2205" t="s">
        <v>341</v>
      </c>
      <c r="I2205">
        <v>10688947</v>
      </c>
      <c r="J2205">
        <v>4</v>
      </c>
      <c r="K2205">
        <v>35.6</v>
      </c>
      <c r="L2205">
        <v>35.6</v>
      </c>
      <c r="M2205">
        <v>1615</v>
      </c>
      <c r="N2205" s="2">
        <v>80960</v>
      </c>
      <c r="O2205" s="2">
        <v>400</v>
      </c>
      <c r="P2205" s="2">
        <v>0</v>
      </c>
      <c r="Q2205" s="2">
        <v>6460</v>
      </c>
      <c r="R2205" s="2">
        <v>7360</v>
      </c>
      <c r="S2205">
        <v>262.01600000000002</v>
      </c>
      <c r="T2205" s="2">
        <v>11040</v>
      </c>
      <c r="U2205" s="2">
        <v>69920</v>
      </c>
      <c r="V2205">
        <v>229.976</v>
      </c>
      <c r="W2205">
        <v>0</v>
      </c>
      <c r="X2205">
        <v>0</v>
      </c>
      <c r="Y2205">
        <v>0</v>
      </c>
      <c r="Z2205">
        <v>0.5</v>
      </c>
      <c r="AA2205">
        <v>2.1741400000000002E-3</v>
      </c>
      <c r="AB2205">
        <v>27</v>
      </c>
      <c r="AC2205">
        <v>12</v>
      </c>
      <c r="AD2205">
        <v>27</v>
      </c>
      <c r="AE2205" s="7"/>
      <c r="AF2205" s="7"/>
      <c r="AG2205" s="7"/>
      <c r="AH2205" s="7"/>
      <c r="AI2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5" s="7"/>
      <c r="AK2205" t="s">
        <v>51</v>
      </c>
      <c r="AL2205">
        <v>7</v>
      </c>
      <c r="AM2205">
        <v>2</v>
      </c>
      <c r="AN2205">
        <f>IFERROR(INT(Table13[[#This Row],[reject_prod]]/Table13[[#This Row],[part_weight]] * 1000), 0)</f>
        <v>14</v>
      </c>
    </row>
    <row r="2206" spans="1:40">
      <c r="A2206" s="1">
        <v>46088</v>
      </c>
      <c r="B2206">
        <v>1</v>
      </c>
      <c r="C2206">
        <v>2</v>
      </c>
      <c r="D2206" t="s">
        <v>67</v>
      </c>
      <c r="E2206" t="s">
        <v>34</v>
      </c>
      <c r="F2206">
        <v>423213</v>
      </c>
      <c r="G2206" s="6">
        <v>0</v>
      </c>
      <c r="H2206" t="s">
        <v>70</v>
      </c>
      <c r="I2206">
        <v>10688492</v>
      </c>
      <c r="J2206">
        <v>4</v>
      </c>
      <c r="K2206">
        <v>23</v>
      </c>
      <c r="L2206">
        <v>23</v>
      </c>
      <c r="M2206">
        <v>1881</v>
      </c>
      <c r="N2206" s="2">
        <v>22860</v>
      </c>
      <c r="O2206" s="2">
        <v>381</v>
      </c>
      <c r="P2206" s="2">
        <v>0</v>
      </c>
      <c r="Q2206" s="2">
        <v>7524</v>
      </c>
      <c r="R2206" s="2">
        <v>9144</v>
      </c>
      <c r="S2206">
        <v>210.31200000000001</v>
      </c>
      <c r="T2206" s="2">
        <v>18288</v>
      </c>
      <c r="U2206" s="2">
        <v>4572</v>
      </c>
      <c r="V2206">
        <v>173.05199999999999</v>
      </c>
      <c r="W2206">
        <v>0</v>
      </c>
      <c r="X2206">
        <v>0</v>
      </c>
      <c r="Y2206">
        <v>0</v>
      </c>
      <c r="Z2206">
        <v>2.5</v>
      </c>
      <c r="AA2206">
        <v>1.4446525E-2</v>
      </c>
      <c r="AB2206">
        <v>22.6</v>
      </c>
      <c r="AC2206">
        <v>11.8085</v>
      </c>
      <c r="AD2206">
        <v>22.5</v>
      </c>
      <c r="AE2206" s="7"/>
      <c r="AF2206" s="7"/>
      <c r="AG2206" s="7"/>
      <c r="AH2206" s="7"/>
      <c r="AI2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0.19149999999999956</v>
      </c>
      <c r="AJ2206" s="7"/>
      <c r="AK2206" t="s">
        <v>168</v>
      </c>
      <c r="AN2206">
        <f>IFERROR(INT(Table13[[#This Row],[reject_prod]]/Table13[[#This Row],[part_weight]] * 1000), 0)</f>
        <v>108</v>
      </c>
    </row>
    <row r="2207" spans="1:40">
      <c r="A2207" s="1">
        <v>46088</v>
      </c>
      <c r="B2207">
        <v>1</v>
      </c>
      <c r="C2207">
        <v>3</v>
      </c>
      <c r="D2207" t="s">
        <v>127</v>
      </c>
      <c r="E2207" t="s">
        <v>34</v>
      </c>
      <c r="F2207">
        <v>442034</v>
      </c>
      <c r="G2207" s="6">
        <v>0</v>
      </c>
      <c r="H2207" t="s">
        <v>37</v>
      </c>
      <c r="I2207">
        <v>10685635</v>
      </c>
      <c r="J2207">
        <v>4</v>
      </c>
      <c r="K2207">
        <v>23</v>
      </c>
      <c r="L2207">
        <v>23</v>
      </c>
      <c r="M2207">
        <v>1591</v>
      </c>
      <c r="N2207" s="2">
        <v>139776</v>
      </c>
      <c r="O2207" s="2">
        <v>0</v>
      </c>
      <c r="P2207" s="2">
        <v>1152</v>
      </c>
      <c r="Q2207" s="2">
        <v>6364</v>
      </c>
      <c r="R2207" s="2">
        <v>4608</v>
      </c>
      <c r="S2207">
        <v>105.98399999999999</v>
      </c>
      <c r="T2207" s="2">
        <v>33408</v>
      </c>
      <c r="U2207" s="2">
        <v>106368</v>
      </c>
      <c r="V2207">
        <v>146.37200000000001</v>
      </c>
      <c r="W2207">
        <v>0</v>
      </c>
      <c r="X2207">
        <v>0</v>
      </c>
      <c r="Y2207">
        <v>0</v>
      </c>
      <c r="Z2207">
        <v>3.5</v>
      </c>
      <c r="AA2207">
        <v>2.3911676999999999E-2</v>
      </c>
      <c r="AB2207">
        <v>26.1</v>
      </c>
      <c r="AC2207">
        <v>11.534750000000001</v>
      </c>
      <c r="AD2207">
        <v>22</v>
      </c>
      <c r="AE2207" s="7"/>
      <c r="AF2207" s="7"/>
      <c r="AG2207" s="7"/>
      <c r="AH2207" s="7"/>
      <c r="AI2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0.46524999999999928</v>
      </c>
      <c r="AJ2207" s="7"/>
      <c r="AK2207" t="s">
        <v>1013</v>
      </c>
      <c r="AM2207">
        <v>1</v>
      </c>
      <c r="AN2207">
        <f>IFERROR(INT(Table13[[#This Row],[reject_prod]]/Table13[[#This Row],[part_weight]] * 1000), 0)</f>
        <v>152</v>
      </c>
    </row>
    <row r="2208" spans="1:40">
      <c r="A2208" s="1">
        <v>46088</v>
      </c>
      <c r="B2208">
        <v>1</v>
      </c>
      <c r="C2208">
        <v>4</v>
      </c>
      <c r="D2208" t="s">
        <v>33</v>
      </c>
      <c r="E2208" t="s">
        <v>34</v>
      </c>
      <c r="F2208">
        <v>426555</v>
      </c>
      <c r="G2208" s="6">
        <v>0</v>
      </c>
      <c r="H2208" t="s">
        <v>1128</v>
      </c>
      <c r="I2208">
        <v>10688066</v>
      </c>
      <c r="J2208">
        <v>4</v>
      </c>
      <c r="K2208">
        <v>29</v>
      </c>
      <c r="L2208">
        <v>29</v>
      </c>
      <c r="M2208">
        <v>0</v>
      </c>
      <c r="N2208" s="2">
        <v>81600</v>
      </c>
      <c r="O2208" s="2">
        <v>0</v>
      </c>
      <c r="P2208" s="2">
        <v>0</v>
      </c>
      <c r="Q2208" s="2">
        <v>0</v>
      </c>
      <c r="R2208" s="2">
        <v>0</v>
      </c>
      <c r="S2208">
        <v>0</v>
      </c>
      <c r="T2208" s="2">
        <v>0</v>
      </c>
      <c r="U2208" s="2">
        <v>81600</v>
      </c>
      <c r="V2208">
        <v>0</v>
      </c>
      <c r="W2208">
        <v>0</v>
      </c>
      <c r="X2208">
        <v>4.5</v>
      </c>
      <c r="Y2208" t="e">
        <v>#DIV/0!</v>
      </c>
      <c r="Z2208">
        <v>0</v>
      </c>
      <c r="AA2208" t="e">
        <v>#DIV/0!</v>
      </c>
      <c r="AB2208">
        <v>25.6</v>
      </c>
      <c r="AC2208">
        <v>0</v>
      </c>
      <c r="AD2208">
        <v>22.72</v>
      </c>
      <c r="AE2208" s="7"/>
      <c r="AF2208" s="7">
        <v>3</v>
      </c>
      <c r="AG2208" s="7"/>
      <c r="AH2208" s="7"/>
      <c r="AI2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8" s="7">
        <v>9</v>
      </c>
      <c r="AK2208" t="s">
        <v>1135</v>
      </c>
      <c r="AL2208">
        <v>3</v>
      </c>
      <c r="AM2208">
        <v>2.7</v>
      </c>
      <c r="AN2208">
        <f>IFERROR(INT(Table13[[#This Row],[reject_prod]]/Table13[[#This Row],[part_weight]] * 1000), 0)</f>
        <v>0</v>
      </c>
    </row>
    <row r="2209" spans="1:40">
      <c r="A2209" s="1">
        <v>46088</v>
      </c>
      <c r="B2209">
        <v>1</v>
      </c>
      <c r="C2209">
        <v>5</v>
      </c>
      <c r="D2209" t="s">
        <v>1136</v>
      </c>
      <c r="E2209" t="s">
        <v>34</v>
      </c>
      <c r="F2209">
        <v>322448</v>
      </c>
      <c r="G2209" s="6">
        <v>0</v>
      </c>
      <c r="H2209" t="s">
        <v>654</v>
      </c>
      <c r="I2209">
        <v>10687753</v>
      </c>
      <c r="J2209">
        <v>4</v>
      </c>
      <c r="K2209">
        <v>40</v>
      </c>
      <c r="L2209">
        <v>40</v>
      </c>
      <c r="M2209">
        <v>1632</v>
      </c>
      <c r="N2209" s="2">
        <v>174960</v>
      </c>
      <c r="O2209" s="2">
        <v>0</v>
      </c>
      <c r="P2209" s="2">
        <v>0</v>
      </c>
      <c r="Q2209" s="2">
        <v>6528</v>
      </c>
      <c r="R2209" s="2">
        <v>6480</v>
      </c>
      <c r="S2209">
        <v>259.2</v>
      </c>
      <c r="T2209" s="2">
        <v>106920</v>
      </c>
      <c r="U2209" s="2">
        <v>68040</v>
      </c>
      <c r="V2209">
        <v>261.12</v>
      </c>
      <c r="W2209">
        <v>0</v>
      </c>
      <c r="X2209">
        <v>0</v>
      </c>
      <c r="Y2209">
        <v>0</v>
      </c>
      <c r="Z2209">
        <v>3.5</v>
      </c>
      <c r="AA2209">
        <v>1.3403798999999999E-2</v>
      </c>
      <c r="AB2209">
        <v>26.1</v>
      </c>
      <c r="AC2209">
        <v>11.832000000000001</v>
      </c>
      <c r="AD2209">
        <v>23</v>
      </c>
      <c r="AE2209" s="7"/>
      <c r="AF2209" s="7"/>
      <c r="AG2209" s="7"/>
      <c r="AH2209" s="7"/>
      <c r="AI2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209" s="7"/>
      <c r="AK2209" t="s">
        <v>193</v>
      </c>
      <c r="AN2209">
        <f>IFERROR(INT(Table13[[#This Row],[reject_prod]]/Table13[[#This Row],[part_weight]] * 1000), 0)</f>
        <v>87</v>
      </c>
    </row>
    <row r="2210" spans="1:40">
      <c r="A2210" s="1">
        <v>46088</v>
      </c>
      <c r="B2210">
        <v>1</v>
      </c>
      <c r="C2210">
        <v>6</v>
      </c>
      <c r="D2210" t="s">
        <v>1137</v>
      </c>
      <c r="E2210" t="s">
        <v>34</v>
      </c>
      <c r="F2210">
        <v>532981</v>
      </c>
      <c r="G2210" s="6">
        <v>0</v>
      </c>
      <c r="H2210" t="s">
        <v>233</v>
      </c>
      <c r="I2210">
        <v>10688648</v>
      </c>
      <c r="J2210">
        <v>4</v>
      </c>
      <c r="K2210">
        <v>24.45</v>
      </c>
      <c r="L2210">
        <v>24</v>
      </c>
      <c r="M2210">
        <v>1834</v>
      </c>
      <c r="N2210" s="2">
        <v>87552</v>
      </c>
      <c r="O2210" s="2">
        <v>1368</v>
      </c>
      <c r="P2210" s="2">
        <v>3192</v>
      </c>
      <c r="Q2210" s="2">
        <v>7336</v>
      </c>
      <c r="R2210" s="2">
        <v>5472</v>
      </c>
      <c r="S2210">
        <v>131.328</v>
      </c>
      <c r="T2210" s="2">
        <v>41496</v>
      </c>
      <c r="U2210" s="2">
        <v>46056</v>
      </c>
      <c r="V2210">
        <v>176.06399999999999</v>
      </c>
      <c r="W2210">
        <v>0</v>
      </c>
      <c r="X2210">
        <v>0</v>
      </c>
      <c r="Y2210">
        <v>0</v>
      </c>
      <c r="Z2210">
        <v>0.5</v>
      </c>
      <c r="AA2210">
        <v>2.8398759999999999E-3</v>
      </c>
      <c r="AB2210">
        <v>23.2</v>
      </c>
      <c r="AC2210">
        <v>11.81911111</v>
      </c>
      <c r="AD2210">
        <v>20</v>
      </c>
      <c r="AE2210" s="7"/>
      <c r="AF2210" s="7"/>
      <c r="AG2210" s="7"/>
      <c r="AH2210" s="7"/>
      <c r="AI2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10" s="7"/>
      <c r="AK2210" t="s">
        <v>214</v>
      </c>
      <c r="AN2210">
        <f>IFERROR(INT(Table13[[#This Row],[reject_prod]]/Table13[[#This Row],[part_weight]] * 1000), 0)</f>
        <v>20</v>
      </c>
    </row>
    <row r="2211" spans="1:40">
      <c r="A2211" s="1">
        <v>46088</v>
      </c>
      <c r="B2211">
        <v>1</v>
      </c>
      <c r="C2211">
        <v>7</v>
      </c>
      <c r="F2211">
        <v>123456</v>
      </c>
      <c r="G2211" s="6">
        <v>0</v>
      </c>
      <c r="M2211">
        <v>0</v>
      </c>
      <c r="N2211" s="2">
        <v>0</v>
      </c>
      <c r="O2211" s="2">
        <v>0</v>
      </c>
      <c r="P2211" s="2">
        <v>0</v>
      </c>
      <c r="Q2211" s="2"/>
      <c r="R2211" s="2">
        <v>0</v>
      </c>
      <c r="T2211" s="2">
        <v>0</v>
      </c>
      <c r="U2211" s="2"/>
      <c r="X2211">
        <v>0</v>
      </c>
      <c r="Z2211">
        <v>0</v>
      </c>
      <c r="AB2211">
        <v>0</v>
      </c>
      <c r="AC2211">
        <v>0</v>
      </c>
      <c r="AD2211">
        <v>0</v>
      </c>
      <c r="AE2211" s="7"/>
      <c r="AF2211" s="7"/>
      <c r="AG2211" s="7"/>
      <c r="AH2211" s="7"/>
      <c r="AI22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1" s="7">
        <v>12</v>
      </c>
      <c r="AK2211" t="s">
        <v>116</v>
      </c>
      <c r="AN2211">
        <f>IFERROR(INT(Table13[[#This Row],[reject_prod]]/Table13[[#This Row],[part_weight]] * 1000), 0)</f>
        <v>0</v>
      </c>
    </row>
    <row r="2212" spans="1:40">
      <c r="A2212" s="1">
        <v>46088</v>
      </c>
      <c r="B2212">
        <v>1</v>
      </c>
      <c r="C2212">
        <v>8</v>
      </c>
      <c r="F2212">
        <v>123456</v>
      </c>
      <c r="G2212" s="6">
        <v>0</v>
      </c>
      <c r="M2212">
        <v>0</v>
      </c>
      <c r="N2212" s="2">
        <v>0</v>
      </c>
      <c r="O2212" s="2">
        <v>0</v>
      </c>
      <c r="P2212" s="2">
        <v>0</v>
      </c>
      <c r="Q2212" s="2"/>
      <c r="R2212" s="2">
        <v>0</v>
      </c>
      <c r="T2212" s="2">
        <v>0</v>
      </c>
      <c r="U2212" s="2"/>
      <c r="X2212">
        <v>0</v>
      </c>
      <c r="Z2212">
        <v>0</v>
      </c>
      <c r="AB2212">
        <v>0</v>
      </c>
      <c r="AC2212">
        <v>0</v>
      </c>
      <c r="AD2212">
        <v>0</v>
      </c>
      <c r="AE2212" s="7"/>
      <c r="AF2212" s="7"/>
      <c r="AG2212" s="7"/>
      <c r="AH2212" s="7"/>
      <c r="AI2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2" s="7">
        <v>12</v>
      </c>
      <c r="AK2212" t="s">
        <v>116</v>
      </c>
      <c r="AN2212">
        <f>IFERROR(INT(Table13[[#This Row],[reject_prod]]/Table13[[#This Row],[part_weight]] * 1000), 0)</f>
        <v>0</v>
      </c>
    </row>
    <row r="2213" spans="1:40">
      <c r="A2213" s="1">
        <v>46088</v>
      </c>
      <c r="B2213">
        <v>1</v>
      </c>
      <c r="C2213">
        <v>9</v>
      </c>
      <c r="D2213" t="s">
        <v>40</v>
      </c>
      <c r="E2213" t="s">
        <v>46</v>
      </c>
      <c r="F2213">
        <v>586276</v>
      </c>
      <c r="G2213" s="6">
        <v>1</v>
      </c>
      <c r="H2213" t="s">
        <v>47</v>
      </c>
      <c r="I2213">
        <v>10686685</v>
      </c>
      <c r="J2213">
        <v>6</v>
      </c>
      <c r="K2213">
        <v>12.3</v>
      </c>
      <c r="L2213">
        <v>12.3</v>
      </c>
      <c r="M2213">
        <v>1592</v>
      </c>
      <c r="N2213" s="2">
        <v>162000</v>
      </c>
      <c r="O2213" s="2">
        <v>2430</v>
      </c>
      <c r="P2213" s="2">
        <v>3645</v>
      </c>
      <c r="Q2213" s="2">
        <v>9552</v>
      </c>
      <c r="R2213" s="2">
        <v>8100</v>
      </c>
      <c r="S2213">
        <v>99.63</v>
      </c>
      <c r="T2213" s="2">
        <v>125145</v>
      </c>
      <c r="U2213" s="2">
        <v>36855</v>
      </c>
      <c r="V2213">
        <v>117.4896</v>
      </c>
      <c r="W2213">
        <v>0</v>
      </c>
      <c r="X2213">
        <v>0</v>
      </c>
      <c r="Y2213">
        <v>0</v>
      </c>
      <c r="Z2213">
        <v>2.5</v>
      </c>
      <c r="AA2213">
        <v>2.1278478999999999E-2</v>
      </c>
      <c r="AB2213">
        <v>26.5</v>
      </c>
      <c r="AC2213">
        <v>11.718888890000001</v>
      </c>
      <c r="AD2213">
        <v>26</v>
      </c>
      <c r="AE2213" s="7"/>
      <c r="AF2213" s="7"/>
      <c r="AG2213" s="7"/>
      <c r="AH2213" s="7"/>
      <c r="AI2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0.28111110999999944</v>
      </c>
      <c r="AJ2213" s="7"/>
      <c r="AK2213" t="s">
        <v>1122</v>
      </c>
      <c r="AM2213">
        <v>1</v>
      </c>
      <c r="AN2213">
        <f>IFERROR(INT(Table13[[#This Row],[reject_prod]]/Table13[[#This Row],[part_weight]] * 1000), 0)</f>
        <v>203</v>
      </c>
    </row>
    <row r="2214" spans="1:40">
      <c r="A2214" s="1">
        <v>46088</v>
      </c>
      <c r="B2214">
        <v>1</v>
      </c>
      <c r="C2214">
        <v>10</v>
      </c>
      <c r="D2214" t="s">
        <v>112</v>
      </c>
      <c r="E2214" t="s">
        <v>34</v>
      </c>
      <c r="F2214">
        <v>414439</v>
      </c>
      <c r="G2214" s="6">
        <v>0</v>
      </c>
      <c r="H2214" t="s">
        <v>587</v>
      </c>
      <c r="I2214">
        <v>10688521</v>
      </c>
      <c r="J2214">
        <v>6</v>
      </c>
      <c r="K2214">
        <v>57</v>
      </c>
      <c r="L2214">
        <v>15</v>
      </c>
      <c r="M2214">
        <v>1828</v>
      </c>
      <c r="N2214" s="2">
        <v>206976</v>
      </c>
      <c r="O2214" s="2">
        <v>4312</v>
      </c>
      <c r="P2214" s="2">
        <v>616</v>
      </c>
      <c r="Q2214" s="2">
        <v>10968</v>
      </c>
      <c r="R2214" s="2">
        <v>14784</v>
      </c>
      <c r="S2214">
        <v>221.76</v>
      </c>
      <c r="T2214" s="2">
        <v>52360</v>
      </c>
      <c r="U2214" s="2">
        <v>154616</v>
      </c>
      <c r="V2214">
        <v>164.52</v>
      </c>
      <c r="W2214">
        <v>0</v>
      </c>
      <c r="X2214">
        <v>0</v>
      </c>
      <c r="Y2214">
        <v>0</v>
      </c>
      <c r="Z2214">
        <v>3.5</v>
      </c>
      <c r="AA2214">
        <v>2.1274009E-2</v>
      </c>
      <c r="AB2214">
        <v>23.7</v>
      </c>
      <c r="AC2214">
        <v>12</v>
      </c>
      <c r="AD2214">
        <v>15</v>
      </c>
      <c r="AE2214" s="7"/>
      <c r="AF2214" s="7"/>
      <c r="AG2214" s="7"/>
      <c r="AH2214" s="7"/>
      <c r="AI2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4" s="7"/>
      <c r="AK2214" t="s">
        <v>1138</v>
      </c>
      <c r="AL2214">
        <v>3</v>
      </c>
      <c r="AM2214">
        <v>2</v>
      </c>
      <c r="AN2214">
        <f>IFERROR(INT(Table13[[#This Row],[reject_prod]]/Table13[[#This Row],[part_weight]] * 1000), 0)</f>
        <v>233</v>
      </c>
    </row>
    <row r="2215" spans="1:40">
      <c r="A2215" s="1">
        <v>46088</v>
      </c>
      <c r="B2215">
        <v>1</v>
      </c>
      <c r="C2215">
        <v>11</v>
      </c>
      <c r="D2215" t="s">
        <v>33</v>
      </c>
      <c r="E2215" t="s">
        <v>46</v>
      </c>
      <c r="F2215">
        <v>552181</v>
      </c>
      <c r="G2215" s="6">
        <v>1</v>
      </c>
      <c r="H2215" t="s">
        <v>49</v>
      </c>
      <c r="I2215">
        <v>10688069</v>
      </c>
      <c r="J2215">
        <v>6</v>
      </c>
      <c r="K2215">
        <v>14.7</v>
      </c>
      <c r="L2215">
        <v>14.7</v>
      </c>
      <c r="M2215">
        <v>0</v>
      </c>
      <c r="N2215" s="2">
        <v>108000</v>
      </c>
      <c r="O2215" s="2">
        <v>5670</v>
      </c>
      <c r="P2215" s="2">
        <v>1080</v>
      </c>
      <c r="Q2215" s="2">
        <v>0</v>
      </c>
      <c r="R2215" s="2">
        <v>0</v>
      </c>
      <c r="S2215">
        <v>0</v>
      </c>
      <c r="T2215" s="2">
        <v>54000</v>
      </c>
      <c r="U2215" s="2">
        <v>54000</v>
      </c>
      <c r="V2215">
        <v>0</v>
      </c>
      <c r="W2215">
        <v>0</v>
      </c>
      <c r="X2215">
        <v>0</v>
      </c>
      <c r="Y2215" t="e">
        <v>#DIV/0!</v>
      </c>
      <c r="Z2215">
        <v>1</v>
      </c>
      <c r="AA2215" t="e">
        <v>#DIV/0!</v>
      </c>
      <c r="AB2215">
        <v>28.46</v>
      </c>
      <c r="AC2215">
        <v>0</v>
      </c>
      <c r="AD2215">
        <v>27</v>
      </c>
      <c r="AE2215" s="7"/>
      <c r="AF2215" s="7"/>
      <c r="AG2215" s="7"/>
      <c r="AH2215" s="7"/>
      <c r="AI2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15" s="7"/>
      <c r="AK2215" t="s">
        <v>1124</v>
      </c>
      <c r="AN2215">
        <f>IFERROR(INT(Table13[[#This Row],[reject_prod]]/Table13[[#This Row],[part_weight]] * 1000), 0)</f>
        <v>68</v>
      </c>
    </row>
    <row r="2216" spans="1:40">
      <c r="A2216" s="1">
        <v>46088</v>
      </c>
      <c r="B2216">
        <v>1</v>
      </c>
      <c r="C2216">
        <v>12</v>
      </c>
      <c r="D2216" t="s">
        <v>33</v>
      </c>
      <c r="E2216" t="s">
        <v>46</v>
      </c>
      <c r="F2216">
        <v>555979</v>
      </c>
      <c r="G2216" s="6">
        <v>1</v>
      </c>
      <c r="H2216" t="s">
        <v>52</v>
      </c>
      <c r="I2216">
        <v>10689126</v>
      </c>
      <c r="J2216">
        <v>6</v>
      </c>
      <c r="K2216">
        <v>28</v>
      </c>
      <c r="L2216">
        <v>28</v>
      </c>
      <c r="M2216">
        <v>0</v>
      </c>
      <c r="N2216" s="2">
        <v>100800</v>
      </c>
      <c r="O2216" s="2">
        <v>0</v>
      </c>
      <c r="P2216" s="2">
        <v>0</v>
      </c>
      <c r="Q2216" s="2">
        <v>0</v>
      </c>
      <c r="R2216" s="2">
        <v>0</v>
      </c>
      <c r="S2216">
        <v>0</v>
      </c>
      <c r="T2216" s="2">
        <v>0</v>
      </c>
      <c r="U2216" s="2">
        <v>100800</v>
      </c>
      <c r="V2216">
        <v>0</v>
      </c>
      <c r="W2216">
        <v>0</v>
      </c>
      <c r="X2216">
        <v>6.5</v>
      </c>
      <c r="Y2216" t="e">
        <v>#DIV/0!</v>
      </c>
      <c r="Z2216">
        <v>0</v>
      </c>
      <c r="AA2216" t="e">
        <v>#DIV/0!</v>
      </c>
      <c r="AB2216">
        <v>40.5</v>
      </c>
      <c r="AC2216">
        <v>0</v>
      </c>
      <c r="AD2216">
        <v>42</v>
      </c>
      <c r="AE2216" s="7"/>
      <c r="AF2216" s="7"/>
      <c r="AG2216" s="7"/>
      <c r="AH2216" s="7"/>
      <c r="AI2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16" s="7"/>
      <c r="AK2216" t="s">
        <v>1118</v>
      </c>
      <c r="AL2216">
        <v>29</v>
      </c>
      <c r="AM2216">
        <v>8</v>
      </c>
      <c r="AN2216">
        <f>IFERROR(INT(Table13[[#This Row],[reject_prod]]/Table13[[#This Row],[part_weight]] * 1000), 0)</f>
        <v>0</v>
      </c>
    </row>
    <row r="2217" spans="1:40">
      <c r="A2217" s="1">
        <v>46088</v>
      </c>
      <c r="B2217">
        <v>1</v>
      </c>
      <c r="C2217">
        <v>13</v>
      </c>
      <c r="D2217" t="s">
        <v>61</v>
      </c>
      <c r="E2217" t="s">
        <v>46</v>
      </c>
      <c r="F2217">
        <v>586276</v>
      </c>
      <c r="G2217" s="6">
        <v>2</v>
      </c>
      <c r="H2217" t="s">
        <v>47</v>
      </c>
      <c r="I2217">
        <v>10688946</v>
      </c>
      <c r="J2217">
        <v>6</v>
      </c>
      <c r="K2217">
        <v>12.3</v>
      </c>
      <c r="L2217">
        <v>12.3</v>
      </c>
      <c r="M2217">
        <v>1641</v>
      </c>
      <c r="N2217" s="2">
        <v>162000</v>
      </c>
      <c r="O2217" s="2">
        <v>0</v>
      </c>
      <c r="P2217" s="2">
        <v>1620</v>
      </c>
      <c r="Q2217" s="2">
        <v>9846</v>
      </c>
      <c r="R2217" s="2">
        <v>8100</v>
      </c>
      <c r="S2217">
        <v>99.63</v>
      </c>
      <c r="T2217" s="2">
        <v>90720</v>
      </c>
      <c r="U2217" s="2">
        <v>71280</v>
      </c>
      <c r="V2217">
        <v>121.1058</v>
      </c>
      <c r="W2217">
        <v>0</v>
      </c>
      <c r="X2217">
        <v>0</v>
      </c>
      <c r="Y2217">
        <v>0</v>
      </c>
      <c r="Z2217">
        <v>1</v>
      </c>
      <c r="AA2217">
        <v>8.2572429999999992E-3</v>
      </c>
      <c r="AB2217">
        <v>26.2</v>
      </c>
      <c r="AC2217">
        <v>11.942833329999999</v>
      </c>
      <c r="AD2217">
        <v>26</v>
      </c>
      <c r="AE2217" s="7"/>
      <c r="AF2217" s="7"/>
      <c r="AG2217" s="7"/>
      <c r="AH2217" s="7"/>
      <c r="AI2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217" s="7"/>
      <c r="AK2217" t="s">
        <v>51</v>
      </c>
      <c r="AN2217">
        <f>IFERROR(INT(Table13[[#This Row],[reject_prod]]/Table13[[#This Row],[part_weight]] * 1000), 0)</f>
        <v>81</v>
      </c>
    </row>
    <row r="2218" spans="1:40">
      <c r="A2218" s="1">
        <v>46088</v>
      </c>
      <c r="B2218">
        <v>1</v>
      </c>
      <c r="C2218">
        <v>14</v>
      </c>
      <c r="D2218" t="s">
        <v>1139</v>
      </c>
      <c r="E2218" t="s">
        <v>34</v>
      </c>
      <c r="F2218">
        <v>541381</v>
      </c>
      <c r="G2218" s="6">
        <v>0</v>
      </c>
      <c r="H2218" t="s">
        <v>804</v>
      </c>
      <c r="I2218">
        <v>10688073</v>
      </c>
      <c r="J2218">
        <v>4</v>
      </c>
      <c r="K2218">
        <v>55</v>
      </c>
      <c r="L2218">
        <v>55</v>
      </c>
      <c r="M2218">
        <v>1581</v>
      </c>
      <c r="N2218" s="2">
        <v>84000</v>
      </c>
      <c r="O2218" s="2">
        <v>0</v>
      </c>
      <c r="P2218" s="2">
        <v>0</v>
      </c>
      <c r="Q2218" s="2">
        <v>6324</v>
      </c>
      <c r="R2218" s="2">
        <v>6300</v>
      </c>
      <c r="S2218">
        <v>346.5</v>
      </c>
      <c r="T2218" s="2">
        <v>30800</v>
      </c>
      <c r="U2218" s="2">
        <v>53200</v>
      </c>
      <c r="V2218">
        <v>347.82</v>
      </c>
      <c r="W2218">
        <v>0</v>
      </c>
      <c r="X2218">
        <v>0</v>
      </c>
      <c r="Y2218">
        <v>0</v>
      </c>
      <c r="Z2218">
        <v>2.5</v>
      </c>
      <c r="AA2218">
        <v>7.1876259999999999E-3</v>
      </c>
      <c r="AB2218">
        <v>27.3</v>
      </c>
      <c r="AC2218">
        <v>11.98925</v>
      </c>
      <c r="AD2218">
        <v>30.08</v>
      </c>
      <c r="AE2218" s="7"/>
      <c r="AF2218" s="7"/>
      <c r="AG2218" s="7"/>
      <c r="AH2218" s="7"/>
      <c r="AI2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1.0749999999999815E-2</v>
      </c>
      <c r="AJ2218" s="7"/>
      <c r="AK2218" t="s">
        <v>178</v>
      </c>
      <c r="AN2218">
        <f>IFERROR(INT(Table13[[#This Row],[reject_prod]]/Table13[[#This Row],[part_weight]] * 1000), 0)</f>
        <v>45</v>
      </c>
    </row>
    <row r="2219" spans="1:40">
      <c r="A2219" s="1">
        <v>46088</v>
      </c>
      <c r="B2219">
        <v>1</v>
      </c>
      <c r="C2219">
        <v>15</v>
      </c>
      <c r="D2219" t="s">
        <v>61</v>
      </c>
      <c r="E2219" t="s">
        <v>46</v>
      </c>
      <c r="F2219">
        <v>552181</v>
      </c>
      <c r="G2219" s="6">
        <v>2</v>
      </c>
      <c r="H2219" t="s">
        <v>49</v>
      </c>
      <c r="I2219">
        <v>10686680</v>
      </c>
      <c r="J2219">
        <v>6</v>
      </c>
      <c r="K2219">
        <v>14.7</v>
      </c>
      <c r="L2219">
        <v>14.7</v>
      </c>
      <c r="M2219">
        <v>1410</v>
      </c>
      <c r="N2219" s="2">
        <v>108000</v>
      </c>
      <c r="O2219" s="2">
        <v>1890</v>
      </c>
      <c r="P2219" s="2">
        <v>4860</v>
      </c>
      <c r="Q2219" s="2">
        <v>8460</v>
      </c>
      <c r="R2219" s="2">
        <v>5400</v>
      </c>
      <c r="S2219">
        <v>79.38</v>
      </c>
      <c r="T2219" s="2">
        <v>53460</v>
      </c>
      <c r="U2219" s="2">
        <v>54540</v>
      </c>
      <c r="V2219">
        <v>124.36199999999999</v>
      </c>
      <c r="W2219">
        <v>0</v>
      </c>
      <c r="X2219">
        <v>0</v>
      </c>
      <c r="Y2219">
        <v>0</v>
      </c>
      <c r="Z2219">
        <v>1</v>
      </c>
      <c r="AA2219">
        <v>8.0410410000000005E-3</v>
      </c>
      <c r="AB2219">
        <v>30.6</v>
      </c>
      <c r="AC2219">
        <v>11.984999999999999</v>
      </c>
      <c r="AD2219">
        <v>27</v>
      </c>
      <c r="AE2219" s="7"/>
      <c r="AF2219" s="7"/>
      <c r="AG2219" s="7"/>
      <c r="AH2219" s="7"/>
      <c r="AI2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1.5000000000000568E-2</v>
      </c>
      <c r="AJ2219" s="7"/>
      <c r="AK2219" t="s">
        <v>51</v>
      </c>
      <c r="AN2219">
        <f>IFERROR(INT(Table13[[#This Row],[reject_prod]]/Table13[[#This Row],[part_weight]] * 1000), 0)</f>
        <v>68</v>
      </c>
    </row>
    <row r="2220" spans="1:40">
      <c r="A2220" s="1">
        <v>46088</v>
      </c>
      <c r="B2220">
        <v>1</v>
      </c>
      <c r="C2220">
        <v>16</v>
      </c>
      <c r="D2220" t="s">
        <v>776</v>
      </c>
      <c r="E2220" t="s">
        <v>46</v>
      </c>
      <c r="F2220">
        <v>555979</v>
      </c>
      <c r="G2220" s="6">
        <v>2</v>
      </c>
      <c r="H2220" t="s">
        <v>52</v>
      </c>
      <c r="I2220">
        <v>10686701</v>
      </c>
      <c r="J2220">
        <v>6</v>
      </c>
      <c r="K2220">
        <v>28</v>
      </c>
      <c r="L2220">
        <v>28</v>
      </c>
      <c r="M2220">
        <v>1053</v>
      </c>
      <c r="N2220" s="2">
        <v>100800</v>
      </c>
      <c r="O2220" s="2">
        <v>1176</v>
      </c>
      <c r="P2220" s="2">
        <v>672</v>
      </c>
      <c r="Q2220" s="2">
        <v>6318</v>
      </c>
      <c r="R2220" s="2">
        <v>6720</v>
      </c>
      <c r="S2220">
        <v>188.16</v>
      </c>
      <c r="T2220" s="2">
        <v>98112</v>
      </c>
      <c r="U2220" s="2">
        <v>2688</v>
      </c>
      <c r="V2220">
        <v>176.904</v>
      </c>
      <c r="W2220">
        <v>0</v>
      </c>
      <c r="X2220">
        <v>0</v>
      </c>
      <c r="Y2220">
        <v>0</v>
      </c>
      <c r="Z2220">
        <v>2</v>
      </c>
      <c r="AA2220">
        <v>1.1305567000000001E-2</v>
      </c>
      <c r="AB2220">
        <v>40.5</v>
      </c>
      <c r="AC2220">
        <v>11.84625</v>
      </c>
      <c r="AD2220">
        <v>42</v>
      </c>
      <c r="AE2220" s="7"/>
      <c r="AF2220" s="7"/>
      <c r="AG2220" s="7"/>
      <c r="AH2220" s="7"/>
      <c r="AI2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0.1537500000000005</v>
      </c>
      <c r="AJ2220" s="7"/>
      <c r="AK2220" t="s">
        <v>270</v>
      </c>
      <c r="AL2220">
        <v>4</v>
      </c>
      <c r="AM2220">
        <v>5</v>
      </c>
      <c r="AN2220">
        <f>IFERROR(INT(Table13[[#This Row],[reject_prod]]/Table13[[#This Row],[part_weight]] * 1000), 0)</f>
        <v>71</v>
      </c>
    </row>
    <row r="2221" spans="1:40">
      <c r="A2221" s="1">
        <v>46088</v>
      </c>
      <c r="B2221">
        <v>2</v>
      </c>
      <c r="C2221">
        <v>1</v>
      </c>
      <c r="D2221" t="s">
        <v>53</v>
      </c>
      <c r="E2221" t="s">
        <v>34</v>
      </c>
      <c r="F2221">
        <v>577492</v>
      </c>
      <c r="G2221" s="6">
        <v>0</v>
      </c>
      <c r="H2221" t="s">
        <v>341</v>
      </c>
      <c r="I2221">
        <v>10688947</v>
      </c>
      <c r="J2221">
        <v>4</v>
      </c>
      <c r="K2221">
        <v>35.6</v>
      </c>
      <c r="L2221">
        <v>35.6</v>
      </c>
      <c r="M2221">
        <v>1600</v>
      </c>
      <c r="N2221" s="2">
        <v>80960</v>
      </c>
      <c r="O2221" s="2">
        <v>0</v>
      </c>
      <c r="P2221" s="2">
        <v>800</v>
      </c>
      <c r="Q2221" s="2">
        <v>6400</v>
      </c>
      <c r="R2221" s="2">
        <v>5520</v>
      </c>
      <c r="S2221">
        <v>196.512</v>
      </c>
      <c r="T2221" s="2">
        <v>17360</v>
      </c>
      <c r="U2221" s="2">
        <v>63600</v>
      </c>
      <c r="V2221">
        <v>227.84</v>
      </c>
      <c r="W2221">
        <v>0</v>
      </c>
      <c r="X2221">
        <v>0</v>
      </c>
      <c r="Y2221">
        <v>0</v>
      </c>
      <c r="Z2221">
        <v>1.5</v>
      </c>
      <c r="AA2221">
        <v>6.5835670000000002E-3</v>
      </c>
      <c r="AB2221">
        <v>26.07</v>
      </c>
      <c r="AC2221">
        <v>11.58666667</v>
      </c>
      <c r="AD2221">
        <v>27</v>
      </c>
      <c r="AE2221" s="7"/>
      <c r="AF2221" s="7"/>
      <c r="AG2221" s="7"/>
      <c r="AH2221" s="7"/>
      <c r="AI2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0.41333333000000039</v>
      </c>
      <c r="AJ2221" s="7"/>
      <c r="AK2221" t="s">
        <v>51</v>
      </c>
      <c r="AN2221">
        <f>IFERROR(INT(Table13[[#This Row],[reject_prod]]/Table13[[#This Row],[part_weight]] * 1000), 0)</f>
        <v>42</v>
      </c>
    </row>
    <row r="2222" spans="1:40">
      <c r="A2222" s="1">
        <v>46088</v>
      </c>
      <c r="B2222">
        <v>2</v>
      </c>
      <c r="C2222">
        <v>2</v>
      </c>
      <c r="D2222" t="s">
        <v>765</v>
      </c>
      <c r="E2222" t="s">
        <v>34</v>
      </c>
      <c r="F2222">
        <v>423213</v>
      </c>
      <c r="G2222" s="6">
        <v>0</v>
      </c>
      <c r="H2222" t="s">
        <v>70</v>
      </c>
      <c r="I2222">
        <v>10688492</v>
      </c>
      <c r="J2222">
        <v>4</v>
      </c>
      <c r="K2222">
        <v>23</v>
      </c>
      <c r="L2222">
        <v>23</v>
      </c>
      <c r="M2222">
        <v>1145</v>
      </c>
      <c r="N2222" s="2">
        <v>22860</v>
      </c>
      <c r="O2222" s="2">
        <v>0</v>
      </c>
      <c r="P2222" s="2">
        <v>0</v>
      </c>
      <c r="Q2222" s="2">
        <v>4580</v>
      </c>
      <c r="R2222" s="2">
        <v>4572</v>
      </c>
      <c r="S2222">
        <v>105.15600000000001</v>
      </c>
      <c r="T2222" s="2">
        <v>22860</v>
      </c>
      <c r="U2222" s="2">
        <v>0</v>
      </c>
      <c r="V2222">
        <v>105.34</v>
      </c>
      <c r="W2222">
        <v>0</v>
      </c>
      <c r="X2222">
        <v>0</v>
      </c>
      <c r="Y2222">
        <v>0</v>
      </c>
      <c r="Z2222">
        <v>0.5</v>
      </c>
      <c r="AA2222">
        <v>4.7465349999999996E-3</v>
      </c>
      <c r="AB2222">
        <v>22.6</v>
      </c>
      <c r="AC2222">
        <v>7.1880555560000001</v>
      </c>
      <c r="AD2222">
        <v>22.5</v>
      </c>
      <c r="AE2222" s="7"/>
      <c r="AF2222" s="7"/>
      <c r="AG2222" s="7"/>
      <c r="AH2222" s="7"/>
      <c r="AI2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4.8119444439999999</v>
      </c>
      <c r="AJ2222" s="7"/>
      <c r="AK2222" t="s">
        <v>781</v>
      </c>
      <c r="AN2222">
        <f>IFERROR(INT(Table13[[#This Row],[reject_prod]]/Table13[[#This Row],[part_weight]] * 1000), 0)</f>
        <v>21</v>
      </c>
    </row>
    <row r="2223" spans="1:40">
      <c r="A2223" s="1">
        <v>46088</v>
      </c>
      <c r="B2223">
        <v>2</v>
      </c>
      <c r="C2223">
        <v>2</v>
      </c>
      <c r="D2223" t="s">
        <v>89</v>
      </c>
      <c r="E2223" t="s">
        <v>34</v>
      </c>
      <c r="F2223">
        <v>463202</v>
      </c>
      <c r="G2223" s="6">
        <v>0</v>
      </c>
      <c r="H2223" t="s">
        <v>320</v>
      </c>
      <c r="I2223">
        <v>10688493</v>
      </c>
      <c r="J2223">
        <v>4</v>
      </c>
      <c r="K2223">
        <v>23</v>
      </c>
      <c r="L2223">
        <v>23</v>
      </c>
      <c r="M2223">
        <v>465</v>
      </c>
      <c r="N2223" s="2">
        <v>40920</v>
      </c>
      <c r="O2223" s="2">
        <v>0</v>
      </c>
      <c r="P2223" s="2">
        <v>1860</v>
      </c>
      <c r="Q2223" s="2">
        <v>1860</v>
      </c>
      <c r="R2223" s="2">
        <v>0</v>
      </c>
      <c r="S2223">
        <v>0</v>
      </c>
      <c r="T2223" s="2">
        <v>1860</v>
      </c>
      <c r="U2223" s="2">
        <v>39060</v>
      </c>
      <c r="V2223">
        <v>42.78</v>
      </c>
      <c r="W2223">
        <v>0</v>
      </c>
      <c r="X2223">
        <v>4.3</v>
      </c>
      <c r="Y2223">
        <v>0.10051425899999999</v>
      </c>
      <c r="Z2223">
        <v>1</v>
      </c>
      <c r="AA2223">
        <v>2.3375409E-2</v>
      </c>
      <c r="AB2223">
        <v>21.98</v>
      </c>
      <c r="AC2223">
        <v>2.839083333</v>
      </c>
      <c r="AD2223">
        <v>22.92</v>
      </c>
      <c r="AE2223" s="7"/>
      <c r="AF2223" s="7"/>
      <c r="AG2223" s="7">
        <v>1.5</v>
      </c>
      <c r="AH2223" s="7"/>
      <c r="AI2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7.6609166670000004</v>
      </c>
      <c r="AJ2223" s="7"/>
      <c r="AK2223" t="s">
        <v>1140</v>
      </c>
      <c r="AN2223">
        <f>IFERROR(INT(Table13[[#This Row],[reject_prod]]/Table13[[#This Row],[part_weight]] * 1000), 0)</f>
        <v>43</v>
      </c>
    </row>
    <row r="2224" spans="1:40">
      <c r="A2224" s="1">
        <v>46088</v>
      </c>
      <c r="B2224">
        <v>2</v>
      </c>
      <c r="C2224">
        <v>3</v>
      </c>
      <c r="D2224" t="s">
        <v>1141</v>
      </c>
      <c r="E2224" t="s">
        <v>34</v>
      </c>
      <c r="F2224">
        <v>442034</v>
      </c>
      <c r="G2224" s="6">
        <v>0</v>
      </c>
      <c r="H2224" t="s">
        <v>37</v>
      </c>
      <c r="I2224">
        <v>10685635</v>
      </c>
      <c r="J2224">
        <v>4</v>
      </c>
      <c r="K2224">
        <v>23</v>
      </c>
      <c r="L2224">
        <v>23</v>
      </c>
      <c r="M2224">
        <v>1530</v>
      </c>
      <c r="N2224" s="2">
        <v>139776</v>
      </c>
      <c r="O2224" s="2">
        <v>1152</v>
      </c>
      <c r="P2224" s="2">
        <v>2688</v>
      </c>
      <c r="Q2224" s="2">
        <v>6120</v>
      </c>
      <c r="R2224" s="2">
        <v>4608</v>
      </c>
      <c r="S2224">
        <v>105.98399999999999</v>
      </c>
      <c r="T2224" s="2">
        <v>39552</v>
      </c>
      <c r="U2224" s="2">
        <v>100224</v>
      </c>
      <c r="V2224">
        <v>140.76</v>
      </c>
      <c r="W2224">
        <v>0</v>
      </c>
      <c r="X2224">
        <v>0</v>
      </c>
      <c r="Y2224">
        <v>0</v>
      </c>
      <c r="Z2224">
        <v>2</v>
      </c>
      <c r="AA2224">
        <v>1.4208582000000001E-2</v>
      </c>
      <c r="AB2224">
        <v>28.5</v>
      </c>
      <c r="AC2224">
        <v>12</v>
      </c>
      <c r="AD2224">
        <v>22</v>
      </c>
      <c r="AE2224" s="7"/>
      <c r="AF2224" s="7"/>
      <c r="AG2224" s="7"/>
      <c r="AH2224" s="7"/>
      <c r="AI2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4" s="7"/>
      <c r="AK2224" t="s">
        <v>103</v>
      </c>
      <c r="AN2224">
        <f>IFERROR(INT(Table13[[#This Row],[reject_prod]]/Table13[[#This Row],[part_weight]] * 1000), 0)</f>
        <v>86</v>
      </c>
    </row>
    <row r="2225" spans="1:40">
      <c r="A2225" s="1">
        <v>46088</v>
      </c>
      <c r="B2225">
        <v>2</v>
      </c>
      <c r="C2225">
        <v>4</v>
      </c>
      <c r="D2225" t="s">
        <v>33</v>
      </c>
      <c r="E2225" t="s">
        <v>34</v>
      </c>
      <c r="F2225">
        <v>426555</v>
      </c>
      <c r="G2225" s="6">
        <v>0</v>
      </c>
      <c r="H2225" t="s">
        <v>1128</v>
      </c>
      <c r="I2225">
        <v>10688066</v>
      </c>
      <c r="J2225">
        <v>4</v>
      </c>
      <c r="K2225">
        <v>29</v>
      </c>
      <c r="L2225">
        <v>29</v>
      </c>
      <c r="M2225">
        <v>0</v>
      </c>
      <c r="N2225" s="2">
        <v>81600</v>
      </c>
      <c r="O2225" s="2">
        <v>0</v>
      </c>
      <c r="P2225" s="2">
        <v>0</v>
      </c>
      <c r="Q2225" s="2">
        <v>0</v>
      </c>
      <c r="R2225" s="2">
        <v>0</v>
      </c>
      <c r="S2225">
        <v>0</v>
      </c>
      <c r="T2225" s="2">
        <v>0</v>
      </c>
      <c r="U2225" s="2">
        <v>81600</v>
      </c>
      <c r="V2225">
        <v>0</v>
      </c>
      <c r="W2225">
        <v>0</v>
      </c>
      <c r="X2225">
        <v>0</v>
      </c>
      <c r="Y2225" t="e">
        <v>#DIV/0!</v>
      </c>
      <c r="Z2225">
        <v>0</v>
      </c>
      <c r="AA2225" t="e">
        <v>#DIV/0!</v>
      </c>
      <c r="AB2225">
        <v>25.6</v>
      </c>
      <c r="AC2225">
        <v>0</v>
      </c>
      <c r="AD2225">
        <v>22.72</v>
      </c>
      <c r="AE2225" s="7"/>
      <c r="AF2225" s="7"/>
      <c r="AG2225" s="7"/>
      <c r="AH2225" s="7"/>
      <c r="AI2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25" s="7"/>
      <c r="AK2225" t="s">
        <v>584</v>
      </c>
      <c r="AN2225">
        <f>IFERROR(INT(Table13[[#This Row],[reject_prod]]/Table13[[#This Row],[part_weight]] * 1000), 0)</f>
        <v>0</v>
      </c>
    </row>
    <row r="2226" spans="1:40">
      <c r="A2226" s="1">
        <v>46088</v>
      </c>
      <c r="B2226">
        <v>2</v>
      </c>
      <c r="C2226">
        <v>5</v>
      </c>
      <c r="D2226" t="s">
        <v>1142</v>
      </c>
      <c r="E2226" t="s">
        <v>34</v>
      </c>
      <c r="F2226">
        <v>322448</v>
      </c>
      <c r="G2226" s="6">
        <v>0</v>
      </c>
      <c r="H2226" t="s">
        <v>654</v>
      </c>
      <c r="I2226">
        <v>10687753</v>
      </c>
      <c r="J2226">
        <v>4</v>
      </c>
      <c r="K2226">
        <v>40</v>
      </c>
      <c r="L2226">
        <v>40</v>
      </c>
      <c r="M2226">
        <v>1540</v>
      </c>
      <c r="N2226" s="2">
        <v>174960</v>
      </c>
      <c r="O2226" s="2">
        <v>0</v>
      </c>
      <c r="P2226" s="2">
        <v>1296</v>
      </c>
      <c r="Q2226" s="2">
        <v>6160</v>
      </c>
      <c r="R2226" s="2">
        <v>4860</v>
      </c>
      <c r="S2226">
        <v>194.4</v>
      </c>
      <c r="T2226" s="2">
        <v>113886</v>
      </c>
      <c r="U2226" s="2">
        <v>61074</v>
      </c>
      <c r="V2226">
        <v>246.4</v>
      </c>
      <c r="W2226">
        <v>0</v>
      </c>
      <c r="X2226">
        <v>0</v>
      </c>
      <c r="Y2226">
        <v>0</v>
      </c>
      <c r="Z2226">
        <v>11</v>
      </c>
      <c r="AA2226">
        <v>4.4642857000000001E-2</v>
      </c>
      <c r="AB2226">
        <v>26.1</v>
      </c>
      <c r="AC2226">
        <v>11.164999999999999</v>
      </c>
      <c r="AD2226">
        <v>23</v>
      </c>
      <c r="AE2226" s="7"/>
      <c r="AF2226" s="7"/>
      <c r="AG2226" s="7"/>
      <c r="AH2226" s="7"/>
      <c r="AI2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0.83500000000000085</v>
      </c>
      <c r="AJ2226" s="7"/>
      <c r="AK2226" t="s">
        <v>1143</v>
      </c>
      <c r="AN2226">
        <f>IFERROR(INT(Table13[[#This Row],[reject_prod]]/Table13[[#This Row],[part_weight]] * 1000), 0)</f>
        <v>275</v>
      </c>
    </row>
    <row r="2227" spans="1:40">
      <c r="A2227" s="1">
        <v>46088</v>
      </c>
      <c r="B2227">
        <v>2</v>
      </c>
      <c r="C2227">
        <v>6</v>
      </c>
      <c r="D2227" t="s">
        <v>1144</v>
      </c>
      <c r="E2227" t="s">
        <v>34</v>
      </c>
      <c r="F2227">
        <v>532981</v>
      </c>
      <c r="G2227" s="6">
        <v>0</v>
      </c>
      <c r="H2227" t="s">
        <v>233</v>
      </c>
      <c r="I2227">
        <v>10688648</v>
      </c>
      <c r="J2227">
        <v>4</v>
      </c>
      <c r="K2227">
        <v>24.45</v>
      </c>
      <c r="L2227">
        <v>24</v>
      </c>
      <c r="M2227">
        <v>1910</v>
      </c>
      <c r="N2227" s="2">
        <v>87552</v>
      </c>
      <c r="O2227" s="2">
        <v>3192</v>
      </c>
      <c r="P2227" s="2">
        <v>0</v>
      </c>
      <c r="Q2227" s="2">
        <v>7640</v>
      </c>
      <c r="R2227" s="2">
        <v>10944</v>
      </c>
      <c r="S2227">
        <v>262.65600000000001</v>
      </c>
      <c r="T2227" s="2">
        <v>49248</v>
      </c>
      <c r="U2227" s="2">
        <v>38304</v>
      </c>
      <c r="V2227">
        <v>183.36</v>
      </c>
      <c r="W2227">
        <v>0</v>
      </c>
      <c r="X2227">
        <v>0</v>
      </c>
      <c r="Y2227">
        <v>0</v>
      </c>
      <c r="Z2227">
        <v>1.2</v>
      </c>
      <c r="AA2227">
        <v>6.5445030000000001E-3</v>
      </c>
      <c r="AB2227">
        <v>23</v>
      </c>
      <c r="AC2227">
        <v>12</v>
      </c>
      <c r="AD2227">
        <v>20</v>
      </c>
      <c r="AE2227" s="7"/>
      <c r="AF2227" s="7"/>
      <c r="AG2227" s="7"/>
      <c r="AH2227" s="7"/>
      <c r="AI22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7" s="7"/>
      <c r="AK2227" t="s">
        <v>214</v>
      </c>
      <c r="AN2227">
        <f>IFERROR(INT(Table13[[#This Row],[reject_prod]]/Table13[[#This Row],[part_weight]] * 1000), 0)</f>
        <v>50</v>
      </c>
    </row>
    <row r="2228" spans="1:40">
      <c r="A2228" s="1">
        <v>46088</v>
      </c>
      <c r="B2228">
        <v>2</v>
      </c>
      <c r="C2228">
        <v>7</v>
      </c>
      <c r="F2228">
        <v>123456</v>
      </c>
      <c r="G2228" s="6">
        <v>0</v>
      </c>
      <c r="M2228">
        <v>0</v>
      </c>
      <c r="N2228" s="2">
        <v>0</v>
      </c>
      <c r="O2228" s="2">
        <v>0</v>
      </c>
      <c r="P2228" s="2">
        <v>0</v>
      </c>
      <c r="Q2228" s="2"/>
      <c r="R2228" s="2">
        <v>0</v>
      </c>
      <c r="T2228" s="2">
        <v>0</v>
      </c>
      <c r="U2228" s="2"/>
      <c r="X2228">
        <v>0</v>
      </c>
      <c r="Z2228">
        <v>0</v>
      </c>
      <c r="AB2228">
        <v>0</v>
      </c>
      <c r="AC2228">
        <v>0</v>
      </c>
      <c r="AD2228">
        <v>0</v>
      </c>
      <c r="AE2228" s="7"/>
      <c r="AF2228" s="7"/>
      <c r="AG2228" s="7"/>
      <c r="AH2228" s="7"/>
      <c r="AI2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8" s="7">
        <v>12</v>
      </c>
      <c r="AK2228" t="s">
        <v>116</v>
      </c>
      <c r="AN2228">
        <f>IFERROR(INT(Table13[[#This Row],[reject_prod]]/Table13[[#This Row],[part_weight]] * 1000), 0)</f>
        <v>0</v>
      </c>
    </row>
    <row r="2229" spans="1:40">
      <c r="A2229" s="1">
        <v>46088</v>
      </c>
      <c r="B2229">
        <v>2</v>
      </c>
      <c r="C2229">
        <v>8</v>
      </c>
      <c r="F2229">
        <v>123456</v>
      </c>
      <c r="G2229" s="6">
        <v>0</v>
      </c>
      <c r="M2229">
        <v>0</v>
      </c>
      <c r="N2229" s="2">
        <v>0</v>
      </c>
      <c r="O2229" s="2">
        <v>0</v>
      </c>
      <c r="P2229" s="2">
        <v>0</v>
      </c>
      <c r="Q2229" s="2"/>
      <c r="R2229" s="2">
        <v>0</v>
      </c>
      <c r="T2229" s="2">
        <v>0</v>
      </c>
      <c r="U2229" s="2"/>
      <c r="X2229">
        <v>0</v>
      </c>
      <c r="Z2229">
        <v>0</v>
      </c>
      <c r="AB2229">
        <v>0</v>
      </c>
      <c r="AC2229">
        <v>0</v>
      </c>
      <c r="AD2229">
        <v>0</v>
      </c>
      <c r="AE2229" s="7"/>
      <c r="AF2229" s="7"/>
      <c r="AG2229" s="7"/>
      <c r="AH2229" s="7"/>
      <c r="AI2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9" s="7">
        <v>12</v>
      </c>
      <c r="AK2229" t="s">
        <v>116</v>
      </c>
      <c r="AN2229">
        <f>IFERROR(INT(Table13[[#This Row],[reject_prod]]/Table13[[#This Row],[part_weight]] * 1000), 0)</f>
        <v>0</v>
      </c>
    </row>
    <row r="2230" spans="1:40">
      <c r="A2230" s="1">
        <v>46088</v>
      </c>
      <c r="B2230">
        <v>2</v>
      </c>
      <c r="C2230">
        <v>9</v>
      </c>
      <c r="D2230" t="s">
        <v>84</v>
      </c>
      <c r="E2230" t="s">
        <v>46</v>
      </c>
      <c r="F2230">
        <v>586276</v>
      </c>
      <c r="G2230" s="6">
        <v>1</v>
      </c>
      <c r="H2230" t="s">
        <v>47</v>
      </c>
      <c r="I2230">
        <v>10686685</v>
      </c>
      <c r="J2230">
        <v>6</v>
      </c>
      <c r="K2230">
        <v>12.3</v>
      </c>
      <c r="L2230">
        <v>12.3</v>
      </c>
      <c r="M2230">
        <v>1575</v>
      </c>
      <c r="N2230" s="2">
        <v>162000</v>
      </c>
      <c r="O2230" s="2">
        <v>3645</v>
      </c>
      <c r="P2230" s="2">
        <v>4860</v>
      </c>
      <c r="Q2230" s="2">
        <v>9450</v>
      </c>
      <c r="R2230" s="2">
        <v>8100</v>
      </c>
      <c r="S2230">
        <v>99.63</v>
      </c>
      <c r="T2230" s="2">
        <v>134460</v>
      </c>
      <c r="U2230" s="2">
        <v>27540</v>
      </c>
      <c r="V2230">
        <v>116.235</v>
      </c>
      <c r="W2230">
        <v>0</v>
      </c>
      <c r="X2230">
        <v>0</v>
      </c>
      <c r="Y2230">
        <v>0</v>
      </c>
      <c r="Z2230">
        <v>1.5</v>
      </c>
      <c r="AA2230">
        <v>1.2904891E-2</v>
      </c>
      <c r="AB2230">
        <v>26.5</v>
      </c>
      <c r="AC2230">
        <v>11.59375</v>
      </c>
      <c r="AD2230">
        <v>26</v>
      </c>
      <c r="AE2230" s="7"/>
      <c r="AF2230" s="7"/>
      <c r="AG2230" s="7"/>
      <c r="AH2230" s="7"/>
      <c r="AI2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0.40625</v>
      </c>
      <c r="AJ2230" s="7"/>
      <c r="AK2230" t="s">
        <v>51</v>
      </c>
      <c r="AN2230">
        <f>IFERROR(INT(Table13[[#This Row],[reject_prod]]/Table13[[#This Row],[part_weight]] * 1000), 0)</f>
        <v>121</v>
      </c>
    </row>
    <row r="2231" spans="1:40">
      <c r="A2231" s="1">
        <v>46088</v>
      </c>
      <c r="B2231">
        <v>2</v>
      </c>
      <c r="C2231">
        <v>10</v>
      </c>
      <c r="D2231" t="s">
        <v>117</v>
      </c>
      <c r="E2231" t="s">
        <v>34</v>
      </c>
      <c r="F2231">
        <v>414439</v>
      </c>
      <c r="G2231" s="6">
        <v>0</v>
      </c>
      <c r="H2231" t="s">
        <v>587</v>
      </c>
      <c r="I2231">
        <v>10688521</v>
      </c>
      <c r="J2231">
        <v>6</v>
      </c>
      <c r="K2231">
        <v>57</v>
      </c>
      <c r="L2231">
        <v>15</v>
      </c>
      <c r="M2231">
        <v>1785</v>
      </c>
      <c r="N2231" s="2">
        <v>206976</v>
      </c>
      <c r="O2231" s="2">
        <v>616</v>
      </c>
      <c r="P2231" s="2">
        <v>3696</v>
      </c>
      <c r="Q2231" s="2">
        <v>10710</v>
      </c>
      <c r="R2231" s="2">
        <v>7392</v>
      </c>
      <c r="S2231">
        <v>110.88</v>
      </c>
      <c r="T2231" s="2">
        <v>62832</v>
      </c>
      <c r="U2231" s="2">
        <v>144144</v>
      </c>
      <c r="V2231">
        <v>160.65</v>
      </c>
      <c r="W2231">
        <v>0</v>
      </c>
      <c r="X2231">
        <v>0</v>
      </c>
      <c r="Y2231">
        <v>0</v>
      </c>
      <c r="Z2231">
        <v>2</v>
      </c>
      <c r="AA2231">
        <v>1.2449424000000001E-2</v>
      </c>
      <c r="AB2231">
        <v>23.7</v>
      </c>
      <c r="AC2231">
        <v>11.751250000000001</v>
      </c>
      <c r="AD2231">
        <v>15</v>
      </c>
      <c r="AE2231" s="7"/>
      <c r="AF2231" s="7"/>
      <c r="AG2231" s="7"/>
      <c r="AH2231" s="7"/>
      <c r="AI2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0.24874999999999936</v>
      </c>
      <c r="AJ2231" s="7"/>
      <c r="AK2231" t="s">
        <v>103</v>
      </c>
      <c r="AN2231">
        <f>IFERROR(INT(Table13[[#This Row],[reject_prod]]/Table13[[#This Row],[part_weight]] * 1000), 0)</f>
        <v>133</v>
      </c>
    </row>
    <row r="2232" spans="1:40">
      <c r="A2232" s="1">
        <v>46088</v>
      </c>
      <c r="B2232">
        <v>2</v>
      </c>
      <c r="C2232">
        <v>11</v>
      </c>
      <c r="D2232" t="s">
        <v>89</v>
      </c>
      <c r="E2232" t="s">
        <v>46</v>
      </c>
      <c r="F2232">
        <v>552181</v>
      </c>
      <c r="G2232" s="6">
        <v>1</v>
      </c>
      <c r="H2232" t="s">
        <v>49</v>
      </c>
      <c r="I2232">
        <v>10688069</v>
      </c>
      <c r="J2232">
        <v>6</v>
      </c>
      <c r="K2232">
        <v>14.7</v>
      </c>
      <c r="L2232">
        <v>14.7</v>
      </c>
      <c r="M2232">
        <v>1490</v>
      </c>
      <c r="N2232" s="2">
        <v>108000</v>
      </c>
      <c r="O2232" s="2">
        <v>1080</v>
      </c>
      <c r="P2232" s="2">
        <v>4590</v>
      </c>
      <c r="Q2232" s="2">
        <v>8940</v>
      </c>
      <c r="R2232" s="2">
        <v>5400</v>
      </c>
      <c r="S2232">
        <v>79.38</v>
      </c>
      <c r="T2232" s="2">
        <v>63990</v>
      </c>
      <c r="U2232" s="2">
        <v>44010</v>
      </c>
      <c r="V2232">
        <v>131.41800000000001</v>
      </c>
      <c r="W2232">
        <v>0</v>
      </c>
      <c r="X2232">
        <v>0</v>
      </c>
      <c r="Y2232">
        <v>0</v>
      </c>
      <c r="Z2232">
        <v>4.8</v>
      </c>
      <c r="AA2232">
        <v>3.6524676999999998E-2</v>
      </c>
      <c r="AB2232">
        <v>28.46</v>
      </c>
      <c r="AC2232">
        <v>11.779277779999999</v>
      </c>
      <c r="AD2232">
        <v>27</v>
      </c>
      <c r="AE2232" s="7"/>
      <c r="AF2232" s="7"/>
      <c r="AG2232" s="7"/>
      <c r="AH2232" s="7"/>
      <c r="AI2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0.22072222000000075</v>
      </c>
      <c r="AJ2232" s="7"/>
      <c r="AK2232" t="s">
        <v>1145</v>
      </c>
      <c r="AN2232">
        <f>IFERROR(INT(Table13[[#This Row],[reject_prod]]/Table13[[#This Row],[part_weight]] * 1000), 0)</f>
        <v>326</v>
      </c>
    </row>
    <row r="2233" spans="1:40">
      <c r="A2233" s="1">
        <v>46088</v>
      </c>
      <c r="B2233">
        <v>2</v>
      </c>
      <c r="C2233">
        <v>12</v>
      </c>
      <c r="D2233" t="s">
        <v>33</v>
      </c>
      <c r="E2233" t="s">
        <v>46</v>
      </c>
      <c r="F2233">
        <v>555979</v>
      </c>
      <c r="G2233" s="6">
        <v>1</v>
      </c>
      <c r="H2233" t="s">
        <v>52</v>
      </c>
      <c r="I2233">
        <v>10689126</v>
      </c>
      <c r="J2233">
        <v>6</v>
      </c>
      <c r="K2233">
        <v>28</v>
      </c>
      <c r="L2233">
        <v>28</v>
      </c>
      <c r="M2233">
        <v>0</v>
      </c>
      <c r="N2233" s="2">
        <v>100800</v>
      </c>
      <c r="O2233" s="2">
        <v>0</v>
      </c>
      <c r="P2233" s="2">
        <v>0</v>
      </c>
      <c r="Q2233" s="2">
        <v>0</v>
      </c>
      <c r="R2233" s="2">
        <v>0</v>
      </c>
      <c r="S2233">
        <v>0</v>
      </c>
      <c r="T2233" s="2">
        <v>0</v>
      </c>
      <c r="U2233" s="2">
        <v>100800</v>
      </c>
      <c r="V2233">
        <v>0</v>
      </c>
      <c r="W2233">
        <v>0</v>
      </c>
      <c r="X2233">
        <v>12</v>
      </c>
      <c r="Y2233" t="e">
        <v>#DIV/0!</v>
      </c>
      <c r="Z2233">
        <v>0</v>
      </c>
      <c r="AA2233" t="e">
        <v>#DIV/0!</v>
      </c>
      <c r="AB2233">
        <v>28.8</v>
      </c>
      <c r="AC2233">
        <v>0</v>
      </c>
      <c r="AD2233">
        <v>42</v>
      </c>
      <c r="AE2233" s="7"/>
      <c r="AF2233" s="7"/>
      <c r="AG2233" s="7"/>
      <c r="AH2233" s="7"/>
      <c r="AI2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33" s="7"/>
      <c r="AK2233" t="s">
        <v>1146</v>
      </c>
      <c r="AN2233">
        <f>IFERROR(INT(Table13[[#This Row],[reject_prod]]/Table13[[#This Row],[part_weight]] * 1000), 0)</f>
        <v>0</v>
      </c>
    </row>
    <row r="2234" spans="1:40">
      <c r="A2234" s="1">
        <v>46088</v>
      </c>
      <c r="B2234">
        <v>2</v>
      </c>
      <c r="C2234">
        <v>13</v>
      </c>
      <c r="D2234" t="s">
        <v>59</v>
      </c>
      <c r="E2234" t="s">
        <v>46</v>
      </c>
      <c r="F2234">
        <v>586276</v>
      </c>
      <c r="G2234" s="6">
        <v>2</v>
      </c>
      <c r="H2234" t="s">
        <v>47</v>
      </c>
      <c r="I2234">
        <v>10688946</v>
      </c>
      <c r="J2234">
        <v>6</v>
      </c>
      <c r="K2234">
        <v>12.3</v>
      </c>
      <c r="L2234">
        <v>12.3</v>
      </c>
      <c r="M2234">
        <v>1620</v>
      </c>
      <c r="N2234" s="2">
        <v>162000</v>
      </c>
      <c r="O2234" s="2">
        <v>1620</v>
      </c>
      <c r="P2234" s="2">
        <v>3240</v>
      </c>
      <c r="Q2234" s="2">
        <v>9720</v>
      </c>
      <c r="R2234" s="2">
        <v>8100</v>
      </c>
      <c r="S2234">
        <v>99.63</v>
      </c>
      <c r="T2234" s="2">
        <v>100440</v>
      </c>
      <c r="U2234" s="2">
        <v>61560</v>
      </c>
      <c r="V2234">
        <v>119.556</v>
      </c>
      <c r="W2234">
        <v>0</v>
      </c>
      <c r="X2234">
        <v>0</v>
      </c>
      <c r="Y2234">
        <v>0</v>
      </c>
      <c r="Z2234">
        <v>1.8</v>
      </c>
      <c r="AA2234">
        <v>1.5055706E-2</v>
      </c>
      <c r="AB2234">
        <v>26.2</v>
      </c>
      <c r="AC2234">
        <v>11.79</v>
      </c>
      <c r="AD2234">
        <v>26</v>
      </c>
      <c r="AE2234" s="7"/>
      <c r="AF2234" s="7"/>
      <c r="AG2234" s="7"/>
      <c r="AH2234" s="7"/>
      <c r="AI2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234" s="7"/>
      <c r="AK2234" t="s">
        <v>51</v>
      </c>
      <c r="AN2234">
        <f>IFERROR(INT(Table13[[#This Row],[reject_prod]]/Table13[[#This Row],[part_weight]] * 1000), 0)</f>
        <v>146</v>
      </c>
    </row>
    <row r="2235" spans="1:40">
      <c r="A2235" s="1">
        <v>46088</v>
      </c>
      <c r="B2235">
        <v>2</v>
      </c>
      <c r="C2235">
        <v>14</v>
      </c>
      <c r="D2235" t="s">
        <v>208</v>
      </c>
      <c r="E2235" t="s">
        <v>34</v>
      </c>
      <c r="F2235">
        <v>541381</v>
      </c>
      <c r="G2235" s="6">
        <v>0</v>
      </c>
      <c r="H2235" t="s">
        <v>804</v>
      </c>
      <c r="I2235">
        <v>10688073</v>
      </c>
      <c r="J2235">
        <v>4</v>
      </c>
      <c r="K2235">
        <v>55</v>
      </c>
      <c r="L2235">
        <v>55</v>
      </c>
      <c r="M2235">
        <v>1580</v>
      </c>
      <c r="N2235" s="2">
        <v>84000</v>
      </c>
      <c r="O2235" s="2">
        <v>0</v>
      </c>
      <c r="P2235" s="2">
        <v>0</v>
      </c>
      <c r="Q2235" s="2">
        <v>6320</v>
      </c>
      <c r="R2235" s="2">
        <v>6300</v>
      </c>
      <c r="S2235">
        <v>346.5</v>
      </c>
      <c r="T2235" s="2">
        <v>37100</v>
      </c>
      <c r="U2235" s="2">
        <v>46900</v>
      </c>
      <c r="V2235">
        <v>347.6</v>
      </c>
      <c r="W2235">
        <v>0</v>
      </c>
      <c r="X2235">
        <v>0</v>
      </c>
      <c r="Y2235">
        <v>0</v>
      </c>
      <c r="Z2235">
        <v>2.2999999999999998</v>
      </c>
      <c r="AA2235">
        <v>6.6168010000000003E-3</v>
      </c>
      <c r="AB2235">
        <v>27.3</v>
      </c>
      <c r="AC2235">
        <v>11.981666669999999</v>
      </c>
      <c r="AD2235">
        <v>30.08</v>
      </c>
      <c r="AE2235" s="7"/>
      <c r="AF2235" s="7"/>
      <c r="AG2235" s="7"/>
      <c r="AH2235" s="7"/>
      <c r="AI2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1.8333330000000814E-2</v>
      </c>
      <c r="AJ2235" s="7"/>
      <c r="AK2235" t="s">
        <v>178</v>
      </c>
      <c r="AN2235">
        <f>IFERROR(INT(Table13[[#This Row],[reject_prod]]/Table13[[#This Row],[part_weight]] * 1000), 0)</f>
        <v>41</v>
      </c>
    </row>
    <row r="2236" spans="1:40">
      <c r="A2236" s="1">
        <v>46088</v>
      </c>
      <c r="B2236">
        <v>2</v>
      </c>
      <c r="C2236">
        <v>15</v>
      </c>
      <c r="D2236" t="s">
        <v>59</v>
      </c>
      <c r="E2236" t="s">
        <v>46</v>
      </c>
      <c r="F2236">
        <v>552181</v>
      </c>
      <c r="G2236" s="6">
        <v>2</v>
      </c>
      <c r="H2236" t="s">
        <v>49</v>
      </c>
      <c r="I2236">
        <v>10686680</v>
      </c>
      <c r="J2236">
        <v>6</v>
      </c>
      <c r="K2236">
        <v>14.7</v>
      </c>
      <c r="L2236">
        <v>14.7</v>
      </c>
      <c r="M2236">
        <v>1400</v>
      </c>
      <c r="N2236" s="2">
        <v>108000</v>
      </c>
      <c r="O2236" s="2">
        <v>4860</v>
      </c>
      <c r="P2236" s="2">
        <v>2430</v>
      </c>
      <c r="Q2236" s="2">
        <v>8400</v>
      </c>
      <c r="R2236" s="2">
        <v>10800</v>
      </c>
      <c r="S2236">
        <v>158.76</v>
      </c>
      <c r="T2236" s="2">
        <v>61830</v>
      </c>
      <c r="U2236" s="2">
        <v>46170</v>
      </c>
      <c r="V2236">
        <v>123.48</v>
      </c>
      <c r="W2236">
        <v>0</v>
      </c>
      <c r="X2236">
        <v>0</v>
      </c>
      <c r="Y2236">
        <v>0</v>
      </c>
      <c r="Z2236">
        <v>1</v>
      </c>
      <c r="AA2236">
        <v>8.0984769999999998E-3</v>
      </c>
      <c r="AB2236">
        <v>30.6</v>
      </c>
      <c r="AC2236">
        <v>11.9</v>
      </c>
      <c r="AD2236">
        <v>27</v>
      </c>
      <c r="AE2236" s="7"/>
      <c r="AF2236" s="7"/>
      <c r="AG2236" s="7"/>
      <c r="AH2236" s="7"/>
      <c r="AI2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236" s="7"/>
      <c r="AK2236" t="s">
        <v>51</v>
      </c>
      <c r="AN2236">
        <f>IFERROR(INT(Table13[[#This Row],[reject_prod]]/Table13[[#This Row],[part_weight]] * 1000), 0)</f>
        <v>68</v>
      </c>
    </row>
    <row r="2237" spans="1:40">
      <c r="A2237" s="1">
        <v>46088</v>
      </c>
      <c r="B2237">
        <v>2</v>
      </c>
      <c r="C2237">
        <v>16</v>
      </c>
      <c r="D2237" t="s">
        <v>139</v>
      </c>
      <c r="E2237" t="s">
        <v>46</v>
      </c>
      <c r="F2237">
        <v>555979</v>
      </c>
      <c r="G2237" s="6">
        <v>2</v>
      </c>
      <c r="H2237" t="s">
        <v>52</v>
      </c>
      <c r="I2237">
        <v>10686701</v>
      </c>
      <c r="J2237">
        <v>6</v>
      </c>
      <c r="K2237">
        <v>28</v>
      </c>
      <c r="L2237">
        <v>28</v>
      </c>
      <c r="M2237">
        <v>466</v>
      </c>
      <c r="N2237" s="2">
        <v>100800</v>
      </c>
      <c r="O2237" s="2">
        <v>672</v>
      </c>
      <c r="P2237" s="2">
        <v>0</v>
      </c>
      <c r="Q2237" s="2">
        <v>2796</v>
      </c>
      <c r="R2237" s="2">
        <v>3360</v>
      </c>
      <c r="S2237">
        <v>94.08</v>
      </c>
      <c r="T2237" s="2">
        <v>100800</v>
      </c>
      <c r="U2237" s="2">
        <v>0</v>
      </c>
      <c r="V2237">
        <v>78.287999999999997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40.5</v>
      </c>
      <c r="AC2237">
        <v>5.2424999999999997</v>
      </c>
      <c r="AD2237">
        <v>42</v>
      </c>
      <c r="AE2237" s="7"/>
      <c r="AF2237" s="7"/>
      <c r="AG2237" s="7"/>
      <c r="AH2237" s="7"/>
      <c r="AI2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6.7575000000000003</v>
      </c>
      <c r="AJ2237" s="7"/>
      <c r="AK2237" t="s">
        <v>102</v>
      </c>
      <c r="AN2237">
        <f>IFERROR(INT(Table13[[#This Row],[reject_prod]]/Table13[[#This Row],[part_weight]] * 1000), 0)</f>
        <v>0</v>
      </c>
    </row>
    <row r="2238" spans="1:40">
      <c r="A2238" s="1">
        <v>46088</v>
      </c>
      <c r="B2238">
        <v>2</v>
      </c>
      <c r="C2238">
        <v>16</v>
      </c>
      <c r="D2238" t="s">
        <v>139</v>
      </c>
      <c r="E2238" t="s">
        <v>46</v>
      </c>
      <c r="F2238">
        <v>555979</v>
      </c>
      <c r="G2238" s="6">
        <v>2</v>
      </c>
      <c r="H2238" t="s">
        <v>52</v>
      </c>
      <c r="I2238">
        <v>10688074</v>
      </c>
      <c r="J2238">
        <v>6</v>
      </c>
      <c r="K2238">
        <v>28</v>
      </c>
      <c r="L2238">
        <v>28</v>
      </c>
      <c r="M2238">
        <v>504</v>
      </c>
      <c r="N2238" s="2">
        <v>100800</v>
      </c>
      <c r="O2238" s="2">
        <v>0</v>
      </c>
      <c r="P2238" s="2">
        <v>3024</v>
      </c>
      <c r="Q2238" s="2">
        <v>3024</v>
      </c>
      <c r="R2238" s="2">
        <v>0</v>
      </c>
      <c r="S2238">
        <v>0</v>
      </c>
      <c r="T2238" s="2">
        <v>3024</v>
      </c>
      <c r="U2238" s="2">
        <v>97776</v>
      </c>
      <c r="V2238">
        <v>84.671999999999997</v>
      </c>
      <c r="W2238">
        <v>0</v>
      </c>
      <c r="X2238">
        <v>0</v>
      </c>
      <c r="Y2238">
        <v>0</v>
      </c>
      <c r="Z2238">
        <v>4.4000000000000004</v>
      </c>
      <c r="AA2238">
        <v>5.1965231000000001E-2</v>
      </c>
      <c r="AB2238">
        <v>40.5</v>
      </c>
      <c r="AC2238">
        <v>5.67</v>
      </c>
      <c r="AD2238">
        <v>42</v>
      </c>
      <c r="AE2238" s="7"/>
      <c r="AF2238" s="7"/>
      <c r="AG2238" s="7"/>
      <c r="AH2238" s="7"/>
      <c r="AI2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6.33</v>
      </c>
      <c r="AJ2238" s="7"/>
      <c r="AK2238" t="s">
        <v>1147</v>
      </c>
      <c r="AN2238">
        <f>IFERROR(INT(Table13[[#This Row],[reject_prod]]/Table13[[#This Row],[part_weight]] * 1000), 0)</f>
        <v>157</v>
      </c>
    </row>
    <row r="2239" spans="1:40">
      <c r="A2239" s="1">
        <v>46089</v>
      </c>
      <c r="B2239">
        <v>1</v>
      </c>
      <c r="C2239">
        <v>1</v>
      </c>
      <c r="D2239" t="s">
        <v>149</v>
      </c>
      <c r="E2239" t="s">
        <v>34</v>
      </c>
      <c r="F2239">
        <v>577492</v>
      </c>
      <c r="G2239" s="6">
        <v>0</v>
      </c>
      <c r="H2239" t="s">
        <v>341</v>
      </c>
      <c r="I2239">
        <v>10688947</v>
      </c>
      <c r="J2239">
        <v>4</v>
      </c>
      <c r="K2239">
        <v>35.6</v>
      </c>
      <c r="L2239">
        <v>35.6</v>
      </c>
      <c r="M2239">
        <v>1601</v>
      </c>
      <c r="N2239" s="2">
        <v>80960</v>
      </c>
      <c r="O2239" s="2">
        <v>800</v>
      </c>
      <c r="P2239" s="2">
        <v>0</v>
      </c>
      <c r="Q2239" s="2">
        <v>6404</v>
      </c>
      <c r="R2239" s="2">
        <v>7360</v>
      </c>
      <c r="S2239">
        <v>262.01600000000002</v>
      </c>
      <c r="T2239" s="2">
        <v>23920</v>
      </c>
      <c r="U2239" s="2">
        <v>57040</v>
      </c>
      <c r="V2239">
        <v>227.98240000000001</v>
      </c>
      <c r="W2239">
        <v>0</v>
      </c>
      <c r="X2239">
        <v>0</v>
      </c>
      <c r="Y2239">
        <v>0</v>
      </c>
      <c r="Z2239">
        <v>2</v>
      </c>
      <c r="AA2239">
        <v>8.772607E-3</v>
      </c>
      <c r="AB2239">
        <v>27</v>
      </c>
      <c r="AC2239">
        <v>12</v>
      </c>
      <c r="AD2239">
        <v>27</v>
      </c>
      <c r="AE2239" s="7"/>
      <c r="AF2239" s="7"/>
      <c r="AG2239" s="7"/>
      <c r="AH2239" s="7"/>
      <c r="AI2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39" s="7"/>
      <c r="AK2239" t="s">
        <v>51</v>
      </c>
      <c r="AN2239">
        <f>IFERROR(INT(Table13[[#This Row],[reject_prod]]/Table13[[#This Row],[part_weight]] * 1000), 0)</f>
        <v>56</v>
      </c>
    </row>
    <row r="2240" spans="1:40">
      <c r="A2240" s="1">
        <v>46089</v>
      </c>
      <c r="B2240">
        <v>1</v>
      </c>
      <c r="C2240">
        <v>2</v>
      </c>
      <c r="D2240" t="s">
        <v>152</v>
      </c>
      <c r="E2240" t="s">
        <v>34</v>
      </c>
      <c r="F2240">
        <v>463202</v>
      </c>
      <c r="G2240" s="6">
        <v>0</v>
      </c>
      <c r="H2240" t="s">
        <v>320</v>
      </c>
      <c r="I2240">
        <v>10688493</v>
      </c>
      <c r="J2240">
        <v>4</v>
      </c>
      <c r="K2240">
        <v>23</v>
      </c>
      <c r="L2240">
        <v>23</v>
      </c>
      <c r="M2240">
        <v>1865</v>
      </c>
      <c r="N2240" s="2">
        <v>40920</v>
      </c>
      <c r="O2240" s="2">
        <v>1860</v>
      </c>
      <c r="P2240" s="2">
        <v>3720</v>
      </c>
      <c r="Q2240" s="2">
        <v>7460</v>
      </c>
      <c r="R2240" s="2">
        <v>5580</v>
      </c>
      <c r="S2240">
        <v>128.34</v>
      </c>
      <c r="T2240" s="2">
        <v>9300</v>
      </c>
      <c r="U2240" s="2">
        <v>31620</v>
      </c>
      <c r="V2240">
        <v>171.58</v>
      </c>
      <c r="W2240">
        <v>0</v>
      </c>
      <c r="X2240">
        <v>0</v>
      </c>
      <c r="Y2240">
        <v>0</v>
      </c>
      <c r="Z2240">
        <v>1</v>
      </c>
      <c r="AA2240">
        <v>5.8281849999999996E-3</v>
      </c>
      <c r="AB2240">
        <v>21.98</v>
      </c>
      <c r="AC2240">
        <v>11.38686111</v>
      </c>
      <c r="AD2240">
        <v>22.92</v>
      </c>
      <c r="AE2240" s="7"/>
      <c r="AF2240" s="7"/>
      <c r="AG2240" s="7"/>
      <c r="AH2240" s="7"/>
      <c r="AI2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0.6131388900000001</v>
      </c>
      <c r="AJ2240" s="7"/>
      <c r="AK2240" t="s">
        <v>214</v>
      </c>
      <c r="AL2240">
        <v>6.2</v>
      </c>
      <c r="AM2240">
        <v>1.6</v>
      </c>
      <c r="AN2240">
        <f>IFERROR(INT(Table13[[#This Row],[reject_prod]]/Table13[[#This Row],[part_weight]] * 1000), 0)</f>
        <v>43</v>
      </c>
    </row>
    <row r="2241" spans="1:40">
      <c r="A2241" s="1">
        <v>46089</v>
      </c>
      <c r="B2241">
        <v>1</v>
      </c>
      <c r="C2241">
        <v>3</v>
      </c>
      <c r="D2241" t="s">
        <v>717</v>
      </c>
      <c r="E2241" t="s">
        <v>34</v>
      </c>
      <c r="F2241">
        <v>442034</v>
      </c>
      <c r="G2241" s="6">
        <v>0</v>
      </c>
      <c r="H2241" t="s">
        <v>37</v>
      </c>
      <c r="I2241">
        <v>10685635</v>
      </c>
      <c r="J2241">
        <v>4</v>
      </c>
      <c r="K2241">
        <v>23</v>
      </c>
      <c r="L2241">
        <v>23</v>
      </c>
      <c r="M2241">
        <v>1661</v>
      </c>
      <c r="N2241" s="2">
        <v>139776</v>
      </c>
      <c r="O2241" s="2">
        <v>2688</v>
      </c>
      <c r="P2241" s="2">
        <v>0</v>
      </c>
      <c r="Q2241" s="2">
        <v>6644</v>
      </c>
      <c r="R2241" s="2">
        <v>9216</v>
      </c>
      <c r="S2241">
        <v>211.96799999999999</v>
      </c>
      <c r="T2241" s="2">
        <v>46080</v>
      </c>
      <c r="U2241" s="2">
        <v>93696</v>
      </c>
      <c r="V2241">
        <v>152.81200000000001</v>
      </c>
      <c r="W2241">
        <v>0</v>
      </c>
      <c r="X2241">
        <v>0</v>
      </c>
      <c r="Y2241">
        <v>0</v>
      </c>
      <c r="Z2241">
        <v>8.5</v>
      </c>
      <c r="AA2241">
        <v>5.5623904000000002E-2</v>
      </c>
      <c r="AB2241">
        <v>26.1</v>
      </c>
      <c r="AC2241">
        <v>12</v>
      </c>
      <c r="AD2241">
        <v>22</v>
      </c>
      <c r="AE2241" s="7"/>
      <c r="AF2241" s="7"/>
      <c r="AG2241" s="7"/>
      <c r="AH2241" s="7"/>
      <c r="AI2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1" s="7"/>
      <c r="AK2241" t="s">
        <v>1013</v>
      </c>
      <c r="AM2241">
        <v>1</v>
      </c>
      <c r="AN2241">
        <f>IFERROR(INT(Table13[[#This Row],[reject_prod]]/Table13[[#This Row],[part_weight]] * 1000), 0)</f>
        <v>369</v>
      </c>
    </row>
    <row r="2242" spans="1:40">
      <c r="A2242" s="1">
        <v>46089</v>
      </c>
      <c r="B2242">
        <v>1</v>
      </c>
      <c r="C2242">
        <v>4</v>
      </c>
      <c r="D2242" t="s">
        <v>110</v>
      </c>
      <c r="E2242" t="s">
        <v>34</v>
      </c>
      <c r="F2242">
        <v>426555</v>
      </c>
      <c r="G2242" s="6">
        <v>0</v>
      </c>
      <c r="H2242" t="s">
        <v>1128</v>
      </c>
      <c r="I2242">
        <v>10688066</v>
      </c>
      <c r="J2242">
        <v>4</v>
      </c>
      <c r="K2242">
        <v>29</v>
      </c>
      <c r="L2242">
        <v>29</v>
      </c>
      <c r="M2242">
        <v>290</v>
      </c>
      <c r="N2242" s="2">
        <v>81600</v>
      </c>
      <c r="O2242" s="2">
        <v>0</v>
      </c>
      <c r="P2242" s="2">
        <v>850</v>
      </c>
      <c r="Q2242" s="2">
        <v>1160</v>
      </c>
      <c r="R2242" s="2">
        <v>0</v>
      </c>
      <c r="S2242">
        <v>0</v>
      </c>
      <c r="T2242" s="2">
        <v>850</v>
      </c>
      <c r="U2242" s="2">
        <v>80750</v>
      </c>
      <c r="V2242">
        <v>33.64</v>
      </c>
      <c r="W2242">
        <v>0</v>
      </c>
      <c r="X2242">
        <v>8.5</v>
      </c>
      <c r="Y2242">
        <v>0.252675386</v>
      </c>
      <c r="Z2242">
        <v>0</v>
      </c>
      <c r="AA2242">
        <v>0</v>
      </c>
      <c r="AB2242">
        <v>25.6</v>
      </c>
      <c r="AC2242">
        <v>2.0622222219999999</v>
      </c>
      <c r="AD2242">
        <v>22.72</v>
      </c>
      <c r="AE2242" s="7"/>
      <c r="AF2242" s="7"/>
      <c r="AG2242" s="7"/>
      <c r="AH2242" s="7"/>
      <c r="AI2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4.0377777780000006</v>
      </c>
      <c r="AJ2242" s="7">
        <v>5.9</v>
      </c>
      <c r="AK2242" t="s">
        <v>1148</v>
      </c>
      <c r="AL2242">
        <v>3.5</v>
      </c>
      <c r="AM2242">
        <v>2.5</v>
      </c>
      <c r="AN2242">
        <f>IFERROR(INT(Table13[[#This Row],[reject_prod]]/Table13[[#This Row],[part_weight]] * 1000), 0)</f>
        <v>0</v>
      </c>
    </row>
    <row r="2243" spans="1:40">
      <c r="A2243" s="1">
        <v>46089</v>
      </c>
      <c r="B2243">
        <v>1</v>
      </c>
      <c r="C2243">
        <v>5</v>
      </c>
      <c r="D2243" t="s">
        <v>1149</v>
      </c>
      <c r="E2243" t="s">
        <v>34</v>
      </c>
      <c r="F2243">
        <v>322448</v>
      </c>
      <c r="G2243" s="6">
        <v>0</v>
      </c>
      <c r="H2243" t="s">
        <v>654</v>
      </c>
      <c r="I2243">
        <v>10687753</v>
      </c>
      <c r="J2243">
        <v>4</v>
      </c>
      <c r="K2243">
        <v>40</v>
      </c>
      <c r="L2243">
        <v>40</v>
      </c>
      <c r="M2243">
        <v>1594</v>
      </c>
      <c r="N2243" s="2">
        <v>174960</v>
      </c>
      <c r="O2243" s="2">
        <v>1296</v>
      </c>
      <c r="P2243" s="2">
        <v>0</v>
      </c>
      <c r="Q2243" s="2">
        <v>6376</v>
      </c>
      <c r="R2243" s="2">
        <v>7290</v>
      </c>
      <c r="S2243">
        <v>291.60000000000002</v>
      </c>
      <c r="T2243" s="2">
        <v>119880</v>
      </c>
      <c r="U2243" s="2">
        <v>55080</v>
      </c>
      <c r="V2243">
        <v>255.04</v>
      </c>
      <c r="W2243">
        <v>0</v>
      </c>
      <c r="X2243">
        <v>0</v>
      </c>
      <c r="Y2243">
        <v>0</v>
      </c>
      <c r="Z2243">
        <v>3.5</v>
      </c>
      <c r="AA2243">
        <v>1.3723338E-2</v>
      </c>
      <c r="AB2243">
        <v>26.1</v>
      </c>
      <c r="AC2243">
        <v>11.5565</v>
      </c>
      <c r="AD2243">
        <v>23</v>
      </c>
      <c r="AE2243" s="7"/>
      <c r="AF2243" s="7"/>
      <c r="AG2243" s="7"/>
      <c r="AH2243" s="7"/>
      <c r="AI2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0.44350000000000023</v>
      </c>
      <c r="AJ2243" s="7"/>
      <c r="AK2243" t="s">
        <v>193</v>
      </c>
      <c r="AN2243">
        <f>IFERROR(INT(Table13[[#This Row],[reject_prod]]/Table13[[#This Row],[part_weight]] * 1000), 0)</f>
        <v>87</v>
      </c>
    </row>
    <row r="2244" spans="1:40">
      <c r="A2244" s="1">
        <v>46089</v>
      </c>
      <c r="B2244">
        <v>1</v>
      </c>
      <c r="C2244">
        <v>6</v>
      </c>
      <c r="D2244" t="s">
        <v>1150</v>
      </c>
      <c r="E2244" t="s">
        <v>34</v>
      </c>
      <c r="F2244">
        <v>532981</v>
      </c>
      <c r="G2244" s="6">
        <v>0</v>
      </c>
      <c r="H2244" t="s">
        <v>233</v>
      </c>
      <c r="I2244">
        <v>10688648</v>
      </c>
      <c r="J2244">
        <v>4</v>
      </c>
      <c r="K2244">
        <v>24.45</v>
      </c>
      <c r="L2244">
        <v>24</v>
      </c>
      <c r="M2244">
        <v>1834</v>
      </c>
      <c r="N2244" s="2">
        <v>87552</v>
      </c>
      <c r="O2244" s="2">
        <v>0</v>
      </c>
      <c r="P2244" s="2">
        <v>1824</v>
      </c>
      <c r="Q2244" s="2">
        <v>7336</v>
      </c>
      <c r="R2244" s="2">
        <v>5472</v>
      </c>
      <c r="S2244">
        <v>131.328</v>
      </c>
      <c r="T2244" s="2">
        <v>56544</v>
      </c>
      <c r="U2244" s="2">
        <v>31008</v>
      </c>
      <c r="V2244">
        <v>176.06399999999999</v>
      </c>
      <c r="W2244">
        <v>0</v>
      </c>
      <c r="X2244">
        <v>0</v>
      </c>
      <c r="Y2244">
        <v>0</v>
      </c>
      <c r="Z2244">
        <v>1</v>
      </c>
      <c r="AA2244">
        <v>5.6797530000000001E-3</v>
      </c>
      <c r="AB2244">
        <v>23.2</v>
      </c>
      <c r="AC2244">
        <v>11.81911111</v>
      </c>
      <c r="AD2244">
        <v>20</v>
      </c>
      <c r="AE2244" s="7"/>
      <c r="AF2244" s="7"/>
      <c r="AG2244" s="7"/>
      <c r="AH2244" s="7"/>
      <c r="AI22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44" s="7"/>
      <c r="AK2244" t="s">
        <v>214</v>
      </c>
      <c r="AN2244">
        <f>IFERROR(INT(Table13[[#This Row],[reject_prod]]/Table13[[#This Row],[part_weight]] * 1000), 0)</f>
        <v>41</v>
      </c>
    </row>
    <row r="2245" spans="1:40">
      <c r="A2245" s="1">
        <v>46089</v>
      </c>
      <c r="B2245">
        <v>1</v>
      </c>
      <c r="C2245">
        <v>7</v>
      </c>
      <c r="F2245">
        <v>123456</v>
      </c>
      <c r="G2245" s="6">
        <v>0</v>
      </c>
      <c r="M2245">
        <v>0</v>
      </c>
      <c r="N2245" s="2">
        <v>0</v>
      </c>
      <c r="O2245" s="2">
        <v>0</v>
      </c>
      <c r="P2245" s="2">
        <v>0</v>
      </c>
      <c r="Q2245" s="2"/>
      <c r="R2245" s="2">
        <v>0</v>
      </c>
      <c r="T2245" s="2">
        <v>0</v>
      </c>
      <c r="U2245" s="2"/>
      <c r="X2245">
        <v>0</v>
      </c>
      <c r="Z2245">
        <v>0</v>
      </c>
      <c r="AB2245">
        <v>0</v>
      </c>
      <c r="AC2245">
        <v>0</v>
      </c>
      <c r="AD2245">
        <v>0</v>
      </c>
      <c r="AE2245" s="7"/>
      <c r="AF2245" s="7"/>
      <c r="AG2245" s="7"/>
      <c r="AH2245" s="7"/>
      <c r="AI2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5" s="7">
        <v>12</v>
      </c>
      <c r="AK2245" t="s">
        <v>116</v>
      </c>
      <c r="AN2245">
        <f>IFERROR(INT(Table13[[#This Row],[reject_prod]]/Table13[[#This Row],[part_weight]] * 1000), 0)</f>
        <v>0</v>
      </c>
    </row>
    <row r="2246" spans="1:40">
      <c r="A2246" s="1">
        <v>46089</v>
      </c>
      <c r="B2246">
        <v>1</v>
      </c>
      <c r="C2246">
        <v>8</v>
      </c>
      <c r="F2246">
        <v>123456</v>
      </c>
      <c r="G2246" s="6">
        <v>0</v>
      </c>
      <c r="M2246">
        <v>0</v>
      </c>
      <c r="N2246" s="2">
        <v>0</v>
      </c>
      <c r="O2246" s="2">
        <v>0</v>
      </c>
      <c r="P2246" s="2">
        <v>0</v>
      </c>
      <c r="Q2246" s="2"/>
      <c r="R2246" s="2">
        <v>0</v>
      </c>
      <c r="T2246" s="2">
        <v>0</v>
      </c>
      <c r="U2246" s="2"/>
      <c r="X2246">
        <v>0</v>
      </c>
      <c r="Z2246">
        <v>0</v>
      </c>
      <c r="AB2246">
        <v>0</v>
      </c>
      <c r="AC2246">
        <v>0</v>
      </c>
      <c r="AD2246">
        <v>0</v>
      </c>
      <c r="AE2246" s="7"/>
      <c r="AF2246" s="7"/>
      <c r="AG2246" s="7"/>
      <c r="AH2246" s="7"/>
      <c r="AI2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6" s="7">
        <v>12</v>
      </c>
      <c r="AK2246" t="s">
        <v>116</v>
      </c>
      <c r="AN2246">
        <f>IFERROR(INT(Table13[[#This Row],[reject_prod]]/Table13[[#This Row],[part_weight]] * 1000), 0)</f>
        <v>0</v>
      </c>
    </row>
    <row r="2247" spans="1:40">
      <c r="A2247" s="1">
        <v>46089</v>
      </c>
      <c r="B2247">
        <v>1</v>
      </c>
      <c r="C2247">
        <v>9</v>
      </c>
      <c r="D2247" t="s">
        <v>40</v>
      </c>
      <c r="E2247" t="s">
        <v>46</v>
      </c>
      <c r="F2247">
        <v>586276</v>
      </c>
      <c r="G2247" s="6">
        <v>1</v>
      </c>
      <c r="H2247" t="s">
        <v>47</v>
      </c>
      <c r="I2247">
        <v>10686685</v>
      </c>
      <c r="J2247">
        <v>6</v>
      </c>
      <c r="K2247">
        <v>12.3</v>
      </c>
      <c r="L2247">
        <v>12.3</v>
      </c>
      <c r="M2247">
        <v>1631</v>
      </c>
      <c r="N2247" s="2">
        <v>162000</v>
      </c>
      <c r="O2247" s="2">
        <v>4860</v>
      </c>
      <c r="P2247" s="2">
        <v>6480</v>
      </c>
      <c r="Q2247" s="2">
        <v>9786</v>
      </c>
      <c r="R2247" s="2">
        <v>8100</v>
      </c>
      <c r="S2247">
        <v>99.63</v>
      </c>
      <c r="T2247" s="2">
        <v>144180</v>
      </c>
      <c r="U2247" s="2">
        <v>17820</v>
      </c>
      <c r="V2247">
        <v>120.3678</v>
      </c>
      <c r="W2247">
        <v>0</v>
      </c>
      <c r="X2247">
        <v>0</v>
      </c>
      <c r="Y2247">
        <v>0</v>
      </c>
      <c r="Z2247">
        <v>1</v>
      </c>
      <c r="AA2247">
        <v>8.3078700000000002E-3</v>
      </c>
      <c r="AB2247">
        <v>26.5</v>
      </c>
      <c r="AC2247">
        <v>12</v>
      </c>
      <c r="AD2247">
        <v>26</v>
      </c>
      <c r="AE2247" s="7"/>
      <c r="AF2247" s="7"/>
      <c r="AG2247" s="7"/>
      <c r="AH2247" s="7"/>
      <c r="AI2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7" s="7"/>
      <c r="AK2247" t="s">
        <v>1151</v>
      </c>
      <c r="AN2247">
        <f>IFERROR(INT(Table13[[#This Row],[reject_prod]]/Table13[[#This Row],[part_weight]] * 1000), 0)</f>
        <v>81</v>
      </c>
    </row>
    <row r="2248" spans="1:40">
      <c r="A2248" s="1">
        <v>46089</v>
      </c>
      <c r="B2248">
        <v>1</v>
      </c>
      <c r="C2248">
        <v>10</v>
      </c>
      <c r="D2248" t="s">
        <v>61</v>
      </c>
      <c r="E2248" t="s">
        <v>34</v>
      </c>
      <c r="F2248">
        <v>414439</v>
      </c>
      <c r="G2248" s="6">
        <v>0</v>
      </c>
      <c r="H2248" t="s">
        <v>587</v>
      </c>
      <c r="I2248">
        <v>10688521</v>
      </c>
      <c r="J2248">
        <v>6</v>
      </c>
      <c r="K2248">
        <v>57</v>
      </c>
      <c r="L2248">
        <v>15</v>
      </c>
      <c r="M2248">
        <v>1828</v>
      </c>
      <c r="N2248" s="2">
        <v>206976</v>
      </c>
      <c r="O2248" s="2">
        <v>3696</v>
      </c>
      <c r="P2248" s="2">
        <v>0</v>
      </c>
      <c r="Q2248" s="2">
        <v>10968</v>
      </c>
      <c r="R2248" s="2">
        <v>14784</v>
      </c>
      <c r="S2248">
        <v>221.76</v>
      </c>
      <c r="T2248" s="2">
        <v>73920</v>
      </c>
      <c r="U2248" s="2">
        <v>133056</v>
      </c>
      <c r="V2248">
        <v>164.52</v>
      </c>
      <c r="W2248">
        <v>0</v>
      </c>
      <c r="X2248">
        <v>0</v>
      </c>
      <c r="Y2248">
        <v>0</v>
      </c>
      <c r="Z2248">
        <v>2</v>
      </c>
      <c r="AA2248">
        <v>1.2156577E-2</v>
      </c>
      <c r="AB2248">
        <v>23.7</v>
      </c>
      <c r="AC2248">
        <v>12</v>
      </c>
      <c r="AD2248">
        <v>15</v>
      </c>
      <c r="AE2248" s="7"/>
      <c r="AF2248" s="7"/>
      <c r="AG2248" s="7"/>
      <c r="AH2248" s="7"/>
      <c r="AI2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8" s="7"/>
      <c r="AK2248" t="s">
        <v>214</v>
      </c>
      <c r="AN2248">
        <f>IFERROR(INT(Table13[[#This Row],[reject_prod]]/Table13[[#This Row],[part_weight]] * 1000), 0)</f>
        <v>133</v>
      </c>
    </row>
    <row r="2249" spans="1:40">
      <c r="A2249" s="1">
        <v>46089</v>
      </c>
      <c r="B2249">
        <v>1</v>
      </c>
      <c r="C2249">
        <v>11</v>
      </c>
      <c r="D2249" t="s">
        <v>112</v>
      </c>
      <c r="E2249" t="s">
        <v>46</v>
      </c>
      <c r="F2249">
        <v>552181</v>
      </c>
      <c r="G2249" s="6">
        <v>1</v>
      </c>
      <c r="H2249" t="s">
        <v>49</v>
      </c>
      <c r="I2249">
        <v>10688069</v>
      </c>
      <c r="J2249">
        <v>6</v>
      </c>
      <c r="K2249">
        <v>14.7</v>
      </c>
      <c r="L2249">
        <v>14.7</v>
      </c>
      <c r="M2249">
        <v>1491</v>
      </c>
      <c r="N2249" s="2">
        <v>108000</v>
      </c>
      <c r="O2249" s="2">
        <v>4590</v>
      </c>
      <c r="P2249" s="2">
        <v>1350</v>
      </c>
      <c r="Q2249" s="2">
        <v>8946</v>
      </c>
      <c r="R2249" s="2">
        <v>10800</v>
      </c>
      <c r="S2249">
        <v>158.76</v>
      </c>
      <c r="T2249" s="2">
        <v>71550</v>
      </c>
      <c r="U2249" s="2">
        <v>36450</v>
      </c>
      <c r="V2249">
        <v>131.50620000000001</v>
      </c>
      <c r="W2249">
        <v>0</v>
      </c>
      <c r="X2249">
        <v>0</v>
      </c>
      <c r="Y2249">
        <v>0</v>
      </c>
      <c r="Z2249">
        <v>2</v>
      </c>
      <c r="AA2249">
        <v>1.5208408E-2</v>
      </c>
      <c r="AB2249">
        <v>28.46</v>
      </c>
      <c r="AC2249">
        <v>11.78718333</v>
      </c>
      <c r="AD2249">
        <v>27</v>
      </c>
      <c r="AE2249" s="7"/>
      <c r="AF2249" s="7"/>
      <c r="AG2249" s="7"/>
      <c r="AH2249" s="7"/>
      <c r="AI2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0.21281667000000049</v>
      </c>
      <c r="AJ2249" s="7"/>
      <c r="AK2249" t="s">
        <v>51</v>
      </c>
      <c r="AN2249">
        <f>IFERROR(INT(Table13[[#This Row],[reject_prod]]/Table13[[#This Row],[part_weight]] * 1000), 0)</f>
        <v>136</v>
      </c>
    </row>
    <row r="2250" spans="1:40">
      <c r="A2250" s="1">
        <v>46089</v>
      </c>
      <c r="B2250">
        <v>1</v>
      </c>
      <c r="C2250">
        <v>12</v>
      </c>
      <c r="D2250" t="s">
        <v>33</v>
      </c>
      <c r="E2250" t="s">
        <v>46</v>
      </c>
      <c r="F2250">
        <v>555979</v>
      </c>
      <c r="G2250" s="6">
        <v>1</v>
      </c>
      <c r="H2250" t="s">
        <v>52</v>
      </c>
      <c r="I2250">
        <v>10689126</v>
      </c>
      <c r="J2250">
        <v>6</v>
      </c>
      <c r="K2250">
        <v>28</v>
      </c>
      <c r="L2250">
        <v>28</v>
      </c>
      <c r="M2250">
        <v>0</v>
      </c>
      <c r="N2250" s="2">
        <v>100800</v>
      </c>
      <c r="O2250" s="2">
        <v>0</v>
      </c>
      <c r="P2250" s="2">
        <v>0</v>
      </c>
      <c r="Q2250" s="2">
        <v>0</v>
      </c>
      <c r="R2250" s="2">
        <v>0</v>
      </c>
      <c r="S2250">
        <v>0</v>
      </c>
      <c r="T2250" s="2">
        <v>0</v>
      </c>
      <c r="U2250" s="2">
        <v>100800</v>
      </c>
      <c r="V2250">
        <v>0</v>
      </c>
      <c r="W2250">
        <v>0</v>
      </c>
      <c r="X2250">
        <v>36.5</v>
      </c>
      <c r="Y2250" t="e">
        <v>#DIV/0!</v>
      </c>
      <c r="Z2250">
        <v>0</v>
      </c>
      <c r="AA2250" t="e">
        <v>#DIV/0!</v>
      </c>
      <c r="AB2250">
        <v>40.5</v>
      </c>
      <c r="AC2250">
        <v>0</v>
      </c>
      <c r="AD2250">
        <v>42</v>
      </c>
      <c r="AE2250" s="7"/>
      <c r="AF2250" s="7"/>
      <c r="AG2250" s="7"/>
      <c r="AH2250" s="7"/>
      <c r="AI2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50" s="7"/>
      <c r="AK2250" t="s">
        <v>1118</v>
      </c>
      <c r="AL2250">
        <v>3.4</v>
      </c>
      <c r="AM2250">
        <v>8</v>
      </c>
      <c r="AN2250">
        <f>IFERROR(INT(Table13[[#This Row],[reject_prod]]/Table13[[#This Row],[part_weight]] * 1000), 0)</f>
        <v>0</v>
      </c>
    </row>
    <row r="2251" spans="1:40">
      <c r="A2251" s="1">
        <v>46089</v>
      </c>
      <c r="B2251">
        <v>1</v>
      </c>
      <c r="C2251">
        <v>13</v>
      </c>
      <c r="D2251" t="s">
        <v>112</v>
      </c>
      <c r="E2251" t="s">
        <v>46</v>
      </c>
      <c r="F2251">
        <v>586276</v>
      </c>
      <c r="G2251" s="6">
        <v>2</v>
      </c>
      <c r="H2251" t="s">
        <v>47</v>
      </c>
      <c r="I2251">
        <v>10688946</v>
      </c>
      <c r="J2251">
        <v>6</v>
      </c>
      <c r="K2251">
        <v>12.3</v>
      </c>
      <c r="L2251">
        <v>12.3</v>
      </c>
      <c r="M2251">
        <v>1624</v>
      </c>
      <c r="N2251" s="2">
        <v>162000</v>
      </c>
      <c r="O2251" s="2">
        <v>3240</v>
      </c>
      <c r="P2251" s="2">
        <v>4860</v>
      </c>
      <c r="Q2251" s="2">
        <v>9744</v>
      </c>
      <c r="R2251" s="2">
        <v>8100</v>
      </c>
      <c r="S2251">
        <v>99.63</v>
      </c>
      <c r="T2251" s="2">
        <v>110160</v>
      </c>
      <c r="U2251" s="2">
        <v>51840</v>
      </c>
      <c r="V2251">
        <v>119.85120000000001</v>
      </c>
      <c r="W2251">
        <v>0</v>
      </c>
      <c r="X2251">
        <v>0</v>
      </c>
      <c r="Y2251">
        <v>0</v>
      </c>
      <c r="Z2251">
        <v>1</v>
      </c>
      <c r="AA2251">
        <v>8.3436789999999997E-3</v>
      </c>
      <c r="AB2251">
        <v>26.2</v>
      </c>
      <c r="AC2251">
        <v>11.81911111</v>
      </c>
      <c r="AD2251">
        <v>26</v>
      </c>
      <c r="AE2251" s="7"/>
      <c r="AF2251" s="7"/>
      <c r="AG2251" s="7"/>
      <c r="AH2251" s="7"/>
      <c r="AI2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51" s="7"/>
      <c r="AK2251" t="s">
        <v>51</v>
      </c>
      <c r="AN2251">
        <f>IFERROR(INT(Table13[[#This Row],[reject_prod]]/Table13[[#This Row],[part_weight]] * 1000), 0)</f>
        <v>81</v>
      </c>
    </row>
    <row r="2252" spans="1:40">
      <c r="A2252" s="1">
        <v>46089</v>
      </c>
      <c r="B2252">
        <v>1</v>
      </c>
      <c r="C2252">
        <v>14</v>
      </c>
      <c r="D2252" t="s">
        <v>115</v>
      </c>
      <c r="E2252" t="s">
        <v>34</v>
      </c>
      <c r="F2252">
        <v>541381</v>
      </c>
      <c r="G2252" s="6">
        <v>0</v>
      </c>
      <c r="H2252" t="s">
        <v>804</v>
      </c>
      <c r="I2252">
        <v>10688073</v>
      </c>
      <c r="J2252">
        <v>4</v>
      </c>
      <c r="K2252">
        <v>55</v>
      </c>
      <c r="L2252">
        <v>55</v>
      </c>
      <c r="M2252">
        <v>1575</v>
      </c>
      <c r="N2252" s="2">
        <v>84000</v>
      </c>
      <c r="O2252" s="2">
        <v>0</v>
      </c>
      <c r="P2252" s="2">
        <v>0</v>
      </c>
      <c r="Q2252" s="2">
        <v>6300</v>
      </c>
      <c r="R2252" s="2">
        <v>6300</v>
      </c>
      <c r="S2252">
        <v>346.5</v>
      </c>
      <c r="T2252" s="2">
        <v>44100</v>
      </c>
      <c r="U2252" s="2">
        <v>39900</v>
      </c>
      <c r="V2252">
        <v>346.5</v>
      </c>
      <c r="W2252">
        <v>0</v>
      </c>
      <c r="X2252">
        <v>0</v>
      </c>
      <c r="Y2252">
        <v>0</v>
      </c>
      <c r="Z2252">
        <v>3</v>
      </c>
      <c r="AA2252">
        <v>8.6580089999999995E-3</v>
      </c>
      <c r="AB2252">
        <v>27.3</v>
      </c>
      <c r="AC2252">
        <v>11.94375</v>
      </c>
      <c r="AD2252">
        <v>30.08</v>
      </c>
      <c r="AE2252" s="7"/>
      <c r="AF2252" s="7"/>
      <c r="AG2252" s="7"/>
      <c r="AH2252" s="7"/>
      <c r="AI2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252" s="7"/>
      <c r="AK2252" t="s">
        <v>178</v>
      </c>
      <c r="AL2252">
        <v>7</v>
      </c>
      <c r="AM2252">
        <v>1.4</v>
      </c>
      <c r="AN2252">
        <f>IFERROR(INT(Table13[[#This Row],[reject_prod]]/Table13[[#This Row],[part_weight]] * 1000), 0)</f>
        <v>54</v>
      </c>
    </row>
    <row r="2253" spans="1:40">
      <c r="A2253" s="1">
        <v>46089</v>
      </c>
      <c r="B2253">
        <v>1</v>
      </c>
      <c r="C2253">
        <v>15</v>
      </c>
      <c r="D2253" t="s">
        <v>112</v>
      </c>
      <c r="E2253" t="s">
        <v>46</v>
      </c>
      <c r="F2253">
        <v>552181</v>
      </c>
      <c r="G2253" s="6">
        <v>2</v>
      </c>
      <c r="H2253" t="s">
        <v>49</v>
      </c>
      <c r="I2253">
        <v>10686680</v>
      </c>
      <c r="J2253">
        <v>6</v>
      </c>
      <c r="K2253">
        <v>14.7</v>
      </c>
      <c r="L2253">
        <v>14.7</v>
      </c>
      <c r="M2253">
        <v>1398</v>
      </c>
      <c r="N2253" s="2">
        <v>108000</v>
      </c>
      <c r="O2253" s="2">
        <v>2430</v>
      </c>
      <c r="P2253" s="2">
        <v>0</v>
      </c>
      <c r="Q2253" s="2">
        <v>8388</v>
      </c>
      <c r="R2253" s="2">
        <v>10800</v>
      </c>
      <c r="S2253">
        <v>158.76</v>
      </c>
      <c r="T2253" s="2">
        <v>70200</v>
      </c>
      <c r="U2253" s="2">
        <v>37800</v>
      </c>
      <c r="V2253">
        <v>123.3036</v>
      </c>
      <c r="W2253">
        <v>0</v>
      </c>
      <c r="X2253">
        <v>0</v>
      </c>
      <c r="Y2253">
        <v>0</v>
      </c>
      <c r="Z2253">
        <v>1</v>
      </c>
      <c r="AA2253">
        <v>8.1100630000000007E-3</v>
      </c>
      <c r="AB2253">
        <v>30.6</v>
      </c>
      <c r="AC2253">
        <v>11.882999999999999</v>
      </c>
      <c r="AD2253">
        <v>27</v>
      </c>
      <c r="AE2253" s="7"/>
      <c r="AF2253" s="7"/>
      <c r="AG2253" s="7"/>
      <c r="AH2253" s="7"/>
      <c r="AI2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0.11700000000000088</v>
      </c>
      <c r="AJ2253" s="7"/>
      <c r="AK2253" t="s">
        <v>51</v>
      </c>
      <c r="AN2253">
        <f>IFERROR(INT(Table13[[#This Row],[reject_prod]]/Table13[[#This Row],[part_weight]] * 1000), 0)</f>
        <v>68</v>
      </c>
    </row>
    <row r="2254" spans="1:40">
      <c r="A2254" s="1">
        <v>46089</v>
      </c>
      <c r="B2254">
        <v>1</v>
      </c>
      <c r="C2254">
        <v>16</v>
      </c>
      <c r="D2254" t="s">
        <v>640</v>
      </c>
      <c r="E2254" t="s">
        <v>46</v>
      </c>
      <c r="F2254">
        <v>555979</v>
      </c>
      <c r="G2254" s="6">
        <v>2</v>
      </c>
      <c r="H2254" t="s">
        <v>52</v>
      </c>
      <c r="I2254">
        <v>10688074</v>
      </c>
      <c r="J2254">
        <v>6</v>
      </c>
      <c r="K2254">
        <v>28</v>
      </c>
      <c r="L2254">
        <v>28</v>
      </c>
      <c r="M2254">
        <v>1054</v>
      </c>
      <c r="N2254" s="2">
        <v>100800</v>
      </c>
      <c r="O2254" s="2">
        <v>3024</v>
      </c>
      <c r="P2254" s="2">
        <v>2520</v>
      </c>
      <c r="Q2254" s="2">
        <v>6324</v>
      </c>
      <c r="R2254" s="2">
        <v>6720</v>
      </c>
      <c r="S2254">
        <v>188.16</v>
      </c>
      <c r="T2254" s="2">
        <v>9240</v>
      </c>
      <c r="U2254" s="2">
        <v>91560</v>
      </c>
      <c r="V2254">
        <v>177.072</v>
      </c>
      <c r="W2254">
        <v>0</v>
      </c>
      <c r="X2254">
        <v>0</v>
      </c>
      <c r="Y2254">
        <v>0</v>
      </c>
      <c r="Z2254">
        <v>2.5</v>
      </c>
      <c r="AA2254">
        <v>1.4118551E-2</v>
      </c>
      <c r="AB2254">
        <v>40.5</v>
      </c>
      <c r="AC2254">
        <v>11.8575</v>
      </c>
      <c r="AD2254">
        <v>42</v>
      </c>
      <c r="AE2254" s="7"/>
      <c r="AF2254" s="7"/>
      <c r="AG2254" s="7"/>
      <c r="AH2254" s="7"/>
      <c r="AI2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254" s="7"/>
      <c r="AK2254" t="s">
        <v>270</v>
      </c>
      <c r="AM2254">
        <v>2</v>
      </c>
      <c r="AN2254">
        <f>IFERROR(INT(Table13[[#This Row],[reject_prod]]/Table13[[#This Row],[part_weight]] * 1000), 0)</f>
        <v>89</v>
      </c>
    </row>
    <row r="2255" spans="1:40">
      <c r="A2255" s="1">
        <v>46089</v>
      </c>
      <c r="B2255">
        <v>2</v>
      </c>
      <c r="C2255">
        <v>1</v>
      </c>
      <c r="D2255" t="s">
        <v>84</v>
      </c>
      <c r="E2255" t="s">
        <v>34</v>
      </c>
      <c r="F2255">
        <v>577492</v>
      </c>
      <c r="G2255" s="6">
        <v>0</v>
      </c>
      <c r="H2255" t="s">
        <v>341</v>
      </c>
      <c r="I2255">
        <v>10688947</v>
      </c>
      <c r="J2255">
        <v>4</v>
      </c>
      <c r="K2255">
        <v>35.6</v>
      </c>
      <c r="L2255">
        <v>35.6</v>
      </c>
      <c r="M2255">
        <v>1656</v>
      </c>
      <c r="N2255" s="2">
        <v>80960</v>
      </c>
      <c r="O2255" s="2">
        <v>0</v>
      </c>
      <c r="P2255" s="2">
        <v>1104</v>
      </c>
      <c r="Q2255" s="2">
        <v>6624</v>
      </c>
      <c r="R2255" s="2">
        <v>5520</v>
      </c>
      <c r="S2255">
        <v>196.512</v>
      </c>
      <c r="T2255" s="2">
        <v>30544</v>
      </c>
      <c r="U2255" s="2">
        <v>50416</v>
      </c>
      <c r="V2255">
        <v>235.81440000000001</v>
      </c>
      <c r="W2255">
        <v>0</v>
      </c>
      <c r="X2255">
        <v>0</v>
      </c>
      <c r="Y2255">
        <v>0</v>
      </c>
      <c r="Z2255">
        <v>1.5</v>
      </c>
      <c r="AA2255">
        <v>6.3609349999999999E-3</v>
      </c>
      <c r="AB2255">
        <v>26.07</v>
      </c>
      <c r="AC2255">
        <v>11.9922</v>
      </c>
      <c r="AD2255">
        <v>27</v>
      </c>
      <c r="AE2255" s="7"/>
      <c r="AF2255" s="7"/>
      <c r="AG2255" s="7"/>
      <c r="AH2255" s="7"/>
      <c r="AI2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7.799999999999585E-3</v>
      </c>
      <c r="AJ2255" s="7"/>
      <c r="AK2255" t="s">
        <v>51</v>
      </c>
      <c r="AN2255">
        <f>IFERROR(INT(Table13[[#This Row],[reject_prod]]/Table13[[#This Row],[part_weight]] * 1000), 0)</f>
        <v>42</v>
      </c>
    </row>
    <row r="2256" spans="1:40">
      <c r="A2256" s="1">
        <v>46089</v>
      </c>
      <c r="B2256">
        <v>2</v>
      </c>
      <c r="C2256">
        <v>2</v>
      </c>
      <c r="D2256" t="s">
        <v>117</v>
      </c>
      <c r="E2256" t="s">
        <v>34</v>
      </c>
      <c r="F2256">
        <v>463202</v>
      </c>
      <c r="G2256" s="6">
        <v>0</v>
      </c>
      <c r="H2256" t="s">
        <v>320</v>
      </c>
      <c r="I2256">
        <v>10688493</v>
      </c>
      <c r="J2256">
        <v>4</v>
      </c>
      <c r="K2256">
        <v>23</v>
      </c>
      <c r="L2256">
        <v>23</v>
      </c>
      <c r="M2256">
        <v>1890</v>
      </c>
      <c r="N2256" s="2">
        <v>40920</v>
      </c>
      <c r="O2256" s="2">
        <v>3720</v>
      </c>
      <c r="P2256" s="2">
        <v>0</v>
      </c>
      <c r="Q2256" s="2">
        <v>7560</v>
      </c>
      <c r="R2256" s="2">
        <v>11160</v>
      </c>
      <c r="S2256">
        <v>256.68</v>
      </c>
      <c r="T2256" s="2">
        <v>16740</v>
      </c>
      <c r="U2256" s="2">
        <v>24180</v>
      </c>
      <c r="V2256">
        <v>173.88</v>
      </c>
      <c r="W2256">
        <v>0</v>
      </c>
      <c r="X2256">
        <v>0</v>
      </c>
      <c r="Y2256">
        <v>0</v>
      </c>
      <c r="Z2256">
        <v>4.2</v>
      </c>
      <c r="AA2256">
        <v>2.4154589000000001E-2</v>
      </c>
      <c r="AB2256">
        <v>21.98</v>
      </c>
      <c r="AC2256">
        <v>11.5395</v>
      </c>
      <c r="AD2256">
        <v>22.92</v>
      </c>
      <c r="AE2256" s="7"/>
      <c r="AF2256" s="7"/>
      <c r="AG2256" s="7"/>
      <c r="AH2256" s="7"/>
      <c r="AI2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0.46049999999999969</v>
      </c>
      <c r="AJ2256" s="7"/>
      <c r="AK2256" t="s">
        <v>103</v>
      </c>
      <c r="AN2256">
        <f>IFERROR(INT(Table13[[#This Row],[reject_prod]]/Table13[[#This Row],[part_weight]] * 1000), 0)</f>
        <v>182</v>
      </c>
    </row>
    <row r="2257" spans="1:40">
      <c r="A2257" s="1">
        <v>46089</v>
      </c>
      <c r="B2257">
        <v>2</v>
      </c>
      <c r="C2257">
        <v>3</v>
      </c>
      <c r="D2257" t="s">
        <v>249</v>
      </c>
      <c r="E2257" t="s">
        <v>34</v>
      </c>
      <c r="F2257">
        <v>442034</v>
      </c>
      <c r="G2257" s="6">
        <v>0</v>
      </c>
      <c r="H2257" t="s">
        <v>37</v>
      </c>
      <c r="I2257">
        <v>10685635</v>
      </c>
      <c r="J2257">
        <v>4</v>
      </c>
      <c r="K2257">
        <v>23</v>
      </c>
      <c r="L2257">
        <v>23</v>
      </c>
      <c r="M2257">
        <v>1532</v>
      </c>
      <c r="N2257" s="2">
        <v>139776</v>
      </c>
      <c r="O2257" s="2">
        <v>0</v>
      </c>
      <c r="P2257" s="2">
        <v>1536</v>
      </c>
      <c r="Q2257" s="2">
        <v>6128</v>
      </c>
      <c r="R2257" s="2">
        <v>4608</v>
      </c>
      <c r="S2257">
        <v>105.98399999999999</v>
      </c>
      <c r="T2257" s="2">
        <v>52224</v>
      </c>
      <c r="U2257" s="2">
        <v>87552</v>
      </c>
      <c r="V2257">
        <v>140.94399999999999</v>
      </c>
      <c r="W2257">
        <v>0</v>
      </c>
      <c r="X2257">
        <v>0</v>
      </c>
      <c r="Y2257">
        <v>0</v>
      </c>
      <c r="Z2257">
        <v>5.3</v>
      </c>
      <c r="AA2257">
        <v>3.7603587000000001E-2</v>
      </c>
      <c r="AB2257">
        <v>28.5</v>
      </c>
      <c r="AC2257">
        <v>12</v>
      </c>
      <c r="AD2257">
        <v>22</v>
      </c>
      <c r="AE2257" s="7"/>
      <c r="AF2257" s="7"/>
      <c r="AG2257" s="7"/>
      <c r="AH2257" s="7"/>
      <c r="AI2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57" s="7"/>
      <c r="AK2257" t="s">
        <v>514</v>
      </c>
      <c r="AN2257">
        <f>IFERROR(INT(Table13[[#This Row],[reject_prod]]/Table13[[#This Row],[part_weight]] * 1000), 0)</f>
        <v>230</v>
      </c>
    </row>
    <row r="2258" spans="1:40">
      <c r="A2258" s="1">
        <v>46089</v>
      </c>
      <c r="B2258">
        <v>2</v>
      </c>
      <c r="C2258">
        <v>4</v>
      </c>
      <c r="D2258" t="s">
        <v>53</v>
      </c>
      <c r="E2258" t="s">
        <v>34</v>
      </c>
      <c r="F2258">
        <v>426555</v>
      </c>
      <c r="G2258" s="6">
        <v>0</v>
      </c>
      <c r="H2258" t="s">
        <v>1128</v>
      </c>
      <c r="I2258">
        <v>10688066</v>
      </c>
      <c r="J2258">
        <v>4</v>
      </c>
      <c r="K2258">
        <v>29</v>
      </c>
      <c r="L2258">
        <v>29</v>
      </c>
      <c r="M2258">
        <v>1720</v>
      </c>
      <c r="N2258" s="2">
        <v>81600</v>
      </c>
      <c r="O2258" s="2">
        <v>850</v>
      </c>
      <c r="P2258" s="2">
        <v>510</v>
      </c>
      <c r="Q2258" s="2">
        <v>6880</v>
      </c>
      <c r="R2258" s="2">
        <v>7140</v>
      </c>
      <c r="S2258">
        <v>207.06</v>
      </c>
      <c r="T2258" s="2">
        <v>7650</v>
      </c>
      <c r="U2258" s="2">
        <v>73950</v>
      </c>
      <c r="V2258">
        <v>199.52</v>
      </c>
      <c r="W2258">
        <v>0</v>
      </c>
      <c r="X2258">
        <v>0</v>
      </c>
      <c r="Y2258">
        <v>0</v>
      </c>
      <c r="Z2258">
        <v>1.3</v>
      </c>
      <c r="AA2258">
        <v>6.5156379999999998E-3</v>
      </c>
      <c r="AB2258">
        <v>24.63</v>
      </c>
      <c r="AC2258">
        <v>11.767666670000001</v>
      </c>
      <c r="AD2258">
        <v>22.72</v>
      </c>
      <c r="AE2258" s="7"/>
      <c r="AF2258" s="7"/>
      <c r="AG2258" s="7"/>
      <c r="AH2258" s="7"/>
      <c r="AI2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0.23233332999999945</v>
      </c>
      <c r="AJ2258" s="7"/>
      <c r="AK2258" t="s">
        <v>214</v>
      </c>
      <c r="AN2258">
        <f>IFERROR(INT(Table13[[#This Row],[reject_prod]]/Table13[[#This Row],[part_weight]] * 1000), 0)</f>
        <v>44</v>
      </c>
    </row>
    <row r="2259" spans="1:40">
      <c r="A2259" s="1">
        <v>46089</v>
      </c>
      <c r="B2259">
        <v>2</v>
      </c>
      <c r="C2259">
        <v>5</v>
      </c>
      <c r="D2259" t="s">
        <v>1152</v>
      </c>
      <c r="E2259" t="s">
        <v>34</v>
      </c>
      <c r="F2259">
        <v>322448</v>
      </c>
      <c r="G2259" s="6">
        <v>0</v>
      </c>
      <c r="H2259" t="s">
        <v>654</v>
      </c>
      <c r="I2259">
        <v>10687753</v>
      </c>
      <c r="J2259">
        <v>4</v>
      </c>
      <c r="K2259">
        <v>40</v>
      </c>
      <c r="L2259">
        <v>40</v>
      </c>
      <c r="M2259">
        <v>1620</v>
      </c>
      <c r="N2259" s="2">
        <v>174960</v>
      </c>
      <c r="O2259" s="2">
        <v>0</v>
      </c>
      <c r="P2259" s="2">
        <v>0</v>
      </c>
      <c r="Q2259" s="2">
        <v>6480</v>
      </c>
      <c r="R2259" s="2">
        <v>6480</v>
      </c>
      <c r="S2259">
        <v>259.2</v>
      </c>
      <c r="T2259" s="2">
        <v>126360</v>
      </c>
      <c r="U2259" s="2">
        <v>48600</v>
      </c>
      <c r="V2259">
        <v>259.2</v>
      </c>
      <c r="W2259">
        <v>0</v>
      </c>
      <c r="X2259">
        <v>0</v>
      </c>
      <c r="Y2259">
        <v>0</v>
      </c>
      <c r="Z2259">
        <v>6.2</v>
      </c>
      <c r="AA2259">
        <v>2.3919752999999998E-2</v>
      </c>
      <c r="AB2259">
        <v>26.1</v>
      </c>
      <c r="AC2259">
        <v>11.744999999999999</v>
      </c>
      <c r="AD2259">
        <v>23</v>
      </c>
      <c r="AE2259" s="7"/>
      <c r="AF2259" s="7"/>
      <c r="AG2259" s="7"/>
      <c r="AH2259" s="7"/>
      <c r="AI2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259" s="7"/>
      <c r="AK2259" t="s">
        <v>1153</v>
      </c>
      <c r="AN2259">
        <f>IFERROR(INT(Table13[[#This Row],[reject_prod]]/Table13[[#This Row],[part_weight]] * 1000), 0)</f>
        <v>155</v>
      </c>
    </row>
    <row r="2260" spans="1:40">
      <c r="A2260" s="1">
        <v>46089</v>
      </c>
      <c r="B2260">
        <v>2</v>
      </c>
      <c r="C2260">
        <v>6</v>
      </c>
      <c r="D2260" t="s">
        <v>308</v>
      </c>
      <c r="E2260" t="s">
        <v>34</v>
      </c>
      <c r="F2260">
        <v>532981</v>
      </c>
      <c r="G2260" s="6">
        <v>0</v>
      </c>
      <c r="H2260" t="s">
        <v>233</v>
      </c>
      <c r="I2260">
        <v>10688648</v>
      </c>
      <c r="J2260">
        <v>4</v>
      </c>
      <c r="K2260">
        <v>24.45</v>
      </c>
      <c r="L2260">
        <v>24</v>
      </c>
      <c r="M2260">
        <v>1825</v>
      </c>
      <c r="N2260" s="2">
        <v>87552</v>
      </c>
      <c r="O2260" s="2">
        <v>1824</v>
      </c>
      <c r="P2260" s="2">
        <v>3648</v>
      </c>
      <c r="Q2260" s="2">
        <v>7300</v>
      </c>
      <c r="R2260" s="2">
        <v>5472</v>
      </c>
      <c r="S2260">
        <v>131.328</v>
      </c>
      <c r="T2260" s="2">
        <v>63840</v>
      </c>
      <c r="U2260" s="2">
        <v>23712</v>
      </c>
      <c r="V2260">
        <v>175.2</v>
      </c>
      <c r="W2260">
        <v>0</v>
      </c>
      <c r="X2260">
        <v>0</v>
      </c>
      <c r="Y2260">
        <v>0</v>
      </c>
      <c r="Z2260">
        <v>1</v>
      </c>
      <c r="AA2260">
        <v>5.7077630000000002E-3</v>
      </c>
      <c r="AB2260">
        <v>23</v>
      </c>
      <c r="AC2260">
        <v>11.659722220000001</v>
      </c>
      <c r="AD2260">
        <v>20</v>
      </c>
      <c r="AE2260" s="7"/>
      <c r="AF2260" s="7"/>
      <c r="AG2260" s="7"/>
      <c r="AH2260" s="7"/>
      <c r="AI22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0.3402777799999992</v>
      </c>
      <c r="AJ2260" s="7"/>
      <c r="AK2260" t="s">
        <v>214</v>
      </c>
      <c r="AN2260">
        <f>IFERROR(INT(Table13[[#This Row],[reject_prod]]/Table13[[#This Row],[part_weight]] * 1000), 0)</f>
        <v>41</v>
      </c>
    </row>
    <row r="2261" spans="1:40">
      <c r="A2261" s="1">
        <v>46089</v>
      </c>
      <c r="B2261">
        <v>2</v>
      </c>
      <c r="C2261">
        <v>7</v>
      </c>
      <c r="F2261">
        <v>123456</v>
      </c>
      <c r="G2261" s="6">
        <v>0</v>
      </c>
      <c r="M2261">
        <v>0</v>
      </c>
      <c r="N2261" s="2">
        <v>0</v>
      </c>
      <c r="O2261" s="2">
        <v>0</v>
      </c>
      <c r="P2261" s="2">
        <v>0</v>
      </c>
      <c r="Q2261" s="2"/>
      <c r="R2261" s="2">
        <v>0</v>
      </c>
      <c r="T2261" s="2">
        <v>0</v>
      </c>
      <c r="U2261" s="2"/>
      <c r="X2261">
        <v>0</v>
      </c>
      <c r="Z2261">
        <v>0</v>
      </c>
      <c r="AB2261">
        <v>0</v>
      </c>
      <c r="AC2261">
        <v>0</v>
      </c>
      <c r="AD2261">
        <v>0</v>
      </c>
      <c r="AE2261" s="7"/>
      <c r="AF2261" s="7"/>
      <c r="AG2261" s="7"/>
      <c r="AH2261" s="7"/>
      <c r="AI2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1" s="7">
        <v>12</v>
      </c>
      <c r="AK2261" t="s">
        <v>116</v>
      </c>
      <c r="AN2261">
        <f>IFERROR(INT(Table13[[#This Row],[reject_prod]]/Table13[[#This Row],[part_weight]] * 1000), 0)</f>
        <v>0</v>
      </c>
    </row>
    <row r="2262" spans="1:40">
      <c r="A2262" s="1">
        <v>46089</v>
      </c>
      <c r="B2262">
        <v>2</v>
      </c>
      <c r="C2262">
        <v>8</v>
      </c>
      <c r="F2262">
        <v>123456</v>
      </c>
      <c r="G2262" s="6">
        <v>0</v>
      </c>
      <c r="M2262">
        <v>0</v>
      </c>
      <c r="N2262" s="2">
        <v>0</v>
      </c>
      <c r="O2262" s="2">
        <v>0</v>
      </c>
      <c r="P2262" s="2">
        <v>0</v>
      </c>
      <c r="Q2262" s="2"/>
      <c r="R2262" s="2">
        <v>0</v>
      </c>
      <c r="T2262" s="2">
        <v>0</v>
      </c>
      <c r="U2262" s="2"/>
      <c r="X2262">
        <v>0</v>
      </c>
      <c r="Z2262">
        <v>0</v>
      </c>
      <c r="AB2262">
        <v>0</v>
      </c>
      <c r="AC2262">
        <v>0</v>
      </c>
      <c r="AD2262">
        <v>0</v>
      </c>
      <c r="AE2262" s="7"/>
      <c r="AF2262" s="7"/>
      <c r="AG2262" s="7"/>
      <c r="AH2262" s="7"/>
      <c r="AI2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2" s="7">
        <v>12</v>
      </c>
      <c r="AK2262" t="s">
        <v>116</v>
      </c>
      <c r="AN2262">
        <f>IFERROR(INT(Table13[[#This Row],[reject_prod]]/Table13[[#This Row],[part_weight]] * 1000), 0)</f>
        <v>0</v>
      </c>
    </row>
    <row r="2263" spans="1:40">
      <c r="A2263" s="1">
        <v>46089</v>
      </c>
      <c r="B2263">
        <v>2</v>
      </c>
      <c r="C2263">
        <v>9</v>
      </c>
      <c r="D2263" t="s">
        <v>88</v>
      </c>
      <c r="E2263" t="s">
        <v>46</v>
      </c>
      <c r="F2263">
        <v>586276</v>
      </c>
      <c r="G2263" s="6">
        <v>1</v>
      </c>
      <c r="H2263" t="s">
        <v>47</v>
      </c>
      <c r="I2263">
        <v>10686685</v>
      </c>
      <c r="J2263">
        <v>6</v>
      </c>
      <c r="K2263">
        <v>12.3</v>
      </c>
      <c r="L2263">
        <v>12.3</v>
      </c>
      <c r="M2263">
        <v>1620</v>
      </c>
      <c r="N2263" s="2">
        <v>162000</v>
      </c>
      <c r="O2263" s="2">
        <v>6480</v>
      </c>
      <c r="P2263" s="2">
        <v>0</v>
      </c>
      <c r="Q2263" s="2">
        <v>9720</v>
      </c>
      <c r="R2263" s="2">
        <v>16200</v>
      </c>
      <c r="S2263">
        <v>199.26</v>
      </c>
      <c r="T2263" s="2">
        <v>153900</v>
      </c>
      <c r="U2263" s="2">
        <v>8100</v>
      </c>
      <c r="V2263">
        <v>119.556</v>
      </c>
      <c r="W2263">
        <v>0</v>
      </c>
      <c r="X2263">
        <v>0</v>
      </c>
      <c r="Y2263">
        <v>0</v>
      </c>
      <c r="Z2263">
        <v>2</v>
      </c>
      <c r="AA2263">
        <v>1.6728561999999999E-2</v>
      </c>
      <c r="AB2263">
        <v>26.5</v>
      </c>
      <c r="AC2263">
        <v>11.925000000000001</v>
      </c>
      <c r="AD2263">
        <v>26</v>
      </c>
      <c r="AE2263" s="7"/>
      <c r="AF2263" s="7"/>
      <c r="AG2263" s="7"/>
      <c r="AH2263" s="7"/>
      <c r="AI2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263" s="7"/>
      <c r="AK2263" t="s">
        <v>51</v>
      </c>
      <c r="AN2263">
        <f>IFERROR(INT(Table13[[#This Row],[reject_prod]]/Table13[[#This Row],[part_weight]] * 1000), 0)</f>
        <v>162</v>
      </c>
    </row>
    <row r="2264" spans="1:40">
      <c r="A2264" s="1">
        <v>46089</v>
      </c>
      <c r="B2264">
        <v>2</v>
      </c>
      <c r="C2264">
        <v>10</v>
      </c>
      <c r="D2264" t="s">
        <v>139</v>
      </c>
      <c r="E2264" t="s">
        <v>34</v>
      </c>
      <c r="F2264">
        <v>414439</v>
      </c>
      <c r="G2264" s="6">
        <v>0</v>
      </c>
      <c r="H2264" t="s">
        <v>587</v>
      </c>
      <c r="I2264">
        <v>10688521</v>
      </c>
      <c r="J2264">
        <v>6</v>
      </c>
      <c r="K2264">
        <v>57</v>
      </c>
      <c r="L2264">
        <v>15</v>
      </c>
      <c r="M2264">
        <v>1760</v>
      </c>
      <c r="N2264" s="2">
        <v>206976</v>
      </c>
      <c r="O2264" s="2">
        <v>0</v>
      </c>
      <c r="P2264" s="2">
        <v>3080</v>
      </c>
      <c r="Q2264" s="2">
        <v>10560</v>
      </c>
      <c r="R2264" s="2">
        <v>7392</v>
      </c>
      <c r="S2264">
        <v>110.88</v>
      </c>
      <c r="T2264" s="2">
        <v>84392</v>
      </c>
      <c r="U2264" s="2">
        <v>122584</v>
      </c>
      <c r="V2264">
        <v>158.4</v>
      </c>
      <c r="W2264">
        <v>0</v>
      </c>
      <c r="X2264">
        <v>0</v>
      </c>
      <c r="Y2264">
        <v>0</v>
      </c>
      <c r="Z2264">
        <v>2.6</v>
      </c>
      <c r="AA2264">
        <v>1.6414141E-2</v>
      </c>
      <c r="AB2264">
        <v>23.7</v>
      </c>
      <c r="AC2264">
        <v>11.58666667</v>
      </c>
      <c r="AD2264">
        <v>15</v>
      </c>
      <c r="AE2264" s="7"/>
      <c r="AF2264" s="7"/>
      <c r="AG2264" s="7"/>
      <c r="AH2264" s="7"/>
      <c r="AI2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0.41333333000000039</v>
      </c>
      <c r="AJ2264" s="7"/>
      <c r="AK2264" t="s">
        <v>1154</v>
      </c>
      <c r="AN2264">
        <f>IFERROR(INT(Table13[[#This Row],[reject_prod]]/Table13[[#This Row],[part_weight]] * 1000), 0)</f>
        <v>173</v>
      </c>
    </row>
    <row r="2265" spans="1:40">
      <c r="A2265" s="1">
        <v>46089</v>
      </c>
      <c r="B2265">
        <v>2</v>
      </c>
      <c r="C2265">
        <v>11</v>
      </c>
      <c r="D2265" t="s">
        <v>208</v>
      </c>
      <c r="E2265" t="s">
        <v>46</v>
      </c>
      <c r="F2265">
        <v>552181</v>
      </c>
      <c r="G2265" s="6">
        <v>1</v>
      </c>
      <c r="H2265" t="s">
        <v>49</v>
      </c>
      <c r="I2265">
        <v>10688069</v>
      </c>
      <c r="J2265">
        <v>6</v>
      </c>
      <c r="K2265">
        <v>14.7</v>
      </c>
      <c r="L2265">
        <v>14.7</v>
      </c>
      <c r="M2265">
        <v>1620</v>
      </c>
      <c r="N2265" s="2">
        <v>108000</v>
      </c>
      <c r="O2265" s="2">
        <v>1350</v>
      </c>
      <c r="P2265" s="2">
        <v>270</v>
      </c>
      <c r="Q2265" s="2">
        <v>9720</v>
      </c>
      <c r="R2265" s="2">
        <v>10800</v>
      </c>
      <c r="S2265">
        <v>158.76</v>
      </c>
      <c r="T2265" s="2">
        <v>81270</v>
      </c>
      <c r="U2265" s="2">
        <v>26730</v>
      </c>
      <c r="V2265">
        <v>142.88399999999999</v>
      </c>
      <c r="W2265">
        <v>0</v>
      </c>
      <c r="X2265">
        <v>0</v>
      </c>
      <c r="Y2265">
        <v>0</v>
      </c>
      <c r="Z2265">
        <v>1</v>
      </c>
      <c r="AA2265">
        <v>6.9986839999999998E-3</v>
      </c>
      <c r="AB2265">
        <v>28.46</v>
      </c>
      <c r="AC2265">
        <v>12</v>
      </c>
      <c r="AD2265">
        <v>27</v>
      </c>
      <c r="AE2265" s="7"/>
      <c r="AF2265" s="7"/>
      <c r="AG2265" s="7"/>
      <c r="AH2265" s="7"/>
      <c r="AI2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5" s="7"/>
      <c r="AK2265" t="s">
        <v>51</v>
      </c>
      <c r="AN2265">
        <f>IFERROR(INT(Table13[[#This Row],[reject_prod]]/Table13[[#This Row],[part_weight]] * 1000), 0)</f>
        <v>68</v>
      </c>
    </row>
    <row r="2266" spans="1:40">
      <c r="A2266" s="1">
        <v>46089</v>
      </c>
      <c r="B2266">
        <v>2</v>
      </c>
      <c r="C2266">
        <v>12</v>
      </c>
      <c r="D2266" t="s">
        <v>33</v>
      </c>
      <c r="E2266" t="s">
        <v>46</v>
      </c>
      <c r="F2266">
        <v>555979</v>
      </c>
      <c r="G2266" s="6">
        <v>1</v>
      </c>
      <c r="H2266" t="s">
        <v>52</v>
      </c>
      <c r="I2266">
        <v>10689126</v>
      </c>
      <c r="J2266">
        <v>6</v>
      </c>
      <c r="K2266">
        <v>28</v>
      </c>
      <c r="L2266">
        <v>28</v>
      </c>
      <c r="M2266">
        <v>0</v>
      </c>
      <c r="N2266" s="2">
        <v>100800</v>
      </c>
      <c r="O2266" s="2">
        <v>0</v>
      </c>
      <c r="P2266" s="2">
        <v>0</v>
      </c>
      <c r="Q2266" s="2">
        <v>0</v>
      </c>
      <c r="R2266" s="2">
        <v>0</v>
      </c>
      <c r="S2266">
        <v>0</v>
      </c>
      <c r="T2266" s="2">
        <v>0</v>
      </c>
      <c r="U2266" s="2">
        <v>100800</v>
      </c>
      <c r="V2266">
        <v>0</v>
      </c>
      <c r="W2266">
        <v>0</v>
      </c>
      <c r="X2266">
        <v>5</v>
      </c>
      <c r="Y2266" t="e">
        <v>#DIV/0!</v>
      </c>
      <c r="Z2266">
        <v>0</v>
      </c>
      <c r="AA2266" t="e">
        <v>#DIV/0!</v>
      </c>
      <c r="AB2266">
        <v>28.8</v>
      </c>
      <c r="AC2266">
        <v>0</v>
      </c>
      <c r="AD2266">
        <v>42</v>
      </c>
      <c r="AE2266" s="7"/>
      <c r="AF2266" s="7"/>
      <c r="AG2266" s="7"/>
      <c r="AH2266" s="7"/>
      <c r="AI2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66" s="7"/>
      <c r="AK2266" t="s">
        <v>1146</v>
      </c>
      <c r="AN2266">
        <f>IFERROR(INT(Table13[[#This Row],[reject_prod]]/Table13[[#This Row],[part_weight]] * 1000), 0)</f>
        <v>0</v>
      </c>
    </row>
    <row r="2267" spans="1:40">
      <c r="A2267" s="1">
        <v>46089</v>
      </c>
      <c r="B2267">
        <v>2</v>
      </c>
      <c r="C2267">
        <v>13</v>
      </c>
      <c r="D2267" t="s">
        <v>208</v>
      </c>
      <c r="E2267" t="s">
        <v>46</v>
      </c>
      <c r="F2267">
        <v>586276</v>
      </c>
      <c r="G2267" s="6">
        <v>2</v>
      </c>
      <c r="H2267" t="s">
        <v>47</v>
      </c>
      <c r="I2267">
        <v>10688946</v>
      </c>
      <c r="J2267">
        <v>6</v>
      </c>
      <c r="K2267">
        <v>12.3</v>
      </c>
      <c r="L2267">
        <v>12.3</v>
      </c>
      <c r="M2267">
        <v>1590</v>
      </c>
      <c r="N2267" s="2">
        <v>162000</v>
      </c>
      <c r="O2267" s="2">
        <v>4860</v>
      </c>
      <c r="P2267" s="2">
        <v>6075</v>
      </c>
      <c r="Q2267" s="2">
        <v>9540</v>
      </c>
      <c r="R2267" s="2">
        <v>8100</v>
      </c>
      <c r="S2267">
        <v>99.63</v>
      </c>
      <c r="T2267" s="2">
        <v>50400</v>
      </c>
      <c r="U2267" s="2">
        <v>111600</v>
      </c>
      <c r="V2267">
        <v>117.342</v>
      </c>
      <c r="W2267">
        <v>0</v>
      </c>
      <c r="X2267">
        <v>0</v>
      </c>
      <c r="Y2267">
        <v>0</v>
      </c>
      <c r="Z2267">
        <v>2</v>
      </c>
      <c r="AA2267">
        <v>1.7044196000000001E-2</v>
      </c>
      <c r="AB2267">
        <v>26.2</v>
      </c>
      <c r="AC2267">
        <v>11.571666670000001</v>
      </c>
      <c r="AD2267">
        <v>26</v>
      </c>
      <c r="AE2267" s="7"/>
      <c r="AF2267" s="7"/>
      <c r="AG2267" s="7"/>
      <c r="AH2267" s="7"/>
      <c r="AI2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267" s="7"/>
      <c r="AK2267" t="s">
        <v>51</v>
      </c>
      <c r="AN2267">
        <f>IFERROR(INT(Table13[[#This Row],[reject_prod]]/Table13[[#This Row],[part_weight]] * 1000), 0)</f>
        <v>162</v>
      </c>
    </row>
    <row r="2268" spans="1:40">
      <c r="A2268" s="1">
        <v>46089</v>
      </c>
      <c r="B2268">
        <v>2</v>
      </c>
      <c r="C2268">
        <v>14</v>
      </c>
      <c r="D2268" t="s">
        <v>59</v>
      </c>
      <c r="E2268" t="s">
        <v>34</v>
      </c>
      <c r="F2268">
        <v>541381</v>
      </c>
      <c r="G2268" s="6">
        <v>0</v>
      </c>
      <c r="H2268" t="s">
        <v>804</v>
      </c>
      <c r="I2268">
        <v>10688073</v>
      </c>
      <c r="J2268">
        <v>4</v>
      </c>
      <c r="K2268">
        <v>55</v>
      </c>
      <c r="L2268">
        <v>55</v>
      </c>
      <c r="M2268">
        <v>1600</v>
      </c>
      <c r="N2268" s="2">
        <v>84000</v>
      </c>
      <c r="O2268" s="2">
        <v>0</v>
      </c>
      <c r="P2268" s="2">
        <v>0</v>
      </c>
      <c r="Q2268" s="2">
        <v>6400</v>
      </c>
      <c r="R2268" s="2">
        <v>6300</v>
      </c>
      <c r="S2268">
        <v>346.5</v>
      </c>
      <c r="T2268" s="2">
        <v>75600</v>
      </c>
      <c r="U2268" s="2">
        <v>8400</v>
      </c>
      <c r="V2268">
        <v>352</v>
      </c>
      <c r="W2268">
        <v>0</v>
      </c>
      <c r="X2268">
        <v>0</v>
      </c>
      <c r="Y2268">
        <v>0</v>
      </c>
      <c r="Z2268">
        <v>1.2</v>
      </c>
      <c r="AA2268">
        <v>3.4090909999999999E-3</v>
      </c>
      <c r="AB2268">
        <v>27.3</v>
      </c>
      <c r="AC2268">
        <v>12</v>
      </c>
      <c r="AD2268">
        <v>30.08</v>
      </c>
      <c r="AE2268" s="7"/>
      <c r="AF2268" s="7"/>
      <c r="AG2268" s="7"/>
      <c r="AH2268" s="7"/>
      <c r="AI2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8" s="7"/>
      <c r="AK2268" t="s">
        <v>178</v>
      </c>
      <c r="AN2268">
        <f>IFERROR(INT(Table13[[#This Row],[reject_prod]]/Table13[[#This Row],[part_weight]] * 1000), 0)</f>
        <v>21</v>
      </c>
    </row>
    <row r="2269" spans="1:40">
      <c r="A2269" s="1">
        <v>46089</v>
      </c>
      <c r="B2269">
        <v>2</v>
      </c>
      <c r="C2269">
        <v>15</v>
      </c>
      <c r="D2269" t="s">
        <v>208</v>
      </c>
      <c r="E2269" t="s">
        <v>46</v>
      </c>
      <c r="F2269">
        <v>552181</v>
      </c>
      <c r="G2269" s="6">
        <v>2</v>
      </c>
      <c r="H2269" t="s">
        <v>49</v>
      </c>
      <c r="I2269">
        <v>10686680</v>
      </c>
      <c r="J2269">
        <v>6</v>
      </c>
      <c r="K2269">
        <v>14.7</v>
      </c>
      <c r="L2269">
        <v>14.7</v>
      </c>
      <c r="M2269">
        <v>1380</v>
      </c>
      <c r="N2269" s="2">
        <v>108000</v>
      </c>
      <c r="O2269" s="2">
        <v>0</v>
      </c>
      <c r="P2269" s="2">
        <v>2700</v>
      </c>
      <c r="Q2269" s="2">
        <v>8280</v>
      </c>
      <c r="R2269" s="2">
        <v>5400</v>
      </c>
      <c r="S2269">
        <v>79.38</v>
      </c>
      <c r="T2269" s="2">
        <v>78300</v>
      </c>
      <c r="U2269" s="2">
        <v>29700</v>
      </c>
      <c r="V2269">
        <v>121.71599999999999</v>
      </c>
      <c r="W2269">
        <v>0</v>
      </c>
      <c r="X2269">
        <v>0</v>
      </c>
      <c r="Y2269">
        <v>0</v>
      </c>
      <c r="Z2269">
        <v>2.4</v>
      </c>
      <c r="AA2269">
        <v>1.9718032E-2</v>
      </c>
      <c r="AB2269">
        <v>30.6</v>
      </c>
      <c r="AC2269">
        <v>11.73</v>
      </c>
      <c r="AD2269">
        <v>27</v>
      </c>
      <c r="AE2269" s="7"/>
      <c r="AF2269" s="7"/>
      <c r="AG2269" s="7"/>
      <c r="AH2269" s="7"/>
      <c r="AI2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269" s="7"/>
      <c r="AK2269" t="s">
        <v>51</v>
      </c>
      <c r="AN2269">
        <f>IFERROR(INT(Table13[[#This Row],[reject_prod]]/Table13[[#This Row],[part_weight]] * 1000), 0)</f>
        <v>163</v>
      </c>
    </row>
    <row r="2270" spans="1:40">
      <c r="A2270" s="1">
        <v>46089</v>
      </c>
      <c r="B2270">
        <v>2</v>
      </c>
      <c r="C2270">
        <v>16</v>
      </c>
      <c r="D2270" t="s">
        <v>134</v>
      </c>
      <c r="E2270" t="s">
        <v>46</v>
      </c>
      <c r="F2270">
        <v>555979</v>
      </c>
      <c r="G2270" s="6">
        <v>2</v>
      </c>
      <c r="H2270" t="s">
        <v>52</v>
      </c>
      <c r="I2270">
        <v>10688074</v>
      </c>
      <c r="J2270">
        <v>6</v>
      </c>
      <c r="K2270">
        <v>28</v>
      </c>
      <c r="L2270">
        <v>28</v>
      </c>
      <c r="M2270">
        <v>1064</v>
      </c>
      <c r="N2270" s="2">
        <v>100800</v>
      </c>
      <c r="O2270" s="2">
        <v>2520</v>
      </c>
      <c r="P2270" s="2">
        <v>2184</v>
      </c>
      <c r="Q2270" s="2">
        <v>6384</v>
      </c>
      <c r="R2270" s="2">
        <v>6720</v>
      </c>
      <c r="S2270">
        <v>188.16</v>
      </c>
      <c r="T2270" s="2">
        <v>15624</v>
      </c>
      <c r="U2270" s="2">
        <v>85176</v>
      </c>
      <c r="V2270">
        <v>178.75200000000001</v>
      </c>
      <c r="W2270">
        <v>0</v>
      </c>
      <c r="X2270">
        <v>0</v>
      </c>
      <c r="Y2270">
        <v>0</v>
      </c>
      <c r="Z2270">
        <v>0.5</v>
      </c>
      <c r="AA2270">
        <v>2.7971720000000001E-3</v>
      </c>
      <c r="AB2270">
        <v>40.5</v>
      </c>
      <c r="AC2270">
        <v>11.97</v>
      </c>
      <c r="AD2270">
        <v>42</v>
      </c>
      <c r="AE2270" s="7"/>
      <c r="AF2270" s="7"/>
      <c r="AG2270" s="7"/>
      <c r="AH2270" s="7"/>
      <c r="AI2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270" s="7"/>
      <c r="AK2270" t="s">
        <v>51</v>
      </c>
      <c r="AN2270">
        <f>IFERROR(INT(Table13[[#This Row],[reject_prod]]/Table13[[#This Row],[part_weight]] * 1000), 0)</f>
        <v>17</v>
      </c>
    </row>
    <row r="2271" spans="1:40">
      <c r="A2271" s="1">
        <v>46090</v>
      </c>
      <c r="B2271">
        <v>1</v>
      </c>
      <c r="C2271">
        <v>1</v>
      </c>
      <c r="D2271" t="s">
        <v>67</v>
      </c>
      <c r="E2271" t="s">
        <v>34</v>
      </c>
      <c r="F2271">
        <v>577492</v>
      </c>
      <c r="G2271" s="6">
        <v>0</v>
      </c>
      <c r="H2271" t="s">
        <v>341</v>
      </c>
      <c r="I2271">
        <v>10688947</v>
      </c>
      <c r="J2271">
        <v>4</v>
      </c>
      <c r="K2271">
        <v>35.6</v>
      </c>
      <c r="L2271">
        <v>35.6</v>
      </c>
      <c r="M2271">
        <v>1610</v>
      </c>
      <c r="N2271" s="2">
        <v>80960</v>
      </c>
      <c r="O2271" s="2">
        <v>1104</v>
      </c>
      <c r="P2271" s="2">
        <v>184</v>
      </c>
      <c r="Q2271" s="2">
        <v>6440</v>
      </c>
      <c r="R2271" s="2">
        <v>7360</v>
      </c>
      <c r="S2271">
        <v>262.01600000000002</v>
      </c>
      <c r="T2271" s="2">
        <v>37352</v>
      </c>
      <c r="U2271" s="2">
        <v>43608</v>
      </c>
      <c r="V2271">
        <v>229.26400000000001</v>
      </c>
      <c r="W2271">
        <v>0</v>
      </c>
      <c r="X2271">
        <v>0</v>
      </c>
      <c r="Y2271">
        <v>0</v>
      </c>
      <c r="Z2271">
        <v>0.5</v>
      </c>
      <c r="AA2271">
        <v>2.1808919999999998E-3</v>
      </c>
      <c r="AB2271">
        <v>26</v>
      </c>
      <c r="AC2271">
        <v>11.627777780000001</v>
      </c>
      <c r="AD2271">
        <v>27</v>
      </c>
      <c r="AE2271" s="7"/>
      <c r="AF2271" s="7"/>
      <c r="AG2271" s="7"/>
      <c r="AH2271" s="7"/>
      <c r="AI2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0.37222221999999938</v>
      </c>
      <c r="AJ2271" s="7"/>
      <c r="AK2271" t="s">
        <v>51</v>
      </c>
      <c r="AL2271">
        <v>1</v>
      </c>
      <c r="AM2271">
        <v>1</v>
      </c>
      <c r="AN2271">
        <f>IFERROR(INT(Table13[[#This Row],[reject_prod]]/Table13[[#This Row],[part_weight]] * 1000), 0)</f>
        <v>14</v>
      </c>
    </row>
    <row r="2272" spans="1:40">
      <c r="A2272" s="1">
        <v>46090</v>
      </c>
      <c r="B2272">
        <v>1</v>
      </c>
      <c r="C2272">
        <v>2</v>
      </c>
      <c r="D2272" t="s">
        <v>40</v>
      </c>
      <c r="E2272" t="s">
        <v>34</v>
      </c>
      <c r="F2272">
        <v>463202</v>
      </c>
      <c r="G2272" s="6">
        <v>0</v>
      </c>
      <c r="H2272" t="s">
        <v>320</v>
      </c>
      <c r="I2272">
        <v>10688493</v>
      </c>
      <c r="J2272">
        <v>4</v>
      </c>
      <c r="K2272">
        <v>23</v>
      </c>
      <c r="L2272">
        <v>23</v>
      </c>
      <c r="M2272">
        <v>1890</v>
      </c>
      <c r="N2272" s="2">
        <v>40920</v>
      </c>
      <c r="O2272" s="2">
        <v>0</v>
      </c>
      <c r="P2272" s="2">
        <v>1860</v>
      </c>
      <c r="Q2272" s="2">
        <v>7560</v>
      </c>
      <c r="R2272" s="2">
        <v>5580</v>
      </c>
      <c r="S2272">
        <v>128.34</v>
      </c>
      <c r="T2272" s="2">
        <v>18600</v>
      </c>
      <c r="U2272" s="2">
        <v>22320</v>
      </c>
      <c r="V2272">
        <v>173.88</v>
      </c>
      <c r="W2272">
        <v>0</v>
      </c>
      <c r="X2272">
        <v>0</v>
      </c>
      <c r="Y2272">
        <v>0</v>
      </c>
      <c r="Z2272">
        <v>2.8</v>
      </c>
      <c r="AA2272">
        <v>1.6103059999999999E-2</v>
      </c>
      <c r="AB2272">
        <v>21.98</v>
      </c>
      <c r="AC2272">
        <v>11.5395</v>
      </c>
      <c r="AD2272">
        <v>22.92</v>
      </c>
      <c r="AE2272" s="7"/>
      <c r="AF2272" s="7"/>
      <c r="AG2272" s="7"/>
      <c r="AH2272" s="7"/>
      <c r="AI2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0.46049999999999969</v>
      </c>
      <c r="AJ2272" s="7"/>
      <c r="AK2272" t="s">
        <v>214</v>
      </c>
      <c r="AL2272">
        <v>2</v>
      </c>
      <c r="AM2272">
        <v>1</v>
      </c>
      <c r="AN2272">
        <f>IFERROR(INT(Table13[[#This Row],[reject_prod]]/Table13[[#This Row],[part_weight]] * 1000), 0)</f>
        <v>121</v>
      </c>
    </row>
    <row r="2273" spans="1:40">
      <c r="A2273" s="1">
        <v>46090</v>
      </c>
      <c r="B2273">
        <v>1</v>
      </c>
      <c r="C2273">
        <v>3</v>
      </c>
      <c r="D2273" t="s">
        <v>141</v>
      </c>
      <c r="E2273" t="s">
        <v>34</v>
      </c>
      <c r="F2273">
        <v>442034</v>
      </c>
      <c r="G2273" s="6">
        <v>0</v>
      </c>
      <c r="H2273" t="s">
        <v>37</v>
      </c>
      <c r="I2273">
        <v>10685635</v>
      </c>
      <c r="J2273">
        <v>4</v>
      </c>
      <c r="K2273">
        <v>23</v>
      </c>
      <c r="L2273">
        <v>23</v>
      </c>
      <c r="M2273">
        <v>1672</v>
      </c>
      <c r="N2273" s="2">
        <v>139776</v>
      </c>
      <c r="O2273" s="2">
        <v>1536</v>
      </c>
      <c r="P2273" s="2">
        <v>3456</v>
      </c>
      <c r="Q2273" s="2">
        <v>6688</v>
      </c>
      <c r="R2273" s="2">
        <v>4608</v>
      </c>
      <c r="S2273">
        <v>105.98399999999999</v>
      </c>
      <c r="T2273" s="2">
        <v>58752</v>
      </c>
      <c r="U2273" s="2">
        <v>81024</v>
      </c>
      <c r="V2273">
        <v>153.82400000000001</v>
      </c>
      <c r="W2273">
        <v>0</v>
      </c>
      <c r="X2273">
        <v>0</v>
      </c>
      <c r="Y2273">
        <v>0</v>
      </c>
      <c r="Z2273">
        <v>3.7</v>
      </c>
      <c r="AA2273">
        <v>2.4053464E-2</v>
      </c>
      <c r="AB2273">
        <v>26.1</v>
      </c>
      <c r="AC2273">
        <v>12</v>
      </c>
      <c r="AD2273">
        <v>22</v>
      </c>
      <c r="AE2273" s="7"/>
      <c r="AF2273" s="7"/>
      <c r="AG2273" s="7"/>
      <c r="AH2273" s="7"/>
      <c r="AI2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73" s="7"/>
      <c r="AK2273" t="s">
        <v>1155</v>
      </c>
      <c r="AL2273">
        <v>2</v>
      </c>
      <c r="AM2273">
        <v>2</v>
      </c>
      <c r="AN2273">
        <f>IFERROR(INT(Table13[[#This Row],[reject_prod]]/Table13[[#This Row],[part_weight]] * 1000), 0)</f>
        <v>160</v>
      </c>
    </row>
    <row r="2274" spans="1:40">
      <c r="A2274" s="1">
        <v>46090</v>
      </c>
      <c r="B2274">
        <v>1</v>
      </c>
      <c r="C2274">
        <v>4</v>
      </c>
      <c r="D2274" t="s">
        <v>152</v>
      </c>
      <c r="E2274" t="s">
        <v>34</v>
      </c>
      <c r="F2274">
        <v>426555</v>
      </c>
      <c r="G2274" s="6">
        <v>0</v>
      </c>
      <c r="H2274" t="s">
        <v>1128</v>
      </c>
      <c r="I2274">
        <v>10688066</v>
      </c>
      <c r="J2274">
        <v>4</v>
      </c>
      <c r="K2274">
        <v>29</v>
      </c>
      <c r="L2274">
        <v>29</v>
      </c>
      <c r="M2274">
        <v>1747</v>
      </c>
      <c r="N2274" s="2">
        <v>81600</v>
      </c>
      <c r="O2274" s="2">
        <v>510</v>
      </c>
      <c r="P2274" s="2">
        <v>340</v>
      </c>
      <c r="Q2274" s="2">
        <v>6988</v>
      </c>
      <c r="R2274" s="2">
        <v>7140</v>
      </c>
      <c r="S2274">
        <v>207.06</v>
      </c>
      <c r="T2274" s="2">
        <v>14620</v>
      </c>
      <c r="U2274" s="2">
        <v>66980</v>
      </c>
      <c r="V2274">
        <v>202.65199999999999</v>
      </c>
      <c r="W2274">
        <v>0</v>
      </c>
      <c r="X2274">
        <v>0</v>
      </c>
      <c r="Y2274">
        <v>0</v>
      </c>
      <c r="Z2274">
        <v>0.5</v>
      </c>
      <c r="AA2274">
        <v>2.4672840000000001E-3</v>
      </c>
      <c r="AB2274">
        <v>24.6</v>
      </c>
      <c r="AC2274">
        <v>11.93783333</v>
      </c>
      <c r="AD2274">
        <v>22.72</v>
      </c>
      <c r="AE2274" s="7"/>
      <c r="AF2274" s="7"/>
      <c r="AG2274" s="7"/>
      <c r="AH2274" s="7"/>
      <c r="AI2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6.2166669999999868E-2</v>
      </c>
      <c r="AJ2274" s="7"/>
      <c r="AK2274" t="s">
        <v>214</v>
      </c>
      <c r="AL2274">
        <v>2</v>
      </c>
      <c r="AM2274">
        <v>2</v>
      </c>
      <c r="AN2274">
        <f>IFERROR(INT(Table13[[#This Row],[reject_prod]]/Table13[[#This Row],[part_weight]] * 1000), 0)</f>
        <v>17</v>
      </c>
    </row>
    <row r="2275" spans="1:40">
      <c r="A2275" s="1">
        <v>46090</v>
      </c>
      <c r="B2275">
        <v>1</v>
      </c>
      <c r="C2275">
        <v>5</v>
      </c>
      <c r="D2275" t="s">
        <v>717</v>
      </c>
      <c r="E2275" t="s">
        <v>34</v>
      </c>
      <c r="F2275">
        <v>322448</v>
      </c>
      <c r="G2275" s="6">
        <v>0</v>
      </c>
      <c r="H2275" t="s">
        <v>654</v>
      </c>
      <c r="I2275">
        <v>10687753</v>
      </c>
      <c r="J2275">
        <v>4</v>
      </c>
      <c r="K2275">
        <v>40</v>
      </c>
      <c r="L2275">
        <v>40</v>
      </c>
      <c r="M2275">
        <v>1660</v>
      </c>
      <c r="N2275" s="2">
        <v>174960</v>
      </c>
      <c r="O2275" s="2">
        <v>0</v>
      </c>
      <c r="P2275" s="2">
        <v>0</v>
      </c>
      <c r="Q2275" s="2">
        <v>6640</v>
      </c>
      <c r="R2275" s="2">
        <v>6480</v>
      </c>
      <c r="S2275">
        <v>259.2</v>
      </c>
      <c r="T2275" s="2">
        <v>132840</v>
      </c>
      <c r="U2275" s="2">
        <v>42120</v>
      </c>
      <c r="V2275">
        <v>265.60000000000002</v>
      </c>
      <c r="W2275">
        <v>0</v>
      </c>
      <c r="X2275">
        <v>0</v>
      </c>
      <c r="Y2275">
        <v>0</v>
      </c>
      <c r="Z2275">
        <v>6.4</v>
      </c>
      <c r="AA2275">
        <v>2.4096386000000001E-2</v>
      </c>
      <c r="AB2275">
        <v>26.1</v>
      </c>
      <c r="AC2275">
        <v>12</v>
      </c>
      <c r="AD2275">
        <v>23</v>
      </c>
      <c r="AE2275" s="7"/>
      <c r="AF2275" s="7"/>
      <c r="AG2275" s="7"/>
      <c r="AH2275" s="7"/>
      <c r="AI2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75" s="7"/>
      <c r="AK2275" t="s">
        <v>356</v>
      </c>
      <c r="AM2275">
        <v>3</v>
      </c>
      <c r="AN2275">
        <f>IFERROR(INT(Table13[[#This Row],[reject_prod]]/Table13[[#This Row],[part_weight]] * 1000), 0)</f>
        <v>160</v>
      </c>
    </row>
    <row r="2276" spans="1:40">
      <c r="A2276" s="1">
        <v>46090</v>
      </c>
      <c r="B2276">
        <v>1</v>
      </c>
      <c r="C2276">
        <v>6</v>
      </c>
      <c r="D2276" t="s">
        <v>173</v>
      </c>
      <c r="E2276" t="s">
        <v>34</v>
      </c>
      <c r="F2276">
        <v>532981</v>
      </c>
      <c r="G2276" s="6">
        <v>0</v>
      </c>
      <c r="H2276" t="s">
        <v>233</v>
      </c>
      <c r="I2276">
        <v>10688648</v>
      </c>
      <c r="J2276">
        <v>4</v>
      </c>
      <c r="K2276">
        <v>24.45</v>
      </c>
      <c r="L2276">
        <v>24</v>
      </c>
      <c r="M2276">
        <v>1824</v>
      </c>
      <c r="N2276" s="2">
        <v>87552</v>
      </c>
      <c r="O2276" s="2">
        <v>3648</v>
      </c>
      <c r="P2276" s="2">
        <v>0</v>
      </c>
      <c r="Q2276" s="2">
        <v>7296</v>
      </c>
      <c r="R2276" s="2">
        <v>10944</v>
      </c>
      <c r="S2276">
        <v>262.65600000000001</v>
      </c>
      <c r="T2276" s="2">
        <v>71136</v>
      </c>
      <c r="U2276" s="2">
        <v>16416</v>
      </c>
      <c r="V2276">
        <v>175.10400000000001</v>
      </c>
      <c r="W2276">
        <v>0</v>
      </c>
      <c r="X2276">
        <v>0</v>
      </c>
      <c r="Y2276">
        <v>0</v>
      </c>
      <c r="Z2276">
        <v>1</v>
      </c>
      <c r="AA2276">
        <v>5.7108920000000004E-3</v>
      </c>
      <c r="AB2276">
        <v>23.2</v>
      </c>
      <c r="AC2276">
        <v>11.754666670000001</v>
      </c>
      <c r="AD2276">
        <v>20</v>
      </c>
      <c r="AE2276" s="7"/>
      <c r="AF2276" s="7"/>
      <c r="AG2276" s="7"/>
      <c r="AH2276" s="7"/>
      <c r="AI2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0.24533332999999935</v>
      </c>
      <c r="AJ2276" s="7"/>
      <c r="AK2276" t="s">
        <v>214</v>
      </c>
      <c r="AN2276">
        <f>IFERROR(INT(Table13[[#This Row],[reject_prod]]/Table13[[#This Row],[part_weight]] * 1000), 0)</f>
        <v>41</v>
      </c>
    </row>
    <row r="2277" spans="1:40">
      <c r="A2277" s="1">
        <v>46090</v>
      </c>
      <c r="B2277">
        <v>1</v>
      </c>
      <c r="C2277">
        <v>7</v>
      </c>
      <c r="D2277" t="s">
        <v>1156</v>
      </c>
      <c r="E2277" t="s">
        <v>34</v>
      </c>
      <c r="F2277">
        <v>322452</v>
      </c>
      <c r="G2277" s="6">
        <v>0</v>
      </c>
      <c r="H2277" t="s">
        <v>374</v>
      </c>
      <c r="I2277">
        <v>10689204</v>
      </c>
      <c r="J2277">
        <v>4</v>
      </c>
      <c r="K2277">
        <v>33.11</v>
      </c>
      <c r="L2277">
        <v>34.5</v>
      </c>
      <c r="M2277">
        <v>1439</v>
      </c>
      <c r="N2277" s="2">
        <v>49920</v>
      </c>
      <c r="O2277" s="2">
        <v>0</v>
      </c>
      <c r="P2277" s="2">
        <v>624</v>
      </c>
      <c r="Q2277" s="2">
        <v>5756</v>
      </c>
      <c r="R2277" s="2">
        <v>4992</v>
      </c>
      <c r="S2277">
        <v>172.22399999999999</v>
      </c>
      <c r="T2277" s="2">
        <v>33072</v>
      </c>
      <c r="U2277" s="2">
        <v>16848</v>
      </c>
      <c r="V2277">
        <v>198.58199999999999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22.9</v>
      </c>
      <c r="AC2277">
        <v>9.1536388889999998</v>
      </c>
      <c r="AD2277">
        <v>18.04</v>
      </c>
      <c r="AE2277" s="7"/>
      <c r="AF2277" s="7"/>
      <c r="AG2277" s="7"/>
      <c r="AH2277" s="7"/>
      <c r="AI2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2.8463611110000002</v>
      </c>
      <c r="AJ2277" s="7"/>
      <c r="AK2277" t="s">
        <v>79</v>
      </c>
      <c r="AL2277">
        <v>3</v>
      </c>
      <c r="AM2277">
        <v>2</v>
      </c>
      <c r="AN2277">
        <f>IFERROR(INT(Table13[[#This Row],[reject_prod]]/Table13[[#This Row],[part_weight]] * 1000), 0)</f>
        <v>0</v>
      </c>
    </row>
    <row r="2278" spans="1:40">
      <c r="A2278" s="1">
        <v>46090</v>
      </c>
      <c r="B2278">
        <v>1</v>
      </c>
      <c r="C2278">
        <v>8</v>
      </c>
      <c r="D2278" t="s">
        <v>33</v>
      </c>
      <c r="E2278" t="s">
        <v>41</v>
      </c>
      <c r="F2278">
        <v>593537</v>
      </c>
      <c r="G2278" s="6">
        <v>0</v>
      </c>
      <c r="H2278" t="s">
        <v>48</v>
      </c>
      <c r="I2278">
        <v>10688067</v>
      </c>
      <c r="J2278">
        <v>4</v>
      </c>
      <c r="K2278">
        <v>56.5</v>
      </c>
      <c r="L2278">
        <v>56.8</v>
      </c>
      <c r="M2278">
        <v>0</v>
      </c>
      <c r="N2278" s="2">
        <v>69000</v>
      </c>
      <c r="O2278" s="2">
        <v>0</v>
      </c>
      <c r="P2278" s="2">
        <v>0</v>
      </c>
      <c r="Q2278" s="2">
        <v>0</v>
      </c>
      <c r="R2278" s="2">
        <v>0</v>
      </c>
      <c r="S2278">
        <v>0</v>
      </c>
      <c r="T2278" s="2">
        <v>0</v>
      </c>
      <c r="U2278" s="2">
        <v>69000</v>
      </c>
      <c r="V2278">
        <v>0</v>
      </c>
      <c r="W2278">
        <v>0</v>
      </c>
      <c r="X2278">
        <v>0</v>
      </c>
      <c r="Y2278" t="e">
        <v>#DIV/0!</v>
      </c>
      <c r="Z2278">
        <v>0</v>
      </c>
      <c r="AA2278" t="e">
        <v>#DIV/0!</v>
      </c>
      <c r="AB2278">
        <v>29</v>
      </c>
      <c r="AC2278">
        <v>0</v>
      </c>
      <c r="AD2278">
        <v>28.5</v>
      </c>
      <c r="AE2278" s="7"/>
      <c r="AF2278" s="7"/>
      <c r="AG2278" s="7"/>
      <c r="AH2278" s="7"/>
      <c r="AI2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78" s="7"/>
      <c r="AK2278" t="s">
        <v>1157</v>
      </c>
      <c r="AN2278">
        <f>IFERROR(INT(Table13[[#This Row],[reject_prod]]/Table13[[#This Row],[part_weight]] * 1000), 0)</f>
        <v>0</v>
      </c>
    </row>
    <row r="2279" spans="1:40">
      <c r="A2279" s="1">
        <v>46090</v>
      </c>
      <c r="B2279">
        <v>1</v>
      </c>
      <c r="C2279">
        <v>9</v>
      </c>
      <c r="D2279" t="s">
        <v>112</v>
      </c>
      <c r="E2279" t="s">
        <v>46</v>
      </c>
      <c r="F2279">
        <v>586276</v>
      </c>
      <c r="G2279" s="6">
        <v>1</v>
      </c>
      <c r="H2279" t="s">
        <v>47</v>
      </c>
      <c r="I2279">
        <v>10686685</v>
      </c>
      <c r="J2279">
        <v>6</v>
      </c>
      <c r="K2279">
        <v>12.3</v>
      </c>
      <c r="L2279">
        <v>12.3</v>
      </c>
      <c r="M2279">
        <v>1361</v>
      </c>
      <c r="N2279" s="2">
        <v>162000</v>
      </c>
      <c r="O2279" s="2">
        <v>0</v>
      </c>
      <c r="P2279" s="2">
        <v>0</v>
      </c>
      <c r="Q2279" s="2">
        <v>8166</v>
      </c>
      <c r="R2279" s="2">
        <v>8100</v>
      </c>
      <c r="S2279">
        <v>99.63</v>
      </c>
      <c r="T2279" s="2">
        <v>162000</v>
      </c>
      <c r="U2279" s="2">
        <v>0</v>
      </c>
      <c r="V2279">
        <v>100.4418</v>
      </c>
      <c r="W2279">
        <v>0</v>
      </c>
      <c r="X2279">
        <v>0</v>
      </c>
      <c r="Y2279">
        <v>0</v>
      </c>
      <c r="Z2279">
        <v>0.8</v>
      </c>
      <c r="AA2279">
        <v>7.9648110000000005E-3</v>
      </c>
      <c r="AB2279">
        <v>26.6</v>
      </c>
      <c r="AC2279">
        <v>10.05627778</v>
      </c>
      <c r="AD2279">
        <v>26</v>
      </c>
      <c r="AE2279" s="7"/>
      <c r="AF2279" s="7"/>
      <c r="AG2279" s="7"/>
      <c r="AH2279" s="7"/>
      <c r="AI22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1.9437222199999997</v>
      </c>
      <c r="AJ2279" s="7"/>
      <c r="AK2279" t="s">
        <v>102</v>
      </c>
      <c r="AN2279">
        <f>IFERROR(INT(Table13[[#This Row],[reject_prod]]/Table13[[#This Row],[part_weight]] * 1000), 0)</f>
        <v>65</v>
      </c>
    </row>
    <row r="2280" spans="1:40">
      <c r="A2280" s="1">
        <v>46090</v>
      </c>
      <c r="B2280">
        <v>1</v>
      </c>
      <c r="C2280">
        <v>9</v>
      </c>
      <c r="D2280" t="s">
        <v>112</v>
      </c>
      <c r="E2280" t="s">
        <v>46</v>
      </c>
      <c r="F2280">
        <v>586276</v>
      </c>
      <c r="G2280" s="6">
        <v>1</v>
      </c>
      <c r="H2280" t="s">
        <v>47</v>
      </c>
      <c r="I2280">
        <v>10689111</v>
      </c>
      <c r="J2280">
        <v>6</v>
      </c>
      <c r="K2280">
        <v>12.3</v>
      </c>
      <c r="L2280">
        <v>12.3</v>
      </c>
      <c r="M2280">
        <v>203</v>
      </c>
      <c r="N2280" s="2">
        <v>162000</v>
      </c>
      <c r="O2280" s="2">
        <v>0</v>
      </c>
      <c r="P2280" s="2">
        <v>1215</v>
      </c>
      <c r="Q2280" s="2">
        <v>1218</v>
      </c>
      <c r="R2280" s="2">
        <v>0</v>
      </c>
      <c r="S2280">
        <v>0</v>
      </c>
      <c r="T2280" s="2">
        <v>1215</v>
      </c>
      <c r="U2280" s="2">
        <v>160785</v>
      </c>
      <c r="V2280">
        <v>14.981400000000001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26.6</v>
      </c>
      <c r="AC2280">
        <v>1.499944444</v>
      </c>
      <c r="AD2280">
        <v>26</v>
      </c>
      <c r="AE2280" s="7"/>
      <c r="AF2280" s="7"/>
      <c r="AG2280" s="7"/>
      <c r="AH2280" s="7"/>
      <c r="AI2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10.500055556</v>
      </c>
      <c r="AJ2280" s="7"/>
      <c r="AK2280" t="s">
        <v>1151</v>
      </c>
      <c r="AN2280">
        <f>IFERROR(INT(Table13[[#This Row],[reject_prod]]/Table13[[#This Row],[part_weight]] * 1000), 0)</f>
        <v>0</v>
      </c>
    </row>
    <row r="2281" spans="1:40">
      <c r="A2281" s="1">
        <v>46090</v>
      </c>
      <c r="B2281">
        <v>1</v>
      </c>
      <c r="C2281">
        <v>10</v>
      </c>
      <c r="D2281" t="s">
        <v>65</v>
      </c>
      <c r="E2281" t="s">
        <v>34</v>
      </c>
      <c r="F2281">
        <v>414439</v>
      </c>
      <c r="G2281" s="6">
        <v>0</v>
      </c>
      <c r="H2281" t="s">
        <v>587</v>
      </c>
      <c r="I2281">
        <v>10688521</v>
      </c>
      <c r="J2281">
        <v>6</v>
      </c>
      <c r="K2281">
        <v>57</v>
      </c>
      <c r="L2281">
        <v>15</v>
      </c>
      <c r="M2281">
        <v>1776</v>
      </c>
      <c r="N2281" s="2">
        <v>206976</v>
      </c>
      <c r="O2281" s="2">
        <v>3080</v>
      </c>
      <c r="P2281" s="2">
        <v>6160</v>
      </c>
      <c r="Q2281" s="2">
        <v>10656</v>
      </c>
      <c r="R2281" s="2">
        <v>7392</v>
      </c>
      <c r="S2281">
        <v>110.88</v>
      </c>
      <c r="T2281" s="2">
        <v>94864</v>
      </c>
      <c r="U2281" s="2">
        <v>112112</v>
      </c>
      <c r="V2281">
        <v>159.84</v>
      </c>
      <c r="W2281">
        <v>0</v>
      </c>
      <c r="X2281">
        <v>0</v>
      </c>
      <c r="Y2281">
        <v>0</v>
      </c>
      <c r="Z2281">
        <v>2.8</v>
      </c>
      <c r="AA2281">
        <v>1.7517517999999999E-2</v>
      </c>
      <c r="AB2281">
        <v>23.7</v>
      </c>
      <c r="AC2281">
        <v>11.692</v>
      </c>
      <c r="AD2281">
        <v>15</v>
      </c>
      <c r="AE2281" s="7"/>
      <c r="AF2281" s="7"/>
      <c r="AG2281" s="7"/>
      <c r="AH2281" s="7"/>
      <c r="AI2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0.30799999999999983</v>
      </c>
      <c r="AJ2281" s="7"/>
      <c r="AK2281" t="s">
        <v>214</v>
      </c>
      <c r="AN2281">
        <f>IFERROR(INT(Table13[[#This Row],[reject_prod]]/Table13[[#This Row],[part_weight]] * 1000), 0)</f>
        <v>186</v>
      </c>
    </row>
    <row r="2282" spans="1:40">
      <c r="A2282" s="1">
        <v>46090</v>
      </c>
      <c r="B2282">
        <v>1</v>
      </c>
      <c r="C2282">
        <v>11</v>
      </c>
      <c r="D2282" t="s">
        <v>149</v>
      </c>
      <c r="E2282" t="s">
        <v>46</v>
      </c>
      <c r="F2282">
        <v>552181</v>
      </c>
      <c r="G2282" s="6">
        <v>1</v>
      </c>
      <c r="H2282" t="s">
        <v>49</v>
      </c>
      <c r="I2282">
        <v>10688069</v>
      </c>
      <c r="J2282">
        <v>6</v>
      </c>
      <c r="K2282">
        <v>14.7</v>
      </c>
      <c r="L2282">
        <v>14.7</v>
      </c>
      <c r="M2282">
        <v>1285</v>
      </c>
      <c r="N2282" s="2">
        <v>108000</v>
      </c>
      <c r="O2282" s="2">
        <v>270</v>
      </c>
      <c r="P2282" s="2">
        <v>6750</v>
      </c>
      <c r="Q2282" s="2">
        <v>7710</v>
      </c>
      <c r="R2282" s="2">
        <v>0</v>
      </c>
      <c r="S2282">
        <v>0</v>
      </c>
      <c r="T2282" s="2">
        <v>87750</v>
      </c>
      <c r="U2282" s="2">
        <v>20250</v>
      </c>
      <c r="V2282">
        <v>113.337</v>
      </c>
      <c r="W2282">
        <v>0</v>
      </c>
      <c r="X2282">
        <v>0</v>
      </c>
      <c r="Y2282">
        <v>0</v>
      </c>
      <c r="Z2282">
        <v>23.4</v>
      </c>
      <c r="AA2282">
        <v>0.206463909</v>
      </c>
      <c r="AB2282">
        <v>29.2</v>
      </c>
      <c r="AC2282">
        <v>10.422777780000001</v>
      </c>
      <c r="AD2282">
        <v>27</v>
      </c>
      <c r="AE2282" s="7"/>
      <c r="AF2282" s="7"/>
      <c r="AG2282" s="7"/>
      <c r="AH2282" s="7"/>
      <c r="AI2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1.5772222199999995</v>
      </c>
      <c r="AJ2282" s="7"/>
      <c r="AK2282" t="s">
        <v>1158</v>
      </c>
      <c r="AL2282">
        <v>3</v>
      </c>
      <c r="AM2282">
        <v>2</v>
      </c>
      <c r="AN2282">
        <f>IFERROR(INT(Table13[[#This Row],[reject_prod]]/Table13[[#This Row],[part_weight]] * 1000), 0)</f>
        <v>1591</v>
      </c>
    </row>
    <row r="2283" spans="1:40">
      <c r="A2283" s="1">
        <v>46090</v>
      </c>
      <c r="B2283">
        <v>1</v>
      </c>
      <c r="C2283">
        <v>12</v>
      </c>
      <c r="D2283" t="s">
        <v>33</v>
      </c>
      <c r="E2283" t="s">
        <v>46</v>
      </c>
      <c r="F2283">
        <v>555979</v>
      </c>
      <c r="G2283" s="6">
        <v>1</v>
      </c>
      <c r="H2283" t="s">
        <v>52</v>
      </c>
      <c r="I2283">
        <v>10689126</v>
      </c>
      <c r="J2283">
        <v>6</v>
      </c>
      <c r="K2283">
        <v>28</v>
      </c>
      <c r="L2283">
        <v>28</v>
      </c>
      <c r="M2283">
        <v>0</v>
      </c>
      <c r="N2283" s="2">
        <v>100800</v>
      </c>
      <c r="O2283" s="2">
        <v>0</v>
      </c>
      <c r="P2283" s="2">
        <v>0</v>
      </c>
      <c r="Q2283" s="2">
        <v>0</v>
      </c>
      <c r="R2283" s="2">
        <v>0</v>
      </c>
      <c r="S2283">
        <v>0</v>
      </c>
      <c r="T2283" s="2">
        <v>0</v>
      </c>
      <c r="U2283" s="2">
        <v>100800</v>
      </c>
      <c r="V2283">
        <v>0</v>
      </c>
      <c r="W2283">
        <v>0</v>
      </c>
      <c r="X2283">
        <v>0</v>
      </c>
      <c r="Y2283" t="e">
        <v>#DIV/0!</v>
      </c>
      <c r="Z2283">
        <v>25.6</v>
      </c>
      <c r="AA2283" t="e">
        <v>#DIV/0!</v>
      </c>
      <c r="AB2283">
        <v>40.5</v>
      </c>
      <c r="AC2283">
        <v>0</v>
      </c>
      <c r="AD2283">
        <v>42</v>
      </c>
      <c r="AE2283" s="7"/>
      <c r="AF2283" s="7"/>
      <c r="AG2283" s="7"/>
      <c r="AH2283" s="7"/>
      <c r="AI2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83" s="7"/>
      <c r="AK2283" t="s">
        <v>1146</v>
      </c>
      <c r="AL2283">
        <v>4</v>
      </c>
      <c r="AM2283">
        <v>8</v>
      </c>
      <c r="AN2283">
        <f>IFERROR(INT(Table13[[#This Row],[reject_prod]]/Table13[[#This Row],[part_weight]] * 1000), 0)</f>
        <v>914</v>
      </c>
    </row>
    <row r="2284" spans="1:40">
      <c r="A2284" s="1">
        <v>46090</v>
      </c>
      <c r="B2284">
        <v>1</v>
      </c>
      <c r="C2284">
        <v>13</v>
      </c>
      <c r="D2284" t="s">
        <v>149</v>
      </c>
      <c r="E2284" t="s">
        <v>46</v>
      </c>
      <c r="F2284">
        <v>586276</v>
      </c>
      <c r="G2284" s="6">
        <v>2</v>
      </c>
      <c r="H2284" t="s">
        <v>47</v>
      </c>
      <c r="I2284">
        <v>10688946</v>
      </c>
      <c r="J2284">
        <v>6</v>
      </c>
      <c r="K2284">
        <v>12.3</v>
      </c>
      <c r="L2284">
        <v>12.3</v>
      </c>
      <c r="M2284">
        <v>1627</v>
      </c>
      <c r="N2284" s="2">
        <v>162000</v>
      </c>
      <c r="O2284" s="2">
        <v>6075</v>
      </c>
      <c r="P2284" s="2">
        <v>0</v>
      </c>
      <c r="Q2284" s="2">
        <v>9762</v>
      </c>
      <c r="R2284" s="2">
        <v>16200</v>
      </c>
      <c r="S2284">
        <v>199.26</v>
      </c>
      <c r="T2284" s="2">
        <v>129600</v>
      </c>
      <c r="U2284" s="2">
        <v>32400</v>
      </c>
      <c r="V2284">
        <v>120.07259999999999</v>
      </c>
      <c r="W2284">
        <v>0</v>
      </c>
      <c r="X2284">
        <v>0</v>
      </c>
      <c r="Y2284">
        <v>0</v>
      </c>
      <c r="Z2284">
        <v>0.5</v>
      </c>
      <c r="AA2284">
        <v>4.164147E-3</v>
      </c>
      <c r="AB2284">
        <v>26.2</v>
      </c>
      <c r="AC2284">
        <v>11.840944439999999</v>
      </c>
      <c r="AD2284">
        <v>26</v>
      </c>
      <c r="AE2284" s="7"/>
      <c r="AF2284" s="7"/>
      <c r="AG2284" s="7"/>
      <c r="AH2284" s="7"/>
      <c r="AI2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2284" s="7"/>
      <c r="AK2284" t="s">
        <v>51</v>
      </c>
      <c r="AN2284">
        <f>IFERROR(INT(Table13[[#This Row],[reject_prod]]/Table13[[#This Row],[part_weight]] * 1000), 0)</f>
        <v>40</v>
      </c>
    </row>
    <row r="2285" spans="1:40">
      <c r="A2285" s="1">
        <v>46090</v>
      </c>
      <c r="B2285">
        <v>1</v>
      </c>
      <c r="C2285">
        <v>14</v>
      </c>
      <c r="D2285" t="s">
        <v>43</v>
      </c>
      <c r="E2285" t="s">
        <v>34</v>
      </c>
      <c r="F2285">
        <v>541381</v>
      </c>
      <c r="G2285" s="6">
        <v>0</v>
      </c>
      <c r="H2285" t="s">
        <v>804</v>
      </c>
      <c r="I2285">
        <v>10688073</v>
      </c>
      <c r="J2285">
        <v>4</v>
      </c>
      <c r="K2285">
        <v>55</v>
      </c>
      <c r="L2285">
        <v>55</v>
      </c>
      <c r="M2285">
        <v>1294</v>
      </c>
      <c r="N2285" s="2">
        <v>84000</v>
      </c>
      <c r="O2285" s="2">
        <v>0</v>
      </c>
      <c r="P2285" s="2">
        <v>0</v>
      </c>
      <c r="Q2285" s="2">
        <v>5176</v>
      </c>
      <c r="R2285" s="2">
        <v>4900</v>
      </c>
      <c r="S2285">
        <v>269.5</v>
      </c>
      <c r="T2285" s="2">
        <v>55300</v>
      </c>
      <c r="U2285" s="2">
        <v>28700</v>
      </c>
      <c r="V2285">
        <v>284.68</v>
      </c>
      <c r="W2285">
        <v>0</v>
      </c>
      <c r="X2285">
        <v>0</v>
      </c>
      <c r="Y2285">
        <v>0</v>
      </c>
      <c r="Z2285">
        <v>15.2</v>
      </c>
      <c r="AA2285">
        <v>5.3393283999999999E-2</v>
      </c>
      <c r="AB2285">
        <v>28.8</v>
      </c>
      <c r="AC2285">
        <v>10.352</v>
      </c>
      <c r="AD2285">
        <v>30.08</v>
      </c>
      <c r="AE2285" s="7"/>
      <c r="AF2285" s="7"/>
      <c r="AG2285" s="7"/>
      <c r="AH2285" s="7"/>
      <c r="AI2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1.6479999999999997</v>
      </c>
      <c r="AJ2285" s="7"/>
      <c r="AK2285" t="s">
        <v>1159</v>
      </c>
      <c r="AL2285">
        <v>5</v>
      </c>
      <c r="AM2285">
        <v>2</v>
      </c>
      <c r="AN2285">
        <f>IFERROR(INT(Table13[[#This Row],[reject_prod]]/Table13[[#This Row],[part_weight]] * 1000), 0)</f>
        <v>276</v>
      </c>
    </row>
    <row r="2286" spans="1:40">
      <c r="A2286" s="1">
        <v>46090</v>
      </c>
      <c r="B2286">
        <v>1</v>
      </c>
      <c r="C2286">
        <v>15</v>
      </c>
      <c r="D2286" t="s">
        <v>149</v>
      </c>
      <c r="E2286" t="s">
        <v>46</v>
      </c>
      <c r="F2286">
        <v>552181</v>
      </c>
      <c r="G2286" s="6">
        <v>2</v>
      </c>
      <c r="H2286" t="s">
        <v>49</v>
      </c>
      <c r="I2286">
        <v>10686680</v>
      </c>
      <c r="J2286">
        <v>6</v>
      </c>
      <c r="K2286">
        <v>14.7</v>
      </c>
      <c r="L2286">
        <v>14.7</v>
      </c>
      <c r="M2286">
        <v>1404</v>
      </c>
      <c r="N2286" s="2">
        <v>108000</v>
      </c>
      <c r="O2286" s="2">
        <v>2700</v>
      </c>
      <c r="P2286" s="2">
        <v>270</v>
      </c>
      <c r="Q2286" s="2">
        <v>8424</v>
      </c>
      <c r="R2286" s="2">
        <v>10800</v>
      </c>
      <c r="S2286">
        <v>158.76</v>
      </c>
      <c r="T2286" s="2">
        <v>86670</v>
      </c>
      <c r="U2286" s="2">
        <v>21330</v>
      </c>
      <c r="V2286">
        <v>123.83280000000001</v>
      </c>
      <c r="W2286">
        <v>0</v>
      </c>
      <c r="X2286">
        <v>0</v>
      </c>
      <c r="Y2286">
        <v>0</v>
      </c>
      <c r="Z2286">
        <v>1</v>
      </c>
      <c r="AA2286">
        <v>8.0754050000000008E-3</v>
      </c>
      <c r="AB2286">
        <v>30.6</v>
      </c>
      <c r="AC2286">
        <v>11.933999999999999</v>
      </c>
      <c r="AD2286">
        <v>27</v>
      </c>
      <c r="AE2286" s="7"/>
      <c r="AF2286" s="7"/>
      <c r="AG2286" s="7"/>
      <c r="AH2286" s="7"/>
      <c r="AI2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6.6000000000000725E-2</v>
      </c>
      <c r="AJ2286" s="7"/>
      <c r="AK2286" t="s">
        <v>51</v>
      </c>
      <c r="AN2286">
        <f>IFERROR(INT(Table13[[#This Row],[reject_prod]]/Table13[[#This Row],[part_weight]] * 1000), 0)</f>
        <v>68</v>
      </c>
    </row>
    <row r="2287" spans="1:40">
      <c r="A2287" s="1">
        <v>46090</v>
      </c>
      <c r="B2287">
        <v>1</v>
      </c>
      <c r="C2287">
        <v>16</v>
      </c>
      <c r="D2287" t="s">
        <v>129</v>
      </c>
      <c r="E2287" t="s">
        <v>46</v>
      </c>
      <c r="F2287">
        <v>555979</v>
      </c>
      <c r="G2287" s="6">
        <v>2</v>
      </c>
      <c r="H2287" t="s">
        <v>52</v>
      </c>
      <c r="I2287">
        <v>10688074</v>
      </c>
      <c r="J2287">
        <v>6</v>
      </c>
      <c r="K2287">
        <v>28</v>
      </c>
      <c r="L2287">
        <v>28</v>
      </c>
      <c r="M2287">
        <v>1048</v>
      </c>
      <c r="N2287" s="2">
        <v>100800</v>
      </c>
      <c r="O2287" s="2">
        <v>2184</v>
      </c>
      <c r="P2287" s="2">
        <v>1680</v>
      </c>
      <c r="Q2287" s="2">
        <v>6288</v>
      </c>
      <c r="R2287" s="2">
        <v>6720</v>
      </c>
      <c r="S2287">
        <v>188.16</v>
      </c>
      <c r="T2287" s="2">
        <v>21840</v>
      </c>
      <c r="U2287" s="2">
        <v>78960</v>
      </c>
      <c r="V2287">
        <v>176.06399999999999</v>
      </c>
      <c r="W2287">
        <v>0</v>
      </c>
      <c r="X2287">
        <v>0</v>
      </c>
      <c r="Y2287">
        <v>0</v>
      </c>
      <c r="Z2287">
        <v>2</v>
      </c>
      <c r="AA2287">
        <v>1.1359506E-2</v>
      </c>
      <c r="AB2287">
        <v>40.5</v>
      </c>
      <c r="AC2287">
        <v>11.79</v>
      </c>
      <c r="AD2287">
        <v>42</v>
      </c>
      <c r="AE2287" s="7"/>
      <c r="AF2287" s="7"/>
      <c r="AG2287" s="7"/>
      <c r="AH2287" s="7"/>
      <c r="AI2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287" s="7"/>
      <c r="AK2287" t="s">
        <v>270</v>
      </c>
      <c r="AN2287">
        <f>IFERROR(INT(Table13[[#This Row],[reject_prod]]/Table13[[#This Row],[part_weight]] * 1000), 0)</f>
        <v>71</v>
      </c>
    </row>
    <row r="2288" spans="1:40">
      <c r="A2288" s="1">
        <v>46090</v>
      </c>
      <c r="B2288">
        <v>2</v>
      </c>
      <c r="C2288">
        <v>1</v>
      </c>
      <c r="D2288" t="s">
        <v>56</v>
      </c>
      <c r="E2288" t="s">
        <v>34</v>
      </c>
      <c r="F2288">
        <v>577492</v>
      </c>
      <c r="G2288" s="6">
        <v>0</v>
      </c>
      <c r="H2288" t="s">
        <v>341</v>
      </c>
      <c r="I2288">
        <v>10688947</v>
      </c>
      <c r="J2288">
        <v>4</v>
      </c>
      <c r="K2288">
        <v>35.6</v>
      </c>
      <c r="L2288">
        <v>35.6</v>
      </c>
      <c r="M2288">
        <v>1610</v>
      </c>
      <c r="N2288" s="2">
        <v>80960</v>
      </c>
      <c r="O2288" s="2">
        <v>184</v>
      </c>
      <c r="P2288" s="2">
        <v>1104</v>
      </c>
      <c r="Q2288" s="2">
        <v>6440</v>
      </c>
      <c r="R2288" s="2">
        <v>5520</v>
      </c>
      <c r="S2288">
        <v>196.512</v>
      </c>
      <c r="T2288" s="2">
        <v>43424</v>
      </c>
      <c r="U2288" s="2">
        <v>37536</v>
      </c>
      <c r="V2288">
        <v>229.26400000000001</v>
      </c>
      <c r="W2288">
        <v>0</v>
      </c>
      <c r="X2288">
        <v>0</v>
      </c>
      <c r="Y2288">
        <v>0</v>
      </c>
      <c r="Z2288">
        <v>2</v>
      </c>
      <c r="AA2288">
        <v>8.7235679999999993E-3</v>
      </c>
      <c r="AB2288">
        <v>26.07</v>
      </c>
      <c r="AC2288">
        <v>11.65908333</v>
      </c>
      <c r="AD2288">
        <v>27</v>
      </c>
      <c r="AE2288" s="7"/>
      <c r="AF2288" s="7"/>
      <c r="AG2288" s="7"/>
      <c r="AH2288" s="7"/>
      <c r="AI2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0.34091667000000037</v>
      </c>
      <c r="AJ2288" s="7"/>
      <c r="AK2288" t="s">
        <v>51</v>
      </c>
      <c r="AN2288">
        <f>IFERROR(INT(Table13[[#This Row],[reject_prod]]/Table13[[#This Row],[part_weight]] * 1000), 0)</f>
        <v>56</v>
      </c>
    </row>
    <row r="2289" spans="1:40">
      <c r="A2289" s="1">
        <v>46090</v>
      </c>
      <c r="B2289">
        <v>2</v>
      </c>
      <c r="C2289">
        <v>2</v>
      </c>
      <c r="D2289" t="s">
        <v>84</v>
      </c>
      <c r="E2289" t="s">
        <v>34</v>
      </c>
      <c r="F2289">
        <v>463202</v>
      </c>
      <c r="G2289" s="6">
        <v>0</v>
      </c>
      <c r="H2289" t="s">
        <v>320</v>
      </c>
      <c r="I2289">
        <v>10688493</v>
      </c>
      <c r="J2289">
        <v>4</v>
      </c>
      <c r="K2289">
        <v>23</v>
      </c>
      <c r="L2289">
        <v>23</v>
      </c>
      <c r="M2289">
        <v>1860</v>
      </c>
      <c r="N2289" s="2">
        <v>40920</v>
      </c>
      <c r="O2289" s="2">
        <v>1860</v>
      </c>
      <c r="P2289" s="2">
        <v>3720</v>
      </c>
      <c r="Q2289" s="2">
        <v>7440</v>
      </c>
      <c r="R2289" s="2">
        <v>5580</v>
      </c>
      <c r="S2289">
        <v>128.34</v>
      </c>
      <c r="T2289" s="2">
        <v>31620</v>
      </c>
      <c r="U2289" s="2">
        <v>9300</v>
      </c>
      <c r="V2289">
        <v>171.12</v>
      </c>
      <c r="W2289">
        <v>0</v>
      </c>
      <c r="X2289">
        <v>0</v>
      </c>
      <c r="Y2289">
        <v>0</v>
      </c>
      <c r="Z2289">
        <v>2.2000000000000002</v>
      </c>
      <c r="AA2289">
        <v>1.2856474999999999E-2</v>
      </c>
      <c r="AB2289">
        <v>21.98</v>
      </c>
      <c r="AC2289">
        <v>11.35633333</v>
      </c>
      <c r="AD2289">
        <v>22.92</v>
      </c>
      <c r="AE2289" s="7"/>
      <c r="AF2289" s="7"/>
      <c r="AG2289" s="7"/>
      <c r="AH2289" s="7"/>
      <c r="AI2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0.64366667</v>
      </c>
      <c r="AJ2289" s="7"/>
      <c r="AK2289" t="s">
        <v>103</v>
      </c>
      <c r="AN2289">
        <f>IFERROR(INT(Table13[[#This Row],[reject_prod]]/Table13[[#This Row],[part_weight]] * 1000), 0)</f>
        <v>95</v>
      </c>
    </row>
    <row r="2290" spans="1:40">
      <c r="A2290" s="1">
        <v>46090</v>
      </c>
      <c r="B2290">
        <v>2</v>
      </c>
      <c r="C2290">
        <v>3</v>
      </c>
      <c r="D2290" t="s">
        <v>289</v>
      </c>
      <c r="E2290" t="s">
        <v>34</v>
      </c>
      <c r="F2290">
        <v>442034</v>
      </c>
      <c r="G2290" s="6">
        <v>0</v>
      </c>
      <c r="H2290" t="s">
        <v>37</v>
      </c>
      <c r="I2290">
        <v>10685635</v>
      </c>
      <c r="J2290">
        <v>4</v>
      </c>
      <c r="K2290">
        <v>23</v>
      </c>
      <c r="L2290">
        <v>23</v>
      </c>
      <c r="M2290">
        <v>500</v>
      </c>
      <c r="N2290" s="2">
        <v>139776</v>
      </c>
      <c r="O2290" s="2">
        <v>3456</v>
      </c>
      <c r="P2290" s="2">
        <v>768</v>
      </c>
      <c r="Q2290" s="2">
        <v>2000</v>
      </c>
      <c r="R2290" s="2">
        <v>4608</v>
      </c>
      <c r="S2290">
        <v>105.98399999999999</v>
      </c>
      <c r="T2290" s="2">
        <v>60672</v>
      </c>
      <c r="U2290" s="2">
        <v>79104</v>
      </c>
      <c r="V2290">
        <v>46</v>
      </c>
      <c r="W2290">
        <v>0</v>
      </c>
      <c r="X2290">
        <v>0</v>
      </c>
      <c r="Y2290">
        <v>0</v>
      </c>
      <c r="Z2290">
        <v>1</v>
      </c>
      <c r="AA2290">
        <v>2.1739129999999999E-2</v>
      </c>
      <c r="AB2290">
        <v>28.5</v>
      </c>
      <c r="AC2290">
        <v>3.9583333330000001</v>
      </c>
      <c r="AD2290">
        <v>22</v>
      </c>
      <c r="AE2290" s="7"/>
      <c r="AF2290" s="7"/>
      <c r="AG2290" s="7"/>
      <c r="AH2290" s="7"/>
      <c r="AI2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8.0416666669999994</v>
      </c>
      <c r="AJ2290" s="7"/>
      <c r="AK2290" t="s">
        <v>1160</v>
      </c>
      <c r="AN2290">
        <f>IFERROR(INT(Table13[[#This Row],[reject_prod]]/Table13[[#This Row],[part_weight]] * 1000), 0)</f>
        <v>43</v>
      </c>
    </row>
    <row r="2291" spans="1:40">
      <c r="A2291" s="1">
        <v>46090</v>
      </c>
      <c r="B2291">
        <v>2</v>
      </c>
      <c r="C2291">
        <v>4</v>
      </c>
      <c r="D2291" t="s">
        <v>124</v>
      </c>
      <c r="E2291" t="s">
        <v>34</v>
      </c>
      <c r="F2291">
        <v>426555</v>
      </c>
      <c r="G2291" s="6">
        <v>0</v>
      </c>
      <c r="H2291" t="s">
        <v>1128</v>
      </c>
      <c r="I2291">
        <v>10688066</v>
      </c>
      <c r="J2291">
        <v>4</v>
      </c>
      <c r="K2291">
        <v>29</v>
      </c>
      <c r="L2291">
        <v>29</v>
      </c>
      <c r="M2291">
        <v>1690</v>
      </c>
      <c r="N2291" s="2">
        <v>81600</v>
      </c>
      <c r="O2291" s="2">
        <v>340</v>
      </c>
      <c r="P2291" s="2">
        <v>980</v>
      </c>
      <c r="Q2291" s="2">
        <v>6760</v>
      </c>
      <c r="R2291" s="2">
        <v>6120</v>
      </c>
      <c r="S2291">
        <v>177.48</v>
      </c>
      <c r="T2291" s="2">
        <v>21380</v>
      </c>
      <c r="U2291" s="2">
        <v>60220</v>
      </c>
      <c r="V2291">
        <v>196.04</v>
      </c>
      <c r="W2291">
        <v>0</v>
      </c>
      <c r="X2291">
        <v>0</v>
      </c>
      <c r="Y2291">
        <v>0</v>
      </c>
      <c r="Z2291">
        <v>8.3000000000000007</v>
      </c>
      <c r="AA2291">
        <v>4.2338298000000003E-2</v>
      </c>
      <c r="AB2291">
        <v>24.63</v>
      </c>
      <c r="AC2291">
        <v>11.562416669999999</v>
      </c>
      <c r="AD2291">
        <v>22.72</v>
      </c>
      <c r="AE2291" s="7"/>
      <c r="AF2291" s="7"/>
      <c r="AG2291" s="7"/>
      <c r="AH2291" s="7"/>
      <c r="AI2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0.43758333000000071</v>
      </c>
      <c r="AJ2291" s="7"/>
      <c r="AK2291" t="s">
        <v>1161</v>
      </c>
      <c r="AN2291">
        <f>IFERROR(INT(Table13[[#This Row],[reject_prod]]/Table13[[#This Row],[part_weight]] * 1000), 0)</f>
        <v>286</v>
      </c>
    </row>
    <row r="2292" spans="1:40">
      <c r="A2292" s="1">
        <v>46090</v>
      </c>
      <c r="B2292">
        <v>2</v>
      </c>
      <c r="C2292">
        <v>5</v>
      </c>
      <c r="D2292" t="s">
        <v>1162</v>
      </c>
      <c r="E2292" t="s">
        <v>34</v>
      </c>
      <c r="F2292">
        <v>322448</v>
      </c>
      <c r="G2292" s="6">
        <v>0</v>
      </c>
      <c r="H2292" t="s">
        <v>654</v>
      </c>
      <c r="I2292">
        <v>10687753</v>
      </c>
      <c r="J2292">
        <v>4</v>
      </c>
      <c r="K2292">
        <v>40</v>
      </c>
      <c r="L2292">
        <v>40</v>
      </c>
      <c r="M2292">
        <v>1620</v>
      </c>
      <c r="N2292" s="2">
        <v>174960</v>
      </c>
      <c r="O2292" s="2">
        <v>0</v>
      </c>
      <c r="P2292" s="2">
        <v>0</v>
      </c>
      <c r="Q2292" s="2">
        <v>6480</v>
      </c>
      <c r="R2292" s="2">
        <v>6480</v>
      </c>
      <c r="S2292">
        <v>259.2</v>
      </c>
      <c r="T2292" s="2">
        <v>139320</v>
      </c>
      <c r="U2292" s="2">
        <v>35640</v>
      </c>
      <c r="V2292">
        <v>259.2</v>
      </c>
      <c r="W2292">
        <v>0</v>
      </c>
      <c r="X2292">
        <v>0</v>
      </c>
      <c r="Y2292">
        <v>0</v>
      </c>
      <c r="Z2292">
        <v>4.4000000000000004</v>
      </c>
      <c r="AA2292">
        <v>1.6975309000000001E-2</v>
      </c>
      <c r="AB2292">
        <v>26.1</v>
      </c>
      <c r="AC2292">
        <v>11.744999999999999</v>
      </c>
      <c r="AD2292">
        <v>23</v>
      </c>
      <c r="AE2292" s="7"/>
      <c r="AF2292" s="7"/>
      <c r="AG2292" s="7"/>
      <c r="AH2292" s="7"/>
      <c r="AI2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292" s="7"/>
      <c r="AK2292" t="s">
        <v>1163</v>
      </c>
      <c r="AN2292">
        <f>IFERROR(INT(Table13[[#This Row],[reject_prod]]/Table13[[#This Row],[part_weight]] * 1000), 0)</f>
        <v>110</v>
      </c>
    </row>
    <row r="2293" spans="1:40">
      <c r="A2293" s="1">
        <v>46090</v>
      </c>
      <c r="B2293">
        <v>2</v>
      </c>
      <c r="C2293">
        <v>6</v>
      </c>
      <c r="D2293" t="s">
        <v>862</v>
      </c>
      <c r="E2293" t="s">
        <v>34</v>
      </c>
      <c r="F2293">
        <v>532981</v>
      </c>
      <c r="G2293" s="6">
        <v>0</v>
      </c>
      <c r="H2293" t="s">
        <v>233</v>
      </c>
      <c r="I2293">
        <v>10688648</v>
      </c>
      <c r="J2293">
        <v>4</v>
      </c>
      <c r="K2293">
        <v>24.45</v>
      </c>
      <c r="L2293">
        <v>24</v>
      </c>
      <c r="M2293">
        <v>1824</v>
      </c>
      <c r="N2293" s="2">
        <v>87552</v>
      </c>
      <c r="O2293" s="2">
        <v>0</v>
      </c>
      <c r="P2293" s="2">
        <v>1824</v>
      </c>
      <c r="Q2293" s="2">
        <v>7296</v>
      </c>
      <c r="R2293" s="2">
        <v>5472</v>
      </c>
      <c r="S2293">
        <v>131.328</v>
      </c>
      <c r="T2293" s="2">
        <v>78432</v>
      </c>
      <c r="U2293" s="2">
        <v>9120</v>
      </c>
      <c r="V2293">
        <v>175.10400000000001</v>
      </c>
      <c r="W2293">
        <v>0</v>
      </c>
      <c r="X2293">
        <v>0</v>
      </c>
      <c r="Y2293">
        <v>0</v>
      </c>
      <c r="Z2293">
        <v>0.4</v>
      </c>
      <c r="AA2293">
        <v>2.2843569999999999E-3</v>
      </c>
      <c r="AB2293">
        <v>23</v>
      </c>
      <c r="AC2293">
        <v>11.653333330000001</v>
      </c>
      <c r="AD2293">
        <v>20</v>
      </c>
      <c r="AE2293" s="7"/>
      <c r="AF2293" s="7"/>
      <c r="AG2293" s="7"/>
      <c r="AH2293" s="7"/>
      <c r="AI2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2293" s="7"/>
      <c r="AK2293" t="s">
        <v>214</v>
      </c>
      <c r="AN2293">
        <f>IFERROR(INT(Table13[[#This Row],[reject_prod]]/Table13[[#This Row],[part_weight]] * 1000), 0)</f>
        <v>16</v>
      </c>
    </row>
    <row r="2294" spans="1:40">
      <c r="A2294" s="1">
        <v>46090</v>
      </c>
      <c r="B2294">
        <v>2</v>
      </c>
      <c r="C2294">
        <v>7</v>
      </c>
      <c r="D2294" t="s">
        <v>1006</v>
      </c>
      <c r="E2294" t="s">
        <v>34</v>
      </c>
      <c r="F2294">
        <v>322452</v>
      </c>
      <c r="G2294" s="6">
        <v>0</v>
      </c>
      <c r="H2294" t="s">
        <v>374</v>
      </c>
      <c r="I2294">
        <v>10689204</v>
      </c>
      <c r="J2294">
        <v>4</v>
      </c>
      <c r="K2294">
        <v>33.11</v>
      </c>
      <c r="L2294">
        <v>34.5</v>
      </c>
      <c r="M2294">
        <v>1900</v>
      </c>
      <c r="N2294" s="2">
        <v>49920</v>
      </c>
      <c r="O2294" s="2">
        <v>624</v>
      </c>
      <c r="P2294" s="2">
        <v>780</v>
      </c>
      <c r="Q2294" s="2">
        <v>7600</v>
      </c>
      <c r="R2294" s="2">
        <v>7488</v>
      </c>
      <c r="S2294">
        <v>258.33600000000001</v>
      </c>
      <c r="T2294" s="2">
        <v>40716</v>
      </c>
      <c r="U2294" s="2">
        <v>9204</v>
      </c>
      <c r="V2294">
        <v>262.2</v>
      </c>
      <c r="W2294">
        <v>0</v>
      </c>
      <c r="X2294">
        <v>0</v>
      </c>
      <c r="Y2294">
        <v>0</v>
      </c>
      <c r="Z2294">
        <v>1.5</v>
      </c>
      <c r="AA2294">
        <v>5.7208240000000002E-3</v>
      </c>
      <c r="AB2294">
        <v>22.9</v>
      </c>
      <c r="AC2294">
        <v>12</v>
      </c>
      <c r="AD2294">
        <v>18.04</v>
      </c>
      <c r="AE2294" s="7"/>
      <c r="AF2294" s="7"/>
      <c r="AG2294" s="7"/>
      <c r="AH2294" s="7"/>
      <c r="AI2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94" s="7"/>
      <c r="AK2294" t="s">
        <v>79</v>
      </c>
      <c r="AN2294">
        <f>IFERROR(INT(Table13[[#This Row],[reject_prod]]/Table13[[#This Row],[part_weight]] * 1000), 0)</f>
        <v>43</v>
      </c>
    </row>
    <row r="2295" spans="1:40">
      <c r="A2295" s="1">
        <v>46090</v>
      </c>
      <c r="B2295">
        <v>2</v>
      </c>
      <c r="C2295">
        <v>8</v>
      </c>
      <c r="D2295" t="s">
        <v>33</v>
      </c>
      <c r="E2295" t="s">
        <v>41</v>
      </c>
      <c r="F2295">
        <v>593537</v>
      </c>
      <c r="G2295" s="6">
        <v>0</v>
      </c>
      <c r="H2295" t="s">
        <v>48</v>
      </c>
      <c r="I2295">
        <v>10688067</v>
      </c>
      <c r="J2295">
        <v>4</v>
      </c>
      <c r="K2295">
        <v>56.5</v>
      </c>
      <c r="L2295">
        <v>56.8</v>
      </c>
      <c r="M2295">
        <v>230</v>
      </c>
      <c r="N2295" s="2">
        <v>69000</v>
      </c>
      <c r="O2295" s="2">
        <v>0</v>
      </c>
      <c r="P2295" s="2">
        <v>805</v>
      </c>
      <c r="Q2295" s="2">
        <v>920</v>
      </c>
      <c r="R2295" s="2">
        <v>0</v>
      </c>
      <c r="S2295">
        <v>0</v>
      </c>
      <c r="T2295" s="2">
        <v>64630</v>
      </c>
      <c r="U2295" s="2">
        <v>4370</v>
      </c>
      <c r="V2295">
        <v>52.256</v>
      </c>
      <c r="W2295">
        <v>-0.27600000000000002</v>
      </c>
      <c r="X2295">
        <v>50</v>
      </c>
      <c r="Y2295">
        <v>0.95682792400000005</v>
      </c>
      <c r="Z2295">
        <v>3</v>
      </c>
      <c r="AA2295">
        <v>5.7409675E-2</v>
      </c>
      <c r="AB2295">
        <v>31.25</v>
      </c>
      <c r="AC2295">
        <v>1.9965277779999999</v>
      </c>
      <c r="AD2295">
        <v>28.5</v>
      </c>
      <c r="AE2295" s="7">
        <v>4</v>
      </c>
      <c r="AF2295" s="7"/>
      <c r="AG2295" s="7"/>
      <c r="AH2295" s="7"/>
      <c r="AI22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6.0034722219999992</v>
      </c>
      <c r="AJ2295" s="7"/>
      <c r="AK2295" t="s">
        <v>1164</v>
      </c>
      <c r="AN2295">
        <f>IFERROR(INT(Table13[[#This Row],[reject_prod]]/Table13[[#This Row],[part_weight]] * 1000), 0)</f>
        <v>52</v>
      </c>
    </row>
    <row r="2296" spans="1:40">
      <c r="A2296" s="1">
        <v>46090</v>
      </c>
      <c r="B2296">
        <v>2</v>
      </c>
      <c r="C2296">
        <v>9</v>
      </c>
      <c r="D2296" t="s">
        <v>53</v>
      </c>
      <c r="E2296" t="s">
        <v>46</v>
      </c>
      <c r="F2296">
        <v>586276</v>
      </c>
      <c r="G2296" s="6">
        <v>1</v>
      </c>
      <c r="H2296" t="s">
        <v>47</v>
      </c>
      <c r="I2296">
        <v>10689111</v>
      </c>
      <c r="J2296">
        <v>6</v>
      </c>
      <c r="K2296">
        <v>12.3</v>
      </c>
      <c r="L2296">
        <v>12.3</v>
      </c>
      <c r="M2296">
        <v>1570</v>
      </c>
      <c r="N2296" s="2">
        <v>162000</v>
      </c>
      <c r="O2296" s="2">
        <v>1215</v>
      </c>
      <c r="P2296" s="2">
        <v>2430</v>
      </c>
      <c r="Q2296" s="2">
        <v>9420</v>
      </c>
      <c r="R2296" s="2">
        <v>8100</v>
      </c>
      <c r="S2296">
        <v>99.63</v>
      </c>
      <c r="T2296" s="2">
        <v>10530</v>
      </c>
      <c r="U2296" s="2">
        <v>151470</v>
      </c>
      <c r="V2296">
        <v>115.866</v>
      </c>
      <c r="W2296">
        <v>0</v>
      </c>
      <c r="X2296">
        <v>0</v>
      </c>
      <c r="Y2296">
        <v>0</v>
      </c>
      <c r="Z2296">
        <v>2</v>
      </c>
      <c r="AA2296">
        <v>1.7261319000000001E-2</v>
      </c>
      <c r="AB2296">
        <v>26.6</v>
      </c>
      <c r="AC2296">
        <v>11.60055556</v>
      </c>
      <c r="AD2296">
        <v>26</v>
      </c>
      <c r="AE2296" s="7"/>
      <c r="AF2296" s="7"/>
      <c r="AG2296" s="7"/>
      <c r="AH2296" s="7"/>
      <c r="AI2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0.3994444399999999</v>
      </c>
      <c r="AJ2296" s="7"/>
      <c r="AK2296" t="s">
        <v>51</v>
      </c>
      <c r="AN2296">
        <f>IFERROR(INT(Table13[[#This Row],[reject_prod]]/Table13[[#This Row],[part_weight]] * 1000), 0)</f>
        <v>162</v>
      </c>
    </row>
    <row r="2297" spans="1:40">
      <c r="A2297" s="1">
        <v>46090</v>
      </c>
      <c r="B2297">
        <v>2</v>
      </c>
      <c r="C2297">
        <v>10</v>
      </c>
      <c r="D2297" t="s">
        <v>54</v>
      </c>
      <c r="E2297" t="s">
        <v>34</v>
      </c>
      <c r="F2297">
        <v>414439</v>
      </c>
      <c r="G2297" s="6">
        <v>0</v>
      </c>
      <c r="H2297" t="s">
        <v>587</v>
      </c>
      <c r="I2297">
        <v>10688521</v>
      </c>
      <c r="J2297">
        <v>6</v>
      </c>
      <c r="K2297">
        <v>57</v>
      </c>
      <c r="L2297">
        <v>15</v>
      </c>
      <c r="M2297">
        <v>1650</v>
      </c>
      <c r="N2297" s="2">
        <v>206976</v>
      </c>
      <c r="O2297" s="2">
        <v>6160</v>
      </c>
      <c r="P2297" s="2">
        <v>1232</v>
      </c>
      <c r="Q2297" s="2">
        <v>9900</v>
      </c>
      <c r="R2297" s="2">
        <v>14784</v>
      </c>
      <c r="S2297">
        <v>221.76</v>
      </c>
      <c r="T2297" s="2">
        <v>104720</v>
      </c>
      <c r="U2297" s="2">
        <v>102256</v>
      </c>
      <c r="V2297">
        <v>148.5</v>
      </c>
      <c r="W2297">
        <v>0</v>
      </c>
      <c r="X2297">
        <v>0</v>
      </c>
      <c r="Y2297">
        <v>0</v>
      </c>
      <c r="Z2297">
        <v>2.5</v>
      </c>
      <c r="AA2297">
        <v>1.6835017000000001E-2</v>
      </c>
      <c r="AB2297">
        <v>23.7</v>
      </c>
      <c r="AC2297">
        <v>10.862500000000001</v>
      </c>
      <c r="AD2297">
        <v>15</v>
      </c>
      <c r="AE2297" s="7"/>
      <c r="AF2297" s="7"/>
      <c r="AG2297" s="7"/>
      <c r="AH2297" s="7"/>
      <c r="AI2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1.1374999999999993</v>
      </c>
      <c r="AJ2297" s="7"/>
      <c r="AK2297" t="s">
        <v>461</v>
      </c>
      <c r="AN2297">
        <f>IFERROR(INT(Table13[[#This Row],[reject_prod]]/Table13[[#This Row],[part_weight]] * 1000), 0)</f>
        <v>166</v>
      </c>
    </row>
    <row r="2298" spans="1:40">
      <c r="A2298" s="1">
        <v>46090</v>
      </c>
      <c r="B2298">
        <v>2</v>
      </c>
      <c r="C2298">
        <v>11</v>
      </c>
      <c r="D2298" t="s">
        <v>33</v>
      </c>
      <c r="E2298" t="s">
        <v>46</v>
      </c>
      <c r="F2298">
        <v>552181</v>
      </c>
      <c r="G2298" s="6">
        <v>1</v>
      </c>
      <c r="H2298" t="s">
        <v>49</v>
      </c>
      <c r="I2298">
        <v>10688069</v>
      </c>
      <c r="J2298">
        <v>6</v>
      </c>
      <c r="K2298">
        <v>14.7</v>
      </c>
      <c r="L2298">
        <v>14.7</v>
      </c>
      <c r="M2298">
        <v>0</v>
      </c>
      <c r="N2298" s="2">
        <v>108000</v>
      </c>
      <c r="O2298" s="2">
        <v>6750</v>
      </c>
      <c r="P2298" s="2">
        <v>6750</v>
      </c>
      <c r="Q2298" s="2">
        <v>0</v>
      </c>
      <c r="R2298" s="2">
        <v>0</v>
      </c>
      <c r="S2298">
        <v>0</v>
      </c>
      <c r="T2298" s="2">
        <v>87750</v>
      </c>
      <c r="U2298" s="2">
        <v>20250</v>
      </c>
      <c r="V2298">
        <v>0</v>
      </c>
      <c r="W2298">
        <v>0</v>
      </c>
      <c r="X2298">
        <v>4.5999999999999996</v>
      </c>
      <c r="Y2298" t="e">
        <v>#DIV/0!</v>
      </c>
      <c r="Z2298">
        <v>0</v>
      </c>
      <c r="AA2298" t="e">
        <v>#DIV/0!</v>
      </c>
      <c r="AB2298">
        <v>28.46</v>
      </c>
      <c r="AC2298">
        <v>0</v>
      </c>
      <c r="AD2298">
        <v>27</v>
      </c>
      <c r="AE2298" s="7"/>
      <c r="AF2298" s="7"/>
      <c r="AG2298" s="7"/>
      <c r="AH2298" s="7"/>
      <c r="AI2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98" s="7"/>
      <c r="AK2298" t="s">
        <v>1146</v>
      </c>
      <c r="AN2298">
        <f>IFERROR(INT(Table13[[#This Row],[reject_prod]]/Table13[[#This Row],[part_weight]] * 1000), 0)</f>
        <v>0</v>
      </c>
    </row>
    <row r="2299" spans="1:40">
      <c r="A2299" s="1">
        <v>46090</v>
      </c>
      <c r="B2299">
        <v>2</v>
      </c>
      <c r="C2299">
        <v>12</v>
      </c>
      <c r="D2299" t="s">
        <v>33</v>
      </c>
      <c r="E2299" t="s">
        <v>46</v>
      </c>
      <c r="F2299">
        <v>555979</v>
      </c>
      <c r="G2299" s="6">
        <v>1</v>
      </c>
      <c r="H2299" t="s">
        <v>52</v>
      </c>
      <c r="I2299">
        <v>10689126</v>
      </c>
      <c r="J2299">
        <v>6</v>
      </c>
      <c r="K2299">
        <v>28</v>
      </c>
      <c r="L2299">
        <v>28</v>
      </c>
      <c r="M2299">
        <v>0</v>
      </c>
      <c r="N2299" s="2">
        <v>100800</v>
      </c>
      <c r="O2299" s="2">
        <v>0</v>
      </c>
      <c r="P2299" s="2">
        <v>0</v>
      </c>
      <c r="Q2299" s="2">
        <v>0</v>
      </c>
      <c r="R2299" s="2">
        <v>0</v>
      </c>
      <c r="S2299">
        <v>0</v>
      </c>
      <c r="T2299" s="2">
        <v>0</v>
      </c>
      <c r="U2299" s="2">
        <v>100800</v>
      </c>
      <c r="V2299">
        <v>0</v>
      </c>
      <c r="W2299">
        <v>0</v>
      </c>
      <c r="X2299">
        <v>0</v>
      </c>
      <c r="Y2299" t="e">
        <v>#DIV/0!</v>
      </c>
      <c r="Z2299">
        <v>0</v>
      </c>
      <c r="AA2299" t="e">
        <v>#DIV/0!</v>
      </c>
      <c r="AB2299">
        <v>28.8</v>
      </c>
      <c r="AC2299">
        <v>0</v>
      </c>
      <c r="AD2299">
        <v>42</v>
      </c>
      <c r="AE2299" s="7"/>
      <c r="AF2299" s="7"/>
      <c r="AG2299" s="7"/>
      <c r="AH2299" s="7"/>
      <c r="AI2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99" s="7"/>
      <c r="AK2299" t="s">
        <v>1146</v>
      </c>
      <c r="AN2299">
        <f>IFERROR(INT(Table13[[#This Row],[reject_prod]]/Table13[[#This Row],[part_weight]] * 1000), 0)</f>
        <v>0</v>
      </c>
    </row>
    <row r="2300" spans="1:40">
      <c r="A2300" s="1">
        <v>46090</v>
      </c>
      <c r="B2300">
        <v>2</v>
      </c>
      <c r="C2300">
        <v>13</v>
      </c>
      <c r="D2300" t="s">
        <v>59</v>
      </c>
      <c r="E2300" t="s">
        <v>46</v>
      </c>
      <c r="F2300">
        <v>586276</v>
      </c>
      <c r="G2300" s="6">
        <v>2</v>
      </c>
      <c r="H2300" t="s">
        <v>47</v>
      </c>
      <c r="I2300">
        <v>10688946</v>
      </c>
      <c r="J2300">
        <v>6</v>
      </c>
      <c r="K2300">
        <v>12.3</v>
      </c>
      <c r="L2300">
        <v>12.3</v>
      </c>
      <c r="M2300">
        <v>1620</v>
      </c>
      <c r="N2300" s="2">
        <v>162000</v>
      </c>
      <c r="O2300" s="2">
        <v>0</v>
      </c>
      <c r="P2300" s="2">
        <v>1620</v>
      </c>
      <c r="Q2300" s="2">
        <v>9720</v>
      </c>
      <c r="R2300" s="2">
        <v>8100</v>
      </c>
      <c r="S2300">
        <v>99.63</v>
      </c>
      <c r="T2300" s="2">
        <v>139320</v>
      </c>
      <c r="U2300" s="2">
        <v>22680</v>
      </c>
      <c r="V2300">
        <v>119.556</v>
      </c>
      <c r="W2300">
        <v>0</v>
      </c>
      <c r="X2300">
        <v>0</v>
      </c>
      <c r="Y2300">
        <v>0</v>
      </c>
      <c r="Z2300">
        <v>1.2</v>
      </c>
      <c r="AA2300">
        <v>1.0037137E-2</v>
      </c>
      <c r="AB2300">
        <v>26.2</v>
      </c>
      <c r="AC2300">
        <v>11.79</v>
      </c>
      <c r="AD2300">
        <v>26</v>
      </c>
      <c r="AE2300" s="7"/>
      <c r="AF2300" s="7"/>
      <c r="AG2300" s="7"/>
      <c r="AH2300" s="7"/>
      <c r="AI2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00" s="7"/>
      <c r="AK2300" t="s">
        <v>51</v>
      </c>
      <c r="AN2300">
        <f>IFERROR(INT(Table13[[#This Row],[reject_prod]]/Table13[[#This Row],[part_weight]] * 1000), 0)</f>
        <v>97</v>
      </c>
    </row>
    <row r="2301" spans="1:40">
      <c r="A2301" s="1">
        <v>46090</v>
      </c>
      <c r="B2301">
        <v>2</v>
      </c>
      <c r="C2301">
        <v>14</v>
      </c>
      <c r="D2301" t="s">
        <v>117</v>
      </c>
      <c r="E2301" t="s">
        <v>34</v>
      </c>
      <c r="F2301">
        <v>541381</v>
      </c>
      <c r="G2301" s="6">
        <v>0</v>
      </c>
      <c r="H2301" t="s">
        <v>804</v>
      </c>
      <c r="I2301">
        <v>10688073</v>
      </c>
      <c r="J2301">
        <v>4</v>
      </c>
      <c r="K2301">
        <v>55</v>
      </c>
      <c r="L2301">
        <v>55</v>
      </c>
      <c r="M2301">
        <v>1270</v>
      </c>
      <c r="N2301" s="2">
        <v>84000</v>
      </c>
      <c r="O2301" s="2">
        <v>0</v>
      </c>
      <c r="P2301" s="2">
        <v>175</v>
      </c>
      <c r="Q2301" s="2">
        <v>5080</v>
      </c>
      <c r="R2301" s="2">
        <v>4900</v>
      </c>
      <c r="S2301">
        <v>269.5</v>
      </c>
      <c r="T2301" s="2">
        <v>60375</v>
      </c>
      <c r="U2301" s="2">
        <v>23625</v>
      </c>
      <c r="V2301">
        <v>279.39999999999998</v>
      </c>
      <c r="W2301">
        <v>0</v>
      </c>
      <c r="X2301">
        <v>0</v>
      </c>
      <c r="Y2301">
        <v>0</v>
      </c>
      <c r="Z2301">
        <v>20.5</v>
      </c>
      <c r="AA2301">
        <v>7.3371510000000001E-2</v>
      </c>
      <c r="AB2301">
        <v>28.8</v>
      </c>
      <c r="AC2301">
        <v>10.16</v>
      </c>
      <c r="AD2301">
        <v>30.08</v>
      </c>
      <c r="AE2301" s="7"/>
      <c r="AF2301" s="7"/>
      <c r="AG2301" s="7"/>
      <c r="AH2301" s="7"/>
      <c r="AI2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1.8399999999999999</v>
      </c>
      <c r="AJ2301" s="7"/>
      <c r="AK2301" t="s">
        <v>1165</v>
      </c>
      <c r="AN2301">
        <f>IFERROR(INT(Table13[[#This Row],[reject_prod]]/Table13[[#This Row],[part_weight]] * 1000), 0)</f>
        <v>372</v>
      </c>
    </row>
    <row r="2302" spans="1:40">
      <c r="A2302" s="1">
        <v>46090</v>
      </c>
      <c r="B2302">
        <v>2</v>
      </c>
      <c r="C2302">
        <v>15</v>
      </c>
      <c r="D2302" t="s">
        <v>59</v>
      </c>
      <c r="E2302" t="s">
        <v>46</v>
      </c>
      <c r="F2302">
        <v>552181</v>
      </c>
      <c r="G2302" s="6">
        <v>2</v>
      </c>
      <c r="H2302" t="s">
        <v>49</v>
      </c>
      <c r="I2302">
        <v>10686680</v>
      </c>
      <c r="J2302">
        <v>6</v>
      </c>
      <c r="K2302">
        <v>14.7</v>
      </c>
      <c r="L2302">
        <v>14.7</v>
      </c>
      <c r="M2302">
        <v>1400</v>
      </c>
      <c r="N2302" s="2">
        <v>108000</v>
      </c>
      <c r="O2302" s="2">
        <v>270</v>
      </c>
      <c r="P2302" s="2">
        <v>3240</v>
      </c>
      <c r="Q2302" s="2">
        <v>8400</v>
      </c>
      <c r="R2302" s="2">
        <v>5400</v>
      </c>
      <c r="S2302">
        <v>79.38</v>
      </c>
      <c r="T2302" s="2">
        <v>95040</v>
      </c>
      <c r="U2302" s="2">
        <v>12960</v>
      </c>
      <c r="V2302">
        <v>123.48</v>
      </c>
      <c r="W2302">
        <v>0</v>
      </c>
      <c r="X2302">
        <v>0</v>
      </c>
      <c r="Y2302">
        <v>0</v>
      </c>
      <c r="Z2302">
        <v>1.1000000000000001</v>
      </c>
      <c r="AA2302">
        <v>8.9083249999999999E-3</v>
      </c>
      <c r="AB2302">
        <v>30.6</v>
      </c>
      <c r="AC2302">
        <v>11.9</v>
      </c>
      <c r="AD2302">
        <v>27</v>
      </c>
      <c r="AE2302" s="7"/>
      <c r="AF2302" s="7"/>
      <c r="AG2302" s="7"/>
      <c r="AH2302" s="7"/>
      <c r="AI2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302" s="7"/>
      <c r="AK2302" t="s">
        <v>51</v>
      </c>
      <c r="AN2302">
        <f>IFERROR(INT(Table13[[#This Row],[reject_prod]]/Table13[[#This Row],[part_weight]] * 1000), 0)</f>
        <v>74</v>
      </c>
    </row>
    <row r="2303" spans="1:40">
      <c r="A2303" s="1">
        <v>46090</v>
      </c>
      <c r="B2303">
        <v>2</v>
      </c>
      <c r="C2303">
        <v>16</v>
      </c>
      <c r="D2303" t="s">
        <v>89</v>
      </c>
      <c r="E2303" t="s">
        <v>46</v>
      </c>
      <c r="F2303">
        <v>555979</v>
      </c>
      <c r="G2303" s="6">
        <v>2</v>
      </c>
      <c r="H2303" t="s">
        <v>52</v>
      </c>
      <c r="I2303">
        <v>10688074</v>
      </c>
      <c r="J2303">
        <v>6</v>
      </c>
      <c r="K2303">
        <v>28</v>
      </c>
      <c r="L2303">
        <v>28</v>
      </c>
      <c r="M2303">
        <v>1030</v>
      </c>
      <c r="N2303" s="2">
        <v>100800</v>
      </c>
      <c r="O2303" s="2">
        <v>1680</v>
      </c>
      <c r="P2303" s="2">
        <v>1008</v>
      </c>
      <c r="Q2303" s="2">
        <v>6180</v>
      </c>
      <c r="R2303" s="2">
        <v>6720</v>
      </c>
      <c r="S2303">
        <v>188.16</v>
      </c>
      <c r="T2303" s="2">
        <v>27888</v>
      </c>
      <c r="U2303" s="2">
        <v>72912</v>
      </c>
      <c r="V2303">
        <v>173.04</v>
      </c>
      <c r="W2303">
        <v>0</v>
      </c>
      <c r="X2303">
        <v>0</v>
      </c>
      <c r="Y2303">
        <v>0</v>
      </c>
      <c r="Z2303">
        <v>1</v>
      </c>
      <c r="AA2303">
        <v>5.7790109999999997E-3</v>
      </c>
      <c r="AB2303">
        <v>40.5</v>
      </c>
      <c r="AC2303">
        <v>11.5875</v>
      </c>
      <c r="AD2303">
        <v>42</v>
      </c>
      <c r="AE2303" s="7"/>
      <c r="AF2303" s="7"/>
      <c r="AG2303" s="7"/>
      <c r="AH2303" s="7"/>
      <c r="AI2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0.41249999999999964</v>
      </c>
      <c r="AJ2303" s="7"/>
      <c r="AK2303" t="s">
        <v>51</v>
      </c>
      <c r="AN2303">
        <f>IFERROR(INT(Table13[[#This Row],[reject_prod]]/Table13[[#This Row],[part_weight]] * 1000), 0)</f>
        <v>35</v>
      </c>
    </row>
    <row r="2304" spans="1:40">
      <c r="A2304" s="1">
        <v>46091</v>
      </c>
      <c r="B2304">
        <v>1</v>
      </c>
      <c r="C2304">
        <v>1</v>
      </c>
      <c r="D2304" t="s">
        <v>1166</v>
      </c>
      <c r="E2304" t="s">
        <v>34</v>
      </c>
      <c r="F2304">
        <v>577492</v>
      </c>
      <c r="G2304" s="6">
        <v>0</v>
      </c>
      <c r="H2304" t="s">
        <v>341</v>
      </c>
      <c r="I2304">
        <v>10688947</v>
      </c>
      <c r="J2304">
        <v>4</v>
      </c>
      <c r="K2304">
        <v>35.6</v>
      </c>
      <c r="L2304">
        <v>35.6</v>
      </c>
      <c r="M2304">
        <v>1614</v>
      </c>
      <c r="N2304" s="2">
        <v>80960</v>
      </c>
      <c r="O2304" s="2">
        <v>1104</v>
      </c>
      <c r="P2304" s="2">
        <v>184</v>
      </c>
      <c r="Q2304" s="2">
        <v>6456</v>
      </c>
      <c r="R2304" s="2">
        <v>7360</v>
      </c>
      <c r="S2304">
        <v>262.01600000000002</v>
      </c>
      <c r="T2304" s="2">
        <v>49864</v>
      </c>
      <c r="U2304" s="2">
        <v>31096</v>
      </c>
      <c r="V2304">
        <v>229.83359999999999</v>
      </c>
      <c r="W2304">
        <v>0</v>
      </c>
      <c r="X2304">
        <v>0</v>
      </c>
      <c r="Y2304">
        <v>0</v>
      </c>
      <c r="Z2304">
        <v>0.5</v>
      </c>
      <c r="AA2304">
        <v>2.1754869999999998E-3</v>
      </c>
      <c r="AB2304">
        <v>26</v>
      </c>
      <c r="AC2304">
        <v>11.65666667</v>
      </c>
      <c r="AD2304">
        <v>27</v>
      </c>
      <c r="AE2304" s="7"/>
      <c r="AF2304" s="7"/>
      <c r="AG2304" s="7"/>
      <c r="AH2304" s="7"/>
      <c r="AI2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0.3433333300000001</v>
      </c>
      <c r="AJ2304" s="7"/>
      <c r="AK2304" t="s">
        <v>51</v>
      </c>
      <c r="AL2304">
        <v>1</v>
      </c>
      <c r="AM2304">
        <v>1</v>
      </c>
      <c r="AN2304">
        <f>IFERROR(INT(Table13[[#This Row],[reject_prod]]/Table13[[#This Row],[part_weight]] * 1000), 0)</f>
        <v>14</v>
      </c>
    </row>
    <row r="2305" spans="1:40">
      <c r="A2305" s="1">
        <v>46091</v>
      </c>
      <c r="B2305">
        <v>1</v>
      </c>
      <c r="C2305">
        <v>2</v>
      </c>
      <c r="D2305" t="s">
        <v>67</v>
      </c>
      <c r="E2305" t="s">
        <v>34</v>
      </c>
      <c r="F2305">
        <v>463202</v>
      </c>
      <c r="G2305" s="6">
        <v>0</v>
      </c>
      <c r="H2305" t="s">
        <v>320</v>
      </c>
      <c r="I2305">
        <v>10688493</v>
      </c>
      <c r="J2305">
        <v>4</v>
      </c>
      <c r="K2305">
        <v>23</v>
      </c>
      <c r="L2305">
        <v>23</v>
      </c>
      <c r="M2305">
        <v>1989</v>
      </c>
      <c r="N2305" s="2">
        <v>40920</v>
      </c>
      <c r="O2305" s="2">
        <v>3720</v>
      </c>
      <c r="P2305" s="2">
        <v>465</v>
      </c>
      <c r="Q2305" s="2">
        <v>7956</v>
      </c>
      <c r="R2305" s="2">
        <v>11160</v>
      </c>
      <c r="S2305">
        <v>256.68</v>
      </c>
      <c r="T2305" s="2">
        <v>39525</v>
      </c>
      <c r="U2305" s="2">
        <v>1395</v>
      </c>
      <c r="V2305">
        <v>182.988</v>
      </c>
      <c r="W2305">
        <v>0</v>
      </c>
      <c r="X2305">
        <v>0</v>
      </c>
      <c r="Y2305">
        <v>0</v>
      </c>
      <c r="Z2305">
        <v>1.2</v>
      </c>
      <c r="AA2305">
        <v>6.5578069999999997E-3</v>
      </c>
      <c r="AB2305">
        <v>21.98</v>
      </c>
      <c r="AC2305">
        <v>12</v>
      </c>
      <c r="AD2305">
        <v>22.92</v>
      </c>
      <c r="AE2305" s="7"/>
      <c r="AF2305" s="7"/>
      <c r="AG2305" s="7"/>
      <c r="AH2305" s="7"/>
      <c r="AI2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05" s="7"/>
      <c r="AK2305" t="s">
        <v>214</v>
      </c>
      <c r="AL2305">
        <v>2</v>
      </c>
      <c r="AM2305">
        <v>2</v>
      </c>
      <c r="AN2305">
        <f>IFERROR(INT(Table13[[#This Row],[reject_prod]]/Table13[[#This Row],[part_weight]] * 1000), 0)</f>
        <v>52</v>
      </c>
    </row>
    <row r="2306" spans="1:40">
      <c r="A2306" s="1">
        <v>46091</v>
      </c>
      <c r="B2306">
        <v>1</v>
      </c>
      <c r="C2306">
        <v>3</v>
      </c>
      <c r="D2306" t="s">
        <v>213</v>
      </c>
      <c r="E2306" t="s">
        <v>34</v>
      </c>
      <c r="F2306">
        <v>442034</v>
      </c>
      <c r="G2306" s="6">
        <v>0</v>
      </c>
      <c r="H2306" t="s">
        <v>37</v>
      </c>
      <c r="I2306">
        <v>10685635</v>
      </c>
      <c r="J2306">
        <v>4</v>
      </c>
      <c r="K2306">
        <v>23</v>
      </c>
      <c r="L2306">
        <v>23</v>
      </c>
      <c r="M2306">
        <v>657</v>
      </c>
      <c r="N2306" s="2">
        <v>139776</v>
      </c>
      <c r="O2306" s="2">
        <v>768</v>
      </c>
      <c r="P2306" s="2">
        <v>3072</v>
      </c>
      <c r="Q2306" s="2">
        <v>2628</v>
      </c>
      <c r="R2306" s="2">
        <v>0</v>
      </c>
      <c r="S2306">
        <v>0</v>
      </c>
      <c r="T2306" s="2">
        <v>62976</v>
      </c>
      <c r="U2306" s="2">
        <v>76800</v>
      </c>
      <c r="V2306">
        <v>60.444000000000003</v>
      </c>
      <c r="W2306">
        <v>0</v>
      </c>
      <c r="X2306">
        <v>0</v>
      </c>
      <c r="Y2306">
        <v>0</v>
      </c>
      <c r="Z2306">
        <v>7.4</v>
      </c>
      <c r="AA2306">
        <v>0.12242737099999999</v>
      </c>
      <c r="AB2306">
        <v>26.1</v>
      </c>
      <c r="AC2306">
        <v>4.7632500000000002</v>
      </c>
      <c r="AD2306">
        <v>22</v>
      </c>
      <c r="AE2306" s="7"/>
      <c r="AF2306" s="7"/>
      <c r="AG2306" s="7"/>
      <c r="AH2306" s="7"/>
      <c r="AI2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7.2367499999999998</v>
      </c>
      <c r="AJ2306" s="7"/>
      <c r="AK2306" t="s">
        <v>1167</v>
      </c>
      <c r="AL2306">
        <v>4</v>
      </c>
      <c r="AM2306">
        <v>2</v>
      </c>
      <c r="AN2306">
        <f>IFERROR(INT(Table13[[#This Row],[reject_prod]]/Table13[[#This Row],[part_weight]] * 1000), 0)</f>
        <v>321</v>
      </c>
    </row>
    <row r="2307" spans="1:40">
      <c r="A2307" s="1">
        <v>46091</v>
      </c>
      <c r="B2307">
        <v>1</v>
      </c>
      <c r="C2307">
        <v>4</v>
      </c>
      <c r="D2307" t="s">
        <v>1168</v>
      </c>
      <c r="E2307" t="s">
        <v>34</v>
      </c>
      <c r="F2307">
        <v>426555</v>
      </c>
      <c r="G2307" s="6">
        <v>0</v>
      </c>
      <c r="H2307" t="s">
        <v>1128</v>
      </c>
      <c r="I2307">
        <v>10688066</v>
      </c>
      <c r="J2307">
        <v>4</v>
      </c>
      <c r="K2307">
        <v>29</v>
      </c>
      <c r="L2307">
        <v>29</v>
      </c>
      <c r="M2307">
        <v>1685</v>
      </c>
      <c r="N2307" s="2">
        <v>81600</v>
      </c>
      <c r="O2307" s="2">
        <v>980</v>
      </c>
      <c r="P2307" s="2">
        <v>510</v>
      </c>
      <c r="Q2307" s="2">
        <v>6740</v>
      </c>
      <c r="R2307" s="2">
        <v>7140</v>
      </c>
      <c r="S2307">
        <v>207.06</v>
      </c>
      <c r="T2307" s="2">
        <v>25050</v>
      </c>
      <c r="U2307" s="2">
        <v>56550</v>
      </c>
      <c r="V2307">
        <v>195.46</v>
      </c>
      <c r="W2307">
        <v>0</v>
      </c>
      <c r="X2307">
        <v>0</v>
      </c>
      <c r="Y2307">
        <v>0</v>
      </c>
      <c r="Z2307">
        <v>1.9</v>
      </c>
      <c r="AA2307">
        <v>9.7206589999999995E-3</v>
      </c>
      <c r="AB2307">
        <v>24.6</v>
      </c>
      <c r="AC2307">
        <v>11.51416667</v>
      </c>
      <c r="AD2307">
        <v>22.72</v>
      </c>
      <c r="AE2307" s="7"/>
      <c r="AF2307" s="7"/>
      <c r="AG2307" s="7"/>
      <c r="AH2307" s="7"/>
      <c r="AI2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0.48583333000000017</v>
      </c>
      <c r="AJ2307" s="7"/>
      <c r="AK2307" t="s">
        <v>214</v>
      </c>
      <c r="AM2307">
        <v>1</v>
      </c>
      <c r="AN2307">
        <f>IFERROR(INT(Table13[[#This Row],[reject_prod]]/Table13[[#This Row],[part_weight]] * 1000), 0)</f>
        <v>65</v>
      </c>
    </row>
    <row r="2308" spans="1:40">
      <c r="A2308" s="1">
        <v>46091</v>
      </c>
      <c r="B2308">
        <v>1</v>
      </c>
      <c r="C2308">
        <v>5</v>
      </c>
      <c r="D2308" t="s">
        <v>1169</v>
      </c>
      <c r="E2308" t="s">
        <v>34</v>
      </c>
      <c r="F2308">
        <v>322448</v>
      </c>
      <c r="G2308" s="6">
        <v>0</v>
      </c>
      <c r="H2308" t="s">
        <v>654</v>
      </c>
      <c r="I2308">
        <v>10687753</v>
      </c>
      <c r="J2308">
        <v>4</v>
      </c>
      <c r="K2308">
        <v>40</v>
      </c>
      <c r="L2308">
        <v>40</v>
      </c>
      <c r="M2308">
        <v>1611</v>
      </c>
      <c r="N2308" s="2">
        <v>174960</v>
      </c>
      <c r="O2308" s="2">
        <v>0</v>
      </c>
      <c r="P2308" s="2">
        <v>1458</v>
      </c>
      <c r="Q2308" s="2">
        <v>6444</v>
      </c>
      <c r="R2308" s="2">
        <v>4860</v>
      </c>
      <c r="S2308">
        <v>194.4</v>
      </c>
      <c r="T2308" s="2">
        <v>145638</v>
      </c>
      <c r="U2308" s="2">
        <v>29322</v>
      </c>
      <c r="V2308">
        <v>257.76</v>
      </c>
      <c r="W2308">
        <v>0</v>
      </c>
      <c r="X2308">
        <v>0</v>
      </c>
      <c r="Y2308">
        <v>0</v>
      </c>
      <c r="Z2308">
        <v>5</v>
      </c>
      <c r="AA2308">
        <v>1.9397890000000001E-2</v>
      </c>
      <c r="AB2308">
        <v>26.1</v>
      </c>
      <c r="AC2308">
        <v>11.67975</v>
      </c>
      <c r="AD2308">
        <v>23</v>
      </c>
      <c r="AE2308" s="7"/>
      <c r="AF2308" s="7"/>
      <c r="AG2308" s="7"/>
      <c r="AH2308" s="7"/>
      <c r="AI2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0.3202499999999997</v>
      </c>
      <c r="AJ2308" s="7"/>
      <c r="AK2308" t="s">
        <v>356</v>
      </c>
      <c r="AN2308">
        <f>IFERROR(INT(Table13[[#This Row],[reject_prod]]/Table13[[#This Row],[part_weight]] * 1000), 0)</f>
        <v>125</v>
      </c>
    </row>
    <row r="2309" spans="1:40">
      <c r="A2309" s="1">
        <v>46091</v>
      </c>
      <c r="B2309">
        <v>1</v>
      </c>
      <c r="C2309">
        <v>6</v>
      </c>
      <c r="D2309" t="s">
        <v>453</v>
      </c>
      <c r="E2309" t="s">
        <v>34</v>
      </c>
      <c r="F2309">
        <v>532981</v>
      </c>
      <c r="G2309" s="6">
        <v>0</v>
      </c>
      <c r="H2309" t="s">
        <v>233</v>
      </c>
      <c r="I2309">
        <v>10688648</v>
      </c>
      <c r="J2309">
        <v>4</v>
      </c>
      <c r="K2309">
        <v>24.45</v>
      </c>
      <c r="L2309">
        <v>24</v>
      </c>
      <c r="M2309">
        <v>1840</v>
      </c>
      <c r="N2309" s="2">
        <v>87552</v>
      </c>
      <c r="O2309" s="2">
        <v>1824</v>
      </c>
      <c r="P2309" s="2">
        <v>3648</v>
      </c>
      <c r="Q2309" s="2">
        <v>7360</v>
      </c>
      <c r="R2309" s="2">
        <v>5472</v>
      </c>
      <c r="S2309">
        <v>131.328</v>
      </c>
      <c r="T2309" s="2">
        <v>85728</v>
      </c>
      <c r="U2309" s="2">
        <v>1824</v>
      </c>
      <c r="V2309">
        <v>176.64</v>
      </c>
      <c r="W2309">
        <v>0</v>
      </c>
      <c r="X2309">
        <v>0</v>
      </c>
      <c r="Y2309">
        <v>0</v>
      </c>
      <c r="Z2309">
        <v>1.5</v>
      </c>
      <c r="AA2309">
        <v>8.4918479999999998E-3</v>
      </c>
      <c r="AB2309">
        <v>23.2</v>
      </c>
      <c r="AC2309">
        <v>11.857777779999999</v>
      </c>
      <c r="AD2309">
        <v>20</v>
      </c>
      <c r="AE2309" s="7"/>
      <c r="AF2309" s="7"/>
      <c r="AG2309" s="7"/>
      <c r="AH2309" s="7"/>
      <c r="AI2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0.14222222000000073</v>
      </c>
      <c r="AJ2309" s="7"/>
      <c r="AK2309" t="s">
        <v>214</v>
      </c>
      <c r="AN2309">
        <f>IFERROR(INT(Table13[[#This Row],[reject_prod]]/Table13[[#This Row],[part_weight]] * 1000), 0)</f>
        <v>62</v>
      </c>
    </row>
    <row r="2310" spans="1:40">
      <c r="A2310" s="1">
        <v>46091</v>
      </c>
      <c r="B2310">
        <v>1</v>
      </c>
      <c r="C2310">
        <v>7</v>
      </c>
      <c r="D2310" t="s">
        <v>1170</v>
      </c>
      <c r="E2310" t="s">
        <v>34</v>
      </c>
      <c r="F2310">
        <v>322452</v>
      </c>
      <c r="G2310" s="6">
        <v>0</v>
      </c>
      <c r="H2310" t="s">
        <v>374</v>
      </c>
      <c r="I2310">
        <v>10689204</v>
      </c>
      <c r="J2310">
        <v>4</v>
      </c>
      <c r="K2310">
        <v>33.11</v>
      </c>
      <c r="L2310">
        <v>34.5</v>
      </c>
      <c r="M2310">
        <v>1849</v>
      </c>
      <c r="N2310" s="2">
        <v>49920</v>
      </c>
      <c r="O2310" s="2">
        <v>780</v>
      </c>
      <c r="P2310" s="2">
        <v>624</v>
      </c>
      <c r="Q2310" s="2">
        <v>7396</v>
      </c>
      <c r="R2310" s="2">
        <v>7488</v>
      </c>
      <c r="S2310">
        <v>258.33600000000001</v>
      </c>
      <c r="T2310" s="2">
        <v>48048</v>
      </c>
      <c r="U2310" s="2">
        <v>1872</v>
      </c>
      <c r="V2310">
        <v>255.16200000000001</v>
      </c>
      <c r="W2310">
        <v>0</v>
      </c>
      <c r="X2310">
        <v>0</v>
      </c>
      <c r="Y2310">
        <v>0</v>
      </c>
      <c r="Z2310">
        <v>2.2000000000000002</v>
      </c>
      <c r="AA2310">
        <v>8.6219729999999998E-3</v>
      </c>
      <c r="AB2310">
        <v>22.9</v>
      </c>
      <c r="AC2310">
        <v>11.761694439999999</v>
      </c>
      <c r="AD2310">
        <v>18.04</v>
      </c>
      <c r="AE2310" s="7"/>
      <c r="AF2310" s="7"/>
      <c r="AG2310" s="7"/>
      <c r="AH2310" s="7"/>
      <c r="AI2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0.23830556000000058</v>
      </c>
      <c r="AJ2310" s="7"/>
      <c r="AK2310" t="s">
        <v>103</v>
      </c>
      <c r="AL2310">
        <v>2</v>
      </c>
      <c r="AM2310">
        <v>1</v>
      </c>
      <c r="AN2310">
        <f>IFERROR(INT(Table13[[#This Row],[reject_prod]]/Table13[[#This Row],[part_weight]] * 1000), 0)</f>
        <v>63</v>
      </c>
    </row>
    <row r="2311" spans="1:40">
      <c r="A2311" s="1">
        <v>46091</v>
      </c>
      <c r="B2311">
        <v>1</v>
      </c>
      <c r="C2311">
        <v>8</v>
      </c>
      <c r="D2311" t="s">
        <v>143</v>
      </c>
      <c r="E2311" t="s">
        <v>41</v>
      </c>
      <c r="F2311">
        <v>593537</v>
      </c>
      <c r="G2311" s="6">
        <v>0</v>
      </c>
      <c r="H2311" t="s">
        <v>48</v>
      </c>
      <c r="I2311">
        <v>10688067</v>
      </c>
      <c r="J2311">
        <v>4</v>
      </c>
      <c r="K2311">
        <v>56.5</v>
      </c>
      <c r="L2311">
        <v>56.8</v>
      </c>
      <c r="M2311">
        <v>701</v>
      </c>
      <c r="N2311" s="2">
        <v>69000</v>
      </c>
      <c r="O2311" s="2">
        <v>805</v>
      </c>
      <c r="P2311" s="2">
        <v>690</v>
      </c>
      <c r="Q2311" s="2">
        <v>2804</v>
      </c>
      <c r="R2311" s="2">
        <v>2875</v>
      </c>
      <c r="S2311">
        <v>163.30000000000001</v>
      </c>
      <c r="T2311" s="2">
        <v>66815</v>
      </c>
      <c r="U2311" s="2">
        <v>2185</v>
      </c>
      <c r="V2311">
        <v>159.2672</v>
      </c>
      <c r="W2311">
        <v>0</v>
      </c>
      <c r="X2311">
        <v>0</v>
      </c>
      <c r="Y2311">
        <v>0</v>
      </c>
      <c r="Z2311">
        <v>2.5</v>
      </c>
      <c r="AA2311">
        <v>1.5696892E-2</v>
      </c>
      <c r="AB2311">
        <v>29</v>
      </c>
      <c r="AC2311">
        <v>5.6469444439999998</v>
      </c>
      <c r="AD2311">
        <v>28.5</v>
      </c>
      <c r="AE2311" s="7"/>
      <c r="AF2311" s="7"/>
      <c r="AG2311" s="7"/>
      <c r="AH2311" s="7"/>
      <c r="AI23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6.3530555560000002</v>
      </c>
      <c r="AJ2311" s="7"/>
      <c r="AK2311" t="s">
        <v>1171</v>
      </c>
      <c r="AL2311">
        <v>15</v>
      </c>
      <c r="AM2311">
        <v>15</v>
      </c>
      <c r="AN2311">
        <f>IFERROR(INT(Table13[[#This Row],[reject_prod]]/Table13[[#This Row],[part_weight]] * 1000), 0)</f>
        <v>44</v>
      </c>
    </row>
    <row r="2312" spans="1:40">
      <c r="A2312" s="1">
        <v>46091</v>
      </c>
      <c r="B2312">
        <v>1</v>
      </c>
      <c r="C2312">
        <v>9</v>
      </c>
      <c r="D2312" t="s">
        <v>152</v>
      </c>
      <c r="E2312" t="s">
        <v>46</v>
      </c>
      <c r="F2312">
        <v>586276</v>
      </c>
      <c r="G2312" s="6">
        <v>1</v>
      </c>
      <c r="H2312" t="s">
        <v>47</v>
      </c>
      <c r="I2312">
        <v>10689111</v>
      </c>
      <c r="J2312">
        <v>6</v>
      </c>
      <c r="K2312">
        <v>12.3</v>
      </c>
      <c r="L2312">
        <v>12.3</v>
      </c>
      <c r="M2312">
        <v>1606</v>
      </c>
      <c r="N2312" s="2">
        <v>162000</v>
      </c>
      <c r="O2312" s="2">
        <v>2430</v>
      </c>
      <c r="P2312" s="2">
        <v>3645</v>
      </c>
      <c r="Q2312" s="2">
        <v>9636</v>
      </c>
      <c r="R2312" s="2">
        <v>8100</v>
      </c>
      <c r="S2312">
        <v>99.63</v>
      </c>
      <c r="T2312" s="2">
        <v>19845</v>
      </c>
      <c r="U2312" s="2">
        <v>142155</v>
      </c>
      <c r="V2312">
        <v>118.5228</v>
      </c>
      <c r="W2312">
        <v>0</v>
      </c>
      <c r="X2312">
        <v>0</v>
      </c>
      <c r="Y2312">
        <v>0</v>
      </c>
      <c r="Z2312">
        <v>3.8</v>
      </c>
      <c r="AA2312">
        <v>3.2061342E-2</v>
      </c>
      <c r="AB2312">
        <v>26.5</v>
      </c>
      <c r="AC2312">
        <v>11.821944439999999</v>
      </c>
      <c r="AD2312">
        <v>26</v>
      </c>
      <c r="AE2312" s="7"/>
      <c r="AF2312" s="7"/>
      <c r="AG2312" s="7"/>
      <c r="AH2312" s="7"/>
      <c r="AI2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0.17805556000000067</v>
      </c>
      <c r="AJ2312" s="7"/>
      <c r="AK2312" t="s">
        <v>1172</v>
      </c>
      <c r="AN2312">
        <f>IFERROR(INT(Table13[[#This Row],[reject_prod]]/Table13[[#This Row],[part_weight]] * 1000), 0)</f>
        <v>308</v>
      </c>
    </row>
    <row r="2313" spans="1:40">
      <c r="A2313" s="1">
        <v>46091</v>
      </c>
      <c r="B2313">
        <v>1</v>
      </c>
      <c r="C2313">
        <v>10</v>
      </c>
      <c r="D2313" t="s">
        <v>141</v>
      </c>
      <c r="E2313" t="s">
        <v>34</v>
      </c>
      <c r="F2313">
        <v>414439</v>
      </c>
      <c r="G2313" s="6">
        <v>0</v>
      </c>
      <c r="H2313" t="s">
        <v>587</v>
      </c>
      <c r="I2313">
        <v>10688521</v>
      </c>
      <c r="J2313">
        <v>6</v>
      </c>
      <c r="K2313">
        <v>57</v>
      </c>
      <c r="L2313">
        <v>15</v>
      </c>
      <c r="M2313">
        <v>1671</v>
      </c>
      <c r="N2313" s="2">
        <v>206976</v>
      </c>
      <c r="O2313" s="2">
        <v>1232</v>
      </c>
      <c r="P2313" s="2">
        <v>3696</v>
      </c>
      <c r="Q2313" s="2">
        <v>10026</v>
      </c>
      <c r="R2313" s="2">
        <v>7392</v>
      </c>
      <c r="S2313">
        <v>110.88</v>
      </c>
      <c r="T2313" s="2">
        <v>114576</v>
      </c>
      <c r="U2313" s="2">
        <v>92400</v>
      </c>
      <c r="V2313">
        <v>150.38999999999999</v>
      </c>
      <c r="W2313">
        <v>0</v>
      </c>
      <c r="X2313">
        <v>0</v>
      </c>
      <c r="Y2313">
        <v>0</v>
      </c>
      <c r="Z2313">
        <v>2.5</v>
      </c>
      <c r="AA2313">
        <v>1.6623446E-2</v>
      </c>
      <c r="AB2313">
        <v>23.7</v>
      </c>
      <c r="AC2313">
        <v>11.00075</v>
      </c>
      <c r="AD2313">
        <v>15</v>
      </c>
      <c r="AE2313" s="7"/>
      <c r="AF2313" s="7"/>
      <c r="AG2313" s="7"/>
      <c r="AH2313" s="7"/>
      <c r="AI2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0.99924999999999997</v>
      </c>
      <c r="AJ2313" s="7"/>
      <c r="AK2313" t="s">
        <v>606</v>
      </c>
      <c r="AL2313">
        <v>2</v>
      </c>
      <c r="AM2313">
        <v>3</v>
      </c>
      <c r="AN2313">
        <f>IFERROR(INT(Table13[[#This Row],[reject_prod]]/Table13[[#This Row],[part_weight]] * 1000), 0)</f>
        <v>166</v>
      </c>
    </row>
    <row r="2314" spans="1:40">
      <c r="A2314" s="1">
        <v>46091</v>
      </c>
      <c r="B2314">
        <v>1</v>
      </c>
      <c r="C2314">
        <v>11</v>
      </c>
      <c r="D2314" t="s">
        <v>33</v>
      </c>
      <c r="E2314" t="s">
        <v>46</v>
      </c>
      <c r="F2314">
        <v>552181</v>
      </c>
      <c r="G2314" s="6">
        <v>1</v>
      </c>
      <c r="H2314" t="s">
        <v>49</v>
      </c>
      <c r="I2314">
        <v>10688069</v>
      </c>
      <c r="J2314">
        <v>6</v>
      </c>
      <c r="K2314">
        <v>14.7</v>
      </c>
      <c r="L2314">
        <v>14.7</v>
      </c>
      <c r="M2314">
        <v>0</v>
      </c>
      <c r="N2314" s="2">
        <v>108000</v>
      </c>
      <c r="O2314" s="2">
        <v>6750</v>
      </c>
      <c r="P2314" s="2">
        <v>6750</v>
      </c>
      <c r="Q2314" s="2">
        <v>0</v>
      </c>
      <c r="R2314" s="2">
        <v>0</v>
      </c>
      <c r="S2314">
        <v>0</v>
      </c>
      <c r="T2314" s="2">
        <v>60750</v>
      </c>
      <c r="U2314" s="2">
        <v>47250</v>
      </c>
      <c r="V2314">
        <v>0</v>
      </c>
      <c r="W2314">
        <v>0</v>
      </c>
      <c r="X2314">
        <v>0</v>
      </c>
      <c r="Y2314" t="e">
        <v>#DIV/0!</v>
      </c>
      <c r="Z2314">
        <v>12.9</v>
      </c>
      <c r="AA2314" t="e">
        <v>#DIV/0!</v>
      </c>
      <c r="AB2314">
        <v>29.2</v>
      </c>
      <c r="AC2314">
        <v>0</v>
      </c>
      <c r="AD2314">
        <v>27</v>
      </c>
      <c r="AE2314" s="7"/>
      <c r="AF2314" s="7"/>
      <c r="AG2314" s="7"/>
      <c r="AH2314" s="7"/>
      <c r="AI2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14" s="7"/>
      <c r="AK2314" t="s">
        <v>1173</v>
      </c>
      <c r="AL2314">
        <v>2</v>
      </c>
      <c r="AM2314">
        <v>1</v>
      </c>
      <c r="AN2314">
        <f>IFERROR(INT(Table13[[#This Row],[reject_prod]]/Table13[[#This Row],[part_weight]] * 1000), 0)</f>
        <v>877</v>
      </c>
    </row>
    <row r="2315" spans="1:40">
      <c r="A2315" s="1">
        <v>46091</v>
      </c>
      <c r="B2315">
        <v>1</v>
      </c>
      <c r="C2315">
        <v>12</v>
      </c>
      <c r="D2315" t="s">
        <v>33</v>
      </c>
      <c r="E2315" t="s">
        <v>46</v>
      </c>
      <c r="F2315">
        <v>555979</v>
      </c>
      <c r="G2315" s="6">
        <v>1</v>
      </c>
      <c r="H2315" t="s">
        <v>52</v>
      </c>
      <c r="I2315">
        <v>10689126</v>
      </c>
      <c r="J2315">
        <v>6</v>
      </c>
      <c r="K2315">
        <v>28</v>
      </c>
      <c r="L2315">
        <v>28</v>
      </c>
      <c r="M2315">
        <v>0</v>
      </c>
      <c r="N2315" s="2">
        <v>100800</v>
      </c>
      <c r="O2315" s="2">
        <v>0</v>
      </c>
      <c r="P2315" s="2">
        <v>0</v>
      </c>
      <c r="Q2315" s="2">
        <v>0</v>
      </c>
      <c r="R2315" s="2">
        <v>0</v>
      </c>
      <c r="S2315">
        <v>0</v>
      </c>
      <c r="T2315" s="2">
        <v>0</v>
      </c>
      <c r="U2315" s="2">
        <v>100800</v>
      </c>
      <c r="V2315">
        <v>0</v>
      </c>
      <c r="W2315">
        <v>0</v>
      </c>
      <c r="X2315">
        <v>0</v>
      </c>
      <c r="Y2315" t="e">
        <v>#DIV/0!</v>
      </c>
      <c r="Z2315">
        <v>10.5</v>
      </c>
      <c r="AA2315" t="e">
        <v>#DIV/0!</v>
      </c>
      <c r="AB2315">
        <v>40.5</v>
      </c>
      <c r="AC2315">
        <v>0</v>
      </c>
      <c r="AD2315">
        <v>42</v>
      </c>
      <c r="AE2315" s="7"/>
      <c r="AF2315" s="7"/>
      <c r="AG2315" s="7"/>
      <c r="AH2315" s="7"/>
      <c r="AI2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15" s="7"/>
      <c r="AK2315" t="s">
        <v>1146</v>
      </c>
      <c r="AL2315">
        <v>4</v>
      </c>
      <c r="AM2315">
        <v>4</v>
      </c>
      <c r="AN2315">
        <f>IFERROR(INT(Table13[[#This Row],[reject_prod]]/Table13[[#This Row],[part_weight]] * 1000), 0)</f>
        <v>375</v>
      </c>
    </row>
    <row r="2316" spans="1:40">
      <c r="A2316" s="1">
        <v>46091</v>
      </c>
      <c r="B2316">
        <v>1</v>
      </c>
      <c r="C2316">
        <v>13</v>
      </c>
      <c r="D2316" t="s">
        <v>61</v>
      </c>
      <c r="E2316" t="s">
        <v>46</v>
      </c>
      <c r="F2316">
        <v>586276</v>
      </c>
      <c r="G2316" s="6">
        <v>2</v>
      </c>
      <c r="H2316" t="s">
        <v>47</v>
      </c>
      <c r="I2316">
        <v>10688946</v>
      </c>
      <c r="J2316">
        <v>6</v>
      </c>
      <c r="K2316">
        <v>12.3</v>
      </c>
      <c r="L2316">
        <v>12.3</v>
      </c>
      <c r="M2316">
        <v>1645</v>
      </c>
      <c r="N2316" s="2">
        <v>162000</v>
      </c>
      <c r="O2316" s="2">
        <v>1620</v>
      </c>
      <c r="P2316" s="2">
        <v>3240</v>
      </c>
      <c r="Q2316" s="2">
        <v>9870</v>
      </c>
      <c r="R2316" s="2">
        <v>8100</v>
      </c>
      <c r="S2316">
        <v>99.63</v>
      </c>
      <c r="T2316" s="2">
        <v>149040</v>
      </c>
      <c r="U2316" s="2">
        <v>12960</v>
      </c>
      <c r="V2316">
        <v>121.401</v>
      </c>
      <c r="W2316">
        <v>0</v>
      </c>
      <c r="X2316">
        <v>0</v>
      </c>
      <c r="Y2316">
        <v>0</v>
      </c>
      <c r="Z2316">
        <v>1.8</v>
      </c>
      <c r="AA2316">
        <v>1.4826896000000001E-2</v>
      </c>
      <c r="AB2316">
        <v>26.2</v>
      </c>
      <c r="AC2316">
        <v>11.97194444</v>
      </c>
      <c r="AD2316">
        <v>26</v>
      </c>
      <c r="AE2316" s="7"/>
      <c r="AF2316" s="7"/>
      <c r="AG2316" s="7"/>
      <c r="AH2316" s="7"/>
      <c r="AI2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2.8055560000000312E-2</v>
      </c>
      <c r="AJ2316" s="7"/>
      <c r="AK2316" t="s">
        <v>51</v>
      </c>
      <c r="AN2316">
        <f>IFERROR(INT(Table13[[#This Row],[reject_prod]]/Table13[[#This Row],[part_weight]] * 1000), 0)</f>
        <v>146</v>
      </c>
    </row>
    <row r="2317" spans="1:40">
      <c r="A2317" s="1">
        <v>46091</v>
      </c>
      <c r="B2317">
        <v>1</v>
      </c>
      <c r="C2317">
        <v>14</v>
      </c>
      <c r="D2317" t="s">
        <v>143</v>
      </c>
      <c r="E2317" t="s">
        <v>34</v>
      </c>
      <c r="F2317">
        <v>541381</v>
      </c>
      <c r="G2317" s="6">
        <v>0</v>
      </c>
      <c r="H2317" t="s">
        <v>804</v>
      </c>
      <c r="I2317">
        <v>10688073</v>
      </c>
      <c r="J2317">
        <v>4</v>
      </c>
      <c r="K2317">
        <v>55</v>
      </c>
      <c r="L2317">
        <v>55</v>
      </c>
      <c r="M2317">
        <v>312</v>
      </c>
      <c r="N2317" s="2">
        <v>84000</v>
      </c>
      <c r="O2317" s="2">
        <v>175</v>
      </c>
      <c r="P2317" s="2">
        <v>450</v>
      </c>
      <c r="Q2317" s="2">
        <v>1248</v>
      </c>
      <c r="R2317" s="2">
        <v>700</v>
      </c>
      <c r="S2317">
        <v>38.5</v>
      </c>
      <c r="T2317" s="2">
        <v>61350</v>
      </c>
      <c r="U2317" s="2">
        <v>22650</v>
      </c>
      <c r="V2317">
        <v>68.64</v>
      </c>
      <c r="W2317">
        <v>0</v>
      </c>
      <c r="X2317">
        <v>0</v>
      </c>
      <c r="Y2317">
        <v>0</v>
      </c>
      <c r="Z2317">
        <v>15</v>
      </c>
      <c r="AA2317">
        <v>0.21853146900000001</v>
      </c>
      <c r="AB2317">
        <v>28.8</v>
      </c>
      <c r="AC2317">
        <v>2.496</v>
      </c>
      <c r="AD2317">
        <v>30.08</v>
      </c>
      <c r="AE2317" s="7"/>
      <c r="AF2317" s="7"/>
      <c r="AG2317" s="7"/>
      <c r="AH2317" s="7"/>
      <c r="AI2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9.5039999999999996</v>
      </c>
      <c r="AJ2317" s="7"/>
      <c r="AK2317" t="s">
        <v>1174</v>
      </c>
      <c r="AL2317">
        <v>5</v>
      </c>
      <c r="AM2317">
        <v>3</v>
      </c>
      <c r="AN2317">
        <f>IFERROR(INT(Table13[[#This Row],[reject_prod]]/Table13[[#This Row],[part_weight]] * 1000), 0)</f>
        <v>272</v>
      </c>
    </row>
    <row r="2318" spans="1:40">
      <c r="A2318" s="1">
        <v>46091</v>
      </c>
      <c r="B2318">
        <v>1</v>
      </c>
      <c r="C2318">
        <v>15</v>
      </c>
      <c r="D2318" t="s">
        <v>61</v>
      </c>
      <c r="E2318" t="s">
        <v>46</v>
      </c>
      <c r="F2318">
        <v>552181</v>
      </c>
      <c r="G2318" s="6">
        <v>2</v>
      </c>
      <c r="H2318" t="s">
        <v>49</v>
      </c>
      <c r="I2318">
        <v>10686680</v>
      </c>
      <c r="J2318">
        <v>6</v>
      </c>
      <c r="K2318">
        <v>14.7</v>
      </c>
      <c r="L2318">
        <v>14.7</v>
      </c>
      <c r="M2318">
        <v>1401</v>
      </c>
      <c r="N2318" s="2">
        <v>108000</v>
      </c>
      <c r="O2318" s="2">
        <v>3240</v>
      </c>
      <c r="P2318" s="2">
        <v>810</v>
      </c>
      <c r="Q2318" s="2">
        <v>8406</v>
      </c>
      <c r="R2318" s="2">
        <v>10800</v>
      </c>
      <c r="S2318">
        <v>158.76</v>
      </c>
      <c r="T2318" s="2">
        <v>103410</v>
      </c>
      <c r="U2318" s="2">
        <v>4590</v>
      </c>
      <c r="V2318">
        <v>123.5682</v>
      </c>
      <c r="W2318">
        <v>0</v>
      </c>
      <c r="X2318">
        <v>0</v>
      </c>
      <c r="Y2318">
        <v>0</v>
      </c>
      <c r="Z2318">
        <v>0.5</v>
      </c>
      <c r="AA2318">
        <v>4.046348E-3</v>
      </c>
      <c r="AB2318">
        <v>30.6</v>
      </c>
      <c r="AC2318">
        <v>11.9085</v>
      </c>
      <c r="AD2318">
        <v>27</v>
      </c>
      <c r="AE2318" s="7"/>
      <c r="AF2318" s="7"/>
      <c r="AG2318" s="7"/>
      <c r="AH2318" s="7"/>
      <c r="AI2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318" s="7"/>
      <c r="AK2318" t="s">
        <v>51</v>
      </c>
      <c r="AN2318">
        <f>IFERROR(INT(Table13[[#This Row],[reject_prod]]/Table13[[#This Row],[part_weight]] * 1000), 0)</f>
        <v>34</v>
      </c>
    </row>
    <row r="2319" spans="1:40">
      <c r="A2319" s="1">
        <v>46091</v>
      </c>
      <c r="B2319">
        <v>1</v>
      </c>
      <c r="C2319">
        <v>16</v>
      </c>
      <c r="D2319" t="s">
        <v>1175</v>
      </c>
      <c r="E2319" t="s">
        <v>46</v>
      </c>
      <c r="F2319">
        <v>555979</v>
      </c>
      <c r="G2319" s="6">
        <v>2</v>
      </c>
      <c r="H2319" t="s">
        <v>52</v>
      </c>
      <c r="I2319">
        <v>10688074</v>
      </c>
      <c r="J2319">
        <v>6</v>
      </c>
      <c r="K2319">
        <v>28</v>
      </c>
      <c r="L2319">
        <v>28</v>
      </c>
      <c r="M2319">
        <v>1041</v>
      </c>
      <c r="N2319" s="2">
        <v>100800</v>
      </c>
      <c r="O2319" s="2">
        <v>1008</v>
      </c>
      <c r="P2319" s="2">
        <v>504</v>
      </c>
      <c r="Q2319" s="2">
        <v>6246</v>
      </c>
      <c r="R2319" s="2">
        <v>6720</v>
      </c>
      <c r="S2319">
        <v>188.16</v>
      </c>
      <c r="T2319" s="2">
        <v>34104</v>
      </c>
      <c r="U2319" s="2">
        <v>66696</v>
      </c>
      <c r="V2319">
        <v>174.88800000000001</v>
      </c>
      <c r="W2319">
        <v>0</v>
      </c>
      <c r="X2319">
        <v>0</v>
      </c>
      <c r="Y2319">
        <v>0</v>
      </c>
      <c r="Z2319">
        <v>0.8</v>
      </c>
      <c r="AA2319">
        <v>4.5743559999999999E-3</v>
      </c>
      <c r="AB2319">
        <v>40.5</v>
      </c>
      <c r="AC2319">
        <v>11.71125</v>
      </c>
      <c r="AD2319">
        <v>42</v>
      </c>
      <c r="AE2319" s="7"/>
      <c r="AF2319" s="7"/>
      <c r="AG2319" s="7"/>
      <c r="AH2319" s="7"/>
      <c r="AI2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0.28875000000000028</v>
      </c>
      <c r="AJ2319" s="7"/>
      <c r="AK2319" t="s">
        <v>270</v>
      </c>
      <c r="AM2319">
        <v>2</v>
      </c>
      <c r="AN2319">
        <f>IFERROR(INT(Table13[[#This Row],[reject_prod]]/Table13[[#This Row],[part_weight]] * 1000), 0)</f>
        <v>28</v>
      </c>
    </row>
    <row r="2320" spans="1:40">
      <c r="A2320" s="1">
        <v>46091</v>
      </c>
      <c r="B2320">
        <v>2</v>
      </c>
      <c r="C2320">
        <v>1</v>
      </c>
      <c r="D2320" t="s">
        <v>84</v>
      </c>
      <c r="E2320" t="s">
        <v>34</v>
      </c>
      <c r="F2320">
        <v>577492</v>
      </c>
      <c r="G2320" s="6">
        <v>0</v>
      </c>
      <c r="H2320" t="s">
        <v>341</v>
      </c>
      <c r="I2320">
        <v>10688947</v>
      </c>
      <c r="J2320">
        <v>4</v>
      </c>
      <c r="K2320">
        <v>35.6</v>
      </c>
      <c r="L2320">
        <v>35.6</v>
      </c>
      <c r="M2320">
        <v>1625</v>
      </c>
      <c r="N2320" s="2">
        <v>80960</v>
      </c>
      <c r="O2320" s="2">
        <v>184</v>
      </c>
      <c r="P2320" s="2">
        <v>1104</v>
      </c>
      <c r="Q2320" s="2">
        <v>6500</v>
      </c>
      <c r="R2320" s="2">
        <v>5520</v>
      </c>
      <c r="S2320">
        <v>196.512</v>
      </c>
      <c r="T2320" s="2">
        <v>56304</v>
      </c>
      <c r="U2320" s="2">
        <v>24656</v>
      </c>
      <c r="V2320">
        <v>231.4</v>
      </c>
      <c r="W2320">
        <v>0</v>
      </c>
      <c r="X2320">
        <v>0</v>
      </c>
      <c r="Y2320">
        <v>0</v>
      </c>
      <c r="Z2320">
        <v>4</v>
      </c>
      <c r="AA2320">
        <v>1.7286085E-2</v>
      </c>
      <c r="AB2320">
        <v>26.07</v>
      </c>
      <c r="AC2320">
        <v>11.76770833</v>
      </c>
      <c r="AD2320">
        <v>27</v>
      </c>
      <c r="AE2320" s="7"/>
      <c r="AF2320" s="7"/>
      <c r="AG2320" s="7"/>
      <c r="AH2320" s="7"/>
      <c r="AI2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0.23229167000000039</v>
      </c>
      <c r="AJ2320" s="7"/>
      <c r="AK2320" t="s">
        <v>51</v>
      </c>
      <c r="AN2320">
        <f>IFERROR(INT(Table13[[#This Row],[reject_prod]]/Table13[[#This Row],[part_weight]] * 1000), 0)</f>
        <v>112</v>
      </c>
    </row>
    <row r="2321" spans="1:40">
      <c r="A2321" s="1">
        <v>46091</v>
      </c>
      <c r="B2321">
        <v>2</v>
      </c>
      <c r="C2321">
        <v>2</v>
      </c>
      <c r="D2321" t="s">
        <v>54</v>
      </c>
      <c r="E2321" t="s">
        <v>34</v>
      </c>
      <c r="F2321">
        <v>463202</v>
      </c>
      <c r="G2321" s="6">
        <v>0</v>
      </c>
      <c r="H2321" t="s">
        <v>320</v>
      </c>
      <c r="I2321">
        <v>10688493</v>
      </c>
      <c r="J2321">
        <v>4</v>
      </c>
      <c r="K2321">
        <v>23</v>
      </c>
      <c r="L2321">
        <v>23</v>
      </c>
      <c r="M2321">
        <v>350</v>
      </c>
      <c r="N2321" s="2">
        <v>40920</v>
      </c>
      <c r="O2321" s="2">
        <v>465</v>
      </c>
      <c r="P2321" s="2">
        <v>0</v>
      </c>
      <c r="Q2321" s="2">
        <v>1400</v>
      </c>
      <c r="R2321" s="2">
        <v>1860</v>
      </c>
      <c r="S2321">
        <v>42.78</v>
      </c>
      <c r="T2321" s="2">
        <v>40920</v>
      </c>
      <c r="U2321" s="2">
        <v>0</v>
      </c>
      <c r="V2321">
        <v>32.200000000000003</v>
      </c>
      <c r="W2321">
        <v>0</v>
      </c>
      <c r="X2321">
        <v>0</v>
      </c>
      <c r="Y2321">
        <v>0</v>
      </c>
      <c r="Z2321">
        <v>1</v>
      </c>
      <c r="AA2321">
        <v>3.1055901E-2</v>
      </c>
      <c r="AB2321">
        <v>21.98</v>
      </c>
      <c r="AC2321">
        <v>2.1369444440000001</v>
      </c>
      <c r="AD2321">
        <v>22.92</v>
      </c>
      <c r="AE2321" s="7"/>
      <c r="AF2321" s="7"/>
      <c r="AG2321" s="7"/>
      <c r="AH2321" s="7"/>
      <c r="AI2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9.8630555559999991</v>
      </c>
      <c r="AJ2321" s="7"/>
      <c r="AK2321" t="s">
        <v>1176</v>
      </c>
      <c r="AN2321">
        <f>IFERROR(INT(Table13[[#This Row],[reject_prod]]/Table13[[#This Row],[part_weight]] * 1000), 0)</f>
        <v>43</v>
      </c>
    </row>
    <row r="2322" spans="1:40">
      <c r="A2322" s="1">
        <v>46091</v>
      </c>
      <c r="B2322">
        <v>2</v>
      </c>
      <c r="C2322">
        <v>2</v>
      </c>
      <c r="D2322" t="s">
        <v>33</v>
      </c>
      <c r="E2322" t="s">
        <v>34</v>
      </c>
      <c r="F2322">
        <v>340460</v>
      </c>
      <c r="G2322" s="6">
        <v>0</v>
      </c>
      <c r="H2322" t="s">
        <v>1177</v>
      </c>
      <c r="I2322">
        <v>10688494</v>
      </c>
      <c r="J2322">
        <v>4</v>
      </c>
      <c r="K2322">
        <v>15.05</v>
      </c>
      <c r="L2322">
        <v>15.05</v>
      </c>
      <c r="M2322">
        <v>0</v>
      </c>
      <c r="N2322" s="2">
        <v>17400</v>
      </c>
      <c r="O2322" s="2">
        <v>0</v>
      </c>
      <c r="P2322" s="2">
        <v>0</v>
      </c>
      <c r="Q2322" s="2">
        <v>0</v>
      </c>
      <c r="R2322" s="2">
        <v>0</v>
      </c>
      <c r="S2322">
        <v>0</v>
      </c>
      <c r="T2322" s="2">
        <v>0</v>
      </c>
      <c r="U2322" s="2">
        <v>17400</v>
      </c>
      <c r="V2322">
        <v>0</v>
      </c>
      <c r="W2322">
        <v>0</v>
      </c>
      <c r="X2322">
        <v>3.6</v>
      </c>
      <c r="Y2322" t="e">
        <v>#DIV/0!</v>
      </c>
      <c r="Z2322">
        <v>0</v>
      </c>
      <c r="AA2322" t="e">
        <v>#DIV/0!</v>
      </c>
      <c r="AB2322">
        <v>21.98</v>
      </c>
      <c r="AC2322">
        <v>0</v>
      </c>
      <c r="AD2322">
        <v>20</v>
      </c>
      <c r="AE2322" s="7">
        <v>5.5</v>
      </c>
      <c r="AF2322" s="7"/>
      <c r="AG2322" s="7"/>
      <c r="AH2322" s="7"/>
      <c r="AI2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22" s="7"/>
      <c r="AK2322" t="s">
        <v>1178</v>
      </c>
      <c r="AN2322">
        <f>IFERROR(INT(Table13[[#This Row],[reject_prod]]/Table13[[#This Row],[part_weight]] * 1000), 0)</f>
        <v>0</v>
      </c>
    </row>
    <row r="2323" spans="1:40">
      <c r="A2323" s="1">
        <v>46091</v>
      </c>
      <c r="B2323">
        <v>2</v>
      </c>
      <c r="C2323">
        <v>3</v>
      </c>
      <c r="D2323" t="s">
        <v>117</v>
      </c>
      <c r="E2323" t="s">
        <v>34</v>
      </c>
      <c r="F2323">
        <v>442034</v>
      </c>
      <c r="G2323" s="6">
        <v>0</v>
      </c>
      <c r="H2323" t="s">
        <v>37</v>
      </c>
      <c r="I2323">
        <v>10685635</v>
      </c>
      <c r="J2323">
        <v>4</v>
      </c>
      <c r="K2323">
        <v>23</v>
      </c>
      <c r="L2323">
        <v>23</v>
      </c>
      <c r="M2323">
        <v>1530</v>
      </c>
      <c r="N2323" s="2">
        <v>139776</v>
      </c>
      <c r="O2323" s="2">
        <v>3072</v>
      </c>
      <c r="P2323" s="2">
        <v>0</v>
      </c>
      <c r="Q2323" s="2">
        <v>6120</v>
      </c>
      <c r="R2323" s="2">
        <v>9216</v>
      </c>
      <c r="S2323">
        <v>211.96799999999999</v>
      </c>
      <c r="T2323" s="2">
        <v>69120</v>
      </c>
      <c r="U2323" s="2">
        <v>70656</v>
      </c>
      <c r="V2323">
        <v>140.76</v>
      </c>
      <c r="W2323">
        <v>0</v>
      </c>
      <c r="X2323">
        <v>0</v>
      </c>
      <c r="Y2323">
        <v>0</v>
      </c>
      <c r="Z2323">
        <v>1</v>
      </c>
      <c r="AA2323">
        <v>7.1042910000000004E-3</v>
      </c>
      <c r="AB2323">
        <v>28.5</v>
      </c>
      <c r="AC2323">
        <v>12</v>
      </c>
      <c r="AD2323">
        <v>22</v>
      </c>
      <c r="AE2323" s="7"/>
      <c r="AF2323" s="7"/>
      <c r="AG2323" s="7"/>
      <c r="AH2323" s="7"/>
      <c r="AI2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23" s="7"/>
      <c r="AK2323" t="s">
        <v>168</v>
      </c>
      <c r="AN2323">
        <f>IFERROR(INT(Table13[[#This Row],[reject_prod]]/Table13[[#This Row],[part_weight]] * 1000), 0)</f>
        <v>43</v>
      </c>
    </row>
    <row r="2324" spans="1:40">
      <c r="A2324" s="1">
        <v>46091</v>
      </c>
      <c r="B2324">
        <v>2</v>
      </c>
      <c r="C2324">
        <v>4</v>
      </c>
      <c r="D2324" t="s">
        <v>289</v>
      </c>
      <c r="E2324" t="s">
        <v>34</v>
      </c>
      <c r="F2324">
        <v>426555</v>
      </c>
      <c r="G2324" s="6">
        <v>0</v>
      </c>
      <c r="H2324" t="s">
        <v>1128</v>
      </c>
      <c r="I2324">
        <v>10688066</v>
      </c>
      <c r="J2324">
        <v>4</v>
      </c>
      <c r="K2324">
        <v>29</v>
      </c>
      <c r="L2324">
        <v>29</v>
      </c>
      <c r="M2324">
        <v>1740</v>
      </c>
      <c r="N2324" s="2">
        <v>81600</v>
      </c>
      <c r="O2324" s="2">
        <v>510</v>
      </c>
      <c r="P2324" s="2">
        <v>170</v>
      </c>
      <c r="Q2324" s="2">
        <v>6960</v>
      </c>
      <c r="R2324" s="2">
        <v>7140</v>
      </c>
      <c r="S2324">
        <v>207.06</v>
      </c>
      <c r="T2324" s="2">
        <v>34680</v>
      </c>
      <c r="U2324" s="2">
        <v>46920</v>
      </c>
      <c r="V2324">
        <v>201.84</v>
      </c>
      <c r="W2324">
        <v>0</v>
      </c>
      <c r="X2324">
        <v>0</v>
      </c>
      <c r="Y2324">
        <v>0</v>
      </c>
      <c r="Z2324">
        <v>4.4000000000000004</v>
      </c>
      <c r="AA2324">
        <v>2.1799445000000001E-2</v>
      </c>
      <c r="AB2324">
        <v>24.63</v>
      </c>
      <c r="AC2324">
        <v>11.904500000000001</v>
      </c>
      <c r="AD2324">
        <v>22.72</v>
      </c>
      <c r="AE2324" s="7"/>
      <c r="AF2324" s="7"/>
      <c r="AG2324" s="7"/>
      <c r="AH2324" s="7"/>
      <c r="AI2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9.5499999999999474E-2</v>
      </c>
      <c r="AJ2324" s="7"/>
      <c r="AK2324" t="s">
        <v>1179</v>
      </c>
      <c r="AN2324">
        <f>IFERROR(INT(Table13[[#This Row],[reject_prod]]/Table13[[#This Row],[part_weight]] * 1000), 0)</f>
        <v>151</v>
      </c>
    </row>
    <row r="2325" spans="1:40">
      <c r="A2325" s="1">
        <v>46091</v>
      </c>
      <c r="B2325">
        <v>2</v>
      </c>
      <c r="C2325">
        <v>5</v>
      </c>
      <c r="D2325" t="s">
        <v>427</v>
      </c>
      <c r="E2325" t="s">
        <v>34</v>
      </c>
      <c r="F2325">
        <v>322448</v>
      </c>
      <c r="G2325" s="6">
        <v>0</v>
      </c>
      <c r="H2325" t="s">
        <v>654</v>
      </c>
      <c r="I2325">
        <v>10687753</v>
      </c>
      <c r="J2325">
        <v>4</v>
      </c>
      <c r="K2325">
        <v>40</v>
      </c>
      <c r="L2325">
        <v>40</v>
      </c>
      <c r="M2325">
        <v>1255</v>
      </c>
      <c r="N2325" s="2">
        <v>174960</v>
      </c>
      <c r="O2325" s="2">
        <v>1458</v>
      </c>
      <c r="P2325" s="2">
        <v>0</v>
      </c>
      <c r="Q2325" s="2">
        <v>5020</v>
      </c>
      <c r="R2325" s="2">
        <v>6480</v>
      </c>
      <c r="S2325">
        <v>259.2</v>
      </c>
      <c r="T2325" s="2">
        <v>150660</v>
      </c>
      <c r="U2325" s="2">
        <v>24300</v>
      </c>
      <c r="V2325">
        <v>200.8</v>
      </c>
      <c r="W2325">
        <v>0</v>
      </c>
      <c r="X2325">
        <v>0</v>
      </c>
      <c r="Y2325">
        <v>0</v>
      </c>
      <c r="Z2325">
        <v>17.5</v>
      </c>
      <c r="AA2325">
        <v>8.7151393999999993E-2</v>
      </c>
      <c r="AB2325">
        <v>26.1</v>
      </c>
      <c r="AC2325">
        <v>9.0987500000000008</v>
      </c>
      <c r="AD2325">
        <v>23</v>
      </c>
      <c r="AE2325" s="7"/>
      <c r="AF2325" s="7"/>
      <c r="AG2325" s="7"/>
      <c r="AH2325" s="7"/>
      <c r="AI2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2.9012499999999992</v>
      </c>
      <c r="AJ2325" s="7"/>
      <c r="AK2325" t="s">
        <v>1180</v>
      </c>
      <c r="AN2325">
        <f>IFERROR(INT(Table13[[#This Row],[reject_prod]]/Table13[[#This Row],[part_weight]] * 1000), 0)</f>
        <v>437</v>
      </c>
    </row>
    <row r="2326" spans="1:40">
      <c r="A2326" s="1">
        <v>46091</v>
      </c>
      <c r="B2326">
        <v>2</v>
      </c>
      <c r="C2326">
        <v>6</v>
      </c>
      <c r="D2326" t="s">
        <v>814</v>
      </c>
      <c r="E2326" t="s">
        <v>34</v>
      </c>
      <c r="F2326">
        <v>532981</v>
      </c>
      <c r="G2326" s="6">
        <v>0</v>
      </c>
      <c r="H2326" t="s">
        <v>233</v>
      </c>
      <c r="I2326">
        <v>10688648</v>
      </c>
      <c r="J2326">
        <v>4</v>
      </c>
      <c r="K2326">
        <v>24.45</v>
      </c>
      <c r="L2326">
        <v>24</v>
      </c>
      <c r="M2326">
        <v>460</v>
      </c>
      <c r="N2326" s="2">
        <v>87552</v>
      </c>
      <c r="O2326" s="2">
        <v>3648</v>
      </c>
      <c r="P2326" s="2">
        <v>0</v>
      </c>
      <c r="Q2326" s="2">
        <v>1840</v>
      </c>
      <c r="R2326" s="2">
        <v>5472</v>
      </c>
      <c r="S2326">
        <v>131.328</v>
      </c>
      <c r="T2326" s="2">
        <v>87552</v>
      </c>
      <c r="U2326" s="2">
        <v>0</v>
      </c>
      <c r="V2326">
        <v>44.16</v>
      </c>
      <c r="W2326">
        <v>0</v>
      </c>
      <c r="X2326">
        <v>0</v>
      </c>
      <c r="Y2326">
        <v>0</v>
      </c>
      <c r="Z2326">
        <v>1</v>
      </c>
      <c r="AA2326">
        <v>2.2644928000000002E-2</v>
      </c>
      <c r="AB2326">
        <v>23</v>
      </c>
      <c r="AC2326">
        <v>2.9388888889999998</v>
      </c>
      <c r="AD2326">
        <v>20</v>
      </c>
      <c r="AE2326" s="7"/>
      <c r="AF2326" s="7"/>
      <c r="AG2326" s="7"/>
      <c r="AH2326" s="7"/>
      <c r="AI2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9.0611111110000007</v>
      </c>
      <c r="AJ2326" s="7"/>
      <c r="AK2326" t="s">
        <v>1181</v>
      </c>
      <c r="AN2326">
        <f>IFERROR(INT(Table13[[#This Row],[reject_prod]]/Table13[[#This Row],[part_weight]] * 1000), 0)</f>
        <v>41</v>
      </c>
    </row>
    <row r="2327" spans="1:40">
      <c r="A2327" s="1">
        <v>46091</v>
      </c>
      <c r="B2327">
        <v>2</v>
      </c>
      <c r="C2327">
        <v>6</v>
      </c>
      <c r="D2327" t="s">
        <v>814</v>
      </c>
      <c r="E2327" t="s">
        <v>34</v>
      </c>
      <c r="F2327">
        <v>322412</v>
      </c>
      <c r="G2327" s="6">
        <v>0</v>
      </c>
      <c r="H2327" t="s">
        <v>487</v>
      </c>
      <c r="I2327">
        <v>10689396</v>
      </c>
      <c r="J2327">
        <v>4</v>
      </c>
      <c r="K2327">
        <v>24.3</v>
      </c>
      <c r="L2327">
        <v>24</v>
      </c>
      <c r="M2327">
        <v>0</v>
      </c>
      <c r="N2327" s="2">
        <v>40600</v>
      </c>
      <c r="O2327" s="2">
        <v>0</v>
      </c>
      <c r="P2327" s="2">
        <v>0</v>
      </c>
      <c r="Q2327" s="2">
        <v>0</v>
      </c>
      <c r="R2327" s="2">
        <v>0</v>
      </c>
      <c r="S2327">
        <v>0</v>
      </c>
      <c r="T2327" s="2">
        <v>0</v>
      </c>
      <c r="U2327" s="2">
        <v>40600</v>
      </c>
      <c r="V2327">
        <v>0</v>
      </c>
      <c r="W2327">
        <v>0</v>
      </c>
      <c r="X2327">
        <v>0</v>
      </c>
      <c r="Y2327" t="e">
        <v>#DIV/0!</v>
      </c>
      <c r="Z2327">
        <v>0</v>
      </c>
      <c r="AA2327" t="e">
        <v>#DIV/0!</v>
      </c>
      <c r="AB2327">
        <v>23</v>
      </c>
      <c r="AC2327">
        <v>0</v>
      </c>
      <c r="AD2327">
        <v>20</v>
      </c>
      <c r="AE2327" s="7"/>
      <c r="AF2327" s="7">
        <v>3.5</v>
      </c>
      <c r="AG2327" s="7"/>
      <c r="AH2327" s="7"/>
      <c r="AI2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327" s="7"/>
      <c r="AK2327" t="s">
        <v>1182</v>
      </c>
      <c r="AN2327">
        <f>IFERROR(INT(Table13[[#This Row],[reject_prod]]/Table13[[#This Row],[part_weight]] * 1000), 0)</f>
        <v>0</v>
      </c>
    </row>
    <row r="2328" spans="1:40">
      <c r="A2328" s="1">
        <v>46091</v>
      </c>
      <c r="B2328">
        <v>2</v>
      </c>
      <c r="C2328">
        <v>7</v>
      </c>
      <c r="D2328" t="s">
        <v>1183</v>
      </c>
      <c r="E2328" t="s">
        <v>34</v>
      </c>
      <c r="F2328">
        <v>322452</v>
      </c>
      <c r="G2328" s="6">
        <v>0</v>
      </c>
      <c r="H2328" t="s">
        <v>374</v>
      </c>
      <c r="I2328">
        <v>10689204</v>
      </c>
      <c r="J2328">
        <v>4</v>
      </c>
      <c r="K2328">
        <v>33.11</v>
      </c>
      <c r="L2328">
        <v>34.5</v>
      </c>
      <c r="M2328">
        <v>470</v>
      </c>
      <c r="N2328" s="2">
        <v>49920</v>
      </c>
      <c r="O2328" s="2">
        <v>624</v>
      </c>
      <c r="P2328" s="2">
        <v>0</v>
      </c>
      <c r="Q2328" s="2">
        <v>1880</v>
      </c>
      <c r="R2328" s="2">
        <v>2496</v>
      </c>
      <c r="S2328">
        <v>86.111999999999995</v>
      </c>
      <c r="T2328" s="2">
        <v>49920</v>
      </c>
      <c r="U2328" s="2">
        <v>0</v>
      </c>
      <c r="V2328">
        <v>64.86</v>
      </c>
      <c r="W2328">
        <v>0</v>
      </c>
      <c r="X2328">
        <v>0</v>
      </c>
      <c r="Y2328">
        <v>0</v>
      </c>
      <c r="Z2328">
        <v>1</v>
      </c>
      <c r="AA2328">
        <v>1.5417823000000001E-2</v>
      </c>
      <c r="AB2328">
        <v>22.9</v>
      </c>
      <c r="AC2328">
        <v>2.9897222220000002</v>
      </c>
      <c r="AD2328">
        <v>18.04</v>
      </c>
      <c r="AE2328" s="7"/>
      <c r="AF2328" s="7"/>
      <c r="AG2328" s="7"/>
      <c r="AH2328" s="7"/>
      <c r="AI2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9.010277777999999</v>
      </c>
      <c r="AJ2328" s="7"/>
      <c r="AK2328" t="s">
        <v>1181</v>
      </c>
      <c r="AN2328">
        <f>IFERROR(INT(Table13[[#This Row],[reject_prod]]/Table13[[#This Row],[part_weight]] * 1000), 0)</f>
        <v>28</v>
      </c>
    </row>
    <row r="2329" spans="1:40">
      <c r="A2329" s="1">
        <v>46091</v>
      </c>
      <c r="B2329">
        <v>2</v>
      </c>
      <c r="C2329">
        <v>7</v>
      </c>
      <c r="D2329" t="s">
        <v>1183</v>
      </c>
      <c r="E2329" t="s">
        <v>34</v>
      </c>
      <c r="F2329">
        <v>322382</v>
      </c>
      <c r="G2329" s="6">
        <v>0</v>
      </c>
      <c r="H2329" t="s">
        <v>1184</v>
      </c>
      <c r="I2329">
        <v>10689314</v>
      </c>
      <c r="J2329">
        <v>4</v>
      </c>
      <c r="K2329">
        <v>18.8</v>
      </c>
      <c r="L2329">
        <v>11.3</v>
      </c>
      <c r="M2329">
        <v>0</v>
      </c>
      <c r="N2329" s="2">
        <v>10350</v>
      </c>
      <c r="O2329" s="2">
        <v>0</v>
      </c>
      <c r="P2329" s="2">
        <v>0</v>
      </c>
      <c r="Q2329" s="2">
        <v>0</v>
      </c>
      <c r="R2329" s="2">
        <v>0</v>
      </c>
      <c r="S2329">
        <v>0</v>
      </c>
      <c r="T2329" s="2">
        <v>0</v>
      </c>
      <c r="U2329" s="2">
        <v>10350</v>
      </c>
      <c r="V2329">
        <v>0</v>
      </c>
      <c r="W2329">
        <v>0</v>
      </c>
      <c r="X2329">
        <v>0</v>
      </c>
      <c r="Y2329" t="e">
        <v>#DIV/0!</v>
      </c>
      <c r="Z2329">
        <v>0</v>
      </c>
      <c r="AA2329" t="e">
        <v>#DIV/0!</v>
      </c>
      <c r="AB2329">
        <v>22.9</v>
      </c>
      <c r="AC2329">
        <v>0</v>
      </c>
      <c r="AD2329">
        <v>15.44</v>
      </c>
      <c r="AE2329" s="7">
        <v>5.5</v>
      </c>
      <c r="AF2329" s="7"/>
      <c r="AG2329" s="7"/>
      <c r="AH2329" s="7"/>
      <c r="AI2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29" s="7"/>
      <c r="AK2329" t="s">
        <v>1185</v>
      </c>
      <c r="AN2329">
        <f>IFERROR(INT(Table13[[#This Row],[reject_prod]]/Table13[[#This Row],[part_weight]] * 1000), 0)</f>
        <v>0</v>
      </c>
    </row>
    <row r="2330" spans="1:40">
      <c r="A2330" s="1">
        <v>46091</v>
      </c>
      <c r="B2330">
        <v>2</v>
      </c>
      <c r="C2330">
        <v>8</v>
      </c>
      <c r="D2330" t="s">
        <v>1186</v>
      </c>
      <c r="E2330" t="s">
        <v>41</v>
      </c>
      <c r="F2330">
        <v>593537</v>
      </c>
      <c r="G2330" s="6">
        <v>0</v>
      </c>
      <c r="H2330" t="s">
        <v>48</v>
      </c>
      <c r="I2330">
        <v>10688067</v>
      </c>
      <c r="J2330">
        <v>4</v>
      </c>
      <c r="K2330">
        <v>56.5</v>
      </c>
      <c r="L2330">
        <v>56.8</v>
      </c>
      <c r="M2330">
        <v>670</v>
      </c>
      <c r="N2330" s="2">
        <v>69000</v>
      </c>
      <c r="O2330" s="2">
        <v>690</v>
      </c>
      <c r="P2330" s="2">
        <v>0</v>
      </c>
      <c r="Q2330" s="2">
        <v>2680</v>
      </c>
      <c r="R2330" s="2">
        <v>2875</v>
      </c>
      <c r="S2330">
        <v>163.30000000000001</v>
      </c>
      <c r="T2330" s="2">
        <v>69000</v>
      </c>
      <c r="U2330" s="2">
        <v>0</v>
      </c>
      <c r="V2330">
        <v>152.22399999999999</v>
      </c>
      <c r="W2330">
        <v>-0.80400000000000005</v>
      </c>
      <c r="X2330">
        <v>0</v>
      </c>
      <c r="Y2330">
        <v>0</v>
      </c>
      <c r="Z2330">
        <v>0</v>
      </c>
      <c r="AA2330">
        <v>0</v>
      </c>
      <c r="AB2330">
        <v>30.57</v>
      </c>
      <c r="AC2330">
        <v>5.6894166669999997</v>
      </c>
      <c r="AD2330">
        <v>28.5</v>
      </c>
      <c r="AE2330" s="7"/>
      <c r="AF2330" s="7"/>
      <c r="AG2330" s="7"/>
      <c r="AH2330" s="7"/>
      <c r="AI2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6.3105833330000003</v>
      </c>
      <c r="AJ2330" s="7"/>
      <c r="AK2330" t="s">
        <v>102</v>
      </c>
      <c r="AN2330">
        <f>IFERROR(INT(Table13[[#This Row],[reject_prod]]/Table13[[#This Row],[part_weight]] * 1000), 0)</f>
        <v>0</v>
      </c>
    </row>
    <row r="2331" spans="1:40">
      <c r="A2331" s="1">
        <v>46091</v>
      </c>
      <c r="B2331">
        <v>2</v>
      </c>
      <c r="C2331">
        <v>8</v>
      </c>
      <c r="D2331" t="s">
        <v>1186</v>
      </c>
      <c r="E2331" t="s">
        <v>41</v>
      </c>
      <c r="F2331">
        <v>593537</v>
      </c>
      <c r="G2331" s="6">
        <v>0</v>
      </c>
      <c r="H2331" t="s">
        <v>48</v>
      </c>
      <c r="I2331">
        <v>10688068</v>
      </c>
      <c r="J2331">
        <v>4</v>
      </c>
      <c r="K2331">
        <v>56.5</v>
      </c>
      <c r="L2331">
        <v>56.8</v>
      </c>
      <c r="M2331">
        <v>690</v>
      </c>
      <c r="N2331" s="2">
        <v>69000</v>
      </c>
      <c r="O2331" s="2">
        <v>0</v>
      </c>
      <c r="P2331" s="2">
        <v>460</v>
      </c>
      <c r="Q2331" s="2">
        <v>2760</v>
      </c>
      <c r="R2331" s="2">
        <v>2300</v>
      </c>
      <c r="S2331">
        <v>130.63999999999999</v>
      </c>
      <c r="T2331" s="2">
        <v>2760</v>
      </c>
      <c r="U2331" s="2">
        <v>66240</v>
      </c>
      <c r="V2331">
        <v>156.768</v>
      </c>
      <c r="W2331">
        <v>-0.82799999999999996</v>
      </c>
      <c r="X2331">
        <v>0</v>
      </c>
      <c r="Y2331">
        <v>0</v>
      </c>
      <c r="Z2331">
        <v>1</v>
      </c>
      <c r="AA2331">
        <v>6.3788530000000003E-3</v>
      </c>
      <c r="AB2331">
        <v>30.57</v>
      </c>
      <c r="AC2331">
        <v>5.8592500000000003</v>
      </c>
      <c r="AD2331">
        <v>28.5</v>
      </c>
      <c r="AE2331" s="7"/>
      <c r="AF2331" s="7"/>
      <c r="AG2331" s="7"/>
      <c r="AH2331" s="7"/>
      <c r="AI23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6.1407499999999997</v>
      </c>
      <c r="AJ2331" s="7"/>
      <c r="AK2331" t="s">
        <v>51</v>
      </c>
      <c r="AN2331">
        <f>IFERROR(INT(Table13[[#This Row],[reject_prod]]/Table13[[#This Row],[part_weight]] * 1000), 0)</f>
        <v>17</v>
      </c>
    </row>
    <row r="2332" spans="1:40">
      <c r="A2332" s="1">
        <v>46091</v>
      </c>
      <c r="B2332">
        <v>2</v>
      </c>
      <c r="C2332">
        <v>9</v>
      </c>
      <c r="D2332" t="s">
        <v>58</v>
      </c>
      <c r="E2332" t="s">
        <v>46</v>
      </c>
      <c r="F2332">
        <v>586276</v>
      </c>
      <c r="G2332" s="6">
        <v>1</v>
      </c>
      <c r="H2332" t="s">
        <v>47</v>
      </c>
      <c r="I2332">
        <v>10689111</v>
      </c>
      <c r="J2332">
        <v>6</v>
      </c>
      <c r="K2332">
        <v>12.3</v>
      </c>
      <c r="L2332">
        <v>12.3</v>
      </c>
      <c r="M2332">
        <v>1620</v>
      </c>
      <c r="N2332" s="2">
        <v>162000</v>
      </c>
      <c r="O2332" s="2">
        <v>3645</v>
      </c>
      <c r="P2332" s="2">
        <v>5265</v>
      </c>
      <c r="Q2332" s="2">
        <v>9720</v>
      </c>
      <c r="R2332" s="2">
        <v>8100</v>
      </c>
      <c r="S2332">
        <v>99.63</v>
      </c>
      <c r="T2332" s="2">
        <v>29565</v>
      </c>
      <c r="U2332" s="2">
        <v>132435</v>
      </c>
      <c r="V2332">
        <v>119.556</v>
      </c>
      <c r="W2332">
        <v>0</v>
      </c>
      <c r="X2332">
        <v>0</v>
      </c>
      <c r="Y2332">
        <v>0</v>
      </c>
      <c r="Z2332">
        <v>2</v>
      </c>
      <c r="AA2332">
        <v>1.6728561999999999E-2</v>
      </c>
      <c r="AB2332">
        <v>26.6</v>
      </c>
      <c r="AC2332">
        <v>11.97</v>
      </c>
      <c r="AD2332">
        <v>26</v>
      </c>
      <c r="AE2332" s="7"/>
      <c r="AF2332" s="7"/>
      <c r="AG2332" s="7"/>
      <c r="AH2332" s="7"/>
      <c r="AI2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332" s="7"/>
      <c r="AK2332" t="s">
        <v>51</v>
      </c>
      <c r="AN2332">
        <f>IFERROR(INT(Table13[[#This Row],[reject_prod]]/Table13[[#This Row],[part_weight]] * 1000), 0)</f>
        <v>162</v>
      </c>
    </row>
    <row r="2333" spans="1:40">
      <c r="A2333" s="1">
        <v>46091</v>
      </c>
      <c r="B2333">
        <v>2</v>
      </c>
      <c r="C2333">
        <v>10</v>
      </c>
      <c r="D2333" t="s">
        <v>56</v>
      </c>
      <c r="E2333" t="s">
        <v>34</v>
      </c>
      <c r="F2333">
        <v>414439</v>
      </c>
      <c r="G2333" s="6">
        <v>0</v>
      </c>
      <c r="H2333" t="s">
        <v>587</v>
      </c>
      <c r="I2333">
        <v>10688521</v>
      </c>
      <c r="J2333">
        <v>6</v>
      </c>
      <c r="K2333">
        <v>57</v>
      </c>
      <c r="L2333">
        <v>15</v>
      </c>
      <c r="M2333">
        <v>1755</v>
      </c>
      <c r="N2333" s="2">
        <v>206976</v>
      </c>
      <c r="O2333" s="2">
        <v>3696</v>
      </c>
      <c r="P2333" s="2">
        <v>6776</v>
      </c>
      <c r="Q2333" s="2">
        <v>10530</v>
      </c>
      <c r="R2333" s="2">
        <v>7392</v>
      </c>
      <c r="S2333">
        <v>110.88</v>
      </c>
      <c r="T2333" s="2">
        <v>125048</v>
      </c>
      <c r="U2333" s="2">
        <v>81928</v>
      </c>
      <c r="V2333">
        <v>157.94999999999999</v>
      </c>
      <c r="W2333">
        <v>0</v>
      </c>
      <c r="X2333">
        <v>0</v>
      </c>
      <c r="Y2333">
        <v>0</v>
      </c>
      <c r="Z2333">
        <v>3</v>
      </c>
      <c r="AA2333">
        <v>1.8993352000000002E-2</v>
      </c>
      <c r="AB2333">
        <v>23.7</v>
      </c>
      <c r="AC2333">
        <v>11.553750000000001</v>
      </c>
      <c r="AD2333">
        <v>15</v>
      </c>
      <c r="AE2333" s="7"/>
      <c r="AF2333" s="7"/>
      <c r="AG2333" s="7"/>
      <c r="AH2333" s="7"/>
      <c r="AI2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0.44624999999999915</v>
      </c>
      <c r="AJ2333" s="7"/>
      <c r="AK2333" t="s">
        <v>461</v>
      </c>
      <c r="AN2333">
        <f>IFERROR(INT(Table13[[#This Row],[reject_prod]]/Table13[[#This Row],[part_weight]] * 1000), 0)</f>
        <v>200</v>
      </c>
    </row>
    <row r="2334" spans="1:40">
      <c r="A2334" s="1">
        <v>46091</v>
      </c>
      <c r="B2334">
        <v>2</v>
      </c>
      <c r="C2334">
        <v>11</v>
      </c>
      <c r="D2334" t="s">
        <v>59</v>
      </c>
      <c r="E2334" t="s">
        <v>46</v>
      </c>
      <c r="F2334">
        <v>552181</v>
      </c>
      <c r="G2334" s="6">
        <v>1</v>
      </c>
      <c r="H2334" t="s">
        <v>49</v>
      </c>
      <c r="I2334">
        <v>10688069</v>
      </c>
      <c r="J2334">
        <v>6</v>
      </c>
      <c r="K2334">
        <v>14.7</v>
      </c>
      <c r="L2334">
        <v>14.7</v>
      </c>
      <c r="M2334">
        <v>1350</v>
      </c>
      <c r="N2334" s="2">
        <v>108000</v>
      </c>
      <c r="O2334" s="2">
        <v>6750</v>
      </c>
      <c r="P2334" s="2">
        <v>7020</v>
      </c>
      <c r="Q2334" s="2">
        <v>8100</v>
      </c>
      <c r="R2334" s="2">
        <v>0</v>
      </c>
      <c r="S2334">
        <v>0</v>
      </c>
      <c r="T2334" s="2">
        <v>88020</v>
      </c>
      <c r="U2334" s="2">
        <v>19980</v>
      </c>
      <c r="V2334">
        <v>119.07</v>
      </c>
      <c r="W2334">
        <v>0</v>
      </c>
      <c r="X2334">
        <v>0</v>
      </c>
      <c r="Y2334">
        <v>0</v>
      </c>
      <c r="Z2334">
        <v>16.8</v>
      </c>
      <c r="AA2334">
        <v>0.141093474</v>
      </c>
      <c r="AB2334">
        <v>28.46</v>
      </c>
      <c r="AC2334">
        <v>10.672499999999999</v>
      </c>
      <c r="AD2334">
        <v>27</v>
      </c>
      <c r="AE2334" s="7"/>
      <c r="AF2334" s="7"/>
      <c r="AG2334" s="7"/>
      <c r="AH2334" s="7"/>
      <c r="AI2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1.3275000000000006</v>
      </c>
      <c r="AJ2334" s="7"/>
      <c r="AK2334" t="s">
        <v>1187</v>
      </c>
      <c r="AN2334">
        <f>IFERROR(INT(Table13[[#This Row],[reject_prod]]/Table13[[#This Row],[part_weight]] * 1000), 0)</f>
        <v>1142</v>
      </c>
    </row>
    <row r="2335" spans="1:40">
      <c r="A2335" s="1">
        <v>46091</v>
      </c>
      <c r="B2335">
        <v>2</v>
      </c>
      <c r="C2335">
        <v>12</v>
      </c>
      <c r="D2335" t="s">
        <v>33</v>
      </c>
      <c r="E2335" t="s">
        <v>46</v>
      </c>
      <c r="F2335">
        <v>555979</v>
      </c>
      <c r="G2335" s="6">
        <v>1</v>
      </c>
      <c r="H2335" t="s">
        <v>52</v>
      </c>
      <c r="I2335">
        <v>10689126</v>
      </c>
      <c r="J2335">
        <v>6</v>
      </c>
      <c r="K2335">
        <v>28</v>
      </c>
      <c r="L2335">
        <v>28</v>
      </c>
      <c r="M2335">
        <v>0</v>
      </c>
      <c r="N2335" s="2">
        <v>100800</v>
      </c>
      <c r="O2335" s="2">
        <v>0</v>
      </c>
      <c r="P2335" s="2">
        <v>0</v>
      </c>
      <c r="Q2335" s="2">
        <v>0</v>
      </c>
      <c r="R2335" s="2">
        <v>0</v>
      </c>
      <c r="S2335">
        <v>0</v>
      </c>
      <c r="T2335" s="2">
        <v>0</v>
      </c>
      <c r="U2335" s="2">
        <v>100800</v>
      </c>
      <c r="V2335">
        <v>0</v>
      </c>
      <c r="W2335">
        <v>0</v>
      </c>
      <c r="X2335">
        <v>11</v>
      </c>
      <c r="Y2335" t="e">
        <v>#DIV/0!</v>
      </c>
      <c r="Z2335">
        <v>0</v>
      </c>
      <c r="AA2335" t="e">
        <v>#DIV/0!</v>
      </c>
      <c r="AB2335">
        <v>28.8</v>
      </c>
      <c r="AC2335">
        <v>0</v>
      </c>
      <c r="AD2335">
        <v>42</v>
      </c>
      <c r="AE2335" s="7"/>
      <c r="AF2335" s="7"/>
      <c r="AG2335" s="7"/>
      <c r="AH2335" s="7"/>
      <c r="AI2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35" s="7"/>
      <c r="AK2335" t="s">
        <v>1146</v>
      </c>
      <c r="AN2335">
        <f>IFERROR(INT(Table13[[#This Row],[reject_prod]]/Table13[[#This Row],[part_weight]] * 1000), 0)</f>
        <v>0</v>
      </c>
    </row>
    <row r="2336" spans="1:40">
      <c r="A2336" s="1">
        <v>46091</v>
      </c>
      <c r="B2336">
        <v>2</v>
      </c>
      <c r="C2336">
        <v>13</v>
      </c>
      <c r="D2336" t="s">
        <v>59</v>
      </c>
      <c r="E2336" t="s">
        <v>46</v>
      </c>
      <c r="F2336">
        <v>586276</v>
      </c>
      <c r="G2336" s="6">
        <v>2</v>
      </c>
      <c r="H2336" t="s">
        <v>47</v>
      </c>
      <c r="I2336">
        <v>10688946</v>
      </c>
      <c r="J2336">
        <v>6</v>
      </c>
      <c r="K2336">
        <v>12.3</v>
      </c>
      <c r="L2336">
        <v>12.3</v>
      </c>
      <c r="M2336">
        <v>1620</v>
      </c>
      <c r="N2336" s="2">
        <v>162000</v>
      </c>
      <c r="O2336" s="2">
        <v>3240</v>
      </c>
      <c r="P2336" s="2">
        <v>4860</v>
      </c>
      <c r="Q2336" s="2">
        <v>9720</v>
      </c>
      <c r="R2336" s="2">
        <v>8100</v>
      </c>
      <c r="S2336">
        <v>99.63</v>
      </c>
      <c r="T2336" s="2">
        <v>158760</v>
      </c>
      <c r="U2336" s="2">
        <v>3240</v>
      </c>
      <c r="V2336">
        <v>119.556</v>
      </c>
      <c r="W2336">
        <v>0</v>
      </c>
      <c r="X2336">
        <v>0</v>
      </c>
      <c r="Y2336">
        <v>0</v>
      </c>
      <c r="Z2336">
        <v>1.2</v>
      </c>
      <c r="AA2336">
        <v>1.0037137E-2</v>
      </c>
      <c r="AB2336">
        <v>26.2</v>
      </c>
      <c r="AC2336">
        <v>11.79</v>
      </c>
      <c r="AD2336">
        <v>26</v>
      </c>
      <c r="AE2336" s="7"/>
      <c r="AF2336" s="7"/>
      <c r="AG2336" s="7"/>
      <c r="AH2336" s="7"/>
      <c r="AI2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36" s="7"/>
      <c r="AK2336" t="s">
        <v>51</v>
      </c>
      <c r="AN2336">
        <f>IFERROR(INT(Table13[[#This Row],[reject_prod]]/Table13[[#This Row],[part_weight]] * 1000), 0)</f>
        <v>97</v>
      </c>
    </row>
    <row r="2337" spans="1:40">
      <c r="A2337" s="1">
        <v>46091</v>
      </c>
      <c r="B2337">
        <v>2</v>
      </c>
      <c r="C2337">
        <v>14</v>
      </c>
      <c r="D2337" t="s">
        <v>33</v>
      </c>
      <c r="E2337" t="s">
        <v>34</v>
      </c>
      <c r="F2337">
        <v>541381</v>
      </c>
      <c r="G2337" s="6">
        <v>0</v>
      </c>
      <c r="H2337" t="s">
        <v>804</v>
      </c>
      <c r="I2337">
        <v>10688073</v>
      </c>
      <c r="J2337">
        <v>4</v>
      </c>
      <c r="K2337">
        <v>55</v>
      </c>
      <c r="L2337">
        <v>55</v>
      </c>
      <c r="M2337">
        <v>0</v>
      </c>
      <c r="N2337" s="2">
        <v>84000</v>
      </c>
      <c r="O2337" s="2">
        <v>450</v>
      </c>
      <c r="P2337" s="2">
        <v>0</v>
      </c>
      <c r="Q2337" s="2">
        <v>0</v>
      </c>
      <c r="R2337" s="2">
        <v>0</v>
      </c>
      <c r="S2337">
        <v>0</v>
      </c>
      <c r="T2337" s="2">
        <v>60900</v>
      </c>
      <c r="U2337" s="2">
        <v>23100</v>
      </c>
      <c r="V2337">
        <v>0</v>
      </c>
      <c r="W2337">
        <v>0</v>
      </c>
      <c r="X2337">
        <v>0</v>
      </c>
      <c r="Y2337" t="e">
        <v>#DIV/0!</v>
      </c>
      <c r="Z2337">
        <v>1</v>
      </c>
      <c r="AA2337" t="e">
        <v>#DIV/0!</v>
      </c>
      <c r="AB2337">
        <v>28.8</v>
      </c>
      <c r="AC2337">
        <v>0</v>
      </c>
      <c r="AD2337">
        <v>30.08</v>
      </c>
      <c r="AE2337" s="7"/>
      <c r="AF2337" s="7"/>
      <c r="AG2337" s="7"/>
      <c r="AH2337" s="7"/>
      <c r="AI2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37" s="7"/>
      <c r="AK2337" t="s">
        <v>1188</v>
      </c>
      <c r="AN2337">
        <f>IFERROR(INT(Table13[[#This Row],[reject_prod]]/Table13[[#This Row],[part_weight]] * 1000), 0)</f>
        <v>18</v>
      </c>
    </row>
    <row r="2338" spans="1:40">
      <c r="A2338" s="1">
        <v>46091</v>
      </c>
      <c r="B2338">
        <v>2</v>
      </c>
      <c r="C2338">
        <v>15</v>
      </c>
      <c r="D2338" t="s">
        <v>59</v>
      </c>
      <c r="E2338" t="s">
        <v>46</v>
      </c>
      <c r="F2338">
        <v>552181</v>
      </c>
      <c r="G2338" s="6">
        <v>2</v>
      </c>
      <c r="H2338" t="s">
        <v>49</v>
      </c>
      <c r="I2338">
        <v>10686680</v>
      </c>
      <c r="J2338">
        <v>6</v>
      </c>
      <c r="K2338">
        <v>14.7</v>
      </c>
      <c r="L2338">
        <v>14.7</v>
      </c>
      <c r="M2338">
        <v>775</v>
      </c>
      <c r="N2338" s="2">
        <v>108000</v>
      </c>
      <c r="O2338" s="2">
        <v>810</v>
      </c>
      <c r="P2338" s="2">
        <v>0</v>
      </c>
      <c r="Q2338" s="2">
        <v>4650</v>
      </c>
      <c r="R2338" s="2">
        <v>5400</v>
      </c>
      <c r="S2338">
        <v>79.38</v>
      </c>
      <c r="T2338" s="2">
        <v>108000</v>
      </c>
      <c r="U2338" s="2">
        <v>0</v>
      </c>
      <c r="V2338">
        <v>68.355000000000004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30.6</v>
      </c>
      <c r="AC2338">
        <v>6.5875000000000004</v>
      </c>
      <c r="AD2338">
        <v>27</v>
      </c>
      <c r="AE2338" s="7"/>
      <c r="AF2338" s="7"/>
      <c r="AG2338" s="7"/>
      <c r="AH2338" s="7"/>
      <c r="AI2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5.4124999999999996</v>
      </c>
      <c r="AJ2338" s="7"/>
      <c r="AK2338" t="s">
        <v>102</v>
      </c>
      <c r="AN2338">
        <f>IFERROR(INT(Table13[[#This Row],[reject_prod]]/Table13[[#This Row],[part_weight]] * 1000), 0)</f>
        <v>0</v>
      </c>
    </row>
    <row r="2339" spans="1:40">
      <c r="A2339" s="1">
        <v>46091</v>
      </c>
      <c r="B2339">
        <v>2</v>
      </c>
      <c r="C2339">
        <v>15</v>
      </c>
      <c r="D2339" t="s">
        <v>59</v>
      </c>
      <c r="E2339" t="s">
        <v>46</v>
      </c>
      <c r="F2339">
        <v>552181</v>
      </c>
      <c r="G2339" s="6">
        <v>2</v>
      </c>
      <c r="H2339" t="s">
        <v>49</v>
      </c>
      <c r="I2339">
        <v>10689122</v>
      </c>
      <c r="J2339">
        <v>6</v>
      </c>
      <c r="K2339">
        <v>14.7</v>
      </c>
      <c r="L2339">
        <v>14.7</v>
      </c>
      <c r="M2339">
        <v>630</v>
      </c>
      <c r="N2339" s="2">
        <v>108000</v>
      </c>
      <c r="O2339" s="2">
        <v>0</v>
      </c>
      <c r="P2339" s="2">
        <v>3780</v>
      </c>
      <c r="Q2339" s="2">
        <v>3780</v>
      </c>
      <c r="R2339" s="2">
        <v>0</v>
      </c>
      <c r="S2339">
        <v>0</v>
      </c>
      <c r="T2339" s="2">
        <v>3780</v>
      </c>
      <c r="U2339" s="2">
        <v>104220</v>
      </c>
      <c r="V2339">
        <v>55.566000000000003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30.6</v>
      </c>
      <c r="AC2339">
        <v>5.3550000000000004</v>
      </c>
      <c r="AD2339">
        <v>27</v>
      </c>
      <c r="AE2339" s="7"/>
      <c r="AF2339" s="7"/>
      <c r="AG2339" s="7"/>
      <c r="AH2339" s="7"/>
      <c r="AI2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6.6449999999999996</v>
      </c>
      <c r="AJ2339" s="7"/>
      <c r="AK2339" t="s">
        <v>51</v>
      </c>
      <c r="AN2339">
        <f>IFERROR(INT(Table13[[#This Row],[reject_prod]]/Table13[[#This Row],[part_weight]] * 1000), 0)</f>
        <v>0</v>
      </c>
    </row>
    <row r="2340" spans="1:40">
      <c r="A2340" s="1">
        <v>46091</v>
      </c>
      <c r="B2340">
        <v>2</v>
      </c>
      <c r="C2340">
        <v>16</v>
      </c>
      <c r="D2340" t="s">
        <v>1189</v>
      </c>
      <c r="E2340" t="s">
        <v>46</v>
      </c>
      <c r="F2340">
        <v>555979</v>
      </c>
      <c r="G2340" s="6">
        <v>2</v>
      </c>
      <c r="H2340" t="s">
        <v>52</v>
      </c>
      <c r="I2340">
        <v>10688074</v>
      </c>
      <c r="J2340">
        <v>6</v>
      </c>
      <c r="K2340">
        <v>28</v>
      </c>
      <c r="L2340">
        <v>28</v>
      </c>
      <c r="M2340">
        <v>1064</v>
      </c>
      <c r="N2340" s="2">
        <v>100800</v>
      </c>
      <c r="O2340" s="2">
        <v>504</v>
      </c>
      <c r="P2340" s="2">
        <v>168</v>
      </c>
      <c r="Q2340" s="2">
        <v>6384</v>
      </c>
      <c r="R2340" s="2">
        <v>6720</v>
      </c>
      <c r="S2340">
        <v>188.16</v>
      </c>
      <c r="T2340" s="2">
        <v>40488</v>
      </c>
      <c r="U2340" s="2">
        <v>60312</v>
      </c>
      <c r="V2340">
        <v>178.75200000000001</v>
      </c>
      <c r="W2340">
        <v>0</v>
      </c>
      <c r="X2340">
        <v>0</v>
      </c>
      <c r="Y2340">
        <v>0</v>
      </c>
      <c r="Z2340">
        <v>1</v>
      </c>
      <c r="AA2340">
        <v>5.5943429999999999E-3</v>
      </c>
      <c r="AB2340">
        <v>40.5</v>
      </c>
      <c r="AC2340">
        <v>11.97</v>
      </c>
      <c r="AD2340">
        <v>42</v>
      </c>
      <c r="AE2340" s="7"/>
      <c r="AF2340" s="7"/>
      <c r="AG2340" s="7"/>
      <c r="AH2340" s="7"/>
      <c r="AI2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340" s="7"/>
      <c r="AK2340" t="s">
        <v>51</v>
      </c>
      <c r="AN2340">
        <f>IFERROR(INT(Table13[[#This Row],[reject_prod]]/Table13[[#This Row],[part_weight]] * 1000), 0)</f>
        <v>35</v>
      </c>
    </row>
    <row r="2341" spans="1:40">
      <c r="A2341" s="1">
        <v>46092</v>
      </c>
      <c r="B2341">
        <v>1</v>
      </c>
      <c r="C2341">
        <v>1</v>
      </c>
      <c r="D2341" t="s">
        <v>141</v>
      </c>
      <c r="E2341" t="s">
        <v>34</v>
      </c>
      <c r="F2341">
        <v>577492</v>
      </c>
      <c r="G2341" s="6">
        <v>0</v>
      </c>
      <c r="H2341" t="s">
        <v>341</v>
      </c>
      <c r="I2341">
        <v>10688947</v>
      </c>
      <c r="J2341">
        <v>4</v>
      </c>
      <c r="K2341">
        <v>35.6</v>
      </c>
      <c r="L2341">
        <v>35.6</v>
      </c>
      <c r="M2341">
        <v>1648</v>
      </c>
      <c r="N2341" s="2">
        <v>80960</v>
      </c>
      <c r="O2341" s="2">
        <v>1104</v>
      </c>
      <c r="P2341" s="2">
        <v>2184</v>
      </c>
      <c r="Q2341" s="2">
        <v>6592</v>
      </c>
      <c r="R2341" s="2">
        <v>7360</v>
      </c>
      <c r="S2341">
        <v>262.01600000000002</v>
      </c>
      <c r="T2341" s="2">
        <v>62744</v>
      </c>
      <c r="U2341" s="2">
        <v>18216</v>
      </c>
      <c r="V2341">
        <v>234.67519999999999</v>
      </c>
      <c r="W2341">
        <v>0</v>
      </c>
      <c r="X2341">
        <v>0</v>
      </c>
      <c r="Y2341">
        <v>0</v>
      </c>
      <c r="Z2341">
        <v>5.5</v>
      </c>
      <c r="AA2341">
        <v>2.3436648000000001E-2</v>
      </c>
      <c r="AB2341">
        <v>26</v>
      </c>
      <c r="AC2341">
        <v>11.902222220000001</v>
      </c>
      <c r="AD2341">
        <v>27</v>
      </c>
      <c r="AE2341" s="7"/>
      <c r="AF2341" s="7"/>
      <c r="AG2341" s="7"/>
      <c r="AH2341" s="7"/>
      <c r="AI2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9.7777779999999481E-2</v>
      </c>
      <c r="AJ2341" s="7"/>
      <c r="AK2341" t="s">
        <v>370</v>
      </c>
      <c r="AL2341">
        <v>2</v>
      </c>
      <c r="AN2341">
        <f>IFERROR(INT(Table13[[#This Row],[reject_prod]]/Table13[[#This Row],[part_weight]] * 1000), 0)</f>
        <v>154</v>
      </c>
    </row>
    <row r="2342" spans="1:40">
      <c r="A2342" s="1">
        <v>46092</v>
      </c>
      <c r="B2342">
        <v>1</v>
      </c>
      <c r="C2342">
        <v>2</v>
      </c>
      <c r="D2342" t="s">
        <v>33</v>
      </c>
      <c r="E2342" t="s">
        <v>34</v>
      </c>
      <c r="F2342">
        <v>340460</v>
      </c>
      <c r="G2342" s="6">
        <v>0</v>
      </c>
      <c r="H2342" t="s">
        <v>1177</v>
      </c>
      <c r="I2342">
        <v>10688494</v>
      </c>
      <c r="J2342">
        <v>4</v>
      </c>
      <c r="K2342">
        <v>15.05</v>
      </c>
      <c r="L2342">
        <v>15.05</v>
      </c>
      <c r="M2342">
        <v>290</v>
      </c>
      <c r="N2342" s="2">
        <v>17400</v>
      </c>
      <c r="O2342" s="2">
        <v>0</v>
      </c>
      <c r="P2342" s="2">
        <v>1160</v>
      </c>
      <c r="Q2342" s="2">
        <v>1160</v>
      </c>
      <c r="R2342" s="2">
        <v>0</v>
      </c>
      <c r="S2342">
        <v>0</v>
      </c>
      <c r="T2342" s="2">
        <v>1160</v>
      </c>
      <c r="U2342" s="2">
        <v>16240</v>
      </c>
      <c r="V2342">
        <v>17.457999999999998</v>
      </c>
      <c r="W2342">
        <v>0</v>
      </c>
      <c r="X2342">
        <v>17.5</v>
      </c>
      <c r="Y2342">
        <v>1.0024057740000001</v>
      </c>
      <c r="Z2342">
        <v>0</v>
      </c>
      <c r="AA2342">
        <v>0</v>
      </c>
      <c r="AB2342">
        <v>21.1</v>
      </c>
      <c r="AC2342">
        <v>1.6997222219999999</v>
      </c>
      <c r="AD2342">
        <v>20</v>
      </c>
      <c r="AE2342" s="7"/>
      <c r="AF2342" s="7"/>
      <c r="AG2342" s="7"/>
      <c r="AH2342" s="7"/>
      <c r="AI23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10.300277778</v>
      </c>
      <c r="AJ2342" s="7"/>
      <c r="AK2342" t="s">
        <v>1190</v>
      </c>
      <c r="AL2342">
        <v>7</v>
      </c>
      <c r="AM2342">
        <v>11</v>
      </c>
      <c r="AN2342">
        <f>IFERROR(INT(Table13[[#This Row],[reject_prod]]/Table13[[#This Row],[part_weight]] * 1000), 0)</f>
        <v>0</v>
      </c>
    </row>
    <row r="2343" spans="1:40">
      <c r="A2343" s="1">
        <v>46092</v>
      </c>
      <c r="B2343">
        <v>1</v>
      </c>
      <c r="C2343">
        <v>3</v>
      </c>
      <c r="D2343" t="s">
        <v>65</v>
      </c>
      <c r="E2343" t="s">
        <v>34</v>
      </c>
      <c r="F2343">
        <v>442034</v>
      </c>
      <c r="G2343" s="6">
        <v>0</v>
      </c>
      <c r="H2343" t="s">
        <v>37</v>
      </c>
      <c r="I2343">
        <v>10685635</v>
      </c>
      <c r="J2343">
        <v>4</v>
      </c>
      <c r="K2343">
        <v>23</v>
      </c>
      <c r="L2343">
        <v>23</v>
      </c>
      <c r="M2343">
        <v>1609</v>
      </c>
      <c r="N2343" s="2">
        <v>139776</v>
      </c>
      <c r="O2343" s="2">
        <v>0</v>
      </c>
      <c r="P2343" s="2">
        <v>1536</v>
      </c>
      <c r="Q2343" s="2">
        <v>6436</v>
      </c>
      <c r="R2343" s="2">
        <v>4608</v>
      </c>
      <c r="S2343">
        <v>105.98399999999999</v>
      </c>
      <c r="T2343" s="2">
        <v>45264</v>
      </c>
      <c r="U2343" s="2">
        <v>94512</v>
      </c>
      <c r="V2343">
        <v>148.02799999999999</v>
      </c>
      <c r="W2343">
        <v>0</v>
      </c>
      <c r="X2343">
        <v>0</v>
      </c>
      <c r="Y2343">
        <v>0</v>
      </c>
      <c r="Z2343">
        <v>6.6</v>
      </c>
      <c r="AA2343">
        <v>4.4586159E-2</v>
      </c>
      <c r="AB2343">
        <v>26.1</v>
      </c>
      <c r="AC2343">
        <v>11.66525</v>
      </c>
      <c r="AD2343">
        <v>22</v>
      </c>
      <c r="AE2343" s="7"/>
      <c r="AF2343" s="7"/>
      <c r="AG2343" s="7"/>
      <c r="AH2343" s="7"/>
      <c r="AI2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0.33474999999999966</v>
      </c>
      <c r="AJ2343" s="7"/>
      <c r="AK2343" t="s">
        <v>103</v>
      </c>
      <c r="AM2343">
        <v>1</v>
      </c>
      <c r="AN2343">
        <f>IFERROR(INT(Table13[[#This Row],[reject_prod]]/Table13[[#This Row],[part_weight]] * 1000), 0)</f>
        <v>286</v>
      </c>
    </row>
    <row r="2344" spans="1:40">
      <c r="A2344" s="1">
        <v>46092</v>
      </c>
      <c r="B2344">
        <v>1</v>
      </c>
      <c r="C2344">
        <v>4</v>
      </c>
      <c r="D2344" t="s">
        <v>1170</v>
      </c>
      <c r="E2344" t="s">
        <v>34</v>
      </c>
      <c r="F2344">
        <v>426555</v>
      </c>
      <c r="G2344" s="6">
        <v>0</v>
      </c>
      <c r="H2344" t="s">
        <v>1128</v>
      </c>
      <c r="I2344">
        <v>10688066</v>
      </c>
      <c r="J2344">
        <v>4</v>
      </c>
      <c r="K2344">
        <v>29</v>
      </c>
      <c r="L2344">
        <v>29</v>
      </c>
      <c r="M2344">
        <v>1769</v>
      </c>
      <c r="N2344" s="2">
        <v>81600</v>
      </c>
      <c r="O2344" s="2">
        <v>170</v>
      </c>
      <c r="P2344" s="2">
        <v>0</v>
      </c>
      <c r="Q2344" s="2">
        <v>7076</v>
      </c>
      <c r="R2344" s="2">
        <v>7140</v>
      </c>
      <c r="S2344">
        <v>207.06</v>
      </c>
      <c r="T2344" s="2">
        <v>41820</v>
      </c>
      <c r="U2344" s="2">
        <v>39780</v>
      </c>
      <c r="V2344">
        <v>205.20400000000001</v>
      </c>
      <c r="W2344">
        <v>0</v>
      </c>
      <c r="X2344">
        <v>0</v>
      </c>
      <c r="Y2344">
        <v>0</v>
      </c>
      <c r="Z2344">
        <v>3</v>
      </c>
      <c r="AA2344">
        <v>1.4619597999999999E-2</v>
      </c>
      <c r="AB2344">
        <v>24.6</v>
      </c>
      <c r="AC2344">
        <v>12</v>
      </c>
      <c r="AD2344">
        <v>22.72</v>
      </c>
      <c r="AE2344" s="7"/>
      <c r="AF2344" s="7"/>
      <c r="AG2344" s="7"/>
      <c r="AH2344" s="7"/>
      <c r="AI2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44" s="7"/>
      <c r="AK2344" t="s">
        <v>214</v>
      </c>
      <c r="AN2344">
        <f>IFERROR(INT(Table13[[#This Row],[reject_prod]]/Table13[[#This Row],[part_weight]] * 1000), 0)</f>
        <v>103</v>
      </c>
    </row>
    <row r="2345" spans="1:40">
      <c r="A2345" s="1">
        <v>46092</v>
      </c>
      <c r="B2345">
        <v>1</v>
      </c>
      <c r="C2345">
        <v>5</v>
      </c>
      <c r="D2345" t="s">
        <v>33</v>
      </c>
      <c r="E2345" t="s">
        <v>34</v>
      </c>
      <c r="F2345">
        <v>322448</v>
      </c>
      <c r="G2345" s="6">
        <v>0</v>
      </c>
      <c r="H2345" t="s">
        <v>654</v>
      </c>
      <c r="I2345">
        <v>10687753</v>
      </c>
      <c r="J2345">
        <v>4</v>
      </c>
      <c r="K2345">
        <v>40</v>
      </c>
      <c r="L2345">
        <v>40</v>
      </c>
      <c r="M2345">
        <v>0</v>
      </c>
      <c r="N2345" s="2">
        <v>174960</v>
      </c>
      <c r="O2345" s="2">
        <v>0</v>
      </c>
      <c r="P2345" s="2">
        <v>0</v>
      </c>
      <c r="Q2345" s="2">
        <v>0</v>
      </c>
      <c r="R2345" s="2">
        <v>0</v>
      </c>
      <c r="S2345">
        <v>0</v>
      </c>
      <c r="T2345" s="2">
        <v>150660</v>
      </c>
      <c r="U2345" s="2">
        <v>24300</v>
      </c>
      <c r="V2345">
        <v>0</v>
      </c>
      <c r="W2345">
        <v>0</v>
      </c>
      <c r="X2345">
        <v>0</v>
      </c>
      <c r="Y2345" t="e">
        <v>#DIV/0!</v>
      </c>
      <c r="Z2345">
        <v>0</v>
      </c>
      <c r="AA2345" t="e">
        <v>#DIV/0!</v>
      </c>
      <c r="AB2345">
        <v>26.1</v>
      </c>
      <c r="AC2345">
        <v>0</v>
      </c>
      <c r="AD2345">
        <v>23</v>
      </c>
      <c r="AE2345" s="7"/>
      <c r="AF2345" s="7"/>
      <c r="AG2345" s="7"/>
      <c r="AH2345" s="7"/>
      <c r="AI2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45" s="7"/>
      <c r="AK2345" t="s">
        <v>1191</v>
      </c>
      <c r="AN2345">
        <f>IFERROR(INT(Table13[[#This Row],[reject_prod]]/Table13[[#This Row],[part_weight]] * 1000), 0)</f>
        <v>0</v>
      </c>
    </row>
    <row r="2346" spans="1:40">
      <c r="A2346" s="1">
        <v>46092</v>
      </c>
      <c r="B2346">
        <v>1</v>
      </c>
      <c r="C2346">
        <v>6</v>
      </c>
      <c r="D2346" t="s">
        <v>170</v>
      </c>
      <c r="E2346" t="s">
        <v>34</v>
      </c>
      <c r="F2346">
        <v>322412</v>
      </c>
      <c r="G2346" s="6">
        <v>0</v>
      </c>
      <c r="H2346" t="s">
        <v>487</v>
      </c>
      <c r="I2346">
        <v>10689396</v>
      </c>
      <c r="J2346">
        <v>4</v>
      </c>
      <c r="K2346">
        <v>24.3</v>
      </c>
      <c r="L2346">
        <v>24</v>
      </c>
      <c r="M2346">
        <v>0</v>
      </c>
      <c r="N2346" s="2">
        <v>4060</v>
      </c>
      <c r="O2346" s="2">
        <v>0</v>
      </c>
      <c r="P2346" s="2">
        <v>0</v>
      </c>
      <c r="Q2346" s="2">
        <v>0</v>
      </c>
      <c r="R2346" s="2">
        <v>0</v>
      </c>
      <c r="S2346">
        <v>0</v>
      </c>
      <c r="T2346" s="2">
        <v>0</v>
      </c>
      <c r="U2346" s="2">
        <v>4060</v>
      </c>
      <c r="V2346">
        <v>0</v>
      </c>
      <c r="W2346">
        <v>0</v>
      </c>
      <c r="X2346">
        <v>0</v>
      </c>
      <c r="Y2346" t="e">
        <v>#DIV/0!</v>
      </c>
      <c r="Z2346">
        <v>0</v>
      </c>
      <c r="AA2346" t="e">
        <v>#DIV/0!</v>
      </c>
      <c r="AB2346">
        <v>20</v>
      </c>
      <c r="AC2346">
        <v>0</v>
      </c>
      <c r="AD2346">
        <v>20</v>
      </c>
      <c r="AE2346" s="7">
        <v>5</v>
      </c>
      <c r="AF2346" s="7"/>
      <c r="AG2346" s="7"/>
      <c r="AH2346" s="7"/>
      <c r="AI2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346" s="7"/>
      <c r="AK2346" t="s">
        <v>1191</v>
      </c>
      <c r="AL2346">
        <v>11</v>
      </c>
      <c r="AN2346">
        <f>IFERROR(INT(Table13[[#This Row],[reject_prod]]/Table13[[#This Row],[part_weight]] * 1000), 0)</f>
        <v>0</v>
      </c>
    </row>
    <row r="2347" spans="1:40">
      <c r="A2347" s="1">
        <v>46092</v>
      </c>
      <c r="B2347">
        <v>1</v>
      </c>
      <c r="C2347">
        <v>6</v>
      </c>
      <c r="D2347" t="s">
        <v>170</v>
      </c>
      <c r="E2347" t="s">
        <v>34</v>
      </c>
      <c r="F2347">
        <v>322445</v>
      </c>
      <c r="G2347" s="6">
        <v>0</v>
      </c>
      <c r="H2347" t="s">
        <v>743</v>
      </c>
      <c r="I2347">
        <v>10689565</v>
      </c>
      <c r="J2347">
        <v>4</v>
      </c>
      <c r="K2347">
        <v>32.74</v>
      </c>
      <c r="L2347">
        <v>33</v>
      </c>
      <c r="M2347">
        <v>0</v>
      </c>
      <c r="N2347" s="2">
        <v>72000</v>
      </c>
      <c r="O2347" s="2">
        <v>0</v>
      </c>
      <c r="P2347" s="2">
        <v>0</v>
      </c>
      <c r="Q2347" s="2">
        <v>0</v>
      </c>
      <c r="R2347" s="2">
        <v>0</v>
      </c>
      <c r="S2347">
        <v>0</v>
      </c>
      <c r="T2347" s="2">
        <v>0</v>
      </c>
      <c r="U2347" s="2">
        <v>72000</v>
      </c>
      <c r="V2347">
        <v>0</v>
      </c>
      <c r="W2347">
        <v>0</v>
      </c>
      <c r="X2347">
        <v>0</v>
      </c>
      <c r="Y2347" t="e">
        <v>#DIV/0!</v>
      </c>
      <c r="Z2347">
        <v>0</v>
      </c>
      <c r="AA2347" t="e">
        <v>#DIV/0!</v>
      </c>
      <c r="AB2347">
        <v>22</v>
      </c>
      <c r="AC2347">
        <v>0</v>
      </c>
      <c r="AD2347">
        <v>22</v>
      </c>
      <c r="AE2347" s="7">
        <v>4</v>
      </c>
      <c r="AF2347" s="7"/>
      <c r="AG2347" s="7"/>
      <c r="AH2347" s="7"/>
      <c r="AI2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</v>
      </c>
      <c r="AJ2347" s="7"/>
      <c r="AK2347" t="s">
        <v>1192</v>
      </c>
      <c r="AN2347">
        <f>IFERROR(INT(Table13[[#This Row],[reject_prod]]/Table13[[#This Row],[part_weight]] * 1000), 0)</f>
        <v>0</v>
      </c>
    </row>
    <row r="2348" spans="1:40">
      <c r="A2348" s="1">
        <v>46092</v>
      </c>
      <c r="B2348">
        <v>1</v>
      </c>
      <c r="C2348">
        <v>7</v>
      </c>
      <c r="D2348" t="s">
        <v>33</v>
      </c>
      <c r="E2348" t="s">
        <v>34</v>
      </c>
      <c r="F2348">
        <v>322382</v>
      </c>
      <c r="G2348" s="6">
        <v>0</v>
      </c>
      <c r="H2348" t="s">
        <v>1184</v>
      </c>
      <c r="I2348">
        <v>10689314</v>
      </c>
      <c r="J2348">
        <v>4</v>
      </c>
      <c r="K2348">
        <v>18.8</v>
      </c>
      <c r="L2348">
        <v>11.3</v>
      </c>
      <c r="M2348">
        <v>0</v>
      </c>
      <c r="N2348" s="2">
        <v>10350</v>
      </c>
      <c r="O2348" s="2">
        <v>0</v>
      </c>
      <c r="P2348" s="2">
        <v>0</v>
      </c>
      <c r="Q2348" s="2">
        <v>0</v>
      </c>
      <c r="R2348" s="2">
        <v>0</v>
      </c>
      <c r="S2348">
        <v>0</v>
      </c>
      <c r="T2348" s="2">
        <v>0</v>
      </c>
      <c r="U2348" s="2">
        <v>10350</v>
      </c>
      <c r="V2348">
        <v>0</v>
      </c>
      <c r="W2348">
        <v>0</v>
      </c>
      <c r="X2348">
        <v>0</v>
      </c>
      <c r="Y2348" t="e">
        <v>#DIV/0!</v>
      </c>
      <c r="Z2348">
        <v>0</v>
      </c>
      <c r="AA2348" t="e">
        <v>#DIV/0!</v>
      </c>
      <c r="AB2348">
        <v>22.9</v>
      </c>
      <c r="AC2348">
        <v>0</v>
      </c>
      <c r="AD2348">
        <v>15.44</v>
      </c>
      <c r="AE2348" s="7"/>
      <c r="AF2348" s="7"/>
      <c r="AG2348" s="7"/>
      <c r="AH2348" s="7"/>
      <c r="AI23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48" s="7"/>
      <c r="AK2348" t="s">
        <v>1193</v>
      </c>
      <c r="AL2348">
        <v>2</v>
      </c>
      <c r="AM2348">
        <v>3</v>
      </c>
      <c r="AN2348">
        <f>IFERROR(INT(Table13[[#This Row],[reject_prod]]/Table13[[#This Row],[part_weight]] * 1000), 0)</f>
        <v>0</v>
      </c>
    </row>
    <row r="2349" spans="1:40">
      <c r="A2349" s="1">
        <v>46092</v>
      </c>
      <c r="B2349">
        <v>1</v>
      </c>
      <c r="C2349">
        <v>8</v>
      </c>
      <c r="D2349" t="s">
        <v>1194</v>
      </c>
      <c r="E2349" t="s">
        <v>41</v>
      </c>
      <c r="F2349">
        <v>593537</v>
      </c>
      <c r="G2349" s="6">
        <v>0</v>
      </c>
      <c r="H2349" t="s">
        <v>48</v>
      </c>
      <c r="I2349">
        <v>10688067</v>
      </c>
      <c r="J2349">
        <v>4</v>
      </c>
      <c r="K2349">
        <v>56.5</v>
      </c>
      <c r="L2349">
        <v>56.8</v>
      </c>
      <c r="M2349">
        <v>1356</v>
      </c>
      <c r="N2349" s="2">
        <v>69000</v>
      </c>
      <c r="O2349" s="2">
        <v>460</v>
      </c>
      <c r="P2349" s="2">
        <v>115</v>
      </c>
      <c r="Q2349" s="2">
        <v>5424</v>
      </c>
      <c r="R2349" s="2">
        <v>5750</v>
      </c>
      <c r="S2349">
        <v>326.60000000000002</v>
      </c>
      <c r="T2349" s="2">
        <v>8165</v>
      </c>
      <c r="U2349" s="2">
        <v>60835</v>
      </c>
      <c r="V2349">
        <v>308.08319999999998</v>
      </c>
      <c r="W2349">
        <v>0</v>
      </c>
      <c r="X2349">
        <v>0</v>
      </c>
      <c r="Y2349">
        <v>0</v>
      </c>
      <c r="Z2349">
        <v>1</v>
      </c>
      <c r="AA2349">
        <v>3.245876E-3</v>
      </c>
      <c r="AB2349">
        <v>30.6</v>
      </c>
      <c r="AC2349">
        <v>11.526</v>
      </c>
      <c r="AD2349">
        <v>28.5</v>
      </c>
      <c r="AE2349" s="7"/>
      <c r="AF2349" s="7"/>
      <c r="AG2349" s="7"/>
      <c r="AH2349" s="7"/>
      <c r="AI2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0.4740000000000002</v>
      </c>
      <c r="AJ2349" s="7"/>
      <c r="AK2349" t="s">
        <v>178</v>
      </c>
      <c r="AM2349">
        <v>1</v>
      </c>
      <c r="AN2349">
        <f>IFERROR(INT(Table13[[#This Row],[reject_prod]]/Table13[[#This Row],[part_weight]] * 1000), 0)</f>
        <v>17</v>
      </c>
    </row>
    <row r="2350" spans="1:40">
      <c r="A2350" s="1">
        <v>46092</v>
      </c>
      <c r="B2350">
        <v>1</v>
      </c>
      <c r="C2350">
        <v>9</v>
      </c>
      <c r="D2350" t="s">
        <v>698</v>
      </c>
      <c r="E2350" t="s">
        <v>46</v>
      </c>
      <c r="F2350">
        <v>586276</v>
      </c>
      <c r="G2350" s="6">
        <v>1</v>
      </c>
      <c r="H2350" t="s">
        <v>47</v>
      </c>
      <c r="I2350">
        <v>10689111</v>
      </c>
      <c r="J2350">
        <v>6</v>
      </c>
      <c r="K2350">
        <v>12.3</v>
      </c>
      <c r="L2350">
        <v>12.3</v>
      </c>
      <c r="M2350">
        <v>1595</v>
      </c>
      <c r="N2350" s="2">
        <v>162000</v>
      </c>
      <c r="O2350" s="2">
        <v>5265</v>
      </c>
      <c r="P2350" s="2">
        <v>6480</v>
      </c>
      <c r="Q2350" s="2">
        <v>9570</v>
      </c>
      <c r="R2350" s="2">
        <v>8100</v>
      </c>
      <c r="S2350">
        <v>99.63</v>
      </c>
      <c r="T2350" s="2">
        <v>38880</v>
      </c>
      <c r="U2350" s="2">
        <v>123120</v>
      </c>
      <c r="V2350">
        <v>117.711</v>
      </c>
      <c r="W2350">
        <v>0</v>
      </c>
      <c r="X2350">
        <v>0</v>
      </c>
      <c r="Y2350">
        <v>0</v>
      </c>
      <c r="Z2350">
        <v>3</v>
      </c>
      <c r="AA2350">
        <v>2.5486148E-2</v>
      </c>
      <c r="AB2350">
        <v>26.5</v>
      </c>
      <c r="AC2350">
        <v>11.74097222</v>
      </c>
      <c r="AD2350">
        <v>26</v>
      </c>
      <c r="AE2350" s="7"/>
      <c r="AF2350" s="7"/>
      <c r="AG2350" s="7"/>
      <c r="AH2350" s="7"/>
      <c r="AI2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0.25902778000000026</v>
      </c>
      <c r="AJ2350" s="7"/>
      <c r="AK2350" t="s">
        <v>51</v>
      </c>
      <c r="AN2350">
        <f>IFERROR(INT(Table13[[#This Row],[reject_prod]]/Table13[[#This Row],[part_weight]] * 1000), 0)</f>
        <v>243</v>
      </c>
    </row>
    <row r="2351" spans="1:40">
      <c r="A2351" s="1">
        <v>46092</v>
      </c>
      <c r="B2351">
        <v>1</v>
      </c>
      <c r="C2351">
        <v>10</v>
      </c>
      <c r="D2351" t="s">
        <v>43</v>
      </c>
      <c r="E2351" t="s">
        <v>34</v>
      </c>
      <c r="F2351">
        <v>414439</v>
      </c>
      <c r="G2351" s="6">
        <v>0</v>
      </c>
      <c r="H2351" t="s">
        <v>587</v>
      </c>
      <c r="I2351">
        <v>10688521</v>
      </c>
      <c r="J2351">
        <v>6</v>
      </c>
      <c r="K2351">
        <v>57</v>
      </c>
      <c r="L2351">
        <v>15</v>
      </c>
      <c r="M2351">
        <v>1826</v>
      </c>
      <c r="N2351" s="2">
        <v>206976</v>
      </c>
      <c r="O2351" s="2">
        <v>6776</v>
      </c>
      <c r="P2351" s="2">
        <v>2464</v>
      </c>
      <c r="Q2351" s="2">
        <v>10956</v>
      </c>
      <c r="R2351" s="2">
        <v>14784</v>
      </c>
      <c r="S2351">
        <v>221.76</v>
      </c>
      <c r="T2351" s="2">
        <v>135520</v>
      </c>
      <c r="U2351" s="2">
        <v>71456</v>
      </c>
      <c r="V2351">
        <v>164.34</v>
      </c>
      <c r="W2351">
        <v>0</v>
      </c>
      <c r="X2351">
        <v>0</v>
      </c>
      <c r="Y2351">
        <v>0</v>
      </c>
      <c r="Z2351">
        <v>7.2</v>
      </c>
      <c r="AA2351">
        <v>4.3811610000000001E-2</v>
      </c>
      <c r="AB2351">
        <v>23.7</v>
      </c>
      <c r="AC2351">
        <v>12</v>
      </c>
      <c r="AD2351">
        <v>15</v>
      </c>
      <c r="AE2351" s="7"/>
      <c r="AF2351" s="7"/>
      <c r="AG2351" s="7"/>
      <c r="AH2351" s="7"/>
      <c r="AI2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1" s="7"/>
      <c r="AK2351" t="s">
        <v>1195</v>
      </c>
      <c r="AN2351">
        <f>IFERROR(INT(Table13[[#This Row],[reject_prod]]/Table13[[#This Row],[part_weight]] * 1000), 0)</f>
        <v>480</v>
      </c>
    </row>
    <row r="2352" spans="1:40">
      <c r="A2352" s="1">
        <v>46092</v>
      </c>
      <c r="B2352">
        <v>1</v>
      </c>
      <c r="C2352">
        <v>11</v>
      </c>
      <c r="D2352" t="s">
        <v>112</v>
      </c>
      <c r="E2352" t="s">
        <v>46</v>
      </c>
      <c r="F2352">
        <v>552181</v>
      </c>
      <c r="G2352" s="6">
        <v>1</v>
      </c>
      <c r="H2352" t="s">
        <v>49</v>
      </c>
      <c r="I2352">
        <v>10688069</v>
      </c>
      <c r="J2352">
        <v>6</v>
      </c>
      <c r="K2352">
        <v>14.7</v>
      </c>
      <c r="L2352">
        <v>14.7</v>
      </c>
      <c r="M2352">
        <v>1337</v>
      </c>
      <c r="N2352" s="2">
        <v>108000</v>
      </c>
      <c r="O2352" s="2">
        <v>7020</v>
      </c>
      <c r="P2352" s="2">
        <v>4050</v>
      </c>
      <c r="Q2352" s="2">
        <v>8022</v>
      </c>
      <c r="R2352" s="2">
        <v>0</v>
      </c>
      <c r="S2352">
        <v>0</v>
      </c>
      <c r="T2352" s="2">
        <v>85050</v>
      </c>
      <c r="U2352" s="2">
        <v>22950</v>
      </c>
      <c r="V2352">
        <v>117.9234</v>
      </c>
      <c r="W2352">
        <v>0</v>
      </c>
      <c r="X2352">
        <v>0</v>
      </c>
      <c r="Y2352">
        <v>0</v>
      </c>
      <c r="Z2352">
        <v>11</v>
      </c>
      <c r="AA2352">
        <v>9.3280893000000004E-2</v>
      </c>
      <c r="AB2352">
        <v>29.2</v>
      </c>
      <c r="AC2352">
        <v>10.84455556</v>
      </c>
      <c r="AD2352">
        <v>27</v>
      </c>
      <c r="AE2352" s="7"/>
      <c r="AF2352" s="7"/>
      <c r="AG2352" s="7"/>
      <c r="AH2352" s="7">
        <v>1</v>
      </c>
      <c r="AI2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0.15544444000000013</v>
      </c>
      <c r="AJ2352" s="7"/>
      <c r="AK2352" t="s">
        <v>1196</v>
      </c>
      <c r="AN2352">
        <f>IFERROR(INT(Table13[[#This Row],[reject_prod]]/Table13[[#This Row],[part_weight]] * 1000), 0)</f>
        <v>748</v>
      </c>
    </row>
    <row r="2353" spans="1:40">
      <c r="A2353" s="1">
        <v>46092</v>
      </c>
      <c r="B2353">
        <v>1</v>
      </c>
      <c r="C2353">
        <v>12</v>
      </c>
      <c r="D2353" t="s">
        <v>152</v>
      </c>
      <c r="E2353" t="s">
        <v>46</v>
      </c>
      <c r="F2353">
        <v>555979</v>
      </c>
      <c r="G2353" s="6">
        <v>1</v>
      </c>
      <c r="H2353" t="s">
        <v>52</v>
      </c>
      <c r="I2353">
        <v>10689126</v>
      </c>
      <c r="J2353">
        <v>6</v>
      </c>
      <c r="K2353">
        <v>28</v>
      </c>
      <c r="L2353">
        <v>28</v>
      </c>
      <c r="M2353">
        <v>909</v>
      </c>
      <c r="N2353" s="2">
        <v>100800</v>
      </c>
      <c r="O2353" s="2">
        <v>0</v>
      </c>
      <c r="P2353" s="2">
        <v>5040</v>
      </c>
      <c r="Q2353" s="2">
        <v>5454</v>
      </c>
      <c r="R2353" s="2">
        <v>0</v>
      </c>
      <c r="S2353">
        <v>0</v>
      </c>
      <c r="T2353" s="2">
        <v>5040</v>
      </c>
      <c r="U2353" s="2">
        <v>95760</v>
      </c>
      <c r="V2353">
        <v>152.71199999999999</v>
      </c>
      <c r="W2353">
        <v>0</v>
      </c>
      <c r="X2353">
        <v>10</v>
      </c>
      <c r="Y2353">
        <v>6.5482738999999998E-2</v>
      </c>
      <c r="Z2353">
        <v>1.6</v>
      </c>
      <c r="AA2353">
        <v>1.0477238E-2</v>
      </c>
      <c r="AB2353">
        <v>41.2</v>
      </c>
      <c r="AC2353">
        <v>10.403</v>
      </c>
      <c r="AD2353">
        <v>42</v>
      </c>
      <c r="AE2353" s="7"/>
      <c r="AF2353" s="7"/>
      <c r="AG2353" s="7"/>
      <c r="AH2353" s="7"/>
      <c r="AI2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1.5969999999999995</v>
      </c>
      <c r="AJ2353" s="7"/>
      <c r="AK2353" t="s">
        <v>1197</v>
      </c>
      <c r="AM2353">
        <v>5</v>
      </c>
      <c r="AN2353">
        <f>IFERROR(INT(Table13[[#This Row],[reject_prod]]/Table13[[#This Row],[part_weight]] * 1000), 0)</f>
        <v>57</v>
      </c>
    </row>
    <row r="2354" spans="1:40">
      <c r="A2354" s="1">
        <v>46092</v>
      </c>
      <c r="B2354">
        <v>1</v>
      </c>
      <c r="C2354">
        <v>13</v>
      </c>
      <c r="D2354" t="s">
        <v>112</v>
      </c>
      <c r="E2354" t="s">
        <v>46</v>
      </c>
      <c r="F2354">
        <v>586276</v>
      </c>
      <c r="G2354" s="6">
        <v>2</v>
      </c>
      <c r="H2354" t="s">
        <v>47</v>
      </c>
      <c r="I2354">
        <v>10688946</v>
      </c>
      <c r="J2354">
        <v>6</v>
      </c>
      <c r="K2354">
        <v>12.3</v>
      </c>
      <c r="L2354">
        <v>12.3</v>
      </c>
      <c r="M2354">
        <v>554</v>
      </c>
      <c r="N2354" s="2">
        <v>162000</v>
      </c>
      <c r="O2354" s="2">
        <v>4860</v>
      </c>
      <c r="P2354" s="2">
        <v>0</v>
      </c>
      <c r="Q2354" s="2">
        <v>3324</v>
      </c>
      <c r="R2354" s="2">
        <v>8100</v>
      </c>
      <c r="S2354">
        <v>99.63</v>
      </c>
      <c r="T2354" s="2">
        <v>162000</v>
      </c>
      <c r="U2354" s="2">
        <v>0</v>
      </c>
      <c r="V2354">
        <v>40.885199999999998</v>
      </c>
      <c r="W2354">
        <v>0</v>
      </c>
      <c r="X2354">
        <v>0</v>
      </c>
      <c r="Y2354">
        <v>0</v>
      </c>
      <c r="Z2354">
        <v>1</v>
      </c>
      <c r="AA2354">
        <v>2.4458727999999999E-2</v>
      </c>
      <c r="AB2354">
        <v>26.2</v>
      </c>
      <c r="AC2354">
        <v>4.0318888890000002</v>
      </c>
      <c r="AD2354">
        <v>26</v>
      </c>
      <c r="AE2354" s="7"/>
      <c r="AF2354" s="7"/>
      <c r="AG2354" s="7"/>
      <c r="AH2354" s="7"/>
      <c r="AI2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7.9681111109999998</v>
      </c>
      <c r="AJ2354" s="7"/>
      <c r="AK2354" t="s">
        <v>102</v>
      </c>
      <c r="AN2354">
        <f>IFERROR(INT(Table13[[#This Row],[reject_prod]]/Table13[[#This Row],[part_weight]] * 1000), 0)</f>
        <v>81</v>
      </c>
    </row>
    <row r="2355" spans="1:40">
      <c r="A2355" s="1">
        <v>46092</v>
      </c>
      <c r="B2355">
        <v>1</v>
      </c>
      <c r="C2355">
        <v>13</v>
      </c>
      <c r="D2355" t="s">
        <v>112</v>
      </c>
      <c r="E2355" t="s">
        <v>46</v>
      </c>
      <c r="F2355">
        <v>586276</v>
      </c>
      <c r="G2355" s="6">
        <v>2</v>
      </c>
      <c r="H2355" t="s">
        <v>47</v>
      </c>
      <c r="I2355">
        <v>10689118</v>
      </c>
      <c r="J2355">
        <v>6</v>
      </c>
      <c r="K2355">
        <v>12.3</v>
      </c>
      <c r="L2355">
        <v>12.3</v>
      </c>
      <c r="M2355">
        <v>1080</v>
      </c>
      <c r="N2355" s="2">
        <v>162000</v>
      </c>
      <c r="O2355" s="2">
        <v>0</v>
      </c>
      <c r="P2355" s="2">
        <v>6480</v>
      </c>
      <c r="Q2355" s="2">
        <v>6480</v>
      </c>
      <c r="R2355" s="2">
        <v>0</v>
      </c>
      <c r="S2355">
        <v>0</v>
      </c>
      <c r="T2355" s="2">
        <v>6480</v>
      </c>
      <c r="U2355" s="2">
        <v>155520</v>
      </c>
      <c r="V2355">
        <v>79.703999999999994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26.2</v>
      </c>
      <c r="AC2355">
        <v>7.86</v>
      </c>
      <c r="AD2355">
        <v>26</v>
      </c>
      <c r="AE2355" s="7"/>
      <c r="AF2355" s="7"/>
      <c r="AG2355" s="7"/>
      <c r="AH2355" s="7"/>
      <c r="AI2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4.1399999999999997</v>
      </c>
      <c r="AJ2355" s="7"/>
      <c r="AK2355" t="s">
        <v>51</v>
      </c>
      <c r="AN2355">
        <f>IFERROR(INT(Table13[[#This Row],[reject_prod]]/Table13[[#This Row],[part_weight]] * 1000), 0)</f>
        <v>0</v>
      </c>
    </row>
    <row r="2356" spans="1:40">
      <c r="A2356" s="1">
        <v>46092</v>
      </c>
      <c r="B2356">
        <v>1</v>
      </c>
      <c r="C2356">
        <v>14</v>
      </c>
      <c r="D2356" t="s">
        <v>33</v>
      </c>
      <c r="E2356" t="s">
        <v>34</v>
      </c>
      <c r="F2356">
        <v>541381</v>
      </c>
      <c r="G2356" s="6">
        <v>0</v>
      </c>
      <c r="H2356" t="s">
        <v>804</v>
      </c>
      <c r="I2356">
        <v>10688073</v>
      </c>
      <c r="J2356">
        <v>4</v>
      </c>
      <c r="K2356">
        <v>55</v>
      </c>
      <c r="L2356">
        <v>55</v>
      </c>
      <c r="M2356">
        <v>0</v>
      </c>
      <c r="N2356" s="2">
        <v>84000</v>
      </c>
      <c r="O2356" s="2">
        <v>0</v>
      </c>
      <c r="P2356" s="2">
        <v>0</v>
      </c>
      <c r="Q2356" s="2">
        <v>0</v>
      </c>
      <c r="R2356" s="2">
        <v>1400</v>
      </c>
      <c r="S2356">
        <v>77</v>
      </c>
      <c r="T2356" s="2">
        <v>15400</v>
      </c>
      <c r="U2356" s="2">
        <v>68600</v>
      </c>
      <c r="V2356">
        <v>0</v>
      </c>
      <c r="W2356">
        <v>0</v>
      </c>
      <c r="X2356">
        <v>0</v>
      </c>
      <c r="Y2356" t="e">
        <v>#DIV/0!</v>
      </c>
      <c r="Z2356">
        <v>0</v>
      </c>
      <c r="AA2356" t="e">
        <v>#DIV/0!</v>
      </c>
      <c r="AB2356">
        <v>28.8</v>
      </c>
      <c r="AC2356">
        <v>0</v>
      </c>
      <c r="AD2356">
        <v>30.08</v>
      </c>
      <c r="AE2356" s="7"/>
      <c r="AF2356" s="7"/>
      <c r="AG2356" s="7"/>
      <c r="AH2356" s="7"/>
      <c r="AI2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56" s="7"/>
      <c r="AK2356" t="s">
        <v>1198</v>
      </c>
      <c r="AN2356">
        <f>IFERROR(INT(Table13[[#This Row],[reject_prod]]/Table13[[#This Row],[part_weight]] * 1000), 0)</f>
        <v>0</v>
      </c>
    </row>
    <row r="2357" spans="1:40">
      <c r="A2357" s="1">
        <v>46092</v>
      </c>
      <c r="B2357">
        <v>1</v>
      </c>
      <c r="C2357">
        <v>15</v>
      </c>
      <c r="D2357" t="s">
        <v>112</v>
      </c>
      <c r="E2357" t="s">
        <v>46</v>
      </c>
      <c r="F2357">
        <v>552181</v>
      </c>
      <c r="G2357" s="6">
        <v>2</v>
      </c>
      <c r="H2357" t="s">
        <v>49</v>
      </c>
      <c r="I2357">
        <v>10689122</v>
      </c>
      <c r="J2357">
        <v>6</v>
      </c>
      <c r="K2357">
        <v>14.7</v>
      </c>
      <c r="L2357">
        <v>14.7</v>
      </c>
      <c r="M2357">
        <v>1413</v>
      </c>
      <c r="N2357" s="2">
        <v>108000</v>
      </c>
      <c r="O2357" s="2">
        <v>3780</v>
      </c>
      <c r="P2357" s="2">
        <v>1350</v>
      </c>
      <c r="Q2357" s="2">
        <v>8478</v>
      </c>
      <c r="R2357" s="2">
        <v>10800</v>
      </c>
      <c r="S2357">
        <v>158.76</v>
      </c>
      <c r="T2357" s="2">
        <v>97200</v>
      </c>
      <c r="U2357" s="2">
        <v>10800</v>
      </c>
      <c r="V2357">
        <v>124.6266</v>
      </c>
      <c r="W2357">
        <v>0</v>
      </c>
      <c r="X2357">
        <v>0</v>
      </c>
      <c r="Y2357">
        <v>0</v>
      </c>
      <c r="Z2357">
        <v>2</v>
      </c>
      <c r="AA2357">
        <v>1.6047938000000001E-2</v>
      </c>
      <c r="AB2357">
        <v>30.6</v>
      </c>
      <c r="AC2357">
        <v>12</v>
      </c>
      <c r="AD2357">
        <v>27</v>
      </c>
      <c r="AE2357" s="7"/>
      <c r="AF2357" s="7"/>
      <c r="AG2357" s="7"/>
      <c r="AH2357" s="7"/>
      <c r="AI2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7" s="7"/>
      <c r="AK2357" t="s">
        <v>51</v>
      </c>
      <c r="AN2357">
        <f>IFERROR(INT(Table13[[#This Row],[reject_prod]]/Table13[[#This Row],[part_weight]] * 1000), 0)</f>
        <v>136</v>
      </c>
    </row>
    <row r="2358" spans="1:40">
      <c r="A2358" s="1">
        <v>46092</v>
      </c>
      <c r="B2358">
        <v>1</v>
      </c>
      <c r="C2358">
        <v>16</v>
      </c>
      <c r="D2358" t="s">
        <v>221</v>
      </c>
      <c r="E2358" t="s">
        <v>46</v>
      </c>
      <c r="F2358">
        <v>555979</v>
      </c>
      <c r="G2358" s="6">
        <v>2</v>
      </c>
      <c r="H2358" t="s">
        <v>52</v>
      </c>
      <c r="I2358">
        <v>10688074</v>
      </c>
      <c r="J2358">
        <v>6</v>
      </c>
      <c r="K2358">
        <v>28</v>
      </c>
      <c r="L2358">
        <v>28</v>
      </c>
      <c r="M2358">
        <v>1070</v>
      </c>
      <c r="N2358" s="2">
        <v>100800</v>
      </c>
      <c r="O2358" s="2">
        <v>168</v>
      </c>
      <c r="P2358" s="2">
        <v>0</v>
      </c>
      <c r="Q2358" s="2">
        <v>6420</v>
      </c>
      <c r="R2358" s="2">
        <v>6720</v>
      </c>
      <c r="S2358">
        <v>188.16</v>
      </c>
      <c r="T2358" s="2">
        <v>47040</v>
      </c>
      <c r="U2358" s="2">
        <v>53760</v>
      </c>
      <c r="V2358">
        <v>179.76</v>
      </c>
      <c r="W2358">
        <v>0</v>
      </c>
      <c r="X2358">
        <v>0</v>
      </c>
      <c r="Y2358">
        <v>0</v>
      </c>
      <c r="Z2358">
        <v>0.5</v>
      </c>
      <c r="AA2358">
        <v>2.7814860000000001E-3</v>
      </c>
      <c r="AB2358">
        <v>40.5</v>
      </c>
      <c r="AC2358">
        <v>12</v>
      </c>
      <c r="AD2358">
        <v>42</v>
      </c>
      <c r="AE2358" s="7"/>
      <c r="AF2358" s="7"/>
      <c r="AG2358" s="7"/>
      <c r="AH2358" s="7"/>
      <c r="AI2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8" s="7"/>
      <c r="AK2358" t="s">
        <v>51</v>
      </c>
      <c r="AN2358">
        <f>IFERROR(INT(Table13[[#This Row],[reject_prod]]/Table13[[#This Row],[part_weight]] * 1000), 0)</f>
        <v>17</v>
      </c>
    </row>
    <row r="2359" spans="1:40">
      <c r="A2359" s="1">
        <v>46092</v>
      </c>
      <c r="B2359">
        <v>2</v>
      </c>
      <c r="C2359">
        <v>1</v>
      </c>
      <c r="D2359" t="s">
        <v>289</v>
      </c>
      <c r="E2359" t="s">
        <v>34</v>
      </c>
      <c r="F2359">
        <v>577492</v>
      </c>
      <c r="G2359" s="6">
        <v>0</v>
      </c>
      <c r="H2359" t="s">
        <v>341</v>
      </c>
      <c r="I2359">
        <v>10688947</v>
      </c>
      <c r="J2359">
        <v>4</v>
      </c>
      <c r="K2359">
        <v>35.6</v>
      </c>
      <c r="L2359">
        <v>35.6</v>
      </c>
      <c r="M2359">
        <v>1610</v>
      </c>
      <c r="N2359" s="2">
        <v>80960</v>
      </c>
      <c r="O2359" s="2">
        <v>2184</v>
      </c>
      <c r="P2359" s="2">
        <v>1104</v>
      </c>
      <c r="Q2359" s="2">
        <v>6440</v>
      </c>
      <c r="R2359" s="2">
        <v>5520</v>
      </c>
      <c r="S2359">
        <v>196.512</v>
      </c>
      <c r="T2359" s="2">
        <v>68816</v>
      </c>
      <c r="U2359" s="2">
        <v>12144</v>
      </c>
      <c r="V2359">
        <v>229.26400000000001</v>
      </c>
      <c r="W2359">
        <v>0</v>
      </c>
      <c r="X2359">
        <v>0</v>
      </c>
      <c r="Y2359">
        <v>0</v>
      </c>
      <c r="Z2359">
        <v>4.7</v>
      </c>
      <c r="AA2359">
        <v>2.0500384E-2</v>
      </c>
      <c r="AB2359">
        <v>26.07</v>
      </c>
      <c r="AC2359">
        <v>11.65908333</v>
      </c>
      <c r="AD2359">
        <v>27</v>
      </c>
      <c r="AE2359" s="7"/>
      <c r="AF2359" s="7"/>
      <c r="AG2359" s="7"/>
      <c r="AH2359" s="7"/>
      <c r="AI23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0.34091667000000037</v>
      </c>
      <c r="AJ2359" s="7"/>
      <c r="AK2359" t="s">
        <v>1199</v>
      </c>
      <c r="AN2359">
        <f>IFERROR(INT(Table13[[#This Row],[reject_prod]]/Table13[[#This Row],[part_weight]] * 1000), 0)</f>
        <v>132</v>
      </c>
    </row>
    <row r="2360" spans="1:40">
      <c r="A2360" s="1">
        <v>46092</v>
      </c>
      <c r="B2360">
        <v>2</v>
      </c>
      <c r="C2360">
        <v>2</v>
      </c>
      <c r="D2360" t="s">
        <v>1200</v>
      </c>
      <c r="E2360" t="s">
        <v>34</v>
      </c>
      <c r="F2360">
        <v>340460</v>
      </c>
      <c r="G2360" s="6">
        <v>0</v>
      </c>
      <c r="H2360" t="s">
        <v>1177</v>
      </c>
      <c r="I2360">
        <v>10688494</v>
      </c>
      <c r="J2360">
        <v>4</v>
      </c>
      <c r="K2360">
        <v>15.05</v>
      </c>
      <c r="L2360">
        <v>15.05</v>
      </c>
      <c r="M2360">
        <v>1020</v>
      </c>
      <c r="N2360" s="2">
        <v>17400</v>
      </c>
      <c r="O2360" s="2">
        <v>1160</v>
      </c>
      <c r="P2360" s="2">
        <v>5520</v>
      </c>
      <c r="Q2360" s="2">
        <v>4080</v>
      </c>
      <c r="R2360" s="2">
        <v>0</v>
      </c>
      <c r="S2360">
        <v>0</v>
      </c>
      <c r="T2360" s="2">
        <v>5520</v>
      </c>
      <c r="U2360" s="2">
        <v>11880</v>
      </c>
      <c r="V2360">
        <v>61.404000000000003</v>
      </c>
      <c r="W2360">
        <v>0</v>
      </c>
      <c r="X2360">
        <v>0</v>
      </c>
      <c r="Y2360">
        <v>0</v>
      </c>
      <c r="Z2360">
        <v>2.5</v>
      </c>
      <c r="AA2360">
        <v>4.071396E-2</v>
      </c>
      <c r="AB2360">
        <v>21.1</v>
      </c>
      <c r="AC2360">
        <v>5.9783333330000001</v>
      </c>
      <c r="AD2360">
        <v>20</v>
      </c>
      <c r="AE2360" s="7"/>
      <c r="AF2360" s="7"/>
      <c r="AG2360" s="7"/>
      <c r="AH2360" s="7">
        <v>4.5999999999999996</v>
      </c>
      <c r="AI2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1.4216666670000002</v>
      </c>
      <c r="AJ2360" s="7"/>
      <c r="AK2360" t="s">
        <v>1201</v>
      </c>
      <c r="AN2360">
        <f>IFERROR(INT(Table13[[#This Row],[reject_prod]]/Table13[[#This Row],[part_weight]] * 1000), 0)</f>
        <v>166</v>
      </c>
    </row>
    <row r="2361" spans="1:40">
      <c r="A2361" s="1">
        <v>46092</v>
      </c>
      <c r="B2361">
        <v>2</v>
      </c>
      <c r="C2361">
        <v>3</v>
      </c>
      <c r="D2361" t="s">
        <v>56</v>
      </c>
      <c r="E2361" t="s">
        <v>34</v>
      </c>
      <c r="F2361">
        <v>442034</v>
      </c>
      <c r="G2361" s="6">
        <v>0</v>
      </c>
      <c r="H2361" t="s">
        <v>37</v>
      </c>
      <c r="I2361">
        <v>10685635</v>
      </c>
      <c r="J2361">
        <v>4</v>
      </c>
      <c r="K2361">
        <v>23</v>
      </c>
      <c r="L2361">
        <v>23</v>
      </c>
      <c r="M2361">
        <v>1440</v>
      </c>
      <c r="N2361" s="2">
        <v>139776</v>
      </c>
      <c r="O2361" s="2">
        <v>1536</v>
      </c>
      <c r="P2361" s="2">
        <v>2688</v>
      </c>
      <c r="Q2361" s="2">
        <v>5760</v>
      </c>
      <c r="R2361" s="2">
        <v>4608</v>
      </c>
      <c r="S2361">
        <v>105.98399999999999</v>
      </c>
      <c r="T2361" s="2">
        <v>81024</v>
      </c>
      <c r="U2361" s="2">
        <v>58752</v>
      </c>
      <c r="V2361">
        <v>132.47999999999999</v>
      </c>
      <c r="W2361">
        <v>0</v>
      </c>
      <c r="X2361">
        <v>0</v>
      </c>
      <c r="Y2361">
        <v>0</v>
      </c>
      <c r="Z2361">
        <v>7.5</v>
      </c>
      <c r="AA2361">
        <v>5.6612319000000001E-2</v>
      </c>
      <c r="AB2361">
        <v>26.1</v>
      </c>
      <c r="AC2361">
        <v>10.44</v>
      </c>
      <c r="AD2361">
        <v>22</v>
      </c>
      <c r="AE2361" s="7"/>
      <c r="AF2361" s="7"/>
      <c r="AG2361" s="7"/>
      <c r="AH2361" s="7"/>
      <c r="AI2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1.5600000000000005</v>
      </c>
      <c r="AJ2361" s="7"/>
      <c r="AK2361" t="s">
        <v>1202</v>
      </c>
      <c r="AN2361">
        <f>IFERROR(INT(Table13[[#This Row],[reject_prod]]/Table13[[#This Row],[part_weight]] * 1000), 0)</f>
        <v>326</v>
      </c>
    </row>
    <row r="2362" spans="1:40">
      <c r="A2362" s="1">
        <v>46092</v>
      </c>
      <c r="B2362">
        <v>2</v>
      </c>
      <c r="C2362">
        <v>4</v>
      </c>
      <c r="D2362" t="s">
        <v>58</v>
      </c>
      <c r="E2362" t="s">
        <v>34</v>
      </c>
      <c r="F2362">
        <v>426555</v>
      </c>
      <c r="G2362" s="6">
        <v>0</v>
      </c>
      <c r="H2362" t="s">
        <v>1128</v>
      </c>
      <c r="I2362">
        <v>10688066</v>
      </c>
      <c r="J2362">
        <v>4</v>
      </c>
      <c r="K2362">
        <v>29</v>
      </c>
      <c r="L2362">
        <v>29</v>
      </c>
      <c r="M2362">
        <v>1700</v>
      </c>
      <c r="N2362" s="2">
        <v>81600</v>
      </c>
      <c r="O2362" s="2">
        <v>0</v>
      </c>
      <c r="P2362" s="2">
        <v>680</v>
      </c>
      <c r="Q2362" s="2">
        <v>6800</v>
      </c>
      <c r="R2362" s="2">
        <v>6120</v>
      </c>
      <c r="S2362">
        <v>177.48</v>
      </c>
      <c r="T2362" s="2">
        <v>48620</v>
      </c>
      <c r="U2362" s="2">
        <v>32980</v>
      </c>
      <c r="V2362">
        <v>197.2</v>
      </c>
      <c r="W2362">
        <v>0</v>
      </c>
      <c r="X2362">
        <v>0</v>
      </c>
      <c r="Y2362">
        <v>0</v>
      </c>
      <c r="Z2362">
        <v>4.2</v>
      </c>
      <c r="AA2362">
        <v>2.1298174E-2</v>
      </c>
      <c r="AB2362">
        <v>24.63</v>
      </c>
      <c r="AC2362">
        <v>11.63083333</v>
      </c>
      <c r="AD2362">
        <v>22.72</v>
      </c>
      <c r="AE2362" s="7"/>
      <c r="AF2362" s="7"/>
      <c r="AG2362" s="7"/>
      <c r="AH2362" s="7"/>
      <c r="AI2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0.36916667000000025</v>
      </c>
      <c r="AJ2362" s="7"/>
      <c r="AK2362" t="s">
        <v>1179</v>
      </c>
      <c r="AN2362">
        <f>IFERROR(INT(Table13[[#This Row],[reject_prod]]/Table13[[#This Row],[part_weight]] * 1000), 0)</f>
        <v>144</v>
      </c>
    </row>
    <row r="2363" spans="1:40">
      <c r="A2363" s="1">
        <v>46092</v>
      </c>
      <c r="B2363">
        <v>2</v>
      </c>
      <c r="C2363">
        <v>5</v>
      </c>
      <c r="D2363" t="s">
        <v>33</v>
      </c>
      <c r="E2363" t="s">
        <v>34</v>
      </c>
      <c r="F2363">
        <v>322448</v>
      </c>
      <c r="G2363" s="6">
        <v>0</v>
      </c>
      <c r="H2363" t="s">
        <v>654</v>
      </c>
      <c r="I2363">
        <v>10687753</v>
      </c>
      <c r="J2363">
        <v>4</v>
      </c>
      <c r="K2363">
        <v>40</v>
      </c>
      <c r="L2363">
        <v>40</v>
      </c>
      <c r="M2363">
        <v>0</v>
      </c>
      <c r="N2363" s="2">
        <v>174960</v>
      </c>
      <c r="O2363" s="2">
        <v>0</v>
      </c>
      <c r="P2363" s="2">
        <v>0</v>
      </c>
      <c r="Q2363" s="2">
        <v>0</v>
      </c>
      <c r="R2363" s="2">
        <v>0</v>
      </c>
      <c r="S2363">
        <v>0</v>
      </c>
      <c r="T2363" s="2">
        <v>150660</v>
      </c>
      <c r="U2363" s="2">
        <v>24300</v>
      </c>
      <c r="V2363">
        <v>0</v>
      </c>
      <c r="W2363">
        <v>0</v>
      </c>
      <c r="X2363">
        <v>0</v>
      </c>
      <c r="Y2363" t="e">
        <v>#DIV/0!</v>
      </c>
      <c r="Z2363">
        <v>0</v>
      </c>
      <c r="AA2363" t="e">
        <v>#DIV/0!</v>
      </c>
      <c r="AB2363">
        <v>26.1</v>
      </c>
      <c r="AC2363">
        <v>0</v>
      </c>
      <c r="AD2363">
        <v>23</v>
      </c>
      <c r="AE2363" s="7"/>
      <c r="AF2363" s="7"/>
      <c r="AG2363" s="7"/>
      <c r="AH2363" s="7"/>
      <c r="AI2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63" s="7"/>
      <c r="AK2363" t="s">
        <v>1191</v>
      </c>
      <c r="AN2363">
        <f>IFERROR(INT(Table13[[#This Row],[reject_prod]]/Table13[[#This Row],[part_weight]] * 1000), 0)</f>
        <v>0</v>
      </c>
    </row>
    <row r="2364" spans="1:40">
      <c r="A2364" s="1">
        <v>46092</v>
      </c>
      <c r="B2364">
        <v>2</v>
      </c>
      <c r="C2364">
        <v>6</v>
      </c>
      <c r="D2364" t="s">
        <v>1203</v>
      </c>
      <c r="E2364" t="s">
        <v>34</v>
      </c>
      <c r="F2364">
        <v>322445</v>
      </c>
      <c r="G2364" s="6">
        <v>0</v>
      </c>
      <c r="H2364" t="s">
        <v>743</v>
      </c>
      <c r="I2364">
        <v>10689565</v>
      </c>
      <c r="J2364">
        <v>4</v>
      </c>
      <c r="K2364">
        <v>32.74</v>
      </c>
      <c r="L2364">
        <v>33</v>
      </c>
      <c r="M2364">
        <v>1440</v>
      </c>
      <c r="N2364" s="2">
        <v>40600</v>
      </c>
      <c r="O2364" s="2">
        <v>0</v>
      </c>
      <c r="P2364" s="2">
        <v>5760</v>
      </c>
      <c r="Q2364" s="2">
        <v>5760</v>
      </c>
      <c r="R2364" s="2">
        <v>0</v>
      </c>
      <c r="S2364">
        <v>0</v>
      </c>
      <c r="T2364" s="2">
        <v>5760</v>
      </c>
      <c r="U2364" s="2">
        <v>34840</v>
      </c>
      <c r="V2364">
        <v>190.08</v>
      </c>
      <c r="W2364">
        <v>0</v>
      </c>
      <c r="X2364">
        <v>8</v>
      </c>
      <c r="Y2364">
        <v>4.2087541999999999E-2</v>
      </c>
      <c r="Z2364">
        <v>1.2</v>
      </c>
      <c r="AA2364">
        <v>6.3131309999999996E-3</v>
      </c>
      <c r="AB2364">
        <v>21.8</v>
      </c>
      <c r="AC2364">
        <v>8.7200000000000006</v>
      </c>
      <c r="AD2364">
        <v>22</v>
      </c>
      <c r="AE2364" s="7">
        <v>1.5</v>
      </c>
      <c r="AF2364" s="7"/>
      <c r="AG2364" s="7"/>
      <c r="AH2364" s="7"/>
      <c r="AI2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1.7799999999999994</v>
      </c>
      <c r="AJ2364" s="7"/>
      <c r="AK2364" t="s">
        <v>1204</v>
      </c>
      <c r="AN2364">
        <f>IFERROR(INT(Table13[[#This Row],[reject_prod]]/Table13[[#This Row],[part_weight]] * 1000), 0)</f>
        <v>36</v>
      </c>
    </row>
    <row r="2365" spans="1:40">
      <c r="A2365" s="1">
        <v>46092</v>
      </c>
      <c r="B2365">
        <v>2</v>
      </c>
      <c r="C2365">
        <v>7</v>
      </c>
      <c r="D2365" t="s">
        <v>33</v>
      </c>
      <c r="E2365" t="s">
        <v>34</v>
      </c>
      <c r="F2365">
        <v>322382</v>
      </c>
      <c r="G2365" s="6">
        <v>0</v>
      </c>
      <c r="H2365" t="s">
        <v>1184</v>
      </c>
      <c r="I2365">
        <v>10689314</v>
      </c>
      <c r="J2365">
        <v>4</v>
      </c>
      <c r="K2365">
        <v>18.8</v>
      </c>
      <c r="L2365">
        <v>11.3</v>
      </c>
      <c r="M2365">
        <v>0</v>
      </c>
      <c r="N2365" s="2">
        <v>10350</v>
      </c>
      <c r="O2365" s="2">
        <v>0</v>
      </c>
      <c r="P2365" s="2">
        <v>0</v>
      </c>
      <c r="Q2365" s="2">
        <v>0</v>
      </c>
      <c r="R2365" s="2">
        <v>0</v>
      </c>
      <c r="S2365">
        <v>0</v>
      </c>
      <c r="T2365" s="2">
        <v>0</v>
      </c>
      <c r="U2365" s="2">
        <v>10350</v>
      </c>
      <c r="V2365">
        <v>0</v>
      </c>
      <c r="W2365">
        <v>0</v>
      </c>
      <c r="X2365">
        <v>4.4000000000000004</v>
      </c>
      <c r="Y2365" t="e">
        <v>#DIV/0!</v>
      </c>
      <c r="Z2365">
        <v>0</v>
      </c>
      <c r="AA2365" t="e">
        <v>#DIV/0!</v>
      </c>
      <c r="AB2365">
        <v>22.9</v>
      </c>
      <c r="AC2365">
        <v>0</v>
      </c>
      <c r="AD2365">
        <v>15.44</v>
      </c>
      <c r="AE2365" s="7"/>
      <c r="AF2365" s="7"/>
      <c r="AG2365" s="7"/>
      <c r="AH2365" s="7"/>
      <c r="AI2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65" s="7"/>
      <c r="AK2365" t="s">
        <v>1205</v>
      </c>
      <c r="AN2365">
        <f>IFERROR(INT(Table13[[#This Row],[reject_prod]]/Table13[[#This Row],[part_weight]] * 1000), 0)</f>
        <v>0</v>
      </c>
    </row>
    <row r="2366" spans="1:40">
      <c r="A2366" s="1">
        <v>46092</v>
      </c>
      <c r="B2366">
        <v>2</v>
      </c>
      <c r="C2366">
        <v>8</v>
      </c>
      <c r="D2366" t="s">
        <v>349</v>
      </c>
      <c r="E2366" t="s">
        <v>41</v>
      </c>
      <c r="F2366">
        <v>593537</v>
      </c>
      <c r="G2366" s="6">
        <v>0</v>
      </c>
      <c r="H2366" t="s">
        <v>48</v>
      </c>
      <c r="I2366">
        <v>10688068</v>
      </c>
      <c r="J2366">
        <v>4</v>
      </c>
      <c r="K2366">
        <v>56.5</v>
      </c>
      <c r="L2366">
        <v>56.8</v>
      </c>
      <c r="M2366">
        <v>1351</v>
      </c>
      <c r="N2366" s="2">
        <v>69000</v>
      </c>
      <c r="O2366" s="2">
        <v>115</v>
      </c>
      <c r="P2366" s="2">
        <v>345</v>
      </c>
      <c r="Q2366" s="2">
        <v>5404</v>
      </c>
      <c r="R2366" s="2">
        <v>5175</v>
      </c>
      <c r="S2366">
        <v>293.94</v>
      </c>
      <c r="T2366" s="2">
        <v>13570</v>
      </c>
      <c r="U2366" s="2">
        <v>55430</v>
      </c>
      <c r="V2366">
        <v>306.94720000000001</v>
      </c>
      <c r="W2366">
        <v>-1.6212</v>
      </c>
      <c r="X2366">
        <v>0</v>
      </c>
      <c r="Y2366">
        <v>0</v>
      </c>
      <c r="Z2366">
        <v>4.2</v>
      </c>
      <c r="AA2366">
        <v>1.3683135000000001E-2</v>
      </c>
      <c r="AB2366">
        <v>30.57</v>
      </c>
      <c r="AC2366">
        <v>11.472241670000001</v>
      </c>
      <c r="AD2366">
        <v>28.5</v>
      </c>
      <c r="AE2366" s="7"/>
      <c r="AF2366" s="7"/>
      <c r="AG2366" s="7"/>
      <c r="AH2366" s="7"/>
      <c r="AI23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0.52775832999999928</v>
      </c>
      <c r="AJ2366" s="7"/>
      <c r="AK2366" t="s">
        <v>1206</v>
      </c>
      <c r="AN2366">
        <f>IFERROR(INT(Table13[[#This Row],[reject_prod]]/Table13[[#This Row],[part_weight]] * 1000), 0)</f>
        <v>73</v>
      </c>
    </row>
    <row r="2367" spans="1:40">
      <c r="A2367" s="1">
        <v>46092</v>
      </c>
      <c r="B2367">
        <v>2</v>
      </c>
      <c r="C2367">
        <v>9</v>
      </c>
      <c r="D2367" t="s">
        <v>53</v>
      </c>
      <c r="E2367" t="s">
        <v>46</v>
      </c>
      <c r="F2367">
        <v>586276</v>
      </c>
      <c r="G2367" s="6">
        <v>1</v>
      </c>
      <c r="H2367" t="s">
        <v>47</v>
      </c>
      <c r="I2367">
        <v>10689111</v>
      </c>
      <c r="J2367">
        <v>6</v>
      </c>
      <c r="K2367">
        <v>12.3</v>
      </c>
      <c r="L2367">
        <v>12.3</v>
      </c>
      <c r="M2367">
        <v>1630</v>
      </c>
      <c r="N2367" s="2">
        <v>162000</v>
      </c>
      <c r="O2367" s="2">
        <v>6480</v>
      </c>
      <c r="P2367" s="2">
        <v>0</v>
      </c>
      <c r="Q2367" s="2">
        <v>9780</v>
      </c>
      <c r="R2367" s="2">
        <v>0</v>
      </c>
      <c r="S2367">
        <v>0</v>
      </c>
      <c r="T2367" s="2">
        <v>48600</v>
      </c>
      <c r="U2367" s="2">
        <v>113400</v>
      </c>
      <c r="V2367">
        <v>120.294</v>
      </c>
      <c r="W2367">
        <v>0</v>
      </c>
      <c r="X2367">
        <v>0</v>
      </c>
      <c r="Y2367">
        <v>0</v>
      </c>
      <c r="Z2367">
        <v>2</v>
      </c>
      <c r="AA2367">
        <v>1.6625932999999999E-2</v>
      </c>
      <c r="AB2367">
        <v>26.6</v>
      </c>
      <c r="AC2367">
        <v>12</v>
      </c>
      <c r="AD2367">
        <v>26</v>
      </c>
      <c r="AE2367" s="7"/>
      <c r="AF2367" s="7"/>
      <c r="AG2367" s="7"/>
      <c r="AH2367" s="7"/>
      <c r="AI2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67" s="7"/>
      <c r="AK2367" t="s">
        <v>51</v>
      </c>
      <c r="AN2367">
        <f>IFERROR(INT(Table13[[#This Row],[reject_prod]]/Table13[[#This Row],[part_weight]] * 1000), 0)</f>
        <v>162</v>
      </c>
    </row>
    <row r="2368" spans="1:40">
      <c r="A2368" s="1">
        <v>46092</v>
      </c>
      <c r="B2368">
        <v>2</v>
      </c>
      <c r="C2368">
        <v>10</v>
      </c>
      <c r="D2368" t="s">
        <v>54</v>
      </c>
      <c r="E2368" t="s">
        <v>34</v>
      </c>
      <c r="F2368">
        <v>414439</v>
      </c>
      <c r="G2368" s="6">
        <v>0</v>
      </c>
      <c r="H2368" t="s">
        <v>587</v>
      </c>
      <c r="I2368">
        <v>10688521</v>
      </c>
      <c r="J2368">
        <v>6</v>
      </c>
      <c r="K2368">
        <v>57</v>
      </c>
      <c r="L2368">
        <v>15</v>
      </c>
      <c r="M2368">
        <v>1645</v>
      </c>
      <c r="N2368" s="2">
        <v>206976</v>
      </c>
      <c r="O2368" s="2">
        <v>2464</v>
      </c>
      <c r="P2368" s="2">
        <v>4928</v>
      </c>
      <c r="Q2368" s="2">
        <v>9870</v>
      </c>
      <c r="R2368" s="2">
        <v>7392</v>
      </c>
      <c r="S2368">
        <v>110.88</v>
      </c>
      <c r="T2368" s="2">
        <v>145376</v>
      </c>
      <c r="U2368" s="2">
        <v>61600</v>
      </c>
      <c r="V2368">
        <v>148.05000000000001</v>
      </c>
      <c r="W2368">
        <v>0</v>
      </c>
      <c r="X2368">
        <v>0</v>
      </c>
      <c r="Y2368">
        <v>0</v>
      </c>
      <c r="Z2368">
        <v>12.3</v>
      </c>
      <c r="AA2368">
        <v>8.3080040999999993E-2</v>
      </c>
      <c r="AB2368">
        <v>23.7</v>
      </c>
      <c r="AC2368">
        <v>10.82958333</v>
      </c>
      <c r="AD2368">
        <v>15</v>
      </c>
      <c r="AE2368" s="7"/>
      <c r="AF2368" s="7"/>
      <c r="AG2368" s="7"/>
      <c r="AH2368" s="7"/>
      <c r="AI2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1.1704166699999998</v>
      </c>
      <c r="AJ2368" s="7"/>
      <c r="AK2368" t="s">
        <v>1207</v>
      </c>
      <c r="AN2368">
        <f>IFERROR(INT(Table13[[#This Row],[reject_prod]]/Table13[[#This Row],[part_weight]] * 1000), 0)</f>
        <v>820</v>
      </c>
    </row>
    <row r="2369" spans="1:40">
      <c r="A2369" s="1">
        <v>46092</v>
      </c>
      <c r="B2369">
        <v>2</v>
      </c>
      <c r="C2369">
        <v>11</v>
      </c>
      <c r="D2369" t="s">
        <v>208</v>
      </c>
      <c r="E2369" t="s">
        <v>46</v>
      </c>
      <c r="F2369">
        <v>552181</v>
      </c>
      <c r="G2369" s="6">
        <v>1</v>
      </c>
      <c r="H2369" t="s">
        <v>49</v>
      </c>
      <c r="I2369">
        <v>10688069</v>
      </c>
      <c r="J2369">
        <v>6</v>
      </c>
      <c r="K2369">
        <v>14.7</v>
      </c>
      <c r="L2369">
        <v>14.7</v>
      </c>
      <c r="M2369">
        <v>1430</v>
      </c>
      <c r="N2369" s="2">
        <v>108000</v>
      </c>
      <c r="O2369" s="2">
        <v>4050</v>
      </c>
      <c r="P2369" s="2">
        <v>1620</v>
      </c>
      <c r="Q2369" s="2">
        <v>8580</v>
      </c>
      <c r="R2369" s="2">
        <v>10800</v>
      </c>
      <c r="S2369">
        <v>158.76</v>
      </c>
      <c r="T2369" s="2">
        <v>93420</v>
      </c>
      <c r="U2369" s="2">
        <v>14580</v>
      </c>
      <c r="V2369">
        <v>126.126</v>
      </c>
      <c r="W2369">
        <v>0</v>
      </c>
      <c r="X2369">
        <v>0</v>
      </c>
      <c r="Y2369">
        <v>0</v>
      </c>
      <c r="Z2369">
        <v>1</v>
      </c>
      <c r="AA2369">
        <v>7.9285789999999998E-3</v>
      </c>
      <c r="AB2369">
        <v>28.46</v>
      </c>
      <c r="AC2369">
        <v>11.30494444</v>
      </c>
      <c r="AD2369">
        <v>27</v>
      </c>
      <c r="AE2369" s="7"/>
      <c r="AF2369" s="7"/>
      <c r="AG2369" s="7"/>
      <c r="AH2369" s="7"/>
      <c r="AI2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0.69505556000000013</v>
      </c>
      <c r="AJ2369" s="7"/>
      <c r="AK2369" t="s">
        <v>51</v>
      </c>
      <c r="AN2369">
        <f>IFERROR(INT(Table13[[#This Row],[reject_prod]]/Table13[[#This Row],[part_weight]] * 1000), 0)</f>
        <v>68</v>
      </c>
    </row>
    <row r="2370" spans="1:40">
      <c r="A2370" s="1">
        <v>46092</v>
      </c>
      <c r="B2370">
        <v>2</v>
      </c>
      <c r="C2370">
        <v>12</v>
      </c>
      <c r="D2370" t="s">
        <v>84</v>
      </c>
      <c r="E2370" t="s">
        <v>46</v>
      </c>
      <c r="F2370">
        <v>555979</v>
      </c>
      <c r="G2370" s="6">
        <v>1</v>
      </c>
      <c r="H2370" t="s">
        <v>52</v>
      </c>
      <c r="I2370">
        <v>10689126</v>
      </c>
      <c r="J2370">
        <v>6</v>
      </c>
      <c r="K2370">
        <v>28</v>
      </c>
      <c r="L2370">
        <v>28</v>
      </c>
      <c r="M2370">
        <v>1008</v>
      </c>
      <c r="N2370" s="2">
        <v>100800</v>
      </c>
      <c r="O2370" s="2">
        <v>5040</v>
      </c>
      <c r="P2370" s="2">
        <v>4368</v>
      </c>
      <c r="Q2370" s="2">
        <v>6048</v>
      </c>
      <c r="R2370" s="2">
        <v>6720</v>
      </c>
      <c r="S2370">
        <v>188.16</v>
      </c>
      <c r="T2370" s="2">
        <v>11088</v>
      </c>
      <c r="U2370" s="2">
        <v>89712</v>
      </c>
      <c r="V2370">
        <v>169.34399999999999</v>
      </c>
      <c r="W2370">
        <v>0</v>
      </c>
      <c r="X2370">
        <v>0</v>
      </c>
      <c r="Y2370">
        <v>0</v>
      </c>
      <c r="Z2370">
        <v>1.2</v>
      </c>
      <c r="AA2370">
        <v>7.0861680000000003E-3</v>
      </c>
      <c r="AB2370">
        <v>41.2</v>
      </c>
      <c r="AC2370">
        <v>11.536</v>
      </c>
      <c r="AD2370">
        <v>42</v>
      </c>
      <c r="AE2370" s="7"/>
      <c r="AF2370" s="7"/>
      <c r="AG2370" s="7"/>
      <c r="AH2370" s="7"/>
      <c r="AI2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0.46400000000000041</v>
      </c>
      <c r="AJ2370" s="7"/>
      <c r="AK2370" t="s">
        <v>1208</v>
      </c>
      <c r="AN2370">
        <f>IFERROR(INT(Table13[[#This Row],[reject_prod]]/Table13[[#This Row],[part_weight]] * 1000), 0)</f>
        <v>42</v>
      </c>
    </row>
    <row r="2371" spans="1:40">
      <c r="A2371" s="1">
        <v>46092</v>
      </c>
      <c r="B2371">
        <v>2</v>
      </c>
      <c r="C2371">
        <v>13</v>
      </c>
      <c r="D2371" t="s">
        <v>208</v>
      </c>
      <c r="E2371" t="s">
        <v>46</v>
      </c>
      <c r="F2371">
        <v>586276</v>
      </c>
      <c r="G2371" s="6">
        <v>2</v>
      </c>
      <c r="H2371" t="s">
        <v>47</v>
      </c>
      <c r="I2371">
        <v>10689118</v>
      </c>
      <c r="J2371">
        <v>6</v>
      </c>
      <c r="K2371">
        <v>12.3</v>
      </c>
      <c r="L2371">
        <v>12.3</v>
      </c>
      <c r="M2371">
        <v>1620</v>
      </c>
      <c r="N2371" s="2">
        <v>162000</v>
      </c>
      <c r="O2371" s="2">
        <v>6480</v>
      </c>
      <c r="P2371" s="2">
        <v>0</v>
      </c>
      <c r="Q2371" s="2">
        <v>9720</v>
      </c>
      <c r="R2371" s="2">
        <v>16200</v>
      </c>
      <c r="S2371">
        <v>199.26</v>
      </c>
      <c r="T2371" s="2">
        <v>16200</v>
      </c>
      <c r="U2371" s="2">
        <v>145800</v>
      </c>
      <c r="V2371">
        <v>119.556</v>
      </c>
      <c r="W2371">
        <v>0</v>
      </c>
      <c r="X2371">
        <v>0</v>
      </c>
      <c r="Y2371">
        <v>0</v>
      </c>
      <c r="Z2371">
        <v>1</v>
      </c>
      <c r="AA2371">
        <v>8.3642809999999995E-3</v>
      </c>
      <c r="AB2371">
        <v>26.2</v>
      </c>
      <c r="AC2371">
        <v>11.79</v>
      </c>
      <c r="AD2371">
        <v>26</v>
      </c>
      <c r="AE2371" s="7"/>
      <c r="AF2371" s="7"/>
      <c r="AG2371" s="7"/>
      <c r="AH2371" s="7"/>
      <c r="AI2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71" s="7"/>
      <c r="AK2371" t="s">
        <v>51</v>
      </c>
      <c r="AN2371">
        <f>IFERROR(INT(Table13[[#This Row],[reject_prod]]/Table13[[#This Row],[part_weight]] * 1000), 0)</f>
        <v>81</v>
      </c>
    </row>
    <row r="2372" spans="1:40">
      <c r="A2372" s="1">
        <v>46092</v>
      </c>
      <c r="B2372">
        <v>2</v>
      </c>
      <c r="C2372">
        <v>14</v>
      </c>
      <c r="D2372" t="s">
        <v>33</v>
      </c>
      <c r="E2372" t="s">
        <v>34</v>
      </c>
      <c r="F2372">
        <v>541381</v>
      </c>
      <c r="G2372" s="6">
        <v>0</v>
      </c>
      <c r="H2372" t="s">
        <v>804</v>
      </c>
      <c r="I2372">
        <v>10688073</v>
      </c>
      <c r="J2372">
        <v>4</v>
      </c>
      <c r="K2372">
        <v>55</v>
      </c>
      <c r="L2372">
        <v>55</v>
      </c>
      <c r="M2372">
        <v>0</v>
      </c>
      <c r="N2372" s="2">
        <v>84000</v>
      </c>
      <c r="O2372" s="2">
        <v>0</v>
      </c>
      <c r="P2372" s="2">
        <v>95</v>
      </c>
      <c r="Q2372" s="2">
        <v>0</v>
      </c>
      <c r="R2372" s="2">
        <v>430</v>
      </c>
      <c r="S2372">
        <v>23.65</v>
      </c>
      <c r="T2372" s="2">
        <v>62300</v>
      </c>
      <c r="U2372" s="2">
        <v>21700</v>
      </c>
      <c r="V2372">
        <v>0</v>
      </c>
      <c r="W2372">
        <v>0</v>
      </c>
      <c r="X2372">
        <v>0</v>
      </c>
      <c r="Y2372" t="e">
        <v>#DIV/0!</v>
      </c>
      <c r="Z2372">
        <v>0</v>
      </c>
      <c r="AA2372" t="e">
        <v>#DIV/0!</v>
      </c>
      <c r="AB2372">
        <v>28.8</v>
      </c>
      <c r="AC2372">
        <v>0</v>
      </c>
      <c r="AD2372">
        <v>30.08</v>
      </c>
      <c r="AE2372" s="7"/>
      <c r="AF2372" s="7"/>
      <c r="AG2372" s="7"/>
      <c r="AH2372" s="7"/>
      <c r="AI2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72" s="7"/>
      <c r="AK2372" t="s">
        <v>1209</v>
      </c>
      <c r="AN2372">
        <f>IFERROR(INT(Table13[[#This Row],[reject_prod]]/Table13[[#This Row],[part_weight]] * 1000), 0)</f>
        <v>0</v>
      </c>
    </row>
    <row r="2373" spans="1:40">
      <c r="A2373" s="1">
        <v>46092</v>
      </c>
      <c r="B2373">
        <v>2</v>
      </c>
      <c r="C2373">
        <v>15</v>
      </c>
      <c r="D2373" t="s">
        <v>208</v>
      </c>
      <c r="E2373" t="s">
        <v>46</v>
      </c>
      <c r="F2373">
        <v>552181</v>
      </c>
      <c r="G2373" s="6">
        <v>2</v>
      </c>
      <c r="H2373" t="s">
        <v>49</v>
      </c>
      <c r="I2373">
        <v>10689122</v>
      </c>
      <c r="J2373">
        <v>6</v>
      </c>
      <c r="K2373">
        <v>14.7</v>
      </c>
      <c r="L2373">
        <v>14.7</v>
      </c>
      <c r="M2373">
        <v>1365</v>
      </c>
      <c r="N2373" s="2">
        <v>108000</v>
      </c>
      <c r="O2373" s="2">
        <v>1350</v>
      </c>
      <c r="P2373" s="2">
        <v>4050</v>
      </c>
      <c r="Q2373" s="2">
        <v>8190</v>
      </c>
      <c r="R2373" s="2">
        <v>5400</v>
      </c>
      <c r="S2373">
        <v>79.38</v>
      </c>
      <c r="T2373" s="2">
        <v>91800</v>
      </c>
      <c r="U2373" s="2">
        <v>16200</v>
      </c>
      <c r="V2373">
        <v>120.393</v>
      </c>
      <c r="W2373">
        <v>0</v>
      </c>
      <c r="X2373">
        <v>0</v>
      </c>
      <c r="Y2373">
        <v>0</v>
      </c>
      <c r="Z2373">
        <v>1</v>
      </c>
      <c r="AA2373">
        <v>8.3061309999999996E-3</v>
      </c>
      <c r="AB2373">
        <v>30.6</v>
      </c>
      <c r="AC2373">
        <v>11.602499999999999</v>
      </c>
      <c r="AD2373">
        <v>27</v>
      </c>
      <c r="AE2373" s="7"/>
      <c r="AF2373" s="7"/>
      <c r="AG2373" s="7"/>
      <c r="AH2373" s="7"/>
      <c r="AI2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0.39750000000000085</v>
      </c>
      <c r="AJ2373" s="7"/>
      <c r="AK2373" t="s">
        <v>51</v>
      </c>
      <c r="AN2373">
        <f>IFERROR(INT(Table13[[#This Row],[reject_prod]]/Table13[[#This Row],[part_weight]] * 1000), 0)</f>
        <v>68</v>
      </c>
    </row>
    <row r="2374" spans="1:40">
      <c r="A2374" s="1">
        <v>46092</v>
      </c>
      <c r="B2374">
        <v>2</v>
      </c>
      <c r="C2374">
        <v>16</v>
      </c>
      <c r="D2374" t="s">
        <v>767</v>
      </c>
      <c r="E2374" t="s">
        <v>46</v>
      </c>
      <c r="F2374">
        <v>555979</v>
      </c>
      <c r="G2374" s="6">
        <v>2</v>
      </c>
      <c r="H2374" t="s">
        <v>52</v>
      </c>
      <c r="I2374">
        <v>10688074</v>
      </c>
      <c r="J2374">
        <v>6</v>
      </c>
      <c r="K2374">
        <v>28</v>
      </c>
      <c r="L2374">
        <v>28</v>
      </c>
      <c r="M2374">
        <v>1050</v>
      </c>
      <c r="N2374" s="2">
        <v>100800</v>
      </c>
      <c r="O2374" s="2">
        <v>0</v>
      </c>
      <c r="P2374" s="2">
        <v>2688</v>
      </c>
      <c r="Q2374" s="2">
        <v>6300</v>
      </c>
      <c r="R2374" s="2">
        <v>3360</v>
      </c>
      <c r="S2374">
        <v>94.08</v>
      </c>
      <c r="T2374" s="2">
        <v>53088</v>
      </c>
      <c r="U2374" s="2">
        <v>47712</v>
      </c>
      <c r="V2374">
        <v>176.4</v>
      </c>
      <c r="W2374">
        <v>0</v>
      </c>
      <c r="X2374">
        <v>0</v>
      </c>
      <c r="Y2374">
        <v>0</v>
      </c>
      <c r="Z2374">
        <v>1.3</v>
      </c>
      <c r="AA2374">
        <v>7.3696150000000004E-3</v>
      </c>
      <c r="AB2374">
        <v>40.5</v>
      </c>
      <c r="AC2374">
        <v>11.8125</v>
      </c>
      <c r="AD2374">
        <v>42</v>
      </c>
      <c r="AE2374" s="7"/>
      <c r="AF2374" s="7"/>
      <c r="AG2374" s="7"/>
      <c r="AH2374" s="7"/>
      <c r="AI2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2374" s="7"/>
      <c r="AK2374" t="s">
        <v>51</v>
      </c>
      <c r="AN2374">
        <f>IFERROR(INT(Table13[[#This Row],[reject_prod]]/Table13[[#This Row],[part_weight]] * 1000), 0)</f>
        <v>46</v>
      </c>
    </row>
    <row r="2375" spans="1:40">
      <c r="A2375" s="1">
        <v>46093</v>
      </c>
      <c r="B2375">
        <v>1</v>
      </c>
      <c r="C2375">
        <v>1</v>
      </c>
      <c r="D2375" t="s">
        <v>152</v>
      </c>
      <c r="E2375" t="s">
        <v>34</v>
      </c>
      <c r="F2375">
        <v>577492</v>
      </c>
      <c r="G2375" s="6">
        <v>0</v>
      </c>
      <c r="H2375" t="s">
        <v>341</v>
      </c>
      <c r="I2375">
        <v>10688947</v>
      </c>
      <c r="J2375">
        <v>4</v>
      </c>
      <c r="K2375">
        <v>35.6</v>
      </c>
      <c r="L2375">
        <v>35.6</v>
      </c>
      <c r="M2375">
        <v>1629</v>
      </c>
      <c r="N2375" s="2">
        <v>80960</v>
      </c>
      <c r="O2375" s="2">
        <v>1104</v>
      </c>
      <c r="P2375" s="2">
        <v>184</v>
      </c>
      <c r="Q2375" s="2">
        <v>6516</v>
      </c>
      <c r="R2375" s="2">
        <v>7360</v>
      </c>
      <c r="S2375">
        <v>262.01600000000002</v>
      </c>
      <c r="T2375" s="2">
        <v>75624</v>
      </c>
      <c r="U2375" s="2">
        <v>5336</v>
      </c>
      <c r="V2375">
        <v>231.96960000000001</v>
      </c>
      <c r="W2375">
        <v>0</v>
      </c>
      <c r="X2375">
        <v>0</v>
      </c>
      <c r="Y2375">
        <v>0</v>
      </c>
      <c r="Z2375">
        <v>2.6</v>
      </c>
      <c r="AA2375">
        <v>1.1208365E-2</v>
      </c>
      <c r="AB2375">
        <v>26</v>
      </c>
      <c r="AC2375">
        <v>11.765000000000001</v>
      </c>
      <c r="AD2375">
        <v>27</v>
      </c>
      <c r="AE2375" s="7"/>
      <c r="AF2375" s="7"/>
      <c r="AG2375" s="7"/>
      <c r="AH2375" s="7"/>
      <c r="AI2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0.23499999999999943</v>
      </c>
      <c r="AJ2375" s="7"/>
      <c r="AK2375" t="s">
        <v>1210</v>
      </c>
      <c r="AN2375">
        <f>IFERROR(INT(Table13[[#This Row],[reject_prod]]/Table13[[#This Row],[part_weight]] * 1000), 0)</f>
        <v>73</v>
      </c>
    </row>
    <row r="2376" spans="1:40">
      <c r="A2376" s="1">
        <v>46093</v>
      </c>
      <c r="B2376">
        <v>1</v>
      </c>
      <c r="C2376">
        <v>2</v>
      </c>
      <c r="D2376" t="s">
        <v>141</v>
      </c>
      <c r="E2376" t="s">
        <v>34</v>
      </c>
      <c r="F2376">
        <v>340460</v>
      </c>
      <c r="G2376" s="6">
        <v>0</v>
      </c>
      <c r="H2376" t="s">
        <v>1177</v>
      </c>
      <c r="I2376">
        <v>10688494</v>
      </c>
      <c r="J2376">
        <v>4</v>
      </c>
      <c r="K2376">
        <v>15.05</v>
      </c>
      <c r="L2376">
        <v>15.05</v>
      </c>
      <c r="M2376">
        <v>872</v>
      </c>
      <c r="N2376" s="2">
        <v>20300</v>
      </c>
      <c r="O2376" s="2">
        <v>5520</v>
      </c>
      <c r="P2376" s="2">
        <v>1740</v>
      </c>
      <c r="Q2376" s="2">
        <v>3488</v>
      </c>
      <c r="R2376" s="2">
        <v>6960</v>
      </c>
      <c r="S2376">
        <v>104.748</v>
      </c>
      <c r="T2376" s="2">
        <v>8700</v>
      </c>
      <c r="U2376" s="2">
        <v>11600</v>
      </c>
      <c r="V2376">
        <v>52.494399999999999</v>
      </c>
      <c r="W2376">
        <v>0</v>
      </c>
      <c r="X2376">
        <v>4</v>
      </c>
      <c r="Y2376">
        <v>7.6198604000000003E-2</v>
      </c>
      <c r="Z2376">
        <v>0.6</v>
      </c>
      <c r="AA2376">
        <v>1.1429791E-2</v>
      </c>
      <c r="AB2376">
        <v>21.2</v>
      </c>
      <c r="AC2376">
        <v>5</v>
      </c>
      <c r="AD2376">
        <v>20</v>
      </c>
      <c r="AE2376" s="7"/>
      <c r="AF2376" s="7"/>
      <c r="AG2376" s="7"/>
      <c r="AH2376" s="7">
        <v>7</v>
      </c>
      <c r="AI2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76" s="7"/>
      <c r="AK2376" t="s">
        <v>1211</v>
      </c>
      <c r="AL2376">
        <v>8</v>
      </c>
      <c r="AM2376">
        <v>4</v>
      </c>
      <c r="AN2376">
        <f>IFERROR(INT(Table13[[#This Row],[reject_prod]]/Table13[[#This Row],[part_weight]] * 1000), 0)</f>
        <v>39</v>
      </c>
    </row>
    <row r="2377" spans="1:40">
      <c r="A2377" s="1">
        <v>46093</v>
      </c>
      <c r="B2377">
        <v>1</v>
      </c>
      <c r="C2377">
        <v>3</v>
      </c>
      <c r="D2377" t="s">
        <v>305</v>
      </c>
      <c r="E2377" t="s">
        <v>34</v>
      </c>
      <c r="F2377">
        <v>442034</v>
      </c>
      <c r="G2377" s="6">
        <v>0</v>
      </c>
      <c r="H2377" t="s">
        <v>37</v>
      </c>
      <c r="I2377">
        <v>10685635</v>
      </c>
      <c r="J2377">
        <v>4</v>
      </c>
      <c r="K2377">
        <v>23</v>
      </c>
      <c r="L2377">
        <v>23</v>
      </c>
      <c r="M2377">
        <v>902</v>
      </c>
      <c r="N2377" s="2">
        <v>139776</v>
      </c>
      <c r="O2377" s="2">
        <v>2688</v>
      </c>
      <c r="P2377" s="2">
        <v>1152</v>
      </c>
      <c r="Q2377" s="2">
        <v>3608</v>
      </c>
      <c r="R2377" s="2">
        <v>4608</v>
      </c>
      <c r="S2377">
        <v>105.98399999999999</v>
      </c>
      <c r="T2377" s="2">
        <v>84096</v>
      </c>
      <c r="U2377" s="2">
        <v>55680</v>
      </c>
      <c r="V2377">
        <v>82.983999999999995</v>
      </c>
      <c r="W2377">
        <v>0</v>
      </c>
      <c r="X2377">
        <v>0</v>
      </c>
      <c r="Y2377">
        <v>0</v>
      </c>
      <c r="Z2377">
        <v>12.3</v>
      </c>
      <c r="AA2377">
        <v>0.148221344</v>
      </c>
      <c r="AB2377">
        <v>26.1</v>
      </c>
      <c r="AC2377">
        <v>6.5395000000000003</v>
      </c>
      <c r="AD2377">
        <v>22</v>
      </c>
      <c r="AE2377" s="7"/>
      <c r="AF2377" s="7"/>
      <c r="AG2377" s="7"/>
      <c r="AH2377" s="7"/>
      <c r="AI2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5.4604999999999997</v>
      </c>
      <c r="AJ2377" s="7"/>
      <c r="AK2377" t="s">
        <v>1212</v>
      </c>
      <c r="AL2377">
        <v>3</v>
      </c>
      <c r="AM2377">
        <v>5</v>
      </c>
      <c r="AN2377">
        <f>IFERROR(INT(Table13[[#This Row],[reject_prod]]/Table13[[#This Row],[part_weight]] * 1000), 0)</f>
        <v>534</v>
      </c>
    </row>
    <row r="2378" spans="1:40">
      <c r="A2378" s="1">
        <v>46093</v>
      </c>
      <c r="B2378">
        <v>1</v>
      </c>
      <c r="C2378">
        <v>4</v>
      </c>
      <c r="D2378" t="s">
        <v>698</v>
      </c>
      <c r="E2378" t="s">
        <v>34</v>
      </c>
      <c r="F2378">
        <v>426555</v>
      </c>
      <c r="G2378" s="6">
        <v>0</v>
      </c>
      <c r="H2378" t="s">
        <v>1128</v>
      </c>
      <c r="I2378">
        <v>10688066</v>
      </c>
      <c r="J2378">
        <v>4</v>
      </c>
      <c r="K2378">
        <v>29</v>
      </c>
      <c r="L2378">
        <v>29</v>
      </c>
      <c r="M2378">
        <v>1752</v>
      </c>
      <c r="N2378" s="2">
        <v>81600</v>
      </c>
      <c r="O2378" s="2">
        <v>680</v>
      </c>
      <c r="P2378" s="2">
        <v>510</v>
      </c>
      <c r="Q2378" s="2">
        <v>7008</v>
      </c>
      <c r="R2378" s="2">
        <v>7140</v>
      </c>
      <c r="S2378">
        <v>207.06</v>
      </c>
      <c r="T2378" s="2">
        <v>55590</v>
      </c>
      <c r="U2378" s="2">
        <v>26010</v>
      </c>
      <c r="V2378">
        <v>203.232</v>
      </c>
      <c r="W2378">
        <v>0</v>
      </c>
      <c r="X2378">
        <v>0</v>
      </c>
      <c r="Y2378">
        <v>0</v>
      </c>
      <c r="Z2378">
        <v>1</v>
      </c>
      <c r="AA2378">
        <v>4.9204849999999996E-3</v>
      </c>
      <c r="AB2378">
        <v>24.6</v>
      </c>
      <c r="AC2378">
        <v>11.972</v>
      </c>
      <c r="AD2378">
        <v>22.72</v>
      </c>
      <c r="AE2378" s="7"/>
      <c r="AF2378" s="7"/>
      <c r="AG2378" s="7"/>
      <c r="AH2378" s="7"/>
      <c r="AI2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2.8000000000000469E-2</v>
      </c>
      <c r="AJ2378" s="7"/>
      <c r="AK2378" t="s">
        <v>214</v>
      </c>
      <c r="AM2378">
        <v>2</v>
      </c>
      <c r="AN2378">
        <f>IFERROR(INT(Table13[[#This Row],[reject_prod]]/Table13[[#This Row],[part_weight]] * 1000), 0)</f>
        <v>34</v>
      </c>
    </row>
    <row r="2379" spans="1:40">
      <c r="A2379" s="1">
        <v>46093</v>
      </c>
      <c r="B2379">
        <v>1</v>
      </c>
      <c r="C2379">
        <v>5</v>
      </c>
      <c r="D2379" t="s">
        <v>1213</v>
      </c>
      <c r="E2379" t="s">
        <v>34</v>
      </c>
      <c r="F2379">
        <v>322448</v>
      </c>
      <c r="G2379" s="6">
        <v>0</v>
      </c>
      <c r="H2379" t="s">
        <v>654</v>
      </c>
      <c r="I2379">
        <v>10687753</v>
      </c>
      <c r="J2379">
        <v>4</v>
      </c>
      <c r="K2379">
        <v>40</v>
      </c>
      <c r="L2379">
        <v>40</v>
      </c>
      <c r="M2379">
        <v>171</v>
      </c>
      <c r="N2379" s="2">
        <v>174960</v>
      </c>
      <c r="O2379" s="2">
        <v>0</v>
      </c>
      <c r="P2379" s="2">
        <v>486</v>
      </c>
      <c r="Q2379" s="2">
        <v>684</v>
      </c>
      <c r="R2379" s="2">
        <v>0</v>
      </c>
      <c r="S2379">
        <v>0</v>
      </c>
      <c r="T2379" s="2">
        <v>151146</v>
      </c>
      <c r="U2379" s="2">
        <v>23814</v>
      </c>
      <c r="V2379">
        <v>27.36</v>
      </c>
      <c r="W2379">
        <v>0</v>
      </c>
      <c r="X2379">
        <v>7.8</v>
      </c>
      <c r="Y2379">
        <v>0.28508771900000002</v>
      </c>
      <c r="Z2379">
        <v>7.8</v>
      </c>
      <c r="AA2379">
        <v>0.28508771900000002</v>
      </c>
      <c r="AB2379">
        <v>26.1</v>
      </c>
      <c r="AC2379">
        <v>1.2397499999999999</v>
      </c>
      <c r="AD2379">
        <v>23</v>
      </c>
      <c r="AE2379" s="7"/>
      <c r="AF2379" s="7"/>
      <c r="AG2379" s="7"/>
      <c r="AH2379" s="7"/>
      <c r="AI2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10.760249999999999</v>
      </c>
      <c r="AJ2379" s="7"/>
      <c r="AK2379" t="s">
        <v>1214</v>
      </c>
      <c r="AL2379">
        <v>4</v>
      </c>
      <c r="AN2379">
        <f>IFERROR(INT(Table13[[#This Row],[reject_prod]]/Table13[[#This Row],[part_weight]] * 1000), 0)</f>
        <v>195</v>
      </c>
    </row>
    <row r="2380" spans="1:40">
      <c r="A2380" s="1">
        <v>46093</v>
      </c>
      <c r="B2380">
        <v>1</v>
      </c>
      <c r="C2380">
        <v>6</v>
      </c>
      <c r="D2380" t="s">
        <v>554</v>
      </c>
      <c r="E2380" t="s">
        <v>34</v>
      </c>
      <c r="F2380">
        <v>322445</v>
      </c>
      <c r="G2380" s="6">
        <v>0</v>
      </c>
      <c r="H2380" t="s">
        <v>743</v>
      </c>
      <c r="I2380">
        <v>10689565</v>
      </c>
      <c r="J2380">
        <v>4</v>
      </c>
      <c r="K2380">
        <v>32.74</v>
      </c>
      <c r="L2380">
        <v>33</v>
      </c>
      <c r="M2380">
        <v>1947</v>
      </c>
      <c r="N2380" s="2">
        <v>72000</v>
      </c>
      <c r="O2380" s="2">
        <v>5760</v>
      </c>
      <c r="P2380" s="2">
        <v>0</v>
      </c>
      <c r="Q2380" s="2">
        <v>7788</v>
      </c>
      <c r="R2380" s="2">
        <v>13500</v>
      </c>
      <c r="S2380">
        <v>445.5</v>
      </c>
      <c r="T2380" s="2">
        <v>13500</v>
      </c>
      <c r="U2380" s="2">
        <v>58500</v>
      </c>
      <c r="V2380">
        <v>257.00400000000002</v>
      </c>
      <c r="W2380">
        <v>0</v>
      </c>
      <c r="X2380">
        <v>0</v>
      </c>
      <c r="Y2380">
        <v>0</v>
      </c>
      <c r="Z2380">
        <v>1.6</v>
      </c>
      <c r="AA2380">
        <v>6.2255840000000002E-3</v>
      </c>
      <c r="AB2380">
        <v>22</v>
      </c>
      <c r="AC2380">
        <v>11.89833333</v>
      </c>
      <c r="AD2380">
        <v>22</v>
      </c>
      <c r="AE2380" s="7"/>
      <c r="AF2380" s="7"/>
      <c r="AG2380" s="7"/>
      <c r="AH2380" s="7"/>
      <c r="AI2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0.10166667000000018</v>
      </c>
      <c r="AJ2380" s="7"/>
      <c r="AK2380" t="s">
        <v>214</v>
      </c>
      <c r="AL2380">
        <v>5</v>
      </c>
      <c r="AM2380">
        <v>5</v>
      </c>
      <c r="AN2380">
        <f>IFERROR(INT(Table13[[#This Row],[reject_prod]]/Table13[[#This Row],[part_weight]] * 1000), 0)</f>
        <v>48</v>
      </c>
    </row>
    <row r="2381" spans="1:40">
      <c r="A2381" s="1">
        <v>46093</v>
      </c>
      <c r="B2381">
        <v>1</v>
      </c>
      <c r="C2381">
        <v>7</v>
      </c>
      <c r="D2381" t="s">
        <v>33</v>
      </c>
      <c r="E2381" t="s">
        <v>34</v>
      </c>
      <c r="F2381">
        <v>322382</v>
      </c>
      <c r="G2381" s="6">
        <v>0</v>
      </c>
      <c r="H2381" t="s">
        <v>1184</v>
      </c>
      <c r="I2381">
        <v>10689314</v>
      </c>
      <c r="J2381">
        <v>4</v>
      </c>
      <c r="K2381">
        <v>18.8</v>
      </c>
      <c r="L2381">
        <v>11.3</v>
      </c>
      <c r="M2381">
        <v>0</v>
      </c>
      <c r="N2381" s="2">
        <v>10350</v>
      </c>
      <c r="O2381" s="2">
        <v>0</v>
      </c>
      <c r="P2381" s="2">
        <v>0</v>
      </c>
      <c r="Q2381" s="2">
        <v>0</v>
      </c>
      <c r="R2381" s="2">
        <v>0</v>
      </c>
      <c r="S2381">
        <v>0</v>
      </c>
      <c r="T2381" s="2">
        <v>0</v>
      </c>
      <c r="U2381" s="2">
        <v>10350</v>
      </c>
      <c r="V2381">
        <v>0</v>
      </c>
      <c r="W2381">
        <v>0</v>
      </c>
      <c r="X2381">
        <v>0</v>
      </c>
      <c r="Y2381" t="e">
        <v>#DIV/0!</v>
      </c>
      <c r="Z2381">
        <v>0</v>
      </c>
      <c r="AA2381" t="e">
        <v>#DIV/0!</v>
      </c>
      <c r="AB2381">
        <v>22.9</v>
      </c>
      <c r="AC2381">
        <v>0</v>
      </c>
      <c r="AD2381">
        <v>15.44</v>
      </c>
      <c r="AE2381" s="7"/>
      <c r="AF2381" s="7"/>
      <c r="AG2381" s="7"/>
      <c r="AH2381" s="7"/>
      <c r="AI2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81" s="7"/>
      <c r="AK2381" t="s">
        <v>1215</v>
      </c>
      <c r="AL2381">
        <v>7</v>
      </c>
      <c r="AM2381">
        <v>2</v>
      </c>
      <c r="AN2381">
        <f>IFERROR(INT(Table13[[#This Row],[reject_prod]]/Table13[[#This Row],[part_weight]] * 1000), 0)</f>
        <v>0</v>
      </c>
    </row>
    <row r="2382" spans="1:40">
      <c r="A2382" s="1">
        <v>46093</v>
      </c>
      <c r="B2382">
        <v>1</v>
      </c>
      <c r="C2382">
        <v>8</v>
      </c>
      <c r="D2382" t="s">
        <v>1216</v>
      </c>
      <c r="E2382" t="s">
        <v>41</v>
      </c>
      <c r="F2382">
        <v>593537</v>
      </c>
      <c r="G2382" s="6">
        <v>0</v>
      </c>
      <c r="H2382" t="s">
        <v>48</v>
      </c>
      <c r="I2382">
        <v>10688068</v>
      </c>
      <c r="J2382">
        <v>4</v>
      </c>
      <c r="K2382">
        <v>56.5</v>
      </c>
      <c r="L2382">
        <v>56.8</v>
      </c>
      <c r="M2382">
        <v>1339</v>
      </c>
      <c r="N2382" s="2">
        <v>69000</v>
      </c>
      <c r="O2382" s="2">
        <v>345</v>
      </c>
      <c r="P2382" s="2">
        <v>230</v>
      </c>
      <c r="Q2382" s="2">
        <v>5356</v>
      </c>
      <c r="R2382" s="2">
        <v>5175</v>
      </c>
      <c r="S2382">
        <v>293.94</v>
      </c>
      <c r="T2382" s="2">
        <v>18630</v>
      </c>
      <c r="U2382" s="2">
        <v>50370</v>
      </c>
      <c r="V2382">
        <v>304.2208</v>
      </c>
      <c r="W2382">
        <v>0</v>
      </c>
      <c r="X2382">
        <v>0</v>
      </c>
      <c r="Y2382">
        <v>0</v>
      </c>
      <c r="Z2382">
        <v>15.7</v>
      </c>
      <c r="AA2382">
        <v>5.1607253999999998E-2</v>
      </c>
      <c r="AB2382">
        <v>30.6</v>
      </c>
      <c r="AC2382">
        <v>11.381500000000001</v>
      </c>
      <c r="AD2382">
        <v>28.5</v>
      </c>
      <c r="AE2382" s="7"/>
      <c r="AF2382" s="7"/>
      <c r="AG2382" s="7"/>
      <c r="AH2382" s="7"/>
      <c r="AI2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0.61849999999999916</v>
      </c>
      <c r="AJ2382" s="7"/>
      <c r="AK2382" t="s">
        <v>480</v>
      </c>
      <c r="AM2382">
        <v>1</v>
      </c>
      <c r="AN2382">
        <f>IFERROR(INT(Table13[[#This Row],[reject_prod]]/Table13[[#This Row],[part_weight]] * 1000), 0)</f>
        <v>276</v>
      </c>
    </row>
    <row r="2383" spans="1:40">
      <c r="A2383" s="1">
        <v>46093</v>
      </c>
      <c r="B2383">
        <v>1</v>
      </c>
      <c r="C2383">
        <v>9</v>
      </c>
      <c r="D2383" t="s">
        <v>67</v>
      </c>
      <c r="E2383" t="s">
        <v>46</v>
      </c>
      <c r="F2383">
        <v>586276</v>
      </c>
      <c r="G2383" s="6">
        <v>1</v>
      </c>
      <c r="H2383" t="s">
        <v>47</v>
      </c>
      <c r="I2383">
        <v>10689111</v>
      </c>
      <c r="J2383">
        <v>6</v>
      </c>
      <c r="K2383">
        <v>12.3</v>
      </c>
      <c r="L2383">
        <v>12.3</v>
      </c>
      <c r="M2383">
        <v>1634</v>
      </c>
      <c r="N2383" s="2">
        <v>162000</v>
      </c>
      <c r="O2383" s="2">
        <v>0</v>
      </c>
      <c r="P2383" s="2">
        <v>1620</v>
      </c>
      <c r="Q2383" s="2">
        <v>9804</v>
      </c>
      <c r="R2383" s="2">
        <v>8100</v>
      </c>
      <c r="S2383">
        <v>99.63</v>
      </c>
      <c r="T2383" s="2">
        <v>58320</v>
      </c>
      <c r="U2383" s="2">
        <v>103680</v>
      </c>
      <c r="V2383">
        <v>120.58920000000001</v>
      </c>
      <c r="W2383">
        <v>0</v>
      </c>
      <c r="X2383">
        <v>0</v>
      </c>
      <c r="Y2383">
        <v>0</v>
      </c>
      <c r="Z2383">
        <v>1</v>
      </c>
      <c r="AA2383">
        <v>8.2926170000000004E-3</v>
      </c>
      <c r="AB2383">
        <v>26.5</v>
      </c>
      <c r="AC2383">
        <v>12</v>
      </c>
      <c r="AD2383">
        <v>26</v>
      </c>
      <c r="AE2383" s="7"/>
      <c r="AF2383" s="7"/>
      <c r="AG2383" s="7"/>
      <c r="AH2383" s="7"/>
      <c r="AI2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3" s="7"/>
      <c r="AK2383" t="s">
        <v>51</v>
      </c>
      <c r="AN2383">
        <f>IFERROR(INT(Table13[[#This Row],[reject_prod]]/Table13[[#This Row],[part_weight]] * 1000), 0)</f>
        <v>81</v>
      </c>
    </row>
    <row r="2384" spans="1:40">
      <c r="A2384" s="1">
        <v>46093</v>
      </c>
      <c r="B2384">
        <v>1</v>
      </c>
      <c r="C2384">
        <v>10</v>
      </c>
      <c r="D2384" t="s">
        <v>143</v>
      </c>
      <c r="E2384" t="s">
        <v>34</v>
      </c>
      <c r="F2384">
        <v>414439</v>
      </c>
      <c r="G2384" s="6">
        <v>0</v>
      </c>
      <c r="H2384" t="s">
        <v>587</v>
      </c>
      <c r="I2384">
        <v>10688521</v>
      </c>
      <c r="J2384">
        <v>6</v>
      </c>
      <c r="K2384">
        <v>57</v>
      </c>
      <c r="L2384">
        <v>15</v>
      </c>
      <c r="M2384">
        <v>643</v>
      </c>
      <c r="N2384" s="2">
        <v>206976</v>
      </c>
      <c r="O2384" s="2">
        <v>4928</v>
      </c>
      <c r="P2384" s="2">
        <v>1232</v>
      </c>
      <c r="Q2384" s="2">
        <v>3858</v>
      </c>
      <c r="R2384" s="2">
        <v>7392</v>
      </c>
      <c r="S2384">
        <v>110.88</v>
      </c>
      <c r="T2384" s="2">
        <v>149072</v>
      </c>
      <c r="U2384" s="2">
        <v>57904</v>
      </c>
      <c r="V2384">
        <v>57.87</v>
      </c>
      <c r="W2384">
        <v>0</v>
      </c>
      <c r="X2384">
        <v>0</v>
      </c>
      <c r="Y2384">
        <v>0</v>
      </c>
      <c r="Z2384">
        <v>2.4</v>
      </c>
      <c r="AA2384">
        <v>4.1472265000000001E-2</v>
      </c>
      <c r="AB2384">
        <v>23.7</v>
      </c>
      <c r="AC2384">
        <v>4.2</v>
      </c>
      <c r="AD2384">
        <v>15</v>
      </c>
      <c r="AE2384" s="7"/>
      <c r="AF2384" s="7"/>
      <c r="AG2384" s="7"/>
      <c r="AH2384" s="7">
        <v>7.8</v>
      </c>
      <c r="AI2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4" s="7"/>
      <c r="AK2384" t="s">
        <v>1217</v>
      </c>
      <c r="AL2384">
        <v>2</v>
      </c>
      <c r="AM2384">
        <v>4</v>
      </c>
      <c r="AN2384">
        <f>IFERROR(INT(Table13[[#This Row],[reject_prod]]/Table13[[#This Row],[part_weight]] * 1000), 0)</f>
        <v>160</v>
      </c>
    </row>
    <row r="2385" spans="1:40">
      <c r="A2385" s="1">
        <v>46093</v>
      </c>
      <c r="B2385">
        <v>1</v>
      </c>
      <c r="C2385">
        <v>11</v>
      </c>
      <c r="D2385" t="s">
        <v>61</v>
      </c>
      <c r="E2385" t="s">
        <v>46</v>
      </c>
      <c r="F2385">
        <v>552181</v>
      </c>
      <c r="G2385" s="6">
        <v>1</v>
      </c>
      <c r="H2385" t="s">
        <v>49</v>
      </c>
      <c r="I2385">
        <v>10688069</v>
      </c>
      <c r="J2385">
        <v>6</v>
      </c>
      <c r="K2385">
        <v>14.7</v>
      </c>
      <c r="L2385">
        <v>14.7</v>
      </c>
      <c r="M2385">
        <v>1383</v>
      </c>
      <c r="N2385" s="2">
        <v>108000</v>
      </c>
      <c r="O2385" s="2">
        <v>1620</v>
      </c>
      <c r="P2385" s="2">
        <v>5130</v>
      </c>
      <c r="Q2385" s="2">
        <v>8298</v>
      </c>
      <c r="R2385" s="2">
        <v>10800</v>
      </c>
      <c r="S2385">
        <v>158.76</v>
      </c>
      <c r="T2385" s="2">
        <v>107730</v>
      </c>
      <c r="U2385" s="2">
        <v>270</v>
      </c>
      <c r="V2385">
        <v>121.9806</v>
      </c>
      <c r="W2385">
        <v>0</v>
      </c>
      <c r="X2385">
        <v>0</v>
      </c>
      <c r="Y2385">
        <v>0</v>
      </c>
      <c r="Z2385">
        <v>1.5</v>
      </c>
      <c r="AA2385">
        <v>1.2297037E-2</v>
      </c>
      <c r="AB2385">
        <v>29.2</v>
      </c>
      <c r="AC2385">
        <v>11.21766667</v>
      </c>
      <c r="AD2385">
        <v>27</v>
      </c>
      <c r="AE2385" s="7"/>
      <c r="AF2385" s="7"/>
      <c r="AG2385" s="7"/>
      <c r="AH2385" s="7"/>
      <c r="AI23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0.78233333000000016</v>
      </c>
      <c r="AJ2385" s="7"/>
      <c r="AK2385" t="s">
        <v>480</v>
      </c>
      <c r="AN2385">
        <f>IFERROR(INT(Table13[[#This Row],[reject_prod]]/Table13[[#This Row],[part_weight]] * 1000), 0)</f>
        <v>102</v>
      </c>
    </row>
    <row r="2386" spans="1:40">
      <c r="A2386" s="1">
        <v>46093</v>
      </c>
      <c r="B2386">
        <v>1</v>
      </c>
      <c r="C2386">
        <v>12</v>
      </c>
      <c r="D2386" t="s">
        <v>65</v>
      </c>
      <c r="E2386" t="s">
        <v>46</v>
      </c>
      <c r="F2386">
        <v>555979</v>
      </c>
      <c r="G2386" s="6">
        <v>1</v>
      </c>
      <c r="H2386" t="s">
        <v>52</v>
      </c>
      <c r="I2386">
        <v>10689126</v>
      </c>
      <c r="J2386">
        <v>6</v>
      </c>
      <c r="K2386">
        <v>28</v>
      </c>
      <c r="L2386">
        <v>28</v>
      </c>
      <c r="M2386">
        <v>891</v>
      </c>
      <c r="N2386" s="2">
        <v>100800</v>
      </c>
      <c r="O2386" s="2">
        <v>4368</v>
      </c>
      <c r="P2386" s="2">
        <v>2688</v>
      </c>
      <c r="Q2386" s="2">
        <v>5346</v>
      </c>
      <c r="R2386" s="2">
        <v>3360</v>
      </c>
      <c r="S2386">
        <v>94.08</v>
      </c>
      <c r="T2386" s="2">
        <v>10248</v>
      </c>
      <c r="U2386" s="2">
        <v>90552</v>
      </c>
      <c r="V2386">
        <v>149.68799999999999</v>
      </c>
      <c r="W2386">
        <v>0</v>
      </c>
      <c r="X2386">
        <v>0</v>
      </c>
      <c r="Y2386">
        <v>0</v>
      </c>
      <c r="Z2386">
        <v>7.8</v>
      </c>
      <c r="AA2386">
        <v>5.2108385E-2</v>
      </c>
      <c r="AB2386">
        <v>41.2</v>
      </c>
      <c r="AC2386">
        <v>10.196999999999999</v>
      </c>
      <c r="AD2386">
        <v>42</v>
      </c>
      <c r="AE2386" s="7"/>
      <c r="AF2386" s="7"/>
      <c r="AG2386" s="7"/>
      <c r="AH2386" s="7"/>
      <c r="AI2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1.8030000000000008</v>
      </c>
      <c r="AJ2386" s="7"/>
      <c r="AK2386" t="s">
        <v>1218</v>
      </c>
      <c r="AM2386">
        <v>2</v>
      </c>
      <c r="AN2386">
        <f>IFERROR(INT(Table13[[#This Row],[reject_prod]]/Table13[[#This Row],[part_weight]] * 1000), 0)</f>
        <v>278</v>
      </c>
    </row>
    <row r="2387" spans="1:40">
      <c r="A2387" s="1">
        <v>46093</v>
      </c>
      <c r="B2387">
        <v>1</v>
      </c>
      <c r="C2387">
        <v>13</v>
      </c>
      <c r="D2387" t="s">
        <v>61</v>
      </c>
      <c r="E2387" t="s">
        <v>46</v>
      </c>
      <c r="F2387">
        <v>586276</v>
      </c>
      <c r="G2387" s="6">
        <v>2</v>
      </c>
      <c r="H2387" t="s">
        <v>47</v>
      </c>
      <c r="I2387">
        <v>10689118</v>
      </c>
      <c r="J2387">
        <v>6</v>
      </c>
      <c r="K2387">
        <v>12.3</v>
      </c>
      <c r="L2387">
        <v>12.3</v>
      </c>
      <c r="M2387">
        <v>1641</v>
      </c>
      <c r="N2387" s="2">
        <v>162000</v>
      </c>
      <c r="O2387" s="2">
        <v>0</v>
      </c>
      <c r="P2387" s="2">
        <v>1620</v>
      </c>
      <c r="Q2387" s="2">
        <v>9846</v>
      </c>
      <c r="R2387" s="2">
        <v>8100</v>
      </c>
      <c r="S2387">
        <v>99.63</v>
      </c>
      <c r="T2387" s="2">
        <v>25920</v>
      </c>
      <c r="U2387" s="2">
        <v>136080</v>
      </c>
      <c r="V2387">
        <v>121.1058</v>
      </c>
      <c r="W2387">
        <v>0</v>
      </c>
      <c r="X2387">
        <v>0</v>
      </c>
      <c r="Y2387">
        <v>0</v>
      </c>
      <c r="Z2387">
        <v>1.5</v>
      </c>
      <c r="AA2387">
        <v>1.2385864E-2</v>
      </c>
      <c r="AB2387">
        <v>26.2</v>
      </c>
      <c r="AC2387">
        <v>11.942833329999999</v>
      </c>
      <c r="AD2387">
        <v>26</v>
      </c>
      <c r="AE2387" s="7"/>
      <c r="AF2387" s="7"/>
      <c r="AG2387" s="7"/>
      <c r="AH2387" s="7"/>
      <c r="AI2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387" s="7"/>
      <c r="AK2387" t="s">
        <v>51</v>
      </c>
      <c r="AN2387">
        <f>IFERROR(INT(Table13[[#This Row],[reject_prod]]/Table13[[#This Row],[part_weight]] * 1000), 0)</f>
        <v>121</v>
      </c>
    </row>
    <row r="2388" spans="1:40">
      <c r="A2388" s="1">
        <v>46093</v>
      </c>
      <c r="B2388">
        <v>1</v>
      </c>
      <c r="C2388">
        <v>14</v>
      </c>
      <c r="D2388" t="s">
        <v>33</v>
      </c>
      <c r="E2388" t="s">
        <v>34</v>
      </c>
      <c r="F2388">
        <v>541381</v>
      </c>
      <c r="G2388" s="6">
        <v>0</v>
      </c>
      <c r="H2388" t="s">
        <v>804</v>
      </c>
      <c r="I2388">
        <v>10688073</v>
      </c>
      <c r="J2388">
        <v>4</v>
      </c>
      <c r="K2388">
        <v>55</v>
      </c>
      <c r="L2388">
        <v>55</v>
      </c>
      <c r="M2388">
        <v>0</v>
      </c>
      <c r="N2388" s="2">
        <v>84000</v>
      </c>
      <c r="O2388" s="2">
        <v>95</v>
      </c>
      <c r="P2388" s="2">
        <v>0</v>
      </c>
      <c r="Q2388" s="2">
        <v>0</v>
      </c>
      <c r="R2388" s="2">
        <v>0</v>
      </c>
      <c r="S2388">
        <v>0</v>
      </c>
      <c r="T2388" s="2">
        <v>62300</v>
      </c>
      <c r="U2388" s="2">
        <v>21700</v>
      </c>
      <c r="V2388">
        <v>0</v>
      </c>
      <c r="W2388">
        <v>0</v>
      </c>
      <c r="X2388">
        <v>0</v>
      </c>
      <c r="Y2388" t="e">
        <v>#DIV/0!</v>
      </c>
      <c r="Z2388">
        <v>0</v>
      </c>
      <c r="AA2388" t="e">
        <v>#DIV/0!</v>
      </c>
      <c r="AB2388">
        <v>28.8</v>
      </c>
      <c r="AC2388">
        <v>0</v>
      </c>
      <c r="AD2388">
        <v>30.08</v>
      </c>
      <c r="AE2388" s="7"/>
      <c r="AF2388" s="7"/>
      <c r="AG2388" s="7"/>
      <c r="AH2388" s="7"/>
      <c r="AI2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88" s="7"/>
      <c r="AK2388" t="s">
        <v>1219</v>
      </c>
      <c r="AN2388">
        <f>IFERROR(INT(Table13[[#This Row],[reject_prod]]/Table13[[#This Row],[part_weight]] * 1000), 0)</f>
        <v>0</v>
      </c>
    </row>
    <row r="2389" spans="1:40">
      <c r="A2389" s="1">
        <v>46093</v>
      </c>
      <c r="B2389">
        <v>1</v>
      </c>
      <c r="C2389">
        <v>15</v>
      </c>
      <c r="D2389" t="s">
        <v>61</v>
      </c>
      <c r="E2389" t="s">
        <v>46</v>
      </c>
      <c r="F2389">
        <v>552181</v>
      </c>
      <c r="G2389" s="6">
        <v>2</v>
      </c>
      <c r="H2389" t="s">
        <v>49</v>
      </c>
      <c r="I2389">
        <v>10689122</v>
      </c>
      <c r="J2389">
        <v>6</v>
      </c>
      <c r="K2389">
        <v>14.7</v>
      </c>
      <c r="L2389">
        <v>14.7</v>
      </c>
      <c r="M2389">
        <v>1401</v>
      </c>
      <c r="N2389" s="2">
        <v>108000</v>
      </c>
      <c r="O2389" s="2">
        <v>4050</v>
      </c>
      <c r="P2389" s="2">
        <v>1620</v>
      </c>
      <c r="Q2389" s="2">
        <v>8406</v>
      </c>
      <c r="R2389" s="2">
        <v>10800</v>
      </c>
      <c r="S2389">
        <v>158.76</v>
      </c>
      <c r="T2389" s="2">
        <v>28620</v>
      </c>
      <c r="U2389" s="2">
        <v>79380</v>
      </c>
      <c r="V2389">
        <v>123.5682</v>
      </c>
      <c r="W2389">
        <v>0</v>
      </c>
      <c r="X2389">
        <v>0</v>
      </c>
      <c r="Y2389">
        <v>0</v>
      </c>
      <c r="Z2389">
        <v>0.5</v>
      </c>
      <c r="AA2389">
        <v>4.046348E-3</v>
      </c>
      <c r="AB2389">
        <v>30.6</v>
      </c>
      <c r="AC2389">
        <v>11.9085</v>
      </c>
      <c r="AD2389">
        <v>27</v>
      </c>
      <c r="AE2389" s="7"/>
      <c r="AF2389" s="7"/>
      <c r="AG2389" s="7"/>
      <c r="AH2389" s="7"/>
      <c r="AI2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389" s="7"/>
      <c r="AK2389" t="s">
        <v>51</v>
      </c>
      <c r="AN2389">
        <f>IFERROR(INT(Table13[[#This Row],[reject_prod]]/Table13[[#This Row],[part_weight]] * 1000), 0)</f>
        <v>34</v>
      </c>
    </row>
    <row r="2390" spans="1:40">
      <c r="A2390" s="1">
        <v>46093</v>
      </c>
      <c r="B2390">
        <v>1</v>
      </c>
      <c r="C2390">
        <v>16</v>
      </c>
      <c r="D2390" t="s">
        <v>221</v>
      </c>
      <c r="E2390" t="s">
        <v>46</v>
      </c>
      <c r="F2390">
        <v>555979</v>
      </c>
      <c r="G2390" s="6">
        <v>2</v>
      </c>
      <c r="H2390" t="s">
        <v>52</v>
      </c>
      <c r="I2390">
        <v>10688074</v>
      </c>
      <c r="J2390">
        <v>6</v>
      </c>
      <c r="K2390">
        <v>28</v>
      </c>
      <c r="L2390">
        <v>28</v>
      </c>
      <c r="M2390">
        <v>1018</v>
      </c>
      <c r="N2390" s="2">
        <v>100800</v>
      </c>
      <c r="O2390" s="2">
        <v>2688</v>
      </c>
      <c r="P2390" s="2">
        <v>2016</v>
      </c>
      <c r="Q2390" s="2">
        <v>6108</v>
      </c>
      <c r="R2390" s="2">
        <v>6720</v>
      </c>
      <c r="S2390">
        <v>188.16</v>
      </c>
      <c r="T2390" s="2">
        <v>59136</v>
      </c>
      <c r="U2390" s="2">
        <v>41664</v>
      </c>
      <c r="V2390">
        <v>171.024</v>
      </c>
      <c r="W2390">
        <v>0</v>
      </c>
      <c r="X2390">
        <v>0</v>
      </c>
      <c r="Y2390">
        <v>0</v>
      </c>
      <c r="Z2390">
        <v>1.5</v>
      </c>
      <c r="AA2390">
        <v>8.7706989999999999E-3</v>
      </c>
      <c r="AB2390">
        <v>40.5</v>
      </c>
      <c r="AC2390">
        <v>11.452500000000001</v>
      </c>
      <c r="AD2390">
        <v>42</v>
      </c>
      <c r="AE2390" s="7"/>
      <c r="AF2390" s="7"/>
      <c r="AG2390" s="7"/>
      <c r="AH2390" s="7"/>
      <c r="AI2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0.54749999999999943</v>
      </c>
      <c r="AJ2390" s="7"/>
      <c r="AK2390" t="s">
        <v>51</v>
      </c>
      <c r="AN2390">
        <f>IFERROR(INT(Table13[[#This Row],[reject_prod]]/Table13[[#This Row],[part_weight]] * 1000), 0)</f>
        <v>53</v>
      </c>
    </row>
    <row r="2391" spans="1:40">
      <c r="A2391" s="1">
        <v>46093</v>
      </c>
      <c r="B2391">
        <v>2</v>
      </c>
      <c r="C2391">
        <v>1</v>
      </c>
      <c r="D2391" t="s">
        <v>58</v>
      </c>
      <c r="E2391" t="s">
        <v>34</v>
      </c>
      <c r="F2391">
        <v>577492</v>
      </c>
      <c r="G2391" s="6">
        <v>0</v>
      </c>
      <c r="H2391" t="s">
        <v>341</v>
      </c>
      <c r="I2391">
        <v>10688947</v>
      </c>
      <c r="J2391">
        <v>4</v>
      </c>
      <c r="K2391">
        <v>35.6</v>
      </c>
      <c r="L2391">
        <v>35.6</v>
      </c>
      <c r="M2391">
        <v>1335</v>
      </c>
      <c r="N2391" s="2">
        <v>80960</v>
      </c>
      <c r="O2391" s="2">
        <v>184</v>
      </c>
      <c r="P2391" s="2">
        <v>0</v>
      </c>
      <c r="Q2391" s="2">
        <v>5340</v>
      </c>
      <c r="R2391" s="2">
        <v>5520</v>
      </c>
      <c r="S2391">
        <v>196.512</v>
      </c>
      <c r="T2391" s="2">
        <v>80960</v>
      </c>
      <c r="U2391" s="2">
        <v>0</v>
      </c>
      <c r="V2391">
        <v>190.10400000000001</v>
      </c>
      <c r="W2391">
        <v>0</v>
      </c>
      <c r="X2391">
        <v>0</v>
      </c>
      <c r="Y2391">
        <v>0</v>
      </c>
      <c r="Z2391">
        <v>2</v>
      </c>
      <c r="AA2391">
        <v>1.0520557E-2</v>
      </c>
      <c r="AB2391">
        <v>26.07</v>
      </c>
      <c r="AC2391">
        <v>9.6676249999999992</v>
      </c>
      <c r="AD2391">
        <v>27</v>
      </c>
      <c r="AE2391" s="7"/>
      <c r="AF2391" s="7"/>
      <c r="AG2391" s="7"/>
      <c r="AH2391" s="7"/>
      <c r="AI2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2.3323750000000008</v>
      </c>
      <c r="AJ2391" s="7"/>
      <c r="AK2391" t="s">
        <v>1220</v>
      </c>
      <c r="AN2391">
        <f>IFERROR(INT(Table13[[#This Row],[reject_prod]]/Table13[[#This Row],[part_weight]] * 1000), 0)</f>
        <v>56</v>
      </c>
    </row>
    <row r="2392" spans="1:40">
      <c r="A2392" s="1">
        <v>46093</v>
      </c>
      <c r="B2392">
        <v>2</v>
      </c>
      <c r="C2392">
        <v>1</v>
      </c>
      <c r="D2392" t="s">
        <v>58</v>
      </c>
      <c r="E2392" t="s">
        <v>34</v>
      </c>
      <c r="F2392">
        <v>347623</v>
      </c>
      <c r="G2392" s="6">
        <v>0</v>
      </c>
      <c r="H2392" t="s">
        <v>35</v>
      </c>
      <c r="I2392">
        <v>10689833</v>
      </c>
      <c r="J2392">
        <v>4</v>
      </c>
      <c r="K2392">
        <v>35.6</v>
      </c>
      <c r="L2392">
        <v>35.6</v>
      </c>
      <c r="M2392">
        <v>0</v>
      </c>
      <c r="N2392" s="2">
        <v>40480</v>
      </c>
      <c r="O2392" s="2">
        <v>0</v>
      </c>
      <c r="P2392" s="2">
        <v>0</v>
      </c>
      <c r="Q2392" s="2">
        <v>0</v>
      </c>
      <c r="R2392" s="2">
        <v>0</v>
      </c>
      <c r="S2392">
        <v>0</v>
      </c>
      <c r="T2392" s="2">
        <v>0</v>
      </c>
      <c r="U2392" s="2">
        <v>40480</v>
      </c>
      <c r="V2392">
        <v>0</v>
      </c>
      <c r="W2392">
        <v>0</v>
      </c>
      <c r="X2392">
        <v>4.4000000000000004</v>
      </c>
      <c r="Y2392" t="e">
        <v>#DIV/0!</v>
      </c>
      <c r="Z2392">
        <v>0</v>
      </c>
      <c r="AA2392" t="e">
        <v>#DIV/0!</v>
      </c>
      <c r="AB2392">
        <v>26.07</v>
      </c>
      <c r="AC2392">
        <v>0</v>
      </c>
      <c r="AD2392">
        <v>27</v>
      </c>
      <c r="AE2392" s="7"/>
      <c r="AF2392" s="7"/>
      <c r="AG2392" s="7"/>
      <c r="AH2392" s="7"/>
      <c r="AI2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11.7</v>
      </c>
      <c r="AJ2392" s="7">
        <v>0.3</v>
      </c>
      <c r="AK2392" t="s">
        <v>1221</v>
      </c>
      <c r="AN2392">
        <f>IFERROR(INT(Table13[[#This Row],[reject_prod]]/Table13[[#This Row],[part_weight]] * 1000), 0)</f>
        <v>0</v>
      </c>
    </row>
    <row r="2393" spans="1:40">
      <c r="A2393" s="1">
        <v>46093</v>
      </c>
      <c r="B2393">
        <v>2</v>
      </c>
      <c r="C2393">
        <v>2</v>
      </c>
      <c r="D2393" t="s">
        <v>56</v>
      </c>
      <c r="E2393" t="s">
        <v>34</v>
      </c>
      <c r="F2393">
        <v>340460</v>
      </c>
      <c r="G2393" s="6">
        <v>0</v>
      </c>
      <c r="H2393" t="s">
        <v>1177</v>
      </c>
      <c r="I2393">
        <v>10688494</v>
      </c>
      <c r="J2393">
        <v>4</v>
      </c>
      <c r="K2393">
        <v>15.05</v>
      </c>
      <c r="L2393">
        <v>15.05</v>
      </c>
      <c r="M2393">
        <v>1890</v>
      </c>
      <c r="N2393" s="2">
        <v>20300</v>
      </c>
      <c r="O2393" s="2">
        <v>1740</v>
      </c>
      <c r="P2393" s="2">
        <v>2320</v>
      </c>
      <c r="Q2393" s="2">
        <v>7560</v>
      </c>
      <c r="R2393" s="2">
        <v>6960</v>
      </c>
      <c r="S2393">
        <v>104.748</v>
      </c>
      <c r="T2393" s="2">
        <v>16240</v>
      </c>
      <c r="U2393" s="2">
        <v>4060</v>
      </c>
      <c r="V2393">
        <v>113.77800000000001</v>
      </c>
      <c r="W2393">
        <v>0</v>
      </c>
      <c r="X2393">
        <v>0</v>
      </c>
      <c r="Y2393">
        <v>0</v>
      </c>
      <c r="Z2393">
        <v>6.7</v>
      </c>
      <c r="AA2393">
        <v>5.8886604000000002E-2</v>
      </c>
      <c r="AB2393">
        <v>21.1</v>
      </c>
      <c r="AC2393">
        <v>11.077500000000001</v>
      </c>
      <c r="AD2393">
        <v>20</v>
      </c>
      <c r="AE2393" s="7"/>
      <c r="AF2393" s="7"/>
      <c r="AG2393" s="7"/>
      <c r="AH2393" s="7"/>
      <c r="AI2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0.92249999999999943</v>
      </c>
      <c r="AJ2393" s="7"/>
      <c r="AK2393" t="s">
        <v>708</v>
      </c>
      <c r="AN2393">
        <f>IFERROR(INT(Table13[[#This Row],[reject_prod]]/Table13[[#This Row],[part_weight]] * 1000), 0)</f>
        <v>445</v>
      </c>
    </row>
    <row r="2394" spans="1:40">
      <c r="A2394" s="1">
        <v>46093</v>
      </c>
      <c r="B2394">
        <v>2</v>
      </c>
      <c r="C2394">
        <v>3</v>
      </c>
      <c r="D2394" t="s">
        <v>54</v>
      </c>
      <c r="E2394" t="s">
        <v>34</v>
      </c>
      <c r="F2394">
        <v>442034</v>
      </c>
      <c r="G2394" s="6">
        <v>0</v>
      </c>
      <c r="H2394" t="s">
        <v>37</v>
      </c>
      <c r="I2394">
        <v>10685635</v>
      </c>
      <c r="J2394">
        <v>4</v>
      </c>
      <c r="K2394">
        <v>23</v>
      </c>
      <c r="L2394">
        <v>23</v>
      </c>
      <c r="M2394">
        <v>510</v>
      </c>
      <c r="N2394" s="2">
        <v>139776</v>
      </c>
      <c r="O2394" s="2">
        <v>1152</v>
      </c>
      <c r="P2394" s="2">
        <v>2688</v>
      </c>
      <c r="Q2394" s="2">
        <v>2040</v>
      </c>
      <c r="R2394" s="2">
        <v>0</v>
      </c>
      <c r="S2394">
        <v>0</v>
      </c>
      <c r="T2394" s="2">
        <v>85632</v>
      </c>
      <c r="U2394" s="2">
        <v>54144</v>
      </c>
      <c r="V2394">
        <v>46.92</v>
      </c>
      <c r="W2394">
        <v>0</v>
      </c>
      <c r="X2394">
        <v>0</v>
      </c>
      <c r="Y2394">
        <v>0</v>
      </c>
      <c r="Z2394">
        <v>9.1999999999999993</v>
      </c>
      <c r="AA2394">
        <v>0.196078431</v>
      </c>
      <c r="AB2394">
        <v>26.1</v>
      </c>
      <c r="AC2394">
        <v>3.6974999999999998</v>
      </c>
      <c r="AD2394">
        <v>22</v>
      </c>
      <c r="AE2394" s="7"/>
      <c r="AF2394" s="7"/>
      <c r="AG2394" s="7"/>
      <c r="AH2394" s="7"/>
      <c r="AI2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8.3025000000000002</v>
      </c>
      <c r="AJ2394" s="7"/>
      <c r="AK2394" t="s">
        <v>1222</v>
      </c>
      <c r="AN2394">
        <f>IFERROR(INT(Table13[[#This Row],[reject_prod]]/Table13[[#This Row],[part_weight]] * 1000), 0)</f>
        <v>400</v>
      </c>
    </row>
    <row r="2395" spans="1:40">
      <c r="A2395" s="1">
        <v>46093</v>
      </c>
      <c r="B2395">
        <v>2</v>
      </c>
      <c r="C2395">
        <v>4</v>
      </c>
      <c r="D2395" t="s">
        <v>84</v>
      </c>
      <c r="E2395" t="s">
        <v>34</v>
      </c>
      <c r="F2395">
        <v>426555</v>
      </c>
      <c r="G2395" s="6">
        <v>0</v>
      </c>
      <c r="H2395" t="s">
        <v>1128</v>
      </c>
      <c r="I2395">
        <v>10688066</v>
      </c>
      <c r="J2395">
        <v>4</v>
      </c>
      <c r="K2395">
        <v>29</v>
      </c>
      <c r="L2395">
        <v>29</v>
      </c>
      <c r="M2395">
        <v>1775</v>
      </c>
      <c r="N2395" s="2">
        <v>81600</v>
      </c>
      <c r="O2395" s="2">
        <v>510</v>
      </c>
      <c r="P2395" s="2">
        <v>510</v>
      </c>
      <c r="Q2395" s="2">
        <v>7100</v>
      </c>
      <c r="R2395" s="2">
        <v>7140</v>
      </c>
      <c r="S2395">
        <v>207.06</v>
      </c>
      <c r="T2395" s="2">
        <v>62730</v>
      </c>
      <c r="U2395" s="2">
        <v>18870</v>
      </c>
      <c r="V2395">
        <v>205.9</v>
      </c>
      <c r="W2395">
        <v>0</v>
      </c>
      <c r="X2395">
        <v>0</v>
      </c>
      <c r="Y2395">
        <v>0</v>
      </c>
      <c r="Z2395">
        <v>0.4</v>
      </c>
      <c r="AA2395">
        <v>1.9426910000000001E-3</v>
      </c>
      <c r="AB2395">
        <v>24.63</v>
      </c>
      <c r="AC2395">
        <v>12</v>
      </c>
      <c r="AD2395">
        <v>22.72</v>
      </c>
      <c r="AE2395" s="7"/>
      <c r="AF2395" s="7"/>
      <c r="AG2395" s="7"/>
      <c r="AH2395" s="7"/>
      <c r="AI2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95" s="7"/>
      <c r="AK2395" t="s">
        <v>214</v>
      </c>
      <c r="AN2395">
        <f>IFERROR(INT(Table13[[#This Row],[reject_prod]]/Table13[[#This Row],[part_weight]] * 1000), 0)</f>
        <v>13</v>
      </c>
    </row>
    <row r="2396" spans="1:40">
      <c r="A2396" s="1">
        <v>46093</v>
      </c>
      <c r="B2396">
        <v>2</v>
      </c>
      <c r="C2396">
        <v>5</v>
      </c>
      <c r="D2396" t="s">
        <v>979</v>
      </c>
      <c r="E2396" t="s">
        <v>34</v>
      </c>
      <c r="F2396">
        <v>322448</v>
      </c>
      <c r="G2396" s="6">
        <v>0</v>
      </c>
      <c r="H2396" t="s">
        <v>654</v>
      </c>
      <c r="I2396">
        <v>10687753</v>
      </c>
      <c r="J2396">
        <v>4</v>
      </c>
      <c r="K2396">
        <v>40</v>
      </c>
      <c r="L2396">
        <v>40</v>
      </c>
      <c r="M2396">
        <v>1700</v>
      </c>
      <c r="N2396" s="2">
        <v>174960</v>
      </c>
      <c r="O2396" s="2">
        <v>486</v>
      </c>
      <c r="P2396" s="2">
        <v>0</v>
      </c>
      <c r="Q2396" s="2">
        <v>6800</v>
      </c>
      <c r="R2396" s="2">
        <v>7290</v>
      </c>
      <c r="S2396">
        <v>291.60000000000002</v>
      </c>
      <c r="T2396" s="2">
        <v>157950</v>
      </c>
      <c r="U2396" s="2">
        <v>17010</v>
      </c>
      <c r="V2396">
        <v>272</v>
      </c>
      <c r="W2396">
        <v>0</v>
      </c>
      <c r="X2396">
        <v>0</v>
      </c>
      <c r="Y2396">
        <v>0</v>
      </c>
      <c r="Z2396">
        <v>4.2</v>
      </c>
      <c r="AA2396">
        <v>1.5441175999999999E-2</v>
      </c>
      <c r="AB2396">
        <v>26.1</v>
      </c>
      <c r="AC2396">
        <v>12</v>
      </c>
      <c r="AD2396">
        <v>23</v>
      </c>
      <c r="AE2396" s="7"/>
      <c r="AF2396" s="7"/>
      <c r="AG2396" s="7"/>
      <c r="AH2396" s="7"/>
      <c r="AI2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96" s="7"/>
      <c r="AK2396" t="s">
        <v>1191</v>
      </c>
      <c r="AN2396">
        <f>IFERROR(INT(Table13[[#This Row],[reject_prod]]/Table13[[#This Row],[part_weight]] * 1000), 0)</f>
        <v>105</v>
      </c>
    </row>
    <row r="2397" spans="1:40">
      <c r="A2397" s="1">
        <v>46093</v>
      </c>
      <c r="B2397">
        <v>2</v>
      </c>
      <c r="C2397">
        <v>6</v>
      </c>
      <c r="D2397" t="s">
        <v>1223</v>
      </c>
      <c r="E2397" t="s">
        <v>34</v>
      </c>
      <c r="F2397">
        <v>322445</v>
      </c>
      <c r="G2397" s="6">
        <v>0</v>
      </c>
      <c r="H2397" t="s">
        <v>743</v>
      </c>
      <c r="I2397">
        <v>10689565</v>
      </c>
      <c r="J2397">
        <v>4</v>
      </c>
      <c r="K2397">
        <v>32.74</v>
      </c>
      <c r="L2397">
        <v>33</v>
      </c>
      <c r="M2397">
        <v>1900</v>
      </c>
      <c r="N2397" s="2">
        <v>72000</v>
      </c>
      <c r="O2397" s="2">
        <v>0</v>
      </c>
      <c r="P2397" s="2">
        <v>360</v>
      </c>
      <c r="Q2397" s="2">
        <v>7600</v>
      </c>
      <c r="R2397" s="2">
        <v>7200</v>
      </c>
      <c r="S2397">
        <v>237.6</v>
      </c>
      <c r="T2397" s="2">
        <v>21060</v>
      </c>
      <c r="U2397" s="2">
        <v>50940</v>
      </c>
      <c r="V2397">
        <v>250.8</v>
      </c>
      <c r="W2397">
        <v>0</v>
      </c>
      <c r="X2397">
        <v>0</v>
      </c>
      <c r="Y2397">
        <v>0</v>
      </c>
      <c r="Z2397">
        <v>1</v>
      </c>
      <c r="AA2397">
        <v>3.9872409999999999E-3</v>
      </c>
      <c r="AB2397">
        <v>22</v>
      </c>
      <c r="AC2397">
        <v>11.61111111</v>
      </c>
      <c r="AD2397">
        <v>22</v>
      </c>
      <c r="AE2397" s="7"/>
      <c r="AF2397" s="7"/>
      <c r="AG2397" s="7"/>
      <c r="AH2397" s="7"/>
      <c r="AI2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0.38888889000000049</v>
      </c>
      <c r="AJ2397" s="7"/>
      <c r="AK2397" t="s">
        <v>1204</v>
      </c>
      <c r="AN2397">
        <f>IFERROR(INT(Table13[[#This Row],[reject_prod]]/Table13[[#This Row],[part_weight]] * 1000), 0)</f>
        <v>30</v>
      </c>
    </row>
    <row r="2398" spans="1:40">
      <c r="A2398" s="1">
        <v>46093</v>
      </c>
      <c r="B2398">
        <v>2</v>
      </c>
      <c r="C2398">
        <v>7</v>
      </c>
      <c r="D2398" t="s">
        <v>33</v>
      </c>
      <c r="E2398" t="s">
        <v>34</v>
      </c>
      <c r="F2398">
        <v>322391</v>
      </c>
      <c r="G2398" s="6">
        <v>0</v>
      </c>
      <c r="H2398" t="s">
        <v>1224</v>
      </c>
      <c r="I2398">
        <v>10690100</v>
      </c>
      <c r="J2398">
        <v>4</v>
      </c>
      <c r="K2398">
        <v>20</v>
      </c>
      <c r="L2398">
        <v>20</v>
      </c>
      <c r="M2398">
        <v>0</v>
      </c>
      <c r="N2398" s="2">
        <v>6500</v>
      </c>
      <c r="O2398" s="2">
        <v>0</v>
      </c>
      <c r="P2398" s="2">
        <v>0</v>
      </c>
      <c r="Q2398" s="2">
        <v>0</v>
      </c>
      <c r="R2398" s="2">
        <v>0</v>
      </c>
      <c r="S2398">
        <v>0</v>
      </c>
      <c r="T2398" s="2">
        <v>0</v>
      </c>
      <c r="U2398" s="2">
        <v>6500</v>
      </c>
      <c r="V2398">
        <v>0</v>
      </c>
      <c r="W2398">
        <v>0</v>
      </c>
      <c r="X2398">
        <v>5.5</v>
      </c>
      <c r="Y2398" t="e">
        <v>#DIV/0!</v>
      </c>
      <c r="Z2398">
        <v>0</v>
      </c>
      <c r="AA2398" t="e">
        <v>#DIV/0!</v>
      </c>
      <c r="AB2398">
        <v>0</v>
      </c>
      <c r="AC2398">
        <v>0</v>
      </c>
      <c r="AD2398">
        <v>20</v>
      </c>
      <c r="AE2398" s="7">
        <v>5.5</v>
      </c>
      <c r="AF2398" s="7"/>
      <c r="AG2398" s="7"/>
      <c r="AH2398" s="7"/>
      <c r="AI2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98" s="7"/>
      <c r="AK2398" t="s">
        <v>1225</v>
      </c>
      <c r="AN2398">
        <f>IFERROR(INT(Table13[[#This Row],[reject_prod]]/Table13[[#This Row],[part_weight]] * 1000), 0)</f>
        <v>0</v>
      </c>
    </row>
    <row r="2399" spans="1:40">
      <c r="A2399" s="1">
        <v>46093</v>
      </c>
      <c r="B2399">
        <v>2</v>
      </c>
      <c r="C2399">
        <v>8</v>
      </c>
      <c r="D2399" t="s">
        <v>1226</v>
      </c>
      <c r="E2399" t="s">
        <v>41</v>
      </c>
      <c r="F2399">
        <v>593537</v>
      </c>
      <c r="G2399" s="6">
        <v>0</v>
      </c>
      <c r="H2399" t="s">
        <v>48</v>
      </c>
      <c r="I2399">
        <v>10688068</v>
      </c>
      <c r="J2399">
        <v>4</v>
      </c>
      <c r="K2399">
        <v>56.5</v>
      </c>
      <c r="L2399">
        <v>56.8</v>
      </c>
      <c r="M2399">
        <v>1380</v>
      </c>
      <c r="N2399" s="2">
        <v>69000</v>
      </c>
      <c r="O2399" s="2">
        <v>230</v>
      </c>
      <c r="P2399" s="2">
        <v>0</v>
      </c>
      <c r="Q2399" s="2">
        <v>5520</v>
      </c>
      <c r="R2399" s="2">
        <v>5750</v>
      </c>
      <c r="S2399">
        <v>326.60000000000002</v>
      </c>
      <c r="T2399" s="2">
        <v>24150</v>
      </c>
      <c r="U2399" s="2">
        <v>44850</v>
      </c>
      <c r="V2399">
        <v>313.536</v>
      </c>
      <c r="W2399">
        <v>-1.6559999999999999</v>
      </c>
      <c r="X2399">
        <v>0</v>
      </c>
      <c r="Y2399">
        <v>0</v>
      </c>
      <c r="Z2399">
        <v>0.5</v>
      </c>
      <c r="AA2399">
        <v>1.594713E-3</v>
      </c>
      <c r="AB2399">
        <v>30.57</v>
      </c>
      <c r="AC2399">
        <v>11.718500000000001</v>
      </c>
      <c r="AD2399">
        <v>28.5</v>
      </c>
      <c r="AE2399" s="7"/>
      <c r="AF2399" s="7"/>
      <c r="AG2399" s="7"/>
      <c r="AH2399" s="7"/>
      <c r="AI2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0.28149999999999942</v>
      </c>
      <c r="AJ2399" s="7"/>
      <c r="AK2399" t="s">
        <v>1206</v>
      </c>
      <c r="AN2399">
        <f>IFERROR(INT(Table13[[#This Row],[reject_prod]]/Table13[[#This Row],[part_weight]] * 1000), 0)</f>
        <v>8</v>
      </c>
    </row>
    <row r="2400" spans="1:40">
      <c r="A2400" s="1">
        <v>46093</v>
      </c>
      <c r="B2400">
        <v>2</v>
      </c>
      <c r="C2400">
        <v>9</v>
      </c>
      <c r="D2400" t="s">
        <v>124</v>
      </c>
      <c r="E2400" t="s">
        <v>46</v>
      </c>
      <c r="F2400">
        <v>586276</v>
      </c>
      <c r="G2400" s="6">
        <v>1</v>
      </c>
      <c r="H2400" t="s">
        <v>47</v>
      </c>
      <c r="I2400">
        <v>10689111</v>
      </c>
      <c r="J2400">
        <v>6</v>
      </c>
      <c r="K2400">
        <v>12.3</v>
      </c>
      <c r="L2400">
        <v>12.3</v>
      </c>
      <c r="M2400">
        <v>1565</v>
      </c>
      <c r="N2400" s="2">
        <v>162000</v>
      </c>
      <c r="O2400" s="2">
        <v>1620</v>
      </c>
      <c r="P2400" s="2">
        <v>2835</v>
      </c>
      <c r="Q2400" s="2">
        <v>9390</v>
      </c>
      <c r="R2400" s="2">
        <v>8100</v>
      </c>
      <c r="S2400">
        <v>99.63</v>
      </c>
      <c r="T2400" s="2">
        <v>67635</v>
      </c>
      <c r="U2400" s="2">
        <v>94365</v>
      </c>
      <c r="V2400">
        <v>115.497</v>
      </c>
      <c r="W2400">
        <v>0</v>
      </c>
      <c r="X2400">
        <v>0</v>
      </c>
      <c r="Y2400">
        <v>0</v>
      </c>
      <c r="Z2400">
        <v>4</v>
      </c>
      <c r="AA2400">
        <v>3.4632933999999997E-2</v>
      </c>
      <c r="AB2400">
        <v>26.6</v>
      </c>
      <c r="AC2400">
        <v>11.56361111</v>
      </c>
      <c r="AD2400">
        <v>26</v>
      </c>
      <c r="AE2400" s="7"/>
      <c r="AF2400" s="7"/>
      <c r="AG2400" s="7"/>
      <c r="AH2400" s="7"/>
      <c r="AI2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0.43638888999999992</v>
      </c>
      <c r="AJ2400" s="7"/>
      <c r="AK2400" t="s">
        <v>57</v>
      </c>
      <c r="AN2400">
        <f>IFERROR(INT(Table13[[#This Row],[reject_prod]]/Table13[[#This Row],[part_weight]] * 1000), 0)</f>
        <v>325</v>
      </c>
    </row>
    <row r="2401" spans="1:40">
      <c r="A2401" s="1">
        <v>46093</v>
      </c>
      <c r="B2401">
        <v>2</v>
      </c>
      <c r="C2401">
        <v>10</v>
      </c>
      <c r="D2401" t="s">
        <v>289</v>
      </c>
      <c r="E2401" t="s">
        <v>34</v>
      </c>
      <c r="F2401">
        <v>414439</v>
      </c>
      <c r="G2401" s="6">
        <v>0</v>
      </c>
      <c r="H2401" t="s">
        <v>587</v>
      </c>
      <c r="I2401">
        <v>10688521</v>
      </c>
      <c r="J2401">
        <v>6</v>
      </c>
      <c r="K2401">
        <v>57</v>
      </c>
      <c r="L2401">
        <v>15</v>
      </c>
      <c r="M2401">
        <v>1750</v>
      </c>
      <c r="N2401" s="2">
        <v>206976</v>
      </c>
      <c r="O2401" s="2">
        <v>1232</v>
      </c>
      <c r="P2401" s="2">
        <v>4312</v>
      </c>
      <c r="Q2401" s="2">
        <v>10500</v>
      </c>
      <c r="R2401" s="2">
        <v>7392</v>
      </c>
      <c r="S2401">
        <v>110.88</v>
      </c>
      <c r="T2401" s="2">
        <v>159544</v>
      </c>
      <c r="U2401" s="2">
        <v>47432</v>
      </c>
      <c r="V2401">
        <v>157.5</v>
      </c>
      <c r="W2401">
        <v>0</v>
      </c>
      <c r="X2401">
        <v>0</v>
      </c>
      <c r="Y2401">
        <v>0</v>
      </c>
      <c r="Z2401">
        <v>8.1999999999999993</v>
      </c>
      <c r="AA2401">
        <v>5.2063492000000003E-2</v>
      </c>
      <c r="AB2401">
        <v>23.7</v>
      </c>
      <c r="AC2401">
        <v>11.52083333</v>
      </c>
      <c r="AD2401">
        <v>15</v>
      </c>
      <c r="AE2401" s="7"/>
      <c r="AF2401" s="7"/>
      <c r="AG2401" s="7"/>
      <c r="AH2401" s="7"/>
      <c r="AI2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0.47916666999999968</v>
      </c>
      <c r="AJ2401" s="7"/>
      <c r="AK2401" t="s">
        <v>1227</v>
      </c>
      <c r="AN2401">
        <f>IFERROR(INT(Table13[[#This Row],[reject_prod]]/Table13[[#This Row],[part_weight]] * 1000), 0)</f>
        <v>546</v>
      </c>
    </row>
    <row r="2402" spans="1:40">
      <c r="A2402" s="1">
        <v>46093</v>
      </c>
      <c r="B2402">
        <v>2</v>
      </c>
      <c r="C2402">
        <v>11</v>
      </c>
      <c r="D2402" t="s">
        <v>59</v>
      </c>
      <c r="E2402" t="s">
        <v>46</v>
      </c>
      <c r="F2402">
        <v>552181</v>
      </c>
      <c r="G2402" s="6">
        <v>1</v>
      </c>
      <c r="H2402" t="s">
        <v>49</v>
      </c>
      <c r="I2402">
        <v>10688069</v>
      </c>
      <c r="J2402">
        <v>6</v>
      </c>
      <c r="K2402">
        <v>14.7</v>
      </c>
      <c r="L2402">
        <v>14.7</v>
      </c>
      <c r="M2402">
        <v>45</v>
      </c>
      <c r="N2402" s="2">
        <v>108000</v>
      </c>
      <c r="O2402" s="2">
        <v>5130</v>
      </c>
      <c r="P2402" s="2">
        <v>0</v>
      </c>
      <c r="Q2402" s="2">
        <v>270</v>
      </c>
      <c r="R2402" s="2">
        <v>5400</v>
      </c>
      <c r="S2402">
        <v>79.38</v>
      </c>
      <c r="T2402" s="2">
        <v>108000</v>
      </c>
      <c r="U2402" s="2">
        <v>0</v>
      </c>
      <c r="V2402">
        <v>3.9689999999999999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28.46</v>
      </c>
      <c r="AC2402">
        <v>0.35575000000000001</v>
      </c>
      <c r="AD2402">
        <v>27</v>
      </c>
      <c r="AE2402" s="7"/>
      <c r="AF2402" s="7"/>
      <c r="AG2402" s="7"/>
      <c r="AH2402" s="7"/>
      <c r="AI2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11.64425</v>
      </c>
      <c r="AJ2402" s="7"/>
      <c r="AK2402" t="s">
        <v>102</v>
      </c>
      <c r="AN2402">
        <f>IFERROR(INT(Table13[[#This Row],[reject_prod]]/Table13[[#This Row],[part_weight]] * 1000), 0)</f>
        <v>0</v>
      </c>
    </row>
    <row r="2403" spans="1:40">
      <c r="A2403" s="1">
        <v>46093</v>
      </c>
      <c r="B2403">
        <v>2</v>
      </c>
      <c r="C2403">
        <v>11</v>
      </c>
      <c r="D2403" t="s">
        <v>59</v>
      </c>
      <c r="E2403" t="s">
        <v>46</v>
      </c>
      <c r="F2403">
        <v>552181</v>
      </c>
      <c r="G2403" s="6">
        <v>1</v>
      </c>
      <c r="H2403" t="s">
        <v>49</v>
      </c>
      <c r="I2403">
        <v>10688070</v>
      </c>
      <c r="J2403">
        <v>6</v>
      </c>
      <c r="K2403">
        <v>14.7</v>
      </c>
      <c r="L2403">
        <v>14.7</v>
      </c>
      <c r="M2403">
        <v>1440</v>
      </c>
      <c r="N2403" s="2">
        <v>108000</v>
      </c>
      <c r="O2403" s="2">
        <v>0</v>
      </c>
      <c r="P2403" s="2">
        <v>3240</v>
      </c>
      <c r="Q2403" s="2">
        <v>8640</v>
      </c>
      <c r="R2403" s="2">
        <v>5400</v>
      </c>
      <c r="S2403">
        <v>79.38</v>
      </c>
      <c r="T2403" s="2">
        <v>8640</v>
      </c>
      <c r="U2403" s="2">
        <v>99360</v>
      </c>
      <c r="V2403">
        <v>127.008</v>
      </c>
      <c r="W2403">
        <v>0</v>
      </c>
      <c r="X2403">
        <v>0</v>
      </c>
      <c r="Y2403">
        <v>0</v>
      </c>
      <c r="Z2403">
        <v>1</v>
      </c>
      <c r="AA2403">
        <v>7.8735200000000002E-3</v>
      </c>
      <c r="AB2403">
        <v>28.46</v>
      </c>
      <c r="AC2403">
        <v>11.384</v>
      </c>
      <c r="AD2403">
        <v>27</v>
      </c>
      <c r="AE2403" s="7"/>
      <c r="AF2403" s="7"/>
      <c r="AG2403" s="7"/>
      <c r="AH2403" s="7"/>
      <c r="AI2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0.61599999999999966</v>
      </c>
      <c r="AJ2403" s="7"/>
      <c r="AK2403" t="s">
        <v>51</v>
      </c>
      <c r="AN2403">
        <f>IFERROR(INT(Table13[[#This Row],[reject_prod]]/Table13[[#This Row],[part_weight]] * 1000), 0)</f>
        <v>68</v>
      </c>
    </row>
    <row r="2404" spans="1:40">
      <c r="A2404" s="1">
        <v>46093</v>
      </c>
      <c r="B2404">
        <v>2</v>
      </c>
      <c r="C2404">
        <v>12</v>
      </c>
      <c r="D2404" t="s">
        <v>139</v>
      </c>
      <c r="E2404" t="s">
        <v>46</v>
      </c>
      <c r="F2404">
        <v>555979</v>
      </c>
      <c r="G2404" s="6">
        <v>1</v>
      </c>
      <c r="H2404" t="s">
        <v>52</v>
      </c>
      <c r="I2404">
        <v>10689126</v>
      </c>
      <c r="J2404">
        <v>6</v>
      </c>
      <c r="K2404">
        <v>28</v>
      </c>
      <c r="L2404">
        <v>28</v>
      </c>
      <c r="M2404">
        <v>1010</v>
      </c>
      <c r="N2404" s="2">
        <v>100800</v>
      </c>
      <c r="O2404" s="2">
        <v>2688</v>
      </c>
      <c r="P2404" s="2">
        <v>5376</v>
      </c>
      <c r="Q2404" s="2">
        <v>6060</v>
      </c>
      <c r="R2404" s="2">
        <v>3360</v>
      </c>
      <c r="S2404">
        <v>94.08</v>
      </c>
      <c r="T2404" s="2">
        <v>18816</v>
      </c>
      <c r="U2404" s="2">
        <v>81984</v>
      </c>
      <c r="V2404">
        <v>169.68</v>
      </c>
      <c r="W2404">
        <v>0</v>
      </c>
      <c r="X2404">
        <v>0</v>
      </c>
      <c r="Y2404">
        <v>0</v>
      </c>
      <c r="Z2404">
        <v>6.6</v>
      </c>
      <c r="AA2404">
        <v>3.8896747000000002E-2</v>
      </c>
      <c r="AB2404">
        <v>41.2</v>
      </c>
      <c r="AC2404">
        <v>11.55888889</v>
      </c>
      <c r="AD2404">
        <v>42</v>
      </c>
      <c r="AE2404" s="7"/>
      <c r="AF2404" s="7"/>
      <c r="AG2404" s="7"/>
      <c r="AH2404" s="7"/>
      <c r="AI24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0.44111110999999958</v>
      </c>
      <c r="AJ2404" s="7"/>
      <c r="AK2404" t="s">
        <v>1228</v>
      </c>
      <c r="AN2404">
        <f>IFERROR(INT(Table13[[#This Row],[reject_prod]]/Table13[[#This Row],[part_weight]] * 1000), 0)</f>
        <v>235</v>
      </c>
    </row>
    <row r="2405" spans="1:40">
      <c r="A2405" s="1">
        <v>46093</v>
      </c>
      <c r="B2405">
        <v>2</v>
      </c>
      <c r="C2405">
        <v>13</v>
      </c>
      <c r="D2405" t="s">
        <v>59</v>
      </c>
      <c r="E2405" t="s">
        <v>46</v>
      </c>
      <c r="F2405">
        <v>586276</v>
      </c>
      <c r="G2405" s="6">
        <v>2</v>
      </c>
      <c r="H2405" t="s">
        <v>47</v>
      </c>
      <c r="I2405">
        <v>10689118</v>
      </c>
      <c r="J2405">
        <v>6</v>
      </c>
      <c r="K2405">
        <v>12.3</v>
      </c>
      <c r="L2405">
        <v>12.3</v>
      </c>
      <c r="M2405">
        <v>1620</v>
      </c>
      <c r="N2405" s="2">
        <v>162000</v>
      </c>
      <c r="O2405" s="2">
        <v>1620</v>
      </c>
      <c r="P2405" s="2">
        <v>3240</v>
      </c>
      <c r="Q2405" s="2">
        <v>9720</v>
      </c>
      <c r="R2405" s="2">
        <v>8100</v>
      </c>
      <c r="S2405">
        <v>99.63</v>
      </c>
      <c r="T2405" s="2">
        <v>35640</v>
      </c>
      <c r="U2405" s="2">
        <v>126360</v>
      </c>
      <c r="V2405">
        <v>119.556</v>
      </c>
      <c r="W2405">
        <v>0</v>
      </c>
      <c r="X2405">
        <v>0</v>
      </c>
      <c r="Y2405">
        <v>0</v>
      </c>
      <c r="Z2405">
        <v>1</v>
      </c>
      <c r="AA2405">
        <v>8.3642809999999995E-3</v>
      </c>
      <c r="AB2405">
        <v>26.2</v>
      </c>
      <c r="AC2405">
        <v>11.79</v>
      </c>
      <c r="AD2405">
        <v>26</v>
      </c>
      <c r="AE2405" s="7"/>
      <c r="AF2405" s="7"/>
      <c r="AG2405" s="7"/>
      <c r="AH2405" s="7"/>
      <c r="AI2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405" s="7"/>
      <c r="AK2405" t="s">
        <v>51</v>
      </c>
      <c r="AN2405">
        <f>IFERROR(INT(Table13[[#This Row],[reject_prod]]/Table13[[#This Row],[part_weight]] * 1000), 0)</f>
        <v>81</v>
      </c>
    </row>
    <row r="2406" spans="1:40">
      <c r="A2406" s="1">
        <v>46093</v>
      </c>
      <c r="B2406">
        <v>2</v>
      </c>
      <c r="C2406">
        <v>14</v>
      </c>
      <c r="D2406" t="s">
        <v>33</v>
      </c>
      <c r="E2406" t="s">
        <v>34</v>
      </c>
      <c r="F2406">
        <v>541381</v>
      </c>
      <c r="G2406" s="6">
        <v>0</v>
      </c>
      <c r="H2406" t="s">
        <v>804</v>
      </c>
      <c r="I2406">
        <v>10688073</v>
      </c>
      <c r="J2406">
        <v>4</v>
      </c>
      <c r="K2406">
        <v>55</v>
      </c>
      <c r="L2406">
        <v>55</v>
      </c>
      <c r="M2406">
        <v>175</v>
      </c>
      <c r="N2406" s="2">
        <v>84000</v>
      </c>
      <c r="O2406" s="2">
        <v>0</v>
      </c>
      <c r="P2406" s="2">
        <v>0</v>
      </c>
      <c r="Q2406" s="2">
        <v>700</v>
      </c>
      <c r="R2406" s="2">
        <v>700</v>
      </c>
      <c r="S2406">
        <v>38.5</v>
      </c>
      <c r="T2406" s="2">
        <v>63000</v>
      </c>
      <c r="U2406" s="2">
        <v>21000</v>
      </c>
      <c r="V2406">
        <v>38.5</v>
      </c>
      <c r="W2406">
        <v>0</v>
      </c>
      <c r="X2406">
        <v>22</v>
      </c>
      <c r="Y2406">
        <v>0.571428571</v>
      </c>
      <c r="Z2406">
        <v>0.8</v>
      </c>
      <c r="AA2406">
        <v>2.0779221E-2</v>
      </c>
      <c r="AB2406">
        <v>26.78</v>
      </c>
      <c r="AC2406">
        <v>1.3018055559999999</v>
      </c>
      <c r="AD2406">
        <v>30.08</v>
      </c>
      <c r="AE2406" s="7"/>
      <c r="AF2406" s="7"/>
      <c r="AG2406" s="7"/>
      <c r="AH2406" s="7"/>
      <c r="AI2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10.698194444</v>
      </c>
      <c r="AJ2406" s="7"/>
      <c r="AK2406" t="s">
        <v>1229</v>
      </c>
      <c r="AN2406">
        <f>IFERROR(INT(Table13[[#This Row],[reject_prod]]/Table13[[#This Row],[part_weight]] * 1000), 0)</f>
        <v>14</v>
      </c>
    </row>
    <row r="2407" spans="1:40">
      <c r="A2407" s="1">
        <v>46093</v>
      </c>
      <c r="B2407">
        <v>2</v>
      </c>
      <c r="C2407">
        <v>15</v>
      </c>
      <c r="D2407" t="s">
        <v>59</v>
      </c>
      <c r="E2407" t="s">
        <v>46</v>
      </c>
      <c r="F2407">
        <v>552181</v>
      </c>
      <c r="G2407" s="6">
        <v>2</v>
      </c>
      <c r="H2407" t="s">
        <v>49</v>
      </c>
      <c r="I2407">
        <v>10689122</v>
      </c>
      <c r="J2407">
        <v>6</v>
      </c>
      <c r="K2407">
        <v>14.7</v>
      </c>
      <c r="L2407">
        <v>14.7</v>
      </c>
      <c r="M2407">
        <v>1430</v>
      </c>
      <c r="N2407" s="2">
        <v>108000</v>
      </c>
      <c r="O2407" s="2">
        <v>1620</v>
      </c>
      <c r="P2407" s="2">
        <v>4860</v>
      </c>
      <c r="Q2407" s="2">
        <v>8580</v>
      </c>
      <c r="R2407" s="2">
        <v>5400</v>
      </c>
      <c r="S2407">
        <v>79.38</v>
      </c>
      <c r="T2407" s="2">
        <v>37260</v>
      </c>
      <c r="U2407" s="2">
        <v>70740</v>
      </c>
      <c r="V2407">
        <v>126.126</v>
      </c>
      <c r="W2407">
        <v>0</v>
      </c>
      <c r="X2407">
        <v>0</v>
      </c>
      <c r="Y2407">
        <v>0</v>
      </c>
      <c r="Z2407">
        <v>0.4</v>
      </c>
      <c r="AA2407">
        <v>3.1714320000000001E-3</v>
      </c>
      <c r="AB2407">
        <v>30.5</v>
      </c>
      <c r="AC2407">
        <v>12</v>
      </c>
      <c r="AD2407">
        <v>27</v>
      </c>
      <c r="AE2407" s="7"/>
      <c r="AF2407" s="7"/>
      <c r="AG2407" s="7"/>
      <c r="AH2407" s="7"/>
      <c r="AI2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07" s="7"/>
      <c r="AK2407" t="s">
        <v>51</v>
      </c>
      <c r="AN2407">
        <f>IFERROR(INT(Table13[[#This Row],[reject_prod]]/Table13[[#This Row],[part_weight]] * 1000), 0)</f>
        <v>27</v>
      </c>
    </row>
    <row r="2408" spans="1:40">
      <c r="A2408" s="1">
        <v>46093</v>
      </c>
      <c r="B2408">
        <v>2</v>
      </c>
      <c r="C2408">
        <v>16</v>
      </c>
      <c r="D2408" t="s">
        <v>1010</v>
      </c>
      <c r="E2408" t="s">
        <v>46</v>
      </c>
      <c r="F2408">
        <v>555979</v>
      </c>
      <c r="G2408" s="6">
        <v>2</v>
      </c>
      <c r="H2408" t="s">
        <v>52</v>
      </c>
      <c r="I2408">
        <v>10688074</v>
      </c>
      <c r="J2408">
        <v>6</v>
      </c>
      <c r="K2408">
        <v>28</v>
      </c>
      <c r="L2408">
        <v>28</v>
      </c>
      <c r="M2408">
        <v>1045</v>
      </c>
      <c r="N2408" s="2">
        <v>100800</v>
      </c>
      <c r="O2408" s="2">
        <v>2016</v>
      </c>
      <c r="P2408" s="2">
        <v>1512</v>
      </c>
      <c r="Q2408" s="2">
        <v>6270</v>
      </c>
      <c r="R2408" s="2">
        <v>6720</v>
      </c>
      <c r="S2408">
        <v>188.16</v>
      </c>
      <c r="T2408" s="2">
        <v>61992</v>
      </c>
      <c r="U2408" s="2">
        <v>38808</v>
      </c>
      <c r="V2408">
        <v>175.56</v>
      </c>
      <c r="W2408">
        <v>0</v>
      </c>
      <c r="X2408">
        <v>0</v>
      </c>
      <c r="Y2408">
        <v>0</v>
      </c>
      <c r="Z2408">
        <v>1</v>
      </c>
      <c r="AA2408">
        <v>5.6960580000000004E-3</v>
      </c>
      <c r="AB2408">
        <v>40.5</v>
      </c>
      <c r="AC2408">
        <v>11.75625</v>
      </c>
      <c r="AD2408">
        <v>42</v>
      </c>
      <c r="AE2408" s="7"/>
      <c r="AF2408" s="7"/>
      <c r="AG2408" s="7"/>
      <c r="AH2408" s="7"/>
      <c r="AI2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0.24375000000000036</v>
      </c>
      <c r="AJ2408" s="7"/>
      <c r="AK2408" t="s">
        <v>51</v>
      </c>
      <c r="AN2408">
        <f>IFERROR(INT(Table13[[#This Row],[reject_prod]]/Table13[[#This Row],[part_weight]] * 1000), 0)</f>
        <v>35</v>
      </c>
    </row>
    <row r="2409" spans="1:40">
      <c r="A2409" s="1">
        <v>46094</v>
      </c>
      <c r="B2409">
        <v>1</v>
      </c>
      <c r="C2409">
        <v>1</v>
      </c>
      <c r="D2409" t="s">
        <v>110</v>
      </c>
      <c r="E2409" t="s">
        <v>34</v>
      </c>
      <c r="F2409">
        <v>347623</v>
      </c>
      <c r="G2409" s="6">
        <v>0</v>
      </c>
      <c r="H2409" t="s">
        <v>35</v>
      </c>
      <c r="I2409">
        <v>10689833</v>
      </c>
      <c r="J2409">
        <v>4</v>
      </c>
      <c r="K2409">
        <v>35.6</v>
      </c>
      <c r="L2409">
        <v>35.6</v>
      </c>
      <c r="M2409">
        <v>1332</v>
      </c>
      <c r="N2409" s="2">
        <v>40480</v>
      </c>
      <c r="O2409" s="2">
        <v>0</v>
      </c>
      <c r="P2409" s="2">
        <v>1472</v>
      </c>
      <c r="Q2409" s="2">
        <v>5328</v>
      </c>
      <c r="R2409" s="2">
        <v>3680</v>
      </c>
      <c r="S2409">
        <v>131.00800000000001</v>
      </c>
      <c r="T2409" s="2">
        <v>5152</v>
      </c>
      <c r="U2409" s="2">
        <v>35328</v>
      </c>
      <c r="V2409">
        <v>189.67679999999999</v>
      </c>
      <c r="W2409">
        <v>0</v>
      </c>
      <c r="X2409">
        <v>5</v>
      </c>
      <c r="Y2409">
        <v>2.6360629999999999E-2</v>
      </c>
      <c r="Z2409">
        <v>1.5</v>
      </c>
      <c r="AA2409">
        <v>7.9081889999999995E-3</v>
      </c>
      <c r="AB2409">
        <v>25.5</v>
      </c>
      <c r="AC2409">
        <v>9.4350000000000005</v>
      </c>
      <c r="AD2409">
        <v>27</v>
      </c>
      <c r="AE2409" s="7"/>
      <c r="AF2409" s="7"/>
      <c r="AG2409" s="7"/>
      <c r="AH2409" s="7"/>
      <c r="AI2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2.5649999999999995</v>
      </c>
      <c r="AJ2409" s="7"/>
      <c r="AK2409" t="s">
        <v>1230</v>
      </c>
      <c r="AL2409">
        <v>8</v>
      </c>
      <c r="AM2409">
        <v>1</v>
      </c>
      <c r="AN2409">
        <f>IFERROR(INT(Table13[[#This Row],[reject_prod]]/Table13[[#This Row],[part_weight]] * 1000), 0)</f>
        <v>42</v>
      </c>
    </row>
    <row r="2410" spans="1:40">
      <c r="A2410" s="1">
        <v>46094</v>
      </c>
      <c r="B2410">
        <v>1</v>
      </c>
      <c r="C2410">
        <v>2</v>
      </c>
      <c r="D2410" t="s">
        <v>1231</v>
      </c>
      <c r="E2410" t="s">
        <v>34</v>
      </c>
      <c r="F2410">
        <v>340460</v>
      </c>
      <c r="G2410" s="6">
        <v>0</v>
      </c>
      <c r="H2410" t="s">
        <v>1177</v>
      </c>
      <c r="I2410">
        <v>10688494</v>
      </c>
      <c r="J2410">
        <v>4</v>
      </c>
      <c r="K2410">
        <v>15.05</v>
      </c>
      <c r="L2410">
        <v>15.05</v>
      </c>
      <c r="M2410">
        <v>1045</v>
      </c>
      <c r="N2410" s="2">
        <v>20300</v>
      </c>
      <c r="O2410" s="2">
        <v>2320</v>
      </c>
      <c r="P2410" s="2">
        <v>0</v>
      </c>
      <c r="Q2410" s="2">
        <v>4180</v>
      </c>
      <c r="R2410" s="2">
        <v>6380</v>
      </c>
      <c r="S2410">
        <v>96.019000000000005</v>
      </c>
      <c r="T2410" s="2">
        <v>20300</v>
      </c>
      <c r="U2410" s="2">
        <v>0</v>
      </c>
      <c r="V2410">
        <v>62.908999999999999</v>
      </c>
      <c r="W2410">
        <v>0</v>
      </c>
      <c r="X2410">
        <v>0</v>
      </c>
      <c r="Y2410">
        <v>0</v>
      </c>
      <c r="Z2410">
        <v>1.8</v>
      </c>
      <c r="AA2410">
        <v>2.8612757999999999E-2</v>
      </c>
      <c r="AB2410">
        <v>21.2</v>
      </c>
      <c r="AC2410">
        <v>6.1538888890000001</v>
      </c>
      <c r="AD2410">
        <v>20</v>
      </c>
      <c r="AE2410" s="7"/>
      <c r="AF2410" s="7"/>
      <c r="AG2410" s="7"/>
      <c r="AH2410" s="7"/>
      <c r="AI2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5.8461111109999999</v>
      </c>
      <c r="AJ2410" s="7"/>
      <c r="AK2410" t="s">
        <v>1232</v>
      </c>
      <c r="AN2410">
        <f>IFERROR(INT(Table13[[#This Row],[reject_prod]]/Table13[[#This Row],[part_weight]] * 1000), 0)</f>
        <v>119</v>
      </c>
    </row>
    <row r="2411" spans="1:40">
      <c r="A2411" s="1">
        <v>46094</v>
      </c>
      <c r="B2411">
        <v>1</v>
      </c>
      <c r="C2411">
        <v>2</v>
      </c>
      <c r="D2411" t="s">
        <v>33</v>
      </c>
      <c r="E2411" t="s">
        <v>34</v>
      </c>
      <c r="F2411">
        <v>324163</v>
      </c>
      <c r="G2411" s="6">
        <v>0</v>
      </c>
      <c r="H2411" t="s">
        <v>672</v>
      </c>
      <c r="I2411">
        <v>10688495</v>
      </c>
      <c r="J2411">
        <v>4</v>
      </c>
      <c r="K2411">
        <v>24</v>
      </c>
      <c r="L2411">
        <v>23.5</v>
      </c>
      <c r="M2411">
        <v>0</v>
      </c>
      <c r="N2411" s="2">
        <v>73152</v>
      </c>
      <c r="O2411" s="2">
        <v>0</v>
      </c>
      <c r="P2411" s="2">
        <v>0</v>
      </c>
      <c r="Q2411" s="2">
        <v>0</v>
      </c>
      <c r="R2411" s="2">
        <v>0</v>
      </c>
      <c r="S2411">
        <v>0</v>
      </c>
      <c r="T2411" s="2">
        <v>0</v>
      </c>
      <c r="U2411" s="2">
        <v>73152</v>
      </c>
      <c r="V2411">
        <v>0</v>
      </c>
      <c r="W2411">
        <v>0</v>
      </c>
      <c r="X2411">
        <v>0</v>
      </c>
      <c r="Y2411" t="e">
        <v>#DIV/0!</v>
      </c>
      <c r="Z2411">
        <v>0</v>
      </c>
      <c r="AA2411" t="e">
        <v>#DIV/0!</v>
      </c>
      <c r="AB2411">
        <v>0</v>
      </c>
      <c r="AC2411">
        <v>0</v>
      </c>
      <c r="AD2411">
        <v>22.5</v>
      </c>
      <c r="AE2411" s="7">
        <v>5.8</v>
      </c>
      <c r="AF2411" s="7"/>
      <c r="AG2411" s="7"/>
      <c r="AH2411" s="7"/>
      <c r="AI2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</v>
      </c>
      <c r="AJ2411" s="7"/>
      <c r="AK2411" t="s">
        <v>1233</v>
      </c>
      <c r="AN2411">
        <f>IFERROR(INT(Table13[[#This Row],[reject_prod]]/Table13[[#This Row],[part_weight]] * 1000), 0)</f>
        <v>0</v>
      </c>
    </row>
    <row r="2412" spans="1:40">
      <c r="A2412" s="1">
        <v>46094</v>
      </c>
      <c r="B2412">
        <v>1</v>
      </c>
      <c r="C2412">
        <v>3</v>
      </c>
      <c r="D2412" t="s">
        <v>33</v>
      </c>
      <c r="E2412" t="s">
        <v>34</v>
      </c>
      <c r="F2412">
        <v>442034</v>
      </c>
      <c r="G2412" s="6">
        <v>0</v>
      </c>
      <c r="H2412" t="s">
        <v>37</v>
      </c>
      <c r="I2412">
        <v>10685635</v>
      </c>
      <c r="J2412">
        <v>4</v>
      </c>
      <c r="K2412">
        <v>23</v>
      </c>
      <c r="L2412">
        <v>23</v>
      </c>
      <c r="M2412">
        <v>0</v>
      </c>
      <c r="N2412" s="2">
        <v>139776</v>
      </c>
      <c r="O2412" s="2">
        <v>2688</v>
      </c>
      <c r="P2412" s="2">
        <v>2688</v>
      </c>
      <c r="Q2412" s="2">
        <v>0</v>
      </c>
      <c r="R2412" s="2">
        <v>0</v>
      </c>
      <c r="S2412">
        <v>0</v>
      </c>
      <c r="T2412" s="2">
        <v>85632</v>
      </c>
      <c r="U2412" s="2">
        <v>54144</v>
      </c>
      <c r="V2412">
        <v>0</v>
      </c>
      <c r="W2412">
        <v>0</v>
      </c>
      <c r="X2412">
        <v>2.8</v>
      </c>
      <c r="Y2412" t="e">
        <v>#DIV/0!</v>
      </c>
      <c r="Z2412">
        <v>0</v>
      </c>
      <c r="AA2412" t="e">
        <v>#DIV/0!</v>
      </c>
      <c r="AB2412">
        <v>26.1</v>
      </c>
      <c r="AC2412">
        <v>0</v>
      </c>
      <c r="AD2412">
        <v>22</v>
      </c>
      <c r="AE2412" s="7"/>
      <c r="AF2412" s="7"/>
      <c r="AG2412" s="7"/>
      <c r="AH2412" s="7"/>
      <c r="AI2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12" s="7"/>
      <c r="AK2412" t="s">
        <v>1234</v>
      </c>
      <c r="AL2412">
        <v>7</v>
      </c>
      <c r="AM2412">
        <v>3</v>
      </c>
      <c r="AN2412">
        <f>IFERROR(INT(Table13[[#This Row],[reject_prod]]/Table13[[#This Row],[part_weight]] * 1000), 0)</f>
        <v>0</v>
      </c>
    </row>
    <row r="2413" spans="1:40">
      <c r="A2413" s="1">
        <v>46094</v>
      </c>
      <c r="B2413">
        <v>1</v>
      </c>
      <c r="C2413">
        <v>4</v>
      </c>
      <c r="D2413" t="s">
        <v>152</v>
      </c>
      <c r="E2413" t="s">
        <v>34</v>
      </c>
      <c r="F2413">
        <v>426555</v>
      </c>
      <c r="G2413" s="6">
        <v>0</v>
      </c>
      <c r="H2413" t="s">
        <v>1128</v>
      </c>
      <c r="I2413">
        <v>10688066</v>
      </c>
      <c r="J2413">
        <v>4</v>
      </c>
      <c r="K2413">
        <v>29</v>
      </c>
      <c r="L2413">
        <v>29</v>
      </c>
      <c r="M2413">
        <v>1761</v>
      </c>
      <c r="N2413" s="2">
        <v>81600</v>
      </c>
      <c r="O2413" s="2">
        <v>510</v>
      </c>
      <c r="P2413" s="2">
        <v>340</v>
      </c>
      <c r="Q2413" s="2">
        <v>7044</v>
      </c>
      <c r="R2413" s="2">
        <v>7140</v>
      </c>
      <c r="S2413">
        <v>207.06</v>
      </c>
      <c r="T2413" s="2">
        <v>69700</v>
      </c>
      <c r="U2413" s="2">
        <v>11900</v>
      </c>
      <c r="V2413">
        <v>204.27600000000001</v>
      </c>
      <c r="W2413">
        <v>0</v>
      </c>
      <c r="X2413">
        <v>0</v>
      </c>
      <c r="Y2413">
        <v>0</v>
      </c>
      <c r="Z2413">
        <v>2.1</v>
      </c>
      <c r="AA2413">
        <v>1.0280209E-2</v>
      </c>
      <c r="AB2413">
        <v>24.6</v>
      </c>
      <c r="AC2413">
        <v>12</v>
      </c>
      <c r="AD2413">
        <v>22.72</v>
      </c>
      <c r="AE2413" s="7"/>
      <c r="AF2413" s="7"/>
      <c r="AG2413" s="7"/>
      <c r="AH2413" s="7"/>
      <c r="AI2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3" s="7"/>
      <c r="AK2413" t="s">
        <v>178</v>
      </c>
      <c r="AN2413">
        <f>IFERROR(INT(Table13[[#This Row],[reject_prod]]/Table13[[#This Row],[part_weight]] * 1000), 0)</f>
        <v>72</v>
      </c>
    </row>
    <row r="2414" spans="1:40">
      <c r="A2414" s="1">
        <v>46094</v>
      </c>
      <c r="B2414">
        <v>1</v>
      </c>
      <c r="C2414">
        <v>5</v>
      </c>
      <c r="D2414" t="s">
        <v>554</v>
      </c>
      <c r="E2414" t="s">
        <v>34</v>
      </c>
      <c r="F2414">
        <v>322448</v>
      </c>
      <c r="G2414" s="6">
        <v>0</v>
      </c>
      <c r="H2414" t="s">
        <v>654</v>
      </c>
      <c r="I2414">
        <v>10687753</v>
      </c>
      <c r="J2414">
        <v>4</v>
      </c>
      <c r="K2414">
        <v>40</v>
      </c>
      <c r="L2414">
        <v>40</v>
      </c>
      <c r="M2414">
        <v>1609</v>
      </c>
      <c r="N2414" s="2">
        <v>174960</v>
      </c>
      <c r="O2414" s="2">
        <v>0</v>
      </c>
      <c r="P2414" s="2">
        <v>1458</v>
      </c>
      <c r="Q2414" s="2">
        <v>6436</v>
      </c>
      <c r="R2414" s="2">
        <v>4860</v>
      </c>
      <c r="S2414">
        <v>194.4</v>
      </c>
      <c r="T2414" s="2">
        <v>163458</v>
      </c>
      <c r="U2414" s="2">
        <v>11502</v>
      </c>
      <c r="V2414">
        <v>257.44</v>
      </c>
      <c r="W2414">
        <v>0</v>
      </c>
      <c r="X2414">
        <v>0</v>
      </c>
      <c r="Y2414">
        <v>0</v>
      </c>
      <c r="Z2414">
        <v>4.5</v>
      </c>
      <c r="AA2414">
        <v>1.7479801E-2</v>
      </c>
      <c r="AB2414">
        <v>26.1</v>
      </c>
      <c r="AC2414">
        <v>11.66525</v>
      </c>
      <c r="AD2414">
        <v>23</v>
      </c>
      <c r="AE2414" s="7"/>
      <c r="AF2414" s="7"/>
      <c r="AG2414" s="7"/>
      <c r="AH2414" s="7"/>
      <c r="AI2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0.33474999999999966</v>
      </c>
      <c r="AJ2414" s="7"/>
      <c r="AK2414" t="s">
        <v>1235</v>
      </c>
      <c r="AM2414">
        <v>1</v>
      </c>
      <c r="AN2414">
        <f>IFERROR(INT(Table13[[#This Row],[reject_prod]]/Table13[[#This Row],[part_weight]] * 1000), 0)</f>
        <v>112</v>
      </c>
    </row>
    <row r="2415" spans="1:40">
      <c r="A2415" s="1">
        <v>46094</v>
      </c>
      <c r="B2415">
        <v>1</v>
      </c>
      <c r="C2415">
        <v>6</v>
      </c>
      <c r="D2415" t="s">
        <v>1236</v>
      </c>
      <c r="E2415" t="s">
        <v>34</v>
      </c>
      <c r="F2415">
        <v>322445</v>
      </c>
      <c r="G2415" s="6">
        <v>0</v>
      </c>
      <c r="H2415" t="s">
        <v>743</v>
      </c>
      <c r="I2415">
        <v>10689565</v>
      </c>
      <c r="J2415">
        <v>4</v>
      </c>
      <c r="K2415">
        <v>32.74</v>
      </c>
      <c r="L2415">
        <v>33</v>
      </c>
      <c r="M2415">
        <v>1820</v>
      </c>
      <c r="N2415" s="2">
        <v>72000</v>
      </c>
      <c r="O2415" s="2">
        <v>360</v>
      </c>
      <c r="P2415" s="2">
        <v>360</v>
      </c>
      <c r="Q2415" s="2">
        <v>7280</v>
      </c>
      <c r="R2415" s="2">
        <v>7200</v>
      </c>
      <c r="S2415">
        <v>237.6</v>
      </c>
      <c r="T2415" s="2">
        <v>27900</v>
      </c>
      <c r="U2415" s="2">
        <v>44100</v>
      </c>
      <c r="V2415">
        <v>240.24</v>
      </c>
      <c r="W2415">
        <v>0</v>
      </c>
      <c r="X2415">
        <v>0</v>
      </c>
      <c r="Y2415">
        <v>0</v>
      </c>
      <c r="Z2415">
        <v>2.1</v>
      </c>
      <c r="AA2415">
        <v>8.7412589999999995E-3</v>
      </c>
      <c r="AB2415">
        <v>22</v>
      </c>
      <c r="AC2415">
        <v>11.122222219999999</v>
      </c>
      <c r="AD2415">
        <v>22</v>
      </c>
      <c r="AE2415" s="7"/>
      <c r="AF2415" s="7"/>
      <c r="AG2415" s="7"/>
      <c r="AH2415" s="7"/>
      <c r="AI2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0.87777778000000062</v>
      </c>
      <c r="AJ2415" s="7"/>
      <c r="AK2415" t="s">
        <v>1237</v>
      </c>
      <c r="AL2415">
        <v>1</v>
      </c>
      <c r="AM2415">
        <v>1</v>
      </c>
      <c r="AN2415">
        <f>IFERROR(INT(Table13[[#This Row],[reject_prod]]/Table13[[#This Row],[part_weight]] * 1000), 0)</f>
        <v>63</v>
      </c>
    </row>
    <row r="2416" spans="1:40">
      <c r="A2416" s="1">
        <v>46094</v>
      </c>
      <c r="B2416">
        <v>1</v>
      </c>
      <c r="C2416">
        <v>7</v>
      </c>
      <c r="D2416" t="s">
        <v>143</v>
      </c>
      <c r="E2416" t="s">
        <v>34</v>
      </c>
      <c r="F2416">
        <v>322391</v>
      </c>
      <c r="G2416" s="6">
        <v>0</v>
      </c>
      <c r="H2416" t="s">
        <v>1224</v>
      </c>
      <c r="I2416">
        <v>10690125</v>
      </c>
      <c r="J2416">
        <v>4</v>
      </c>
      <c r="K2416">
        <v>20</v>
      </c>
      <c r="L2416">
        <v>20</v>
      </c>
      <c r="M2416">
        <v>988</v>
      </c>
      <c r="N2416" s="2">
        <v>6500</v>
      </c>
      <c r="O2416" s="2">
        <v>0</v>
      </c>
      <c r="P2416" s="2">
        <v>3250</v>
      </c>
      <c r="Q2416" s="2">
        <v>3952</v>
      </c>
      <c r="R2416" s="2">
        <v>0</v>
      </c>
      <c r="S2416">
        <v>0</v>
      </c>
      <c r="T2416" s="2">
        <v>3250</v>
      </c>
      <c r="U2416" s="2">
        <v>3250</v>
      </c>
      <c r="V2416">
        <v>79.040000000000006</v>
      </c>
      <c r="W2416">
        <v>0</v>
      </c>
      <c r="X2416">
        <v>10</v>
      </c>
      <c r="Y2416">
        <v>0.12651821899999999</v>
      </c>
      <c r="Z2416">
        <v>4</v>
      </c>
      <c r="AA2416">
        <v>5.0607287000000001E-2</v>
      </c>
      <c r="AB2416">
        <v>20.9</v>
      </c>
      <c r="AC2416">
        <v>5.7358888889999999</v>
      </c>
      <c r="AD2416">
        <v>20</v>
      </c>
      <c r="AE2416" s="7"/>
      <c r="AF2416" s="7"/>
      <c r="AG2416" s="7"/>
      <c r="AH2416" s="7"/>
      <c r="AI2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6.2641111110000001</v>
      </c>
      <c r="AJ2416" s="7"/>
      <c r="AK2416" t="s">
        <v>1238</v>
      </c>
      <c r="AL2416">
        <v>8</v>
      </c>
      <c r="AM2416">
        <v>5</v>
      </c>
      <c r="AN2416">
        <f>IFERROR(INT(Table13[[#This Row],[reject_prod]]/Table13[[#This Row],[part_weight]] * 1000), 0)</f>
        <v>200</v>
      </c>
    </row>
    <row r="2417" spans="1:40">
      <c r="A2417" s="1">
        <v>46094</v>
      </c>
      <c r="B2417">
        <v>1</v>
      </c>
      <c r="C2417">
        <v>8</v>
      </c>
      <c r="D2417" t="s">
        <v>1156</v>
      </c>
      <c r="E2417" t="s">
        <v>41</v>
      </c>
      <c r="F2417">
        <v>593537</v>
      </c>
      <c r="G2417" s="6">
        <v>0</v>
      </c>
      <c r="H2417" t="s">
        <v>48</v>
      </c>
      <c r="I2417">
        <v>10688068</v>
      </c>
      <c r="J2417">
        <v>4</v>
      </c>
      <c r="K2417">
        <v>56.5</v>
      </c>
      <c r="L2417">
        <v>56.8</v>
      </c>
      <c r="M2417">
        <v>1357</v>
      </c>
      <c r="N2417" s="2">
        <v>69000</v>
      </c>
      <c r="O2417" s="2">
        <v>0</v>
      </c>
      <c r="P2417" s="2">
        <v>230</v>
      </c>
      <c r="Q2417" s="2">
        <v>5428</v>
      </c>
      <c r="R2417" s="2">
        <v>5175</v>
      </c>
      <c r="S2417">
        <v>293.94</v>
      </c>
      <c r="T2417" s="2">
        <v>29555</v>
      </c>
      <c r="U2417" s="2">
        <v>39445</v>
      </c>
      <c r="V2417">
        <v>308.31040000000002</v>
      </c>
      <c r="W2417">
        <v>0</v>
      </c>
      <c r="X2417">
        <v>0</v>
      </c>
      <c r="Y2417">
        <v>0</v>
      </c>
      <c r="Z2417">
        <v>1</v>
      </c>
      <c r="AA2417">
        <v>3.243484E-3</v>
      </c>
      <c r="AB2417">
        <v>30.6</v>
      </c>
      <c r="AC2417">
        <v>11.5345</v>
      </c>
      <c r="AD2417">
        <v>28.5</v>
      </c>
      <c r="AE2417" s="7"/>
      <c r="AF2417" s="7"/>
      <c r="AG2417" s="7"/>
      <c r="AH2417" s="7"/>
      <c r="AI2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0.46550000000000047</v>
      </c>
      <c r="AJ2417" s="7"/>
      <c r="AK2417" t="s">
        <v>178</v>
      </c>
      <c r="AN2417">
        <f>IFERROR(INT(Table13[[#This Row],[reject_prod]]/Table13[[#This Row],[part_weight]] * 1000), 0)</f>
        <v>17</v>
      </c>
    </row>
    <row r="2418" spans="1:40">
      <c r="A2418" s="1">
        <v>46094</v>
      </c>
      <c r="B2418">
        <v>1</v>
      </c>
      <c r="C2418">
        <v>9</v>
      </c>
      <c r="D2418" t="s">
        <v>141</v>
      </c>
      <c r="E2418" t="s">
        <v>46</v>
      </c>
      <c r="F2418">
        <v>586276</v>
      </c>
      <c r="G2418" s="6">
        <v>1</v>
      </c>
      <c r="H2418" t="s">
        <v>47</v>
      </c>
      <c r="I2418">
        <v>10689111</v>
      </c>
      <c r="J2418">
        <v>6</v>
      </c>
      <c r="K2418">
        <v>12.3</v>
      </c>
      <c r="L2418">
        <v>12.3</v>
      </c>
      <c r="M2418">
        <v>1616</v>
      </c>
      <c r="N2418" s="2">
        <v>162000</v>
      </c>
      <c r="O2418" s="2">
        <v>2835</v>
      </c>
      <c r="P2418" s="2">
        <v>4050</v>
      </c>
      <c r="Q2418" s="2">
        <v>9696</v>
      </c>
      <c r="R2418" s="2">
        <v>8100</v>
      </c>
      <c r="S2418">
        <v>99.63</v>
      </c>
      <c r="T2418" s="2">
        <v>76950</v>
      </c>
      <c r="U2418" s="2">
        <v>85050</v>
      </c>
      <c r="V2418">
        <v>119.2608</v>
      </c>
      <c r="W2418">
        <v>0</v>
      </c>
      <c r="X2418">
        <v>0</v>
      </c>
      <c r="Y2418">
        <v>0</v>
      </c>
      <c r="Z2418">
        <v>4.5</v>
      </c>
      <c r="AA2418">
        <v>3.7732432000000003E-2</v>
      </c>
      <c r="AB2418">
        <v>26.5</v>
      </c>
      <c r="AC2418">
        <v>11.89555556</v>
      </c>
      <c r="AD2418">
        <v>26</v>
      </c>
      <c r="AE2418" s="7"/>
      <c r="AF2418" s="7"/>
      <c r="AG2418" s="7"/>
      <c r="AH2418" s="7"/>
      <c r="AI2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0.10444443999999997</v>
      </c>
      <c r="AJ2418" s="7"/>
      <c r="AK2418" t="s">
        <v>1239</v>
      </c>
      <c r="AL2418">
        <v>1</v>
      </c>
      <c r="AN2418">
        <f>IFERROR(INT(Table13[[#This Row],[reject_prod]]/Table13[[#This Row],[part_weight]] * 1000), 0)</f>
        <v>365</v>
      </c>
    </row>
    <row r="2419" spans="1:40">
      <c r="A2419" s="1">
        <v>46094</v>
      </c>
      <c r="B2419">
        <v>1</v>
      </c>
      <c r="C2419">
        <v>10</v>
      </c>
      <c r="D2419" t="s">
        <v>65</v>
      </c>
      <c r="E2419" t="s">
        <v>34</v>
      </c>
      <c r="F2419">
        <v>414439</v>
      </c>
      <c r="G2419" s="6">
        <v>0</v>
      </c>
      <c r="H2419" t="s">
        <v>587</v>
      </c>
      <c r="I2419">
        <v>10688521</v>
      </c>
      <c r="J2419">
        <v>6</v>
      </c>
      <c r="K2419">
        <v>57</v>
      </c>
      <c r="L2419">
        <v>15</v>
      </c>
      <c r="M2419">
        <v>1828</v>
      </c>
      <c r="N2419" s="2">
        <v>206976</v>
      </c>
      <c r="O2419" s="2">
        <v>4312</v>
      </c>
      <c r="P2419" s="2">
        <v>0</v>
      </c>
      <c r="Q2419" s="2">
        <v>10968</v>
      </c>
      <c r="R2419" s="2">
        <v>14784</v>
      </c>
      <c r="S2419">
        <v>221.76</v>
      </c>
      <c r="T2419" s="2">
        <v>170016</v>
      </c>
      <c r="U2419" s="2">
        <v>36960</v>
      </c>
      <c r="V2419">
        <v>164.52</v>
      </c>
      <c r="W2419">
        <v>0</v>
      </c>
      <c r="X2419">
        <v>0</v>
      </c>
      <c r="Y2419">
        <v>0</v>
      </c>
      <c r="Z2419">
        <v>7.5</v>
      </c>
      <c r="AA2419">
        <v>4.5587163E-2</v>
      </c>
      <c r="AB2419">
        <v>23.7</v>
      </c>
      <c r="AC2419">
        <v>12</v>
      </c>
      <c r="AD2419">
        <v>15</v>
      </c>
      <c r="AE2419" s="7"/>
      <c r="AF2419" s="7"/>
      <c r="AG2419" s="7"/>
      <c r="AH2419" s="7"/>
      <c r="AI2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9" s="7"/>
      <c r="AK2419" t="s">
        <v>75</v>
      </c>
      <c r="AL2419">
        <v>3</v>
      </c>
      <c r="AM2419">
        <v>3</v>
      </c>
      <c r="AN2419">
        <f>IFERROR(INT(Table13[[#This Row],[reject_prod]]/Table13[[#This Row],[part_weight]] * 1000), 0)</f>
        <v>500</v>
      </c>
    </row>
    <row r="2420" spans="1:40">
      <c r="A2420" s="1">
        <v>46094</v>
      </c>
      <c r="B2420">
        <v>1</v>
      </c>
      <c r="C2420">
        <v>11</v>
      </c>
      <c r="D2420" t="s">
        <v>61</v>
      </c>
      <c r="E2420" t="s">
        <v>46</v>
      </c>
      <c r="F2420">
        <v>552181</v>
      </c>
      <c r="G2420" s="6">
        <v>1</v>
      </c>
      <c r="H2420" t="s">
        <v>49</v>
      </c>
      <c r="I2420">
        <v>10688069</v>
      </c>
      <c r="J2420">
        <v>6</v>
      </c>
      <c r="K2420">
        <v>14.7</v>
      </c>
      <c r="L2420">
        <v>14.7</v>
      </c>
      <c r="M2420">
        <v>1425</v>
      </c>
      <c r="N2420" s="2">
        <v>108000</v>
      </c>
      <c r="O2420" s="2">
        <v>3240</v>
      </c>
      <c r="P2420" s="2">
        <v>2160</v>
      </c>
      <c r="Q2420" s="2">
        <v>8550</v>
      </c>
      <c r="R2420" s="2">
        <v>10800</v>
      </c>
      <c r="S2420">
        <v>158.76</v>
      </c>
      <c r="T2420" s="2">
        <v>16200</v>
      </c>
      <c r="U2420" s="2">
        <v>91800</v>
      </c>
      <c r="V2420">
        <v>125.685</v>
      </c>
      <c r="W2420">
        <v>0</v>
      </c>
      <c r="X2420">
        <v>0</v>
      </c>
      <c r="Y2420">
        <v>0</v>
      </c>
      <c r="Z2420">
        <v>0.5</v>
      </c>
      <c r="AA2420">
        <v>3.978199E-3</v>
      </c>
      <c r="AB2420">
        <v>29.2</v>
      </c>
      <c r="AC2420">
        <v>11.55833333</v>
      </c>
      <c r="AD2420">
        <v>27</v>
      </c>
      <c r="AE2420" s="7"/>
      <c r="AF2420" s="7"/>
      <c r="AG2420" s="7"/>
      <c r="AH2420" s="7"/>
      <c r="AI2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0.44166667000000004</v>
      </c>
      <c r="AJ2420" s="7"/>
      <c r="AK2420" t="s">
        <v>51</v>
      </c>
      <c r="AN2420">
        <f>IFERROR(INT(Table13[[#This Row],[reject_prod]]/Table13[[#This Row],[part_weight]] * 1000), 0)</f>
        <v>34</v>
      </c>
    </row>
    <row r="2421" spans="1:40">
      <c r="A2421" s="1">
        <v>46094</v>
      </c>
      <c r="B2421">
        <v>1</v>
      </c>
      <c r="C2421">
        <v>12</v>
      </c>
      <c r="D2421" t="s">
        <v>143</v>
      </c>
      <c r="E2421" t="s">
        <v>46</v>
      </c>
      <c r="F2421">
        <v>555979</v>
      </c>
      <c r="G2421" s="6">
        <v>1</v>
      </c>
      <c r="H2421" t="s">
        <v>52</v>
      </c>
      <c r="I2421">
        <v>10689126</v>
      </c>
      <c r="J2421">
        <v>6</v>
      </c>
      <c r="K2421">
        <v>28</v>
      </c>
      <c r="L2421">
        <v>28</v>
      </c>
      <c r="M2421">
        <v>276</v>
      </c>
      <c r="N2421" s="2">
        <v>100800</v>
      </c>
      <c r="O2421" s="2">
        <v>5376</v>
      </c>
      <c r="P2421" s="2">
        <v>840</v>
      </c>
      <c r="Q2421" s="2">
        <v>1656</v>
      </c>
      <c r="R2421" s="2">
        <v>0</v>
      </c>
      <c r="S2421">
        <v>0</v>
      </c>
      <c r="T2421" s="2">
        <v>14280</v>
      </c>
      <c r="U2421" s="2">
        <v>86520</v>
      </c>
      <c r="V2421">
        <v>46.368000000000002</v>
      </c>
      <c r="W2421">
        <v>0</v>
      </c>
      <c r="X2421">
        <v>0</v>
      </c>
      <c r="Y2421">
        <v>0</v>
      </c>
      <c r="Z2421">
        <v>6.5</v>
      </c>
      <c r="AA2421">
        <v>0.14018288500000001</v>
      </c>
      <c r="AB2421">
        <v>41.2</v>
      </c>
      <c r="AC2421">
        <v>3.1586666669999999</v>
      </c>
      <c r="AD2421">
        <v>42</v>
      </c>
      <c r="AE2421" s="7"/>
      <c r="AF2421" s="7"/>
      <c r="AG2421" s="7"/>
      <c r="AH2421" s="7"/>
      <c r="AI2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8.8413333329999997</v>
      </c>
      <c r="AJ2421" s="7"/>
      <c r="AK2421" t="s">
        <v>51</v>
      </c>
      <c r="AL2421">
        <v>1</v>
      </c>
      <c r="AN2421">
        <f>IFERROR(INT(Table13[[#This Row],[reject_prod]]/Table13[[#This Row],[part_weight]] * 1000), 0)</f>
        <v>232</v>
      </c>
    </row>
    <row r="2422" spans="1:40">
      <c r="A2422" s="1">
        <v>46094</v>
      </c>
      <c r="B2422">
        <v>1</v>
      </c>
      <c r="C2422">
        <v>13</v>
      </c>
      <c r="D2422" t="s">
        <v>61</v>
      </c>
      <c r="E2422" t="s">
        <v>46</v>
      </c>
      <c r="F2422">
        <v>586276</v>
      </c>
      <c r="G2422" s="6">
        <v>2</v>
      </c>
      <c r="H2422" t="s">
        <v>47</v>
      </c>
      <c r="I2422">
        <v>10689118</v>
      </c>
      <c r="J2422">
        <v>6</v>
      </c>
      <c r="K2422">
        <v>12.3</v>
      </c>
      <c r="L2422">
        <v>12.3</v>
      </c>
      <c r="M2422">
        <v>1578</v>
      </c>
      <c r="N2422" s="2">
        <v>162000</v>
      </c>
      <c r="O2422" s="2">
        <v>3240</v>
      </c>
      <c r="P2422" s="2">
        <v>4455</v>
      </c>
      <c r="Q2422" s="2">
        <v>9468</v>
      </c>
      <c r="R2422" s="2">
        <v>8100</v>
      </c>
      <c r="S2422">
        <v>99.63</v>
      </c>
      <c r="T2422" s="2">
        <v>44955</v>
      </c>
      <c r="U2422" s="2">
        <v>117045</v>
      </c>
      <c r="V2422">
        <v>116.4564</v>
      </c>
      <c r="W2422">
        <v>0</v>
      </c>
      <c r="X2422">
        <v>0</v>
      </c>
      <c r="Y2422">
        <v>0</v>
      </c>
      <c r="Z2422">
        <v>1.5</v>
      </c>
      <c r="AA2422">
        <v>1.2880357E-2</v>
      </c>
      <c r="AB2422">
        <v>26.2</v>
      </c>
      <c r="AC2422">
        <v>11.48433333</v>
      </c>
      <c r="AD2422">
        <v>26</v>
      </c>
      <c r="AE2422" s="7"/>
      <c r="AF2422" s="7"/>
      <c r="AG2422" s="7"/>
      <c r="AH2422" s="7"/>
      <c r="AI2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0.51566666999999988</v>
      </c>
      <c r="AJ2422" s="7"/>
      <c r="AK2422" t="s">
        <v>1240</v>
      </c>
      <c r="AN2422">
        <f>IFERROR(INT(Table13[[#This Row],[reject_prod]]/Table13[[#This Row],[part_weight]] * 1000), 0)</f>
        <v>121</v>
      </c>
    </row>
    <row r="2423" spans="1:40">
      <c r="A2423" s="1">
        <v>46094</v>
      </c>
      <c r="B2423">
        <v>1</v>
      </c>
      <c r="C2423">
        <v>14</v>
      </c>
      <c r="D2423" t="s">
        <v>112</v>
      </c>
      <c r="E2423" t="s">
        <v>34</v>
      </c>
      <c r="F2423">
        <v>541381</v>
      </c>
      <c r="G2423" s="6">
        <v>0</v>
      </c>
      <c r="H2423" t="s">
        <v>804</v>
      </c>
      <c r="I2423">
        <v>10688073</v>
      </c>
      <c r="J2423">
        <v>4</v>
      </c>
      <c r="K2423">
        <v>55</v>
      </c>
      <c r="L2423">
        <v>55</v>
      </c>
      <c r="M2423">
        <v>1568</v>
      </c>
      <c r="N2423" s="2">
        <v>84000</v>
      </c>
      <c r="O2423" s="2">
        <v>350</v>
      </c>
      <c r="P2423" s="2">
        <v>0</v>
      </c>
      <c r="Q2423" s="2">
        <v>6272</v>
      </c>
      <c r="R2423" s="2">
        <v>6300</v>
      </c>
      <c r="S2423">
        <v>346.5</v>
      </c>
      <c r="T2423" s="2">
        <v>69650</v>
      </c>
      <c r="U2423" s="2">
        <v>14350</v>
      </c>
      <c r="V2423">
        <v>344.96</v>
      </c>
      <c r="W2423">
        <v>0</v>
      </c>
      <c r="X2423">
        <v>0</v>
      </c>
      <c r="Y2423">
        <v>0</v>
      </c>
      <c r="Z2423">
        <v>17.5</v>
      </c>
      <c r="AA2423">
        <v>5.0730519000000002E-2</v>
      </c>
      <c r="AB2423">
        <v>27.3</v>
      </c>
      <c r="AC2423">
        <v>11.89066667</v>
      </c>
      <c r="AD2423">
        <v>30.08</v>
      </c>
      <c r="AE2423" s="7"/>
      <c r="AF2423" s="7"/>
      <c r="AG2423" s="7"/>
      <c r="AH2423" s="7"/>
      <c r="AI24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0.10933333000000012</v>
      </c>
      <c r="AJ2423" s="7"/>
      <c r="AK2423" t="s">
        <v>1241</v>
      </c>
      <c r="AM2423">
        <v>2</v>
      </c>
      <c r="AN2423">
        <f>IFERROR(INT(Table13[[#This Row],[reject_prod]]/Table13[[#This Row],[part_weight]] * 1000), 0)</f>
        <v>318</v>
      </c>
    </row>
    <row r="2424" spans="1:40">
      <c r="A2424" s="1">
        <v>46094</v>
      </c>
      <c r="B2424">
        <v>1</v>
      </c>
      <c r="C2424">
        <v>15</v>
      </c>
      <c r="D2424" t="s">
        <v>61</v>
      </c>
      <c r="E2424" t="s">
        <v>46</v>
      </c>
      <c r="F2424">
        <v>552181</v>
      </c>
      <c r="G2424" s="6">
        <v>2</v>
      </c>
      <c r="H2424" t="s">
        <v>49</v>
      </c>
      <c r="I2424">
        <v>10689122</v>
      </c>
      <c r="J2424">
        <v>6</v>
      </c>
      <c r="K2424">
        <v>14.7</v>
      </c>
      <c r="L2424">
        <v>14.7</v>
      </c>
      <c r="M2424">
        <v>1402</v>
      </c>
      <c r="N2424" s="2">
        <v>108000</v>
      </c>
      <c r="O2424" s="2">
        <v>4860</v>
      </c>
      <c r="P2424" s="2">
        <v>2430</v>
      </c>
      <c r="Q2424" s="2">
        <v>8412</v>
      </c>
      <c r="R2424" s="2">
        <v>10800</v>
      </c>
      <c r="S2424">
        <v>158.76</v>
      </c>
      <c r="T2424" s="2">
        <v>45630</v>
      </c>
      <c r="U2424" s="2">
        <v>62370</v>
      </c>
      <c r="V2424">
        <v>123.6564</v>
      </c>
      <c r="W2424">
        <v>0</v>
      </c>
      <c r="X2424">
        <v>0</v>
      </c>
      <c r="Y2424">
        <v>0</v>
      </c>
      <c r="Z2424">
        <v>0.8</v>
      </c>
      <c r="AA2424">
        <v>6.4695400000000002E-3</v>
      </c>
      <c r="AB2424">
        <v>30.6</v>
      </c>
      <c r="AC2424">
        <v>11.917</v>
      </c>
      <c r="AD2424">
        <v>27</v>
      </c>
      <c r="AE2424" s="7"/>
      <c r="AF2424" s="7"/>
      <c r="AG2424" s="7"/>
      <c r="AH2424" s="7"/>
      <c r="AI2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8.3000000000000185E-2</v>
      </c>
      <c r="AJ2424" s="7"/>
      <c r="AK2424" t="s">
        <v>51</v>
      </c>
      <c r="AN2424">
        <f>IFERROR(INT(Table13[[#This Row],[reject_prod]]/Table13[[#This Row],[part_weight]] * 1000), 0)</f>
        <v>54</v>
      </c>
    </row>
    <row r="2425" spans="1:40">
      <c r="A2425" s="1">
        <v>46094</v>
      </c>
      <c r="B2425">
        <v>1</v>
      </c>
      <c r="C2425">
        <v>16</v>
      </c>
      <c r="D2425" t="s">
        <v>1231</v>
      </c>
      <c r="E2425" t="s">
        <v>46</v>
      </c>
      <c r="F2425">
        <v>555979</v>
      </c>
      <c r="G2425" s="6">
        <v>2</v>
      </c>
      <c r="H2425" t="s">
        <v>52</v>
      </c>
      <c r="I2425">
        <v>10688074</v>
      </c>
      <c r="J2425">
        <v>6</v>
      </c>
      <c r="K2425">
        <v>28</v>
      </c>
      <c r="L2425">
        <v>28</v>
      </c>
      <c r="M2425">
        <v>1068</v>
      </c>
      <c r="N2425" s="2">
        <v>100800</v>
      </c>
      <c r="O2425" s="2">
        <v>1512</v>
      </c>
      <c r="P2425" s="2">
        <v>1176</v>
      </c>
      <c r="Q2425" s="2">
        <v>6408</v>
      </c>
      <c r="R2425" s="2">
        <v>6720</v>
      </c>
      <c r="S2425">
        <v>188.16</v>
      </c>
      <c r="T2425" s="2">
        <v>71736</v>
      </c>
      <c r="U2425" s="2">
        <v>29064</v>
      </c>
      <c r="V2425">
        <v>179.42400000000001</v>
      </c>
      <c r="W2425">
        <v>0</v>
      </c>
      <c r="X2425">
        <v>0</v>
      </c>
      <c r="Y2425">
        <v>0</v>
      </c>
      <c r="Z2425">
        <v>0.5</v>
      </c>
      <c r="AA2425">
        <v>2.7866950000000001E-3</v>
      </c>
      <c r="AB2425">
        <v>40.5</v>
      </c>
      <c r="AC2425">
        <v>12</v>
      </c>
      <c r="AD2425">
        <v>42</v>
      </c>
      <c r="AE2425" s="7"/>
      <c r="AF2425" s="7"/>
      <c r="AG2425" s="7"/>
      <c r="AH2425" s="7"/>
      <c r="AI2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5" s="7"/>
      <c r="AK2425" t="s">
        <v>51</v>
      </c>
      <c r="AN2425">
        <f>IFERROR(INT(Table13[[#This Row],[reject_prod]]/Table13[[#This Row],[part_weight]] * 1000), 0)</f>
        <v>17</v>
      </c>
    </row>
    <row r="2426" spans="1:40">
      <c r="A2426" s="1">
        <v>46094</v>
      </c>
      <c r="B2426">
        <v>2</v>
      </c>
      <c r="C2426">
        <v>1</v>
      </c>
      <c r="D2426" t="s">
        <v>53</v>
      </c>
      <c r="E2426" t="s">
        <v>34</v>
      </c>
      <c r="F2426">
        <v>347623</v>
      </c>
      <c r="G2426" s="6">
        <v>0</v>
      </c>
      <c r="H2426" t="s">
        <v>35</v>
      </c>
      <c r="I2426">
        <v>10689833</v>
      </c>
      <c r="J2426">
        <v>4</v>
      </c>
      <c r="K2426">
        <v>35.6</v>
      </c>
      <c r="L2426">
        <v>35.6</v>
      </c>
      <c r="M2426">
        <v>1656</v>
      </c>
      <c r="N2426" s="2">
        <v>40480</v>
      </c>
      <c r="O2426" s="2">
        <v>1472</v>
      </c>
      <c r="P2426" s="2">
        <v>736</v>
      </c>
      <c r="Q2426" s="2">
        <v>6624</v>
      </c>
      <c r="R2426" s="2">
        <v>7360</v>
      </c>
      <c r="S2426">
        <v>262.01600000000002</v>
      </c>
      <c r="T2426" s="2">
        <v>11776</v>
      </c>
      <c r="U2426" s="2">
        <v>28704</v>
      </c>
      <c r="V2426">
        <v>235.81440000000001</v>
      </c>
      <c r="W2426">
        <v>0</v>
      </c>
      <c r="X2426">
        <v>0</v>
      </c>
      <c r="Y2426">
        <v>0</v>
      </c>
      <c r="Z2426">
        <v>5.2</v>
      </c>
      <c r="AA2426">
        <v>2.205124E-2</v>
      </c>
      <c r="AB2426">
        <v>25.5</v>
      </c>
      <c r="AC2426">
        <v>11.73</v>
      </c>
      <c r="AD2426">
        <v>27</v>
      </c>
      <c r="AE2426" s="7"/>
      <c r="AF2426" s="7"/>
      <c r="AG2426" s="7"/>
      <c r="AH2426" s="7"/>
      <c r="AI2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426" s="7"/>
      <c r="AK2426" t="s">
        <v>178</v>
      </c>
      <c r="AN2426">
        <f>IFERROR(INT(Table13[[#This Row],[reject_prod]]/Table13[[#This Row],[part_weight]] * 1000), 0)</f>
        <v>146</v>
      </c>
    </row>
    <row r="2427" spans="1:40">
      <c r="A2427" s="1">
        <v>46094</v>
      </c>
      <c r="B2427">
        <v>2</v>
      </c>
      <c r="C2427">
        <v>2</v>
      </c>
      <c r="D2427" t="s">
        <v>33</v>
      </c>
      <c r="E2427" t="s">
        <v>34</v>
      </c>
      <c r="F2427">
        <v>324163</v>
      </c>
      <c r="G2427" s="6">
        <v>0</v>
      </c>
      <c r="H2427" t="s">
        <v>672</v>
      </c>
      <c r="I2427">
        <v>10688495</v>
      </c>
      <c r="J2427">
        <v>4</v>
      </c>
      <c r="K2427">
        <v>24</v>
      </c>
      <c r="L2427">
        <v>23.5</v>
      </c>
      <c r="M2427">
        <v>1145</v>
      </c>
      <c r="N2427" s="2">
        <v>73152</v>
      </c>
      <c r="O2427" s="2">
        <v>0</v>
      </c>
      <c r="P2427" s="2">
        <v>0</v>
      </c>
      <c r="Q2427" s="2">
        <v>4580</v>
      </c>
      <c r="R2427" s="2">
        <v>4572</v>
      </c>
      <c r="S2427">
        <v>107.44199999999999</v>
      </c>
      <c r="T2427" s="2">
        <v>4572</v>
      </c>
      <c r="U2427" s="2">
        <v>68580</v>
      </c>
      <c r="V2427">
        <v>107.63</v>
      </c>
      <c r="W2427">
        <v>2.29</v>
      </c>
      <c r="X2427">
        <v>13</v>
      </c>
      <c r="Y2427">
        <v>0.120784168</v>
      </c>
      <c r="Z2427">
        <v>0.5</v>
      </c>
      <c r="AA2427">
        <v>4.6455450000000001E-3</v>
      </c>
      <c r="AB2427">
        <v>21.96</v>
      </c>
      <c r="AC2427">
        <v>6.9844999999999997</v>
      </c>
      <c r="AD2427">
        <v>22.5</v>
      </c>
      <c r="AE2427" s="7"/>
      <c r="AF2427" s="7"/>
      <c r="AG2427" s="7">
        <v>1.5</v>
      </c>
      <c r="AH2427" s="7"/>
      <c r="AI2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3.5155000000000003</v>
      </c>
      <c r="AJ2427" s="7"/>
      <c r="AK2427" t="s">
        <v>1242</v>
      </c>
      <c r="AN2427">
        <f>IFERROR(INT(Table13[[#This Row],[reject_prod]]/Table13[[#This Row],[part_weight]] * 1000), 0)</f>
        <v>21</v>
      </c>
    </row>
    <row r="2428" spans="1:40">
      <c r="A2428" s="1">
        <v>46094</v>
      </c>
      <c r="B2428">
        <v>2</v>
      </c>
      <c r="C2428">
        <v>3</v>
      </c>
      <c r="D2428" t="s">
        <v>54</v>
      </c>
      <c r="E2428" t="s">
        <v>34</v>
      </c>
      <c r="F2428">
        <v>442034</v>
      </c>
      <c r="G2428" s="6">
        <v>0</v>
      </c>
      <c r="H2428" t="s">
        <v>37</v>
      </c>
      <c r="I2428">
        <v>10685635</v>
      </c>
      <c r="J2428">
        <v>4</v>
      </c>
      <c r="K2428">
        <v>23</v>
      </c>
      <c r="L2428">
        <v>23</v>
      </c>
      <c r="M2428">
        <v>1555</v>
      </c>
      <c r="N2428" s="2">
        <v>139776</v>
      </c>
      <c r="O2428" s="2">
        <v>2688</v>
      </c>
      <c r="P2428" s="2">
        <v>4224</v>
      </c>
      <c r="Q2428" s="2">
        <v>6220</v>
      </c>
      <c r="R2428" s="2">
        <v>4608</v>
      </c>
      <c r="S2428">
        <v>105.98399999999999</v>
      </c>
      <c r="T2428" s="2">
        <v>91776</v>
      </c>
      <c r="U2428" s="2">
        <v>48000</v>
      </c>
      <c r="V2428">
        <v>143.06</v>
      </c>
      <c r="W2428">
        <v>0</v>
      </c>
      <c r="X2428">
        <v>0</v>
      </c>
      <c r="Y2428">
        <v>0</v>
      </c>
      <c r="Z2428">
        <v>4</v>
      </c>
      <c r="AA2428">
        <v>2.7960295999999999E-2</v>
      </c>
      <c r="AB2428">
        <v>26.1</v>
      </c>
      <c r="AC2428">
        <v>11.27375</v>
      </c>
      <c r="AD2428">
        <v>22</v>
      </c>
      <c r="AE2428" s="7"/>
      <c r="AF2428" s="7"/>
      <c r="AG2428" s="7"/>
      <c r="AH2428" s="7"/>
      <c r="AI2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0.72625000000000028</v>
      </c>
      <c r="AJ2428" s="7"/>
      <c r="AK2428" t="s">
        <v>103</v>
      </c>
      <c r="AN2428">
        <f>IFERROR(INT(Table13[[#This Row],[reject_prod]]/Table13[[#This Row],[part_weight]] * 1000), 0)</f>
        <v>173</v>
      </c>
    </row>
    <row r="2429" spans="1:40">
      <c r="A2429" s="1">
        <v>46094</v>
      </c>
      <c r="B2429">
        <v>2</v>
      </c>
      <c r="C2429">
        <v>4</v>
      </c>
      <c r="D2429" t="s">
        <v>56</v>
      </c>
      <c r="E2429" t="s">
        <v>34</v>
      </c>
      <c r="F2429">
        <v>426555</v>
      </c>
      <c r="G2429" s="6">
        <v>0</v>
      </c>
      <c r="H2429" t="s">
        <v>1128</v>
      </c>
      <c r="I2429">
        <v>10688066</v>
      </c>
      <c r="J2429">
        <v>4</v>
      </c>
      <c r="K2429">
        <v>29</v>
      </c>
      <c r="L2429">
        <v>29</v>
      </c>
      <c r="M2429">
        <v>1780</v>
      </c>
      <c r="N2429" s="2">
        <v>81600</v>
      </c>
      <c r="O2429" s="2">
        <v>340</v>
      </c>
      <c r="P2429" s="2">
        <v>340</v>
      </c>
      <c r="Q2429" s="2">
        <v>7120</v>
      </c>
      <c r="R2429" s="2">
        <v>7140</v>
      </c>
      <c r="S2429">
        <v>207.06</v>
      </c>
      <c r="T2429" s="2">
        <v>76840</v>
      </c>
      <c r="U2429" s="2">
        <v>4760</v>
      </c>
      <c r="V2429">
        <v>206.48</v>
      </c>
      <c r="W2429">
        <v>0</v>
      </c>
      <c r="X2429">
        <v>0</v>
      </c>
      <c r="Y2429">
        <v>0</v>
      </c>
      <c r="Z2429">
        <v>2.6</v>
      </c>
      <c r="AA2429">
        <v>1.2592018999999999E-2</v>
      </c>
      <c r="AB2429">
        <v>24.63</v>
      </c>
      <c r="AC2429">
        <v>12</v>
      </c>
      <c r="AD2429">
        <v>22.72</v>
      </c>
      <c r="AE2429" s="7"/>
      <c r="AF2429" s="7"/>
      <c r="AG2429" s="7"/>
      <c r="AH2429" s="7"/>
      <c r="AI2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9" s="7"/>
      <c r="AK2429" t="s">
        <v>214</v>
      </c>
      <c r="AN2429">
        <f>IFERROR(INT(Table13[[#This Row],[reject_prod]]/Table13[[#This Row],[part_weight]] * 1000), 0)</f>
        <v>89</v>
      </c>
    </row>
    <row r="2430" spans="1:40">
      <c r="A2430" s="1">
        <v>46094</v>
      </c>
      <c r="B2430">
        <v>2</v>
      </c>
      <c r="C2430">
        <v>5</v>
      </c>
      <c r="D2430" t="s">
        <v>1243</v>
      </c>
      <c r="E2430" t="s">
        <v>34</v>
      </c>
      <c r="F2430">
        <v>322448</v>
      </c>
      <c r="G2430" s="6">
        <v>0</v>
      </c>
      <c r="H2430" t="s">
        <v>654</v>
      </c>
      <c r="I2430">
        <v>10687753</v>
      </c>
      <c r="J2430">
        <v>4</v>
      </c>
      <c r="K2430">
        <v>40</v>
      </c>
      <c r="L2430">
        <v>40</v>
      </c>
      <c r="M2430">
        <v>1620</v>
      </c>
      <c r="N2430" s="2">
        <v>174960</v>
      </c>
      <c r="O2430" s="2">
        <v>1458</v>
      </c>
      <c r="P2430" s="2">
        <v>648</v>
      </c>
      <c r="Q2430" s="2">
        <v>6480</v>
      </c>
      <c r="R2430" s="2">
        <v>7290</v>
      </c>
      <c r="S2430">
        <v>291.60000000000002</v>
      </c>
      <c r="T2430" s="2">
        <v>170748</v>
      </c>
      <c r="U2430" s="2">
        <v>4212</v>
      </c>
      <c r="V2430">
        <v>259.2</v>
      </c>
      <c r="W2430">
        <v>0</v>
      </c>
      <c r="X2430">
        <v>0</v>
      </c>
      <c r="Y2430">
        <v>0</v>
      </c>
      <c r="Z2430">
        <v>2</v>
      </c>
      <c r="AA2430">
        <v>7.716049E-3</v>
      </c>
      <c r="AB2430">
        <v>26.1</v>
      </c>
      <c r="AC2430">
        <v>11.744999999999999</v>
      </c>
      <c r="AD2430">
        <v>23</v>
      </c>
      <c r="AE2430" s="7"/>
      <c r="AF2430" s="7"/>
      <c r="AG2430" s="7"/>
      <c r="AH2430" s="7"/>
      <c r="AI24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430" s="7"/>
      <c r="AK2430" t="s">
        <v>51</v>
      </c>
      <c r="AN2430">
        <f>IFERROR(INT(Table13[[#This Row],[reject_prod]]/Table13[[#This Row],[part_weight]] * 1000), 0)</f>
        <v>50</v>
      </c>
    </row>
    <row r="2431" spans="1:40">
      <c r="A2431" s="1">
        <v>46094</v>
      </c>
      <c r="B2431">
        <v>2</v>
      </c>
      <c r="C2431">
        <v>6</v>
      </c>
      <c r="D2431" t="s">
        <v>1244</v>
      </c>
      <c r="E2431" t="s">
        <v>34</v>
      </c>
      <c r="F2431">
        <v>322445</v>
      </c>
      <c r="G2431" s="6">
        <v>0</v>
      </c>
      <c r="H2431" t="s">
        <v>743</v>
      </c>
      <c r="I2431">
        <v>10689565</v>
      </c>
      <c r="J2431">
        <v>4</v>
      </c>
      <c r="K2431">
        <v>32.74</v>
      </c>
      <c r="L2431">
        <v>33</v>
      </c>
      <c r="M2431">
        <v>1830</v>
      </c>
      <c r="N2431" s="2">
        <v>72000</v>
      </c>
      <c r="O2431" s="2">
        <v>360</v>
      </c>
      <c r="P2431" s="2">
        <v>360</v>
      </c>
      <c r="Q2431" s="2">
        <v>7320</v>
      </c>
      <c r="R2431" s="2">
        <v>7200</v>
      </c>
      <c r="S2431">
        <v>237.6</v>
      </c>
      <c r="T2431" s="2">
        <v>35460</v>
      </c>
      <c r="U2431" s="2">
        <v>36540</v>
      </c>
      <c r="V2431">
        <v>241.56</v>
      </c>
      <c r="W2431">
        <v>0</v>
      </c>
      <c r="X2431">
        <v>0</v>
      </c>
      <c r="Y2431">
        <v>0</v>
      </c>
      <c r="Z2431">
        <v>1</v>
      </c>
      <c r="AA2431">
        <v>4.1397580000000003E-3</v>
      </c>
      <c r="AB2431">
        <v>22</v>
      </c>
      <c r="AC2431">
        <v>11.18333333</v>
      </c>
      <c r="AD2431">
        <v>22</v>
      </c>
      <c r="AE2431" s="7"/>
      <c r="AF2431" s="7"/>
      <c r="AG2431" s="7"/>
      <c r="AH2431" s="7"/>
      <c r="AI2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0.81666667000000004</v>
      </c>
      <c r="AJ2431" s="7"/>
      <c r="AK2431" t="s">
        <v>1245</v>
      </c>
      <c r="AN2431">
        <f>IFERROR(INT(Table13[[#This Row],[reject_prod]]/Table13[[#This Row],[part_weight]] * 1000), 0)</f>
        <v>30</v>
      </c>
    </row>
    <row r="2432" spans="1:40">
      <c r="A2432" s="1">
        <v>46094</v>
      </c>
      <c r="B2432">
        <v>2</v>
      </c>
      <c r="C2432">
        <v>7</v>
      </c>
      <c r="D2432" t="s">
        <v>650</v>
      </c>
      <c r="E2432" t="s">
        <v>34</v>
      </c>
      <c r="F2432">
        <v>322391</v>
      </c>
      <c r="G2432" s="6">
        <v>0</v>
      </c>
      <c r="H2432" t="s">
        <v>1224</v>
      </c>
      <c r="I2432">
        <v>10690125</v>
      </c>
      <c r="J2432">
        <v>4</v>
      </c>
      <c r="K2432">
        <v>20</v>
      </c>
      <c r="L2432">
        <v>20</v>
      </c>
      <c r="M2432">
        <v>815</v>
      </c>
      <c r="N2432" s="2">
        <v>6500</v>
      </c>
      <c r="O2432" s="2">
        <v>3250</v>
      </c>
      <c r="P2432" s="2">
        <v>65000</v>
      </c>
      <c r="Q2432" s="2">
        <v>3260</v>
      </c>
      <c r="R2432" s="2">
        <v>0</v>
      </c>
      <c r="S2432">
        <v>0</v>
      </c>
      <c r="T2432" s="2">
        <v>6500</v>
      </c>
      <c r="U2432" s="2">
        <v>0</v>
      </c>
      <c r="V2432">
        <v>65.2</v>
      </c>
      <c r="W2432">
        <v>0</v>
      </c>
      <c r="X2432">
        <v>0</v>
      </c>
      <c r="Y2432">
        <v>0</v>
      </c>
      <c r="Z2432">
        <v>18.2</v>
      </c>
      <c r="AA2432">
        <v>0.27914110399999997</v>
      </c>
      <c r="AB2432">
        <v>20</v>
      </c>
      <c r="AC2432">
        <v>4.5277777779999999</v>
      </c>
      <c r="AD2432">
        <v>20</v>
      </c>
      <c r="AE2432" s="7"/>
      <c r="AF2432" s="7"/>
      <c r="AG2432" s="7"/>
      <c r="AH2432" s="7"/>
      <c r="AI2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7.4722222220000001</v>
      </c>
      <c r="AJ2432" s="7"/>
      <c r="AK2432" t="s">
        <v>1246</v>
      </c>
      <c r="AN2432">
        <f>IFERROR(INT(Table13[[#This Row],[reject_prod]]/Table13[[#This Row],[part_weight]] * 1000), 0)</f>
        <v>910</v>
      </c>
    </row>
    <row r="2433" spans="1:40">
      <c r="A2433" s="1">
        <v>46094</v>
      </c>
      <c r="B2433">
        <v>2</v>
      </c>
      <c r="C2433">
        <v>7</v>
      </c>
      <c r="D2433" t="s">
        <v>33</v>
      </c>
      <c r="E2433" t="s">
        <v>34</v>
      </c>
      <c r="F2433">
        <v>324198</v>
      </c>
      <c r="G2433" s="6">
        <v>0</v>
      </c>
      <c r="H2433" t="s">
        <v>632</v>
      </c>
      <c r="I2433">
        <v>10685209</v>
      </c>
      <c r="J2433">
        <v>4</v>
      </c>
      <c r="K2433">
        <v>20</v>
      </c>
      <c r="L2433">
        <v>20</v>
      </c>
      <c r="M2433">
        <v>0</v>
      </c>
      <c r="N2433" s="2">
        <v>25920</v>
      </c>
      <c r="O2433" s="2">
        <v>0</v>
      </c>
      <c r="P2433" s="2">
        <v>0</v>
      </c>
      <c r="Q2433" s="2">
        <v>0</v>
      </c>
      <c r="R2433" s="2">
        <v>0</v>
      </c>
      <c r="S2433">
        <v>0</v>
      </c>
      <c r="T2433" s="2">
        <v>0</v>
      </c>
      <c r="U2433" s="2">
        <v>25920</v>
      </c>
      <c r="V2433">
        <v>0</v>
      </c>
      <c r="W2433">
        <v>0</v>
      </c>
      <c r="X2433">
        <v>5</v>
      </c>
      <c r="Y2433" t="e">
        <v>#DIV/0!</v>
      </c>
      <c r="Z2433">
        <v>0</v>
      </c>
      <c r="AA2433" t="e">
        <v>#DIV/0!</v>
      </c>
      <c r="AB2433">
        <v>0</v>
      </c>
      <c r="AC2433">
        <v>0</v>
      </c>
      <c r="AD2433">
        <v>19.5</v>
      </c>
      <c r="AE2433" s="7"/>
      <c r="AF2433" s="7"/>
      <c r="AG2433" s="7">
        <v>1.5</v>
      </c>
      <c r="AH2433" s="7"/>
      <c r="AI2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433" s="7">
        <v>3.5</v>
      </c>
      <c r="AK2433" t="s">
        <v>1247</v>
      </c>
      <c r="AN2433">
        <f>IFERROR(INT(Table13[[#This Row],[reject_prod]]/Table13[[#This Row],[part_weight]] * 1000), 0)</f>
        <v>0</v>
      </c>
    </row>
    <row r="2434" spans="1:40">
      <c r="A2434" s="1">
        <v>46094</v>
      </c>
      <c r="B2434">
        <v>2</v>
      </c>
      <c r="C2434">
        <v>8</v>
      </c>
      <c r="D2434" t="s">
        <v>1248</v>
      </c>
      <c r="E2434" t="s">
        <v>41</v>
      </c>
      <c r="F2434">
        <v>593537</v>
      </c>
      <c r="G2434" s="6">
        <v>0</v>
      </c>
      <c r="H2434" t="s">
        <v>48</v>
      </c>
      <c r="I2434">
        <v>10688068</v>
      </c>
      <c r="J2434">
        <v>4</v>
      </c>
      <c r="K2434">
        <v>56.5</v>
      </c>
      <c r="L2434">
        <v>56.8</v>
      </c>
      <c r="M2434">
        <v>1430</v>
      </c>
      <c r="N2434" s="2">
        <v>69000</v>
      </c>
      <c r="O2434" s="2">
        <v>230</v>
      </c>
      <c r="P2434" s="2">
        <v>200</v>
      </c>
      <c r="Q2434" s="2">
        <v>5720</v>
      </c>
      <c r="R2434" s="2">
        <v>5750</v>
      </c>
      <c r="S2434">
        <v>326.60000000000002</v>
      </c>
      <c r="T2434" s="2">
        <v>35275</v>
      </c>
      <c r="U2434" s="2">
        <v>33725</v>
      </c>
      <c r="V2434">
        <v>324.89600000000002</v>
      </c>
      <c r="W2434">
        <v>-1.716</v>
      </c>
      <c r="X2434">
        <v>0</v>
      </c>
      <c r="Y2434">
        <v>0</v>
      </c>
      <c r="Z2434">
        <v>2.4</v>
      </c>
      <c r="AA2434">
        <v>7.3869790000000001E-3</v>
      </c>
      <c r="AB2434">
        <v>30.57</v>
      </c>
      <c r="AC2434">
        <v>12</v>
      </c>
      <c r="AD2434">
        <v>28.5</v>
      </c>
      <c r="AE2434" s="7"/>
      <c r="AF2434" s="7"/>
      <c r="AG2434" s="7"/>
      <c r="AH2434" s="7"/>
      <c r="AI2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34" s="7"/>
      <c r="AK2434" t="s">
        <v>1206</v>
      </c>
      <c r="AN2434">
        <f>IFERROR(INT(Table13[[#This Row],[reject_prod]]/Table13[[#This Row],[part_weight]] * 1000), 0)</f>
        <v>42</v>
      </c>
    </row>
    <row r="2435" spans="1:40">
      <c r="A2435" s="1">
        <v>46094</v>
      </c>
      <c r="B2435">
        <v>2</v>
      </c>
      <c r="C2435">
        <v>9</v>
      </c>
      <c r="D2435" t="s">
        <v>289</v>
      </c>
      <c r="E2435" t="s">
        <v>46</v>
      </c>
      <c r="F2435">
        <v>586276</v>
      </c>
      <c r="G2435" s="6">
        <v>1</v>
      </c>
      <c r="H2435" t="s">
        <v>47</v>
      </c>
      <c r="I2435">
        <v>10689111</v>
      </c>
      <c r="J2435">
        <v>6</v>
      </c>
      <c r="K2435">
        <v>12.3</v>
      </c>
      <c r="L2435">
        <v>12.3</v>
      </c>
      <c r="M2435">
        <v>1560</v>
      </c>
      <c r="N2435" s="2">
        <v>162000</v>
      </c>
      <c r="O2435" s="2">
        <v>4050</v>
      </c>
      <c r="P2435" s="2">
        <v>5265</v>
      </c>
      <c r="Q2435" s="2">
        <v>9360</v>
      </c>
      <c r="R2435" s="2">
        <v>8100</v>
      </c>
      <c r="S2435">
        <v>99.63</v>
      </c>
      <c r="T2435" s="2">
        <v>86265</v>
      </c>
      <c r="U2435" s="2">
        <v>75735</v>
      </c>
      <c r="V2435">
        <v>115.128</v>
      </c>
      <c r="W2435">
        <v>0</v>
      </c>
      <c r="X2435">
        <v>0</v>
      </c>
      <c r="Y2435">
        <v>0</v>
      </c>
      <c r="Z2435">
        <v>5.2</v>
      </c>
      <c r="AA2435">
        <v>4.5167117999999999E-2</v>
      </c>
      <c r="AB2435">
        <v>26.6</v>
      </c>
      <c r="AC2435">
        <v>11.526666669999999</v>
      </c>
      <c r="AD2435">
        <v>26</v>
      </c>
      <c r="AE2435" s="7"/>
      <c r="AF2435" s="7"/>
      <c r="AG2435" s="7"/>
      <c r="AH2435" s="7"/>
      <c r="AI2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0.47333333000000088</v>
      </c>
      <c r="AJ2435" s="7"/>
      <c r="AK2435" t="s">
        <v>57</v>
      </c>
      <c r="AN2435">
        <f>IFERROR(INT(Table13[[#This Row],[reject_prod]]/Table13[[#This Row],[part_weight]] * 1000), 0)</f>
        <v>422</v>
      </c>
    </row>
    <row r="2436" spans="1:40">
      <c r="A2436" s="1">
        <v>46094</v>
      </c>
      <c r="B2436">
        <v>2</v>
      </c>
      <c r="C2436">
        <v>10</v>
      </c>
      <c r="D2436" t="s">
        <v>59</v>
      </c>
      <c r="E2436" t="s">
        <v>34</v>
      </c>
      <c r="F2436">
        <v>414439</v>
      </c>
      <c r="G2436" s="6">
        <v>0</v>
      </c>
      <c r="H2436" t="s">
        <v>587</v>
      </c>
      <c r="I2436">
        <v>10688521</v>
      </c>
      <c r="J2436">
        <v>6</v>
      </c>
      <c r="K2436">
        <v>57</v>
      </c>
      <c r="L2436">
        <v>15</v>
      </c>
      <c r="M2436">
        <v>1550</v>
      </c>
      <c r="N2436" s="2">
        <v>206976</v>
      </c>
      <c r="O2436" s="2">
        <v>0</v>
      </c>
      <c r="P2436" s="2">
        <v>1848</v>
      </c>
      <c r="Q2436" s="2">
        <v>9300</v>
      </c>
      <c r="R2436" s="2">
        <v>7392</v>
      </c>
      <c r="S2436">
        <v>110.88</v>
      </c>
      <c r="T2436" s="2">
        <v>179256</v>
      </c>
      <c r="U2436" s="2">
        <v>27720</v>
      </c>
      <c r="V2436">
        <v>139.5</v>
      </c>
      <c r="W2436">
        <v>0</v>
      </c>
      <c r="X2436">
        <v>0</v>
      </c>
      <c r="Y2436">
        <v>0</v>
      </c>
      <c r="Z2436">
        <v>19.3</v>
      </c>
      <c r="AA2436">
        <v>0.13835125400000001</v>
      </c>
      <c r="AB2436">
        <v>23.7</v>
      </c>
      <c r="AC2436">
        <v>10.204166669999999</v>
      </c>
      <c r="AD2436">
        <v>15</v>
      </c>
      <c r="AE2436" s="7"/>
      <c r="AF2436" s="7"/>
      <c r="AG2436" s="7"/>
      <c r="AH2436" s="7"/>
      <c r="AI2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1.7958333300000007</v>
      </c>
      <c r="AJ2436" s="7"/>
      <c r="AK2436" t="s">
        <v>1249</v>
      </c>
      <c r="AN2436">
        <f>IFERROR(INT(Table13[[#This Row],[reject_prod]]/Table13[[#This Row],[part_weight]] * 1000), 0)</f>
        <v>1286</v>
      </c>
    </row>
    <row r="2437" spans="1:40">
      <c r="A2437" s="1">
        <v>46094</v>
      </c>
      <c r="B2437">
        <v>2</v>
      </c>
      <c r="C2437">
        <v>11</v>
      </c>
      <c r="D2437" t="s">
        <v>139</v>
      </c>
      <c r="E2437" t="s">
        <v>46</v>
      </c>
      <c r="F2437">
        <v>552181</v>
      </c>
      <c r="G2437" s="6">
        <v>1</v>
      </c>
      <c r="H2437" t="s">
        <v>49</v>
      </c>
      <c r="I2437">
        <v>10688070</v>
      </c>
      <c r="J2437">
        <v>6</v>
      </c>
      <c r="K2437">
        <v>14.7</v>
      </c>
      <c r="L2437">
        <v>14.7</v>
      </c>
      <c r="M2437">
        <v>1495</v>
      </c>
      <c r="N2437" s="2">
        <v>108000</v>
      </c>
      <c r="O2437" s="2">
        <v>2160</v>
      </c>
      <c r="P2437" s="2">
        <v>1620</v>
      </c>
      <c r="Q2437" s="2">
        <v>8970</v>
      </c>
      <c r="R2437" s="2">
        <v>10800</v>
      </c>
      <c r="S2437">
        <v>158.76</v>
      </c>
      <c r="T2437" s="2">
        <v>28620</v>
      </c>
      <c r="U2437" s="2">
        <v>79380</v>
      </c>
      <c r="V2437">
        <v>131.85900000000001</v>
      </c>
      <c r="W2437">
        <v>0</v>
      </c>
      <c r="X2437">
        <v>0</v>
      </c>
      <c r="Y2437">
        <v>0</v>
      </c>
      <c r="Z2437">
        <v>1</v>
      </c>
      <c r="AA2437">
        <v>7.5838590000000001E-3</v>
      </c>
      <c r="AB2437">
        <v>29.2</v>
      </c>
      <c r="AC2437">
        <v>12</v>
      </c>
      <c r="AD2437">
        <v>27</v>
      </c>
      <c r="AE2437" s="7"/>
      <c r="AF2437" s="7"/>
      <c r="AG2437" s="7"/>
      <c r="AH2437" s="7"/>
      <c r="AI2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37" s="7"/>
      <c r="AK2437" t="s">
        <v>51</v>
      </c>
      <c r="AN2437">
        <f>IFERROR(INT(Table13[[#This Row],[reject_prod]]/Table13[[#This Row],[part_weight]] * 1000), 0)</f>
        <v>68</v>
      </c>
    </row>
    <row r="2438" spans="1:40">
      <c r="A2438" s="1">
        <v>46094</v>
      </c>
      <c r="B2438">
        <v>2</v>
      </c>
      <c r="C2438">
        <v>12</v>
      </c>
      <c r="D2438" t="s">
        <v>208</v>
      </c>
      <c r="E2438" t="s">
        <v>46</v>
      </c>
      <c r="F2438">
        <v>555979</v>
      </c>
      <c r="G2438" s="6">
        <v>1</v>
      </c>
      <c r="H2438" t="s">
        <v>52</v>
      </c>
      <c r="I2438">
        <v>10689126</v>
      </c>
      <c r="J2438">
        <v>6</v>
      </c>
      <c r="K2438">
        <v>28</v>
      </c>
      <c r="L2438">
        <v>28</v>
      </c>
      <c r="M2438">
        <v>810</v>
      </c>
      <c r="N2438" s="2">
        <v>100800</v>
      </c>
      <c r="O2438" s="2">
        <v>840</v>
      </c>
      <c r="P2438" s="2">
        <v>7560</v>
      </c>
      <c r="Q2438" s="2">
        <v>4860</v>
      </c>
      <c r="R2438" s="2">
        <v>0</v>
      </c>
      <c r="S2438">
        <v>0</v>
      </c>
      <c r="T2438" s="2">
        <v>21000</v>
      </c>
      <c r="U2438" s="2">
        <v>79800</v>
      </c>
      <c r="V2438">
        <v>136.08000000000001</v>
      </c>
      <c r="W2438">
        <v>0</v>
      </c>
      <c r="X2438">
        <v>0</v>
      </c>
      <c r="Y2438">
        <v>0</v>
      </c>
      <c r="Z2438">
        <v>7.2</v>
      </c>
      <c r="AA2438">
        <v>5.2910052999999999E-2</v>
      </c>
      <c r="AB2438">
        <v>41.2</v>
      </c>
      <c r="AC2438">
        <v>9.27</v>
      </c>
      <c r="AD2438">
        <v>42</v>
      </c>
      <c r="AE2438" s="7"/>
      <c r="AF2438" s="7"/>
      <c r="AG2438" s="7"/>
      <c r="AH2438" s="7"/>
      <c r="AI2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2.7300000000000004</v>
      </c>
      <c r="AJ2438" s="7"/>
      <c r="AK2438" t="s">
        <v>1250</v>
      </c>
      <c r="AN2438">
        <f>IFERROR(INT(Table13[[#This Row],[reject_prod]]/Table13[[#This Row],[part_weight]] * 1000), 0)</f>
        <v>257</v>
      </c>
    </row>
    <row r="2439" spans="1:40">
      <c r="A2439" s="1">
        <v>46094</v>
      </c>
      <c r="B2439">
        <v>2</v>
      </c>
      <c r="C2439">
        <v>13</v>
      </c>
      <c r="D2439" t="s">
        <v>139</v>
      </c>
      <c r="E2439" t="s">
        <v>46</v>
      </c>
      <c r="F2439">
        <v>586276</v>
      </c>
      <c r="G2439" s="6">
        <v>2</v>
      </c>
      <c r="H2439" t="s">
        <v>47</v>
      </c>
      <c r="I2439">
        <v>10689118</v>
      </c>
      <c r="J2439">
        <v>6</v>
      </c>
      <c r="K2439">
        <v>12.3</v>
      </c>
      <c r="L2439">
        <v>12.3</v>
      </c>
      <c r="M2439">
        <v>1575</v>
      </c>
      <c r="N2439" s="2">
        <v>162000</v>
      </c>
      <c r="O2439" s="2">
        <v>4455</v>
      </c>
      <c r="P2439" s="2">
        <v>5670</v>
      </c>
      <c r="Q2439" s="2">
        <v>9450</v>
      </c>
      <c r="R2439" s="2">
        <v>8100</v>
      </c>
      <c r="S2439">
        <v>99.63</v>
      </c>
      <c r="T2439" s="2">
        <v>54270</v>
      </c>
      <c r="U2439" s="2">
        <v>107730</v>
      </c>
      <c r="V2439">
        <v>116.235</v>
      </c>
      <c r="W2439">
        <v>0</v>
      </c>
      <c r="X2439">
        <v>0</v>
      </c>
      <c r="Y2439">
        <v>0</v>
      </c>
      <c r="Z2439">
        <v>1</v>
      </c>
      <c r="AA2439">
        <v>8.6032609999999992E-3</v>
      </c>
      <c r="AB2439">
        <v>26.2</v>
      </c>
      <c r="AC2439">
        <v>11.4625</v>
      </c>
      <c r="AD2439">
        <v>26</v>
      </c>
      <c r="AE2439" s="7"/>
      <c r="AF2439" s="7"/>
      <c r="AG2439" s="7"/>
      <c r="AH2439" s="7"/>
      <c r="AI2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0.53749999999999964</v>
      </c>
      <c r="AJ2439" s="7"/>
      <c r="AK2439" t="s">
        <v>51</v>
      </c>
      <c r="AN2439">
        <f>IFERROR(INT(Table13[[#This Row],[reject_prod]]/Table13[[#This Row],[part_weight]] * 1000), 0)</f>
        <v>81</v>
      </c>
    </row>
    <row r="2440" spans="1:40">
      <c r="A2440" s="1">
        <v>46094</v>
      </c>
      <c r="B2440">
        <v>2</v>
      </c>
      <c r="C2440">
        <v>14</v>
      </c>
      <c r="D2440" t="s">
        <v>58</v>
      </c>
      <c r="E2440" t="s">
        <v>34</v>
      </c>
      <c r="F2440">
        <v>541381</v>
      </c>
      <c r="G2440" s="6">
        <v>0</v>
      </c>
      <c r="H2440" t="s">
        <v>804</v>
      </c>
      <c r="I2440">
        <v>10688073</v>
      </c>
      <c r="J2440">
        <v>4</v>
      </c>
      <c r="K2440">
        <v>55</v>
      </c>
      <c r="L2440">
        <v>55</v>
      </c>
      <c r="M2440">
        <v>1585</v>
      </c>
      <c r="N2440" s="2">
        <v>84000</v>
      </c>
      <c r="O2440" s="2">
        <v>0</v>
      </c>
      <c r="P2440" s="2">
        <v>0</v>
      </c>
      <c r="Q2440" s="2">
        <v>6340</v>
      </c>
      <c r="R2440" s="2">
        <v>6300</v>
      </c>
      <c r="S2440">
        <v>346.5</v>
      </c>
      <c r="T2440" s="2">
        <v>75600</v>
      </c>
      <c r="U2440" s="2">
        <v>8400</v>
      </c>
      <c r="V2440">
        <v>348.7</v>
      </c>
      <c r="W2440">
        <v>0</v>
      </c>
      <c r="X2440">
        <v>0</v>
      </c>
      <c r="Y2440">
        <v>0</v>
      </c>
      <c r="Z2440">
        <v>2</v>
      </c>
      <c r="AA2440">
        <v>5.7355890000000001E-3</v>
      </c>
      <c r="AB2440">
        <v>26.78</v>
      </c>
      <c r="AC2440">
        <v>11.79063889</v>
      </c>
      <c r="AD2440">
        <v>30.08</v>
      </c>
      <c r="AE2440" s="7"/>
      <c r="AF2440" s="7"/>
      <c r="AG2440" s="7"/>
      <c r="AH2440" s="7"/>
      <c r="AI24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0.20936110999999968</v>
      </c>
      <c r="AJ2440" s="7"/>
      <c r="AK2440" t="s">
        <v>51</v>
      </c>
      <c r="AN2440">
        <f>IFERROR(INT(Table13[[#This Row],[reject_prod]]/Table13[[#This Row],[part_weight]] * 1000), 0)</f>
        <v>36</v>
      </c>
    </row>
    <row r="2441" spans="1:40">
      <c r="A2441" s="1">
        <v>46094</v>
      </c>
      <c r="B2441">
        <v>2</v>
      </c>
      <c r="C2441">
        <v>15</v>
      </c>
      <c r="D2441" t="s">
        <v>139</v>
      </c>
      <c r="E2441" t="s">
        <v>46</v>
      </c>
      <c r="F2441">
        <v>552181</v>
      </c>
      <c r="G2441" s="6">
        <v>2</v>
      </c>
      <c r="H2441" t="s">
        <v>49</v>
      </c>
      <c r="I2441">
        <v>10689122</v>
      </c>
      <c r="J2441">
        <v>6</v>
      </c>
      <c r="K2441">
        <v>14.7</v>
      </c>
      <c r="L2441">
        <v>14.7</v>
      </c>
      <c r="M2441">
        <v>1400</v>
      </c>
      <c r="N2441" s="2">
        <v>108000</v>
      </c>
      <c r="O2441" s="2">
        <v>2430</v>
      </c>
      <c r="P2441" s="2">
        <v>0</v>
      </c>
      <c r="Q2441" s="2">
        <v>8400</v>
      </c>
      <c r="R2441" s="2">
        <v>10800</v>
      </c>
      <c r="S2441">
        <v>158.76</v>
      </c>
      <c r="T2441" s="2">
        <v>54000</v>
      </c>
      <c r="U2441" s="2">
        <v>54000</v>
      </c>
      <c r="V2441">
        <v>123.48</v>
      </c>
      <c r="W2441">
        <v>0</v>
      </c>
      <c r="X2441">
        <v>0</v>
      </c>
      <c r="Y2441">
        <v>0</v>
      </c>
      <c r="Z2441">
        <v>1.1000000000000001</v>
      </c>
      <c r="AA2441">
        <v>8.9083249999999999E-3</v>
      </c>
      <c r="AB2441">
        <v>30.5</v>
      </c>
      <c r="AC2441">
        <v>11.86111111</v>
      </c>
      <c r="AD2441">
        <v>27</v>
      </c>
      <c r="AE2441" s="7"/>
      <c r="AF2441" s="7"/>
      <c r="AG2441" s="7"/>
      <c r="AH2441" s="7"/>
      <c r="AI2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441" s="7"/>
      <c r="AK2441" t="s">
        <v>51</v>
      </c>
      <c r="AN2441">
        <f>IFERROR(INT(Table13[[#This Row],[reject_prod]]/Table13[[#This Row],[part_weight]] * 1000), 0)</f>
        <v>74</v>
      </c>
    </row>
    <row r="2442" spans="1:40">
      <c r="A2442" s="1">
        <v>46094</v>
      </c>
      <c r="B2442">
        <v>2</v>
      </c>
      <c r="C2442">
        <v>16</v>
      </c>
      <c r="D2442" t="s">
        <v>88</v>
      </c>
      <c r="E2442" t="s">
        <v>46</v>
      </c>
      <c r="F2442">
        <v>555979</v>
      </c>
      <c r="G2442" s="6">
        <v>2</v>
      </c>
      <c r="H2442" t="s">
        <v>52</v>
      </c>
      <c r="I2442">
        <v>10688074</v>
      </c>
      <c r="J2442">
        <v>6</v>
      </c>
      <c r="K2442">
        <v>28</v>
      </c>
      <c r="L2442">
        <v>28</v>
      </c>
      <c r="M2442">
        <v>1045</v>
      </c>
      <c r="N2442" s="2">
        <v>100800</v>
      </c>
      <c r="O2442" s="2">
        <v>1176</v>
      </c>
      <c r="P2442" s="2">
        <v>672</v>
      </c>
      <c r="Q2442" s="2">
        <v>6270</v>
      </c>
      <c r="R2442" s="2">
        <v>6720</v>
      </c>
      <c r="S2442">
        <v>188.16</v>
      </c>
      <c r="T2442" s="2">
        <v>77952</v>
      </c>
      <c r="U2442" s="2">
        <v>22848</v>
      </c>
      <c r="V2442">
        <v>175.56</v>
      </c>
      <c r="W2442">
        <v>0</v>
      </c>
      <c r="X2442">
        <v>0</v>
      </c>
      <c r="Y2442">
        <v>0</v>
      </c>
      <c r="Z2442">
        <v>1.3</v>
      </c>
      <c r="AA2442">
        <v>7.4048760000000003E-3</v>
      </c>
      <c r="AB2442">
        <v>40.5</v>
      </c>
      <c r="AC2442">
        <v>11.75625</v>
      </c>
      <c r="AD2442">
        <v>42</v>
      </c>
      <c r="AE2442" s="7"/>
      <c r="AF2442" s="7"/>
      <c r="AG2442" s="7"/>
      <c r="AH2442" s="7"/>
      <c r="AI2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0.24375000000000036</v>
      </c>
      <c r="AJ2442" s="7"/>
      <c r="AK2442" t="s">
        <v>51</v>
      </c>
      <c r="AN2442">
        <f>IFERROR(INT(Table13[[#This Row],[reject_prod]]/Table13[[#This Row],[part_weight]] * 1000), 0)</f>
        <v>46</v>
      </c>
    </row>
    <row r="2443" spans="1:40">
      <c r="A2443" s="1">
        <v>46095</v>
      </c>
      <c r="B2443">
        <v>1</v>
      </c>
      <c r="C2443">
        <v>1</v>
      </c>
      <c r="D2443" t="s">
        <v>67</v>
      </c>
      <c r="E2443" t="s">
        <v>34</v>
      </c>
      <c r="F2443">
        <v>347623</v>
      </c>
      <c r="G2443" s="6">
        <v>0</v>
      </c>
      <c r="H2443" t="s">
        <v>35</v>
      </c>
      <c r="I2443">
        <v>10689833</v>
      </c>
      <c r="J2443">
        <v>4</v>
      </c>
      <c r="K2443">
        <v>35.6</v>
      </c>
      <c r="L2443">
        <v>35.6</v>
      </c>
      <c r="M2443">
        <v>1681</v>
      </c>
      <c r="N2443" s="2">
        <v>40480</v>
      </c>
      <c r="O2443" s="2">
        <v>736</v>
      </c>
      <c r="P2443" s="2">
        <v>0</v>
      </c>
      <c r="Q2443" s="2">
        <v>6724</v>
      </c>
      <c r="R2443" s="2">
        <v>7360</v>
      </c>
      <c r="S2443">
        <v>262.01600000000002</v>
      </c>
      <c r="T2443" s="2">
        <v>18400</v>
      </c>
      <c r="U2443" s="2">
        <v>22080</v>
      </c>
      <c r="V2443">
        <v>239.37440000000001</v>
      </c>
      <c r="W2443">
        <v>0</v>
      </c>
      <c r="X2443">
        <v>0</v>
      </c>
      <c r="Y2443">
        <v>0</v>
      </c>
      <c r="Z2443">
        <v>3.5</v>
      </c>
      <c r="AA2443">
        <v>1.4621446999999999E-2</v>
      </c>
      <c r="AB2443">
        <v>25.5</v>
      </c>
      <c r="AC2443">
        <v>11.907083330000001</v>
      </c>
      <c r="AD2443">
        <v>27</v>
      </c>
      <c r="AE2443" s="7"/>
      <c r="AF2443" s="7"/>
      <c r="AG2443" s="7"/>
      <c r="AH2443" s="7"/>
      <c r="AI2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9.2916669999999257E-2</v>
      </c>
      <c r="AJ2443" s="7"/>
      <c r="AK2443" t="s">
        <v>1251</v>
      </c>
      <c r="AN2443">
        <f>IFERROR(INT(Table13[[#This Row],[reject_prod]]/Table13[[#This Row],[part_weight]] * 1000), 0)</f>
        <v>98</v>
      </c>
    </row>
    <row r="2444" spans="1:40">
      <c r="A2444" s="1">
        <v>46095</v>
      </c>
      <c r="B2444">
        <v>1</v>
      </c>
      <c r="C2444">
        <v>2</v>
      </c>
      <c r="D2444" t="s">
        <v>1252</v>
      </c>
      <c r="E2444" t="s">
        <v>34</v>
      </c>
      <c r="F2444">
        <v>324163</v>
      </c>
      <c r="G2444" s="6">
        <v>0</v>
      </c>
      <c r="H2444" t="s">
        <v>672</v>
      </c>
      <c r="I2444">
        <v>10688495</v>
      </c>
      <c r="J2444">
        <v>4</v>
      </c>
      <c r="K2444">
        <v>24</v>
      </c>
      <c r="L2444">
        <v>23.5</v>
      </c>
      <c r="M2444">
        <v>1911</v>
      </c>
      <c r="N2444" s="2">
        <v>73152</v>
      </c>
      <c r="O2444" s="2">
        <v>0</v>
      </c>
      <c r="P2444" s="2">
        <v>3048</v>
      </c>
      <c r="Q2444" s="2">
        <v>7644</v>
      </c>
      <c r="R2444" s="2">
        <v>4572</v>
      </c>
      <c r="S2444">
        <v>107.44199999999999</v>
      </c>
      <c r="T2444" s="2">
        <v>12192</v>
      </c>
      <c r="U2444" s="2">
        <v>60960</v>
      </c>
      <c r="V2444">
        <v>179.63399999999999</v>
      </c>
      <c r="W2444">
        <v>3.8220000000000001</v>
      </c>
      <c r="X2444">
        <v>0</v>
      </c>
      <c r="Y2444">
        <v>0</v>
      </c>
      <c r="Z2444">
        <v>0.5</v>
      </c>
      <c r="AA2444">
        <v>2.7834370000000002E-3</v>
      </c>
      <c r="AB2444">
        <v>22</v>
      </c>
      <c r="AC2444">
        <v>11.678333329999999</v>
      </c>
      <c r="AD2444">
        <v>22.5</v>
      </c>
      <c r="AE2444" s="7"/>
      <c r="AF2444" s="7"/>
      <c r="AG2444" s="7"/>
      <c r="AH2444" s="7"/>
      <c r="AI2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0.32166667000000082</v>
      </c>
      <c r="AJ2444" s="7"/>
      <c r="AK2444" t="s">
        <v>214</v>
      </c>
      <c r="AN2444">
        <f>IFERROR(INT(Table13[[#This Row],[reject_prod]]/Table13[[#This Row],[part_weight]] * 1000), 0)</f>
        <v>21</v>
      </c>
    </row>
    <row r="2445" spans="1:40">
      <c r="A2445" s="1">
        <v>46095</v>
      </c>
      <c r="B2445">
        <v>1</v>
      </c>
      <c r="C2445">
        <v>3</v>
      </c>
      <c r="D2445" t="s">
        <v>40</v>
      </c>
      <c r="E2445" t="s">
        <v>34</v>
      </c>
      <c r="F2445">
        <v>442034</v>
      </c>
      <c r="G2445" s="6">
        <v>0</v>
      </c>
      <c r="H2445" t="s">
        <v>37</v>
      </c>
      <c r="I2445">
        <v>10685635</v>
      </c>
      <c r="J2445">
        <v>4</v>
      </c>
      <c r="K2445">
        <v>23</v>
      </c>
      <c r="L2445">
        <v>23</v>
      </c>
      <c r="M2445">
        <v>1489</v>
      </c>
      <c r="N2445" s="2">
        <v>139776</v>
      </c>
      <c r="O2445" s="2">
        <v>4224</v>
      </c>
      <c r="P2445" s="2">
        <v>768</v>
      </c>
      <c r="Q2445" s="2">
        <v>5956</v>
      </c>
      <c r="R2445" s="2">
        <v>9216</v>
      </c>
      <c r="S2445">
        <v>211.96799999999999</v>
      </c>
      <c r="T2445" s="2">
        <v>96768</v>
      </c>
      <c r="U2445" s="2">
        <v>43008</v>
      </c>
      <c r="V2445">
        <v>136.988</v>
      </c>
      <c r="W2445">
        <v>0</v>
      </c>
      <c r="X2445">
        <v>0</v>
      </c>
      <c r="Y2445">
        <v>0</v>
      </c>
      <c r="Z2445">
        <v>4.5</v>
      </c>
      <c r="AA2445">
        <v>3.2849593000000003E-2</v>
      </c>
      <c r="AB2445">
        <v>28</v>
      </c>
      <c r="AC2445">
        <v>11.58111111</v>
      </c>
      <c r="AD2445">
        <v>22</v>
      </c>
      <c r="AE2445" s="7"/>
      <c r="AF2445" s="7"/>
      <c r="AG2445" s="7"/>
      <c r="AH2445" s="7"/>
      <c r="AI2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0.41888888999999985</v>
      </c>
      <c r="AJ2445" s="7"/>
      <c r="AK2445" t="s">
        <v>103</v>
      </c>
      <c r="AN2445">
        <f>IFERROR(INT(Table13[[#This Row],[reject_prod]]/Table13[[#This Row],[part_weight]] * 1000), 0)</f>
        <v>195</v>
      </c>
    </row>
    <row r="2446" spans="1:40">
      <c r="A2446" s="1">
        <v>46095</v>
      </c>
      <c r="B2446">
        <v>1</v>
      </c>
      <c r="C2446">
        <v>4</v>
      </c>
      <c r="D2446" t="s">
        <v>141</v>
      </c>
      <c r="E2446" t="s">
        <v>34</v>
      </c>
      <c r="F2446">
        <v>426555</v>
      </c>
      <c r="G2446" s="6">
        <v>0</v>
      </c>
      <c r="H2446" t="s">
        <v>1128</v>
      </c>
      <c r="I2446">
        <v>10688066</v>
      </c>
      <c r="J2446">
        <v>4</v>
      </c>
      <c r="K2446">
        <v>29</v>
      </c>
      <c r="L2446">
        <v>29</v>
      </c>
      <c r="M2446">
        <v>1199</v>
      </c>
      <c r="N2446" s="2">
        <v>81600</v>
      </c>
      <c r="O2446" s="2">
        <v>340</v>
      </c>
      <c r="P2446" s="2">
        <v>0</v>
      </c>
      <c r="Q2446" s="2">
        <v>4796</v>
      </c>
      <c r="R2446" s="2">
        <v>5100</v>
      </c>
      <c r="S2446">
        <v>147.9</v>
      </c>
      <c r="T2446" s="2">
        <v>81600</v>
      </c>
      <c r="U2446" s="2">
        <v>0</v>
      </c>
      <c r="V2446">
        <v>139.084</v>
      </c>
      <c r="W2446">
        <v>0</v>
      </c>
      <c r="X2446">
        <v>0</v>
      </c>
      <c r="Y2446">
        <v>0</v>
      </c>
      <c r="Z2446">
        <v>1</v>
      </c>
      <c r="AA2446">
        <v>7.1898999999999999E-3</v>
      </c>
      <c r="AB2446">
        <v>24.6</v>
      </c>
      <c r="AC2446">
        <v>8.1931666669999998</v>
      </c>
      <c r="AD2446">
        <v>22.72</v>
      </c>
      <c r="AE2446" s="7"/>
      <c r="AF2446" s="7"/>
      <c r="AG2446" s="7"/>
      <c r="AH2446" s="7"/>
      <c r="AI2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3.8068333330000002</v>
      </c>
      <c r="AJ2446" s="7"/>
      <c r="AK2446" t="s">
        <v>1253</v>
      </c>
      <c r="AN2446">
        <f>IFERROR(INT(Table13[[#This Row],[reject_prod]]/Table13[[#This Row],[part_weight]] * 1000), 0)</f>
        <v>34</v>
      </c>
    </row>
    <row r="2447" spans="1:40">
      <c r="A2447" s="1">
        <v>46095</v>
      </c>
      <c r="B2447">
        <v>1</v>
      </c>
      <c r="C2447">
        <v>4</v>
      </c>
      <c r="E2447" t="s">
        <v>34</v>
      </c>
      <c r="F2447">
        <v>400860</v>
      </c>
      <c r="G2447" s="6">
        <v>0</v>
      </c>
      <c r="H2447" t="s">
        <v>1254</v>
      </c>
      <c r="I2447">
        <v>10689109</v>
      </c>
      <c r="J2447">
        <v>4</v>
      </c>
      <c r="K2447">
        <v>29.27</v>
      </c>
      <c r="L2447">
        <v>29</v>
      </c>
      <c r="M2447">
        <v>0</v>
      </c>
      <c r="N2447" s="2">
        <v>43092</v>
      </c>
      <c r="O2447" s="2">
        <v>0</v>
      </c>
      <c r="P2447" s="2">
        <v>0</v>
      </c>
      <c r="Q2447" s="2">
        <v>0</v>
      </c>
      <c r="R2447" s="2">
        <v>0</v>
      </c>
      <c r="S2447">
        <v>0</v>
      </c>
      <c r="T2447" s="2">
        <v>0</v>
      </c>
      <c r="U2447" s="2">
        <v>43092</v>
      </c>
      <c r="V2447">
        <v>0</v>
      </c>
      <c r="W2447">
        <v>0</v>
      </c>
      <c r="X2447">
        <v>2.5</v>
      </c>
      <c r="Y2447" t="e">
        <v>#DIV/0!</v>
      </c>
      <c r="Z2447">
        <v>0</v>
      </c>
      <c r="AA2447" t="e">
        <v>#DIV/0!</v>
      </c>
      <c r="AB2447">
        <v>25.2</v>
      </c>
      <c r="AC2447">
        <v>0</v>
      </c>
      <c r="AD2447">
        <v>22</v>
      </c>
      <c r="AE2447" s="7"/>
      <c r="AF2447" s="7"/>
      <c r="AG2447" s="7">
        <v>2</v>
      </c>
      <c r="AH2447" s="7"/>
      <c r="AI2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2447" s="7"/>
      <c r="AK2447" t="s">
        <v>673</v>
      </c>
      <c r="AL2447">
        <v>1</v>
      </c>
      <c r="AM2447">
        <v>1</v>
      </c>
      <c r="AN2447">
        <f>IFERROR(INT(Table13[[#This Row],[reject_prod]]/Table13[[#This Row],[part_weight]] * 1000), 0)</f>
        <v>0</v>
      </c>
    </row>
    <row r="2448" spans="1:40">
      <c r="A2448" s="1">
        <v>46095</v>
      </c>
      <c r="B2448">
        <v>1</v>
      </c>
      <c r="C2448">
        <v>5</v>
      </c>
      <c r="D2448" t="s">
        <v>219</v>
      </c>
      <c r="E2448" t="s">
        <v>34</v>
      </c>
      <c r="F2448">
        <v>322448</v>
      </c>
      <c r="G2448" s="6">
        <v>0</v>
      </c>
      <c r="H2448" t="s">
        <v>654</v>
      </c>
      <c r="I2448">
        <v>10687753</v>
      </c>
      <c r="J2448">
        <v>4</v>
      </c>
      <c r="K2448">
        <v>40</v>
      </c>
      <c r="L2448">
        <v>40</v>
      </c>
      <c r="M2448">
        <v>1069</v>
      </c>
      <c r="N2448" s="2">
        <v>174960</v>
      </c>
      <c r="O2448" s="2">
        <v>648</v>
      </c>
      <c r="P2448" s="2">
        <v>0</v>
      </c>
      <c r="Q2448" s="2">
        <v>4276</v>
      </c>
      <c r="R2448" s="2">
        <v>4860</v>
      </c>
      <c r="S2448">
        <v>194.4</v>
      </c>
      <c r="T2448" s="2">
        <v>174960</v>
      </c>
      <c r="U2448" s="2">
        <v>0</v>
      </c>
      <c r="V2448">
        <v>171.04</v>
      </c>
      <c r="W2448">
        <v>0</v>
      </c>
      <c r="X2448">
        <v>0</v>
      </c>
      <c r="Y2448">
        <v>0</v>
      </c>
      <c r="Z2448">
        <v>2.5</v>
      </c>
      <c r="AA2448">
        <v>1.4616463999999999E-2</v>
      </c>
      <c r="AB2448">
        <v>26.1</v>
      </c>
      <c r="AC2448">
        <v>7.7502500000000003</v>
      </c>
      <c r="AD2448">
        <v>23</v>
      </c>
      <c r="AE2448" s="7"/>
      <c r="AF2448" s="7"/>
      <c r="AG2448" s="7"/>
      <c r="AH2448" s="7"/>
      <c r="AI2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4.2497499999999997</v>
      </c>
      <c r="AJ2448" s="7"/>
      <c r="AK2448" t="s">
        <v>1255</v>
      </c>
      <c r="AN2448">
        <f>IFERROR(INT(Table13[[#This Row],[reject_prod]]/Table13[[#This Row],[part_weight]] * 1000), 0)</f>
        <v>62</v>
      </c>
    </row>
    <row r="2449" spans="1:40">
      <c r="A2449" s="1">
        <v>46095</v>
      </c>
      <c r="B2449">
        <v>1</v>
      </c>
      <c r="C2449">
        <v>6</v>
      </c>
      <c r="D2449" t="s">
        <v>1256</v>
      </c>
      <c r="E2449" t="s">
        <v>34</v>
      </c>
      <c r="F2449">
        <v>322445</v>
      </c>
      <c r="G2449" s="6">
        <v>0</v>
      </c>
      <c r="H2449" t="s">
        <v>743</v>
      </c>
      <c r="I2449">
        <v>10689565</v>
      </c>
      <c r="J2449">
        <v>4</v>
      </c>
      <c r="K2449">
        <v>32.74</v>
      </c>
      <c r="L2449">
        <v>33</v>
      </c>
      <c r="M2449">
        <v>1954</v>
      </c>
      <c r="N2449" s="2">
        <v>72000</v>
      </c>
      <c r="O2449" s="2">
        <v>360</v>
      </c>
      <c r="P2449" s="2">
        <v>900</v>
      </c>
      <c r="Q2449" s="2">
        <v>7816</v>
      </c>
      <c r="R2449" s="2">
        <v>7200</v>
      </c>
      <c r="S2449">
        <v>237.6</v>
      </c>
      <c r="T2449" s="2">
        <v>43200</v>
      </c>
      <c r="U2449" s="2">
        <v>28800</v>
      </c>
      <c r="V2449">
        <v>257.928</v>
      </c>
      <c r="W2449">
        <v>0</v>
      </c>
      <c r="X2449">
        <v>0</v>
      </c>
      <c r="Y2449">
        <v>0</v>
      </c>
      <c r="Z2449">
        <v>2.5</v>
      </c>
      <c r="AA2449">
        <v>9.6926270000000005E-3</v>
      </c>
      <c r="AB2449">
        <v>22</v>
      </c>
      <c r="AC2449">
        <v>11.94111111</v>
      </c>
      <c r="AD2449">
        <v>22</v>
      </c>
      <c r="AE2449" s="7"/>
      <c r="AF2449" s="7"/>
      <c r="AG2449" s="7"/>
      <c r="AH2449" s="7"/>
      <c r="AI2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5.8888890000000416E-2</v>
      </c>
      <c r="AJ2449" s="7"/>
      <c r="AK2449" t="s">
        <v>411</v>
      </c>
      <c r="AN2449">
        <f>IFERROR(INT(Table13[[#This Row],[reject_prod]]/Table13[[#This Row],[part_weight]] * 1000), 0)</f>
        <v>75</v>
      </c>
    </row>
    <row r="2450" spans="1:40">
      <c r="A2450" s="1">
        <v>46095</v>
      </c>
      <c r="B2450">
        <v>1</v>
      </c>
      <c r="C2450">
        <v>7</v>
      </c>
      <c r="D2450" t="s">
        <v>33</v>
      </c>
      <c r="E2450" t="s">
        <v>34</v>
      </c>
      <c r="F2450">
        <v>322391</v>
      </c>
      <c r="G2450" s="6">
        <v>0</v>
      </c>
      <c r="H2450" t="s">
        <v>1224</v>
      </c>
      <c r="I2450">
        <v>10690125</v>
      </c>
      <c r="J2450">
        <v>4</v>
      </c>
      <c r="K2450">
        <v>20</v>
      </c>
      <c r="L2450">
        <v>20</v>
      </c>
      <c r="M2450">
        <v>0</v>
      </c>
      <c r="N2450" s="2">
        <v>6500</v>
      </c>
      <c r="O2450" s="2">
        <v>6500</v>
      </c>
      <c r="P2450" s="2">
        <v>0</v>
      </c>
      <c r="Q2450" s="2">
        <v>0</v>
      </c>
      <c r="R2450" s="2">
        <v>6500</v>
      </c>
      <c r="S2450">
        <v>130</v>
      </c>
      <c r="T2450" s="2">
        <v>0</v>
      </c>
      <c r="U2450" s="2">
        <v>6500</v>
      </c>
      <c r="V2450">
        <v>0</v>
      </c>
      <c r="W2450">
        <v>0</v>
      </c>
      <c r="X2450">
        <v>0</v>
      </c>
      <c r="Y2450" t="e">
        <v>#DIV/0!</v>
      </c>
      <c r="Z2450">
        <v>0</v>
      </c>
      <c r="AA2450" t="e">
        <v>#DIV/0!</v>
      </c>
      <c r="AB2450">
        <v>20.9</v>
      </c>
      <c r="AC2450">
        <v>0</v>
      </c>
      <c r="AD2450">
        <v>20</v>
      </c>
      <c r="AE2450" s="7"/>
      <c r="AF2450" s="7"/>
      <c r="AG2450" s="7"/>
      <c r="AH2450" s="7"/>
      <c r="AI2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50" s="7"/>
      <c r="AK2450" t="s">
        <v>1257</v>
      </c>
      <c r="AN2450">
        <f>IFERROR(INT(Table13[[#This Row],[reject_prod]]/Table13[[#This Row],[part_weight]] * 1000), 0)</f>
        <v>0</v>
      </c>
    </row>
    <row r="2451" spans="1:40">
      <c r="A2451" s="1">
        <v>46095</v>
      </c>
      <c r="B2451">
        <v>1</v>
      </c>
      <c r="C2451">
        <v>7</v>
      </c>
      <c r="D2451" t="s">
        <v>112</v>
      </c>
      <c r="E2451" t="s">
        <v>34</v>
      </c>
      <c r="F2451">
        <v>324198</v>
      </c>
      <c r="G2451" s="6">
        <v>0</v>
      </c>
      <c r="H2451" t="s">
        <v>632</v>
      </c>
      <c r="I2451">
        <v>10685209</v>
      </c>
      <c r="J2451">
        <v>4</v>
      </c>
      <c r="K2451">
        <v>20</v>
      </c>
      <c r="L2451">
        <v>20</v>
      </c>
      <c r="M2451">
        <v>167</v>
      </c>
      <c r="N2451" s="2">
        <v>25920</v>
      </c>
      <c r="O2451" s="2">
        <v>0</v>
      </c>
      <c r="P2451" s="2">
        <v>500</v>
      </c>
      <c r="Q2451" s="2">
        <v>668</v>
      </c>
      <c r="R2451" s="2">
        <v>0</v>
      </c>
      <c r="S2451">
        <v>0</v>
      </c>
      <c r="T2451" s="2">
        <v>500</v>
      </c>
      <c r="U2451" s="2">
        <v>25420</v>
      </c>
      <c r="V2451">
        <v>13.36</v>
      </c>
      <c r="W2451">
        <v>0</v>
      </c>
      <c r="X2451">
        <v>1.5</v>
      </c>
      <c r="Y2451">
        <v>0.112275449</v>
      </c>
      <c r="Z2451">
        <v>0</v>
      </c>
      <c r="AA2451">
        <v>0</v>
      </c>
      <c r="AB2451">
        <v>21</v>
      </c>
      <c r="AC2451">
        <v>0.97416666699999999</v>
      </c>
      <c r="AD2451">
        <v>19.5</v>
      </c>
      <c r="AE2451" s="7"/>
      <c r="AF2451" s="7"/>
      <c r="AG2451" s="7"/>
      <c r="AH2451" s="7"/>
      <c r="AI2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11.025833333</v>
      </c>
      <c r="AJ2451" s="7"/>
      <c r="AK2451" t="s">
        <v>1258</v>
      </c>
      <c r="AL2451">
        <v>6</v>
      </c>
      <c r="AM2451">
        <v>4</v>
      </c>
      <c r="AN2451">
        <f>IFERROR(INT(Table13[[#This Row],[reject_prod]]/Table13[[#This Row],[part_weight]] * 1000), 0)</f>
        <v>0</v>
      </c>
    </row>
    <row r="2452" spans="1:40">
      <c r="A2452" s="1">
        <v>46095</v>
      </c>
      <c r="B2452">
        <v>1</v>
      </c>
      <c r="C2452">
        <v>8</v>
      </c>
      <c r="D2452" t="s">
        <v>328</v>
      </c>
      <c r="E2452" t="s">
        <v>41</v>
      </c>
      <c r="F2452">
        <v>593537</v>
      </c>
      <c r="G2452" s="6">
        <v>0</v>
      </c>
      <c r="H2452" t="s">
        <v>48</v>
      </c>
      <c r="I2452">
        <v>10688068</v>
      </c>
      <c r="J2452">
        <v>4</v>
      </c>
      <c r="K2452">
        <v>56.5</v>
      </c>
      <c r="L2452">
        <v>56.8</v>
      </c>
      <c r="M2452">
        <v>1432</v>
      </c>
      <c r="N2452" s="2">
        <v>69000</v>
      </c>
      <c r="O2452" s="2">
        <v>200</v>
      </c>
      <c r="P2452" s="2">
        <v>115</v>
      </c>
      <c r="Q2452" s="2">
        <v>5728</v>
      </c>
      <c r="R2452" s="2">
        <v>5750</v>
      </c>
      <c r="S2452">
        <v>326.60000000000002</v>
      </c>
      <c r="T2452" s="2">
        <v>40940</v>
      </c>
      <c r="U2452" s="2">
        <v>28060</v>
      </c>
      <c r="V2452">
        <v>325.35039999999998</v>
      </c>
      <c r="W2452">
        <v>0</v>
      </c>
      <c r="X2452">
        <v>0</v>
      </c>
      <c r="Y2452">
        <v>0</v>
      </c>
      <c r="Z2452">
        <v>3.5</v>
      </c>
      <c r="AA2452">
        <v>1.0757632E-2</v>
      </c>
      <c r="AB2452">
        <v>30.1</v>
      </c>
      <c r="AC2452">
        <v>11.97311111</v>
      </c>
      <c r="AD2452">
        <v>28.5</v>
      </c>
      <c r="AE2452" s="7"/>
      <c r="AF2452" s="7"/>
      <c r="AG2452" s="7"/>
      <c r="AH2452" s="7"/>
      <c r="AI2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2.6888890000000387E-2</v>
      </c>
      <c r="AJ2452" s="7"/>
      <c r="AK2452" t="s">
        <v>178</v>
      </c>
      <c r="AN2452">
        <f>IFERROR(INT(Table13[[#This Row],[reject_prod]]/Table13[[#This Row],[part_weight]] * 1000), 0)</f>
        <v>61</v>
      </c>
    </row>
    <row r="2453" spans="1:40">
      <c r="A2453" s="1">
        <v>46095</v>
      </c>
      <c r="B2453">
        <v>1</v>
      </c>
      <c r="C2453">
        <v>9</v>
      </c>
      <c r="D2453" t="s">
        <v>65</v>
      </c>
      <c r="E2453" t="s">
        <v>46</v>
      </c>
      <c r="F2453">
        <v>586276</v>
      </c>
      <c r="G2453" s="6">
        <v>1</v>
      </c>
      <c r="H2453" t="s">
        <v>47</v>
      </c>
      <c r="I2453">
        <v>10689111</v>
      </c>
      <c r="J2453">
        <v>6</v>
      </c>
      <c r="K2453">
        <v>12.3</v>
      </c>
      <c r="L2453">
        <v>12.3</v>
      </c>
      <c r="M2453">
        <v>1602</v>
      </c>
      <c r="N2453" s="2">
        <v>162000</v>
      </c>
      <c r="O2453" s="2">
        <v>5265</v>
      </c>
      <c r="P2453" s="2">
        <v>6480</v>
      </c>
      <c r="Q2453" s="2">
        <v>9612</v>
      </c>
      <c r="R2453" s="2">
        <v>8100</v>
      </c>
      <c r="S2453">
        <v>99.63</v>
      </c>
      <c r="T2453" s="2">
        <v>95500</v>
      </c>
      <c r="U2453" s="2">
        <v>66500</v>
      </c>
      <c r="V2453">
        <v>118.2276</v>
      </c>
      <c r="W2453">
        <v>0</v>
      </c>
      <c r="X2453">
        <v>0</v>
      </c>
      <c r="Y2453">
        <v>0</v>
      </c>
      <c r="Z2453">
        <v>3.5</v>
      </c>
      <c r="AA2453">
        <v>2.9603917E-2</v>
      </c>
      <c r="AB2453">
        <v>26.5</v>
      </c>
      <c r="AC2453">
        <v>11.7925</v>
      </c>
      <c r="AD2453">
        <v>26</v>
      </c>
      <c r="AE2453" s="7"/>
      <c r="AF2453" s="7"/>
      <c r="AG2453" s="7"/>
      <c r="AH2453" s="7"/>
      <c r="AI2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0.20749999999999957</v>
      </c>
      <c r="AJ2453" s="7"/>
      <c r="AK2453" t="s">
        <v>1239</v>
      </c>
      <c r="AN2453">
        <f>IFERROR(INT(Table13[[#This Row],[reject_prod]]/Table13[[#This Row],[part_weight]] * 1000), 0)</f>
        <v>284</v>
      </c>
    </row>
    <row r="2454" spans="1:40">
      <c r="A2454" s="1">
        <v>46095</v>
      </c>
      <c r="B2454">
        <v>1</v>
      </c>
      <c r="C2454">
        <v>10</v>
      </c>
      <c r="D2454" t="s">
        <v>61</v>
      </c>
      <c r="E2454" t="s">
        <v>34</v>
      </c>
      <c r="F2454">
        <v>414439</v>
      </c>
      <c r="G2454" s="6">
        <v>0</v>
      </c>
      <c r="H2454" t="s">
        <v>587</v>
      </c>
      <c r="I2454">
        <v>10688521</v>
      </c>
      <c r="J2454">
        <v>6</v>
      </c>
      <c r="K2454">
        <v>57</v>
      </c>
      <c r="L2454">
        <v>15</v>
      </c>
      <c r="M2454">
        <v>1188</v>
      </c>
      <c r="N2454" s="2">
        <v>206976</v>
      </c>
      <c r="O2454" s="2">
        <v>1848</v>
      </c>
      <c r="P2454" s="2">
        <v>616</v>
      </c>
      <c r="Q2454" s="2">
        <v>7128</v>
      </c>
      <c r="R2454" s="2">
        <v>7392</v>
      </c>
      <c r="S2454">
        <v>110.88</v>
      </c>
      <c r="T2454" s="2">
        <v>185416</v>
      </c>
      <c r="U2454" s="2">
        <v>21560</v>
      </c>
      <c r="V2454">
        <v>106.92</v>
      </c>
      <c r="W2454">
        <v>0</v>
      </c>
      <c r="X2454">
        <v>0</v>
      </c>
      <c r="Y2454">
        <v>0</v>
      </c>
      <c r="Z2454">
        <v>14.5</v>
      </c>
      <c r="AA2454">
        <v>0.13561541299999999</v>
      </c>
      <c r="AB2454">
        <v>23.7</v>
      </c>
      <c r="AC2454">
        <v>7.8209999999999997</v>
      </c>
      <c r="AD2454">
        <v>15</v>
      </c>
      <c r="AE2454" s="7"/>
      <c r="AF2454" s="7"/>
      <c r="AG2454" s="7"/>
      <c r="AH2454" s="7"/>
      <c r="AI2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4.1790000000000003</v>
      </c>
      <c r="AJ2454" s="7"/>
      <c r="AK2454" t="s">
        <v>1259</v>
      </c>
      <c r="AL2454">
        <v>8</v>
      </c>
      <c r="AM2454">
        <v>16</v>
      </c>
      <c r="AN2454">
        <f>IFERROR(INT(Table13[[#This Row],[reject_prod]]/Table13[[#This Row],[part_weight]] * 1000), 0)</f>
        <v>966</v>
      </c>
    </row>
    <row r="2455" spans="1:40">
      <c r="A2455" s="1">
        <v>46095</v>
      </c>
      <c r="B2455">
        <v>1</v>
      </c>
      <c r="C2455">
        <v>11</v>
      </c>
      <c r="D2455" t="s">
        <v>112</v>
      </c>
      <c r="E2455" t="s">
        <v>46</v>
      </c>
      <c r="F2455">
        <v>552181</v>
      </c>
      <c r="G2455" s="6">
        <v>1</v>
      </c>
      <c r="H2455" t="s">
        <v>49</v>
      </c>
      <c r="I2455">
        <v>10688069</v>
      </c>
      <c r="J2455">
        <v>6</v>
      </c>
      <c r="K2455">
        <v>14.7</v>
      </c>
      <c r="L2455">
        <v>14.7</v>
      </c>
      <c r="M2455">
        <v>1476</v>
      </c>
      <c r="N2455" s="2">
        <v>108000</v>
      </c>
      <c r="O2455" s="2">
        <v>1620</v>
      </c>
      <c r="P2455" s="2">
        <v>0</v>
      </c>
      <c r="Q2455" s="2">
        <v>8856</v>
      </c>
      <c r="R2455" s="2">
        <v>10800</v>
      </c>
      <c r="S2455">
        <v>158.76</v>
      </c>
      <c r="T2455" s="2">
        <v>37800</v>
      </c>
      <c r="U2455" s="2">
        <v>70200</v>
      </c>
      <c r="V2455">
        <v>130.1832</v>
      </c>
      <c r="W2455">
        <v>0</v>
      </c>
      <c r="X2455">
        <v>0</v>
      </c>
      <c r="Y2455">
        <v>0</v>
      </c>
      <c r="Z2455">
        <v>0.5</v>
      </c>
      <c r="AA2455">
        <v>3.8407409999999999E-3</v>
      </c>
      <c r="AB2455">
        <v>29.2</v>
      </c>
      <c r="AC2455">
        <v>11.972</v>
      </c>
      <c r="AD2455">
        <v>27</v>
      </c>
      <c r="AE2455" s="7"/>
      <c r="AF2455" s="7"/>
      <c r="AG2455" s="7"/>
      <c r="AH2455" s="7"/>
      <c r="AI2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2.8000000000000469E-2</v>
      </c>
      <c r="AJ2455" s="7"/>
      <c r="AK2455" t="s">
        <v>51</v>
      </c>
      <c r="AN2455">
        <f>IFERROR(INT(Table13[[#This Row],[reject_prod]]/Table13[[#This Row],[part_weight]] * 1000), 0)</f>
        <v>34</v>
      </c>
    </row>
    <row r="2456" spans="1:40">
      <c r="A2456" s="1">
        <v>46095</v>
      </c>
      <c r="B2456">
        <v>1</v>
      </c>
      <c r="C2456">
        <v>12</v>
      </c>
      <c r="D2456" t="s">
        <v>69</v>
      </c>
      <c r="E2456" t="s">
        <v>46</v>
      </c>
      <c r="F2456">
        <v>555979</v>
      </c>
      <c r="G2456" s="6">
        <v>1</v>
      </c>
      <c r="H2456" t="s">
        <v>52</v>
      </c>
      <c r="I2456">
        <v>10689126</v>
      </c>
      <c r="J2456">
        <v>6</v>
      </c>
      <c r="K2456">
        <v>28</v>
      </c>
      <c r="L2456">
        <v>28</v>
      </c>
      <c r="M2456">
        <v>317</v>
      </c>
      <c r="N2456" s="2">
        <v>100800</v>
      </c>
      <c r="O2456" s="2">
        <v>7560</v>
      </c>
      <c r="P2456" s="2">
        <v>3024</v>
      </c>
      <c r="Q2456" s="2">
        <v>1902</v>
      </c>
      <c r="R2456" s="2">
        <v>0</v>
      </c>
      <c r="S2456">
        <v>0</v>
      </c>
      <c r="T2456" s="2">
        <v>13440</v>
      </c>
      <c r="U2456" s="2">
        <v>87360</v>
      </c>
      <c r="V2456">
        <v>53.256</v>
      </c>
      <c r="W2456">
        <v>0</v>
      </c>
      <c r="X2456">
        <v>0</v>
      </c>
      <c r="Y2456">
        <v>0</v>
      </c>
      <c r="Z2456">
        <v>12.5</v>
      </c>
      <c r="AA2456">
        <v>0.234715337</v>
      </c>
      <c r="AB2456">
        <v>41.2</v>
      </c>
      <c r="AC2456">
        <v>3.6278888889999998</v>
      </c>
      <c r="AD2456">
        <v>42</v>
      </c>
      <c r="AE2456" s="7"/>
      <c r="AF2456" s="7"/>
      <c r="AG2456" s="7"/>
      <c r="AH2456" s="7"/>
      <c r="AI24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8.3721111110000006</v>
      </c>
      <c r="AJ2456" s="7"/>
      <c r="AK2456" t="s">
        <v>1260</v>
      </c>
      <c r="AN2456">
        <f>IFERROR(INT(Table13[[#This Row],[reject_prod]]/Table13[[#This Row],[part_weight]] * 1000), 0)</f>
        <v>446</v>
      </c>
    </row>
    <row r="2457" spans="1:40">
      <c r="A2457" s="1">
        <v>46095</v>
      </c>
      <c r="B2457">
        <v>1</v>
      </c>
      <c r="C2457">
        <v>13</v>
      </c>
      <c r="D2457" t="s">
        <v>510</v>
      </c>
      <c r="E2457" t="s">
        <v>46</v>
      </c>
      <c r="F2457">
        <v>586276</v>
      </c>
      <c r="G2457" s="6">
        <v>2</v>
      </c>
      <c r="H2457" t="s">
        <v>47</v>
      </c>
      <c r="I2457">
        <v>10689118</v>
      </c>
      <c r="J2457">
        <v>6</v>
      </c>
      <c r="K2457">
        <v>12.3</v>
      </c>
      <c r="L2457">
        <v>12.3</v>
      </c>
      <c r="M2457">
        <v>1641</v>
      </c>
      <c r="N2457" s="2">
        <v>162000</v>
      </c>
      <c r="O2457" s="2">
        <v>5670</v>
      </c>
      <c r="P2457" s="2">
        <v>7290</v>
      </c>
      <c r="Q2457" s="2">
        <v>9846</v>
      </c>
      <c r="R2457" s="2">
        <v>8100</v>
      </c>
      <c r="S2457">
        <v>99.63</v>
      </c>
      <c r="T2457" s="2">
        <v>63990</v>
      </c>
      <c r="U2457" s="2">
        <v>98010</v>
      </c>
      <c r="V2457">
        <v>121.1058</v>
      </c>
      <c r="W2457">
        <v>0</v>
      </c>
      <c r="X2457">
        <v>0</v>
      </c>
      <c r="Y2457">
        <v>0</v>
      </c>
      <c r="Z2457">
        <v>1.5</v>
      </c>
      <c r="AA2457">
        <v>1.2385864E-2</v>
      </c>
      <c r="AB2457">
        <v>26.2</v>
      </c>
      <c r="AC2457">
        <v>11.942833329999999</v>
      </c>
      <c r="AD2457">
        <v>26</v>
      </c>
      <c r="AE2457" s="7"/>
      <c r="AF2457" s="7"/>
      <c r="AG2457" s="7"/>
      <c r="AH2457" s="7"/>
      <c r="AI2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457" s="7"/>
      <c r="AK2457" t="s">
        <v>51</v>
      </c>
      <c r="AL2457">
        <v>6</v>
      </c>
      <c r="AM2457">
        <v>3</v>
      </c>
      <c r="AN2457">
        <f>IFERROR(INT(Table13[[#This Row],[reject_prod]]/Table13[[#This Row],[part_weight]] * 1000), 0)</f>
        <v>121</v>
      </c>
    </row>
    <row r="2458" spans="1:40">
      <c r="A2458" s="1">
        <v>46095</v>
      </c>
      <c r="B2458">
        <v>1</v>
      </c>
      <c r="C2458">
        <v>14</v>
      </c>
      <c r="D2458" t="s">
        <v>152</v>
      </c>
      <c r="E2458" t="s">
        <v>34</v>
      </c>
      <c r="F2458">
        <v>541381</v>
      </c>
      <c r="G2458" s="6">
        <v>0</v>
      </c>
      <c r="H2458" t="s">
        <v>804</v>
      </c>
      <c r="I2458">
        <v>10688073</v>
      </c>
      <c r="J2458">
        <v>4</v>
      </c>
      <c r="K2458">
        <v>55</v>
      </c>
      <c r="L2458">
        <v>55</v>
      </c>
      <c r="M2458">
        <v>1553</v>
      </c>
      <c r="N2458" s="2">
        <v>84000</v>
      </c>
      <c r="O2458" s="2">
        <v>0</v>
      </c>
      <c r="P2458" s="2">
        <v>525</v>
      </c>
      <c r="Q2458" s="2">
        <v>6212</v>
      </c>
      <c r="R2458" s="2">
        <v>5600</v>
      </c>
      <c r="S2458">
        <v>308</v>
      </c>
      <c r="T2458" s="2">
        <v>81725</v>
      </c>
      <c r="U2458" s="2">
        <v>2275</v>
      </c>
      <c r="V2458">
        <v>341.66</v>
      </c>
      <c r="W2458">
        <v>0</v>
      </c>
      <c r="X2458">
        <v>0</v>
      </c>
      <c r="Y2458">
        <v>0</v>
      </c>
      <c r="Z2458">
        <v>4.5</v>
      </c>
      <c r="AA2458">
        <v>1.3170988999999999E-2</v>
      </c>
      <c r="AB2458">
        <v>27.3</v>
      </c>
      <c r="AC2458">
        <v>11.77691667</v>
      </c>
      <c r="AD2458">
        <v>30.08</v>
      </c>
      <c r="AE2458" s="7"/>
      <c r="AF2458" s="7"/>
      <c r="AG2458" s="7"/>
      <c r="AH2458" s="7"/>
      <c r="AI2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0.22308332999999969</v>
      </c>
      <c r="AJ2458" s="7"/>
      <c r="AK2458" t="s">
        <v>1251</v>
      </c>
      <c r="AN2458">
        <f>IFERROR(INT(Table13[[#This Row],[reject_prod]]/Table13[[#This Row],[part_weight]] * 1000), 0)</f>
        <v>81</v>
      </c>
    </row>
    <row r="2459" spans="1:40">
      <c r="A2459" s="1">
        <v>46095</v>
      </c>
      <c r="B2459">
        <v>1</v>
      </c>
      <c r="C2459">
        <v>15</v>
      </c>
      <c r="D2459" t="s">
        <v>112</v>
      </c>
      <c r="E2459" t="s">
        <v>46</v>
      </c>
      <c r="F2459">
        <v>552181</v>
      </c>
      <c r="G2459" s="6">
        <v>2</v>
      </c>
      <c r="H2459" t="s">
        <v>49</v>
      </c>
      <c r="I2459">
        <v>10689122</v>
      </c>
      <c r="J2459">
        <v>6</v>
      </c>
      <c r="K2459">
        <v>14.7</v>
      </c>
      <c r="L2459">
        <v>14.7</v>
      </c>
      <c r="M2459">
        <v>1401</v>
      </c>
      <c r="N2459" s="2">
        <v>108000</v>
      </c>
      <c r="O2459" s="2">
        <v>0</v>
      </c>
      <c r="P2459" s="2">
        <v>2970</v>
      </c>
      <c r="Q2459" s="2">
        <v>8406</v>
      </c>
      <c r="R2459" s="2">
        <v>5400</v>
      </c>
      <c r="S2459">
        <v>79.38</v>
      </c>
      <c r="T2459" s="2">
        <v>62370</v>
      </c>
      <c r="U2459" s="2">
        <v>45630</v>
      </c>
      <c r="V2459">
        <v>123.5682</v>
      </c>
      <c r="W2459">
        <v>0</v>
      </c>
      <c r="X2459">
        <v>0</v>
      </c>
      <c r="Y2459">
        <v>0</v>
      </c>
      <c r="Z2459">
        <v>0.5</v>
      </c>
      <c r="AA2459">
        <v>4.046348E-3</v>
      </c>
      <c r="AB2459">
        <v>30.6</v>
      </c>
      <c r="AC2459">
        <v>11.9085</v>
      </c>
      <c r="AD2459">
        <v>27</v>
      </c>
      <c r="AE2459" s="7"/>
      <c r="AF2459" s="7"/>
      <c r="AG2459" s="7"/>
      <c r="AH2459" s="7"/>
      <c r="AI2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459" s="7"/>
      <c r="AK2459" t="s">
        <v>51</v>
      </c>
      <c r="AN2459">
        <f>IFERROR(INT(Table13[[#This Row],[reject_prod]]/Table13[[#This Row],[part_weight]] * 1000), 0)</f>
        <v>34</v>
      </c>
    </row>
    <row r="2460" spans="1:40">
      <c r="A2460" s="1">
        <v>46095</v>
      </c>
      <c r="B2460">
        <v>1</v>
      </c>
      <c r="C2460">
        <v>16</v>
      </c>
      <c r="D2460" t="s">
        <v>1261</v>
      </c>
      <c r="E2460" t="s">
        <v>46</v>
      </c>
      <c r="F2460">
        <v>555979</v>
      </c>
      <c r="G2460" s="6">
        <v>2</v>
      </c>
      <c r="H2460" t="s">
        <v>52</v>
      </c>
      <c r="I2460">
        <v>10688074</v>
      </c>
      <c r="J2460">
        <v>6</v>
      </c>
      <c r="K2460">
        <v>28</v>
      </c>
      <c r="L2460">
        <v>28</v>
      </c>
      <c r="M2460">
        <v>1023</v>
      </c>
      <c r="N2460" s="2">
        <v>100800</v>
      </c>
      <c r="O2460" s="2">
        <v>672</v>
      </c>
      <c r="P2460" s="2">
        <v>0</v>
      </c>
      <c r="Q2460" s="2">
        <v>6138</v>
      </c>
      <c r="R2460" s="2">
        <v>6720</v>
      </c>
      <c r="S2460">
        <v>188.16</v>
      </c>
      <c r="T2460" s="2">
        <v>84000</v>
      </c>
      <c r="U2460" s="2">
        <v>16800</v>
      </c>
      <c r="V2460">
        <v>171.864</v>
      </c>
      <c r="W2460">
        <v>0</v>
      </c>
      <c r="X2460">
        <v>0</v>
      </c>
      <c r="Y2460">
        <v>0</v>
      </c>
      <c r="Z2460">
        <v>1</v>
      </c>
      <c r="AA2460">
        <v>5.8185540000000001E-3</v>
      </c>
      <c r="AB2460">
        <v>40.5</v>
      </c>
      <c r="AC2460">
        <v>11.508749999999999</v>
      </c>
      <c r="AD2460">
        <v>42</v>
      </c>
      <c r="AE2460" s="7"/>
      <c r="AF2460" s="7"/>
      <c r="AG2460" s="7"/>
      <c r="AH2460" s="7"/>
      <c r="AI2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0.49125000000000085</v>
      </c>
      <c r="AJ2460" s="7"/>
      <c r="AK2460" t="s">
        <v>51</v>
      </c>
      <c r="AN2460">
        <f>IFERROR(INT(Table13[[#This Row],[reject_prod]]/Table13[[#This Row],[part_weight]] * 1000), 0)</f>
        <v>35</v>
      </c>
    </row>
    <row r="2461" spans="1:40">
      <c r="A2461" s="1">
        <v>46095</v>
      </c>
      <c r="B2461">
        <v>2</v>
      </c>
      <c r="C2461">
        <v>1</v>
      </c>
      <c r="D2461" t="s">
        <v>53</v>
      </c>
      <c r="E2461" t="s">
        <v>34</v>
      </c>
      <c r="F2461">
        <v>347623</v>
      </c>
      <c r="G2461" s="6">
        <v>0</v>
      </c>
      <c r="H2461" t="s">
        <v>35</v>
      </c>
      <c r="I2461">
        <v>10689833</v>
      </c>
      <c r="J2461">
        <v>4</v>
      </c>
      <c r="K2461">
        <v>35.6</v>
      </c>
      <c r="L2461">
        <v>35.6</v>
      </c>
      <c r="M2461">
        <v>1600</v>
      </c>
      <c r="N2461" s="2">
        <v>40480</v>
      </c>
      <c r="O2461" s="2">
        <v>0</v>
      </c>
      <c r="P2461" s="2">
        <v>836</v>
      </c>
      <c r="Q2461" s="2">
        <v>6400</v>
      </c>
      <c r="R2461" s="2">
        <v>5520</v>
      </c>
      <c r="S2461">
        <v>196.512</v>
      </c>
      <c r="T2461" s="2">
        <v>24756</v>
      </c>
      <c r="U2461" s="2">
        <v>15724</v>
      </c>
      <c r="V2461">
        <v>227.84</v>
      </c>
      <c r="W2461">
        <v>0</v>
      </c>
      <c r="X2461">
        <v>0</v>
      </c>
      <c r="Y2461">
        <v>0</v>
      </c>
      <c r="Z2461">
        <v>3</v>
      </c>
      <c r="AA2461">
        <v>1.3167135E-2</v>
      </c>
      <c r="AB2461">
        <v>25.5</v>
      </c>
      <c r="AC2461">
        <v>11.33333333</v>
      </c>
      <c r="AD2461">
        <v>27</v>
      </c>
      <c r="AE2461" s="7"/>
      <c r="AF2461" s="7"/>
      <c r="AG2461" s="7"/>
      <c r="AH2461" s="7"/>
      <c r="AI2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0.66666666999999968</v>
      </c>
      <c r="AJ2461" s="7"/>
      <c r="AK2461" t="s">
        <v>178</v>
      </c>
      <c r="AN2461">
        <f>IFERROR(INT(Table13[[#This Row],[reject_prod]]/Table13[[#This Row],[part_weight]] * 1000), 0)</f>
        <v>84</v>
      </c>
    </row>
    <row r="2462" spans="1:40">
      <c r="A2462" s="1">
        <v>46095</v>
      </c>
      <c r="B2462">
        <v>2</v>
      </c>
      <c r="C2462">
        <v>2</v>
      </c>
      <c r="D2462" t="s">
        <v>1223</v>
      </c>
      <c r="E2462" t="s">
        <v>34</v>
      </c>
      <c r="F2462">
        <v>324163</v>
      </c>
      <c r="G2462" s="6">
        <v>0</v>
      </c>
      <c r="H2462" t="s">
        <v>672</v>
      </c>
      <c r="I2462">
        <v>10688495</v>
      </c>
      <c r="J2462">
        <v>4</v>
      </c>
      <c r="K2462">
        <v>24</v>
      </c>
      <c r="L2462">
        <v>23.5</v>
      </c>
      <c r="M2462">
        <v>1905</v>
      </c>
      <c r="N2462" s="2">
        <v>73152</v>
      </c>
      <c r="O2462" s="2">
        <v>3048</v>
      </c>
      <c r="P2462" s="2">
        <v>1524</v>
      </c>
      <c r="Q2462" s="2">
        <v>7620</v>
      </c>
      <c r="R2462" s="2">
        <v>9144</v>
      </c>
      <c r="S2462">
        <v>214.88399999999999</v>
      </c>
      <c r="T2462" s="2">
        <v>19812</v>
      </c>
      <c r="U2462" s="2">
        <v>53340</v>
      </c>
      <c r="V2462">
        <v>179.07</v>
      </c>
      <c r="W2462">
        <v>3.81</v>
      </c>
      <c r="X2462">
        <v>0</v>
      </c>
      <c r="Y2462">
        <v>0</v>
      </c>
      <c r="Z2462">
        <v>14.3</v>
      </c>
      <c r="AA2462">
        <v>7.9857039000000005E-2</v>
      </c>
      <c r="AB2462">
        <v>21.96</v>
      </c>
      <c r="AC2462">
        <v>11.6205</v>
      </c>
      <c r="AD2462">
        <v>22.5</v>
      </c>
      <c r="AE2462" s="7"/>
      <c r="AF2462" s="7"/>
      <c r="AG2462" s="7"/>
      <c r="AH2462" s="7"/>
      <c r="AI2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0.37950000000000017</v>
      </c>
      <c r="AJ2462" s="7"/>
      <c r="AK2462" t="s">
        <v>1262</v>
      </c>
      <c r="AN2462">
        <f>IFERROR(INT(Table13[[#This Row],[reject_prod]]/Table13[[#This Row],[part_weight]] * 1000), 0)</f>
        <v>608</v>
      </c>
    </row>
    <row r="2463" spans="1:40">
      <c r="A2463" s="1">
        <v>46095</v>
      </c>
      <c r="B2463">
        <v>2</v>
      </c>
      <c r="C2463">
        <v>3</v>
      </c>
      <c r="D2463" t="s">
        <v>139</v>
      </c>
      <c r="E2463" t="s">
        <v>34</v>
      </c>
      <c r="F2463">
        <v>442034</v>
      </c>
      <c r="G2463" s="6">
        <v>0</v>
      </c>
      <c r="H2463" t="s">
        <v>37</v>
      </c>
      <c r="I2463">
        <v>10685635</v>
      </c>
      <c r="J2463">
        <v>4</v>
      </c>
      <c r="K2463">
        <v>23</v>
      </c>
      <c r="L2463">
        <v>23</v>
      </c>
      <c r="M2463">
        <v>580</v>
      </c>
      <c r="N2463" s="2">
        <v>139776</v>
      </c>
      <c r="O2463" s="2">
        <v>768</v>
      </c>
      <c r="P2463" s="2">
        <v>3072</v>
      </c>
      <c r="Q2463" s="2">
        <v>2320</v>
      </c>
      <c r="R2463" s="2">
        <v>0</v>
      </c>
      <c r="S2463">
        <v>0</v>
      </c>
      <c r="T2463" s="2">
        <v>99840</v>
      </c>
      <c r="U2463" s="2">
        <v>39936</v>
      </c>
      <c r="V2463">
        <v>53.36</v>
      </c>
      <c r="W2463">
        <v>0</v>
      </c>
      <c r="X2463">
        <v>0</v>
      </c>
      <c r="Y2463">
        <v>0</v>
      </c>
      <c r="Z2463">
        <v>10.3</v>
      </c>
      <c r="AA2463">
        <v>0.193028486</v>
      </c>
      <c r="AB2463">
        <v>26.1</v>
      </c>
      <c r="AC2463">
        <v>4.2050000000000001</v>
      </c>
      <c r="AD2463">
        <v>22</v>
      </c>
      <c r="AE2463" s="7"/>
      <c r="AF2463" s="7"/>
      <c r="AG2463" s="7"/>
      <c r="AH2463" s="7"/>
      <c r="AI2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7.7949999999999999</v>
      </c>
      <c r="AJ2463" s="7"/>
      <c r="AK2463" t="s">
        <v>1263</v>
      </c>
      <c r="AN2463">
        <f>IFERROR(INT(Table13[[#This Row],[reject_prod]]/Table13[[#This Row],[part_weight]] * 1000), 0)</f>
        <v>447</v>
      </c>
    </row>
    <row r="2464" spans="1:40">
      <c r="A2464" s="1">
        <v>46095</v>
      </c>
      <c r="B2464">
        <v>2</v>
      </c>
      <c r="C2464">
        <v>4</v>
      </c>
      <c r="D2464" t="s">
        <v>58</v>
      </c>
      <c r="E2464" t="s">
        <v>34</v>
      </c>
      <c r="F2464">
        <v>400860</v>
      </c>
      <c r="G2464" s="6">
        <v>0</v>
      </c>
      <c r="H2464" t="s">
        <v>1254</v>
      </c>
      <c r="I2464">
        <v>10689109</v>
      </c>
      <c r="J2464">
        <v>4</v>
      </c>
      <c r="K2464">
        <v>29.27</v>
      </c>
      <c r="L2464">
        <v>29</v>
      </c>
      <c r="M2464">
        <v>1795</v>
      </c>
      <c r="N2464" s="2">
        <v>43092</v>
      </c>
      <c r="O2464" s="2">
        <v>0</v>
      </c>
      <c r="P2464" s="2">
        <v>0</v>
      </c>
      <c r="Q2464" s="2">
        <v>7180</v>
      </c>
      <c r="R2464" s="2">
        <v>7182</v>
      </c>
      <c r="S2464">
        <v>208.27799999999999</v>
      </c>
      <c r="T2464" s="2">
        <v>7182</v>
      </c>
      <c r="U2464" s="2">
        <v>35910</v>
      </c>
      <c r="V2464">
        <v>208.22</v>
      </c>
      <c r="W2464">
        <v>1.9386000000000001</v>
      </c>
      <c r="X2464">
        <v>0</v>
      </c>
      <c r="Y2464">
        <v>0</v>
      </c>
      <c r="Z2464">
        <v>0.5</v>
      </c>
      <c r="AA2464">
        <v>2.4013060000000002E-3</v>
      </c>
      <c r="AB2464">
        <v>24.43</v>
      </c>
      <c r="AC2464">
        <v>12</v>
      </c>
      <c r="AD2464">
        <v>22</v>
      </c>
      <c r="AE2464" s="7"/>
      <c r="AF2464" s="7"/>
      <c r="AG2464" s="7"/>
      <c r="AH2464" s="7"/>
      <c r="AI2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4" s="7"/>
      <c r="AK2464" t="s">
        <v>214</v>
      </c>
      <c r="AN2464">
        <f>IFERROR(INT(Table13[[#This Row],[reject_prod]]/Table13[[#This Row],[part_weight]] * 1000), 0)</f>
        <v>17</v>
      </c>
    </row>
    <row r="2465" spans="1:40">
      <c r="A2465" s="1">
        <v>46095</v>
      </c>
      <c r="B2465">
        <v>2</v>
      </c>
      <c r="C2465">
        <v>5</v>
      </c>
      <c r="F2465">
        <v>123456</v>
      </c>
      <c r="G2465" s="6">
        <v>0</v>
      </c>
      <c r="M2465">
        <v>0</v>
      </c>
      <c r="N2465" s="2">
        <v>0</v>
      </c>
      <c r="O2465" s="2">
        <v>0</v>
      </c>
      <c r="P2465" s="2">
        <v>0</v>
      </c>
      <c r="Q2465" s="2"/>
      <c r="R2465" s="2">
        <v>0</v>
      </c>
      <c r="T2465" s="2">
        <v>0</v>
      </c>
      <c r="U2465" s="2"/>
      <c r="X2465">
        <v>0</v>
      </c>
      <c r="Z2465">
        <v>0</v>
      </c>
      <c r="AB2465">
        <v>0</v>
      </c>
      <c r="AC2465">
        <v>0</v>
      </c>
      <c r="AD2465">
        <v>0</v>
      </c>
      <c r="AE2465" s="7"/>
      <c r="AF2465" s="7"/>
      <c r="AG2465" s="7"/>
      <c r="AH2465" s="7"/>
      <c r="AI2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5" s="7">
        <v>12</v>
      </c>
      <c r="AK2465" t="s">
        <v>116</v>
      </c>
      <c r="AN2465">
        <f>IFERROR(INT(Table13[[#This Row],[reject_prod]]/Table13[[#This Row],[part_weight]] * 1000), 0)</f>
        <v>0</v>
      </c>
    </row>
    <row r="2466" spans="1:40">
      <c r="A2466" s="1">
        <v>46095</v>
      </c>
      <c r="B2466">
        <v>2</v>
      </c>
      <c r="C2466">
        <v>6</v>
      </c>
      <c r="D2466" t="s">
        <v>53</v>
      </c>
      <c r="E2466" t="s">
        <v>34</v>
      </c>
      <c r="F2466">
        <v>322445</v>
      </c>
      <c r="G2466" s="6">
        <v>0</v>
      </c>
      <c r="H2466" t="s">
        <v>743</v>
      </c>
      <c r="I2466">
        <v>10689565</v>
      </c>
      <c r="J2466">
        <v>4</v>
      </c>
      <c r="K2466">
        <v>32.74</v>
      </c>
      <c r="L2466">
        <v>33</v>
      </c>
      <c r="M2466">
        <v>1600</v>
      </c>
      <c r="N2466" s="2">
        <v>72000</v>
      </c>
      <c r="O2466" s="2">
        <v>900</v>
      </c>
      <c r="P2466" s="2">
        <v>0</v>
      </c>
      <c r="Q2466" s="2">
        <v>6400</v>
      </c>
      <c r="R2466" s="2">
        <v>7200</v>
      </c>
      <c r="S2466">
        <v>237.6</v>
      </c>
      <c r="T2466" s="2">
        <v>49500</v>
      </c>
      <c r="U2466" s="2">
        <v>22500</v>
      </c>
      <c r="V2466">
        <v>211.2</v>
      </c>
      <c r="W2466">
        <v>0</v>
      </c>
      <c r="X2466">
        <v>0</v>
      </c>
      <c r="Y2466">
        <v>0</v>
      </c>
      <c r="Z2466">
        <v>12.4</v>
      </c>
      <c r="AA2466">
        <v>5.8712120999999999E-2</v>
      </c>
      <c r="AB2466">
        <v>22</v>
      </c>
      <c r="AC2466">
        <v>9.7777777780000008</v>
      </c>
      <c r="AD2466">
        <v>22</v>
      </c>
      <c r="AE2466" s="7"/>
      <c r="AF2466" s="7"/>
      <c r="AG2466" s="7"/>
      <c r="AH2466" s="7"/>
      <c r="AI2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2.2222222219999992</v>
      </c>
      <c r="AJ2466" s="7"/>
      <c r="AK2466" t="s">
        <v>1264</v>
      </c>
      <c r="AN2466">
        <f>IFERROR(INT(Table13[[#This Row],[reject_prod]]/Table13[[#This Row],[part_weight]] * 1000), 0)</f>
        <v>375</v>
      </c>
    </row>
    <row r="2467" spans="1:40">
      <c r="A2467" s="1">
        <v>46095</v>
      </c>
      <c r="B2467">
        <v>2</v>
      </c>
      <c r="C2467">
        <v>7</v>
      </c>
      <c r="D2467" t="s">
        <v>1265</v>
      </c>
      <c r="E2467" t="s">
        <v>34</v>
      </c>
      <c r="F2467">
        <v>324198</v>
      </c>
      <c r="G2467" s="6">
        <v>0</v>
      </c>
      <c r="H2467" t="s">
        <v>632</v>
      </c>
      <c r="I2467">
        <v>10685209</v>
      </c>
      <c r="J2467">
        <v>3</v>
      </c>
      <c r="K2467">
        <v>20</v>
      </c>
      <c r="L2467">
        <v>20</v>
      </c>
      <c r="M2467">
        <v>1993</v>
      </c>
      <c r="N2467" s="2">
        <v>25920</v>
      </c>
      <c r="O2467" s="2">
        <v>500</v>
      </c>
      <c r="P2467" s="2">
        <v>6480</v>
      </c>
      <c r="Q2467" s="2">
        <v>5979</v>
      </c>
      <c r="R2467" s="2">
        <v>0</v>
      </c>
      <c r="S2467">
        <v>0</v>
      </c>
      <c r="T2467" s="2">
        <v>6480</v>
      </c>
      <c r="U2467" s="2">
        <v>19440</v>
      </c>
      <c r="V2467">
        <v>119.58</v>
      </c>
      <c r="W2467">
        <v>0</v>
      </c>
      <c r="X2467">
        <v>0</v>
      </c>
      <c r="Y2467">
        <v>0</v>
      </c>
      <c r="Z2467">
        <v>3</v>
      </c>
      <c r="AA2467">
        <v>2.5087807E-2</v>
      </c>
      <c r="AB2467">
        <v>20.91</v>
      </c>
      <c r="AC2467">
        <v>11.576008330000001</v>
      </c>
      <c r="AD2467">
        <v>19.5</v>
      </c>
      <c r="AE2467" s="7"/>
      <c r="AF2467" s="7"/>
      <c r="AG2467" s="7"/>
      <c r="AH2467" s="7"/>
      <c r="AI2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0.42399166999999949</v>
      </c>
      <c r="AJ2467" s="7"/>
      <c r="AK2467" t="s">
        <v>214</v>
      </c>
      <c r="AN2467">
        <f>IFERROR(INT(Table13[[#This Row],[reject_prod]]/Table13[[#This Row],[part_weight]] * 1000), 0)</f>
        <v>150</v>
      </c>
    </row>
    <row r="2468" spans="1:40">
      <c r="A2468" s="1">
        <v>46095</v>
      </c>
      <c r="B2468">
        <v>2</v>
      </c>
      <c r="C2468">
        <v>8</v>
      </c>
      <c r="D2468" t="s">
        <v>618</v>
      </c>
      <c r="E2468" t="s">
        <v>41</v>
      </c>
      <c r="F2468">
        <v>593537</v>
      </c>
      <c r="G2468" s="6">
        <v>0</v>
      </c>
      <c r="H2468" t="s">
        <v>48</v>
      </c>
      <c r="I2468">
        <v>10688068</v>
      </c>
      <c r="J2468">
        <v>4</v>
      </c>
      <c r="K2468">
        <v>56.5</v>
      </c>
      <c r="L2468">
        <v>56.8</v>
      </c>
      <c r="M2468">
        <v>1430</v>
      </c>
      <c r="N2468" s="2">
        <v>69000</v>
      </c>
      <c r="O2468" s="2">
        <v>115</v>
      </c>
      <c r="P2468" s="2">
        <v>115</v>
      </c>
      <c r="Q2468" s="2">
        <v>5720</v>
      </c>
      <c r="R2468" s="2">
        <v>5750</v>
      </c>
      <c r="S2468">
        <v>326.60000000000002</v>
      </c>
      <c r="T2468" s="2">
        <v>46690</v>
      </c>
      <c r="U2468" s="2">
        <v>22310</v>
      </c>
      <c r="V2468">
        <v>324.89600000000002</v>
      </c>
      <c r="W2468">
        <v>-1.716</v>
      </c>
      <c r="X2468">
        <v>0</v>
      </c>
      <c r="Y2468">
        <v>0</v>
      </c>
      <c r="Z2468">
        <v>7.8</v>
      </c>
      <c r="AA2468">
        <v>2.4007681999999999E-2</v>
      </c>
      <c r="AB2468">
        <v>30.1</v>
      </c>
      <c r="AC2468">
        <v>11.956388889999999</v>
      </c>
      <c r="AD2468">
        <v>28.5</v>
      </c>
      <c r="AE2468" s="7"/>
      <c r="AF2468" s="7"/>
      <c r="AG2468" s="7"/>
      <c r="AH2468" s="7"/>
      <c r="AI2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4.3611110000000508E-2</v>
      </c>
      <c r="AJ2468" s="7"/>
      <c r="AK2468" t="s">
        <v>1266</v>
      </c>
      <c r="AN2468">
        <f>IFERROR(INT(Table13[[#This Row],[reject_prod]]/Table13[[#This Row],[part_weight]] * 1000), 0)</f>
        <v>137</v>
      </c>
    </row>
    <row r="2469" spans="1:40">
      <c r="A2469" s="1">
        <v>46095</v>
      </c>
      <c r="B2469">
        <v>2</v>
      </c>
      <c r="C2469">
        <v>9</v>
      </c>
      <c r="D2469" t="s">
        <v>88</v>
      </c>
      <c r="E2469" t="s">
        <v>46</v>
      </c>
      <c r="F2469">
        <v>586276</v>
      </c>
      <c r="G2469" s="6">
        <v>1</v>
      </c>
      <c r="H2469" t="s">
        <v>47</v>
      </c>
      <c r="I2469">
        <v>10689111</v>
      </c>
      <c r="J2469">
        <v>6</v>
      </c>
      <c r="K2469">
        <v>12.3</v>
      </c>
      <c r="L2469">
        <v>12.3</v>
      </c>
      <c r="M2469">
        <v>1575</v>
      </c>
      <c r="N2469" s="2">
        <v>162000</v>
      </c>
      <c r="O2469" s="2">
        <v>6480</v>
      </c>
      <c r="P2469" s="2">
        <v>7695</v>
      </c>
      <c r="Q2469" s="2">
        <v>9450</v>
      </c>
      <c r="R2469" s="2">
        <v>8100</v>
      </c>
      <c r="S2469">
        <v>99.63</v>
      </c>
      <c r="T2469" s="2">
        <v>104895</v>
      </c>
      <c r="U2469" s="2">
        <v>57105</v>
      </c>
      <c r="V2469">
        <v>116.235</v>
      </c>
      <c r="W2469">
        <v>0</v>
      </c>
      <c r="X2469">
        <v>0</v>
      </c>
      <c r="Y2469">
        <v>0</v>
      </c>
      <c r="Z2469">
        <v>3.6</v>
      </c>
      <c r="AA2469">
        <v>3.0971737999999999E-2</v>
      </c>
      <c r="AB2469">
        <v>26.6</v>
      </c>
      <c r="AC2469">
        <v>11.637499999999999</v>
      </c>
      <c r="AD2469">
        <v>26</v>
      </c>
      <c r="AE2469" s="7"/>
      <c r="AF2469" s="7"/>
      <c r="AG2469" s="7"/>
      <c r="AH2469" s="7"/>
      <c r="AI2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0.36250000000000071</v>
      </c>
      <c r="AJ2469" s="7"/>
      <c r="AK2469" t="s">
        <v>57</v>
      </c>
      <c r="AN2469">
        <f>IFERROR(INT(Table13[[#This Row],[reject_prod]]/Table13[[#This Row],[part_weight]] * 1000), 0)</f>
        <v>292</v>
      </c>
    </row>
    <row r="2470" spans="1:40">
      <c r="A2470" s="1">
        <v>46095</v>
      </c>
      <c r="B2470">
        <v>2</v>
      </c>
      <c r="C2470">
        <v>10</v>
      </c>
      <c r="F2470">
        <v>123456</v>
      </c>
      <c r="G2470" s="6">
        <v>0</v>
      </c>
      <c r="M2470">
        <v>0</v>
      </c>
      <c r="N2470" s="2">
        <v>0</v>
      </c>
      <c r="O2470" s="2">
        <v>0</v>
      </c>
      <c r="P2470" s="2">
        <v>0</v>
      </c>
      <c r="Q2470" s="2"/>
      <c r="R2470" s="2">
        <v>0</v>
      </c>
      <c r="T2470" s="2">
        <v>0</v>
      </c>
      <c r="U2470" s="2"/>
      <c r="X2470">
        <v>0</v>
      </c>
      <c r="Z2470">
        <v>0</v>
      </c>
      <c r="AB2470">
        <v>0</v>
      </c>
      <c r="AC2470">
        <v>0</v>
      </c>
      <c r="AD2470">
        <v>0</v>
      </c>
      <c r="AE2470" s="7"/>
      <c r="AF2470" s="7"/>
      <c r="AG2470" s="7"/>
      <c r="AH2470" s="7"/>
      <c r="AI2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70" s="7">
        <v>12</v>
      </c>
      <c r="AK2470" t="s">
        <v>116</v>
      </c>
      <c r="AN2470">
        <f>IFERROR(INT(Table13[[#This Row],[reject_prod]]/Table13[[#This Row],[part_weight]] * 1000), 0)</f>
        <v>0</v>
      </c>
    </row>
    <row r="2471" spans="1:40">
      <c r="A2471" s="1">
        <v>46095</v>
      </c>
      <c r="B2471">
        <v>2</v>
      </c>
      <c r="C2471">
        <v>11</v>
      </c>
      <c r="D2471" t="s">
        <v>208</v>
      </c>
      <c r="E2471" t="s">
        <v>46</v>
      </c>
      <c r="F2471">
        <v>552181</v>
      </c>
      <c r="G2471" s="6">
        <v>1</v>
      </c>
      <c r="H2471" t="s">
        <v>49</v>
      </c>
      <c r="I2471">
        <v>10688070</v>
      </c>
      <c r="J2471">
        <v>6</v>
      </c>
      <c r="K2471">
        <v>14.7</v>
      </c>
      <c r="L2471">
        <v>14.7</v>
      </c>
      <c r="M2471">
        <v>1485</v>
      </c>
      <c r="N2471" s="2">
        <v>108000</v>
      </c>
      <c r="O2471" s="2">
        <v>0</v>
      </c>
      <c r="P2471" s="2">
        <v>3510</v>
      </c>
      <c r="Q2471" s="2">
        <v>8910</v>
      </c>
      <c r="R2471" s="2">
        <v>5400</v>
      </c>
      <c r="S2471">
        <v>79.38</v>
      </c>
      <c r="T2471" s="2">
        <v>46710</v>
      </c>
      <c r="U2471" s="2">
        <v>61290</v>
      </c>
      <c r="V2471">
        <v>130.977</v>
      </c>
      <c r="W2471">
        <v>0</v>
      </c>
      <c r="X2471">
        <v>0</v>
      </c>
      <c r="Y2471">
        <v>0</v>
      </c>
      <c r="Z2471">
        <v>0.2</v>
      </c>
      <c r="AA2471">
        <v>1.5269859999999999E-3</v>
      </c>
      <c r="AB2471">
        <v>29.2</v>
      </c>
      <c r="AC2471">
        <v>12</v>
      </c>
      <c r="AD2471">
        <v>27</v>
      </c>
      <c r="AE2471" s="7"/>
      <c r="AF2471" s="7"/>
      <c r="AG2471" s="7"/>
      <c r="AH2471" s="7"/>
      <c r="AI2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71" s="7"/>
      <c r="AK2471" t="s">
        <v>51</v>
      </c>
      <c r="AN2471">
        <f>IFERROR(INT(Table13[[#This Row],[reject_prod]]/Table13[[#This Row],[part_weight]] * 1000), 0)</f>
        <v>13</v>
      </c>
    </row>
    <row r="2472" spans="1:40">
      <c r="A2472" s="1">
        <v>46095</v>
      </c>
      <c r="B2472">
        <v>2</v>
      </c>
      <c r="C2472">
        <v>12</v>
      </c>
      <c r="D2472" t="s">
        <v>33</v>
      </c>
      <c r="E2472" t="s">
        <v>46</v>
      </c>
      <c r="F2472">
        <v>555979</v>
      </c>
      <c r="G2472" s="6">
        <v>1</v>
      </c>
      <c r="H2472" t="s">
        <v>52</v>
      </c>
      <c r="I2472">
        <v>10689126</v>
      </c>
      <c r="J2472">
        <v>6</v>
      </c>
      <c r="K2472">
        <v>28</v>
      </c>
      <c r="L2472">
        <v>28</v>
      </c>
      <c r="M2472">
        <v>0</v>
      </c>
      <c r="N2472" s="2">
        <v>100800</v>
      </c>
      <c r="O2472" s="2">
        <v>3024</v>
      </c>
      <c r="P2472" s="2">
        <v>3024</v>
      </c>
      <c r="Q2472" s="2">
        <v>0</v>
      </c>
      <c r="R2472" s="2">
        <v>0</v>
      </c>
      <c r="S2472">
        <v>0</v>
      </c>
      <c r="T2472" s="2">
        <v>13440</v>
      </c>
      <c r="U2472" s="2">
        <v>87360</v>
      </c>
      <c r="V2472">
        <v>0</v>
      </c>
      <c r="W2472">
        <v>0</v>
      </c>
      <c r="X2472">
        <v>0</v>
      </c>
      <c r="Y2472" t="e">
        <v>#DIV/0!</v>
      </c>
      <c r="Z2472">
        <v>0</v>
      </c>
      <c r="AA2472" t="e">
        <v>#DIV/0!</v>
      </c>
      <c r="AB2472">
        <v>41.2</v>
      </c>
      <c r="AC2472">
        <v>0</v>
      </c>
      <c r="AD2472">
        <v>42</v>
      </c>
      <c r="AE2472" s="7"/>
      <c r="AF2472" s="7"/>
      <c r="AG2472" s="7"/>
      <c r="AH2472" s="7"/>
      <c r="AI2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72" s="7"/>
      <c r="AK2472" t="s">
        <v>1267</v>
      </c>
      <c r="AN2472">
        <f>IFERROR(INT(Table13[[#This Row],[reject_prod]]/Table13[[#This Row],[part_weight]] * 1000), 0)</f>
        <v>0</v>
      </c>
    </row>
    <row r="2473" spans="1:40">
      <c r="A2473" s="1">
        <v>46095</v>
      </c>
      <c r="B2473">
        <v>2</v>
      </c>
      <c r="C2473">
        <v>13</v>
      </c>
      <c r="D2473" t="s">
        <v>208</v>
      </c>
      <c r="E2473" t="s">
        <v>46</v>
      </c>
      <c r="F2473">
        <v>586276</v>
      </c>
      <c r="G2473" s="6">
        <v>2</v>
      </c>
      <c r="H2473" t="s">
        <v>47</v>
      </c>
      <c r="I2473">
        <v>10689118</v>
      </c>
      <c r="J2473">
        <v>6</v>
      </c>
      <c r="K2473">
        <v>12.3</v>
      </c>
      <c r="L2473">
        <v>12.3</v>
      </c>
      <c r="M2473">
        <v>1625</v>
      </c>
      <c r="N2473" s="2">
        <v>162000</v>
      </c>
      <c r="O2473" s="2">
        <v>7290</v>
      </c>
      <c r="P2473" s="2">
        <v>810</v>
      </c>
      <c r="Q2473" s="2">
        <v>9750</v>
      </c>
      <c r="R2473" s="2">
        <v>16200</v>
      </c>
      <c r="S2473">
        <v>199.26</v>
      </c>
      <c r="T2473" s="2">
        <v>65340</v>
      </c>
      <c r="U2473" s="2">
        <v>96660</v>
      </c>
      <c r="V2473">
        <v>119.925</v>
      </c>
      <c r="W2473">
        <v>0</v>
      </c>
      <c r="X2473">
        <v>0</v>
      </c>
      <c r="Y2473">
        <v>0</v>
      </c>
      <c r="Z2473">
        <v>1</v>
      </c>
      <c r="AA2473">
        <v>8.3385449999999993E-3</v>
      </c>
      <c r="AB2473">
        <v>26.2</v>
      </c>
      <c r="AC2473">
        <v>11.82638889</v>
      </c>
      <c r="AD2473">
        <v>26</v>
      </c>
      <c r="AE2473" s="7"/>
      <c r="AF2473" s="7"/>
      <c r="AG2473" s="7"/>
      <c r="AH2473" s="7"/>
      <c r="AI2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473" s="7"/>
      <c r="AK2473" t="s">
        <v>51</v>
      </c>
      <c r="AN2473">
        <f>IFERROR(INT(Table13[[#This Row],[reject_prod]]/Table13[[#This Row],[part_weight]] * 1000), 0)</f>
        <v>81</v>
      </c>
    </row>
    <row r="2474" spans="1:40">
      <c r="A2474" s="1">
        <v>46095</v>
      </c>
      <c r="B2474">
        <v>2</v>
      </c>
      <c r="C2474">
        <v>14</v>
      </c>
      <c r="D2474" t="s">
        <v>84</v>
      </c>
      <c r="E2474" t="s">
        <v>34</v>
      </c>
      <c r="F2474">
        <v>541381</v>
      </c>
      <c r="G2474" s="6">
        <v>0</v>
      </c>
      <c r="H2474" t="s">
        <v>804</v>
      </c>
      <c r="I2474">
        <v>10688073</v>
      </c>
      <c r="J2474">
        <v>4</v>
      </c>
      <c r="K2474">
        <v>55</v>
      </c>
      <c r="L2474">
        <v>55</v>
      </c>
      <c r="M2474">
        <v>570</v>
      </c>
      <c r="N2474" s="2">
        <v>84000</v>
      </c>
      <c r="O2474" s="2">
        <v>525</v>
      </c>
      <c r="P2474" s="2">
        <v>0</v>
      </c>
      <c r="Q2474" s="2">
        <v>2280</v>
      </c>
      <c r="R2474" s="2">
        <v>2800</v>
      </c>
      <c r="S2474">
        <v>154</v>
      </c>
      <c r="T2474" s="2">
        <v>84000</v>
      </c>
      <c r="U2474" s="2">
        <v>0</v>
      </c>
      <c r="V2474">
        <v>125.4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27.3</v>
      </c>
      <c r="AC2474">
        <v>4.3224999999999998</v>
      </c>
      <c r="AD2474">
        <v>30.08</v>
      </c>
      <c r="AE2474" s="7"/>
      <c r="AF2474" s="7"/>
      <c r="AG2474" s="7"/>
      <c r="AH2474" s="7"/>
      <c r="AI2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7.6775000000000002</v>
      </c>
      <c r="AJ2474" s="7"/>
      <c r="AK2474" t="s">
        <v>102</v>
      </c>
      <c r="AN2474">
        <f>IFERROR(INT(Table13[[#This Row],[reject_prod]]/Table13[[#This Row],[part_weight]] * 1000), 0)</f>
        <v>0</v>
      </c>
    </row>
    <row r="2475" spans="1:40">
      <c r="A2475" s="1">
        <v>46095</v>
      </c>
      <c r="B2475">
        <v>2</v>
      </c>
      <c r="C2475">
        <v>14</v>
      </c>
      <c r="D2475" t="s">
        <v>84</v>
      </c>
      <c r="E2475" t="s">
        <v>34</v>
      </c>
      <c r="F2475">
        <v>541381</v>
      </c>
      <c r="G2475" s="6">
        <v>0</v>
      </c>
      <c r="H2475" t="s">
        <v>804</v>
      </c>
      <c r="I2475">
        <v>10689120</v>
      </c>
      <c r="J2475">
        <v>4</v>
      </c>
      <c r="K2475">
        <v>55</v>
      </c>
      <c r="L2475">
        <v>55</v>
      </c>
      <c r="M2475">
        <v>1010</v>
      </c>
      <c r="N2475" s="2">
        <v>84000</v>
      </c>
      <c r="O2475" s="2">
        <v>0</v>
      </c>
      <c r="P2475" s="2">
        <v>525</v>
      </c>
      <c r="Q2475" s="2">
        <v>4040</v>
      </c>
      <c r="R2475" s="2">
        <v>3500</v>
      </c>
      <c r="S2475">
        <v>192.5</v>
      </c>
      <c r="T2475" s="2">
        <v>4040</v>
      </c>
      <c r="U2475" s="2">
        <v>79960</v>
      </c>
      <c r="V2475">
        <v>222.2</v>
      </c>
      <c r="W2475">
        <v>0</v>
      </c>
      <c r="X2475">
        <v>0</v>
      </c>
      <c r="Y2475">
        <v>0</v>
      </c>
      <c r="Z2475">
        <v>2.2999999999999998</v>
      </c>
      <c r="AA2475">
        <v>1.0351035E-2</v>
      </c>
      <c r="AB2475">
        <v>27.3</v>
      </c>
      <c r="AC2475">
        <v>7.659166667</v>
      </c>
      <c r="AD2475">
        <v>30.08</v>
      </c>
      <c r="AE2475" s="7"/>
      <c r="AF2475" s="7"/>
      <c r="AG2475" s="7"/>
      <c r="AH2475" s="7"/>
      <c r="AI24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4.340833333</v>
      </c>
      <c r="AJ2475" s="7"/>
      <c r="AK2475" t="s">
        <v>51</v>
      </c>
      <c r="AN2475">
        <f>IFERROR(INT(Table13[[#This Row],[reject_prod]]/Table13[[#This Row],[part_weight]] * 1000), 0)</f>
        <v>41</v>
      </c>
    </row>
    <row r="2476" spans="1:40">
      <c r="A2476" s="1">
        <v>46095</v>
      </c>
      <c r="B2476">
        <v>2</v>
      </c>
      <c r="C2476">
        <v>15</v>
      </c>
      <c r="D2476" t="s">
        <v>208</v>
      </c>
      <c r="E2476" t="s">
        <v>46</v>
      </c>
      <c r="F2476">
        <v>552181</v>
      </c>
      <c r="G2476" s="6">
        <v>2</v>
      </c>
      <c r="H2476" t="s">
        <v>49</v>
      </c>
      <c r="I2476">
        <v>10689122</v>
      </c>
      <c r="J2476">
        <v>6</v>
      </c>
      <c r="K2476">
        <v>14.7</v>
      </c>
      <c r="L2476">
        <v>14.7</v>
      </c>
      <c r="M2476">
        <v>1395</v>
      </c>
      <c r="N2476" s="2">
        <v>108000</v>
      </c>
      <c r="O2476" s="2">
        <v>2970</v>
      </c>
      <c r="P2476" s="2">
        <v>540</v>
      </c>
      <c r="Q2476" s="2">
        <v>8370</v>
      </c>
      <c r="R2476" s="2">
        <v>10800</v>
      </c>
      <c r="S2476">
        <v>158.76</v>
      </c>
      <c r="T2476" s="2">
        <v>70740</v>
      </c>
      <c r="U2476" s="2">
        <v>37260</v>
      </c>
      <c r="V2476">
        <v>123.039</v>
      </c>
      <c r="W2476">
        <v>0</v>
      </c>
      <c r="X2476">
        <v>0</v>
      </c>
      <c r="Y2476">
        <v>0</v>
      </c>
      <c r="Z2476">
        <v>2.2999999999999998</v>
      </c>
      <c r="AA2476">
        <v>1.869326E-2</v>
      </c>
      <c r="AB2476">
        <v>30.5</v>
      </c>
      <c r="AC2476">
        <v>11.81875</v>
      </c>
      <c r="AD2476">
        <v>27</v>
      </c>
      <c r="AE2476" s="7"/>
      <c r="AF2476" s="7"/>
      <c r="AG2476" s="7"/>
      <c r="AH2476" s="7"/>
      <c r="AI2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476" s="7"/>
      <c r="AK2476" t="s">
        <v>51</v>
      </c>
      <c r="AN2476">
        <f>IFERROR(INT(Table13[[#This Row],[reject_prod]]/Table13[[#This Row],[part_weight]] * 1000), 0)</f>
        <v>156</v>
      </c>
    </row>
    <row r="2477" spans="1:40">
      <c r="A2477" s="1">
        <v>46095</v>
      </c>
      <c r="B2477">
        <v>2</v>
      </c>
      <c r="C2477">
        <v>16</v>
      </c>
      <c r="D2477" t="s">
        <v>1189</v>
      </c>
      <c r="E2477" t="s">
        <v>46</v>
      </c>
      <c r="F2477">
        <v>555979</v>
      </c>
      <c r="G2477" s="6">
        <v>2</v>
      </c>
      <c r="H2477" t="s">
        <v>52</v>
      </c>
      <c r="I2477">
        <v>10688074</v>
      </c>
      <c r="J2477">
        <v>6</v>
      </c>
      <c r="K2477">
        <v>28</v>
      </c>
      <c r="L2477">
        <v>28</v>
      </c>
      <c r="M2477">
        <v>1064</v>
      </c>
      <c r="N2477" s="2">
        <v>100800</v>
      </c>
      <c r="O2477" s="2">
        <v>0</v>
      </c>
      <c r="P2477" s="2">
        <v>3024</v>
      </c>
      <c r="Q2477" s="2">
        <v>6384</v>
      </c>
      <c r="R2477" s="2">
        <v>3360</v>
      </c>
      <c r="S2477">
        <v>94.08</v>
      </c>
      <c r="T2477" s="2">
        <v>90384</v>
      </c>
      <c r="U2477" s="2">
        <v>10416</v>
      </c>
      <c r="V2477">
        <v>178.75200000000001</v>
      </c>
      <c r="W2477">
        <v>0</v>
      </c>
      <c r="X2477">
        <v>0</v>
      </c>
      <c r="Y2477">
        <v>0</v>
      </c>
      <c r="Z2477">
        <v>2.4</v>
      </c>
      <c r="AA2477">
        <v>1.3426423E-2</v>
      </c>
      <c r="AB2477">
        <v>40.5</v>
      </c>
      <c r="AC2477">
        <v>11.97</v>
      </c>
      <c r="AD2477">
        <v>42</v>
      </c>
      <c r="AE2477" s="7"/>
      <c r="AF2477" s="7"/>
      <c r="AG2477" s="7"/>
      <c r="AH2477" s="7"/>
      <c r="AI2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477" s="7"/>
      <c r="AK2477" t="s">
        <v>51</v>
      </c>
      <c r="AN2477">
        <f>IFERROR(INT(Table13[[#This Row],[reject_prod]]/Table13[[#This Row],[part_weight]] * 1000), 0)</f>
        <v>85</v>
      </c>
    </row>
    <row r="2478" spans="1:40">
      <c r="A2478" s="1">
        <v>46096</v>
      </c>
      <c r="B2478">
        <v>1</v>
      </c>
      <c r="C2478">
        <v>1</v>
      </c>
      <c r="D2478" t="s">
        <v>43</v>
      </c>
      <c r="E2478" t="s">
        <v>34</v>
      </c>
      <c r="F2478">
        <v>347623</v>
      </c>
      <c r="G2478" s="6">
        <v>0</v>
      </c>
      <c r="H2478" t="s">
        <v>35</v>
      </c>
      <c r="I2478">
        <v>10689833</v>
      </c>
      <c r="J2478">
        <v>4</v>
      </c>
      <c r="K2478">
        <v>35.6</v>
      </c>
      <c r="L2478">
        <v>35.6</v>
      </c>
      <c r="M2478">
        <v>1626</v>
      </c>
      <c r="N2478" s="2">
        <v>40480</v>
      </c>
      <c r="O2478" s="2">
        <v>836</v>
      </c>
      <c r="P2478" s="2">
        <v>1104</v>
      </c>
      <c r="Q2478" s="2">
        <v>6504</v>
      </c>
      <c r="R2478" s="2">
        <v>5520</v>
      </c>
      <c r="S2478">
        <v>196.512</v>
      </c>
      <c r="T2478" s="2">
        <v>30544</v>
      </c>
      <c r="U2478" s="2">
        <v>9936</v>
      </c>
      <c r="V2478">
        <v>231.54239999999999</v>
      </c>
      <c r="W2478">
        <v>0</v>
      </c>
      <c r="X2478">
        <v>0</v>
      </c>
      <c r="Y2478">
        <v>0</v>
      </c>
      <c r="Z2478">
        <v>4.5</v>
      </c>
      <c r="AA2478">
        <v>1.9434884999999999E-2</v>
      </c>
      <c r="AB2478">
        <v>25.5</v>
      </c>
      <c r="AC2478">
        <v>11.5175</v>
      </c>
      <c r="AD2478">
        <v>27</v>
      </c>
      <c r="AE2478" s="7"/>
      <c r="AF2478" s="7"/>
      <c r="AG2478" s="7"/>
      <c r="AH2478" s="7"/>
      <c r="AI2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0.48249999999999993</v>
      </c>
      <c r="AJ2478" s="7"/>
      <c r="AK2478" t="s">
        <v>1268</v>
      </c>
      <c r="AN2478">
        <f>IFERROR(INT(Table13[[#This Row],[reject_prod]]/Table13[[#This Row],[part_weight]] * 1000), 0)</f>
        <v>126</v>
      </c>
    </row>
    <row r="2479" spans="1:40">
      <c r="A2479" s="1">
        <v>46096</v>
      </c>
      <c r="B2479">
        <v>1</v>
      </c>
      <c r="C2479">
        <v>2</v>
      </c>
      <c r="D2479" t="s">
        <v>1136</v>
      </c>
      <c r="E2479" t="s">
        <v>34</v>
      </c>
      <c r="F2479">
        <v>324163</v>
      </c>
      <c r="G2479" s="6">
        <v>0</v>
      </c>
      <c r="H2479" t="s">
        <v>672</v>
      </c>
      <c r="I2479">
        <v>10688495</v>
      </c>
      <c r="J2479">
        <v>4</v>
      </c>
      <c r="K2479">
        <v>24</v>
      </c>
      <c r="L2479">
        <v>23.5</v>
      </c>
      <c r="M2479">
        <v>1915</v>
      </c>
      <c r="N2479" s="2">
        <v>73152</v>
      </c>
      <c r="O2479" s="2">
        <v>1524</v>
      </c>
      <c r="P2479" s="2">
        <v>0</v>
      </c>
      <c r="Q2479" s="2">
        <v>7660</v>
      </c>
      <c r="R2479" s="2">
        <v>9144</v>
      </c>
      <c r="S2479">
        <v>214.88399999999999</v>
      </c>
      <c r="T2479" s="2">
        <v>27432</v>
      </c>
      <c r="U2479" s="2">
        <v>45720</v>
      </c>
      <c r="V2479">
        <v>180.01</v>
      </c>
      <c r="W2479">
        <v>3.83</v>
      </c>
      <c r="X2479">
        <v>0</v>
      </c>
      <c r="Y2479">
        <v>0</v>
      </c>
      <c r="Z2479">
        <v>1.5</v>
      </c>
      <c r="AA2479">
        <v>8.3328699999999992E-3</v>
      </c>
      <c r="AB2479">
        <v>22</v>
      </c>
      <c r="AC2479">
        <v>11.70277778</v>
      </c>
      <c r="AD2479">
        <v>22.5</v>
      </c>
      <c r="AE2479" s="7"/>
      <c r="AF2479" s="7"/>
      <c r="AG2479" s="7"/>
      <c r="AH2479" s="7"/>
      <c r="AI2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0.29722222000000009</v>
      </c>
      <c r="AJ2479" s="7"/>
      <c r="AK2479" t="s">
        <v>214</v>
      </c>
      <c r="AN2479">
        <f>IFERROR(INT(Table13[[#This Row],[reject_prod]]/Table13[[#This Row],[part_weight]] * 1000), 0)</f>
        <v>63</v>
      </c>
    </row>
    <row r="2480" spans="1:40">
      <c r="A2480" s="1">
        <v>46096</v>
      </c>
      <c r="B2480">
        <v>1</v>
      </c>
      <c r="C2480">
        <v>3</v>
      </c>
      <c r="D2480" t="s">
        <v>33</v>
      </c>
      <c r="E2480" t="s">
        <v>34</v>
      </c>
      <c r="F2480">
        <v>442034</v>
      </c>
      <c r="G2480" s="6">
        <v>0</v>
      </c>
      <c r="H2480" t="s">
        <v>37</v>
      </c>
      <c r="I2480">
        <v>10685635</v>
      </c>
      <c r="J2480">
        <v>4</v>
      </c>
      <c r="K2480">
        <v>23</v>
      </c>
      <c r="L2480">
        <v>23</v>
      </c>
      <c r="M2480">
        <v>106</v>
      </c>
      <c r="N2480" s="2">
        <v>139776</v>
      </c>
      <c r="O2480" s="2">
        <v>3072</v>
      </c>
      <c r="P2480" s="2">
        <v>3072</v>
      </c>
      <c r="Q2480" s="2">
        <v>424</v>
      </c>
      <c r="R2480" s="2">
        <v>0</v>
      </c>
      <c r="S2480">
        <v>0</v>
      </c>
      <c r="T2480" s="2">
        <v>99840</v>
      </c>
      <c r="U2480" s="2">
        <v>39936</v>
      </c>
      <c r="V2480">
        <v>9.7520000000000007</v>
      </c>
      <c r="W2480">
        <v>0</v>
      </c>
      <c r="X2480">
        <v>3</v>
      </c>
      <c r="Y2480">
        <v>0.30762920399999999</v>
      </c>
      <c r="Z2480">
        <v>0</v>
      </c>
      <c r="AA2480">
        <v>0</v>
      </c>
      <c r="AB2480">
        <v>28</v>
      </c>
      <c r="AC2480">
        <v>0.82444444400000005</v>
      </c>
      <c r="AD2480">
        <v>22</v>
      </c>
      <c r="AE2480" s="7"/>
      <c r="AF2480" s="7"/>
      <c r="AG2480" s="7"/>
      <c r="AH2480" s="7"/>
      <c r="AI2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11.175555555999999</v>
      </c>
      <c r="AJ2480" s="7"/>
      <c r="AK2480" t="s">
        <v>1269</v>
      </c>
      <c r="AN2480">
        <f>IFERROR(INT(Table13[[#This Row],[reject_prod]]/Table13[[#This Row],[part_weight]] * 1000), 0)</f>
        <v>0</v>
      </c>
    </row>
    <row r="2481" spans="1:40">
      <c r="A2481" s="1">
        <v>46096</v>
      </c>
      <c r="B2481">
        <v>1</v>
      </c>
      <c r="C2481">
        <v>4</v>
      </c>
      <c r="D2481" t="s">
        <v>112</v>
      </c>
      <c r="E2481" t="s">
        <v>34</v>
      </c>
      <c r="F2481">
        <v>400860</v>
      </c>
      <c r="G2481" s="6">
        <v>0</v>
      </c>
      <c r="H2481" t="s">
        <v>1254</v>
      </c>
      <c r="I2481">
        <v>10689109</v>
      </c>
      <c r="J2481">
        <v>4</v>
      </c>
      <c r="K2481">
        <v>29.27</v>
      </c>
      <c r="L2481">
        <v>29</v>
      </c>
      <c r="M2481">
        <v>1687</v>
      </c>
      <c r="N2481" s="2">
        <v>43092</v>
      </c>
      <c r="O2481" s="2">
        <v>0</v>
      </c>
      <c r="P2481" s="2">
        <v>1710</v>
      </c>
      <c r="Q2481" s="2">
        <v>6748</v>
      </c>
      <c r="R2481" s="2">
        <v>4788</v>
      </c>
      <c r="S2481">
        <v>138.852</v>
      </c>
      <c r="T2481" s="2">
        <v>13680</v>
      </c>
      <c r="U2481" s="2">
        <v>29412</v>
      </c>
      <c r="V2481">
        <v>195.69200000000001</v>
      </c>
      <c r="W2481">
        <v>1.82196</v>
      </c>
      <c r="X2481">
        <v>0</v>
      </c>
      <c r="Y2481">
        <v>0</v>
      </c>
      <c r="Z2481">
        <v>1</v>
      </c>
      <c r="AA2481">
        <v>5.1100709999999999E-3</v>
      </c>
      <c r="AB2481">
        <v>25.2</v>
      </c>
      <c r="AC2481">
        <v>11.808999999999999</v>
      </c>
      <c r="AD2481">
        <v>22</v>
      </c>
      <c r="AE2481" s="7"/>
      <c r="AF2481" s="7"/>
      <c r="AG2481" s="7"/>
      <c r="AH2481" s="7"/>
      <c r="AI2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0.19100000000000072</v>
      </c>
      <c r="AJ2481" s="7"/>
      <c r="AK2481" t="s">
        <v>214</v>
      </c>
      <c r="AL2481">
        <v>1</v>
      </c>
      <c r="AM2481">
        <v>1</v>
      </c>
      <c r="AN2481">
        <f>IFERROR(INT(Table13[[#This Row],[reject_prod]]/Table13[[#This Row],[part_weight]] * 1000), 0)</f>
        <v>34</v>
      </c>
    </row>
    <row r="2482" spans="1:40">
      <c r="A2482" s="1">
        <v>46096</v>
      </c>
      <c r="B2482">
        <v>1</v>
      </c>
      <c r="C2482">
        <v>5</v>
      </c>
      <c r="F2482">
        <v>123456</v>
      </c>
      <c r="G2482" s="6">
        <v>0</v>
      </c>
      <c r="M2482">
        <v>0</v>
      </c>
      <c r="N2482" s="2">
        <v>0</v>
      </c>
      <c r="O2482" s="2">
        <v>0</v>
      </c>
      <c r="P2482" s="2">
        <v>0</v>
      </c>
      <c r="Q2482" s="2"/>
      <c r="R2482" s="2">
        <v>0</v>
      </c>
      <c r="T2482" s="2">
        <v>0</v>
      </c>
      <c r="U2482" s="2"/>
      <c r="X2482">
        <v>0</v>
      </c>
      <c r="Z2482">
        <v>0</v>
      </c>
      <c r="AB2482">
        <v>0</v>
      </c>
      <c r="AC2482">
        <v>0</v>
      </c>
      <c r="AD2482">
        <v>0</v>
      </c>
      <c r="AE2482" s="7"/>
      <c r="AF2482" s="7"/>
      <c r="AG2482" s="7"/>
      <c r="AH2482" s="7"/>
      <c r="AI2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82" s="7">
        <v>12</v>
      </c>
      <c r="AK2482" t="s">
        <v>116</v>
      </c>
      <c r="AN2482">
        <f>IFERROR(INT(Table13[[#This Row],[reject_prod]]/Table13[[#This Row],[part_weight]] * 1000), 0)</f>
        <v>0</v>
      </c>
    </row>
    <row r="2483" spans="1:40">
      <c r="A2483" s="1">
        <v>46096</v>
      </c>
      <c r="B2483">
        <v>1</v>
      </c>
      <c r="C2483">
        <v>6</v>
      </c>
      <c r="D2483" t="s">
        <v>257</v>
      </c>
      <c r="E2483" t="s">
        <v>34</v>
      </c>
      <c r="F2483">
        <v>322445</v>
      </c>
      <c r="G2483" s="6">
        <v>0</v>
      </c>
      <c r="H2483" t="s">
        <v>743</v>
      </c>
      <c r="I2483">
        <v>10689565</v>
      </c>
      <c r="J2483">
        <v>4</v>
      </c>
      <c r="K2483">
        <v>32.74</v>
      </c>
      <c r="L2483">
        <v>33</v>
      </c>
      <c r="M2483">
        <v>1515</v>
      </c>
      <c r="N2483" s="2">
        <v>72000</v>
      </c>
      <c r="O2483" s="2">
        <v>0</v>
      </c>
      <c r="P2483" s="2">
        <v>360</v>
      </c>
      <c r="Q2483" s="2">
        <v>6060</v>
      </c>
      <c r="R2483" s="2">
        <v>5400</v>
      </c>
      <c r="S2483">
        <v>178.2</v>
      </c>
      <c r="T2483" s="2">
        <v>55260</v>
      </c>
      <c r="U2483" s="2">
        <v>16740</v>
      </c>
      <c r="V2483">
        <v>199.98</v>
      </c>
      <c r="W2483">
        <v>0</v>
      </c>
      <c r="X2483">
        <v>0</v>
      </c>
      <c r="Y2483">
        <v>0</v>
      </c>
      <c r="Z2483">
        <v>4.5</v>
      </c>
      <c r="AA2483">
        <v>2.2502250000000001E-2</v>
      </c>
      <c r="AB2483">
        <v>22</v>
      </c>
      <c r="AC2483">
        <v>9.2583333329999995</v>
      </c>
      <c r="AD2483">
        <v>22</v>
      </c>
      <c r="AE2483" s="7"/>
      <c r="AF2483" s="7"/>
      <c r="AG2483" s="7"/>
      <c r="AH2483" s="7"/>
      <c r="AI2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2.7416666670000005</v>
      </c>
      <c r="AJ2483" s="7"/>
      <c r="AK2483" t="s">
        <v>411</v>
      </c>
      <c r="AN2483">
        <f>IFERROR(INT(Table13[[#This Row],[reject_prod]]/Table13[[#This Row],[part_weight]] * 1000), 0)</f>
        <v>136</v>
      </c>
    </row>
    <row r="2484" spans="1:40">
      <c r="A2484" s="1">
        <v>46096</v>
      </c>
      <c r="B2484">
        <v>1</v>
      </c>
      <c r="C2484">
        <v>7</v>
      </c>
      <c r="D2484" t="s">
        <v>112</v>
      </c>
      <c r="E2484" t="s">
        <v>34</v>
      </c>
      <c r="F2484">
        <v>324198</v>
      </c>
      <c r="G2484" s="6">
        <v>0</v>
      </c>
      <c r="H2484" t="s">
        <v>632</v>
      </c>
      <c r="I2484">
        <v>10685209</v>
      </c>
      <c r="J2484">
        <v>4</v>
      </c>
      <c r="K2484">
        <v>20</v>
      </c>
      <c r="L2484">
        <v>20</v>
      </c>
      <c r="M2484">
        <v>2021</v>
      </c>
      <c r="N2484" s="2">
        <v>25920</v>
      </c>
      <c r="O2484" s="2">
        <v>6480</v>
      </c>
      <c r="P2484" s="2">
        <v>3600</v>
      </c>
      <c r="Q2484" s="2">
        <v>8084</v>
      </c>
      <c r="R2484" s="2">
        <v>8640</v>
      </c>
      <c r="S2484">
        <v>172.8</v>
      </c>
      <c r="T2484" s="2">
        <v>12240</v>
      </c>
      <c r="U2484" s="2">
        <v>13680</v>
      </c>
      <c r="V2484">
        <v>161.68</v>
      </c>
      <c r="W2484">
        <v>0</v>
      </c>
      <c r="X2484">
        <v>0</v>
      </c>
      <c r="Y2484">
        <v>0</v>
      </c>
      <c r="Z2484">
        <v>1.5</v>
      </c>
      <c r="AA2484">
        <v>9.2775849999999997E-3</v>
      </c>
      <c r="AB2484">
        <v>21</v>
      </c>
      <c r="AC2484">
        <v>11.78916667</v>
      </c>
      <c r="AD2484">
        <v>19.5</v>
      </c>
      <c r="AE2484" s="7"/>
      <c r="AF2484" s="7"/>
      <c r="AG2484" s="7"/>
      <c r="AH2484" s="7"/>
      <c r="AI2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0.21083332999999982</v>
      </c>
      <c r="AJ2484" s="7"/>
      <c r="AK2484" t="s">
        <v>214</v>
      </c>
      <c r="AL2484">
        <v>6</v>
      </c>
      <c r="AM2484">
        <v>4</v>
      </c>
      <c r="AN2484">
        <f>IFERROR(INT(Table13[[#This Row],[reject_prod]]/Table13[[#This Row],[part_weight]] * 1000), 0)</f>
        <v>75</v>
      </c>
    </row>
    <row r="2485" spans="1:40">
      <c r="A2485" s="1">
        <v>46096</v>
      </c>
      <c r="B2485">
        <v>1</v>
      </c>
      <c r="C2485">
        <v>8</v>
      </c>
      <c r="D2485" t="s">
        <v>254</v>
      </c>
      <c r="E2485" t="s">
        <v>41</v>
      </c>
      <c r="F2485">
        <v>593537</v>
      </c>
      <c r="G2485" s="6">
        <v>0</v>
      </c>
      <c r="H2485" t="s">
        <v>48</v>
      </c>
      <c r="I2485">
        <v>10688068</v>
      </c>
      <c r="J2485">
        <v>4</v>
      </c>
      <c r="K2485">
        <v>56.5</v>
      </c>
      <c r="L2485">
        <v>56.8</v>
      </c>
      <c r="M2485">
        <v>1421</v>
      </c>
      <c r="N2485" s="2">
        <v>69000</v>
      </c>
      <c r="O2485" s="2">
        <v>115</v>
      </c>
      <c r="P2485" s="2">
        <v>0</v>
      </c>
      <c r="Q2485" s="2">
        <v>5684</v>
      </c>
      <c r="R2485" s="2">
        <v>5750</v>
      </c>
      <c r="S2485">
        <v>326.60000000000002</v>
      </c>
      <c r="T2485" s="2">
        <v>52325</v>
      </c>
      <c r="U2485" s="2">
        <v>16675</v>
      </c>
      <c r="V2485">
        <v>322.85120000000001</v>
      </c>
      <c r="W2485">
        <v>0</v>
      </c>
      <c r="X2485">
        <v>0</v>
      </c>
      <c r="Y2485">
        <v>0</v>
      </c>
      <c r="Z2485">
        <v>2</v>
      </c>
      <c r="AA2485">
        <v>6.1948039999999999E-3</v>
      </c>
      <c r="AB2485">
        <v>30.1</v>
      </c>
      <c r="AC2485">
        <v>11.881138890000001</v>
      </c>
      <c r="AD2485">
        <v>28.5</v>
      </c>
      <c r="AE2485" s="7"/>
      <c r="AF2485" s="7"/>
      <c r="AG2485" s="7"/>
      <c r="AH2485" s="7"/>
      <c r="AI2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0.11886110999999921</v>
      </c>
      <c r="AJ2485" s="7"/>
      <c r="AK2485" t="s">
        <v>178</v>
      </c>
      <c r="AN2485">
        <f>IFERROR(INT(Table13[[#This Row],[reject_prod]]/Table13[[#This Row],[part_weight]] * 1000), 0)</f>
        <v>35</v>
      </c>
    </row>
    <row r="2486" spans="1:40">
      <c r="A2486" s="1">
        <v>46096</v>
      </c>
      <c r="B2486">
        <v>1</v>
      </c>
      <c r="C2486">
        <v>9</v>
      </c>
      <c r="D2486" t="s">
        <v>141</v>
      </c>
      <c r="E2486" t="s">
        <v>46</v>
      </c>
      <c r="F2486">
        <v>586276</v>
      </c>
      <c r="G2486" s="6">
        <v>1</v>
      </c>
      <c r="H2486" t="s">
        <v>47</v>
      </c>
      <c r="I2486">
        <v>10689111</v>
      </c>
      <c r="J2486">
        <v>6</v>
      </c>
      <c r="K2486">
        <v>12.3</v>
      </c>
      <c r="L2486">
        <v>12.3</v>
      </c>
      <c r="M2486">
        <v>1582</v>
      </c>
      <c r="N2486" s="2">
        <v>162000</v>
      </c>
      <c r="O2486" s="2">
        <v>7695</v>
      </c>
      <c r="P2486" s="2">
        <v>810</v>
      </c>
      <c r="Q2486" s="2">
        <v>9492</v>
      </c>
      <c r="R2486" s="2">
        <v>16200</v>
      </c>
      <c r="S2486">
        <v>199.26</v>
      </c>
      <c r="T2486" s="2">
        <v>114210</v>
      </c>
      <c r="U2486" s="2">
        <v>47790</v>
      </c>
      <c r="V2486">
        <v>116.7516</v>
      </c>
      <c r="W2486">
        <v>0</v>
      </c>
      <c r="X2486">
        <v>0</v>
      </c>
      <c r="Y2486">
        <v>0</v>
      </c>
      <c r="Z2486">
        <v>2</v>
      </c>
      <c r="AA2486">
        <v>1.7130386000000001E-2</v>
      </c>
      <c r="AB2486">
        <v>26.5</v>
      </c>
      <c r="AC2486">
        <v>11.645277780000001</v>
      </c>
      <c r="AD2486">
        <v>26</v>
      </c>
      <c r="AE2486" s="7"/>
      <c r="AF2486" s="7"/>
      <c r="AG2486" s="7"/>
      <c r="AH2486" s="7"/>
      <c r="AI2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0.35472221999999931</v>
      </c>
      <c r="AJ2486" s="7"/>
      <c r="AK2486" t="s">
        <v>1239</v>
      </c>
      <c r="AN2486">
        <f>IFERROR(INT(Table13[[#This Row],[reject_prod]]/Table13[[#This Row],[part_weight]] * 1000), 0)</f>
        <v>162</v>
      </c>
    </row>
    <row r="2487" spans="1:40">
      <c r="A2487" s="1">
        <v>46096</v>
      </c>
      <c r="B2487">
        <v>1</v>
      </c>
      <c r="C2487">
        <v>10</v>
      </c>
      <c r="F2487">
        <v>123456</v>
      </c>
      <c r="G2487" s="6">
        <v>0</v>
      </c>
      <c r="M2487">
        <v>0</v>
      </c>
      <c r="N2487" s="2">
        <v>0</v>
      </c>
      <c r="O2487" s="2">
        <v>0</v>
      </c>
      <c r="P2487" s="2">
        <v>0</v>
      </c>
      <c r="Q2487" s="2"/>
      <c r="R2487" s="2">
        <v>0</v>
      </c>
      <c r="T2487" s="2">
        <v>0</v>
      </c>
      <c r="U2487" s="2"/>
      <c r="X2487">
        <v>0</v>
      </c>
      <c r="Z2487">
        <v>0</v>
      </c>
      <c r="AB2487">
        <v>0</v>
      </c>
      <c r="AC2487">
        <v>0</v>
      </c>
      <c r="AD2487">
        <v>0</v>
      </c>
      <c r="AE2487" s="7"/>
      <c r="AF2487" s="7"/>
      <c r="AG2487" s="7"/>
      <c r="AH2487" s="7"/>
      <c r="AI2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87" s="7">
        <v>12</v>
      </c>
      <c r="AK2487" t="s">
        <v>116</v>
      </c>
      <c r="AN2487">
        <f>IFERROR(INT(Table13[[#This Row],[reject_prod]]/Table13[[#This Row],[part_weight]] * 1000), 0)</f>
        <v>0</v>
      </c>
    </row>
    <row r="2488" spans="1:40">
      <c r="A2488" s="1">
        <v>46096</v>
      </c>
      <c r="B2488">
        <v>1</v>
      </c>
      <c r="C2488">
        <v>11</v>
      </c>
      <c r="D2488" t="s">
        <v>61</v>
      </c>
      <c r="E2488" t="s">
        <v>46</v>
      </c>
      <c r="F2488">
        <v>552181</v>
      </c>
      <c r="G2488" s="6">
        <v>1</v>
      </c>
      <c r="H2488" t="s">
        <v>49</v>
      </c>
      <c r="I2488">
        <v>10688069</v>
      </c>
      <c r="J2488">
        <v>6</v>
      </c>
      <c r="K2488">
        <v>14.7</v>
      </c>
      <c r="L2488">
        <v>14.7</v>
      </c>
      <c r="M2488">
        <v>1465</v>
      </c>
      <c r="N2488" s="2">
        <v>108000</v>
      </c>
      <c r="O2488" s="2">
        <v>3510</v>
      </c>
      <c r="P2488" s="2">
        <v>1350</v>
      </c>
      <c r="Q2488" s="2">
        <v>8790</v>
      </c>
      <c r="R2488" s="2">
        <v>10800</v>
      </c>
      <c r="S2488">
        <v>158.76</v>
      </c>
      <c r="T2488" s="2">
        <v>55350</v>
      </c>
      <c r="U2488" s="2">
        <v>52650</v>
      </c>
      <c r="V2488">
        <v>129.21299999999999</v>
      </c>
      <c r="W2488">
        <v>0</v>
      </c>
      <c r="X2488">
        <v>0</v>
      </c>
      <c r="Y2488">
        <v>0</v>
      </c>
      <c r="Z2488">
        <v>1</v>
      </c>
      <c r="AA2488">
        <v>7.7391589999999998E-3</v>
      </c>
      <c r="AB2488">
        <v>29.2</v>
      </c>
      <c r="AC2488">
        <v>11.88277778</v>
      </c>
      <c r="AD2488">
        <v>27</v>
      </c>
      <c r="AE2488" s="7"/>
      <c r="AF2488" s="7"/>
      <c r="AG2488" s="7"/>
      <c r="AH2488" s="7"/>
      <c r="AI2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0.11722222000000038</v>
      </c>
      <c r="AJ2488" s="7"/>
      <c r="AK2488" t="s">
        <v>51</v>
      </c>
      <c r="AN2488">
        <f>IFERROR(INT(Table13[[#This Row],[reject_prod]]/Table13[[#This Row],[part_weight]] * 1000), 0)</f>
        <v>68</v>
      </c>
    </row>
    <row r="2489" spans="1:40">
      <c r="A2489" s="1">
        <v>46096</v>
      </c>
      <c r="B2489">
        <v>1</v>
      </c>
      <c r="C2489">
        <v>12</v>
      </c>
      <c r="D2489" t="s">
        <v>33</v>
      </c>
      <c r="E2489" t="s">
        <v>46</v>
      </c>
      <c r="F2489">
        <v>555979</v>
      </c>
      <c r="G2489" s="6">
        <v>1</v>
      </c>
      <c r="H2489" t="s">
        <v>52</v>
      </c>
      <c r="I2489">
        <v>10689126</v>
      </c>
      <c r="J2489">
        <v>6</v>
      </c>
      <c r="K2489">
        <v>28</v>
      </c>
      <c r="L2489">
        <v>28</v>
      </c>
      <c r="M2489">
        <v>0</v>
      </c>
      <c r="N2489" s="2">
        <v>100800</v>
      </c>
      <c r="O2489" s="2">
        <v>3024</v>
      </c>
      <c r="P2489" s="2">
        <v>3024</v>
      </c>
      <c r="Q2489" s="2">
        <v>0</v>
      </c>
      <c r="R2489" s="2">
        <v>0</v>
      </c>
      <c r="S2489">
        <v>0</v>
      </c>
      <c r="T2489" s="2">
        <v>13440</v>
      </c>
      <c r="U2489" s="2">
        <v>87360</v>
      </c>
      <c r="V2489">
        <v>0</v>
      </c>
      <c r="W2489">
        <v>0</v>
      </c>
      <c r="X2489">
        <v>3.5</v>
      </c>
      <c r="Y2489" t="e">
        <v>#DIV/0!</v>
      </c>
      <c r="Z2489">
        <v>0</v>
      </c>
      <c r="AA2489" t="e">
        <v>#DIV/0!</v>
      </c>
      <c r="AB2489">
        <v>41.2</v>
      </c>
      <c r="AC2489">
        <v>0</v>
      </c>
      <c r="AD2489">
        <v>42</v>
      </c>
      <c r="AE2489" s="7"/>
      <c r="AF2489" s="7"/>
      <c r="AG2489" s="7"/>
      <c r="AH2489" s="7"/>
      <c r="AI2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89" s="7"/>
      <c r="AK2489" t="s">
        <v>1260</v>
      </c>
      <c r="AN2489">
        <f>IFERROR(INT(Table13[[#This Row],[reject_prod]]/Table13[[#This Row],[part_weight]] * 1000), 0)</f>
        <v>0</v>
      </c>
    </row>
    <row r="2490" spans="1:40">
      <c r="A2490" s="1">
        <v>46096</v>
      </c>
      <c r="B2490">
        <v>1</v>
      </c>
      <c r="C2490">
        <v>13</v>
      </c>
      <c r="D2490" t="s">
        <v>254</v>
      </c>
      <c r="E2490" t="s">
        <v>46</v>
      </c>
      <c r="F2490">
        <v>586276</v>
      </c>
      <c r="G2490" s="6">
        <v>2</v>
      </c>
      <c r="H2490" t="s">
        <v>47</v>
      </c>
      <c r="I2490">
        <v>10689118</v>
      </c>
      <c r="J2490">
        <v>6</v>
      </c>
      <c r="K2490">
        <v>12.3</v>
      </c>
      <c r="L2490">
        <v>12.3</v>
      </c>
      <c r="M2490">
        <v>1618</v>
      </c>
      <c r="N2490" s="2">
        <v>162000</v>
      </c>
      <c r="O2490" s="2">
        <v>810</v>
      </c>
      <c r="P2490" s="2">
        <v>2025</v>
      </c>
      <c r="Q2490" s="2">
        <v>9708</v>
      </c>
      <c r="R2490" s="2">
        <v>8100</v>
      </c>
      <c r="S2490">
        <v>99.63</v>
      </c>
      <c r="T2490" s="2">
        <v>83025</v>
      </c>
      <c r="U2490" s="2">
        <v>78975</v>
      </c>
      <c r="V2490">
        <v>119.4084</v>
      </c>
      <c r="W2490">
        <v>0</v>
      </c>
      <c r="X2490">
        <v>0</v>
      </c>
      <c r="Y2490">
        <v>0</v>
      </c>
      <c r="Z2490">
        <v>1</v>
      </c>
      <c r="AA2490">
        <v>8.3746199999999993E-3</v>
      </c>
      <c r="AB2490">
        <v>26.2</v>
      </c>
      <c r="AC2490">
        <v>11.775444439999999</v>
      </c>
      <c r="AD2490">
        <v>26</v>
      </c>
      <c r="AE2490" s="7"/>
      <c r="AF2490" s="7"/>
      <c r="AG2490" s="7"/>
      <c r="AH2490" s="7"/>
      <c r="AI2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0.22455556000000065</v>
      </c>
      <c r="AJ2490" s="7"/>
      <c r="AK2490" t="s">
        <v>51</v>
      </c>
      <c r="AL2490">
        <v>6</v>
      </c>
      <c r="AM2490">
        <v>3</v>
      </c>
      <c r="AN2490">
        <f>IFERROR(INT(Table13[[#This Row],[reject_prod]]/Table13[[#This Row],[part_weight]] * 1000), 0)</f>
        <v>81</v>
      </c>
    </row>
    <row r="2491" spans="1:40">
      <c r="A2491" s="1">
        <v>46096</v>
      </c>
      <c r="B2491">
        <v>1</v>
      </c>
      <c r="C2491">
        <v>14</v>
      </c>
      <c r="D2491" t="s">
        <v>152</v>
      </c>
      <c r="E2491" t="s">
        <v>34</v>
      </c>
      <c r="F2491">
        <v>541381</v>
      </c>
      <c r="G2491" s="6">
        <v>0</v>
      </c>
      <c r="H2491" t="s">
        <v>804</v>
      </c>
      <c r="I2491">
        <v>10689120</v>
      </c>
      <c r="J2491">
        <v>4</v>
      </c>
      <c r="K2491">
        <v>55</v>
      </c>
      <c r="L2491">
        <v>55</v>
      </c>
      <c r="M2491">
        <v>1592</v>
      </c>
      <c r="N2491" s="2">
        <v>84000</v>
      </c>
      <c r="O2491" s="2">
        <v>525</v>
      </c>
      <c r="P2491" s="2">
        <v>0</v>
      </c>
      <c r="Q2491" s="2">
        <v>6368</v>
      </c>
      <c r="R2491" s="2">
        <v>7000</v>
      </c>
      <c r="S2491">
        <v>385</v>
      </c>
      <c r="T2491" s="2">
        <v>10500</v>
      </c>
      <c r="U2491" s="2">
        <v>73500</v>
      </c>
      <c r="V2491">
        <v>350.24</v>
      </c>
      <c r="W2491">
        <v>0</v>
      </c>
      <c r="X2491">
        <v>0</v>
      </c>
      <c r="Y2491">
        <v>0</v>
      </c>
      <c r="Z2491">
        <v>3</v>
      </c>
      <c r="AA2491">
        <v>8.5655550000000007E-3</v>
      </c>
      <c r="AB2491">
        <v>27.3</v>
      </c>
      <c r="AC2491">
        <v>12</v>
      </c>
      <c r="AD2491">
        <v>30.08</v>
      </c>
      <c r="AE2491" s="7"/>
      <c r="AF2491" s="7"/>
      <c r="AG2491" s="7"/>
      <c r="AH2491" s="7"/>
      <c r="AI24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1" s="7"/>
      <c r="AK2491" t="s">
        <v>178</v>
      </c>
      <c r="AN2491">
        <f>IFERROR(INT(Table13[[#This Row],[reject_prod]]/Table13[[#This Row],[part_weight]] * 1000), 0)</f>
        <v>54</v>
      </c>
    </row>
    <row r="2492" spans="1:40">
      <c r="A2492" s="1">
        <v>46096</v>
      </c>
      <c r="B2492">
        <v>1</v>
      </c>
      <c r="C2492">
        <v>15</v>
      </c>
      <c r="D2492" t="s">
        <v>61</v>
      </c>
      <c r="E2492" t="s">
        <v>46</v>
      </c>
      <c r="F2492">
        <v>552181</v>
      </c>
      <c r="G2492" s="6">
        <v>2</v>
      </c>
      <c r="H2492" t="s">
        <v>49</v>
      </c>
      <c r="I2492">
        <v>10689122</v>
      </c>
      <c r="J2492">
        <v>6</v>
      </c>
      <c r="K2492">
        <v>14.7</v>
      </c>
      <c r="L2492">
        <v>14.7</v>
      </c>
      <c r="M2492">
        <v>1425</v>
      </c>
      <c r="N2492" s="2">
        <v>108000</v>
      </c>
      <c r="O2492" s="2">
        <v>540</v>
      </c>
      <c r="P2492" s="2">
        <v>3510</v>
      </c>
      <c r="Q2492" s="2">
        <v>8550</v>
      </c>
      <c r="R2492" s="2">
        <v>5400</v>
      </c>
      <c r="S2492">
        <v>79.38</v>
      </c>
      <c r="T2492" s="2">
        <v>79110</v>
      </c>
      <c r="U2492" s="2">
        <v>28890</v>
      </c>
      <c r="V2492">
        <v>125.685</v>
      </c>
      <c r="W2492">
        <v>0</v>
      </c>
      <c r="X2492">
        <v>0</v>
      </c>
      <c r="Y2492">
        <v>0</v>
      </c>
      <c r="Z2492">
        <v>1</v>
      </c>
      <c r="AA2492">
        <v>7.9563989999999994E-3</v>
      </c>
      <c r="AB2492">
        <v>30.6</v>
      </c>
      <c r="AC2492">
        <v>12</v>
      </c>
      <c r="AD2492">
        <v>27</v>
      </c>
      <c r="AE2492" s="7"/>
      <c r="AF2492" s="7"/>
      <c r="AG2492" s="7"/>
      <c r="AH2492" s="7"/>
      <c r="AI2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2" s="7"/>
      <c r="AK2492" t="s">
        <v>51</v>
      </c>
      <c r="AN2492">
        <f>IFERROR(INT(Table13[[#This Row],[reject_prod]]/Table13[[#This Row],[part_weight]] * 1000), 0)</f>
        <v>68</v>
      </c>
    </row>
    <row r="2493" spans="1:40">
      <c r="A2493" s="1">
        <v>46096</v>
      </c>
      <c r="B2493">
        <v>1</v>
      </c>
      <c r="C2493">
        <v>16</v>
      </c>
      <c r="D2493" t="s">
        <v>69</v>
      </c>
      <c r="E2493" t="s">
        <v>46</v>
      </c>
      <c r="F2493">
        <v>555979</v>
      </c>
      <c r="G2493" s="6">
        <v>2</v>
      </c>
      <c r="H2493" t="s">
        <v>52</v>
      </c>
      <c r="I2493">
        <v>10688074</v>
      </c>
      <c r="J2493">
        <v>6</v>
      </c>
      <c r="K2493">
        <v>28</v>
      </c>
      <c r="L2493">
        <v>28</v>
      </c>
      <c r="M2493">
        <v>1052</v>
      </c>
      <c r="N2493" s="2">
        <v>100800</v>
      </c>
      <c r="O2493" s="2">
        <v>3024</v>
      </c>
      <c r="P2493" s="2">
        <v>2352</v>
      </c>
      <c r="Q2493" s="2">
        <v>6312</v>
      </c>
      <c r="R2493" s="2">
        <v>6720</v>
      </c>
      <c r="S2493">
        <v>188.16</v>
      </c>
      <c r="T2493" s="2">
        <v>96432</v>
      </c>
      <c r="U2493" s="2">
        <v>4368</v>
      </c>
      <c r="V2493">
        <v>176.73599999999999</v>
      </c>
      <c r="W2493">
        <v>0</v>
      </c>
      <c r="X2493">
        <v>0</v>
      </c>
      <c r="Y2493">
        <v>0</v>
      </c>
      <c r="Z2493">
        <v>1</v>
      </c>
      <c r="AA2493">
        <v>5.6581569999999996E-3</v>
      </c>
      <c r="AB2493">
        <v>40.5</v>
      </c>
      <c r="AC2493">
        <v>11.835000000000001</v>
      </c>
      <c r="AD2493">
        <v>42</v>
      </c>
      <c r="AE2493" s="7"/>
      <c r="AF2493" s="7"/>
      <c r="AG2493" s="7"/>
      <c r="AH2493" s="7"/>
      <c r="AI2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2493" s="7"/>
      <c r="AK2493" t="s">
        <v>51</v>
      </c>
      <c r="AN2493">
        <f>IFERROR(INT(Table13[[#This Row],[reject_prod]]/Table13[[#This Row],[part_weight]] * 1000), 0)</f>
        <v>35</v>
      </c>
    </row>
    <row r="2494" spans="1:40">
      <c r="A2494" s="1">
        <v>46096</v>
      </c>
      <c r="B2494">
        <v>2</v>
      </c>
      <c r="C2494">
        <v>1</v>
      </c>
      <c r="D2494" t="s">
        <v>33</v>
      </c>
      <c r="E2494" t="s">
        <v>34</v>
      </c>
      <c r="F2494">
        <v>347623</v>
      </c>
      <c r="G2494" s="6">
        <v>0</v>
      </c>
      <c r="H2494" t="s">
        <v>35</v>
      </c>
      <c r="I2494">
        <v>10689833</v>
      </c>
      <c r="J2494">
        <v>4</v>
      </c>
      <c r="K2494">
        <v>35.6</v>
      </c>
      <c r="L2494">
        <v>35.6</v>
      </c>
      <c r="M2494">
        <v>187</v>
      </c>
      <c r="N2494" s="2">
        <v>40480</v>
      </c>
      <c r="O2494" s="2">
        <v>1104</v>
      </c>
      <c r="P2494" s="2">
        <v>510</v>
      </c>
      <c r="Q2494" s="2">
        <v>748</v>
      </c>
      <c r="R2494" s="2">
        <v>1840</v>
      </c>
      <c r="S2494">
        <v>65.504000000000005</v>
      </c>
      <c r="T2494" s="2">
        <v>31780</v>
      </c>
      <c r="U2494" s="2">
        <v>8700</v>
      </c>
      <c r="V2494">
        <v>26.628799999999998</v>
      </c>
      <c r="W2494">
        <v>0</v>
      </c>
      <c r="X2494">
        <v>0</v>
      </c>
      <c r="Y2494">
        <v>0</v>
      </c>
      <c r="Z2494">
        <v>0.1</v>
      </c>
      <c r="AA2494">
        <v>3.755333E-3</v>
      </c>
      <c r="AB2494">
        <v>25.5</v>
      </c>
      <c r="AC2494">
        <v>1.3245833330000001</v>
      </c>
      <c r="AD2494">
        <v>27</v>
      </c>
      <c r="AE2494" s="7"/>
      <c r="AF2494" s="7"/>
      <c r="AG2494" s="7"/>
      <c r="AH2494" s="7"/>
      <c r="AI2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10.675416667</v>
      </c>
      <c r="AJ2494" s="7"/>
      <c r="AK2494" t="s">
        <v>178</v>
      </c>
      <c r="AN2494">
        <f>IFERROR(INT(Table13[[#This Row],[reject_prod]]/Table13[[#This Row],[part_weight]] * 1000), 0)</f>
        <v>2</v>
      </c>
    </row>
    <row r="2495" spans="1:40">
      <c r="A2495" s="1">
        <v>46096</v>
      </c>
      <c r="B2495">
        <v>2</v>
      </c>
      <c r="C2495">
        <v>2</v>
      </c>
      <c r="D2495" t="s">
        <v>84</v>
      </c>
      <c r="E2495" t="s">
        <v>34</v>
      </c>
      <c r="F2495">
        <v>324163</v>
      </c>
      <c r="G2495" s="6">
        <v>0</v>
      </c>
      <c r="H2495" t="s">
        <v>672</v>
      </c>
      <c r="I2495">
        <v>10688495</v>
      </c>
      <c r="J2495">
        <v>4</v>
      </c>
      <c r="K2495">
        <v>24</v>
      </c>
      <c r="L2495">
        <v>23.5</v>
      </c>
      <c r="M2495">
        <v>1860</v>
      </c>
      <c r="N2495" s="2">
        <v>73152</v>
      </c>
      <c r="O2495" s="2">
        <v>0</v>
      </c>
      <c r="P2495" s="2">
        <v>2667</v>
      </c>
      <c r="Q2495" s="2">
        <v>7440</v>
      </c>
      <c r="R2495" s="2">
        <v>4572</v>
      </c>
      <c r="S2495">
        <v>107.44199999999999</v>
      </c>
      <c r="T2495" s="2">
        <v>34671</v>
      </c>
      <c r="U2495" s="2">
        <v>38481</v>
      </c>
      <c r="V2495">
        <v>174.84</v>
      </c>
      <c r="W2495">
        <v>3.72</v>
      </c>
      <c r="X2495">
        <v>0</v>
      </c>
      <c r="Y2495">
        <v>0</v>
      </c>
      <c r="Z2495">
        <v>6.5</v>
      </c>
      <c r="AA2495">
        <v>3.7176846999999999E-2</v>
      </c>
      <c r="AB2495">
        <v>21.96</v>
      </c>
      <c r="AC2495">
        <v>11.346</v>
      </c>
      <c r="AD2495">
        <v>22.5</v>
      </c>
      <c r="AE2495" s="7"/>
      <c r="AF2495" s="7"/>
      <c r="AG2495" s="7"/>
      <c r="AH2495" s="7"/>
      <c r="AI2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0.65399999999999991</v>
      </c>
      <c r="AJ2495" s="7"/>
      <c r="AK2495" t="s">
        <v>1161</v>
      </c>
      <c r="AN2495">
        <f>IFERROR(INT(Table13[[#This Row],[reject_prod]]/Table13[[#This Row],[part_weight]] * 1000), 0)</f>
        <v>276</v>
      </c>
    </row>
    <row r="2496" spans="1:40">
      <c r="A2496" s="1">
        <v>46096</v>
      </c>
      <c r="B2496">
        <v>2</v>
      </c>
      <c r="C2496">
        <v>3</v>
      </c>
      <c r="D2496" t="s">
        <v>494</v>
      </c>
      <c r="E2496" t="s">
        <v>34</v>
      </c>
      <c r="F2496">
        <v>442034</v>
      </c>
      <c r="G2496" s="6">
        <v>0</v>
      </c>
      <c r="H2496" t="s">
        <v>37</v>
      </c>
      <c r="I2496">
        <v>10685635</v>
      </c>
      <c r="J2496">
        <v>4</v>
      </c>
      <c r="K2496">
        <v>23</v>
      </c>
      <c r="L2496">
        <v>23</v>
      </c>
      <c r="M2496">
        <v>1160</v>
      </c>
      <c r="N2496" s="2">
        <v>139776</v>
      </c>
      <c r="O2496" s="2">
        <v>3072</v>
      </c>
      <c r="P2496" s="2">
        <v>3072</v>
      </c>
      <c r="Q2496" s="2">
        <v>4640</v>
      </c>
      <c r="R2496" s="2">
        <v>4608</v>
      </c>
      <c r="S2496">
        <v>105.98399999999999</v>
      </c>
      <c r="T2496" s="2">
        <v>104064</v>
      </c>
      <c r="U2496" s="2">
        <v>35712</v>
      </c>
      <c r="V2496">
        <v>106.72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26.1</v>
      </c>
      <c r="AC2496">
        <v>8.41</v>
      </c>
      <c r="AD2496">
        <v>22</v>
      </c>
      <c r="AE2496" s="7"/>
      <c r="AF2496" s="7"/>
      <c r="AG2496" s="7"/>
      <c r="AH2496" s="7"/>
      <c r="AI2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2.59</v>
      </c>
      <c r="AJ2496" s="7">
        <v>1</v>
      </c>
      <c r="AK2496" t="s">
        <v>1270</v>
      </c>
      <c r="AN2496">
        <f>IFERROR(INT(Table13[[#This Row],[reject_prod]]/Table13[[#This Row],[part_weight]] * 1000), 0)</f>
        <v>0</v>
      </c>
    </row>
    <row r="2497" spans="1:40">
      <c r="A2497" s="1">
        <v>46096</v>
      </c>
      <c r="B2497">
        <v>2</v>
      </c>
      <c r="C2497">
        <v>4</v>
      </c>
      <c r="D2497" t="s">
        <v>1271</v>
      </c>
      <c r="E2497" t="s">
        <v>34</v>
      </c>
      <c r="F2497">
        <v>400860</v>
      </c>
      <c r="G2497" s="6">
        <v>0</v>
      </c>
      <c r="H2497" t="s">
        <v>1254</v>
      </c>
      <c r="I2497">
        <v>10689109</v>
      </c>
      <c r="J2497">
        <v>4</v>
      </c>
      <c r="K2497">
        <v>29.27</v>
      </c>
      <c r="L2497">
        <v>29</v>
      </c>
      <c r="M2497">
        <v>1790</v>
      </c>
      <c r="N2497" s="2">
        <v>43092</v>
      </c>
      <c r="O2497" s="2">
        <v>1710</v>
      </c>
      <c r="P2497" s="2">
        <v>500</v>
      </c>
      <c r="Q2497" s="2">
        <v>7160</v>
      </c>
      <c r="R2497" s="2">
        <v>8379</v>
      </c>
      <c r="S2497">
        <v>242.99100000000001</v>
      </c>
      <c r="T2497" s="2">
        <v>20849</v>
      </c>
      <c r="U2497" s="2">
        <v>22243</v>
      </c>
      <c r="V2497">
        <v>207.64</v>
      </c>
      <c r="W2497">
        <v>1.9332</v>
      </c>
      <c r="X2497">
        <v>0</v>
      </c>
      <c r="Y2497">
        <v>0</v>
      </c>
      <c r="Z2497">
        <v>0</v>
      </c>
      <c r="AA2497">
        <v>0</v>
      </c>
      <c r="AB2497">
        <v>24.43</v>
      </c>
      <c r="AC2497">
        <v>12</v>
      </c>
      <c r="AD2497">
        <v>22</v>
      </c>
      <c r="AE2497" s="7"/>
      <c r="AF2497" s="7"/>
      <c r="AG2497" s="7"/>
      <c r="AH2497" s="7"/>
      <c r="AI2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7" s="7"/>
      <c r="AK2497" t="s">
        <v>214</v>
      </c>
      <c r="AN2497">
        <f>IFERROR(INT(Table13[[#This Row],[reject_prod]]/Table13[[#This Row],[part_weight]] * 1000), 0)</f>
        <v>0</v>
      </c>
    </row>
    <row r="2498" spans="1:40">
      <c r="A2498" s="1">
        <v>46096</v>
      </c>
      <c r="B2498">
        <v>2</v>
      </c>
      <c r="C2498">
        <v>5</v>
      </c>
      <c r="F2498">
        <v>123456</v>
      </c>
      <c r="G2498" s="6">
        <v>0</v>
      </c>
      <c r="M2498">
        <v>0</v>
      </c>
      <c r="N2498" s="2">
        <v>0</v>
      </c>
      <c r="O2498" s="2">
        <v>0</v>
      </c>
      <c r="P2498" s="2">
        <v>0</v>
      </c>
      <c r="Q2498" s="2"/>
      <c r="R2498" s="2">
        <v>0</v>
      </c>
      <c r="T2498" s="2">
        <v>0</v>
      </c>
      <c r="U2498" s="2"/>
      <c r="X2498">
        <v>0</v>
      </c>
      <c r="Z2498">
        <v>0</v>
      </c>
      <c r="AB2498">
        <v>0</v>
      </c>
      <c r="AC2498">
        <v>0</v>
      </c>
      <c r="AD2498">
        <v>0</v>
      </c>
      <c r="AE2498" s="7"/>
      <c r="AF2498" s="7"/>
      <c r="AG2498" s="7"/>
      <c r="AH2498" s="7"/>
      <c r="AI2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8" s="7">
        <v>12</v>
      </c>
      <c r="AK2498" t="s">
        <v>116</v>
      </c>
      <c r="AN2498">
        <f>IFERROR(INT(Table13[[#This Row],[reject_prod]]/Table13[[#This Row],[part_weight]] * 1000), 0)</f>
        <v>0</v>
      </c>
    </row>
    <row r="2499" spans="1:40">
      <c r="A2499" s="1">
        <v>46096</v>
      </c>
      <c r="B2499">
        <v>2</v>
      </c>
      <c r="C2499">
        <v>6</v>
      </c>
      <c r="D2499" t="s">
        <v>33</v>
      </c>
      <c r="E2499" t="s">
        <v>34</v>
      </c>
      <c r="F2499">
        <v>322445</v>
      </c>
      <c r="G2499" s="6">
        <v>0</v>
      </c>
      <c r="H2499" t="s">
        <v>743</v>
      </c>
      <c r="I2499">
        <v>10689565</v>
      </c>
      <c r="J2499">
        <v>4</v>
      </c>
      <c r="K2499">
        <v>32.74</v>
      </c>
      <c r="L2499">
        <v>33</v>
      </c>
      <c r="M2499">
        <v>300</v>
      </c>
      <c r="N2499" s="2">
        <v>72000</v>
      </c>
      <c r="O2499" s="2">
        <v>360</v>
      </c>
      <c r="P2499" s="2">
        <v>1440</v>
      </c>
      <c r="Q2499" s="2">
        <v>1200</v>
      </c>
      <c r="R2499" s="2">
        <v>0</v>
      </c>
      <c r="S2499">
        <v>0</v>
      </c>
      <c r="T2499" s="2">
        <v>56340</v>
      </c>
      <c r="U2499" s="2">
        <v>15660</v>
      </c>
      <c r="V2499">
        <v>39.6</v>
      </c>
      <c r="W2499">
        <v>-0.312</v>
      </c>
      <c r="X2499">
        <v>0</v>
      </c>
      <c r="Y2499">
        <v>0</v>
      </c>
      <c r="Z2499">
        <v>0</v>
      </c>
      <c r="AA2499">
        <v>0</v>
      </c>
      <c r="AB2499">
        <v>22</v>
      </c>
      <c r="AC2499">
        <v>1.8333333329999999</v>
      </c>
      <c r="AD2499">
        <v>22</v>
      </c>
      <c r="AE2499" s="7"/>
      <c r="AF2499" s="7"/>
      <c r="AG2499" s="7"/>
      <c r="AH2499" s="7"/>
      <c r="AI2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10.166666666999999</v>
      </c>
      <c r="AJ2499" s="7"/>
      <c r="AK2499" t="s">
        <v>1272</v>
      </c>
      <c r="AN2499">
        <f>IFERROR(INT(Table13[[#This Row],[reject_prod]]/Table13[[#This Row],[part_weight]] * 1000), 0)</f>
        <v>0</v>
      </c>
    </row>
    <row r="2500" spans="1:40">
      <c r="A2500" s="1">
        <v>46096</v>
      </c>
      <c r="B2500">
        <v>2</v>
      </c>
      <c r="C2500">
        <v>7</v>
      </c>
      <c r="D2500" t="s">
        <v>33</v>
      </c>
      <c r="E2500" t="s">
        <v>34</v>
      </c>
      <c r="F2500">
        <v>324198</v>
      </c>
      <c r="G2500" s="6">
        <v>0</v>
      </c>
      <c r="H2500" t="s">
        <v>632</v>
      </c>
      <c r="I2500">
        <v>10685209</v>
      </c>
      <c r="J2500">
        <v>3</v>
      </c>
      <c r="K2500">
        <v>20</v>
      </c>
      <c r="L2500">
        <v>20</v>
      </c>
      <c r="M2500">
        <v>490</v>
      </c>
      <c r="N2500" s="2">
        <v>25920</v>
      </c>
      <c r="O2500" s="2">
        <v>3600</v>
      </c>
      <c r="P2500" s="2">
        <v>5040</v>
      </c>
      <c r="Q2500" s="2">
        <v>1470</v>
      </c>
      <c r="R2500" s="2">
        <v>0</v>
      </c>
      <c r="S2500">
        <v>0</v>
      </c>
      <c r="T2500" s="2">
        <v>13680</v>
      </c>
      <c r="U2500" s="2">
        <v>12240</v>
      </c>
      <c r="V2500">
        <v>29.4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20.91</v>
      </c>
      <c r="AC2500">
        <v>2.8460833330000002</v>
      </c>
      <c r="AD2500">
        <v>19.5</v>
      </c>
      <c r="AE2500" s="7"/>
      <c r="AF2500" s="7"/>
      <c r="AG2500" s="7"/>
      <c r="AH2500" s="7"/>
      <c r="AI2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9.1539166670000007</v>
      </c>
      <c r="AJ2500" s="7"/>
      <c r="AK2500" t="s">
        <v>1272</v>
      </c>
      <c r="AN2500">
        <f>IFERROR(INT(Table13[[#This Row],[reject_prod]]/Table13[[#This Row],[part_weight]] * 1000), 0)</f>
        <v>0</v>
      </c>
    </row>
    <row r="2501" spans="1:40">
      <c r="A2501" s="1">
        <v>46096</v>
      </c>
      <c r="B2501">
        <v>2</v>
      </c>
      <c r="C2501">
        <v>8</v>
      </c>
      <c r="D2501" t="s">
        <v>1273</v>
      </c>
      <c r="E2501" t="s">
        <v>41</v>
      </c>
      <c r="F2501">
        <v>593537</v>
      </c>
      <c r="G2501" s="6">
        <v>0</v>
      </c>
      <c r="H2501" t="s">
        <v>48</v>
      </c>
      <c r="I2501">
        <v>10688068</v>
      </c>
      <c r="J2501">
        <v>4</v>
      </c>
      <c r="K2501">
        <v>56.5</v>
      </c>
      <c r="L2501">
        <v>56.8</v>
      </c>
      <c r="M2501">
        <v>1440</v>
      </c>
      <c r="N2501" s="2">
        <v>69000</v>
      </c>
      <c r="O2501" s="2">
        <v>0</v>
      </c>
      <c r="P2501" s="2">
        <v>0</v>
      </c>
      <c r="Q2501" s="2">
        <v>5760</v>
      </c>
      <c r="R2501" s="2">
        <v>5750</v>
      </c>
      <c r="S2501">
        <v>326.60000000000002</v>
      </c>
      <c r="T2501" s="2">
        <v>58075</v>
      </c>
      <c r="U2501" s="2">
        <v>10925</v>
      </c>
      <c r="V2501">
        <v>327.16800000000001</v>
      </c>
      <c r="W2501">
        <v>-1.728</v>
      </c>
      <c r="X2501">
        <v>0</v>
      </c>
      <c r="Y2501">
        <v>0</v>
      </c>
      <c r="Z2501">
        <v>1</v>
      </c>
      <c r="AA2501">
        <v>3.0565340000000001E-3</v>
      </c>
      <c r="AB2501">
        <v>30.1</v>
      </c>
      <c r="AC2501">
        <v>12</v>
      </c>
      <c r="AD2501">
        <v>28.5</v>
      </c>
      <c r="AE2501" s="7"/>
      <c r="AF2501" s="7"/>
      <c r="AG2501" s="7"/>
      <c r="AH2501" s="7"/>
      <c r="AI2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1" s="7"/>
      <c r="AK2501" t="s">
        <v>51</v>
      </c>
      <c r="AN2501">
        <f>IFERROR(INT(Table13[[#This Row],[reject_prod]]/Table13[[#This Row],[part_weight]] * 1000), 0)</f>
        <v>17</v>
      </c>
    </row>
    <row r="2502" spans="1:40">
      <c r="A2502" s="1">
        <v>46096</v>
      </c>
      <c r="B2502">
        <v>2</v>
      </c>
      <c r="C2502">
        <v>9</v>
      </c>
      <c r="D2502" t="s">
        <v>124</v>
      </c>
      <c r="E2502" t="s">
        <v>46</v>
      </c>
      <c r="F2502">
        <v>586276</v>
      </c>
      <c r="G2502" s="6">
        <v>1</v>
      </c>
      <c r="H2502" t="s">
        <v>47</v>
      </c>
      <c r="I2502">
        <v>10689111</v>
      </c>
      <c r="J2502">
        <v>6</v>
      </c>
      <c r="K2502">
        <v>12.3</v>
      </c>
      <c r="L2502">
        <v>12.3</v>
      </c>
      <c r="M2502">
        <v>1630</v>
      </c>
      <c r="N2502" s="2">
        <v>162000</v>
      </c>
      <c r="O2502" s="2">
        <v>810</v>
      </c>
      <c r="P2502" s="2">
        <v>2430</v>
      </c>
      <c r="Q2502" s="2">
        <v>9780</v>
      </c>
      <c r="R2502" s="2">
        <v>8100</v>
      </c>
      <c r="S2502">
        <v>99.63</v>
      </c>
      <c r="T2502" s="2">
        <v>123930</v>
      </c>
      <c r="U2502" s="2">
        <v>38070</v>
      </c>
      <c r="V2502">
        <v>120.294</v>
      </c>
      <c r="W2502">
        <v>0</v>
      </c>
      <c r="X2502">
        <v>0</v>
      </c>
      <c r="Y2502">
        <v>0</v>
      </c>
      <c r="Z2502">
        <v>1.2</v>
      </c>
      <c r="AA2502">
        <v>9.9755599999999996E-3</v>
      </c>
      <c r="AB2502">
        <v>26.6</v>
      </c>
      <c r="AC2502">
        <v>12</v>
      </c>
      <c r="AD2502">
        <v>26</v>
      </c>
      <c r="AE2502" s="7"/>
      <c r="AF2502" s="7"/>
      <c r="AG2502" s="7"/>
      <c r="AH2502" s="7"/>
      <c r="AI2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2" s="7"/>
      <c r="AK2502" t="s">
        <v>51</v>
      </c>
      <c r="AN2502">
        <f>IFERROR(INT(Table13[[#This Row],[reject_prod]]/Table13[[#This Row],[part_weight]] * 1000), 0)</f>
        <v>97</v>
      </c>
    </row>
    <row r="2503" spans="1:40">
      <c r="A2503" s="1">
        <v>46096</v>
      </c>
      <c r="B2503">
        <v>2</v>
      </c>
      <c r="C2503">
        <v>10</v>
      </c>
      <c r="F2503">
        <v>123456</v>
      </c>
      <c r="G2503" s="6">
        <v>0</v>
      </c>
      <c r="M2503">
        <v>0</v>
      </c>
      <c r="N2503" s="2">
        <v>0</v>
      </c>
      <c r="O2503" s="2">
        <v>0</v>
      </c>
      <c r="P2503" s="2">
        <v>0</v>
      </c>
      <c r="Q2503" s="2"/>
      <c r="R2503" s="2">
        <v>0</v>
      </c>
      <c r="T2503" s="2">
        <v>0</v>
      </c>
      <c r="U2503" s="2"/>
      <c r="X2503">
        <v>0</v>
      </c>
      <c r="Z2503">
        <v>0</v>
      </c>
      <c r="AB2503">
        <v>0</v>
      </c>
      <c r="AC2503">
        <v>0</v>
      </c>
      <c r="AD2503">
        <v>0</v>
      </c>
      <c r="AE2503" s="7"/>
      <c r="AF2503" s="7"/>
      <c r="AG2503" s="7"/>
      <c r="AH2503" s="7"/>
      <c r="AI2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3" s="7">
        <v>12</v>
      </c>
      <c r="AK2503" t="s">
        <v>116</v>
      </c>
      <c r="AN2503">
        <f>IFERROR(INT(Table13[[#This Row],[reject_prod]]/Table13[[#This Row],[part_weight]] * 1000), 0)</f>
        <v>0</v>
      </c>
    </row>
    <row r="2504" spans="1:40">
      <c r="A2504" s="1">
        <v>46096</v>
      </c>
      <c r="B2504">
        <v>2</v>
      </c>
      <c r="C2504">
        <v>11</v>
      </c>
      <c r="D2504" t="s">
        <v>59</v>
      </c>
      <c r="E2504" t="s">
        <v>46</v>
      </c>
      <c r="F2504">
        <v>552181</v>
      </c>
      <c r="G2504" s="6">
        <v>1</v>
      </c>
      <c r="H2504" t="s">
        <v>49</v>
      </c>
      <c r="I2504">
        <v>10688070</v>
      </c>
      <c r="J2504">
        <v>6</v>
      </c>
      <c r="K2504">
        <v>14.7</v>
      </c>
      <c r="L2504">
        <v>14.7</v>
      </c>
      <c r="M2504">
        <v>1485</v>
      </c>
      <c r="N2504" s="2">
        <v>108000</v>
      </c>
      <c r="O2504" s="2">
        <v>1350</v>
      </c>
      <c r="P2504" s="2">
        <v>4860</v>
      </c>
      <c r="Q2504" s="2">
        <v>8910</v>
      </c>
      <c r="R2504" s="2">
        <v>5400</v>
      </c>
      <c r="S2504">
        <v>79.38</v>
      </c>
      <c r="T2504" s="2">
        <v>64260</v>
      </c>
      <c r="U2504" s="2">
        <v>43740</v>
      </c>
      <c r="V2504">
        <v>130.977</v>
      </c>
      <c r="W2504">
        <v>0</v>
      </c>
      <c r="X2504">
        <v>0</v>
      </c>
      <c r="Y2504">
        <v>0</v>
      </c>
      <c r="Z2504">
        <v>0.5</v>
      </c>
      <c r="AA2504">
        <v>3.817464E-3</v>
      </c>
      <c r="AB2504">
        <v>29.2</v>
      </c>
      <c r="AC2504">
        <v>12</v>
      </c>
      <c r="AD2504">
        <v>27</v>
      </c>
      <c r="AE2504" s="7"/>
      <c r="AF2504" s="7"/>
      <c r="AG2504" s="7"/>
      <c r="AH2504" s="7"/>
      <c r="AI2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4" s="7"/>
      <c r="AK2504" t="s">
        <v>51</v>
      </c>
      <c r="AN2504">
        <f>IFERROR(INT(Table13[[#This Row],[reject_prod]]/Table13[[#This Row],[part_weight]] * 1000), 0)</f>
        <v>34</v>
      </c>
    </row>
    <row r="2505" spans="1:40">
      <c r="A2505" s="1">
        <v>46096</v>
      </c>
      <c r="B2505">
        <v>2</v>
      </c>
      <c r="C2505">
        <v>12</v>
      </c>
      <c r="D2505" t="s">
        <v>33</v>
      </c>
      <c r="E2505" t="s">
        <v>46</v>
      </c>
      <c r="F2505">
        <v>555979</v>
      </c>
      <c r="G2505" s="6">
        <v>1</v>
      </c>
      <c r="H2505" t="s">
        <v>52</v>
      </c>
      <c r="I2505">
        <v>10689126</v>
      </c>
      <c r="J2505">
        <v>6</v>
      </c>
      <c r="K2505">
        <v>28</v>
      </c>
      <c r="L2505">
        <v>28</v>
      </c>
      <c r="M2505">
        <v>0</v>
      </c>
      <c r="N2505" s="2">
        <v>100800</v>
      </c>
      <c r="O2505" s="2">
        <v>3024</v>
      </c>
      <c r="P2505" s="2">
        <v>3024</v>
      </c>
      <c r="Q2505" s="2">
        <v>0</v>
      </c>
      <c r="R2505" s="2">
        <v>0</v>
      </c>
      <c r="S2505">
        <v>0</v>
      </c>
      <c r="T2505" s="2">
        <v>13440</v>
      </c>
      <c r="U2505" s="2">
        <v>87360</v>
      </c>
      <c r="V2505">
        <v>0</v>
      </c>
      <c r="W2505">
        <v>0</v>
      </c>
      <c r="X2505">
        <v>0</v>
      </c>
      <c r="Y2505" t="e">
        <v>#DIV/0!</v>
      </c>
      <c r="Z2505">
        <v>0</v>
      </c>
      <c r="AA2505" t="e">
        <v>#DIV/0!</v>
      </c>
      <c r="AB2505">
        <v>41.2</v>
      </c>
      <c r="AC2505">
        <v>0</v>
      </c>
      <c r="AD2505">
        <v>42</v>
      </c>
      <c r="AE2505" s="7"/>
      <c r="AF2505" s="7"/>
      <c r="AG2505" s="7"/>
      <c r="AH2505" s="7"/>
      <c r="AI2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05" s="7"/>
      <c r="AK2505" t="s">
        <v>1267</v>
      </c>
      <c r="AN2505">
        <f>IFERROR(INT(Table13[[#This Row],[reject_prod]]/Table13[[#This Row],[part_weight]] * 1000), 0)</f>
        <v>0</v>
      </c>
    </row>
    <row r="2506" spans="1:40">
      <c r="A2506" s="1">
        <v>46096</v>
      </c>
      <c r="B2506">
        <v>2</v>
      </c>
      <c r="C2506">
        <v>13</v>
      </c>
      <c r="D2506" t="s">
        <v>1273</v>
      </c>
      <c r="E2506" t="s">
        <v>46</v>
      </c>
      <c r="F2506">
        <v>586276</v>
      </c>
      <c r="G2506" s="6">
        <v>2</v>
      </c>
      <c r="H2506" t="s">
        <v>47</v>
      </c>
      <c r="I2506">
        <v>10689118</v>
      </c>
      <c r="J2506">
        <v>6</v>
      </c>
      <c r="K2506">
        <v>12.3</v>
      </c>
      <c r="L2506">
        <v>12.3</v>
      </c>
      <c r="M2506">
        <v>1590</v>
      </c>
      <c r="N2506" s="2">
        <v>162000</v>
      </c>
      <c r="O2506" s="2">
        <v>2025</v>
      </c>
      <c r="P2506" s="2">
        <v>3240</v>
      </c>
      <c r="Q2506" s="2">
        <v>9540</v>
      </c>
      <c r="R2506" s="2">
        <v>8100</v>
      </c>
      <c r="S2506">
        <v>99.63</v>
      </c>
      <c r="T2506" s="2">
        <v>92340</v>
      </c>
      <c r="U2506" s="2">
        <v>69660</v>
      </c>
      <c r="V2506">
        <v>117.342</v>
      </c>
      <c r="W2506">
        <v>0</v>
      </c>
      <c r="X2506">
        <v>0</v>
      </c>
      <c r="Y2506">
        <v>0</v>
      </c>
      <c r="Z2506">
        <v>1</v>
      </c>
      <c r="AA2506">
        <v>8.5220980000000005E-3</v>
      </c>
      <c r="AB2506">
        <v>26.2</v>
      </c>
      <c r="AC2506">
        <v>11.571666670000001</v>
      </c>
      <c r="AD2506">
        <v>26</v>
      </c>
      <c r="AE2506" s="7"/>
      <c r="AF2506" s="7"/>
      <c r="AG2506" s="7"/>
      <c r="AH2506" s="7"/>
      <c r="AI2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506" s="7"/>
      <c r="AK2506" t="s">
        <v>1274</v>
      </c>
      <c r="AN2506">
        <f>IFERROR(INT(Table13[[#This Row],[reject_prod]]/Table13[[#This Row],[part_weight]] * 1000), 0)</f>
        <v>81</v>
      </c>
    </row>
    <row r="2507" spans="1:40">
      <c r="A2507" s="1">
        <v>46096</v>
      </c>
      <c r="B2507">
        <v>2</v>
      </c>
      <c r="C2507">
        <v>14</v>
      </c>
      <c r="D2507" t="s">
        <v>88</v>
      </c>
      <c r="E2507" t="s">
        <v>34</v>
      </c>
      <c r="F2507">
        <v>541381</v>
      </c>
      <c r="G2507" s="6">
        <v>0</v>
      </c>
      <c r="H2507" t="s">
        <v>804</v>
      </c>
      <c r="I2507">
        <v>10689120</v>
      </c>
      <c r="J2507">
        <v>4</v>
      </c>
      <c r="K2507">
        <v>55</v>
      </c>
      <c r="L2507">
        <v>55</v>
      </c>
      <c r="M2507">
        <v>1580</v>
      </c>
      <c r="N2507" s="2">
        <v>84000</v>
      </c>
      <c r="O2507" s="2">
        <v>0</v>
      </c>
      <c r="P2507" s="2">
        <v>0</v>
      </c>
      <c r="Q2507" s="2">
        <v>6320</v>
      </c>
      <c r="R2507" s="2">
        <v>6300</v>
      </c>
      <c r="S2507">
        <v>346.5</v>
      </c>
      <c r="T2507" s="2">
        <v>16800</v>
      </c>
      <c r="U2507" s="2">
        <v>67200</v>
      </c>
      <c r="V2507">
        <v>347.6</v>
      </c>
      <c r="W2507">
        <v>0</v>
      </c>
      <c r="X2507">
        <v>0</v>
      </c>
      <c r="Y2507">
        <v>0</v>
      </c>
      <c r="Z2507">
        <v>1.3</v>
      </c>
      <c r="AA2507">
        <v>3.7399310000000002E-3</v>
      </c>
      <c r="AB2507">
        <v>27.3</v>
      </c>
      <c r="AC2507">
        <v>11.981666669999999</v>
      </c>
      <c r="AD2507">
        <v>30.08</v>
      </c>
      <c r="AE2507" s="7"/>
      <c r="AF2507" s="7"/>
      <c r="AG2507" s="7"/>
      <c r="AH2507" s="7"/>
      <c r="AI2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1.8333330000000814E-2</v>
      </c>
      <c r="AJ2507" s="7"/>
      <c r="AK2507" t="s">
        <v>51</v>
      </c>
      <c r="AN2507">
        <f>IFERROR(INT(Table13[[#This Row],[reject_prod]]/Table13[[#This Row],[part_weight]] * 1000), 0)</f>
        <v>23</v>
      </c>
    </row>
    <row r="2508" spans="1:40">
      <c r="A2508" s="1">
        <v>46096</v>
      </c>
      <c r="B2508">
        <v>2</v>
      </c>
      <c r="C2508">
        <v>15</v>
      </c>
      <c r="D2508" t="s">
        <v>59</v>
      </c>
      <c r="E2508" t="s">
        <v>46</v>
      </c>
      <c r="F2508">
        <v>552181</v>
      </c>
      <c r="G2508" s="6">
        <v>2</v>
      </c>
      <c r="H2508" t="s">
        <v>49</v>
      </c>
      <c r="I2508">
        <v>10689122</v>
      </c>
      <c r="J2508">
        <v>6</v>
      </c>
      <c r="K2508">
        <v>14.7</v>
      </c>
      <c r="L2508">
        <v>14.7</v>
      </c>
      <c r="M2508">
        <v>1400</v>
      </c>
      <c r="N2508" s="2">
        <v>108000</v>
      </c>
      <c r="O2508" s="2">
        <v>3510</v>
      </c>
      <c r="P2508" s="2">
        <v>1080</v>
      </c>
      <c r="Q2508" s="2">
        <v>8400</v>
      </c>
      <c r="R2508" s="2">
        <v>10800</v>
      </c>
      <c r="S2508">
        <v>158.76</v>
      </c>
      <c r="T2508" s="2">
        <v>87480</v>
      </c>
      <c r="U2508" s="2">
        <v>20520</v>
      </c>
      <c r="V2508">
        <v>123.48</v>
      </c>
      <c r="W2508">
        <v>0</v>
      </c>
      <c r="X2508">
        <v>0</v>
      </c>
      <c r="Y2508">
        <v>0</v>
      </c>
      <c r="Z2508">
        <v>0.4</v>
      </c>
      <c r="AA2508">
        <v>3.2393909999999999E-3</v>
      </c>
      <c r="AB2508">
        <v>30.5</v>
      </c>
      <c r="AC2508">
        <v>11.86111111</v>
      </c>
      <c r="AD2508">
        <v>27</v>
      </c>
      <c r="AE2508" s="7"/>
      <c r="AF2508" s="7"/>
      <c r="AG2508" s="7"/>
      <c r="AH2508" s="7"/>
      <c r="AI2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508" s="7"/>
      <c r="AK2508" t="s">
        <v>51</v>
      </c>
      <c r="AN2508">
        <f>IFERROR(INT(Table13[[#This Row],[reject_prod]]/Table13[[#This Row],[part_weight]] * 1000), 0)</f>
        <v>27</v>
      </c>
    </row>
    <row r="2509" spans="1:40">
      <c r="A2509" s="1">
        <v>46096</v>
      </c>
      <c r="B2509">
        <v>2</v>
      </c>
      <c r="C2509">
        <v>16</v>
      </c>
      <c r="D2509" t="s">
        <v>181</v>
      </c>
      <c r="E2509" t="s">
        <v>46</v>
      </c>
      <c r="F2509">
        <v>555979</v>
      </c>
      <c r="G2509" s="6">
        <v>2</v>
      </c>
      <c r="H2509" t="s">
        <v>52</v>
      </c>
      <c r="I2509">
        <v>10688074</v>
      </c>
      <c r="J2509">
        <v>6</v>
      </c>
      <c r="K2509">
        <v>28</v>
      </c>
      <c r="L2509">
        <v>28</v>
      </c>
      <c r="M2509">
        <v>728</v>
      </c>
      <c r="N2509" s="2">
        <v>100800</v>
      </c>
      <c r="O2509" s="2">
        <v>2352</v>
      </c>
      <c r="P2509" s="2">
        <v>0</v>
      </c>
      <c r="Q2509" s="2">
        <v>4368</v>
      </c>
      <c r="R2509" s="2">
        <v>6720</v>
      </c>
      <c r="S2509">
        <v>188.16</v>
      </c>
      <c r="T2509" s="2">
        <v>100800</v>
      </c>
      <c r="U2509" s="2">
        <v>0</v>
      </c>
      <c r="V2509">
        <v>122.304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40.5</v>
      </c>
      <c r="AC2509">
        <v>8.19</v>
      </c>
      <c r="AD2509">
        <v>42</v>
      </c>
      <c r="AE2509" s="7"/>
      <c r="AF2509" s="7"/>
      <c r="AG2509" s="7"/>
      <c r="AH2509" s="7"/>
      <c r="AI25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3.8100000000000005</v>
      </c>
      <c r="AJ2509" s="7"/>
      <c r="AK2509" t="s">
        <v>102</v>
      </c>
      <c r="AN2509">
        <f>IFERROR(INT(Table13[[#This Row],[reject_prod]]/Table13[[#This Row],[part_weight]] * 1000), 0)</f>
        <v>0</v>
      </c>
    </row>
    <row r="2510" spans="1:40">
      <c r="A2510" s="1">
        <v>46096</v>
      </c>
      <c r="B2510">
        <v>2</v>
      </c>
      <c r="C2510">
        <v>16</v>
      </c>
      <c r="D2510" t="s">
        <v>181</v>
      </c>
      <c r="E2510" t="s">
        <v>46</v>
      </c>
      <c r="F2510">
        <v>555979</v>
      </c>
      <c r="G2510" s="6">
        <v>2</v>
      </c>
      <c r="H2510" t="s">
        <v>52</v>
      </c>
      <c r="I2510">
        <v>10689125</v>
      </c>
      <c r="J2510">
        <v>6</v>
      </c>
      <c r="K2510">
        <v>28</v>
      </c>
      <c r="L2510">
        <v>28</v>
      </c>
      <c r="M2510">
        <v>337</v>
      </c>
      <c r="N2510" s="2">
        <v>100800</v>
      </c>
      <c r="O2510" s="2">
        <v>0</v>
      </c>
      <c r="P2510" s="2">
        <v>2016</v>
      </c>
      <c r="Q2510" s="2">
        <v>2022</v>
      </c>
      <c r="R2510" s="2">
        <v>0</v>
      </c>
      <c r="S2510">
        <v>0</v>
      </c>
      <c r="T2510" s="2">
        <v>2016</v>
      </c>
      <c r="U2510" s="2">
        <v>98784</v>
      </c>
      <c r="V2510">
        <v>56.616</v>
      </c>
      <c r="W2510">
        <v>0</v>
      </c>
      <c r="X2510">
        <v>0</v>
      </c>
      <c r="Y2510">
        <v>0</v>
      </c>
      <c r="Z2510">
        <v>1.8</v>
      </c>
      <c r="AA2510">
        <v>3.1793133000000001E-2</v>
      </c>
      <c r="AB2510">
        <v>40.5</v>
      </c>
      <c r="AC2510">
        <v>3.7912499999999998</v>
      </c>
      <c r="AD2510">
        <v>42</v>
      </c>
      <c r="AE2510" s="7"/>
      <c r="AF2510" s="7"/>
      <c r="AG2510" s="7"/>
      <c r="AH2510" s="7"/>
      <c r="AI2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8.2087500000000002</v>
      </c>
      <c r="AJ2510" s="7"/>
      <c r="AK2510" t="s">
        <v>51</v>
      </c>
      <c r="AN2510">
        <f>IFERROR(INT(Table13[[#This Row],[reject_prod]]/Table13[[#This Row],[part_weight]] * 1000), 0)</f>
        <v>64</v>
      </c>
    </row>
    <row r="2511" spans="1:40">
      <c r="A2511" s="1">
        <v>46097</v>
      </c>
      <c r="B2511">
        <v>1</v>
      </c>
      <c r="C2511">
        <v>1</v>
      </c>
      <c r="D2511" t="s">
        <v>65</v>
      </c>
      <c r="E2511" t="s">
        <v>34</v>
      </c>
      <c r="F2511">
        <v>347623</v>
      </c>
      <c r="G2511" s="6">
        <v>0</v>
      </c>
      <c r="H2511" t="s">
        <v>35</v>
      </c>
      <c r="I2511">
        <v>10689833</v>
      </c>
      <c r="J2511">
        <v>4</v>
      </c>
      <c r="K2511">
        <v>35.6</v>
      </c>
      <c r="L2511">
        <v>35.6</v>
      </c>
      <c r="M2511">
        <v>542</v>
      </c>
      <c r="N2511" s="2">
        <v>40480</v>
      </c>
      <c r="O2511" s="2">
        <v>510</v>
      </c>
      <c r="P2511" s="2">
        <v>736</v>
      </c>
      <c r="Q2511" s="2">
        <v>2168</v>
      </c>
      <c r="R2511" s="2">
        <v>1840</v>
      </c>
      <c r="S2511">
        <v>65.504000000000005</v>
      </c>
      <c r="T2511" s="2">
        <v>33856</v>
      </c>
      <c r="U2511" s="2">
        <v>6624</v>
      </c>
      <c r="V2511">
        <v>77.180800000000005</v>
      </c>
      <c r="W2511">
        <v>0</v>
      </c>
      <c r="X2511">
        <v>3</v>
      </c>
      <c r="Y2511">
        <v>3.8869770999999997E-2</v>
      </c>
      <c r="Z2511">
        <v>0.5</v>
      </c>
      <c r="AA2511">
        <v>6.4782950000000002E-3</v>
      </c>
      <c r="AB2511">
        <v>25.5</v>
      </c>
      <c r="AC2511">
        <v>3.8391666670000002</v>
      </c>
      <c r="AD2511">
        <v>27</v>
      </c>
      <c r="AE2511" s="7"/>
      <c r="AF2511" s="7"/>
      <c r="AG2511" s="7"/>
      <c r="AH2511" s="7">
        <v>8</v>
      </c>
      <c r="AI2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0.16083333299999936</v>
      </c>
      <c r="AJ2511" s="7"/>
      <c r="AK2511" t="s">
        <v>1275</v>
      </c>
      <c r="AL2511">
        <v>8</v>
      </c>
      <c r="AM2511">
        <v>6</v>
      </c>
      <c r="AN2511">
        <f>IFERROR(INT(Table13[[#This Row],[reject_prod]]/Table13[[#This Row],[part_weight]] * 1000), 0)</f>
        <v>14</v>
      </c>
    </row>
    <row r="2512" spans="1:40">
      <c r="A2512" s="1">
        <v>46097</v>
      </c>
      <c r="B2512">
        <v>1</v>
      </c>
      <c r="C2512">
        <v>2</v>
      </c>
      <c r="D2512" t="s">
        <v>40</v>
      </c>
      <c r="E2512" t="s">
        <v>34</v>
      </c>
      <c r="F2512">
        <v>324163</v>
      </c>
      <c r="G2512" s="6">
        <v>0</v>
      </c>
      <c r="H2512" t="s">
        <v>672</v>
      </c>
      <c r="I2512">
        <v>10688495</v>
      </c>
      <c r="J2512">
        <v>4</v>
      </c>
      <c r="K2512">
        <v>24</v>
      </c>
      <c r="L2512">
        <v>23.5</v>
      </c>
      <c r="M2512">
        <v>1910</v>
      </c>
      <c r="N2512" s="2">
        <v>73152</v>
      </c>
      <c r="O2512" s="2">
        <v>2667</v>
      </c>
      <c r="P2512" s="2">
        <v>1143</v>
      </c>
      <c r="Q2512" s="2">
        <v>7640</v>
      </c>
      <c r="R2512" s="2">
        <v>9144</v>
      </c>
      <c r="S2512">
        <v>214.88399999999999</v>
      </c>
      <c r="T2512" s="2">
        <v>42291</v>
      </c>
      <c r="U2512" s="2">
        <v>30861</v>
      </c>
      <c r="V2512">
        <v>179.54</v>
      </c>
      <c r="W2512">
        <v>0</v>
      </c>
      <c r="X2512">
        <v>0</v>
      </c>
      <c r="Y2512">
        <v>0</v>
      </c>
      <c r="Z2512">
        <v>0.5</v>
      </c>
      <c r="AA2512">
        <v>2.7848949999999999E-3</v>
      </c>
      <c r="AB2512">
        <v>22.3</v>
      </c>
      <c r="AC2512">
        <v>11.831388889999999</v>
      </c>
      <c r="AD2512">
        <v>22.5</v>
      </c>
      <c r="AE2512" s="7"/>
      <c r="AF2512" s="7"/>
      <c r="AG2512" s="7"/>
      <c r="AH2512" s="7"/>
      <c r="AI2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0.16861111000000051</v>
      </c>
      <c r="AJ2512" s="7"/>
      <c r="AK2512" t="s">
        <v>214</v>
      </c>
      <c r="AL2512">
        <v>2</v>
      </c>
      <c r="AM2512">
        <v>2</v>
      </c>
      <c r="AN2512">
        <f>IFERROR(INT(Table13[[#This Row],[reject_prod]]/Table13[[#This Row],[part_weight]] * 1000), 0)</f>
        <v>21</v>
      </c>
    </row>
    <row r="2513" spans="1:40">
      <c r="A2513" s="1">
        <v>46097</v>
      </c>
      <c r="B2513">
        <v>1</v>
      </c>
      <c r="C2513">
        <v>3</v>
      </c>
      <c r="D2513" t="s">
        <v>152</v>
      </c>
      <c r="E2513" t="s">
        <v>34</v>
      </c>
      <c r="F2513">
        <v>442034</v>
      </c>
      <c r="G2513" s="6">
        <v>0</v>
      </c>
      <c r="H2513" t="s">
        <v>37</v>
      </c>
      <c r="I2513">
        <v>10685635</v>
      </c>
      <c r="J2513">
        <v>4</v>
      </c>
      <c r="K2513">
        <v>23</v>
      </c>
      <c r="L2513">
        <v>23</v>
      </c>
      <c r="M2513">
        <v>1489</v>
      </c>
      <c r="N2513" s="2">
        <v>139776</v>
      </c>
      <c r="O2513" s="2">
        <v>3072</v>
      </c>
      <c r="P2513" s="2">
        <v>4224</v>
      </c>
      <c r="Q2513" s="2">
        <v>5956</v>
      </c>
      <c r="R2513" s="2">
        <v>4608</v>
      </c>
      <c r="S2513">
        <v>105.98399999999999</v>
      </c>
      <c r="T2513" s="2">
        <v>110208</v>
      </c>
      <c r="U2513" s="2">
        <v>29568</v>
      </c>
      <c r="V2513">
        <v>136.988</v>
      </c>
      <c r="W2513">
        <v>0</v>
      </c>
      <c r="Y2513">
        <v>0</v>
      </c>
      <c r="Z2513">
        <v>4.5</v>
      </c>
      <c r="AA2513">
        <v>3.2849593000000003E-2</v>
      </c>
      <c r="AB2513">
        <v>27.8</v>
      </c>
      <c r="AC2513">
        <v>11.498388889999999</v>
      </c>
      <c r="AD2513">
        <v>22</v>
      </c>
      <c r="AE2513" s="7"/>
      <c r="AF2513" s="7"/>
      <c r="AG2513" s="7"/>
      <c r="AH2513" s="7"/>
      <c r="AI2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0.50161111000000069</v>
      </c>
      <c r="AJ2513" s="7"/>
      <c r="AK2513" t="s">
        <v>103</v>
      </c>
      <c r="AL2513">
        <v>7</v>
      </c>
      <c r="AM2513">
        <v>5</v>
      </c>
      <c r="AN2513">
        <f>IFERROR(INT(Table13[[#This Row],[reject_prod]]/Table13[[#This Row],[part_weight]] * 1000), 0)</f>
        <v>195</v>
      </c>
    </row>
    <row r="2514" spans="1:40">
      <c r="A2514" s="1">
        <v>46097</v>
      </c>
      <c r="B2514">
        <v>1</v>
      </c>
      <c r="C2514">
        <v>4</v>
      </c>
      <c r="D2514" t="s">
        <v>67</v>
      </c>
      <c r="E2514" t="s">
        <v>34</v>
      </c>
      <c r="F2514">
        <v>400860</v>
      </c>
      <c r="G2514" s="6">
        <v>0</v>
      </c>
      <c r="H2514" t="s">
        <v>1254</v>
      </c>
      <c r="I2514">
        <v>10689109</v>
      </c>
      <c r="J2514">
        <v>4</v>
      </c>
      <c r="K2514">
        <v>29.27</v>
      </c>
      <c r="L2514">
        <v>29</v>
      </c>
      <c r="M2514">
        <v>1513</v>
      </c>
      <c r="N2514" s="2">
        <v>43092</v>
      </c>
      <c r="O2514" s="2">
        <v>500</v>
      </c>
      <c r="P2514" s="2">
        <v>513</v>
      </c>
      <c r="Q2514" s="2">
        <v>6052</v>
      </c>
      <c r="R2514" s="2">
        <v>5985</v>
      </c>
      <c r="S2514">
        <v>173.565</v>
      </c>
      <c r="T2514" s="2">
        <v>26847</v>
      </c>
      <c r="U2514" s="2">
        <v>16245</v>
      </c>
      <c r="V2514">
        <v>175.50800000000001</v>
      </c>
      <c r="W2514">
        <v>0</v>
      </c>
      <c r="X2514">
        <v>0</v>
      </c>
      <c r="Y2514">
        <v>0</v>
      </c>
      <c r="Z2514">
        <v>1.5</v>
      </c>
      <c r="AA2514">
        <v>8.5466190000000001E-3</v>
      </c>
      <c r="AB2514">
        <v>25.2</v>
      </c>
      <c r="AC2514">
        <v>10.590999999999999</v>
      </c>
      <c r="AD2514">
        <v>22</v>
      </c>
      <c r="AE2514" s="7"/>
      <c r="AF2514" s="7"/>
      <c r="AG2514" s="7"/>
      <c r="AH2514" s="7"/>
      <c r="AI2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1.4090000000000007</v>
      </c>
      <c r="AJ2514" s="7"/>
      <c r="AK2514" t="s">
        <v>214</v>
      </c>
      <c r="AL2514">
        <v>3</v>
      </c>
      <c r="AM2514">
        <v>2</v>
      </c>
      <c r="AN2514">
        <f>IFERROR(INT(Table13[[#This Row],[reject_prod]]/Table13[[#This Row],[part_weight]] * 1000), 0)</f>
        <v>51</v>
      </c>
    </row>
    <row r="2515" spans="1:40">
      <c r="A2515" s="1">
        <v>46097</v>
      </c>
      <c r="B2515">
        <v>1</v>
      </c>
      <c r="C2515">
        <v>4</v>
      </c>
      <c r="D2515" t="s">
        <v>67</v>
      </c>
      <c r="E2515" t="s">
        <v>34</v>
      </c>
      <c r="F2515">
        <v>400860</v>
      </c>
      <c r="G2515" s="6">
        <v>0</v>
      </c>
      <c r="H2515" t="s">
        <v>1254</v>
      </c>
      <c r="I2515">
        <v>10689109</v>
      </c>
      <c r="J2515">
        <v>4</v>
      </c>
      <c r="K2515">
        <v>29.27</v>
      </c>
      <c r="L2515">
        <v>29</v>
      </c>
      <c r="M2515">
        <v>198</v>
      </c>
      <c r="N2515" s="2">
        <v>0</v>
      </c>
      <c r="O2515" s="2">
        <v>0</v>
      </c>
      <c r="P2515" s="2">
        <v>0</v>
      </c>
      <c r="Q2515" s="2">
        <v>792</v>
      </c>
      <c r="R2515" s="2">
        <v>782</v>
      </c>
      <c r="S2515">
        <v>22.678000000000001</v>
      </c>
      <c r="T2515" s="2">
        <v>0</v>
      </c>
      <c r="U2515" s="2">
        <v>0</v>
      </c>
      <c r="V2515">
        <v>22.968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25.2</v>
      </c>
      <c r="AC2515">
        <v>1.3859999999999999</v>
      </c>
      <c r="AD2515">
        <v>22</v>
      </c>
      <c r="AE2515" s="7"/>
      <c r="AF2515" s="7"/>
      <c r="AG2515" s="7"/>
      <c r="AH2515" s="7"/>
      <c r="AI2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10.614000000000001</v>
      </c>
      <c r="AJ2515" s="7"/>
      <c r="AK2515" t="s">
        <v>1276</v>
      </c>
      <c r="AL2515">
        <v>5</v>
      </c>
      <c r="AM2515">
        <v>2</v>
      </c>
      <c r="AN2515">
        <f>IFERROR(INT(Table13[[#This Row],[reject_prod]]/Table13[[#This Row],[part_weight]] * 1000), 0)</f>
        <v>0</v>
      </c>
    </row>
    <row r="2516" spans="1:40">
      <c r="A2516" s="1">
        <v>46097</v>
      </c>
      <c r="B2516">
        <v>1</v>
      </c>
      <c r="C2516">
        <v>5</v>
      </c>
      <c r="D2516" t="s">
        <v>33</v>
      </c>
      <c r="E2516" t="s">
        <v>34</v>
      </c>
      <c r="F2516">
        <v>323111</v>
      </c>
      <c r="G2516" s="6">
        <v>0</v>
      </c>
      <c r="H2516" t="s">
        <v>1277</v>
      </c>
      <c r="I2516">
        <v>10689110</v>
      </c>
      <c r="J2516">
        <v>2</v>
      </c>
      <c r="K2516">
        <v>73.2</v>
      </c>
      <c r="L2516">
        <v>75</v>
      </c>
      <c r="M2516">
        <v>0</v>
      </c>
      <c r="N2516" s="2">
        <v>2760</v>
      </c>
      <c r="O2516" s="2">
        <v>0</v>
      </c>
      <c r="P2516" s="2">
        <v>0</v>
      </c>
      <c r="Q2516" s="2">
        <v>0</v>
      </c>
      <c r="R2516" s="2">
        <v>0</v>
      </c>
      <c r="S2516">
        <v>0</v>
      </c>
      <c r="T2516" s="2">
        <v>0</v>
      </c>
      <c r="U2516" s="2">
        <v>2760</v>
      </c>
      <c r="V2516">
        <v>0</v>
      </c>
      <c r="W2516">
        <v>0</v>
      </c>
      <c r="X2516">
        <v>0</v>
      </c>
      <c r="Y2516" t="e">
        <v>#DIV/0!</v>
      </c>
      <c r="Z2516">
        <v>0</v>
      </c>
      <c r="AA2516" t="e">
        <v>#DIV/0!</v>
      </c>
      <c r="AB2516">
        <v>33</v>
      </c>
      <c r="AC2516">
        <v>0</v>
      </c>
      <c r="AD2516">
        <v>33</v>
      </c>
      <c r="AE2516" s="7">
        <v>5.5</v>
      </c>
      <c r="AF2516" s="7"/>
      <c r="AG2516" s="7"/>
      <c r="AH2516" s="7"/>
      <c r="AI2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</v>
      </c>
      <c r="AJ2516" s="7">
        <v>4.5</v>
      </c>
      <c r="AK2516" t="s">
        <v>1278</v>
      </c>
      <c r="AL2516">
        <v>5</v>
      </c>
      <c r="AM2516">
        <v>2</v>
      </c>
      <c r="AN2516">
        <f>IFERROR(INT(Table13[[#This Row],[reject_prod]]/Table13[[#This Row],[part_weight]] * 1000), 0)</f>
        <v>0</v>
      </c>
    </row>
    <row r="2517" spans="1:40">
      <c r="A2517" s="1">
        <v>46097</v>
      </c>
      <c r="B2517">
        <v>1</v>
      </c>
      <c r="C2517">
        <v>6</v>
      </c>
      <c r="D2517" t="s">
        <v>469</v>
      </c>
      <c r="E2517" t="s">
        <v>34</v>
      </c>
      <c r="F2517">
        <v>322445</v>
      </c>
      <c r="G2517" s="6">
        <v>0</v>
      </c>
      <c r="H2517" t="s">
        <v>743</v>
      </c>
      <c r="I2517">
        <v>10689565</v>
      </c>
      <c r="J2517">
        <v>4</v>
      </c>
      <c r="K2517">
        <v>32.74</v>
      </c>
      <c r="L2517">
        <v>33</v>
      </c>
      <c r="M2517">
        <v>1384</v>
      </c>
      <c r="N2517" s="2">
        <v>72000</v>
      </c>
      <c r="O2517" s="2">
        <v>1440</v>
      </c>
      <c r="P2517" s="2">
        <v>540</v>
      </c>
      <c r="Q2517" s="2">
        <v>5536</v>
      </c>
      <c r="R2517" s="2">
        <v>6300</v>
      </c>
      <c r="S2517">
        <v>207.9</v>
      </c>
      <c r="T2517" s="2">
        <v>61740</v>
      </c>
      <c r="U2517" s="2">
        <v>10260</v>
      </c>
      <c r="V2517">
        <v>182.68799999999999</v>
      </c>
      <c r="W2517">
        <v>0</v>
      </c>
      <c r="X2517">
        <v>3</v>
      </c>
      <c r="Y2517">
        <v>1.6421439999999999E-2</v>
      </c>
      <c r="Z2517">
        <v>1.5</v>
      </c>
      <c r="AA2517">
        <v>8.2107199999999995E-3</v>
      </c>
      <c r="AB2517">
        <v>22</v>
      </c>
      <c r="AC2517">
        <v>8.4577777780000005</v>
      </c>
      <c r="AD2517">
        <v>22</v>
      </c>
      <c r="AE2517" s="7"/>
      <c r="AF2517" s="7"/>
      <c r="AG2517" s="7"/>
      <c r="AH2517" s="7"/>
      <c r="AI2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3.5422222219999995</v>
      </c>
      <c r="AJ2517" s="7"/>
      <c r="AK2517" t="s">
        <v>79</v>
      </c>
      <c r="AL2517">
        <v>4</v>
      </c>
      <c r="AM2517">
        <v>11</v>
      </c>
      <c r="AN2517">
        <f>IFERROR(INT(Table13[[#This Row],[reject_prod]]/Table13[[#This Row],[part_weight]] * 1000), 0)</f>
        <v>45</v>
      </c>
    </row>
    <row r="2518" spans="1:40">
      <c r="A2518" s="1">
        <v>46097</v>
      </c>
      <c r="B2518">
        <v>1</v>
      </c>
      <c r="C2518">
        <v>7</v>
      </c>
      <c r="D2518" t="s">
        <v>149</v>
      </c>
      <c r="E2518" t="s">
        <v>34</v>
      </c>
      <c r="F2518">
        <v>324198</v>
      </c>
      <c r="G2518" s="6">
        <v>0</v>
      </c>
      <c r="H2518" t="s">
        <v>632</v>
      </c>
      <c r="I2518">
        <v>10685209</v>
      </c>
      <c r="J2518">
        <v>4</v>
      </c>
      <c r="K2518">
        <v>20</v>
      </c>
      <c r="L2518">
        <v>20</v>
      </c>
      <c r="M2518">
        <v>1099</v>
      </c>
      <c r="N2518" s="2">
        <v>25920</v>
      </c>
      <c r="O2518" s="2">
        <v>5040</v>
      </c>
      <c r="P2518" s="2">
        <v>720</v>
      </c>
      <c r="Q2518" s="2">
        <v>4396</v>
      </c>
      <c r="R2518" s="2">
        <v>8640</v>
      </c>
      <c r="S2518">
        <v>172.8</v>
      </c>
      <c r="T2518" s="2">
        <v>18000</v>
      </c>
      <c r="U2518" s="2">
        <v>7920</v>
      </c>
      <c r="V2518">
        <v>87.92</v>
      </c>
      <c r="W2518">
        <v>0</v>
      </c>
      <c r="X2518">
        <v>1</v>
      </c>
      <c r="Y2518">
        <v>1.1373975999999999E-2</v>
      </c>
      <c r="Z2518">
        <v>0.5</v>
      </c>
      <c r="AA2518">
        <v>5.6869879999999996E-3</v>
      </c>
      <c r="AB2518">
        <v>21</v>
      </c>
      <c r="AC2518">
        <v>6.4108333330000002</v>
      </c>
      <c r="AD2518">
        <v>19.5</v>
      </c>
      <c r="AE2518" s="7"/>
      <c r="AF2518" s="7"/>
      <c r="AG2518" s="7"/>
      <c r="AH2518" s="7"/>
      <c r="AI2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5.5891666669999998</v>
      </c>
      <c r="AJ2518" s="7"/>
      <c r="AK2518" t="s">
        <v>214</v>
      </c>
      <c r="AL2518">
        <v>3</v>
      </c>
      <c r="AM2518">
        <v>2</v>
      </c>
      <c r="AN2518">
        <f>IFERROR(INT(Table13[[#This Row],[reject_prod]]/Table13[[#This Row],[part_weight]] * 1000), 0)</f>
        <v>25</v>
      </c>
    </row>
    <row r="2519" spans="1:40">
      <c r="A2519" s="1">
        <v>46097</v>
      </c>
      <c r="B2519">
        <v>1</v>
      </c>
      <c r="C2519">
        <v>8</v>
      </c>
      <c r="D2519" t="s">
        <v>1170</v>
      </c>
      <c r="E2519" t="s">
        <v>41</v>
      </c>
      <c r="F2519">
        <v>593537</v>
      </c>
      <c r="G2519" s="6">
        <v>0</v>
      </c>
      <c r="H2519" t="s">
        <v>48</v>
      </c>
      <c r="I2519">
        <v>10688068</v>
      </c>
      <c r="J2519">
        <v>4</v>
      </c>
      <c r="K2519">
        <v>56.5</v>
      </c>
      <c r="L2519">
        <v>56.8</v>
      </c>
      <c r="M2519">
        <v>1449</v>
      </c>
      <c r="N2519" s="2">
        <v>69000</v>
      </c>
      <c r="O2519" s="2">
        <v>0</v>
      </c>
      <c r="P2519" s="2">
        <v>0</v>
      </c>
      <c r="Q2519" s="2">
        <v>5796</v>
      </c>
      <c r="R2519" s="2">
        <v>5750</v>
      </c>
      <c r="S2519">
        <v>326.60000000000002</v>
      </c>
      <c r="T2519" s="2">
        <v>63825</v>
      </c>
      <c r="U2519" s="2">
        <v>5175</v>
      </c>
      <c r="V2519">
        <v>329.21280000000002</v>
      </c>
      <c r="W2519">
        <v>0</v>
      </c>
      <c r="X2519">
        <v>0</v>
      </c>
      <c r="Y2519">
        <v>0</v>
      </c>
      <c r="Z2519">
        <v>2.5</v>
      </c>
      <c r="AA2519">
        <v>7.5938719999999998E-3</v>
      </c>
      <c r="AB2519">
        <v>29.7</v>
      </c>
      <c r="AC2519">
        <v>11.95425</v>
      </c>
      <c r="AD2519">
        <v>28.5</v>
      </c>
      <c r="AE2519" s="7"/>
      <c r="AF2519" s="7"/>
      <c r="AG2519" s="7"/>
      <c r="AH2519" s="7"/>
      <c r="AI2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4.5749999999999957E-2</v>
      </c>
      <c r="AJ2519" s="7"/>
      <c r="AK2519" t="s">
        <v>178</v>
      </c>
      <c r="AN2519">
        <f>IFERROR(INT(Table13[[#This Row],[reject_prod]]/Table13[[#This Row],[part_weight]] * 1000), 0)</f>
        <v>44</v>
      </c>
    </row>
    <row r="2520" spans="1:40">
      <c r="A2520" s="1">
        <v>46097</v>
      </c>
      <c r="B2520">
        <v>1</v>
      </c>
      <c r="C2520">
        <v>9</v>
      </c>
      <c r="D2520" t="s">
        <v>698</v>
      </c>
      <c r="E2520" t="s">
        <v>46</v>
      </c>
      <c r="F2520">
        <v>586276</v>
      </c>
      <c r="G2520" s="6">
        <v>1</v>
      </c>
      <c r="H2520" t="s">
        <v>47</v>
      </c>
      <c r="I2520">
        <v>10689111</v>
      </c>
      <c r="J2520">
        <v>6</v>
      </c>
      <c r="K2520">
        <v>12.3</v>
      </c>
      <c r="L2520">
        <v>12.3</v>
      </c>
      <c r="M2520">
        <v>1588</v>
      </c>
      <c r="N2520" s="2">
        <v>162000</v>
      </c>
      <c r="O2520" s="2">
        <v>2430</v>
      </c>
      <c r="P2520" s="2">
        <v>3645</v>
      </c>
      <c r="Q2520" s="2">
        <v>9528</v>
      </c>
      <c r="R2520" s="2">
        <v>8100</v>
      </c>
      <c r="S2520">
        <v>99.63</v>
      </c>
      <c r="T2520" s="2">
        <v>133245</v>
      </c>
      <c r="U2520" s="2">
        <v>28755</v>
      </c>
      <c r="V2520">
        <v>117.1944</v>
      </c>
      <c r="W2520">
        <v>0</v>
      </c>
      <c r="X2520">
        <v>0</v>
      </c>
      <c r="Y2520">
        <v>0</v>
      </c>
      <c r="Z2520">
        <v>2.5</v>
      </c>
      <c r="AA2520">
        <v>2.1332077000000001E-2</v>
      </c>
      <c r="AB2520">
        <v>26.9</v>
      </c>
      <c r="AC2520">
        <v>11.865888890000001</v>
      </c>
      <c r="AD2520">
        <v>26</v>
      </c>
      <c r="AE2520" s="7"/>
      <c r="AF2520" s="7"/>
      <c r="AG2520" s="7"/>
      <c r="AH2520" s="7"/>
      <c r="AI2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0.1341111099999992</v>
      </c>
      <c r="AJ2520" s="7"/>
      <c r="AK2520" t="s">
        <v>854</v>
      </c>
      <c r="AN2520">
        <f>IFERROR(INT(Table13[[#This Row],[reject_prod]]/Table13[[#This Row],[part_weight]] * 1000), 0)</f>
        <v>203</v>
      </c>
    </row>
    <row r="2521" spans="1:40">
      <c r="A2521" s="1">
        <v>46097</v>
      </c>
      <c r="B2521">
        <v>1</v>
      </c>
      <c r="C2521">
        <v>10</v>
      </c>
      <c r="D2521" t="s">
        <v>61</v>
      </c>
      <c r="E2521" t="s">
        <v>34</v>
      </c>
      <c r="F2521">
        <v>414439</v>
      </c>
      <c r="G2521" s="6">
        <v>0</v>
      </c>
      <c r="H2521" t="s">
        <v>587</v>
      </c>
      <c r="I2521">
        <v>10688521</v>
      </c>
      <c r="J2521">
        <v>6</v>
      </c>
      <c r="K2521">
        <v>57</v>
      </c>
      <c r="L2521">
        <v>15</v>
      </c>
      <c r="M2521">
        <v>365</v>
      </c>
      <c r="N2521" s="2">
        <v>206976</v>
      </c>
      <c r="O2521" s="2">
        <v>616</v>
      </c>
      <c r="P2521" s="2">
        <v>1232</v>
      </c>
      <c r="Q2521" s="2">
        <v>2190</v>
      </c>
      <c r="R2521" s="2">
        <v>0</v>
      </c>
      <c r="S2521">
        <v>0</v>
      </c>
      <c r="T2521" s="2">
        <v>186032</v>
      </c>
      <c r="U2521" s="2">
        <v>20944</v>
      </c>
      <c r="V2521">
        <v>32.85</v>
      </c>
      <c r="W2521">
        <v>0</v>
      </c>
      <c r="X2521">
        <v>20</v>
      </c>
      <c r="Y2521">
        <v>0.60882800599999998</v>
      </c>
      <c r="Z2521">
        <v>3.5</v>
      </c>
      <c r="AA2521">
        <v>0.106544901</v>
      </c>
      <c r="AB2521">
        <v>23.7</v>
      </c>
      <c r="AC2521">
        <v>2.402916667</v>
      </c>
      <c r="AD2521">
        <v>15</v>
      </c>
      <c r="AE2521" s="7"/>
      <c r="AF2521" s="7"/>
      <c r="AG2521" s="7"/>
      <c r="AH2521" s="7"/>
      <c r="AI2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9.5970833330000005</v>
      </c>
      <c r="AJ2521" s="7"/>
      <c r="AK2521" t="s">
        <v>1279</v>
      </c>
      <c r="AL2521">
        <v>3</v>
      </c>
      <c r="AM2521">
        <v>2</v>
      </c>
      <c r="AN2521">
        <f>IFERROR(INT(Table13[[#This Row],[reject_prod]]/Table13[[#This Row],[part_weight]] * 1000), 0)</f>
        <v>233</v>
      </c>
    </row>
    <row r="2522" spans="1:40">
      <c r="A2522" s="1">
        <v>46097</v>
      </c>
      <c r="B2522">
        <v>1</v>
      </c>
      <c r="C2522">
        <v>11</v>
      </c>
      <c r="D2522" t="s">
        <v>149</v>
      </c>
      <c r="E2522" t="s">
        <v>46</v>
      </c>
      <c r="F2522">
        <v>552181</v>
      </c>
      <c r="G2522" s="6">
        <v>1</v>
      </c>
      <c r="H2522" t="s">
        <v>49</v>
      </c>
      <c r="I2522">
        <v>10688070</v>
      </c>
      <c r="J2522">
        <v>6</v>
      </c>
      <c r="K2522">
        <v>14.7</v>
      </c>
      <c r="L2522">
        <v>14.7</v>
      </c>
      <c r="M2522">
        <v>1454</v>
      </c>
      <c r="N2522" s="2">
        <v>108000</v>
      </c>
      <c r="O2522" s="2">
        <v>4860</v>
      </c>
      <c r="P2522" s="2">
        <v>2700</v>
      </c>
      <c r="Q2522" s="2">
        <v>8724</v>
      </c>
      <c r="R2522" s="2">
        <v>10800</v>
      </c>
      <c r="S2522">
        <v>158.76</v>
      </c>
      <c r="T2522" s="2">
        <v>72900</v>
      </c>
      <c r="U2522" s="2">
        <v>35100</v>
      </c>
      <c r="V2522">
        <v>128.24279999999999</v>
      </c>
      <c r="W2522">
        <v>0</v>
      </c>
      <c r="X2522">
        <v>0</v>
      </c>
      <c r="Y2522">
        <v>0</v>
      </c>
      <c r="Z2522">
        <v>1.5</v>
      </c>
      <c r="AA2522">
        <v>1.1696563E-2</v>
      </c>
      <c r="AB2522">
        <v>29.2</v>
      </c>
      <c r="AC2522">
        <v>11.79355556</v>
      </c>
      <c r="AD2522">
        <v>27</v>
      </c>
      <c r="AE2522" s="7"/>
      <c r="AF2522" s="7"/>
      <c r="AG2522" s="7"/>
      <c r="AH2522" s="7"/>
      <c r="AI2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0.20644444000000028</v>
      </c>
      <c r="AJ2522" s="7"/>
      <c r="AK2522" t="s">
        <v>1280</v>
      </c>
      <c r="AN2522">
        <f>IFERROR(INT(Table13[[#This Row],[reject_prod]]/Table13[[#This Row],[part_weight]] * 1000), 0)</f>
        <v>102</v>
      </c>
    </row>
    <row r="2523" spans="1:40">
      <c r="A2523" s="1">
        <v>46097</v>
      </c>
      <c r="B2523">
        <v>1</v>
      </c>
      <c r="C2523">
        <v>12</v>
      </c>
      <c r="D2523" t="s">
        <v>33</v>
      </c>
      <c r="E2523" t="s">
        <v>46</v>
      </c>
      <c r="F2523">
        <v>555979</v>
      </c>
      <c r="G2523" s="6">
        <v>1</v>
      </c>
      <c r="H2523" t="s">
        <v>52</v>
      </c>
      <c r="I2523">
        <v>10689126</v>
      </c>
      <c r="J2523">
        <v>6</v>
      </c>
      <c r="K2523">
        <v>28</v>
      </c>
      <c r="L2523">
        <v>28</v>
      </c>
      <c r="M2523">
        <v>0</v>
      </c>
      <c r="N2523" s="2">
        <v>100800</v>
      </c>
      <c r="O2523" s="2">
        <v>3024</v>
      </c>
      <c r="P2523" s="2">
        <v>0</v>
      </c>
      <c r="Q2523" s="2">
        <v>0</v>
      </c>
      <c r="R2523" s="2">
        <v>0</v>
      </c>
      <c r="S2523">
        <v>0</v>
      </c>
      <c r="T2523" s="2">
        <v>13440</v>
      </c>
      <c r="U2523" s="2">
        <v>87360</v>
      </c>
      <c r="V2523">
        <v>0</v>
      </c>
      <c r="W2523">
        <v>0</v>
      </c>
      <c r="X2523">
        <v>36.5</v>
      </c>
      <c r="Y2523" t="e">
        <v>#DIV/0!</v>
      </c>
      <c r="Z2523">
        <v>0</v>
      </c>
      <c r="AA2523" t="e">
        <v>#DIV/0!</v>
      </c>
      <c r="AB2523">
        <v>41.2</v>
      </c>
      <c r="AC2523">
        <v>0</v>
      </c>
      <c r="AD2523">
        <v>42</v>
      </c>
      <c r="AE2523" s="7"/>
      <c r="AF2523" s="7"/>
      <c r="AG2523" s="7"/>
      <c r="AH2523" s="7"/>
      <c r="AI2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23" s="7"/>
      <c r="AK2523" t="s">
        <v>1281</v>
      </c>
      <c r="AL2523">
        <v>8</v>
      </c>
      <c r="AM2523">
        <v>6</v>
      </c>
      <c r="AN2523">
        <f>IFERROR(INT(Table13[[#This Row],[reject_prod]]/Table13[[#This Row],[part_weight]] * 1000), 0)</f>
        <v>0</v>
      </c>
    </row>
    <row r="2524" spans="1:40">
      <c r="A2524" s="1">
        <v>46097</v>
      </c>
      <c r="B2524">
        <v>1</v>
      </c>
      <c r="C2524">
        <v>13</v>
      </c>
      <c r="D2524" t="s">
        <v>1282</v>
      </c>
      <c r="E2524" t="s">
        <v>46</v>
      </c>
      <c r="F2524">
        <v>586276</v>
      </c>
      <c r="G2524" s="6">
        <v>2</v>
      </c>
      <c r="H2524" t="s">
        <v>47</v>
      </c>
      <c r="I2524">
        <v>10689118</v>
      </c>
      <c r="J2524">
        <v>6</v>
      </c>
      <c r="K2524">
        <v>12.3</v>
      </c>
      <c r="L2524">
        <v>12.3</v>
      </c>
      <c r="M2524">
        <v>1641</v>
      </c>
      <c r="N2524" s="2">
        <v>162000</v>
      </c>
      <c r="O2524" s="2">
        <v>3240</v>
      </c>
      <c r="P2524" s="2">
        <v>4860</v>
      </c>
      <c r="Q2524" s="2">
        <v>9846</v>
      </c>
      <c r="R2524" s="2">
        <v>8100</v>
      </c>
      <c r="S2524">
        <v>99.63</v>
      </c>
      <c r="T2524" s="2">
        <v>102060</v>
      </c>
      <c r="U2524" s="2">
        <v>59940</v>
      </c>
      <c r="V2524">
        <v>121.1058</v>
      </c>
      <c r="W2524">
        <v>0</v>
      </c>
      <c r="X2524">
        <v>0</v>
      </c>
      <c r="Y2524">
        <v>0</v>
      </c>
      <c r="Z2524">
        <v>1.5</v>
      </c>
      <c r="AA2524">
        <v>1.2385864E-2</v>
      </c>
      <c r="AB2524">
        <v>26.2</v>
      </c>
      <c r="AC2524">
        <v>11.942833329999999</v>
      </c>
      <c r="AD2524">
        <v>26</v>
      </c>
      <c r="AE2524" s="7"/>
      <c r="AF2524" s="7"/>
      <c r="AG2524" s="7"/>
      <c r="AH2524" s="7"/>
      <c r="AI25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524" s="7"/>
      <c r="AK2524" t="s">
        <v>1280</v>
      </c>
      <c r="AN2524">
        <f>IFERROR(INT(Table13[[#This Row],[reject_prod]]/Table13[[#This Row],[part_weight]] * 1000), 0)</f>
        <v>121</v>
      </c>
    </row>
    <row r="2525" spans="1:40">
      <c r="A2525" s="1">
        <v>46097</v>
      </c>
      <c r="B2525">
        <v>1</v>
      </c>
      <c r="C2525">
        <v>14</v>
      </c>
      <c r="D2525" t="s">
        <v>43</v>
      </c>
      <c r="E2525" t="s">
        <v>34</v>
      </c>
      <c r="F2525">
        <v>541381</v>
      </c>
      <c r="G2525" s="6">
        <v>0</v>
      </c>
      <c r="H2525" t="s">
        <v>804</v>
      </c>
      <c r="I2525">
        <v>10689120</v>
      </c>
      <c r="J2525">
        <v>4</v>
      </c>
      <c r="K2525">
        <v>55</v>
      </c>
      <c r="L2525">
        <v>55</v>
      </c>
      <c r="M2525">
        <v>1591</v>
      </c>
      <c r="N2525" s="2">
        <v>84000</v>
      </c>
      <c r="O2525" s="2">
        <v>0</v>
      </c>
      <c r="P2525" s="2">
        <v>0</v>
      </c>
      <c r="Q2525" s="2">
        <v>6364</v>
      </c>
      <c r="R2525" s="2">
        <v>6300</v>
      </c>
      <c r="S2525">
        <v>346.5</v>
      </c>
      <c r="T2525" s="2">
        <v>23100</v>
      </c>
      <c r="U2525" s="2">
        <v>60900</v>
      </c>
      <c r="V2525">
        <v>350.02</v>
      </c>
      <c r="W2525">
        <v>0</v>
      </c>
      <c r="X2525">
        <v>0</v>
      </c>
      <c r="Y2525">
        <v>0</v>
      </c>
      <c r="Z2525">
        <v>3.5</v>
      </c>
      <c r="AA2525">
        <v>9.9994290000000007E-3</v>
      </c>
      <c r="AB2525">
        <v>26.8</v>
      </c>
      <c r="AC2525">
        <v>11.84411111</v>
      </c>
      <c r="AD2525">
        <v>30.08</v>
      </c>
      <c r="AE2525" s="7"/>
      <c r="AF2525" s="7"/>
      <c r="AG2525" s="7"/>
      <c r="AH2525" s="7"/>
      <c r="AI2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0.15588888999999995</v>
      </c>
      <c r="AJ2525" s="7"/>
      <c r="AK2525" t="s">
        <v>178</v>
      </c>
      <c r="AN2525">
        <f>IFERROR(INT(Table13[[#This Row],[reject_prod]]/Table13[[#This Row],[part_weight]] * 1000), 0)</f>
        <v>63</v>
      </c>
    </row>
    <row r="2526" spans="1:40">
      <c r="A2526" s="1">
        <v>46097</v>
      </c>
      <c r="B2526">
        <v>1</v>
      </c>
      <c r="C2526">
        <v>15</v>
      </c>
      <c r="D2526" t="s">
        <v>149</v>
      </c>
      <c r="E2526" t="s">
        <v>46</v>
      </c>
      <c r="F2526">
        <v>552181</v>
      </c>
      <c r="G2526" s="6">
        <v>2</v>
      </c>
      <c r="H2526" t="s">
        <v>49</v>
      </c>
      <c r="I2526">
        <v>10689122</v>
      </c>
      <c r="J2526">
        <v>6</v>
      </c>
      <c r="K2526">
        <v>14.7</v>
      </c>
      <c r="L2526">
        <v>14.7</v>
      </c>
      <c r="M2526">
        <v>1408</v>
      </c>
      <c r="N2526" s="2">
        <v>108000</v>
      </c>
      <c r="O2526" s="2">
        <v>1080</v>
      </c>
      <c r="P2526" s="2">
        <v>4050</v>
      </c>
      <c r="Q2526" s="2">
        <v>8448</v>
      </c>
      <c r="R2526" s="2">
        <v>5400</v>
      </c>
      <c r="S2526">
        <v>79.38</v>
      </c>
      <c r="T2526" s="2">
        <v>95850</v>
      </c>
      <c r="U2526" s="2">
        <v>12150</v>
      </c>
      <c r="V2526">
        <v>124.18559999999999</v>
      </c>
      <c r="W2526">
        <v>0</v>
      </c>
      <c r="X2526">
        <v>0</v>
      </c>
      <c r="Y2526">
        <v>0</v>
      </c>
      <c r="Z2526">
        <v>1.5</v>
      </c>
      <c r="AA2526">
        <v>1.2078695E-2</v>
      </c>
      <c r="AB2526">
        <v>30.6</v>
      </c>
      <c r="AC2526">
        <v>11.968</v>
      </c>
      <c r="AD2526">
        <v>27</v>
      </c>
      <c r="AE2526" s="7"/>
      <c r="AF2526" s="7"/>
      <c r="AG2526" s="7"/>
      <c r="AH2526" s="7"/>
      <c r="AI2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2526" s="7"/>
      <c r="AK2526" t="s">
        <v>406</v>
      </c>
      <c r="AN2526">
        <f>IFERROR(INT(Table13[[#This Row],[reject_prod]]/Table13[[#This Row],[part_weight]] * 1000), 0)</f>
        <v>102</v>
      </c>
    </row>
    <row r="2527" spans="1:40">
      <c r="A2527" s="1">
        <v>46097</v>
      </c>
      <c r="B2527">
        <v>1</v>
      </c>
      <c r="C2527">
        <v>16</v>
      </c>
      <c r="D2527" t="s">
        <v>61</v>
      </c>
      <c r="E2527" t="s">
        <v>46</v>
      </c>
      <c r="F2527">
        <v>555979</v>
      </c>
      <c r="G2527" s="6">
        <v>2</v>
      </c>
      <c r="H2527" t="s">
        <v>52</v>
      </c>
      <c r="I2527">
        <v>10689125</v>
      </c>
      <c r="J2527">
        <v>6</v>
      </c>
      <c r="K2527">
        <v>28</v>
      </c>
      <c r="L2527">
        <v>28</v>
      </c>
      <c r="M2527">
        <v>1040</v>
      </c>
      <c r="N2527" s="2">
        <v>100800</v>
      </c>
      <c r="O2527" s="2">
        <v>2216</v>
      </c>
      <c r="P2527" s="2">
        <v>1680</v>
      </c>
      <c r="Q2527" s="2">
        <v>6240</v>
      </c>
      <c r="R2527" s="2">
        <v>6720</v>
      </c>
      <c r="S2527">
        <v>188.16</v>
      </c>
      <c r="T2527" s="2">
        <v>8400</v>
      </c>
      <c r="U2527" s="2">
        <v>92400</v>
      </c>
      <c r="V2527">
        <v>174.72</v>
      </c>
      <c r="W2527">
        <v>0</v>
      </c>
      <c r="X2527">
        <v>0</v>
      </c>
      <c r="Y2527">
        <v>0</v>
      </c>
      <c r="Z2527">
        <v>1.5</v>
      </c>
      <c r="AA2527">
        <v>8.5851650000000005E-3</v>
      </c>
      <c r="AB2527">
        <v>40.5</v>
      </c>
      <c r="AC2527">
        <v>11.7</v>
      </c>
      <c r="AD2527">
        <v>42</v>
      </c>
      <c r="AE2527" s="7"/>
      <c r="AF2527" s="7"/>
      <c r="AG2527" s="7"/>
      <c r="AH2527" s="7"/>
      <c r="AI2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2527" s="7"/>
      <c r="AK2527" t="s">
        <v>406</v>
      </c>
      <c r="AL2527">
        <v>1</v>
      </c>
      <c r="AM2527">
        <v>2</v>
      </c>
      <c r="AN2527">
        <f>IFERROR(INT(Table13[[#This Row],[reject_prod]]/Table13[[#This Row],[part_weight]] * 1000), 0)</f>
        <v>53</v>
      </c>
    </row>
    <row r="2528" spans="1:40">
      <c r="A2528" s="1">
        <v>46097</v>
      </c>
      <c r="B2528">
        <v>2</v>
      </c>
      <c r="C2528">
        <v>1</v>
      </c>
      <c r="D2528" t="s">
        <v>54</v>
      </c>
      <c r="E2528" t="s">
        <v>34</v>
      </c>
      <c r="F2528">
        <v>347623</v>
      </c>
      <c r="G2528" s="6">
        <v>0</v>
      </c>
      <c r="H2528" t="s">
        <v>35</v>
      </c>
      <c r="I2528">
        <v>10689833</v>
      </c>
      <c r="J2528">
        <v>4</v>
      </c>
      <c r="K2528">
        <v>35.6</v>
      </c>
      <c r="L2528">
        <v>35.6</v>
      </c>
      <c r="M2528">
        <v>1660</v>
      </c>
      <c r="N2528" s="2">
        <v>40480</v>
      </c>
      <c r="O2528" s="2">
        <v>736</v>
      </c>
      <c r="P2528" s="2">
        <v>0</v>
      </c>
      <c r="Q2528" s="2">
        <v>6640</v>
      </c>
      <c r="R2528" s="2">
        <v>7360</v>
      </c>
      <c r="S2528">
        <v>262.01600000000002</v>
      </c>
      <c r="T2528" s="2">
        <v>40480</v>
      </c>
      <c r="U2528" s="2">
        <v>0</v>
      </c>
      <c r="V2528">
        <v>236.38399999999999</v>
      </c>
      <c r="W2528">
        <v>0</v>
      </c>
      <c r="X2528">
        <v>0</v>
      </c>
      <c r="Y2528">
        <v>0</v>
      </c>
      <c r="Z2528">
        <v>3.5</v>
      </c>
      <c r="AA2528">
        <v>1.4806417000000001E-2</v>
      </c>
      <c r="AB2528">
        <v>25.5</v>
      </c>
      <c r="AC2528">
        <v>11.758333329999999</v>
      </c>
      <c r="AD2528">
        <v>27</v>
      </c>
      <c r="AE2528" s="7"/>
      <c r="AF2528" s="7"/>
      <c r="AG2528" s="7"/>
      <c r="AH2528" s="7"/>
      <c r="AI2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0.24166667000000075</v>
      </c>
      <c r="AJ2528" s="7"/>
      <c r="AK2528" t="s">
        <v>102</v>
      </c>
      <c r="AN2528">
        <f>IFERROR(INT(Table13[[#This Row],[reject_prod]]/Table13[[#This Row],[part_weight]] * 1000), 0)</f>
        <v>98</v>
      </c>
    </row>
    <row r="2529" spans="1:40">
      <c r="A2529" s="1">
        <v>46097</v>
      </c>
      <c r="B2529">
        <v>2</v>
      </c>
      <c r="C2529">
        <v>2</v>
      </c>
      <c r="D2529" t="s">
        <v>206</v>
      </c>
      <c r="E2529" t="s">
        <v>34</v>
      </c>
      <c r="F2529">
        <v>324163</v>
      </c>
      <c r="G2529" s="6">
        <v>0</v>
      </c>
      <c r="H2529" t="s">
        <v>672</v>
      </c>
      <c r="I2529">
        <v>10688495</v>
      </c>
      <c r="J2529">
        <v>4</v>
      </c>
      <c r="K2529">
        <v>24</v>
      </c>
      <c r="L2529">
        <v>23.5</v>
      </c>
      <c r="M2529">
        <v>1960</v>
      </c>
      <c r="N2529" s="2">
        <v>73152</v>
      </c>
      <c r="O2529" s="2">
        <v>1143</v>
      </c>
      <c r="P2529" s="2">
        <v>0</v>
      </c>
      <c r="Q2529" s="2">
        <v>7840</v>
      </c>
      <c r="R2529" s="2">
        <v>9144</v>
      </c>
      <c r="S2529">
        <v>214.88399999999999</v>
      </c>
      <c r="T2529" s="2">
        <v>50292</v>
      </c>
      <c r="U2529" s="2">
        <v>22860</v>
      </c>
      <c r="V2529">
        <v>184.24</v>
      </c>
      <c r="W2529">
        <v>0</v>
      </c>
      <c r="X2529">
        <v>0</v>
      </c>
      <c r="Y2529">
        <v>0</v>
      </c>
      <c r="Z2529">
        <v>1.6</v>
      </c>
      <c r="AA2529">
        <v>8.6843249999999997E-3</v>
      </c>
      <c r="AB2529">
        <v>22.3</v>
      </c>
      <c r="AC2529">
        <v>12</v>
      </c>
      <c r="AD2529">
        <v>22.5</v>
      </c>
      <c r="AE2529" s="7"/>
      <c r="AF2529" s="7"/>
      <c r="AG2529" s="7"/>
      <c r="AH2529" s="7"/>
      <c r="AI2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29" s="7"/>
      <c r="AK2529" t="s">
        <v>1179</v>
      </c>
      <c r="AN2529">
        <f>IFERROR(INT(Table13[[#This Row],[reject_prod]]/Table13[[#This Row],[part_weight]] * 1000), 0)</f>
        <v>68</v>
      </c>
    </row>
    <row r="2530" spans="1:40">
      <c r="A2530" s="1">
        <v>46097</v>
      </c>
      <c r="B2530">
        <v>2</v>
      </c>
      <c r="C2530">
        <v>3</v>
      </c>
      <c r="D2530" t="s">
        <v>289</v>
      </c>
      <c r="E2530" t="s">
        <v>34</v>
      </c>
      <c r="F2530">
        <v>442034</v>
      </c>
      <c r="G2530" s="6">
        <v>0</v>
      </c>
      <c r="H2530" t="s">
        <v>37</v>
      </c>
      <c r="I2530">
        <v>10685635</v>
      </c>
      <c r="J2530">
        <v>4</v>
      </c>
      <c r="K2530">
        <v>23</v>
      </c>
      <c r="L2530">
        <v>23</v>
      </c>
      <c r="M2530">
        <v>1536</v>
      </c>
      <c r="N2530" s="2">
        <v>139776</v>
      </c>
      <c r="O2530" s="2">
        <v>4224</v>
      </c>
      <c r="P2530" s="2">
        <v>1152</v>
      </c>
      <c r="Q2530" s="2">
        <v>6144</v>
      </c>
      <c r="R2530" s="2">
        <v>9216</v>
      </c>
      <c r="S2530">
        <v>211.96799999999999</v>
      </c>
      <c r="T2530" s="2">
        <v>116352</v>
      </c>
      <c r="U2530" s="2">
        <v>23424</v>
      </c>
      <c r="V2530">
        <v>141.31200000000001</v>
      </c>
      <c r="W2530">
        <v>0</v>
      </c>
      <c r="X2530">
        <v>0</v>
      </c>
      <c r="Y2530">
        <v>0</v>
      </c>
      <c r="Z2530">
        <v>1</v>
      </c>
      <c r="AA2530">
        <v>7.0765400000000001E-3</v>
      </c>
      <c r="AB2530">
        <v>27.8</v>
      </c>
      <c r="AC2530">
        <v>11.861333330000001</v>
      </c>
      <c r="AD2530">
        <v>22</v>
      </c>
      <c r="AE2530" s="7"/>
      <c r="AF2530" s="7"/>
      <c r="AG2530" s="7"/>
      <c r="AH2530" s="7"/>
      <c r="AI2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530" s="7"/>
      <c r="AK2530" t="s">
        <v>214</v>
      </c>
      <c r="AN2530">
        <f>IFERROR(INT(Table13[[#This Row],[reject_prod]]/Table13[[#This Row],[part_weight]] * 1000), 0)</f>
        <v>43</v>
      </c>
    </row>
    <row r="2531" spans="1:40">
      <c r="A2531" s="1">
        <v>46097</v>
      </c>
      <c r="B2531">
        <v>2</v>
      </c>
      <c r="C2531">
        <v>4</v>
      </c>
      <c r="D2531" t="s">
        <v>1283</v>
      </c>
      <c r="E2531" t="s">
        <v>34</v>
      </c>
      <c r="F2531">
        <v>400860</v>
      </c>
      <c r="G2531" s="6">
        <v>0</v>
      </c>
      <c r="H2531" t="s">
        <v>1254</v>
      </c>
      <c r="I2531">
        <v>10689109</v>
      </c>
      <c r="J2531">
        <v>4</v>
      </c>
      <c r="K2531">
        <v>29.27</v>
      </c>
      <c r="L2531">
        <v>29</v>
      </c>
      <c r="M2531">
        <v>1710</v>
      </c>
      <c r="N2531" s="2">
        <v>43092</v>
      </c>
      <c r="O2531" s="2">
        <v>513</v>
      </c>
      <c r="P2531" s="2">
        <v>171</v>
      </c>
      <c r="Q2531" s="2">
        <v>6840</v>
      </c>
      <c r="R2531" s="2">
        <v>7182</v>
      </c>
      <c r="S2531">
        <v>208.27799999999999</v>
      </c>
      <c r="T2531" s="2">
        <v>34884</v>
      </c>
      <c r="U2531" s="2">
        <v>8208</v>
      </c>
      <c r="V2531">
        <v>198.36</v>
      </c>
      <c r="W2531">
        <v>0</v>
      </c>
      <c r="X2531">
        <v>0</v>
      </c>
      <c r="Y2531">
        <v>0</v>
      </c>
      <c r="Z2531">
        <v>0.5</v>
      </c>
      <c r="AA2531">
        <v>2.5206690000000001E-3</v>
      </c>
      <c r="AB2531">
        <v>25.2</v>
      </c>
      <c r="AC2531">
        <v>11.97</v>
      </c>
      <c r="AD2531">
        <v>22</v>
      </c>
      <c r="AE2531" s="7"/>
      <c r="AF2531" s="7"/>
      <c r="AG2531" s="7"/>
      <c r="AH2531" s="7"/>
      <c r="AI2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531" s="7"/>
      <c r="AK2531" t="s">
        <v>214</v>
      </c>
      <c r="AN2531">
        <f>IFERROR(INT(Table13[[#This Row],[reject_prod]]/Table13[[#This Row],[part_weight]] * 1000), 0)</f>
        <v>17</v>
      </c>
    </row>
    <row r="2532" spans="1:40">
      <c r="A2532" s="1">
        <v>46097</v>
      </c>
      <c r="B2532">
        <v>2</v>
      </c>
      <c r="C2532">
        <v>5</v>
      </c>
      <c r="D2532" t="s">
        <v>33</v>
      </c>
      <c r="E2532" t="s">
        <v>34</v>
      </c>
      <c r="F2532">
        <v>323111</v>
      </c>
      <c r="G2532" s="6">
        <v>0</v>
      </c>
      <c r="H2532" t="s">
        <v>1277</v>
      </c>
      <c r="I2532">
        <v>10689110</v>
      </c>
      <c r="J2532">
        <v>2</v>
      </c>
      <c r="K2532">
        <v>73.2</v>
      </c>
      <c r="L2532">
        <v>75</v>
      </c>
      <c r="M2532">
        <v>0</v>
      </c>
      <c r="N2532" s="2">
        <v>2760</v>
      </c>
      <c r="O2532" s="2">
        <v>0</v>
      </c>
      <c r="P2532" s="2">
        <v>0</v>
      </c>
      <c r="Q2532" s="2">
        <v>0</v>
      </c>
      <c r="R2532" s="2">
        <v>0</v>
      </c>
      <c r="S2532">
        <v>0</v>
      </c>
      <c r="T2532" s="2">
        <v>0</v>
      </c>
      <c r="U2532" s="2">
        <v>2760</v>
      </c>
      <c r="V2532">
        <v>0</v>
      </c>
      <c r="W2532">
        <v>0</v>
      </c>
      <c r="X2532">
        <v>0</v>
      </c>
      <c r="Y2532" t="e">
        <v>#DIV/0!</v>
      </c>
      <c r="Z2532">
        <v>0</v>
      </c>
      <c r="AA2532" t="e">
        <v>#DIV/0!</v>
      </c>
      <c r="AB2532">
        <v>0</v>
      </c>
      <c r="AC2532">
        <v>0</v>
      </c>
      <c r="AD2532">
        <v>33</v>
      </c>
      <c r="AE2532" s="7"/>
      <c r="AF2532" s="7"/>
      <c r="AG2532" s="7"/>
      <c r="AH2532" s="7"/>
      <c r="AI2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2" s="7">
        <v>12</v>
      </c>
      <c r="AK2532" t="s">
        <v>1278</v>
      </c>
      <c r="AN2532">
        <f>IFERROR(INT(Table13[[#This Row],[reject_prod]]/Table13[[#This Row],[part_weight]] * 1000), 0)</f>
        <v>0</v>
      </c>
    </row>
    <row r="2533" spans="1:40">
      <c r="A2533" s="1">
        <v>46097</v>
      </c>
      <c r="B2533">
        <v>2</v>
      </c>
      <c r="C2533">
        <v>6</v>
      </c>
      <c r="D2533" t="s">
        <v>1284</v>
      </c>
      <c r="E2533" t="s">
        <v>34</v>
      </c>
      <c r="F2533">
        <v>322445</v>
      </c>
      <c r="G2533" s="6">
        <v>0</v>
      </c>
      <c r="H2533" t="s">
        <v>743</v>
      </c>
      <c r="I2533">
        <v>10689565</v>
      </c>
      <c r="J2533">
        <v>4</v>
      </c>
      <c r="K2533">
        <v>32.74</v>
      </c>
      <c r="L2533">
        <v>33</v>
      </c>
      <c r="M2533">
        <v>1755</v>
      </c>
      <c r="N2533" s="2">
        <v>72000</v>
      </c>
      <c r="O2533" s="2">
        <v>540</v>
      </c>
      <c r="P2533" s="2">
        <v>360</v>
      </c>
      <c r="Q2533" s="2">
        <v>7020</v>
      </c>
      <c r="R2533" s="2">
        <v>7200</v>
      </c>
      <c r="S2533">
        <v>237.6</v>
      </c>
      <c r="T2533" s="2">
        <v>68760</v>
      </c>
      <c r="U2533" s="2">
        <v>3240</v>
      </c>
      <c r="V2533">
        <v>231.66</v>
      </c>
      <c r="W2533">
        <v>0</v>
      </c>
      <c r="X2533">
        <v>0</v>
      </c>
      <c r="Y2533">
        <v>0</v>
      </c>
      <c r="Z2533">
        <v>0.5</v>
      </c>
      <c r="AA2533">
        <v>2.1583349999999999E-3</v>
      </c>
      <c r="AB2533">
        <v>24.55</v>
      </c>
      <c r="AC2533">
        <v>11.968125000000001</v>
      </c>
      <c r="AD2533">
        <v>22</v>
      </c>
      <c r="AE2533" s="7"/>
      <c r="AF2533" s="7"/>
      <c r="AG2533" s="7"/>
      <c r="AH2533" s="7"/>
      <c r="AI2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3.1874999999999432E-2</v>
      </c>
      <c r="AJ2533" s="7"/>
      <c r="AK2533" t="s">
        <v>214</v>
      </c>
      <c r="AN2533">
        <f>IFERROR(INT(Table13[[#This Row],[reject_prod]]/Table13[[#This Row],[part_weight]] * 1000), 0)</f>
        <v>15</v>
      </c>
    </row>
    <row r="2534" spans="1:40">
      <c r="A2534" s="1">
        <v>46097</v>
      </c>
      <c r="B2534">
        <v>2</v>
      </c>
      <c r="C2534">
        <v>7</v>
      </c>
      <c r="E2534" t="s">
        <v>34</v>
      </c>
      <c r="F2534">
        <v>324198</v>
      </c>
      <c r="G2534" s="6">
        <v>0</v>
      </c>
      <c r="H2534" t="s">
        <v>632</v>
      </c>
      <c r="I2534">
        <v>10685209</v>
      </c>
      <c r="J2534">
        <v>3</v>
      </c>
      <c r="K2534">
        <v>20</v>
      </c>
      <c r="L2534">
        <v>20</v>
      </c>
      <c r="M2534">
        <v>2160</v>
      </c>
      <c r="N2534" s="2">
        <v>25920</v>
      </c>
      <c r="O2534" s="2">
        <v>720</v>
      </c>
      <c r="P2534" s="2">
        <v>7200</v>
      </c>
      <c r="Q2534" s="2">
        <v>6480</v>
      </c>
      <c r="R2534" s="2">
        <v>0</v>
      </c>
      <c r="S2534">
        <v>0</v>
      </c>
      <c r="T2534" s="2">
        <v>24480</v>
      </c>
      <c r="U2534" s="2">
        <v>1440</v>
      </c>
      <c r="V2534">
        <v>129.6</v>
      </c>
      <c r="W2534">
        <v>0</v>
      </c>
      <c r="X2534">
        <v>0</v>
      </c>
      <c r="Y2534">
        <v>0</v>
      </c>
      <c r="Z2534">
        <v>3.5</v>
      </c>
      <c r="AA2534">
        <v>2.7006173000000001E-2</v>
      </c>
      <c r="AB2534">
        <v>20.2</v>
      </c>
      <c r="AC2534">
        <v>12</v>
      </c>
      <c r="AD2534">
        <v>19.5</v>
      </c>
      <c r="AE2534" s="7"/>
      <c r="AF2534" s="7"/>
      <c r="AG2534" s="7"/>
      <c r="AH2534" s="7"/>
      <c r="AI2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4" s="7"/>
      <c r="AK2534" t="s">
        <v>168</v>
      </c>
      <c r="AN2534">
        <f>IFERROR(INT(Table13[[#This Row],[reject_prod]]/Table13[[#This Row],[part_weight]] * 1000), 0)</f>
        <v>175</v>
      </c>
    </row>
    <row r="2535" spans="1:40">
      <c r="A2535" s="1">
        <v>46097</v>
      </c>
      <c r="B2535">
        <v>2</v>
      </c>
      <c r="C2535">
        <v>8</v>
      </c>
      <c r="D2535" t="s">
        <v>1284</v>
      </c>
      <c r="E2535" t="s">
        <v>41</v>
      </c>
      <c r="F2535">
        <v>593537</v>
      </c>
      <c r="G2535" s="6">
        <v>0</v>
      </c>
      <c r="H2535" t="s">
        <v>48</v>
      </c>
      <c r="I2535">
        <v>10688068</v>
      </c>
      <c r="J2535">
        <v>4</v>
      </c>
      <c r="K2535">
        <v>56.5</v>
      </c>
      <c r="L2535">
        <v>56.8</v>
      </c>
      <c r="M2535">
        <v>1297</v>
      </c>
      <c r="N2535" s="2">
        <v>69000</v>
      </c>
      <c r="O2535" s="2">
        <v>0</v>
      </c>
      <c r="P2535" s="2">
        <v>0</v>
      </c>
      <c r="Q2535" s="2">
        <v>5188</v>
      </c>
      <c r="R2535" s="2">
        <v>5175</v>
      </c>
      <c r="S2535">
        <v>293.94</v>
      </c>
      <c r="T2535" s="2">
        <v>69000</v>
      </c>
      <c r="U2535" s="2">
        <v>0</v>
      </c>
      <c r="V2535">
        <v>294.67840000000001</v>
      </c>
      <c r="W2535">
        <v>0</v>
      </c>
      <c r="X2535">
        <v>0</v>
      </c>
      <c r="Y2535">
        <v>0</v>
      </c>
      <c r="Z2535">
        <v>1.8</v>
      </c>
      <c r="AA2535">
        <v>6.1083539999999999E-3</v>
      </c>
      <c r="AB2535">
        <v>29.7</v>
      </c>
      <c r="AC2535">
        <v>10.70025</v>
      </c>
      <c r="AD2535">
        <v>28.5</v>
      </c>
      <c r="AE2535" s="7"/>
      <c r="AF2535" s="7"/>
      <c r="AG2535" s="7"/>
      <c r="AH2535" s="7"/>
      <c r="AI2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1.2997499999999995</v>
      </c>
      <c r="AJ2535" s="7"/>
      <c r="AK2535" t="s">
        <v>102</v>
      </c>
      <c r="AN2535">
        <f>IFERROR(INT(Table13[[#This Row],[reject_prod]]/Table13[[#This Row],[part_weight]] * 1000), 0)</f>
        <v>31</v>
      </c>
    </row>
    <row r="2536" spans="1:40">
      <c r="A2536" s="1">
        <v>46097</v>
      </c>
      <c r="B2536">
        <v>2</v>
      </c>
      <c r="C2536">
        <v>8</v>
      </c>
      <c r="D2536" t="s">
        <v>1284</v>
      </c>
      <c r="E2536" t="s">
        <v>41</v>
      </c>
      <c r="F2536">
        <v>593537</v>
      </c>
      <c r="G2536" s="6">
        <v>0</v>
      </c>
      <c r="H2536" t="s">
        <v>48</v>
      </c>
      <c r="I2536">
        <v>10689826</v>
      </c>
      <c r="J2536">
        <v>4</v>
      </c>
      <c r="K2536">
        <v>56.5</v>
      </c>
      <c r="L2536">
        <v>56.8</v>
      </c>
      <c r="M2536">
        <v>144</v>
      </c>
      <c r="N2536" s="2">
        <v>69000</v>
      </c>
      <c r="O2536" s="2">
        <v>0</v>
      </c>
      <c r="P2536" s="2">
        <v>0</v>
      </c>
      <c r="Q2536" s="2">
        <v>576</v>
      </c>
      <c r="R2536" s="2">
        <v>575</v>
      </c>
      <c r="S2536">
        <v>32.659999999999997</v>
      </c>
      <c r="T2536" s="2">
        <v>575</v>
      </c>
      <c r="U2536" s="2">
        <v>68425</v>
      </c>
      <c r="V2536">
        <v>32.716799999999999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29.7</v>
      </c>
      <c r="AC2536">
        <v>1.1879999999999999</v>
      </c>
      <c r="AD2536">
        <v>28.5</v>
      </c>
      <c r="AE2536" s="7"/>
      <c r="AF2536" s="7"/>
      <c r="AG2536" s="7"/>
      <c r="AH2536" s="7"/>
      <c r="AI2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10.811999999999999</v>
      </c>
      <c r="AJ2536" s="7"/>
      <c r="AK2536" t="s">
        <v>51</v>
      </c>
      <c r="AN2536">
        <f>IFERROR(INT(Table13[[#This Row],[reject_prod]]/Table13[[#This Row],[part_weight]] * 1000), 0)</f>
        <v>0</v>
      </c>
    </row>
    <row r="2537" spans="1:40">
      <c r="A2537" s="1">
        <v>46097</v>
      </c>
      <c r="B2537">
        <v>2</v>
      </c>
      <c r="C2537">
        <v>9</v>
      </c>
      <c r="D2537" t="s">
        <v>56</v>
      </c>
      <c r="E2537" t="s">
        <v>46</v>
      </c>
      <c r="F2537">
        <v>586276</v>
      </c>
      <c r="G2537" s="6">
        <v>1</v>
      </c>
      <c r="H2537" t="s">
        <v>47</v>
      </c>
      <c r="I2537">
        <v>10689111</v>
      </c>
      <c r="J2537">
        <v>6</v>
      </c>
      <c r="K2537">
        <v>12.3</v>
      </c>
      <c r="L2537">
        <v>12.3</v>
      </c>
      <c r="M2537">
        <v>1565</v>
      </c>
      <c r="N2537" s="2">
        <v>162000</v>
      </c>
      <c r="O2537" s="2">
        <v>3645</v>
      </c>
      <c r="P2537" s="2">
        <v>4860</v>
      </c>
      <c r="Q2537" s="2">
        <v>9390</v>
      </c>
      <c r="R2537" s="2">
        <v>8100</v>
      </c>
      <c r="S2537">
        <v>99.63</v>
      </c>
      <c r="T2537" s="2">
        <v>142560</v>
      </c>
      <c r="U2537" s="2">
        <v>19440</v>
      </c>
      <c r="V2537">
        <v>115.497</v>
      </c>
      <c r="W2537">
        <v>0</v>
      </c>
      <c r="X2537">
        <v>0</v>
      </c>
      <c r="Y2537">
        <v>0</v>
      </c>
      <c r="Z2537">
        <v>1.2</v>
      </c>
      <c r="AA2537">
        <v>1.0389880000000001E-2</v>
      </c>
      <c r="AB2537">
        <v>26.9</v>
      </c>
      <c r="AC2537">
        <v>11.694027780000001</v>
      </c>
      <c r="AD2537">
        <v>26</v>
      </c>
      <c r="AE2537" s="7"/>
      <c r="AF2537" s="7"/>
      <c r="AG2537" s="7"/>
      <c r="AH2537" s="7"/>
      <c r="AI2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0.30597221999999924</v>
      </c>
      <c r="AJ2537" s="7"/>
      <c r="AK2537" t="s">
        <v>51</v>
      </c>
      <c r="AN2537">
        <f>IFERROR(INT(Table13[[#This Row],[reject_prod]]/Table13[[#This Row],[part_weight]] * 1000), 0)</f>
        <v>97</v>
      </c>
    </row>
    <row r="2538" spans="1:40">
      <c r="A2538" s="1">
        <v>46097</v>
      </c>
      <c r="B2538">
        <v>2</v>
      </c>
      <c r="C2538">
        <v>10</v>
      </c>
      <c r="D2538" t="s">
        <v>33</v>
      </c>
      <c r="E2538" t="s">
        <v>34</v>
      </c>
      <c r="F2538">
        <v>414439</v>
      </c>
      <c r="G2538" s="6">
        <v>0</v>
      </c>
      <c r="H2538" t="s">
        <v>587</v>
      </c>
      <c r="I2538">
        <v>10688521</v>
      </c>
      <c r="J2538">
        <v>6</v>
      </c>
      <c r="K2538">
        <v>57</v>
      </c>
      <c r="L2538">
        <v>15</v>
      </c>
      <c r="M2538">
        <v>0</v>
      </c>
      <c r="N2538" s="2">
        <v>206976</v>
      </c>
      <c r="O2538" s="2">
        <v>1232</v>
      </c>
      <c r="P2538" s="2">
        <v>1232</v>
      </c>
      <c r="Q2538" s="2">
        <v>0</v>
      </c>
      <c r="R2538" s="2">
        <v>0</v>
      </c>
      <c r="S2538">
        <v>0</v>
      </c>
      <c r="T2538" s="2">
        <v>184800</v>
      </c>
      <c r="U2538" s="2">
        <v>22176</v>
      </c>
      <c r="V2538">
        <v>0</v>
      </c>
      <c r="W2538">
        <v>0</v>
      </c>
      <c r="X2538">
        <v>0</v>
      </c>
      <c r="Y2538" t="e">
        <v>#DIV/0!</v>
      </c>
      <c r="Z2538">
        <v>0</v>
      </c>
      <c r="AA2538" t="e">
        <v>#DIV/0!</v>
      </c>
      <c r="AB2538">
        <v>23.7</v>
      </c>
      <c r="AC2538">
        <v>0</v>
      </c>
      <c r="AD2538">
        <v>15</v>
      </c>
      <c r="AE2538" s="7"/>
      <c r="AF2538" s="7"/>
      <c r="AG2538" s="7"/>
      <c r="AH2538" s="7"/>
      <c r="AI2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38" s="7"/>
      <c r="AK2538" t="s">
        <v>1285</v>
      </c>
      <c r="AN2538">
        <f>IFERROR(INT(Table13[[#This Row],[reject_prod]]/Table13[[#This Row],[part_weight]] * 1000), 0)</f>
        <v>0</v>
      </c>
    </row>
    <row r="2539" spans="1:40">
      <c r="A2539" s="1">
        <v>46097</v>
      </c>
      <c r="B2539">
        <v>2</v>
      </c>
      <c r="C2539">
        <v>11</v>
      </c>
      <c r="D2539" t="s">
        <v>59</v>
      </c>
      <c r="E2539" t="s">
        <v>46</v>
      </c>
      <c r="F2539">
        <v>552181</v>
      </c>
      <c r="G2539" s="6">
        <v>1</v>
      </c>
      <c r="H2539" t="s">
        <v>49</v>
      </c>
      <c r="I2539">
        <v>10688070</v>
      </c>
      <c r="J2539">
        <v>6</v>
      </c>
      <c r="K2539">
        <v>14.7</v>
      </c>
      <c r="L2539">
        <v>14.7</v>
      </c>
      <c r="M2539">
        <v>1485</v>
      </c>
      <c r="N2539" s="2">
        <v>108000</v>
      </c>
      <c r="O2539" s="2">
        <v>2700</v>
      </c>
      <c r="P2539" s="2">
        <v>810</v>
      </c>
      <c r="Q2539" s="2">
        <v>8910</v>
      </c>
      <c r="R2539" s="2">
        <v>10800</v>
      </c>
      <c r="S2539">
        <v>158.76</v>
      </c>
      <c r="T2539" s="2">
        <v>81810</v>
      </c>
      <c r="U2539" s="2">
        <v>26190</v>
      </c>
      <c r="V2539">
        <v>130.977</v>
      </c>
      <c r="W2539">
        <v>0</v>
      </c>
      <c r="X2539">
        <v>0</v>
      </c>
      <c r="Y2539">
        <v>0</v>
      </c>
      <c r="Z2539">
        <v>1</v>
      </c>
      <c r="AA2539">
        <v>7.634928E-3</v>
      </c>
      <c r="AB2539">
        <v>29.2</v>
      </c>
      <c r="AC2539">
        <v>12</v>
      </c>
      <c r="AD2539">
        <v>27</v>
      </c>
      <c r="AE2539" s="7"/>
      <c r="AF2539" s="7"/>
      <c r="AG2539" s="7"/>
      <c r="AH2539" s="7"/>
      <c r="AI2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9" s="7"/>
      <c r="AK2539" t="s">
        <v>51</v>
      </c>
      <c r="AN2539">
        <f>IFERROR(INT(Table13[[#This Row],[reject_prod]]/Table13[[#This Row],[part_weight]] * 1000), 0)</f>
        <v>68</v>
      </c>
    </row>
    <row r="2540" spans="1:40">
      <c r="A2540" s="1">
        <v>46097</v>
      </c>
      <c r="B2540">
        <v>2</v>
      </c>
      <c r="C2540">
        <v>12</v>
      </c>
      <c r="D2540" t="s">
        <v>33</v>
      </c>
      <c r="E2540" t="s">
        <v>46</v>
      </c>
      <c r="F2540">
        <v>555979</v>
      </c>
      <c r="G2540" s="6">
        <v>1</v>
      </c>
      <c r="H2540" t="s">
        <v>52</v>
      </c>
      <c r="I2540">
        <v>10689126</v>
      </c>
      <c r="J2540">
        <v>6</v>
      </c>
      <c r="K2540">
        <v>28</v>
      </c>
      <c r="L2540">
        <v>28</v>
      </c>
      <c r="M2540">
        <v>0</v>
      </c>
      <c r="N2540" s="2">
        <v>100800</v>
      </c>
      <c r="O2540" s="2">
        <v>0</v>
      </c>
      <c r="P2540" s="2">
        <v>0</v>
      </c>
      <c r="Q2540" s="2">
        <v>0</v>
      </c>
      <c r="R2540" s="2">
        <v>0</v>
      </c>
      <c r="S2540">
        <v>0</v>
      </c>
      <c r="T2540" s="2">
        <v>13440</v>
      </c>
      <c r="U2540" s="2">
        <v>87360</v>
      </c>
      <c r="V2540">
        <v>0</v>
      </c>
      <c r="W2540">
        <v>0</v>
      </c>
      <c r="X2540">
        <v>14.3</v>
      </c>
      <c r="Y2540" t="e">
        <v>#DIV/0!</v>
      </c>
      <c r="Z2540">
        <v>0</v>
      </c>
      <c r="AA2540" t="e">
        <v>#DIV/0!</v>
      </c>
      <c r="AB2540">
        <v>41.2</v>
      </c>
      <c r="AC2540">
        <v>0</v>
      </c>
      <c r="AD2540">
        <v>42</v>
      </c>
      <c r="AE2540" s="7"/>
      <c r="AF2540" s="7"/>
      <c r="AG2540" s="7"/>
      <c r="AH2540" s="7"/>
      <c r="AI25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40" s="7"/>
      <c r="AK2540" t="s">
        <v>1281</v>
      </c>
      <c r="AN2540">
        <f>IFERROR(INT(Table13[[#This Row],[reject_prod]]/Table13[[#This Row],[part_weight]] * 1000), 0)</f>
        <v>0</v>
      </c>
    </row>
    <row r="2541" spans="1:40">
      <c r="A2541" s="1">
        <v>46097</v>
      </c>
      <c r="B2541">
        <v>2</v>
      </c>
      <c r="C2541">
        <v>13</v>
      </c>
      <c r="D2541" t="s">
        <v>59</v>
      </c>
      <c r="E2541" t="s">
        <v>46</v>
      </c>
      <c r="F2541">
        <v>586276</v>
      </c>
      <c r="G2541" s="6">
        <v>2</v>
      </c>
      <c r="H2541" t="s">
        <v>47</v>
      </c>
      <c r="I2541">
        <v>10689118</v>
      </c>
      <c r="J2541">
        <v>6</v>
      </c>
      <c r="K2541">
        <v>12.3</v>
      </c>
      <c r="L2541">
        <v>12.3</v>
      </c>
      <c r="M2541">
        <v>1630</v>
      </c>
      <c r="N2541" s="2">
        <v>162000</v>
      </c>
      <c r="O2541" s="2">
        <v>4860</v>
      </c>
      <c r="P2541" s="2">
        <v>6480</v>
      </c>
      <c r="Q2541" s="2">
        <v>9780</v>
      </c>
      <c r="R2541" s="2">
        <v>8100</v>
      </c>
      <c r="S2541">
        <v>99.63</v>
      </c>
      <c r="T2541" s="2">
        <v>111780</v>
      </c>
      <c r="U2541" s="2">
        <v>50220</v>
      </c>
      <c r="V2541">
        <v>120.294</v>
      </c>
      <c r="W2541">
        <v>0</v>
      </c>
      <c r="X2541">
        <v>0</v>
      </c>
      <c r="Y2541">
        <v>0</v>
      </c>
      <c r="Z2541">
        <v>1</v>
      </c>
      <c r="AA2541">
        <v>8.3129669999999992E-3</v>
      </c>
      <c r="AB2541">
        <v>26.2</v>
      </c>
      <c r="AC2541">
        <v>11.86277778</v>
      </c>
      <c r="AD2541">
        <v>26</v>
      </c>
      <c r="AE2541" s="7"/>
      <c r="AF2541" s="7"/>
      <c r="AG2541" s="7"/>
      <c r="AH2541" s="7"/>
      <c r="AI2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2541" s="7"/>
      <c r="AK2541" t="s">
        <v>51</v>
      </c>
      <c r="AN2541">
        <f>IFERROR(INT(Table13[[#This Row],[reject_prod]]/Table13[[#This Row],[part_weight]] * 1000), 0)</f>
        <v>81</v>
      </c>
    </row>
    <row r="2542" spans="1:40">
      <c r="A2542" s="1">
        <v>46097</v>
      </c>
      <c r="B2542">
        <v>2</v>
      </c>
      <c r="C2542">
        <v>14</v>
      </c>
      <c r="D2542" t="s">
        <v>1284</v>
      </c>
      <c r="E2542" t="s">
        <v>34</v>
      </c>
      <c r="F2542">
        <v>541381</v>
      </c>
      <c r="G2542" s="6">
        <v>0</v>
      </c>
      <c r="H2542" t="s">
        <v>804</v>
      </c>
      <c r="I2542">
        <v>10689120</v>
      </c>
      <c r="J2542">
        <v>4</v>
      </c>
      <c r="K2542">
        <v>55</v>
      </c>
      <c r="L2542">
        <v>55</v>
      </c>
      <c r="M2542">
        <v>1575</v>
      </c>
      <c r="N2542" s="2">
        <v>84000</v>
      </c>
      <c r="O2542" s="2">
        <v>0</v>
      </c>
      <c r="P2542" s="2">
        <v>0</v>
      </c>
      <c r="Q2542" s="2">
        <v>6300</v>
      </c>
      <c r="R2542" s="2">
        <v>6300</v>
      </c>
      <c r="S2542">
        <v>346.5</v>
      </c>
      <c r="T2542" s="2">
        <v>29400</v>
      </c>
      <c r="U2542" s="2">
        <v>54600</v>
      </c>
      <c r="V2542">
        <v>346.5</v>
      </c>
      <c r="W2542">
        <v>0</v>
      </c>
      <c r="X2542">
        <v>0</v>
      </c>
      <c r="Y2542">
        <v>0</v>
      </c>
      <c r="Z2542">
        <v>9.8000000000000007</v>
      </c>
      <c r="AA2542">
        <v>2.8282827999999999E-2</v>
      </c>
      <c r="AB2542">
        <v>26.8</v>
      </c>
      <c r="AC2542">
        <v>11.725</v>
      </c>
      <c r="AD2542">
        <v>30.08</v>
      </c>
      <c r="AE2542" s="7"/>
      <c r="AF2542" s="7"/>
      <c r="AG2542" s="7"/>
      <c r="AH2542" s="7"/>
      <c r="AI2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0.27500000000000036</v>
      </c>
      <c r="AJ2542" s="7"/>
      <c r="AK2542" t="s">
        <v>1286</v>
      </c>
      <c r="AN2542">
        <f>IFERROR(INT(Table13[[#This Row],[reject_prod]]/Table13[[#This Row],[part_weight]] * 1000), 0)</f>
        <v>178</v>
      </c>
    </row>
    <row r="2543" spans="1:40">
      <c r="A2543" s="1">
        <v>46097</v>
      </c>
      <c r="B2543">
        <v>2</v>
      </c>
      <c r="C2543">
        <v>15</v>
      </c>
      <c r="D2543" t="s">
        <v>59</v>
      </c>
      <c r="E2543" t="s">
        <v>46</v>
      </c>
      <c r="F2543">
        <v>552181</v>
      </c>
      <c r="G2543" s="6">
        <v>2</v>
      </c>
      <c r="H2543" t="s">
        <v>49</v>
      </c>
      <c r="I2543">
        <v>10689122</v>
      </c>
      <c r="J2543">
        <v>6</v>
      </c>
      <c r="K2543">
        <v>14.7</v>
      </c>
      <c r="L2543">
        <v>14.7</v>
      </c>
      <c r="M2543">
        <v>1433</v>
      </c>
      <c r="N2543" s="2">
        <v>108000</v>
      </c>
      <c r="O2543" s="2">
        <v>4050</v>
      </c>
      <c r="P2543" s="2">
        <v>1890</v>
      </c>
      <c r="Q2543" s="2">
        <v>8598</v>
      </c>
      <c r="R2543" s="2">
        <v>10800</v>
      </c>
      <c r="S2543">
        <v>158.76</v>
      </c>
      <c r="T2543" s="2">
        <v>104490</v>
      </c>
      <c r="U2543" s="2">
        <v>3510</v>
      </c>
      <c r="V2543">
        <v>126.39060000000001</v>
      </c>
      <c r="W2543">
        <v>0</v>
      </c>
      <c r="X2543">
        <v>0</v>
      </c>
      <c r="Y2543">
        <v>0</v>
      </c>
      <c r="Z2543">
        <v>1</v>
      </c>
      <c r="AA2543">
        <v>7.9119810000000002E-3</v>
      </c>
      <c r="AB2543">
        <v>30.5</v>
      </c>
      <c r="AC2543">
        <v>12</v>
      </c>
      <c r="AD2543">
        <v>27</v>
      </c>
      <c r="AE2543" s="7"/>
      <c r="AF2543" s="7"/>
      <c r="AG2543" s="7"/>
      <c r="AH2543" s="7"/>
      <c r="AI2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43" s="7"/>
      <c r="AK2543" t="s">
        <v>51</v>
      </c>
      <c r="AN2543">
        <f>IFERROR(INT(Table13[[#This Row],[reject_prod]]/Table13[[#This Row],[part_weight]] * 1000), 0)</f>
        <v>68</v>
      </c>
    </row>
    <row r="2544" spans="1:40">
      <c r="A2544" s="1">
        <v>46097</v>
      </c>
      <c r="B2544">
        <v>2</v>
      </c>
      <c r="C2544">
        <v>16</v>
      </c>
      <c r="D2544" t="s">
        <v>117</v>
      </c>
      <c r="E2544" t="s">
        <v>46</v>
      </c>
      <c r="F2544">
        <v>555979</v>
      </c>
      <c r="G2544" s="6">
        <v>2</v>
      </c>
      <c r="H2544" t="s">
        <v>52</v>
      </c>
      <c r="I2544">
        <v>10689125</v>
      </c>
      <c r="J2544">
        <v>6</v>
      </c>
      <c r="K2544">
        <v>28</v>
      </c>
      <c r="L2544">
        <v>28</v>
      </c>
      <c r="M2544">
        <v>1050</v>
      </c>
      <c r="N2544" s="2">
        <v>100800</v>
      </c>
      <c r="O2544" s="2">
        <v>1680</v>
      </c>
      <c r="P2544" s="2">
        <v>1176</v>
      </c>
      <c r="Q2544" s="2">
        <v>6300</v>
      </c>
      <c r="R2544" s="2">
        <v>6720</v>
      </c>
      <c r="S2544">
        <v>188.16</v>
      </c>
      <c r="T2544" s="2">
        <v>14616</v>
      </c>
      <c r="U2544" s="2">
        <v>86184</v>
      </c>
      <c r="V2544">
        <v>176.4</v>
      </c>
      <c r="W2544">
        <v>0</v>
      </c>
      <c r="X2544">
        <v>0</v>
      </c>
      <c r="Y2544">
        <v>0</v>
      </c>
      <c r="Z2544">
        <v>2</v>
      </c>
      <c r="AA2544">
        <v>1.1337867999999999E-2</v>
      </c>
      <c r="AB2544">
        <v>40.5</v>
      </c>
      <c r="AC2544">
        <v>11.8125</v>
      </c>
      <c r="AD2544">
        <v>42</v>
      </c>
      <c r="AE2544" s="7"/>
      <c r="AF2544" s="7"/>
      <c r="AG2544" s="7"/>
      <c r="AH2544" s="7"/>
      <c r="AI2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2544" s="7"/>
      <c r="AK2544" t="s">
        <v>51</v>
      </c>
      <c r="AN2544">
        <f>IFERROR(INT(Table13[[#This Row],[reject_prod]]/Table13[[#This Row],[part_weight]] * 1000), 0)</f>
        <v>71</v>
      </c>
    </row>
    <row r="2545" spans="1:40">
      <c r="A2545" s="1">
        <v>46098</v>
      </c>
      <c r="B2545">
        <v>1</v>
      </c>
      <c r="C2545">
        <v>1</v>
      </c>
      <c r="D2545" t="s">
        <v>33</v>
      </c>
      <c r="E2545" t="s">
        <v>34</v>
      </c>
      <c r="F2545">
        <v>504598</v>
      </c>
      <c r="G2545" s="6">
        <v>0</v>
      </c>
      <c r="H2545" t="s">
        <v>1027</v>
      </c>
      <c r="I2545">
        <v>10689498</v>
      </c>
      <c r="J2545">
        <v>4</v>
      </c>
      <c r="K2545">
        <v>30.2</v>
      </c>
      <c r="L2545">
        <v>28</v>
      </c>
      <c r="M2545">
        <v>0</v>
      </c>
      <c r="N2545" s="2">
        <v>10080</v>
      </c>
      <c r="O2545" s="2">
        <v>0</v>
      </c>
      <c r="P2545" s="2">
        <v>0</v>
      </c>
      <c r="Q2545" s="2">
        <v>0</v>
      </c>
      <c r="R2545" s="2">
        <v>0</v>
      </c>
      <c r="S2545">
        <v>0</v>
      </c>
      <c r="T2545" s="2">
        <v>0</v>
      </c>
      <c r="U2545" s="2">
        <v>10080</v>
      </c>
      <c r="V2545">
        <v>0</v>
      </c>
      <c r="W2545">
        <v>0</v>
      </c>
      <c r="X2545">
        <v>0</v>
      </c>
      <c r="Y2545" t="e">
        <v>#DIV/0!</v>
      </c>
      <c r="Z2545">
        <v>0</v>
      </c>
      <c r="AA2545" t="e">
        <v>#DIV/0!</v>
      </c>
      <c r="AB2545">
        <v>25.5</v>
      </c>
      <c r="AC2545">
        <v>0</v>
      </c>
      <c r="AD2545">
        <v>22.24</v>
      </c>
      <c r="AE2545" s="7"/>
      <c r="AF2545" s="7">
        <v>3.5</v>
      </c>
      <c r="AG2545" s="7"/>
      <c r="AH2545" s="7"/>
      <c r="AI2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545" s="7"/>
      <c r="AK2545" t="s">
        <v>1287</v>
      </c>
      <c r="AN2545">
        <f>IFERROR(INT(Table13[[#This Row],[reject_prod]]/Table13[[#This Row],[part_weight]] * 1000), 0)</f>
        <v>0</v>
      </c>
    </row>
    <row r="2546" spans="1:40">
      <c r="A2546" s="1">
        <v>46098</v>
      </c>
      <c r="B2546">
        <v>1</v>
      </c>
      <c r="C2546">
        <v>2</v>
      </c>
      <c r="D2546" t="s">
        <v>40</v>
      </c>
      <c r="E2546" t="s">
        <v>34</v>
      </c>
      <c r="F2546">
        <v>324163</v>
      </c>
      <c r="G2546" s="6">
        <v>0</v>
      </c>
      <c r="H2546" t="s">
        <v>672</v>
      </c>
      <c r="I2546">
        <v>10688495</v>
      </c>
      <c r="J2546">
        <v>4</v>
      </c>
      <c r="K2546">
        <v>24</v>
      </c>
      <c r="L2546">
        <v>23.5</v>
      </c>
      <c r="M2546">
        <v>1911</v>
      </c>
      <c r="N2546" s="2">
        <v>73152</v>
      </c>
      <c r="O2546" s="2">
        <v>0</v>
      </c>
      <c r="P2546" s="2">
        <v>3048</v>
      </c>
      <c r="Q2546" s="2">
        <v>7644</v>
      </c>
      <c r="R2546" s="2">
        <v>4572</v>
      </c>
      <c r="S2546">
        <v>107.44199999999999</v>
      </c>
      <c r="T2546" s="2">
        <v>57912</v>
      </c>
      <c r="U2546" s="2">
        <v>15240</v>
      </c>
      <c r="V2546">
        <v>179.63399999999999</v>
      </c>
      <c r="W2546">
        <v>0</v>
      </c>
      <c r="X2546">
        <v>0</v>
      </c>
      <c r="Y2546">
        <v>0</v>
      </c>
      <c r="Z2546">
        <v>0.5</v>
      </c>
      <c r="AA2546">
        <v>2.7834370000000002E-3</v>
      </c>
      <c r="AB2546">
        <v>22.3</v>
      </c>
      <c r="AC2546">
        <v>11.837583329999999</v>
      </c>
      <c r="AD2546">
        <v>22.5</v>
      </c>
      <c r="AE2546" s="7"/>
      <c r="AF2546" s="7"/>
      <c r="AG2546" s="7"/>
      <c r="AH2546" s="7"/>
      <c r="AI2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0.16241667000000071</v>
      </c>
      <c r="AJ2546" s="7"/>
      <c r="AK2546" t="s">
        <v>214</v>
      </c>
      <c r="AN2546">
        <f>IFERROR(INT(Table13[[#This Row],[reject_prod]]/Table13[[#This Row],[part_weight]] * 1000), 0)</f>
        <v>21</v>
      </c>
    </row>
    <row r="2547" spans="1:40">
      <c r="A2547" s="1">
        <v>46098</v>
      </c>
      <c r="B2547">
        <v>1</v>
      </c>
      <c r="C2547">
        <v>3</v>
      </c>
      <c r="D2547" t="s">
        <v>65</v>
      </c>
      <c r="E2547" t="s">
        <v>34</v>
      </c>
      <c r="F2547">
        <v>442034</v>
      </c>
      <c r="G2547" s="6">
        <v>0</v>
      </c>
      <c r="H2547" t="s">
        <v>37</v>
      </c>
      <c r="I2547">
        <v>10685635</v>
      </c>
      <c r="J2547">
        <v>4</v>
      </c>
      <c r="K2547">
        <v>23</v>
      </c>
      <c r="L2547">
        <v>23</v>
      </c>
      <c r="M2547">
        <v>1549</v>
      </c>
      <c r="N2547" s="2">
        <v>139776</v>
      </c>
      <c r="O2547" s="2">
        <v>1152</v>
      </c>
      <c r="P2547" s="2">
        <v>2304</v>
      </c>
      <c r="Q2547" s="2">
        <v>6196</v>
      </c>
      <c r="R2547" s="2">
        <v>4608</v>
      </c>
      <c r="S2547">
        <v>105.98399999999999</v>
      </c>
      <c r="T2547" s="2">
        <v>122112</v>
      </c>
      <c r="U2547" s="2">
        <v>17664</v>
      </c>
      <c r="V2547">
        <v>142.50800000000001</v>
      </c>
      <c r="W2547">
        <v>0</v>
      </c>
      <c r="Y2547">
        <v>0</v>
      </c>
      <c r="Z2547">
        <v>9.9</v>
      </c>
      <c r="AA2547">
        <v>6.9469784000000007E-2</v>
      </c>
      <c r="AB2547">
        <v>27.8</v>
      </c>
      <c r="AC2547">
        <v>11.96172222</v>
      </c>
      <c r="AD2547">
        <v>22</v>
      </c>
      <c r="AE2547" s="7"/>
      <c r="AF2547" s="7"/>
      <c r="AG2547" s="7"/>
      <c r="AH2547" s="7"/>
      <c r="AI2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3.8277779999999595E-2</v>
      </c>
      <c r="AJ2547" s="7"/>
      <c r="AK2547" t="s">
        <v>1288</v>
      </c>
      <c r="AN2547">
        <f>IFERROR(INT(Table13[[#This Row],[reject_prod]]/Table13[[#This Row],[part_weight]] * 1000), 0)</f>
        <v>430</v>
      </c>
    </row>
    <row r="2548" spans="1:40">
      <c r="A2548" s="1">
        <v>46098</v>
      </c>
      <c r="B2548">
        <v>1</v>
      </c>
      <c r="C2548">
        <v>4</v>
      </c>
      <c r="D2548" t="s">
        <v>141</v>
      </c>
      <c r="E2548" t="s">
        <v>34</v>
      </c>
      <c r="F2548">
        <v>400860</v>
      </c>
      <c r="G2548" s="6">
        <v>0</v>
      </c>
      <c r="H2548" t="s">
        <v>1254</v>
      </c>
      <c r="I2548">
        <v>10689109</v>
      </c>
      <c r="J2548">
        <v>4</v>
      </c>
      <c r="K2548">
        <v>29.27</v>
      </c>
      <c r="L2548">
        <v>29</v>
      </c>
      <c r="M2548">
        <v>1677</v>
      </c>
      <c r="N2548" s="2">
        <v>43092</v>
      </c>
      <c r="O2548" s="2">
        <v>171</v>
      </c>
      <c r="P2548" s="2">
        <v>2052</v>
      </c>
      <c r="Q2548" s="2">
        <v>6708</v>
      </c>
      <c r="R2548" s="2">
        <v>4788</v>
      </c>
      <c r="S2548">
        <v>138.852</v>
      </c>
      <c r="T2548" s="2">
        <v>40356</v>
      </c>
      <c r="U2548" s="2">
        <v>2736</v>
      </c>
      <c r="V2548">
        <v>194.53200000000001</v>
      </c>
      <c r="W2548">
        <v>0</v>
      </c>
      <c r="X2548">
        <v>0</v>
      </c>
      <c r="Y2548">
        <v>0</v>
      </c>
      <c r="Z2548">
        <v>1</v>
      </c>
      <c r="AA2548">
        <v>5.1405419999999997E-3</v>
      </c>
      <c r="AB2548">
        <v>25.2</v>
      </c>
      <c r="AC2548">
        <v>11.739000000000001</v>
      </c>
      <c r="AD2548">
        <v>22</v>
      </c>
      <c r="AE2548" s="7"/>
      <c r="AF2548" s="7"/>
      <c r="AG2548" s="7"/>
      <c r="AH2548" s="7"/>
      <c r="AI2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0.26099999999999923</v>
      </c>
      <c r="AJ2548" s="7"/>
      <c r="AK2548" t="s">
        <v>214</v>
      </c>
      <c r="AN2548">
        <f>IFERROR(INT(Table13[[#This Row],[reject_prod]]/Table13[[#This Row],[part_weight]] * 1000), 0)</f>
        <v>34</v>
      </c>
    </row>
    <row r="2549" spans="1:40">
      <c r="A2549" s="1">
        <v>46098</v>
      </c>
      <c r="B2549">
        <v>1</v>
      </c>
      <c r="C2549">
        <v>5</v>
      </c>
      <c r="D2549" t="s">
        <v>33</v>
      </c>
      <c r="E2549" t="s">
        <v>34</v>
      </c>
      <c r="F2549">
        <v>323111</v>
      </c>
      <c r="G2549" s="6">
        <v>0</v>
      </c>
      <c r="H2549" t="s">
        <v>1277</v>
      </c>
      <c r="I2549">
        <v>10689110</v>
      </c>
      <c r="J2549">
        <v>2</v>
      </c>
      <c r="K2549">
        <v>73.2</v>
      </c>
      <c r="L2549">
        <v>75</v>
      </c>
      <c r="M2549">
        <v>0</v>
      </c>
      <c r="N2549" s="2">
        <v>2760</v>
      </c>
      <c r="O2549" s="2">
        <v>0</v>
      </c>
      <c r="P2549" s="2">
        <v>0</v>
      </c>
      <c r="Q2549" s="2">
        <v>0</v>
      </c>
      <c r="R2549" s="2">
        <v>0</v>
      </c>
      <c r="S2549">
        <v>0</v>
      </c>
      <c r="T2549" s="2">
        <v>0</v>
      </c>
      <c r="U2549" s="2">
        <v>2760</v>
      </c>
      <c r="V2549">
        <v>0</v>
      </c>
      <c r="W2549">
        <v>0</v>
      </c>
      <c r="X2549">
        <v>0</v>
      </c>
      <c r="Y2549" t="e">
        <v>#DIV/0!</v>
      </c>
      <c r="Z2549">
        <v>0</v>
      </c>
      <c r="AA2549" t="e">
        <v>#DIV/0!</v>
      </c>
      <c r="AB2549">
        <v>33</v>
      </c>
      <c r="AC2549">
        <v>0</v>
      </c>
      <c r="AD2549">
        <v>33</v>
      </c>
      <c r="AE2549" s="7"/>
      <c r="AF2549" s="7"/>
      <c r="AG2549" s="7"/>
      <c r="AH2549" s="7"/>
      <c r="AI25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49" s="7"/>
      <c r="AK2549" t="s">
        <v>1289</v>
      </c>
      <c r="AL2549">
        <v>2</v>
      </c>
      <c r="AM2549">
        <v>4</v>
      </c>
      <c r="AN2549">
        <f>IFERROR(INT(Table13[[#This Row],[reject_prod]]/Table13[[#This Row],[part_weight]] * 1000), 0)</f>
        <v>0</v>
      </c>
    </row>
    <row r="2550" spans="1:40">
      <c r="A2550" s="1">
        <v>46098</v>
      </c>
      <c r="B2550">
        <v>1</v>
      </c>
      <c r="C2550">
        <v>6</v>
      </c>
      <c r="D2550" t="s">
        <v>1290</v>
      </c>
      <c r="E2550" t="s">
        <v>34</v>
      </c>
      <c r="F2550">
        <v>322445</v>
      </c>
      <c r="G2550" s="6">
        <v>0</v>
      </c>
      <c r="H2550" t="s">
        <v>743</v>
      </c>
      <c r="I2550">
        <v>10689565</v>
      </c>
      <c r="J2550">
        <v>4</v>
      </c>
      <c r="K2550">
        <v>32.74</v>
      </c>
      <c r="L2550">
        <v>33</v>
      </c>
      <c r="M2550">
        <v>822</v>
      </c>
      <c r="N2550" s="2">
        <v>72000</v>
      </c>
      <c r="O2550" s="2">
        <v>360</v>
      </c>
      <c r="P2550" s="2">
        <v>0</v>
      </c>
      <c r="Q2550" s="2">
        <v>3288</v>
      </c>
      <c r="R2550" s="2">
        <v>3600</v>
      </c>
      <c r="S2550">
        <v>118.8</v>
      </c>
      <c r="T2550" s="2">
        <v>72000</v>
      </c>
      <c r="U2550" s="2">
        <v>0</v>
      </c>
      <c r="V2550">
        <v>108.504</v>
      </c>
      <c r="W2550">
        <v>0</v>
      </c>
      <c r="X2550">
        <v>0</v>
      </c>
      <c r="Y2550">
        <v>0</v>
      </c>
      <c r="Z2550">
        <v>1.5</v>
      </c>
      <c r="AA2550">
        <v>1.3824375E-2</v>
      </c>
      <c r="AB2550">
        <v>22</v>
      </c>
      <c r="AC2550">
        <v>5.0233333330000001</v>
      </c>
      <c r="AD2550">
        <v>22</v>
      </c>
      <c r="AE2550" s="7"/>
      <c r="AF2550" s="7"/>
      <c r="AG2550" s="7"/>
      <c r="AH2550" s="7"/>
      <c r="AI2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6.9766666669999999</v>
      </c>
      <c r="AJ2550" s="7"/>
      <c r="AK2550" t="s">
        <v>1291</v>
      </c>
      <c r="AN2550">
        <f>IFERROR(INT(Table13[[#This Row],[reject_prod]]/Table13[[#This Row],[part_weight]] * 1000), 0)</f>
        <v>45</v>
      </c>
    </row>
    <row r="2551" spans="1:40">
      <c r="A2551" s="1">
        <v>46098</v>
      </c>
      <c r="B2551">
        <v>1</v>
      </c>
      <c r="C2551">
        <v>6</v>
      </c>
      <c r="D2551" t="s">
        <v>33</v>
      </c>
      <c r="E2551" t="s">
        <v>34</v>
      </c>
      <c r="F2551">
        <v>322435</v>
      </c>
      <c r="G2551" s="6">
        <v>0</v>
      </c>
      <c r="H2551" t="s">
        <v>216</v>
      </c>
      <c r="I2551">
        <v>10680041</v>
      </c>
      <c r="J2551">
        <v>4</v>
      </c>
      <c r="K2551">
        <v>34.5</v>
      </c>
      <c r="L2551">
        <v>34.5</v>
      </c>
      <c r="M2551">
        <v>0</v>
      </c>
      <c r="N2551" s="2">
        <v>16380</v>
      </c>
      <c r="O2551" s="2">
        <v>0</v>
      </c>
      <c r="P2551" s="2">
        <v>0</v>
      </c>
      <c r="Q2551" s="2">
        <v>0</v>
      </c>
      <c r="R2551" s="2">
        <v>0</v>
      </c>
      <c r="S2551">
        <v>0</v>
      </c>
      <c r="T2551" s="2">
        <v>0</v>
      </c>
      <c r="U2551" s="2">
        <v>16380</v>
      </c>
      <c r="V2551">
        <v>0</v>
      </c>
      <c r="W2551">
        <v>0</v>
      </c>
      <c r="X2551">
        <v>19.100000000000001</v>
      </c>
      <c r="Y2551" t="e">
        <v>#DIV/0!</v>
      </c>
      <c r="Z2551">
        <v>0</v>
      </c>
      <c r="AA2551" t="e">
        <v>#DIV/0!</v>
      </c>
      <c r="AB2551">
        <v>22</v>
      </c>
      <c r="AC2551">
        <v>0</v>
      </c>
      <c r="AD2551">
        <v>22</v>
      </c>
      <c r="AE2551" s="7"/>
      <c r="AF2551" s="7"/>
      <c r="AG2551" s="7"/>
      <c r="AH2551" s="7"/>
      <c r="AI2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1" s="7"/>
      <c r="AK2551" t="s">
        <v>1292</v>
      </c>
      <c r="AL2551">
        <v>7</v>
      </c>
      <c r="AM2551">
        <v>10</v>
      </c>
      <c r="AN2551">
        <f>IFERROR(INT(Table13[[#This Row],[reject_prod]]/Table13[[#This Row],[part_weight]] * 1000), 0)</f>
        <v>0</v>
      </c>
    </row>
    <row r="2552" spans="1:40">
      <c r="A2552" s="1">
        <v>46098</v>
      </c>
      <c r="B2552">
        <v>1</v>
      </c>
      <c r="C2552">
        <v>7</v>
      </c>
      <c r="D2552" t="s">
        <v>33</v>
      </c>
      <c r="E2552" t="s">
        <v>34</v>
      </c>
      <c r="F2552">
        <v>324198</v>
      </c>
      <c r="G2552" s="6">
        <v>0</v>
      </c>
      <c r="H2552" t="s">
        <v>632</v>
      </c>
      <c r="I2552">
        <v>10685209</v>
      </c>
      <c r="J2552">
        <v>4</v>
      </c>
      <c r="K2552">
        <v>20</v>
      </c>
      <c r="L2552">
        <v>20</v>
      </c>
      <c r="M2552">
        <v>0</v>
      </c>
      <c r="N2552" s="2">
        <v>25920</v>
      </c>
      <c r="O2552" s="2">
        <v>7200</v>
      </c>
      <c r="P2552" s="2">
        <v>7200</v>
      </c>
      <c r="Q2552" s="2">
        <v>0</v>
      </c>
      <c r="R2552" s="2">
        <v>0</v>
      </c>
      <c r="S2552">
        <v>0</v>
      </c>
      <c r="T2552" s="2">
        <v>24480</v>
      </c>
      <c r="U2552" s="2">
        <v>1440</v>
      </c>
      <c r="V2552">
        <v>0</v>
      </c>
      <c r="W2552">
        <v>0</v>
      </c>
      <c r="X2552">
        <v>15.7</v>
      </c>
      <c r="Y2552" t="e">
        <v>#DIV/0!</v>
      </c>
      <c r="Z2552">
        <v>0</v>
      </c>
      <c r="AA2552" t="e">
        <v>#DIV/0!</v>
      </c>
      <c r="AB2552">
        <v>21</v>
      </c>
      <c r="AC2552">
        <v>0</v>
      </c>
      <c r="AD2552">
        <v>19.5</v>
      </c>
      <c r="AE2552" s="7"/>
      <c r="AF2552" s="7"/>
      <c r="AG2552" s="7"/>
      <c r="AH2552" s="7"/>
      <c r="AI2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2" s="7"/>
      <c r="AK2552" t="s">
        <v>1293</v>
      </c>
      <c r="AL2552">
        <v>7</v>
      </c>
      <c r="AM2552">
        <v>9</v>
      </c>
      <c r="AN2552">
        <f>IFERROR(INT(Table13[[#This Row],[reject_prod]]/Table13[[#This Row],[part_weight]] * 1000), 0)</f>
        <v>0</v>
      </c>
    </row>
    <row r="2553" spans="1:40">
      <c r="A2553" s="1">
        <v>46098</v>
      </c>
      <c r="B2553">
        <v>1</v>
      </c>
      <c r="C2553">
        <v>8</v>
      </c>
      <c r="D2553" t="s">
        <v>1170</v>
      </c>
      <c r="E2553" t="s">
        <v>41</v>
      </c>
      <c r="F2553">
        <v>593537</v>
      </c>
      <c r="G2553" s="6">
        <v>0</v>
      </c>
      <c r="H2553" t="s">
        <v>48</v>
      </c>
      <c r="I2553">
        <v>10689826</v>
      </c>
      <c r="J2553">
        <v>4</v>
      </c>
      <c r="K2553">
        <v>56.5</v>
      </c>
      <c r="L2553">
        <v>56.8</v>
      </c>
      <c r="M2553">
        <v>1451</v>
      </c>
      <c r="N2553" s="2">
        <v>69000</v>
      </c>
      <c r="O2553" s="2">
        <v>0</v>
      </c>
      <c r="P2553" s="2">
        <v>0</v>
      </c>
      <c r="Q2553" s="2">
        <v>5804</v>
      </c>
      <c r="R2553" s="2">
        <v>5750</v>
      </c>
      <c r="S2553">
        <v>326.60000000000002</v>
      </c>
      <c r="T2553" s="2">
        <v>6325</v>
      </c>
      <c r="U2553" s="2">
        <v>62675</v>
      </c>
      <c r="V2553">
        <v>329.66719999999998</v>
      </c>
      <c r="W2553">
        <v>0</v>
      </c>
      <c r="X2553">
        <v>0</v>
      </c>
      <c r="Y2553">
        <v>0</v>
      </c>
      <c r="Z2553">
        <v>3</v>
      </c>
      <c r="AA2553">
        <v>9.1000860000000003E-3</v>
      </c>
      <c r="AB2553">
        <v>29.7</v>
      </c>
      <c r="AC2553">
        <v>11.970750000000001</v>
      </c>
      <c r="AD2553">
        <v>28.5</v>
      </c>
      <c r="AE2553" s="7"/>
      <c r="AF2553" s="7"/>
      <c r="AG2553" s="7"/>
      <c r="AH2553" s="7"/>
      <c r="AI2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2.9249999999999332E-2</v>
      </c>
      <c r="AJ2553" s="7"/>
      <c r="AK2553" t="s">
        <v>178</v>
      </c>
      <c r="AN2553">
        <f>IFERROR(INT(Table13[[#This Row],[reject_prod]]/Table13[[#This Row],[part_weight]] * 1000), 0)</f>
        <v>52</v>
      </c>
    </row>
    <row r="2554" spans="1:40">
      <c r="A2554" s="1">
        <v>46098</v>
      </c>
      <c r="B2554">
        <v>1</v>
      </c>
      <c r="C2554">
        <v>9</v>
      </c>
      <c r="D2554" t="s">
        <v>698</v>
      </c>
      <c r="E2554" t="s">
        <v>46</v>
      </c>
      <c r="F2554">
        <v>586276</v>
      </c>
      <c r="G2554" s="6">
        <v>1</v>
      </c>
      <c r="H2554" t="s">
        <v>47</v>
      </c>
      <c r="I2554">
        <v>10689111</v>
      </c>
      <c r="J2554">
        <v>6</v>
      </c>
      <c r="K2554">
        <v>12.3</v>
      </c>
      <c r="L2554">
        <v>12.3</v>
      </c>
      <c r="M2554">
        <v>1581</v>
      </c>
      <c r="N2554" s="2">
        <v>162000</v>
      </c>
      <c r="O2554" s="2">
        <v>4860</v>
      </c>
      <c r="P2554" s="2">
        <v>5670</v>
      </c>
      <c r="Q2554" s="2">
        <v>9486</v>
      </c>
      <c r="R2554" s="2">
        <v>8100</v>
      </c>
      <c r="S2554">
        <v>99.63</v>
      </c>
      <c r="T2554" s="2">
        <v>151470</v>
      </c>
      <c r="U2554" s="2">
        <v>10530</v>
      </c>
      <c r="V2554">
        <v>116.6778</v>
      </c>
      <c r="W2554">
        <v>0</v>
      </c>
      <c r="X2554">
        <v>0</v>
      </c>
      <c r="Y2554">
        <v>0</v>
      </c>
      <c r="Z2554">
        <v>1.5</v>
      </c>
      <c r="AA2554">
        <v>1.2855916E-2</v>
      </c>
      <c r="AB2554">
        <v>26.9</v>
      </c>
      <c r="AC2554">
        <v>11.81358333</v>
      </c>
      <c r="AD2554">
        <v>26</v>
      </c>
      <c r="AE2554" s="7"/>
      <c r="AF2554" s="7"/>
      <c r="AG2554" s="7"/>
      <c r="AH2554" s="7"/>
      <c r="AI2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0.18641666999999984</v>
      </c>
      <c r="AJ2554" s="7"/>
      <c r="AK2554" t="s">
        <v>480</v>
      </c>
      <c r="AN2554">
        <f>IFERROR(INT(Table13[[#This Row],[reject_prod]]/Table13[[#This Row],[part_weight]] * 1000), 0)</f>
        <v>121</v>
      </c>
    </row>
    <row r="2555" spans="1:40">
      <c r="A2555" s="1">
        <v>46098</v>
      </c>
      <c r="B2555">
        <v>1</v>
      </c>
      <c r="C2555">
        <v>10</v>
      </c>
      <c r="D2555" t="s">
        <v>33</v>
      </c>
      <c r="E2555" t="s">
        <v>34</v>
      </c>
      <c r="F2555">
        <v>414439</v>
      </c>
      <c r="G2555" s="6">
        <v>0</v>
      </c>
      <c r="H2555" t="s">
        <v>587</v>
      </c>
      <c r="I2555">
        <v>10688521</v>
      </c>
      <c r="J2555">
        <v>6</v>
      </c>
      <c r="K2555">
        <v>57</v>
      </c>
      <c r="L2555">
        <v>15</v>
      </c>
      <c r="M2555">
        <v>0</v>
      </c>
      <c r="N2555" s="2">
        <v>206976</v>
      </c>
      <c r="O2555" s="2">
        <v>1232</v>
      </c>
      <c r="P2555" s="2">
        <v>1232</v>
      </c>
      <c r="Q2555" s="2">
        <v>0</v>
      </c>
      <c r="R2555" s="2">
        <v>0</v>
      </c>
      <c r="S2555">
        <v>0</v>
      </c>
      <c r="T2555" s="2">
        <v>0</v>
      </c>
      <c r="U2555" s="2">
        <v>206976</v>
      </c>
      <c r="V2555">
        <v>0</v>
      </c>
      <c r="W2555">
        <v>0</v>
      </c>
      <c r="X2555">
        <v>0</v>
      </c>
      <c r="Y2555" t="e">
        <v>#DIV/0!</v>
      </c>
      <c r="Z2555">
        <v>0</v>
      </c>
      <c r="AA2555" t="e">
        <v>#DIV/0!</v>
      </c>
      <c r="AB2555">
        <v>23.7</v>
      </c>
      <c r="AC2555">
        <v>0</v>
      </c>
      <c r="AD2555">
        <v>15</v>
      </c>
      <c r="AE2555" s="7"/>
      <c r="AF2555" s="7"/>
      <c r="AG2555" s="7"/>
      <c r="AH2555" s="7"/>
      <c r="AI2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5" s="7"/>
      <c r="AK2555" t="s">
        <v>1294</v>
      </c>
      <c r="AN2555">
        <f>IFERROR(INT(Table13[[#This Row],[reject_prod]]/Table13[[#This Row],[part_weight]] * 1000), 0)</f>
        <v>0</v>
      </c>
    </row>
    <row r="2556" spans="1:40">
      <c r="A2556" s="1">
        <v>46098</v>
      </c>
      <c r="B2556">
        <v>1</v>
      </c>
      <c r="C2556">
        <v>10</v>
      </c>
      <c r="D2556" t="s">
        <v>33</v>
      </c>
      <c r="E2556" t="s">
        <v>34</v>
      </c>
      <c r="F2556">
        <v>324638</v>
      </c>
      <c r="G2556" s="6">
        <v>0</v>
      </c>
      <c r="H2556" t="s">
        <v>687</v>
      </c>
      <c r="I2556">
        <v>10689561</v>
      </c>
      <c r="J2556">
        <v>4</v>
      </c>
      <c r="K2556">
        <v>77.5</v>
      </c>
      <c r="L2556">
        <v>77.5</v>
      </c>
      <c r="M2556">
        <v>0</v>
      </c>
      <c r="N2556" s="2">
        <v>33120</v>
      </c>
      <c r="O2556" s="2">
        <v>0</v>
      </c>
      <c r="P2556" s="2">
        <v>0</v>
      </c>
      <c r="Q2556" s="2">
        <v>0</v>
      </c>
      <c r="R2556" s="2">
        <v>0</v>
      </c>
      <c r="S2556">
        <v>0</v>
      </c>
      <c r="T2556" s="2">
        <v>0</v>
      </c>
      <c r="U2556" s="2">
        <v>33120</v>
      </c>
      <c r="V2556">
        <v>0</v>
      </c>
      <c r="W2556">
        <v>0</v>
      </c>
      <c r="X2556">
        <v>0</v>
      </c>
      <c r="Y2556" t="e">
        <v>#DIV/0!</v>
      </c>
      <c r="Z2556">
        <v>0</v>
      </c>
      <c r="AA2556" t="e">
        <v>#DIV/0!</v>
      </c>
      <c r="AB2556">
        <v>0</v>
      </c>
      <c r="AC2556">
        <v>0</v>
      </c>
      <c r="AD2556">
        <v>36</v>
      </c>
      <c r="AE2556" s="7">
        <v>3</v>
      </c>
      <c r="AF2556" s="7"/>
      <c r="AG2556" s="7"/>
      <c r="AH2556" s="7"/>
      <c r="AI2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556" s="7"/>
      <c r="AK2556" t="s">
        <v>655</v>
      </c>
      <c r="AN2556">
        <f>IFERROR(INT(Table13[[#This Row],[reject_prod]]/Table13[[#This Row],[part_weight]] * 1000), 0)</f>
        <v>0</v>
      </c>
    </row>
    <row r="2557" spans="1:40">
      <c r="A2557" s="1">
        <v>46098</v>
      </c>
      <c r="B2557">
        <v>1</v>
      </c>
      <c r="C2557">
        <v>11</v>
      </c>
      <c r="D2557" t="s">
        <v>112</v>
      </c>
      <c r="E2557" t="s">
        <v>46</v>
      </c>
      <c r="F2557">
        <v>552181</v>
      </c>
      <c r="G2557" s="6">
        <v>1</v>
      </c>
      <c r="H2557" t="s">
        <v>49</v>
      </c>
      <c r="I2557">
        <v>10688070</v>
      </c>
      <c r="J2557">
        <v>6</v>
      </c>
      <c r="K2557">
        <v>14.7</v>
      </c>
      <c r="L2557">
        <v>14.7</v>
      </c>
      <c r="M2557">
        <v>1449</v>
      </c>
      <c r="N2557" s="2">
        <v>108000</v>
      </c>
      <c r="O2557" s="2">
        <v>810</v>
      </c>
      <c r="P2557" s="2">
        <v>4050</v>
      </c>
      <c r="Q2557" s="2">
        <v>8694</v>
      </c>
      <c r="R2557" s="2">
        <v>5400</v>
      </c>
      <c r="S2557">
        <v>79.38</v>
      </c>
      <c r="T2557" s="2">
        <v>90450</v>
      </c>
      <c r="U2557" s="2">
        <v>17550</v>
      </c>
      <c r="V2557">
        <v>127.8018</v>
      </c>
      <c r="W2557">
        <v>0</v>
      </c>
      <c r="X2557">
        <v>0</v>
      </c>
      <c r="Y2557">
        <v>0</v>
      </c>
      <c r="Z2557">
        <v>1</v>
      </c>
      <c r="AA2557">
        <v>7.8246159999999995E-3</v>
      </c>
      <c r="AB2557">
        <v>29.2</v>
      </c>
      <c r="AC2557">
        <v>11.753</v>
      </c>
      <c r="AD2557">
        <v>27</v>
      </c>
      <c r="AE2557" s="7"/>
      <c r="AF2557" s="7"/>
      <c r="AG2557" s="7"/>
      <c r="AH2557" s="7"/>
      <c r="AI25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0.24699999999999989</v>
      </c>
      <c r="AJ2557" s="7"/>
      <c r="AK2557" t="s">
        <v>1280</v>
      </c>
      <c r="AN2557">
        <f>IFERROR(INT(Table13[[#This Row],[reject_prod]]/Table13[[#This Row],[part_weight]] * 1000), 0)</f>
        <v>68</v>
      </c>
    </row>
    <row r="2558" spans="1:40">
      <c r="A2558" s="1">
        <v>46098</v>
      </c>
      <c r="B2558">
        <v>1</v>
      </c>
      <c r="C2558">
        <v>12</v>
      </c>
      <c r="D2558" t="s">
        <v>33</v>
      </c>
      <c r="E2558" t="s">
        <v>46</v>
      </c>
      <c r="F2558">
        <v>555979</v>
      </c>
      <c r="G2558" s="6">
        <v>1</v>
      </c>
      <c r="H2558" t="s">
        <v>52</v>
      </c>
      <c r="I2558">
        <v>10689126</v>
      </c>
      <c r="J2558">
        <v>6</v>
      </c>
      <c r="K2558">
        <v>28</v>
      </c>
      <c r="L2558">
        <v>28</v>
      </c>
      <c r="M2558">
        <v>0</v>
      </c>
      <c r="N2558" s="2">
        <v>100800</v>
      </c>
      <c r="O2558" s="2">
        <v>0</v>
      </c>
      <c r="P2558" s="2">
        <v>0</v>
      </c>
      <c r="Q2558" s="2">
        <v>0</v>
      </c>
      <c r="R2558" s="2">
        <v>0</v>
      </c>
      <c r="S2558">
        <v>0</v>
      </c>
      <c r="T2558" s="2">
        <v>13440</v>
      </c>
      <c r="U2558" s="2">
        <v>87360</v>
      </c>
      <c r="V2558">
        <v>0</v>
      </c>
      <c r="W2558">
        <v>0</v>
      </c>
      <c r="X2558">
        <v>11.5</v>
      </c>
      <c r="Y2558" t="e">
        <v>#DIV/0!</v>
      </c>
      <c r="Z2558">
        <v>0</v>
      </c>
      <c r="AA2558" t="e">
        <v>#DIV/0!</v>
      </c>
      <c r="AB2558">
        <v>41.2</v>
      </c>
      <c r="AC2558">
        <v>0</v>
      </c>
      <c r="AD2558">
        <v>42</v>
      </c>
      <c r="AE2558" s="7"/>
      <c r="AF2558" s="7"/>
      <c r="AG2558" s="7"/>
      <c r="AH2558" s="7"/>
      <c r="AI2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8" s="7"/>
      <c r="AK2558" t="s">
        <v>1281</v>
      </c>
      <c r="AL2558">
        <v>3</v>
      </c>
      <c r="AM2558">
        <v>2</v>
      </c>
      <c r="AN2558">
        <f>IFERROR(INT(Table13[[#This Row],[reject_prod]]/Table13[[#This Row],[part_weight]] * 1000), 0)</f>
        <v>0</v>
      </c>
    </row>
    <row r="2559" spans="1:40">
      <c r="A2559" s="1">
        <v>46098</v>
      </c>
      <c r="B2559">
        <v>1</v>
      </c>
      <c r="C2559">
        <v>13</v>
      </c>
      <c r="D2559" t="s">
        <v>1295</v>
      </c>
      <c r="E2559" t="s">
        <v>46</v>
      </c>
      <c r="F2559">
        <v>586276</v>
      </c>
      <c r="G2559" s="6">
        <v>2</v>
      </c>
      <c r="H2559" t="s">
        <v>47</v>
      </c>
      <c r="I2559">
        <v>10689118</v>
      </c>
      <c r="J2559">
        <v>6</v>
      </c>
      <c r="K2559">
        <v>12.3</v>
      </c>
      <c r="L2559">
        <v>12.3</v>
      </c>
      <c r="M2559">
        <v>1590</v>
      </c>
      <c r="N2559" s="2">
        <v>162000</v>
      </c>
      <c r="O2559" s="2">
        <v>6480</v>
      </c>
      <c r="P2559" s="2">
        <v>7695</v>
      </c>
      <c r="Q2559" s="2">
        <v>9540</v>
      </c>
      <c r="R2559" s="2">
        <v>8100</v>
      </c>
      <c r="S2559">
        <v>99.63</v>
      </c>
      <c r="T2559" s="2">
        <v>121095</v>
      </c>
      <c r="U2559" s="2">
        <v>40905</v>
      </c>
      <c r="V2559">
        <v>117.342</v>
      </c>
      <c r="W2559">
        <v>0</v>
      </c>
      <c r="X2559">
        <v>0</v>
      </c>
      <c r="Y2559">
        <v>0</v>
      </c>
      <c r="Z2559">
        <v>2.5</v>
      </c>
      <c r="AA2559">
        <v>2.1305244000000001E-2</v>
      </c>
      <c r="AB2559">
        <v>26.2</v>
      </c>
      <c r="AC2559">
        <v>11.571666670000001</v>
      </c>
      <c r="AD2559">
        <v>26</v>
      </c>
      <c r="AE2559" s="7"/>
      <c r="AF2559" s="7"/>
      <c r="AG2559" s="7"/>
      <c r="AH2559" s="7"/>
      <c r="AI2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559" s="7"/>
      <c r="AK2559" t="s">
        <v>1280</v>
      </c>
      <c r="AN2559">
        <f>IFERROR(INT(Table13[[#This Row],[reject_prod]]/Table13[[#This Row],[part_weight]] * 1000), 0)</f>
        <v>203</v>
      </c>
    </row>
    <row r="2560" spans="1:40">
      <c r="A2560" s="1">
        <v>46098</v>
      </c>
      <c r="B2560">
        <v>1</v>
      </c>
      <c r="C2560">
        <v>14</v>
      </c>
      <c r="D2560" t="s">
        <v>67</v>
      </c>
      <c r="E2560" t="s">
        <v>34</v>
      </c>
      <c r="F2560">
        <v>541381</v>
      </c>
      <c r="G2560" s="6">
        <v>0</v>
      </c>
      <c r="H2560" t="s">
        <v>804</v>
      </c>
      <c r="I2560">
        <v>10689120</v>
      </c>
      <c r="J2560">
        <v>4</v>
      </c>
      <c r="K2560">
        <v>55</v>
      </c>
      <c r="L2560">
        <v>55</v>
      </c>
      <c r="M2560">
        <v>1587</v>
      </c>
      <c r="N2560" s="2">
        <v>84000</v>
      </c>
      <c r="O2560" s="2">
        <v>0</v>
      </c>
      <c r="P2560" s="2">
        <v>0</v>
      </c>
      <c r="Q2560" s="2">
        <v>6348</v>
      </c>
      <c r="R2560" s="2">
        <v>6300</v>
      </c>
      <c r="S2560">
        <v>346.5</v>
      </c>
      <c r="T2560" s="2">
        <v>35000</v>
      </c>
      <c r="U2560" s="2">
        <v>49000</v>
      </c>
      <c r="V2560">
        <v>349.14</v>
      </c>
      <c r="W2560">
        <v>0</v>
      </c>
      <c r="X2560">
        <v>0</v>
      </c>
      <c r="Y2560">
        <v>0</v>
      </c>
      <c r="Z2560">
        <v>2.7</v>
      </c>
      <c r="AA2560">
        <v>7.7332879999999996E-3</v>
      </c>
      <c r="AB2560">
        <v>26.8</v>
      </c>
      <c r="AC2560">
        <v>11.81433333</v>
      </c>
      <c r="AD2560">
        <v>30.08</v>
      </c>
      <c r="AE2560" s="7"/>
      <c r="AF2560" s="7"/>
      <c r="AG2560" s="7"/>
      <c r="AH2560" s="7"/>
      <c r="AI2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0.18566666999999981</v>
      </c>
      <c r="AJ2560" s="7"/>
      <c r="AK2560" t="s">
        <v>178</v>
      </c>
      <c r="AL2560">
        <v>3</v>
      </c>
      <c r="AN2560">
        <f>IFERROR(INT(Table13[[#This Row],[reject_prod]]/Table13[[#This Row],[part_weight]] * 1000), 0)</f>
        <v>49</v>
      </c>
    </row>
    <row r="2561" spans="1:40">
      <c r="A2561" s="1">
        <v>46098</v>
      </c>
      <c r="B2561">
        <v>1</v>
      </c>
      <c r="C2561">
        <v>15</v>
      </c>
      <c r="D2561" t="s">
        <v>112</v>
      </c>
      <c r="E2561" t="s">
        <v>46</v>
      </c>
      <c r="F2561">
        <v>552181</v>
      </c>
      <c r="G2561" s="6">
        <v>2</v>
      </c>
      <c r="H2561" t="s">
        <v>49</v>
      </c>
      <c r="I2561">
        <v>10689122</v>
      </c>
      <c r="J2561">
        <v>6</v>
      </c>
      <c r="K2561">
        <v>14.7</v>
      </c>
      <c r="L2561">
        <v>14.7</v>
      </c>
      <c r="M2561">
        <v>591</v>
      </c>
      <c r="N2561" s="2">
        <v>108000</v>
      </c>
      <c r="O2561" s="2">
        <v>1890</v>
      </c>
      <c r="P2561" s="2">
        <v>0</v>
      </c>
      <c r="Q2561" s="2">
        <v>3546</v>
      </c>
      <c r="R2561" s="2">
        <v>5400</v>
      </c>
      <c r="S2561">
        <v>79.38</v>
      </c>
      <c r="T2561" s="2">
        <v>108000</v>
      </c>
      <c r="U2561" s="2">
        <v>0</v>
      </c>
      <c r="V2561">
        <v>52.126199999999997</v>
      </c>
      <c r="W2561">
        <v>0</v>
      </c>
      <c r="X2561">
        <v>0</v>
      </c>
      <c r="Y2561">
        <v>0</v>
      </c>
      <c r="Z2561">
        <v>0.5</v>
      </c>
      <c r="AA2561">
        <v>9.5921050000000001E-3</v>
      </c>
      <c r="AB2561">
        <v>30.6</v>
      </c>
      <c r="AC2561">
        <v>5.0235000000000003</v>
      </c>
      <c r="AD2561">
        <v>27</v>
      </c>
      <c r="AE2561" s="7"/>
      <c r="AF2561" s="7"/>
      <c r="AG2561" s="7"/>
      <c r="AH2561" s="7"/>
      <c r="AI2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6.9764999999999997</v>
      </c>
      <c r="AJ2561" s="7"/>
      <c r="AK2561" t="s">
        <v>102</v>
      </c>
      <c r="AN2561">
        <f>IFERROR(INT(Table13[[#This Row],[reject_prod]]/Table13[[#This Row],[part_weight]] * 1000), 0)</f>
        <v>34</v>
      </c>
    </row>
    <row r="2562" spans="1:40">
      <c r="A2562" s="1">
        <v>46098</v>
      </c>
      <c r="B2562">
        <v>1</v>
      </c>
      <c r="C2562">
        <v>15</v>
      </c>
      <c r="D2562" t="s">
        <v>112</v>
      </c>
      <c r="E2562" t="s">
        <v>46</v>
      </c>
      <c r="F2562">
        <v>552181</v>
      </c>
      <c r="G2562" s="6">
        <v>2</v>
      </c>
      <c r="H2562" t="s">
        <v>49</v>
      </c>
      <c r="I2562">
        <v>10689123</v>
      </c>
      <c r="J2562">
        <v>6</v>
      </c>
      <c r="K2562">
        <v>14.7</v>
      </c>
      <c r="L2562">
        <v>14.7</v>
      </c>
      <c r="M2562">
        <v>765</v>
      </c>
      <c r="N2562" s="2">
        <v>108000</v>
      </c>
      <c r="O2562" s="2">
        <v>0</v>
      </c>
      <c r="P2562" s="2">
        <v>4590</v>
      </c>
      <c r="Q2562" s="2">
        <v>4590</v>
      </c>
      <c r="R2562" s="2">
        <v>0</v>
      </c>
      <c r="S2562">
        <v>0</v>
      </c>
      <c r="T2562" s="2">
        <v>4590</v>
      </c>
      <c r="U2562" s="2">
        <v>103410</v>
      </c>
      <c r="V2562">
        <v>67.472999999999999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30.6</v>
      </c>
      <c r="AC2562">
        <v>6.5025000000000004</v>
      </c>
      <c r="AD2562">
        <v>27</v>
      </c>
      <c r="AE2562" s="7"/>
      <c r="AF2562" s="7"/>
      <c r="AG2562" s="7"/>
      <c r="AH2562" s="7"/>
      <c r="AI2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5.4974999999999996</v>
      </c>
      <c r="AJ2562" s="7"/>
      <c r="AK2562" t="s">
        <v>406</v>
      </c>
      <c r="AN2562">
        <f>IFERROR(INT(Table13[[#This Row],[reject_prod]]/Table13[[#This Row],[part_weight]] * 1000), 0)</f>
        <v>0</v>
      </c>
    </row>
    <row r="2563" spans="1:40">
      <c r="A2563" s="1">
        <v>46098</v>
      </c>
      <c r="B2563">
        <v>1</v>
      </c>
      <c r="C2563">
        <v>16</v>
      </c>
      <c r="D2563" t="s">
        <v>61</v>
      </c>
      <c r="E2563" t="s">
        <v>46</v>
      </c>
      <c r="F2563">
        <v>555979</v>
      </c>
      <c r="G2563" s="6">
        <v>2</v>
      </c>
      <c r="H2563" t="s">
        <v>52</v>
      </c>
      <c r="I2563">
        <v>10689125</v>
      </c>
      <c r="J2563">
        <v>6</v>
      </c>
      <c r="K2563">
        <v>28</v>
      </c>
      <c r="L2563">
        <v>28</v>
      </c>
      <c r="M2563">
        <v>1042</v>
      </c>
      <c r="N2563" s="2">
        <v>100800</v>
      </c>
      <c r="O2563" s="2">
        <v>1176</v>
      </c>
      <c r="P2563" s="2">
        <v>672</v>
      </c>
      <c r="Q2563" s="2">
        <v>6252</v>
      </c>
      <c r="R2563" s="2">
        <v>6720</v>
      </c>
      <c r="S2563">
        <v>188.16</v>
      </c>
      <c r="T2563" s="2">
        <v>20832</v>
      </c>
      <c r="U2563" s="2">
        <v>79968</v>
      </c>
      <c r="V2563">
        <v>175.05600000000001</v>
      </c>
      <c r="W2563">
        <v>0</v>
      </c>
      <c r="X2563">
        <v>0</v>
      </c>
      <c r="Y2563">
        <v>0</v>
      </c>
      <c r="Z2563">
        <v>1</v>
      </c>
      <c r="AA2563">
        <v>5.7124580000000001E-3</v>
      </c>
      <c r="AB2563">
        <v>40.5</v>
      </c>
      <c r="AC2563">
        <v>11.7225</v>
      </c>
      <c r="AD2563">
        <v>42</v>
      </c>
      <c r="AE2563" s="7"/>
      <c r="AF2563" s="7"/>
      <c r="AG2563" s="7"/>
      <c r="AH2563" s="7"/>
      <c r="AI2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0.27749999999999986</v>
      </c>
      <c r="AJ2563" s="7"/>
      <c r="AK2563" t="s">
        <v>406</v>
      </c>
      <c r="AN2563">
        <f>IFERROR(INT(Table13[[#This Row],[reject_prod]]/Table13[[#This Row],[part_weight]] * 1000), 0)</f>
        <v>35</v>
      </c>
    </row>
    <row r="2564" spans="1:40">
      <c r="A2564" s="1">
        <v>46098</v>
      </c>
      <c r="B2564">
        <v>2</v>
      </c>
      <c r="C2564">
        <v>1</v>
      </c>
      <c r="D2564" t="s">
        <v>33</v>
      </c>
      <c r="E2564" t="s">
        <v>34</v>
      </c>
      <c r="F2564">
        <v>504598</v>
      </c>
      <c r="G2564" s="6">
        <v>0</v>
      </c>
      <c r="H2564" t="s">
        <v>1027</v>
      </c>
      <c r="I2564">
        <v>10689498</v>
      </c>
      <c r="J2564">
        <v>4</v>
      </c>
      <c r="K2564">
        <v>30.2</v>
      </c>
      <c r="L2564">
        <v>28</v>
      </c>
      <c r="M2564">
        <v>0</v>
      </c>
      <c r="N2564" s="2">
        <v>10080</v>
      </c>
      <c r="O2564" s="2">
        <v>0</v>
      </c>
      <c r="P2564" s="2">
        <v>0</v>
      </c>
      <c r="Q2564" s="2">
        <v>0</v>
      </c>
      <c r="R2564" s="2">
        <v>0</v>
      </c>
      <c r="S2564">
        <v>0</v>
      </c>
      <c r="T2564" s="2">
        <v>0</v>
      </c>
      <c r="U2564" s="2">
        <v>10080</v>
      </c>
      <c r="V2564">
        <v>0</v>
      </c>
      <c r="W2564">
        <v>0</v>
      </c>
      <c r="X2564">
        <v>4.5</v>
      </c>
      <c r="Y2564" t="e">
        <v>#DIV/0!</v>
      </c>
      <c r="Z2564">
        <v>0</v>
      </c>
      <c r="AA2564" t="e">
        <v>#DIV/0!</v>
      </c>
      <c r="AB2564">
        <v>25.5</v>
      </c>
      <c r="AC2564">
        <v>0</v>
      </c>
      <c r="AD2564">
        <v>22.24</v>
      </c>
      <c r="AE2564" s="7"/>
      <c r="AF2564" s="7"/>
      <c r="AG2564" s="7"/>
      <c r="AH2564" s="7"/>
      <c r="AI2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64" s="7"/>
      <c r="AK2564" t="s">
        <v>584</v>
      </c>
      <c r="AN2564">
        <f>IFERROR(INT(Table13[[#This Row],[reject_prod]]/Table13[[#This Row],[part_weight]] * 1000), 0)</f>
        <v>0</v>
      </c>
    </row>
    <row r="2565" spans="1:40">
      <c r="A2565" s="1">
        <v>46098</v>
      </c>
      <c r="B2565">
        <v>2</v>
      </c>
      <c r="C2565">
        <v>2</v>
      </c>
      <c r="D2565" t="s">
        <v>84</v>
      </c>
      <c r="E2565" t="s">
        <v>34</v>
      </c>
      <c r="F2565">
        <v>324163</v>
      </c>
      <c r="G2565" s="6">
        <v>0</v>
      </c>
      <c r="H2565" t="s">
        <v>672</v>
      </c>
      <c r="I2565">
        <v>10688495</v>
      </c>
      <c r="J2565">
        <v>4</v>
      </c>
      <c r="K2565">
        <v>24</v>
      </c>
      <c r="L2565">
        <v>23.5</v>
      </c>
      <c r="M2565">
        <v>1905</v>
      </c>
      <c r="N2565" s="2">
        <v>73152</v>
      </c>
      <c r="O2565" s="2">
        <v>3048</v>
      </c>
      <c r="P2565" s="2">
        <v>1524</v>
      </c>
      <c r="Q2565" s="2">
        <v>7620</v>
      </c>
      <c r="R2565" s="2">
        <v>9144</v>
      </c>
      <c r="S2565">
        <v>214.88399999999999</v>
      </c>
      <c r="T2565" s="2">
        <v>65532</v>
      </c>
      <c r="U2565" s="2">
        <v>7620</v>
      </c>
      <c r="V2565">
        <v>179.07</v>
      </c>
      <c r="W2565">
        <v>0</v>
      </c>
      <c r="X2565">
        <v>0</v>
      </c>
      <c r="Y2565">
        <v>0</v>
      </c>
      <c r="Z2565">
        <v>2</v>
      </c>
      <c r="AA2565">
        <v>1.1168816999999999E-2</v>
      </c>
      <c r="AB2565">
        <v>22.3</v>
      </c>
      <c r="AC2565">
        <v>11.800416670000001</v>
      </c>
      <c r="AD2565">
        <v>22.5</v>
      </c>
      <c r="AE2565" s="7"/>
      <c r="AF2565" s="7"/>
      <c r="AG2565" s="7"/>
      <c r="AH2565" s="7"/>
      <c r="AI25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0.19958332999999939</v>
      </c>
      <c r="AJ2565" s="7"/>
      <c r="AK2565" t="s">
        <v>1179</v>
      </c>
      <c r="AN2565">
        <f>IFERROR(INT(Table13[[#This Row],[reject_prod]]/Table13[[#This Row],[part_weight]] * 1000), 0)</f>
        <v>85</v>
      </c>
    </row>
    <row r="2566" spans="1:40">
      <c r="A2566" s="1">
        <v>46098</v>
      </c>
      <c r="B2566">
        <v>2</v>
      </c>
      <c r="C2566">
        <v>3</v>
      </c>
      <c r="D2566" t="s">
        <v>181</v>
      </c>
      <c r="E2566" t="s">
        <v>34</v>
      </c>
      <c r="F2566">
        <v>442034</v>
      </c>
      <c r="G2566" s="6">
        <v>0</v>
      </c>
      <c r="H2566" t="s">
        <v>37</v>
      </c>
      <c r="I2566">
        <v>10685635</v>
      </c>
      <c r="J2566">
        <v>4</v>
      </c>
      <c r="K2566">
        <v>23</v>
      </c>
      <c r="L2566">
        <v>23</v>
      </c>
      <c r="M2566">
        <v>1570</v>
      </c>
      <c r="N2566" s="2">
        <v>139776</v>
      </c>
      <c r="O2566" s="2">
        <v>2304</v>
      </c>
      <c r="P2566" s="2">
        <v>4000</v>
      </c>
      <c r="Q2566" s="2">
        <v>6280</v>
      </c>
      <c r="R2566" s="2">
        <v>4608</v>
      </c>
      <c r="S2566">
        <v>105.98399999999999</v>
      </c>
      <c r="T2566" s="2">
        <v>128416</v>
      </c>
      <c r="U2566" s="2">
        <v>11360</v>
      </c>
      <c r="V2566">
        <v>144.44</v>
      </c>
      <c r="W2566">
        <v>0</v>
      </c>
      <c r="X2566">
        <v>0</v>
      </c>
      <c r="Y2566">
        <v>0</v>
      </c>
      <c r="Z2566">
        <v>5</v>
      </c>
      <c r="AA2566">
        <v>3.461645E-2</v>
      </c>
      <c r="AB2566">
        <v>27.8</v>
      </c>
      <c r="AC2566">
        <v>12</v>
      </c>
      <c r="AD2566">
        <v>22</v>
      </c>
      <c r="AE2566" s="7"/>
      <c r="AF2566" s="7"/>
      <c r="AG2566" s="7"/>
      <c r="AH2566" s="7"/>
      <c r="AI2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66" s="7"/>
      <c r="AK2566" t="s">
        <v>643</v>
      </c>
      <c r="AN2566">
        <f>IFERROR(INT(Table13[[#This Row],[reject_prod]]/Table13[[#This Row],[part_weight]] * 1000), 0)</f>
        <v>217</v>
      </c>
    </row>
    <row r="2567" spans="1:40">
      <c r="A2567" s="1">
        <v>46098</v>
      </c>
      <c r="B2567">
        <v>2</v>
      </c>
      <c r="C2567">
        <v>4</v>
      </c>
      <c r="D2567" t="s">
        <v>289</v>
      </c>
      <c r="E2567" t="s">
        <v>34</v>
      </c>
      <c r="F2567">
        <v>400860</v>
      </c>
      <c r="G2567" s="6">
        <v>0</v>
      </c>
      <c r="H2567" t="s">
        <v>1254</v>
      </c>
      <c r="I2567">
        <v>10689109</v>
      </c>
      <c r="J2567">
        <v>4</v>
      </c>
      <c r="K2567">
        <v>29.27</v>
      </c>
      <c r="L2567">
        <v>29</v>
      </c>
      <c r="M2567">
        <v>685</v>
      </c>
      <c r="N2567" s="2">
        <v>43092</v>
      </c>
      <c r="O2567" s="2">
        <v>2052</v>
      </c>
      <c r="P2567" s="2">
        <v>0</v>
      </c>
      <c r="Q2567" s="2">
        <v>2740</v>
      </c>
      <c r="R2567" s="2">
        <v>4788</v>
      </c>
      <c r="S2567">
        <v>138.852</v>
      </c>
      <c r="T2567" s="2">
        <v>43092</v>
      </c>
      <c r="U2567" s="2">
        <v>0</v>
      </c>
      <c r="V2567">
        <v>79.459999999999994</v>
      </c>
      <c r="W2567">
        <v>0</v>
      </c>
      <c r="X2567">
        <v>0</v>
      </c>
      <c r="Y2567">
        <v>0</v>
      </c>
      <c r="Z2567">
        <v>0.6</v>
      </c>
      <c r="AA2567">
        <v>7.5509690000000003E-3</v>
      </c>
      <c r="AB2567">
        <v>25.2</v>
      </c>
      <c r="AC2567">
        <v>4.7949999999999999</v>
      </c>
      <c r="AD2567">
        <v>22</v>
      </c>
      <c r="AE2567" s="7"/>
      <c r="AF2567" s="7"/>
      <c r="AG2567" s="7"/>
      <c r="AH2567" s="7"/>
      <c r="AI2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7.2050000000000001</v>
      </c>
      <c r="AJ2567" s="7"/>
      <c r="AK2567" t="s">
        <v>1296</v>
      </c>
      <c r="AN2567">
        <f>IFERROR(INT(Table13[[#This Row],[reject_prod]]/Table13[[#This Row],[part_weight]] * 1000), 0)</f>
        <v>20</v>
      </c>
    </row>
    <row r="2568" spans="1:40">
      <c r="A2568" s="1">
        <v>46098</v>
      </c>
      <c r="B2568">
        <v>2</v>
      </c>
      <c r="C2568">
        <v>4</v>
      </c>
      <c r="D2568" t="s">
        <v>289</v>
      </c>
      <c r="E2568" t="s">
        <v>34</v>
      </c>
      <c r="F2568">
        <v>451191</v>
      </c>
      <c r="G2568" s="6">
        <v>0</v>
      </c>
      <c r="H2568" t="s">
        <v>946</v>
      </c>
      <c r="I2568">
        <v>10690450</v>
      </c>
      <c r="J2568">
        <v>4</v>
      </c>
      <c r="K2568">
        <v>29</v>
      </c>
      <c r="L2568">
        <v>29</v>
      </c>
      <c r="M2568">
        <v>690</v>
      </c>
      <c r="N2568" s="2">
        <v>110160</v>
      </c>
      <c r="O2568" s="2">
        <v>0</v>
      </c>
      <c r="P2568" s="2">
        <v>0</v>
      </c>
      <c r="Q2568" s="2">
        <v>2760</v>
      </c>
      <c r="R2568" s="2">
        <v>2754</v>
      </c>
      <c r="S2568">
        <v>79.866</v>
      </c>
      <c r="T2568" s="2">
        <v>2754</v>
      </c>
      <c r="U2568" s="2">
        <v>107406</v>
      </c>
      <c r="V2568">
        <v>80.040000000000006</v>
      </c>
      <c r="W2568">
        <v>0</v>
      </c>
      <c r="X2568">
        <v>7</v>
      </c>
      <c r="Y2568">
        <v>8.7456272000000002E-2</v>
      </c>
      <c r="Z2568">
        <v>1</v>
      </c>
      <c r="AA2568">
        <v>1.2493753E-2</v>
      </c>
      <c r="AB2568">
        <v>25</v>
      </c>
      <c r="AC2568">
        <v>4.7916666670000003</v>
      </c>
      <c r="AD2568">
        <v>24</v>
      </c>
      <c r="AE2568" s="7"/>
      <c r="AF2568" s="7"/>
      <c r="AG2568" s="7">
        <v>1.5</v>
      </c>
      <c r="AH2568" s="7"/>
      <c r="AI2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5.7083333329999997</v>
      </c>
      <c r="AJ2568" s="7"/>
      <c r="AK2568" t="s">
        <v>1297</v>
      </c>
      <c r="AN2568">
        <f>IFERROR(INT(Table13[[#This Row],[reject_prod]]/Table13[[#This Row],[part_weight]] * 1000), 0)</f>
        <v>34</v>
      </c>
    </row>
    <row r="2569" spans="1:40">
      <c r="A2569" s="1">
        <v>46098</v>
      </c>
      <c r="B2569">
        <v>2</v>
      </c>
      <c r="C2569">
        <v>5</v>
      </c>
      <c r="D2569" t="s">
        <v>979</v>
      </c>
      <c r="E2569" t="s">
        <v>34</v>
      </c>
      <c r="F2569">
        <v>323111</v>
      </c>
      <c r="G2569" s="6">
        <v>0</v>
      </c>
      <c r="H2569" t="s">
        <v>1277</v>
      </c>
      <c r="I2569">
        <v>10689110</v>
      </c>
      <c r="J2569">
        <v>2</v>
      </c>
      <c r="K2569">
        <v>73.2</v>
      </c>
      <c r="L2569">
        <v>75</v>
      </c>
      <c r="M2569">
        <v>1120</v>
      </c>
      <c r="N2569" s="2">
        <v>2760</v>
      </c>
      <c r="O2569" s="2">
        <v>0</v>
      </c>
      <c r="P2569" s="2">
        <v>0</v>
      </c>
      <c r="Q2569" s="2">
        <v>2240</v>
      </c>
      <c r="R2569" s="2">
        <v>2208</v>
      </c>
      <c r="S2569">
        <v>165.6</v>
      </c>
      <c r="T2569" s="2">
        <v>2208</v>
      </c>
      <c r="U2569" s="2">
        <v>552</v>
      </c>
      <c r="V2569">
        <v>168</v>
      </c>
      <c r="W2569">
        <v>-4.032</v>
      </c>
      <c r="X2569">
        <v>0</v>
      </c>
      <c r="Y2569">
        <v>0</v>
      </c>
      <c r="Z2569">
        <v>1</v>
      </c>
      <c r="AA2569">
        <v>5.9523809999999996E-3</v>
      </c>
      <c r="AB2569">
        <v>35.39</v>
      </c>
      <c r="AC2569">
        <v>11.010222219999999</v>
      </c>
      <c r="AD2569">
        <v>33</v>
      </c>
      <c r="AE2569" s="7"/>
      <c r="AF2569" s="7"/>
      <c r="AG2569" s="7"/>
      <c r="AH2569" s="7"/>
      <c r="AI2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0.98977778000000072</v>
      </c>
      <c r="AJ2569" s="7"/>
      <c r="AK2569" t="s">
        <v>1289</v>
      </c>
      <c r="AN2569">
        <f>IFERROR(INT(Table13[[#This Row],[reject_prod]]/Table13[[#This Row],[part_weight]] * 1000), 0)</f>
        <v>13</v>
      </c>
    </row>
    <row r="2570" spans="1:40">
      <c r="A2570" s="1">
        <v>46098</v>
      </c>
      <c r="B2570">
        <v>2</v>
      </c>
      <c r="C2570">
        <v>6</v>
      </c>
      <c r="D2570" t="s">
        <v>33</v>
      </c>
      <c r="E2570" t="s">
        <v>34</v>
      </c>
      <c r="F2570">
        <v>322435</v>
      </c>
      <c r="G2570" s="6">
        <v>0</v>
      </c>
      <c r="H2570" t="s">
        <v>216</v>
      </c>
      <c r="I2570">
        <v>10680041</v>
      </c>
      <c r="J2570">
        <v>4</v>
      </c>
      <c r="K2570">
        <v>34.5</v>
      </c>
      <c r="L2570">
        <v>34.5</v>
      </c>
      <c r="M2570">
        <v>0</v>
      </c>
      <c r="N2570" s="2">
        <v>16380</v>
      </c>
      <c r="O2570" s="2">
        <v>0</v>
      </c>
      <c r="P2570" s="2">
        <v>0</v>
      </c>
      <c r="Q2570" s="2">
        <v>0</v>
      </c>
      <c r="R2570" s="2">
        <v>0</v>
      </c>
      <c r="S2570">
        <v>0</v>
      </c>
      <c r="T2570" s="2">
        <v>0</v>
      </c>
      <c r="U2570" s="2">
        <v>16380</v>
      </c>
      <c r="V2570">
        <v>0</v>
      </c>
      <c r="W2570">
        <v>0</v>
      </c>
      <c r="X2570">
        <v>0</v>
      </c>
      <c r="Y2570" t="e">
        <v>#DIV/0!</v>
      </c>
      <c r="Z2570">
        <v>0</v>
      </c>
      <c r="AA2570" t="e">
        <v>#DIV/0!</v>
      </c>
      <c r="AB2570">
        <v>24.55</v>
      </c>
      <c r="AC2570">
        <v>0</v>
      </c>
      <c r="AD2570">
        <v>22</v>
      </c>
      <c r="AE2570" s="7"/>
      <c r="AF2570" s="7"/>
      <c r="AG2570" s="7"/>
      <c r="AH2570" s="7"/>
      <c r="AI2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0" s="7"/>
      <c r="AK2570" t="s">
        <v>1292</v>
      </c>
      <c r="AN2570">
        <f>IFERROR(INT(Table13[[#This Row],[reject_prod]]/Table13[[#This Row],[part_weight]] * 1000), 0)</f>
        <v>0</v>
      </c>
    </row>
    <row r="2571" spans="1:40">
      <c r="A2571" s="1">
        <v>46098</v>
      </c>
      <c r="B2571">
        <v>2</v>
      </c>
      <c r="C2571">
        <v>7</v>
      </c>
      <c r="D2571" t="s">
        <v>33</v>
      </c>
      <c r="E2571" t="s">
        <v>34</v>
      </c>
      <c r="F2571">
        <v>324198</v>
      </c>
      <c r="G2571" s="6">
        <v>0</v>
      </c>
      <c r="H2571" t="s">
        <v>632</v>
      </c>
      <c r="I2571">
        <v>10685209</v>
      </c>
      <c r="J2571">
        <v>3</v>
      </c>
      <c r="K2571">
        <v>20</v>
      </c>
      <c r="L2571">
        <v>20</v>
      </c>
      <c r="M2571">
        <v>0</v>
      </c>
      <c r="N2571" s="2">
        <v>25920</v>
      </c>
      <c r="O2571" s="2">
        <v>7200</v>
      </c>
      <c r="P2571" s="2">
        <v>0</v>
      </c>
      <c r="Q2571" s="2">
        <v>0</v>
      </c>
      <c r="R2571" s="2">
        <v>0</v>
      </c>
      <c r="S2571">
        <v>0</v>
      </c>
      <c r="T2571" s="2">
        <v>16480</v>
      </c>
      <c r="U2571" s="2">
        <v>9440</v>
      </c>
      <c r="V2571">
        <v>0</v>
      </c>
      <c r="W2571">
        <v>0</v>
      </c>
      <c r="X2571">
        <v>0</v>
      </c>
      <c r="Y2571" t="e">
        <v>#DIV/0!</v>
      </c>
      <c r="Z2571">
        <v>0</v>
      </c>
      <c r="AA2571" t="e">
        <v>#DIV/0!</v>
      </c>
      <c r="AB2571">
        <v>20.2</v>
      </c>
      <c r="AC2571">
        <v>0</v>
      </c>
      <c r="AD2571">
        <v>19.5</v>
      </c>
      <c r="AE2571" s="7"/>
      <c r="AF2571" s="7"/>
      <c r="AG2571" s="7"/>
      <c r="AH2571" s="7"/>
      <c r="AI2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1" s="7"/>
      <c r="AK2571" t="s">
        <v>1293</v>
      </c>
      <c r="AN2571">
        <f>IFERROR(INT(Table13[[#This Row],[reject_prod]]/Table13[[#This Row],[part_weight]] * 1000), 0)</f>
        <v>0</v>
      </c>
    </row>
    <row r="2572" spans="1:40">
      <c r="A2572" s="1">
        <v>46098</v>
      </c>
      <c r="B2572">
        <v>2</v>
      </c>
      <c r="C2572">
        <v>8</v>
      </c>
      <c r="D2572" t="s">
        <v>391</v>
      </c>
      <c r="E2572" t="s">
        <v>41</v>
      </c>
      <c r="F2572">
        <v>593537</v>
      </c>
      <c r="G2572" s="6">
        <v>0</v>
      </c>
      <c r="H2572" t="s">
        <v>48</v>
      </c>
      <c r="I2572">
        <v>10689826</v>
      </c>
      <c r="J2572">
        <v>4</v>
      </c>
      <c r="K2572">
        <v>56.5</v>
      </c>
      <c r="L2572">
        <v>56.8</v>
      </c>
      <c r="M2572">
        <v>1440</v>
      </c>
      <c r="N2572" s="2">
        <v>69000</v>
      </c>
      <c r="O2572" s="2">
        <v>0</v>
      </c>
      <c r="P2572" s="2">
        <v>0</v>
      </c>
      <c r="Q2572" s="2">
        <v>5760</v>
      </c>
      <c r="R2572" s="2">
        <v>5750</v>
      </c>
      <c r="S2572">
        <v>326.60000000000002</v>
      </c>
      <c r="T2572" s="2">
        <v>12075</v>
      </c>
      <c r="U2572" s="2">
        <v>56925</v>
      </c>
      <c r="V2572">
        <v>327.16800000000001</v>
      </c>
      <c r="W2572">
        <v>0</v>
      </c>
      <c r="X2572">
        <v>0</v>
      </c>
      <c r="Y2572">
        <v>0</v>
      </c>
      <c r="Z2572">
        <v>4</v>
      </c>
      <c r="AA2572">
        <v>1.2226135000000001E-2</v>
      </c>
      <c r="AB2572">
        <v>29.7</v>
      </c>
      <c r="AC2572">
        <v>11.88</v>
      </c>
      <c r="AD2572">
        <v>28.5</v>
      </c>
      <c r="AE2572" s="7"/>
      <c r="AF2572" s="7"/>
      <c r="AG2572" s="7"/>
      <c r="AH2572" s="7"/>
      <c r="AI2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0.11999999999999922</v>
      </c>
      <c r="AJ2572" s="7"/>
      <c r="AK2572" t="s">
        <v>57</v>
      </c>
      <c r="AN2572">
        <f>IFERROR(INT(Table13[[#This Row],[reject_prod]]/Table13[[#This Row],[part_weight]] * 1000), 0)</f>
        <v>70</v>
      </c>
    </row>
    <row r="2573" spans="1:40">
      <c r="A2573" s="1">
        <v>46098</v>
      </c>
      <c r="B2573">
        <v>2</v>
      </c>
      <c r="C2573">
        <v>9</v>
      </c>
      <c r="D2573" t="s">
        <v>56</v>
      </c>
      <c r="E2573" t="s">
        <v>46</v>
      </c>
      <c r="F2573">
        <v>586276</v>
      </c>
      <c r="G2573" s="6">
        <v>1</v>
      </c>
      <c r="H2573" t="s">
        <v>47</v>
      </c>
      <c r="I2573">
        <v>10689111</v>
      </c>
      <c r="J2573">
        <v>6</v>
      </c>
      <c r="K2573">
        <v>12.3</v>
      </c>
      <c r="L2573">
        <v>12.3</v>
      </c>
      <c r="M2573">
        <v>1570</v>
      </c>
      <c r="N2573" s="2">
        <v>162000</v>
      </c>
      <c r="O2573" s="2">
        <v>5670</v>
      </c>
      <c r="P2573" s="2">
        <v>3240</v>
      </c>
      <c r="Q2573" s="2">
        <v>9420</v>
      </c>
      <c r="R2573" s="2">
        <v>8100</v>
      </c>
      <c r="S2573">
        <v>99.63</v>
      </c>
      <c r="T2573" s="2">
        <v>157140</v>
      </c>
      <c r="U2573" s="2">
        <v>4860</v>
      </c>
      <c r="V2573">
        <v>115.866</v>
      </c>
      <c r="W2573">
        <v>0</v>
      </c>
      <c r="X2573">
        <v>0</v>
      </c>
      <c r="Y2573">
        <v>0</v>
      </c>
      <c r="Z2573">
        <v>1.6</v>
      </c>
      <c r="AA2573">
        <v>1.3809055000000001E-2</v>
      </c>
      <c r="AB2573">
        <v>26.9</v>
      </c>
      <c r="AC2573">
        <v>11.73138889</v>
      </c>
      <c r="AD2573">
        <v>26</v>
      </c>
      <c r="AE2573" s="7"/>
      <c r="AF2573" s="7"/>
      <c r="AG2573" s="7"/>
      <c r="AH2573" s="7"/>
      <c r="AI25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0.26861111000000015</v>
      </c>
      <c r="AJ2573" s="7"/>
      <c r="AK2573" t="s">
        <v>51</v>
      </c>
      <c r="AN2573">
        <f>IFERROR(INT(Table13[[#This Row],[reject_prod]]/Table13[[#This Row],[part_weight]] * 1000), 0)</f>
        <v>130</v>
      </c>
    </row>
    <row r="2574" spans="1:40">
      <c r="A2574" s="1">
        <v>46098</v>
      </c>
      <c r="B2574">
        <v>2</v>
      </c>
      <c r="C2574">
        <v>10</v>
      </c>
      <c r="D2574" t="s">
        <v>33</v>
      </c>
      <c r="E2574" t="s">
        <v>34</v>
      </c>
      <c r="F2574">
        <v>324638</v>
      </c>
      <c r="G2574" s="6">
        <v>0</v>
      </c>
      <c r="H2574" t="s">
        <v>687</v>
      </c>
      <c r="I2574">
        <v>10689561</v>
      </c>
      <c r="J2574">
        <v>4</v>
      </c>
      <c r="K2574">
        <v>77.5</v>
      </c>
      <c r="L2574">
        <v>77.5</v>
      </c>
      <c r="M2574">
        <v>35</v>
      </c>
      <c r="N2574" s="2">
        <v>13248</v>
      </c>
      <c r="O2574" s="2">
        <v>0</v>
      </c>
      <c r="P2574" s="2">
        <v>138</v>
      </c>
      <c r="Q2574" s="2">
        <v>140</v>
      </c>
      <c r="R2574" s="2">
        <v>0</v>
      </c>
      <c r="S2574">
        <v>0</v>
      </c>
      <c r="T2574" s="2">
        <v>138</v>
      </c>
      <c r="U2574" s="2">
        <v>13110</v>
      </c>
      <c r="V2574">
        <v>10.85</v>
      </c>
      <c r="W2574">
        <v>0</v>
      </c>
      <c r="X2574">
        <v>8</v>
      </c>
      <c r="Y2574">
        <v>0.73732718900000005</v>
      </c>
      <c r="Z2574">
        <v>0.5</v>
      </c>
      <c r="AA2574">
        <v>4.6082948999999998E-2</v>
      </c>
      <c r="AB2574">
        <v>35</v>
      </c>
      <c r="AC2574">
        <v>0.34027777799999998</v>
      </c>
      <c r="AD2574">
        <v>36</v>
      </c>
      <c r="AE2574" s="7">
        <v>2.5</v>
      </c>
      <c r="AF2574" s="7"/>
      <c r="AG2574" s="7"/>
      <c r="AH2574" s="7">
        <v>4</v>
      </c>
      <c r="AI2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5.1597222219999992</v>
      </c>
      <c r="AJ2574" s="7"/>
      <c r="AK2574" t="s">
        <v>1298</v>
      </c>
      <c r="AN2574">
        <f>IFERROR(INT(Table13[[#This Row],[reject_prod]]/Table13[[#This Row],[part_weight]] * 1000), 0)</f>
        <v>6</v>
      </c>
    </row>
    <row r="2575" spans="1:40">
      <c r="A2575" s="1">
        <v>46098</v>
      </c>
      <c r="B2575">
        <v>2</v>
      </c>
      <c r="C2575">
        <v>11</v>
      </c>
      <c r="D2575" t="s">
        <v>208</v>
      </c>
      <c r="E2575" t="s">
        <v>46</v>
      </c>
      <c r="F2575">
        <v>552181</v>
      </c>
      <c r="G2575" s="6">
        <v>1</v>
      </c>
      <c r="H2575" t="s">
        <v>49</v>
      </c>
      <c r="I2575">
        <v>10688070</v>
      </c>
      <c r="J2575">
        <v>6</v>
      </c>
      <c r="K2575">
        <v>14.7</v>
      </c>
      <c r="L2575">
        <v>14.7</v>
      </c>
      <c r="M2575">
        <v>1440</v>
      </c>
      <c r="N2575" s="2">
        <v>108000</v>
      </c>
      <c r="O2575" s="2">
        <v>4050</v>
      </c>
      <c r="P2575" s="2">
        <v>1890</v>
      </c>
      <c r="Q2575" s="2">
        <v>8640</v>
      </c>
      <c r="R2575" s="2">
        <v>10800</v>
      </c>
      <c r="S2575">
        <v>158.76</v>
      </c>
      <c r="T2575" s="2">
        <v>99090</v>
      </c>
      <c r="U2575" s="2">
        <v>8910</v>
      </c>
      <c r="V2575">
        <v>127.008</v>
      </c>
      <c r="W2575">
        <v>0</v>
      </c>
      <c r="X2575">
        <v>0</v>
      </c>
      <c r="Y2575">
        <v>0</v>
      </c>
      <c r="Z2575">
        <v>1</v>
      </c>
      <c r="AA2575">
        <v>7.8735200000000002E-3</v>
      </c>
      <c r="AB2575">
        <v>29.2</v>
      </c>
      <c r="AC2575">
        <v>11.68</v>
      </c>
      <c r="AD2575">
        <v>27</v>
      </c>
      <c r="AE2575" s="7"/>
      <c r="AF2575" s="7"/>
      <c r="AG2575" s="7"/>
      <c r="AH2575" s="7"/>
      <c r="AI2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0.32000000000000028</v>
      </c>
      <c r="AJ2575" s="7"/>
      <c r="AK2575" t="s">
        <v>51</v>
      </c>
      <c r="AN2575">
        <f>IFERROR(INT(Table13[[#This Row],[reject_prod]]/Table13[[#This Row],[part_weight]] * 1000), 0)</f>
        <v>68</v>
      </c>
    </row>
    <row r="2576" spans="1:40">
      <c r="A2576" s="1">
        <v>46098</v>
      </c>
      <c r="B2576">
        <v>2</v>
      </c>
      <c r="C2576">
        <v>12</v>
      </c>
      <c r="D2576" t="s">
        <v>33</v>
      </c>
      <c r="E2576" t="s">
        <v>46</v>
      </c>
      <c r="F2576">
        <v>555979</v>
      </c>
      <c r="G2576" s="6">
        <v>1</v>
      </c>
      <c r="H2576" t="s">
        <v>52</v>
      </c>
      <c r="I2576">
        <v>10689126</v>
      </c>
      <c r="J2576">
        <v>6</v>
      </c>
      <c r="K2576">
        <v>28</v>
      </c>
      <c r="L2576">
        <v>28</v>
      </c>
      <c r="M2576">
        <v>0</v>
      </c>
      <c r="N2576" s="2">
        <v>100800</v>
      </c>
      <c r="O2576" s="2">
        <v>0</v>
      </c>
      <c r="P2576" s="2">
        <v>0</v>
      </c>
      <c r="Q2576" s="2">
        <v>0</v>
      </c>
      <c r="R2576" s="2">
        <v>0</v>
      </c>
      <c r="S2576">
        <v>0</v>
      </c>
      <c r="T2576" s="2">
        <v>13440</v>
      </c>
      <c r="U2576" s="2">
        <v>87360</v>
      </c>
      <c r="V2576">
        <v>0</v>
      </c>
      <c r="W2576">
        <v>0</v>
      </c>
      <c r="X2576">
        <v>0</v>
      </c>
      <c r="Y2576" t="e">
        <v>#DIV/0!</v>
      </c>
      <c r="Z2576">
        <v>0</v>
      </c>
      <c r="AA2576" t="e">
        <v>#DIV/0!</v>
      </c>
      <c r="AB2576">
        <v>41.2</v>
      </c>
      <c r="AC2576">
        <v>0</v>
      </c>
      <c r="AD2576">
        <v>42</v>
      </c>
      <c r="AE2576" s="7"/>
      <c r="AF2576" s="7"/>
      <c r="AG2576" s="7"/>
      <c r="AH2576" s="7"/>
      <c r="AI2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6" s="7"/>
      <c r="AK2576" t="s">
        <v>1281</v>
      </c>
      <c r="AN2576">
        <f>IFERROR(INT(Table13[[#This Row],[reject_prod]]/Table13[[#This Row],[part_weight]] * 1000), 0)</f>
        <v>0</v>
      </c>
    </row>
    <row r="2577" spans="1:40">
      <c r="A2577" s="1">
        <v>46098</v>
      </c>
      <c r="B2577">
        <v>2</v>
      </c>
      <c r="C2577">
        <v>13</v>
      </c>
      <c r="D2577" t="s">
        <v>1299</v>
      </c>
      <c r="E2577" t="s">
        <v>46</v>
      </c>
      <c r="F2577">
        <v>586276</v>
      </c>
      <c r="G2577" s="6">
        <v>2</v>
      </c>
      <c r="H2577" t="s">
        <v>47</v>
      </c>
      <c r="I2577">
        <v>10689118</v>
      </c>
      <c r="J2577">
        <v>6</v>
      </c>
      <c r="K2577">
        <v>12.3</v>
      </c>
      <c r="L2577">
        <v>12.3</v>
      </c>
      <c r="M2577">
        <v>1665</v>
      </c>
      <c r="N2577" s="2">
        <v>162000</v>
      </c>
      <c r="O2577" s="2">
        <v>7695</v>
      </c>
      <c r="P2577" s="2">
        <v>1620</v>
      </c>
      <c r="Q2577" s="2">
        <v>9990</v>
      </c>
      <c r="R2577" s="2">
        <v>16200</v>
      </c>
      <c r="S2577">
        <v>199.26</v>
      </c>
      <c r="T2577" s="2">
        <v>131220</v>
      </c>
      <c r="U2577" s="2">
        <v>30780</v>
      </c>
      <c r="V2577">
        <v>122.877</v>
      </c>
      <c r="W2577">
        <v>0</v>
      </c>
      <c r="X2577">
        <v>0</v>
      </c>
      <c r="Y2577">
        <v>0</v>
      </c>
      <c r="Z2577">
        <v>1.2</v>
      </c>
      <c r="AA2577">
        <v>9.7658629999999996E-3</v>
      </c>
      <c r="AB2577">
        <v>26.2</v>
      </c>
      <c r="AC2577">
        <v>12</v>
      </c>
      <c r="AD2577">
        <v>26</v>
      </c>
      <c r="AE2577" s="7"/>
      <c r="AF2577" s="7"/>
      <c r="AG2577" s="7"/>
      <c r="AH2577" s="7"/>
      <c r="AI2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77" s="7"/>
      <c r="AK2577" t="s">
        <v>51</v>
      </c>
      <c r="AN2577">
        <f>IFERROR(INT(Table13[[#This Row],[reject_prod]]/Table13[[#This Row],[part_weight]] * 1000), 0)</f>
        <v>97</v>
      </c>
    </row>
    <row r="2578" spans="1:40">
      <c r="A2578" s="1">
        <v>46098</v>
      </c>
      <c r="B2578">
        <v>2</v>
      </c>
      <c r="C2578">
        <v>14</v>
      </c>
      <c r="D2578" t="s">
        <v>54</v>
      </c>
      <c r="E2578" t="s">
        <v>34</v>
      </c>
      <c r="F2578">
        <v>541381</v>
      </c>
      <c r="G2578" s="6">
        <v>0</v>
      </c>
      <c r="H2578" t="s">
        <v>804</v>
      </c>
      <c r="I2578">
        <v>10689120</v>
      </c>
      <c r="J2578">
        <v>4</v>
      </c>
      <c r="K2578">
        <v>55</v>
      </c>
      <c r="L2578">
        <v>55</v>
      </c>
      <c r="M2578">
        <v>1585</v>
      </c>
      <c r="N2578" s="2">
        <v>84000</v>
      </c>
      <c r="O2578" s="2">
        <v>0</v>
      </c>
      <c r="P2578" s="2">
        <v>0</v>
      </c>
      <c r="Q2578" s="2">
        <v>6340</v>
      </c>
      <c r="R2578" s="2">
        <v>6300</v>
      </c>
      <c r="S2578">
        <v>346.5</v>
      </c>
      <c r="T2578" s="2">
        <v>42000</v>
      </c>
      <c r="U2578" s="2">
        <v>42000</v>
      </c>
      <c r="V2578">
        <v>348.7</v>
      </c>
      <c r="W2578">
        <v>0</v>
      </c>
      <c r="X2578">
        <v>0</v>
      </c>
      <c r="Y2578">
        <v>0</v>
      </c>
      <c r="Z2578">
        <v>1</v>
      </c>
      <c r="AA2578">
        <v>2.8677949999999998E-3</v>
      </c>
      <c r="AB2578">
        <v>26.8</v>
      </c>
      <c r="AC2578">
        <v>11.79944444</v>
      </c>
      <c r="AD2578">
        <v>30.08</v>
      </c>
      <c r="AE2578" s="7"/>
      <c r="AF2578" s="7"/>
      <c r="AG2578" s="7"/>
      <c r="AH2578" s="7"/>
      <c r="AI2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0.20055555999999974</v>
      </c>
      <c r="AJ2578" s="7"/>
      <c r="AK2578" t="s">
        <v>1286</v>
      </c>
      <c r="AN2578">
        <f>IFERROR(INT(Table13[[#This Row],[reject_prod]]/Table13[[#This Row],[part_weight]] * 1000), 0)</f>
        <v>18</v>
      </c>
    </row>
    <row r="2579" spans="1:40">
      <c r="A2579" s="1">
        <v>46098</v>
      </c>
      <c r="B2579">
        <v>2</v>
      </c>
      <c r="C2579">
        <v>15</v>
      </c>
      <c r="D2579" t="s">
        <v>208</v>
      </c>
      <c r="E2579" t="s">
        <v>46</v>
      </c>
      <c r="F2579">
        <v>552181</v>
      </c>
      <c r="G2579" s="6">
        <v>2</v>
      </c>
      <c r="H2579" t="s">
        <v>49</v>
      </c>
      <c r="I2579">
        <v>10689123</v>
      </c>
      <c r="J2579">
        <v>6</v>
      </c>
      <c r="K2579">
        <v>14.7</v>
      </c>
      <c r="L2579">
        <v>14.7</v>
      </c>
      <c r="M2579">
        <v>1380</v>
      </c>
      <c r="N2579" s="2">
        <v>108000</v>
      </c>
      <c r="O2579" s="2">
        <v>4590</v>
      </c>
      <c r="P2579" s="2">
        <v>1890</v>
      </c>
      <c r="Q2579" s="2">
        <v>8280</v>
      </c>
      <c r="R2579" s="2">
        <v>10800</v>
      </c>
      <c r="S2579">
        <v>158.76</v>
      </c>
      <c r="T2579" s="2">
        <v>12690</v>
      </c>
      <c r="U2579" s="2">
        <v>95310</v>
      </c>
      <c r="V2579">
        <v>121.71599999999999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30.5</v>
      </c>
      <c r="AC2579">
        <v>11.69166667</v>
      </c>
      <c r="AD2579">
        <v>27</v>
      </c>
      <c r="AE2579" s="7"/>
      <c r="AF2579" s="7"/>
      <c r="AG2579" s="7"/>
      <c r="AH2579" s="7"/>
      <c r="AI2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579" s="7"/>
      <c r="AK2579" t="s">
        <v>51</v>
      </c>
      <c r="AN2579">
        <f>IFERROR(INT(Table13[[#This Row],[reject_prod]]/Table13[[#This Row],[part_weight]] * 1000), 0)</f>
        <v>0</v>
      </c>
    </row>
    <row r="2580" spans="1:40">
      <c r="A2580" s="1">
        <v>46098</v>
      </c>
      <c r="B2580">
        <v>2</v>
      </c>
      <c r="C2580">
        <v>16</v>
      </c>
      <c r="D2580" t="s">
        <v>139</v>
      </c>
      <c r="E2580" t="s">
        <v>46</v>
      </c>
      <c r="F2580">
        <v>555979</v>
      </c>
      <c r="G2580" s="6">
        <v>2</v>
      </c>
      <c r="H2580" t="s">
        <v>52</v>
      </c>
      <c r="I2580">
        <v>10689125</v>
      </c>
      <c r="J2580">
        <v>6</v>
      </c>
      <c r="K2580">
        <v>28</v>
      </c>
      <c r="L2580">
        <v>28</v>
      </c>
      <c r="M2580">
        <v>1060</v>
      </c>
      <c r="N2580" s="2">
        <v>100800</v>
      </c>
      <c r="O2580" s="2">
        <v>672</v>
      </c>
      <c r="P2580" s="2">
        <v>3528</v>
      </c>
      <c r="Q2580" s="2">
        <v>6360</v>
      </c>
      <c r="R2580" s="2">
        <v>3360</v>
      </c>
      <c r="S2580">
        <v>94.08</v>
      </c>
      <c r="T2580" s="2">
        <v>27048</v>
      </c>
      <c r="U2580" s="2">
        <v>73752</v>
      </c>
      <c r="V2580">
        <v>178.08</v>
      </c>
      <c r="W2580">
        <v>0</v>
      </c>
      <c r="X2580">
        <v>0</v>
      </c>
      <c r="Y2580">
        <v>0</v>
      </c>
      <c r="Z2580">
        <v>2.2999999999999998</v>
      </c>
      <c r="AA2580">
        <v>1.2915543999999999E-2</v>
      </c>
      <c r="AB2580">
        <v>40.5</v>
      </c>
      <c r="AC2580">
        <v>11.925000000000001</v>
      </c>
      <c r="AD2580">
        <v>42</v>
      </c>
      <c r="AE2580" s="7"/>
      <c r="AF2580" s="7"/>
      <c r="AG2580" s="7"/>
      <c r="AH2580" s="7"/>
      <c r="AI2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580" s="7"/>
      <c r="AK2580" t="s">
        <v>51</v>
      </c>
      <c r="AN2580">
        <f>IFERROR(INT(Table13[[#This Row],[reject_prod]]/Table13[[#This Row],[part_weight]] * 1000), 0)</f>
        <v>82</v>
      </c>
    </row>
    <row r="2581" spans="1:40">
      <c r="A2581" s="1">
        <v>46099</v>
      </c>
      <c r="B2581">
        <v>1</v>
      </c>
      <c r="C2581">
        <v>1</v>
      </c>
      <c r="E2581" t="s">
        <v>34</v>
      </c>
      <c r="F2581">
        <v>504598</v>
      </c>
      <c r="G2581" s="6">
        <v>0</v>
      </c>
      <c r="H2581" t="s">
        <v>1027</v>
      </c>
      <c r="I2581">
        <v>10689498</v>
      </c>
      <c r="J2581">
        <v>4</v>
      </c>
      <c r="K2581">
        <v>30.2</v>
      </c>
      <c r="L2581">
        <v>28</v>
      </c>
      <c r="M2581">
        <v>0</v>
      </c>
      <c r="N2581" s="2">
        <v>10080</v>
      </c>
      <c r="O2581" s="2">
        <v>0</v>
      </c>
      <c r="P2581" s="2">
        <v>0</v>
      </c>
      <c r="Q2581" s="2">
        <v>0</v>
      </c>
      <c r="R2581" s="2">
        <v>0</v>
      </c>
      <c r="S2581">
        <v>0</v>
      </c>
      <c r="T2581" s="2">
        <v>0</v>
      </c>
      <c r="U2581" s="2">
        <v>10080</v>
      </c>
      <c r="V2581">
        <v>0</v>
      </c>
      <c r="W2581">
        <v>0</v>
      </c>
      <c r="X2581">
        <v>12.5</v>
      </c>
      <c r="Y2581" t="e">
        <v>#DIV/0!</v>
      </c>
      <c r="Z2581">
        <v>0</v>
      </c>
      <c r="AA2581" t="e">
        <v>#DIV/0!</v>
      </c>
      <c r="AB2581">
        <v>25.5</v>
      </c>
      <c r="AC2581">
        <v>0</v>
      </c>
      <c r="AD2581">
        <v>22.24</v>
      </c>
      <c r="AE2581" s="7"/>
      <c r="AF2581" s="7"/>
      <c r="AG2581" s="7"/>
      <c r="AH2581" s="7"/>
      <c r="AI25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1" s="7"/>
      <c r="AK2581" t="s">
        <v>1300</v>
      </c>
      <c r="AN2581">
        <f>IFERROR(INT(Table13[[#This Row],[reject_prod]]/Table13[[#This Row],[part_weight]] * 1000), 0)</f>
        <v>0</v>
      </c>
    </row>
    <row r="2582" spans="1:40">
      <c r="A2582" s="1">
        <v>46099</v>
      </c>
      <c r="B2582">
        <v>1</v>
      </c>
      <c r="C2582">
        <v>2</v>
      </c>
      <c r="D2582" t="s">
        <v>67</v>
      </c>
      <c r="E2582" t="s">
        <v>34</v>
      </c>
      <c r="F2582">
        <v>324163</v>
      </c>
      <c r="G2582" s="6">
        <v>0</v>
      </c>
      <c r="H2582" t="s">
        <v>672</v>
      </c>
      <c r="I2582">
        <v>10688495</v>
      </c>
      <c r="J2582">
        <v>4</v>
      </c>
      <c r="K2582">
        <v>24</v>
      </c>
      <c r="L2582">
        <v>23.5</v>
      </c>
      <c r="M2582">
        <v>1915</v>
      </c>
      <c r="N2582" s="2">
        <v>73152</v>
      </c>
      <c r="O2582" s="2">
        <v>1524</v>
      </c>
      <c r="P2582" s="2">
        <v>0</v>
      </c>
      <c r="Q2582" s="2">
        <v>7660</v>
      </c>
      <c r="R2582" s="2">
        <v>9144</v>
      </c>
      <c r="S2582">
        <v>214.88399999999999</v>
      </c>
      <c r="T2582" s="2">
        <v>73152</v>
      </c>
      <c r="U2582" s="2">
        <v>0</v>
      </c>
      <c r="V2582">
        <v>180.01</v>
      </c>
      <c r="W2582">
        <v>0</v>
      </c>
      <c r="X2582">
        <v>0</v>
      </c>
      <c r="Y2582">
        <v>0</v>
      </c>
      <c r="Z2582">
        <v>1.5</v>
      </c>
      <c r="AA2582">
        <v>8.3328699999999992E-3</v>
      </c>
      <c r="AB2582">
        <v>22.3</v>
      </c>
      <c r="AC2582">
        <v>11.86236111</v>
      </c>
      <c r="AD2582">
        <v>22.5</v>
      </c>
      <c r="AE2582" s="7"/>
      <c r="AF2582" s="7"/>
      <c r="AG2582" s="7"/>
      <c r="AH2582" s="7"/>
      <c r="AI2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0.13763888999999985</v>
      </c>
      <c r="AJ2582" s="7"/>
      <c r="AK2582" t="s">
        <v>1301</v>
      </c>
      <c r="AN2582">
        <f>IFERROR(INT(Table13[[#This Row],[reject_prod]]/Table13[[#This Row],[part_weight]] * 1000), 0)</f>
        <v>63</v>
      </c>
    </row>
    <row r="2583" spans="1:40">
      <c r="A2583" s="1">
        <v>46099</v>
      </c>
      <c r="B2583">
        <v>1</v>
      </c>
      <c r="C2583">
        <v>3</v>
      </c>
      <c r="D2583" t="s">
        <v>152</v>
      </c>
      <c r="E2583" t="s">
        <v>34</v>
      </c>
      <c r="F2583">
        <v>442034</v>
      </c>
      <c r="G2583" s="6">
        <v>0</v>
      </c>
      <c r="H2583" t="s">
        <v>37</v>
      </c>
      <c r="I2583">
        <v>10685635</v>
      </c>
      <c r="J2583">
        <v>4</v>
      </c>
      <c r="K2583">
        <v>23</v>
      </c>
      <c r="L2583">
        <v>23</v>
      </c>
      <c r="M2583">
        <v>1556</v>
      </c>
      <c r="N2583" s="2">
        <v>139776</v>
      </c>
      <c r="O2583" s="2">
        <v>4000</v>
      </c>
      <c r="P2583" s="2">
        <v>1536</v>
      </c>
      <c r="Q2583" s="2">
        <v>6224</v>
      </c>
      <c r="R2583" s="2">
        <v>9216</v>
      </c>
      <c r="S2583">
        <v>211.96799999999999</v>
      </c>
      <c r="T2583" s="2">
        <v>135168</v>
      </c>
      <c r="U2583" s="2">
        <v>4608</v>
      </c>
      <c r="V2583">
        <v>143.15199999999999</v>
      </c>
      <c r="W2583">
        <v>0</v>
      </c>
      <c r="Y2583">
        <v>0</v>
      </c>
      <c r="Z2583">
        <v>3.2</v>
      </c>
      <c r="AA2583">
        <v>2.2353861999999999E-2</v>
      </c>
      <c r="AB2583">
        <v>27.8</v>
      </c>
      <c r="AC2583">
        <v>12</v>
      </c>
      <c r="AD2583">
        <v>22</v>
      </c>
      <c r="AE2583" s="7"/>
      <c r="AF2583" s="7"/>
      <c r="AG2583" s="7"/>
      <c r="AH2583" s="7"/>
      <c r="AI2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83" s="7"/>
      <c r="AK2583" t="s">
        <v>168</v>
      </c>
      <c r="AN2583">
        <f>IFERROR(INT(Table13[[#This Row],[reject_prod]]/Table13[[#This Row],[part_weight]] * 1000), 0)</f>
        <v>139</v>
      </c>
    </row>
    <row r="2584" spans="1:40">
      <c r="A2584" s="1">
        <v>46099</v>
      </c>
      <c r="B2584">
        <v>1</v>
      </c>
      <c r="C2584">
        <v>4</v>
      </c>
      <c r="D2584" t="s">
        <v>40</v>
      </c>
      <c r="E2584" t="s">
        <v>34</v>
      </c>
      <c r="F2584">
        <v>451191</v>
      </c>
      <c r="G2584" s="6">
        <v>0</v>
      </c>
      <c r="H2584" t="s">
        <v>946</v>
      </c>
      <c r="I2584">
        <v>10690450</v>
      </c>
      <c r="J2584">
        <v>4</v>
      </c>
      <c r="K2584">
        <v>29</v>
      </c>
      <c r="L2584">
        <v>29</v>
      </c>
      <c r="M2584">
        <v>1671</v>
      </c>
      <c r="N2584" s="2">
        <v>110160</v>
      </c>
      <c r="O2584" s="2">
        <v>0</v>
      </c>
      <c r="P2584" s="2">
        <v>0</v>
      </c>
      <c r="Q2584" s="2">
        <v>6684</v>
      </c>
      <c r="R2584" s="2">
        <v>6426</v>
      </c>
      <c r="S2584">
        <v>186.35400000000001</v>
      </c>
      <c r="T2584" s="2">
        <v>9180</v>
      </c>
      <c r="U2584" s="2">
        <v>100980</v>
      </c>
      <c r="V2584">
        <v>193.83600000000001</v>
      </c>
      <c r="W2584">
        <v>0</v>
      </c>
      <c r="X2584">
        <v>0</v>
      </c>
      <c r="Y2584">
        <v>0</v>
      </c>
      <c r="Z2584">
        <v>4.3</v>
      </c>
      <c r="AA2584">
        <v>2.2183702E-2</v>
      </c>
      <c r="AB2584">
        <v>25.2</v>
      </c>
      <c r="AC2584">
        <v>11.696999999999999</v>
      </c>
      <c r="AD2584">
        <v>24</v>
      </c>
      <c r="AE2584" s="7"/>
      <c r="AF2584" s="7"/>
      <c r="AG2584" s="7"/>
      <c r="AH2584" s="7"/>
      <c r="AI2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0.30300000000000082</v>
      </c>
      <c r="AJ2584" s="7"/>
      <c r="AK2584" t="s">
        <v>1302</v>
      </c>
      <c r="AN2584">
        <f>IFERROR(INT(Table13[[#This Row],[reject_prod]]/Table13[[#This Row],[part_weight]] * 1000), 0)</f>
        <v>148</v>
      </c>
    </row>
    <row r="2585" spans="1:40">
      <c r="A2585" s="1">
        <v>46099</v>
      </c>
      <c r="B2585">
        <v>1</v>
      </c>
      <c r="C2585">
        <v>4</v>
      </c>
      <c r="D2585" t="s">
        <v>40</v>
      </c>
      <c r="E2585" t="s">
        <v>34</v>
      </c>
      <c r="F2585">
        <v>451191</v>
      </c>
      <c r="G2585" s="6">
        <v>0</v>
      </c>
      <c r="H2585" t="s">
        <v>946</v>
      </c>
      <c r="I2585" t="s">
        <v>1303</v>
      </c>
      <c r="J2585">
        <v>4</v>
      </c>
      <c r="K2585">
        <v>29</v>
      </c>
      <c r="L2585">
        <v>29</v>
      </c>
      <c r="M2585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11</v>
      </c>
      <c r="S2585">
        <v>0.31900000000000001</v>
      </c>
      <c r="T2585" s="2">
        <v>0</v>
      </c>
      <c r="U2585" s="2">
        <v>0</v>
      </c>
      <c r="V2585">
        <v>0</v>
      </c>
      <c r="W2585">
        <v>0</v>
      </c>
      <c r="X2585">
        <v>0</v>
      </c>
      <c r="Y2585" t="e">
        <v>#DIV/0!</v>
      </c>
      <c r="Z2585">
        <v>0</v>
      </c>
      <c r="AA2585" t="e">
        <v>#DIV/0!</v>
      </c>
      <c r="AB2585">
        <v>25.2</v>
      </c>
      <c r="AC2585">
        <v>0</v>
      </c>
      <c r="AD2585">
        <v>24</v>
      </c>
      <c r="AE2585" s="7"/>
      <c r="AF2585" s="7"/>
      <c r="AG2585" s="7"/>
      <c r="AH2585" s="7"/>
      <c r="AI2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5" s="7"/>
      <c r="AK2585" t="s">
        <v>1304</v>
      </c>
      <c r="AN2585">
        <f>IFERROR(INT(Table13[[#This Row],[reject_prod]]/Table13[[#This Row],[part_weight]] * 1000), 0)</f>
        <v>0</v>
      </c>
    </row>
    <row r="2586" spans="1:40">
      <c r="A2586" s="1">
        <v>46099</v>
      </c>
      <c r="B2586">
        <v>1</v>
      </c>
      <c r="C2586">
        <v>5</v>
      </c>
      <c r="D2586" t="s">
        <v>997</v>
      </c>
      <c r="E2586" t="s">
        <v>34</v>
      </c>
      <c r="F2586">
        <v>323111</v>
      </c>
      <c r="G2586" s="6">
        <v>0</v>
      </c>
      <c r="H2586" t="s">
        <v>1277</v>
      </c>
      <c r="I2586">
        <v>10689110</v>
      </c>
      <c r="J2586">
        <v>2</v>
      </c>
      <c r="K2586">
        <v>73.2</v>
      </c>
      <c r="L2586">
        <v>75</v>
      </c>
      <c r="M2586">
        <v>276</v>
      </c>
      <c r="N2586" s="2">
        <v>2760</v>
      </c>
      <c r="O2586" s="2">
        <v>0</v>
      </c>
      <c r="P2586" s="2">
        <v>0</v>
      </c>
      <c r="Q2586" s="2">
        <v>552</v>
      </c>
      <c r="R2586" s="2">
        <v>552</v>
      </c>
      <c r="S2586">
        <v>41.4</v>
      </c>
      <c r="T2586" s="2">
        <v>2760</v>
      </c>
      <c r="U2586" s="2">
        <v>0</v>
      </c>
      <c r="V2586">
        <v>41.4</v>
      </c>
      <c r="W2586">
        <v>-0.99360000000000004</v>
      </c>
      <c r="X2586">
        <v>0</v>
      </c>
      <c r="Y2586">
        <v>0</v>
      </c>
      <c r="Z2586">
        <v>0</v>
      </c>
      <c r="AA2586">
        <v>0</v>
      </c>
      <c r="AB2586">
        <v>33</v>
      </c>
      <c r="AC2586">
        <v>2.5299999999999998</v>
      </c>
      <c r="AD2586">
        <v>33</v>
      </c>
      <c r="AE2586" s="7"/>
      <c r="AF2586" s="7"/>
      <c r="AG2586" s="7"/>
      <c r="AH2586" s="7"/>
      <c r="AI2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9.4700000000000006</v>
      </c>
      <c r="AJ2586" s="7"/>
      <c r="AK2586" t="s">
        <v>1161</v>
      </c>
      <c r="AN2586">
        <f>IFERROR(INT(Table13[[#This Row],[reject_prod]]/Table13[[#This Row],[part_weight]] * 1000), 0)</f>
        <v>0</v>
      </c>
    </row>
    <row r="2587" spans="1:40">
      <c r="A2587" s="1">
        <v>46099</v>
      </c>
      <c r="B2587">
        <v>1</v>
      </c>
      <c r="C2587">
        <v>5</v>
      </c>
      <c r="D2587" t="s">
        <v>997</v>
      </c>
      <c r="E2587" t="s">
        <v>34</v>
      </c>
      <c r="F2587">
        <v>323111</v>
      </c>
      <c r="G2587" s="6">
        <v>0</v>
      </c>
      <c r="H2587" t="s">
        <v>1277</v>
      </c>
      <c r="I2587">
        <v>10690121</v>
      </c>
      <c r="J2587">
        <v>2</v>
      </c>
      <c r="K2587">
        <v>73.2</v>
      </c>
      <c r="L2587">
        <v>75</v>
      </c>
      <c r="M2587">
        <v>888</v>
      </c>
      <c r="N2587" s="2">
        <v>2760</v>
      </c>
      <c r="O2587" s="2">
        <v>0</v>
      </c>
      <c r="P2587" s="2">
        <v>0</v>
      </c>
      <c r="Q2587" s="2">
        <v>1776</v>
      </c>
      <c r="R2587" s="2">
        <v>1656</v>
      </c>
      <c r="S2587">
        <v>124.2</v>
      </c>
      <c r="T2587" s="2">
        <v>1656</v>
      </c>
      <c r="U2587" s="2">
        <v>1104</v>
      </c>
      <c r="V2587">
        <v>133.19999999999999</v>
      </c>
      <c r="W2587">
        <v>-3.1968000000000001</v>
      </c>
      <c r="X2587">
        <v>0</v>
      </c>
      <c r="Y2587">
        <v>0</v>
      </c>
      <c r="Z2587">
        <v>9</v>
      </c>
      <c r="AA2587">
        <v>6.7567567999999995E-2</v>
      </c>
      <c r="AB2587">
        <v>33</v>
      </c>
      <c r="AC2587">
        <v>8.14</v>
      </c>
      <c r="AD2587">
        <v>33</v>
      </c>
      <c r="AE2587" s="7"/>
      <c r="AF2587" s="7"/>
      <c r="AG2587" s="7"/>
      <c r="AH2587" s="7"/>
      <c r="AI2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3.8599999999999994</v>
      </c>
      <c r="AJ2587" s="7"/>
      <c r="AK2587" t="s">
        <v>1161</v>
      </c>
      <c r="AN2587">
        <f>IFERROR(INT(Table13[[#This Row],[reject_prod]]/Table13[[#This Row],[part_weight]] * 1000), 0)</f>
        <v>120</v>
      </c>
    </row>
    <row r="2588" spans="1:40">
      <c r="A2588" s="1">
        <v>46099</v>
      </c>
      <c r="B2588">
        <v>1</v>
      </c>
      <c r="C2588">
        <v>6</v>
      </c>
      <c r="E2588" t="s">
        <v>34</v>
      </c>
      <c r="F2588">
        <v>322435</v>
      </c>
      <c r="G2588" s="6">
        <v>0</v>
      </c>
      <c r="H2588" t="s">
        <v>216</v>
      </c>
      <c r="I2588">
        <v>10680041</v>
      </c>
      <c r="J2588">
        <v>4</v>
      </c>
      <c r="K2588">
        <v>34.5</v>
      </c>
      <c r="L2588">
        <v>34.5</v>
      </c>
      <c r="M2588">
        <v>0</v>
      </c>
      <c r="N2588" s="2">
        <v>16380</v>
      </c>
      <c r="O2588" s="2">
        <v>0</v>
      </c>
      <c r="P2588" s="2">
        <v>0</v>
      </c>
      <c r="Q2588" s="2">
        <v>0</v>
      </c>
      <c r="R2588" s="2">
        <v>0</v>
      </c>
      <c r="S2588">
        <v>0</v>
      </c>
      <c r="T2588" s="2">
        <v>0</v>
      </c>
      <c r="U2588" s="2">
        <v>16380</v>
      </c>
      <c r="V2588">
        <v>0</v>
      </c>
      <c r="W2588">
        <v>0</v>
      </c>
      <c r="X2588">
        <v>6.5</v>
      </c>
      <c r="Y2588" t="e">
        <v>#DIV/0!</v>
      </c>
      <c r="Z2588">
        <v>0</v>
      </c>
      <c r="AA2588" t="e">
        <v>#DIV/0!</v>
      </c>
      <c r="AB2588">
        <v>22</v>
      </c>
      <c r="AC2588">
        <v>0</v>
      </c>
      <c r="AD2588">
        <v>22</v>
      </c>
      <c r="AE2588" s="7"/>
      <c r="AF2588" s="7"/>
      <c r="AG2588" s="7"/>
      <c r="AH2588" s="7"/>
      <c r="AI2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8" s="7"/>
      <c r="AK2588" t="s">
        <v>1292</v>
      </c>
      <c r="AN2588">
        <f>IFERROR(INT(Table13[[#This Row],[reject_prod]]/Table13[[#This Row],[part_weight]] * 1000), 0)</f>
        <v>0</v>
      </c>
    </row>
    <row r="2589" spans="1:40">
      <c r="A2589" s="1">
        <v>46099</v>
      </c>
      <c r="B2589">
        <v>1</v>
      </c>
      <c r="C2589">
        <v>7</v>
      </c>
      <c r="D2589" t="s">
        <v>67</v>
      </c>
      <c r="E2589" t="s">
        <v>34</v>
      </c>
      <c r="F2589">
        <v>324198</v>
      </c>
      <c r="G2589" s="6">
        <v>0</v>
      </c>
      <c r="H2589" t="s">
        <v>632</v>
      </c>
      <c r="I2589">
        <v>10685209</v>
      </c>
      <c r="J2589">
        <v>4</v>
      </c>
      <c r="K2589">
        <v>20</v>
      </c>
      <c r="L2589">
        <v>20</v>
      </c>
      <c r="M2589">
        <v>375</v>
      </c>
      <c r="N2589" s="2">
        <v>25920</v>
      </c>
      <c r="O2589" s="2">
        <v>7200</v>
      </c>
      <c r="P2589" s="2">
        <v>0</v>
      </c>
      <c r="Q2589" s="2">
        <v>1500</v>
      </c>
      <c r="R2589" s="2">
        <v>8640</v>
      </c>
      <c r="S2589">
        <v>172.8</v>
      </c>
      <c r="T2589" s="2">
        <v>25920</v>
      </c>
      <c r="U2589" s="2">
        <v>0</v>
      </c>
      <c r="V2589">
        <v>30</v>
      </c>
      <c r="W2589">
        <v>0</v>
      </c>
      <c r="X2589">
        <v>0</v>
      </c>
      <c r="Y2589">
        <v>0</v>
      </c>
      <c r="Z2589">
        <v>1</v>
      </c>
      <c r="AA2589">
        <v>3.3333333E-2</v>
      </c>
      <c r="AB2589">
        <v>21</v>
      </c>
      <c r="AC2589">
        <v>2.1875</v>
      </c>
      <c r="AD2589">
        <v>19.5</v>
      </c>
      <c r="AE2589" s="7"/>
      <c r="AF2589" s="7"/>
      <c r="AG2589" s="7"/>
      <c r="AH2589" s="7"/>
      <c r="AI25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9.8125</v>
      </c>
      <c r="AJ2589" s="7"/>
      <c r="AK2589" t="s">
        <v>1305</v>
      </c>
      <c r="AN2589">
        <f>IFERROR(INT(Table13[[#This Row],[reject_prod]]/Table13[[#This Row],[part_weight]] * 1000), 0)</f>
        <v>50</v>
      </c>
    </row>
    <row r="2590" spans="1:40">
      <c r="A2590" s="1">
        <v>46099</v>
      </c>
      <c r="B2590">
        <v>1</v>
      </c>
      <c r="C2590">
        <v>8</v>
      </c>
      <c r="D2590" t="s">
        <v>1306</v>
      </c>
      <c r="E2590" t="s">
        <v>41</v>
      </c>
      <c r="F2590">
        <v>593537</v>
      </c>
      <c r="G2590" s="6">
        <v>0</v>
      </c>
      <c r="H2590" t="s">
        <v>48</v>
      </c>
      <c r="I2590">
        <v>10689826</v>
      </c>
      <c r="J2590">
        <v>4</v>
      </c>
      <c r="K2590">
        <v>56.5</v>
      </c>
      <c r="L2590">
        <v>56.8</v>
      </c>
      <c r="M2590">
        <v>1365</v>
      </c>
      <c r="N2590" s="2">
        <v>69000</v>
      </c>
      <c r="O2590" s="2">
        <v>0</v>
      </c>
      <c r="P2590" s="2">
        <v>0</v>
      </c>
      <c r="Q2590" s="2">
        <v>5460</v>
      </c>
      <c r="R2590" s="2">
        <v>5175</v>
      </c>
      <c r="S2590">
        <v>293.94</v>
      </c>
      <c r="T2590" s="2">
        <v>17250</v>
      </c>
      <c r="U2590" s="2">
        <v>51750</v>
      </c>
      <c r="V2590">
        <v>310.12799999999999</v>
      </c>
      <c r="W2590">
        <v>0</v>
      </c>
      <c r="X2590">
        <v>0</v>
      </c>
      <c r="Y2590">
        <v>0</v>
      </c>
      <c r="Z2590">
        <v>15</v>
      </c>
      <c r="AA2590">
        <v>4.8367126000000003E-2</v>
      </c>
      <c r="AB2590">
        <v>29.7</v>
      </c>
      <c r="AC2590">
        <v>11.26125</v>
      </c>
      <c r="AD2590">
        <v>28.5</v>
      </c>
      <c r="AE2590" s="7"/>
      <c r="AF2590" s="7"/>
      <c r="AG2590" s="7"/>
      <c r="AH2590" s="7"/>
      <c r="AI2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0.73874999999999957</v>
      </c>
      <c r="AJ2590" s="7"/>
      <c r="AK2590" t="s">
        <v>1307</v>
      </c>
      <c r="AN2590">
        <f>IFERROR(INT(Table13[[#This Row],[reject_prod]]/Table13[[#This Row],[part_weight]] * 1000), 0)</f>
        <v>264</v>
      </c>
    </row>
    <row r="2591" spans="1:40">
      <c r="A2591" s="1">
        <v>46099</v>
      </c>
      <c r="B2591">
        <v>1</v>
      </c>
      <c r="C2591">
        <v>9</v>
      </c>
      <c r="D2591" t="s">
        <v>1170</v>
      </c>
      <c r="E2591" t="s">
        <v>46</v>
      </c>
      <c r="F2591">
        <v>586276</v>
      </c>
      <c r="G2591" s="6">
        <v>1</v>
      </c>
      <c r="H2591" t="s">
        <v>47</v>
      </c>
      <c r="I2591">
        <v>10689111</v>
      </c>
      <c r="J2591">
        <v>6</v>
      </c>
      <c r="K2591">
        <v>12.3</v>
      </c>
      <c r="L2591">
        <v>12.3</v>
      </c>
      <c r="M2591">
        <v>1092</v>
      </c>
      <c r="N2591" s="2">
        <v>162000</v>
      </c>
      <c r="O2591" s="2">
        <v>3240</v>
      </c>
      <c r="P2591" s="2">
        <v>0</v>
      </c>
      <c r="Q2591" s="2">
        <v>6552</v>
      </c>
      <c r="R2591" s="2">
        <v>8100</v>
      </c>
      <c r="S2591">
        <v>99.63</v>
      </c>
      <c r="T2591" s="2">
        <v>162000</v>
      </c>
      <c r="U2591" s="2">
        <v>0</v>
      </c>
      <c r="V2591">
        <v>80.589600000000004</v>
      </c>
      <c r="W2591">
        <v>0</v>
      </c>
      <c r="X2591">
        <v>0</v>
      </c>
      <c r="Y2591">
        <v>0</v>
      </c>
      <c r="Z2591">
        <v>1.5</v>
      </c>
      <c r="AA2591">
        <v>1.8612823000000001E-2</v>
      </c>
      <c r="AB2591">
        <v>27.7</v>
      </c>
      <c r="AC2591">
        <v>8.4023333329999996</v>
      </c>
      <c r="AD2591">
        <v>26</v>
      </c>
      <c r="AE2591" s="7"/>
      <c r="AF2591" s="7"/>
      <c r="AG2591" s="7"/>
      <c r="AH2591" s="7"/>
      <c r="AI2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3.5976666670000004</v>
      </c>
      <c r="AJ2591" s="7"/>
      <c r="AK2591" t="s">
        <v>1308</v>
      </c>
      <c r="AN2591">
        <f>IFERROR(INT(Table13[[#This Row],[reject_prod]]/Table13[[#This Row],[part_weight]] * 1000), 0)</f>
        <v>121</v>
      </c>
    </row>
    <row r="2592" spans="1:40">
      <c r="A2592" s="1">
        <v>46099</v>
      </c>
      <c r="B2592">
        <v>1</v>
      </c>
      <c r="C2592">
        <v>9</v>
      </c>
      <c r="D2592" t="s">
        <v>1170</v>
      </c>
      <c r="E2592" t="s">
        <v>46</v>
      </c>
      <c r="F2592">
        <v>586276</v>
      </c>
      <c r="G2592" s="6">
        <v>1</v>
      </c>
      <c r="H2592" t="s">
        <v>47</v>
      </c>
      <c r="I2592">
        <v>10689111</v>
      </c>
      <c r="J2592">
        <v>6</v>
      </c>
      <c r="K2592">
        <v>12.3</v>
      </c>
      <c r="L2592">
        <v>12.3</v>
      </c>
      <c r="M2592">
        <v>473</v>
      </c>
      <c r="N2592" s="2">
        <v>162000</v>
      </c>
      <c r="O2592" s="2">
        <v>0</v>
      </c>
      <c r="P2592" s="2">
        <v>2835</v>
      </c>
      <c r="Q2592" s="2">
        <v>2838</v>
      </c>
      <c r="R2592" s="2">
        <v>0</v>
      </c>
      <c r="S2592">
        <v>0</v>
      </c>
      <c r="T2592" s="2">
        <v>2835</v>
      </c>
      <c r="U2592" s="2">
        <v>159165</v>
      </c>
      <c r="V2592">
        <v>34.907400000000003</v>
      </c>
      <c r="W2592">
        <v>0</v>
      </c>
      <c r="X2592">
        <v>0</v>
      </c>
      <c r="Y2592">
        <v>0</v>
      </c>
      <c r="Z2592">
        <v>1.5</v>
      </c>
      <c r="AA2592">
        <v>4.2970831000000001E-2</v>
      </c>
      <c r="AB2592">
        <v>27.7</v>
      </c>
      <c r="AC2592">
        <v>3.6394722220000002</v>
      </c>
      <c r="AD2592">
        <v>26</v>
      </c>
      <c r="AE2592" s="7"/>
      <c r="AF2592" s="7"/>
      <c r="AG2592" s="7"/>
      <c r="AH2592" s="7"/>
      <c r="AI2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8.3605277779999998</v>
      </c>
      <c r="AJ2592" s="7"/>
      <c r="AK2592" t="s">
        <v>51</v>
      </c>
      <c r="AN2592">
        <f>IFERROR(INT(Table13[[#This Row],[reject_prod]]/Table13[[#This Row],[part_weight]] * 1000), 0)</f>
        <v>121</v>
      </c>
    </row>
    <row r="2593" spans="1:40">
      <c r="A2593" s="1">
        <v>46099</v>
      </c>
      <c r="B2593">
        <v>1</v>
      </c>
      <c r="C2593">
        <v>10</v>
      </c>
      <c r="E2593" t="s">
        <v>34</v>
      </c>
      <c r="F2593">
        <v>324638</v>
      </c>
      <c r="G2593" s="6">
        <v>0</v>
      </c>
      <c r="H2593" t="s">
        <v>687</v>
      </c>
      <c r="I2593">
        <v>10689561</v>
      </c>
      <c r="J2593">
        <v>4</v>
      </c>
      <c r="K2593">
        <v>77.5</v>
      </c>
      <c r="L2593">
        <v>77.5</v>
      </c>
      <c r="M2593">
        <v>0</v>
      </c>
      <c r="N2593" s="2">
        <v>33120</v>
      </c>
      <c r="O2593" s="2">
        <v>1890</v>
      </c>
      <c r="P2593" s="2">
        <v>0</v>
      </c>
      <c r="Q2593" s="2">
        <v>0</v>
      </c>
      <c r="R2593" s="2">
        <v>0</v>
      </c>
      <c r="S2593">
        <v>0</v>
      </c>
      <c r="T2593" s="2">
        <v>0</v>
      </c>
      <c r="U2593" s="2">
        <v>33120</v>
      </c>
      <c r="V2593">
        <v>0</v>
      </c>
      <c r="W2593">
        <v>0</v>
      </c>
      <c r="X2593">
        <v>51</v>
      </c>
      <c r="Y2593" t="e">
        <v>#DIV/0!</v>
      </c>
      <c r="Z2593">
        <v>0</v>
      </c>
      <c r="AA2593" t="e">
        <v>#DIV/0!</v>
      </c>
      <c r="AB2593">
        <v>35</v>
      </c>
      <c r="AC2593">
        <v>0</v>
      </c>
      <c r="AD2593">
        <v>36</v>
      </c>
      <c r="AE2593" s="7"/>
      <c r="AF2593" s="7"/>
      <c r="AG2593" s="7"/>
      <c r="AH2593" s="7"/>
      <c r="AI2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93" s="7"/>
      <c r="AK2593" t="s">
        <v>1300</v>
      </c>
      <c r="AN2593">
        <f>IFERROR(INT(Table13[[#This Row],[reject_prod]]/Table13[[#This Row],[part_weight]] * 1000), 0)</f>
        <v>0</v>
      </c>
    </row>
    <row r="2594" spans="1:40">
      <c r="A2594" s="1">
        <v>46099</v>
      </c>
      <c r="B2594">
        <v>1</v>
      </c>
      <c r="C2594">
        <v>11</v>
      </c>
      <c r="D2594" t="s">
        <v>61</v>
      </c>
      <c r="E2594" t="s">
        <v>46</v>
      </c>
      <c r="F2594">
        <v>552181</v>
      </c>
      <c r="G2594" s="6">
        <v>1</v>
      </c>
      <c r="H2594" t="s">
        <v>49</v>
      </c>
      <c r="I2594">
        <v>10688070</v>
      </c>
      <c r="J2594">
        <v>6</v>
      </c>
      <c r="K2594">
        <v>14.7</v>
      </c>
      <c r="L2594">
        <v>14.7</v>
      </c>
      <c r="M2594">
        <v>1495</v>
      </c>
      <c r="N2594" s="2">
        <v>108000</v>
      </c>
      <c r="O2594" s="2">
        <v>1890</v>
      </c>
      <c r="P2594" s="2">
        <v>0</v>
      </c>
      <c r="Q2594" s="2">
        <v>8970</v>
      </c>
      <c r="R2594" s="2">
        <v>10800</v>
      </c>
      <c r="S2594">
        <v>158.76</v>
      </c>
      <c r="T2594" s="2">
        <v>108000</v>
      </c>
      <c r="U2594" s="2">
        <v>0</v>
      </c>
      <c r="V2594">
        <v>131.85900000000001</v>
      </c>
      <c r="W2594">
        <v>0</v>
      </c>
      <c r="X2594">
        <v>0</v>
      </c>
      <c r="Y2594">
        <v>0</v>
      </c>
      <c r="Z2594">
        <v>1.5</v>
      </c>
      <c r="AA2594">
        <v>1.1375788E-2</v>
      </c>
      <c r="AB2594">
        <v>29.2</v>
      </c>
      <c r="AC2594">
        <v>12</v>
      </c>
      <c r="AD2594">
        <v>27</v>
      </c>
      <c r="AE2594" s="7"/>
      <c r="AF2594" s="7"/>
      <c r="AG2594" s="7"/>
      <c r="AH2594" s="7"/>
      <c r="AI2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94" s="7"/>
      <c r="AK2594" t="s">
        <v>1308</v>
      </c>
      <c r="AN2594">
        <f>IFERROR(INT(Table13[[#This Row],[reject_prod]]/Table13[[#This Row],[part_weight]] * 1000), 0)</f>
        <v>102</v>
      </c>
    </row>
    <row r="2595" spans="1:40">
      <c r="A2595" s="1">
        <v>46099</v>
      </c>
      <c r="B2595">
        <v>1</v>
      </c>
      <c r="C2595">
        <v>12</v>
      </c>
      <c r="E2595" t="s">
        <v>46</v>
      </c>
      <c r="F2595">
        <v>555979</v>
      </c>
      <c r="G2595" s="6">
        <v>1</v>
      </c>
      <c r="H2595" t="s">
        <v>52</v>
      </c>
      <c r="I2595">
        <v>10689126</v>
      </c>
      <c r="J2595">
        <v>6</v>
      </c>
      <c r="K2595">
        <v>28</v>
      </c>
      <c r="L2595">
        <v>28</v>
      </c>
      <c r="M2595">
        <v>0</v>
      </c>
      <c r="N2595" s="2">
        <v>100800</v>
      </c>
      <c r="O2595" s="2">
        <v>0</v>
      </c>
      <c r="P2595" s="2">
        <v>0</v>
      </c>
      <c r="Q2595" s="2">
        <v>0</v>
      </c>
      <c r="R2595" s="2">
        <v>0</v>
      </c>
      <c r="S2595">
        <v>0</v>
      </c>
      <c r="T2595" s="2">
        <v>0</v>
      </c>
      <c r="U2595" s="2">
        <v>100800</v>
      </c>
      <c r="V2595">
        <v>0</v>
      </c>
      <c r="W2595">
        <v>0</v>
      </c>
      <c r="X2595">
        <v>6.5</v>
      </c>
      <c r="Y2595" t="e">
        <v>#DIV/0!</v>
      </c>
      <c r="Z2595">
        <v>0</v>
      </c>
      <c r="AA2595" t="e">
        <v>#DIV/0!</v>
      </c>
      <c r="AB2595">
        <v>41.2</v>
      </c>
      <c r="AC2595">
        <v>0</v>
      </c>
      <c r="AD2595">
        <v>42</v>
      </c>
      <c r="AE2595" s="7"/>
      <c r="AF2595" s="7"/>
      <c r="AG2595" s="7"/>
      <c r="AH2595" s="7"/>
      <c r="AI2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95" s="7"/>
      <c r="AK2595" t="s">
        <v>1281</v>
      </c>
      <c r="AN2595">
        <f>IFERROR(INT(Table13[[#This Row],[reject_prod]]/Table13[[#This Row],[part_weight]] * 1000), 0)</f>
        <v>0</v>
      </c>
    </row>
    <row r="2596" spans="1:40">
      <c r="A2596" s="1">
        <v>46099</v>
      </c>
      <c r="B2596">
        <v>1</v>
      </c>
      <c r="C2596">
        <v>13</v>
      </c>
      <c r="D2596" t="s">
        <v>1309</v>
      </c>
      <c r="E2596" t="s">
        <v>46</v>
      </c>
      <c r="F2596">
        <v>586276</v>
      </c>
      <c r="G2596" s="6">
        <v>2</v>
      </c>
      <c r="H2596" t="s">
        <v>47</v>
      </c>
      <c r="I2596">
        <v>10689118</v>
      </c>
      <c r="J2596">
        <v>6</v>
      </c>
      <c r="K2596">
        <v>12.3</v>
      </c>
      <c r="L2596">
        <v>12.3</v>
      </c>
      <c r="M2596">
        <v>1626</v>
      </c>
      <c r="N2596" s="2">
        <v>162000</v>
      </c>
      <c r="O2596" s="2">
        <v>1620</v>
      </c>
      <c r="P2596" s="2">
        <v>3240</v>
      </c>
      <c r="Q2596" s="2">
        <v>9756</v>
      </c>
      <c r="R2596" s="2">
        <v>8100</v>
      </c>
      <c r="S2596">
        <v>99.63</v>
      </c>
      <c r="T2596" s="2">
        <v>140940</v>
      </c>
      <c r="U2596" s="2">
        <v>21060</v>
      </c>
      <c r="V2596">
        <v>119.9988</v>
      </c>
      <c r="W2596">
        <v>0</v>
      </c>
      <c r="X2596">
        <v>0</v>
      </c>
      <c r="Y2596">
        <v>0</v>
      </c>
      <c r="Z2596">
        <v>1.5</v>
      </c>
      <c r="AA2596">
        <v>1.2500125000000001E-2</v>
      </c>
      <c r="AB2596">
        <v>26.2</v>
      </c>
      <c r="AC2596">
        <v>11.833666669999999</v>
      </c>
      <c r="AD2596">
        <v>26</v>
      </c>
      <c r="AE2596" s="7"/>
      <c r="AF2596" s="7"/>
      <c r="AG2596" s="7"/>
      <c r="AH2596" s="7"/>
      <c r="AI2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0.1663333300000005</v>
      </c>
      <c r="AJ2596" s="7"/>
      <c r="AK2596" t="s">
        <v>51</v>
      </c>
      <c r="AN2596">
        <f>IFERROR(INT(Table13[[#This Row],[reject_prod]]/Table13[[#This Row],[part_weight]] * 1000), 0)</f>
        <v>121</v>
      </c>
    </row>
    <row r="2597" spans="1:40">
      <c r="A2597" s="1">
        <v>46099</v>
      </c>
      <c r="B2597">
        <v>1</v>
      </c>
      <c r="C2597">
        <v>14</v>
      </c>
      <c r="D2597" t="s">
        <v>150</v>
      </c>
      <c r="E2597" t="s">
        <v>34</v>
      </c>
      <c r="F2597">
        <v>541381</v>
      </c>
      <c r="G2597" s="6">
        <v>0</v>
      </c>
      <c r="H2597" t="s">
        <v>804</v>
      </c>
      <c r="I2597">
        <v>10689120</v>
      </c>
      <c r="J2597">
        <v>4</v>
      </c>
      <c r="K2597">
        <v>55</v>
      </c>
      <c r="L2597">
        <v>55</v>
      </c>
      <c r="M2597">
        <v>1588</v>
      </c>
      <c r="N2597" s="2">
        <v>84000</v>
      </c>
      <c r="O2597" s="2">
        <v>0</v>
      </c>
      <c r="P2597" s="2">
        <v>0</v>
      </c>
      <c r="Q2597" s="2">
        <v>6352</v>
      </c>
      <c r="R2597" s="2">
        <v>6300</v>
      </c>
      <c r="S2597">
        <v>346.5</v>
      </c>
      <c r="T2597" s="2">
        <v>48300</v>
      </c>
      <c r="U2597" s="2">
        <v>35700</v>
      </c>
      <c r="V2597">
        <v>349.36</v>
      </c>
      <c r="W2597">
        <v>0</v>
      </c>
      <c r="X2597">
        <v>0</v>
      </c>
      <c r="Y2597">
        <v>0</v>
      </c>
      <c r="Z2597">
        <v>1.5</v>
      </c>
      <c r="AA2597">
        <v>4.2935650000000001E-3</v>
      </c>
      <c r="AB2597">
        <v>26.8</v>
      </c>
      <c r="AC2597">
        <v>11.82177778</v>
      </c>
      <c r="AD2597">
        <v>30.08</v>
      </c>
      <c r="AE2597" s="7"/>
      <c r="AF2597" s="7"/>
      <c r="AG2597" s="7"/>
      <c r="AH2597" s="7"/>
      <c r="AI2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2597" s="7"/>
      <c r="AK2597" t="s">
        <v>51</v>
      </c>
      <c r="AN2597">
        <f>IFERROR(INT(Table13[[#This Row],[reject_prod]]/Table13[[#This Row],[part_weight]] * 1000), 0)</f>
        <v>27</v>
      </c>
    </row>
    <row r="2598" spans="1:40">
      <c r="A2598" s="1">
        <v>46099</v>
      </c>
      <c r="B2598">
        <v>1</v>
      </c>
      <c r="C2598">
        <v>15</v>
      </c>
      <c r="D2598" t="s">
        <v>61</v>
      </c>
      <c r="E2598" t="s">
        <v>46</v>
      </c>
      <c r="F2598">
        <v>552181</v>
      </c>
      <c r="G2598" s="6">
        <v>2</v>
      </c>
      <c r="H2598" t="s">
        <v>49</v>
      </c>
      <c r="I2598">
        <v>10689123</v>
      </c>
      <c r="J2598">
        <v>6</v>
      </c>
      <c r="K2598">
        <v>14.7</v>
      </c>
      <c r="L2598">
        <v>14.7</v>
      </c>
      <c r="M2598">
        <v>1395</v>
      </c>
      <c r="N2598" s="2">
        <v>108000</v>
      </c>
      <c r="O2598" s="2">
        <v>1890</v>
      </c>
      <c r="P2598" s="2">
        <v>4590</v>
      </c>
      <c r="Q2598" s="2">
        <v>8370</v>
      </c>
      <c r="R2598" s="2">
        <v>5400</v>
      </c>
      <c r="S2598">
        <v>79.38</v>
      </c>
      <c r="T2598" s="2">
        <v>20790</v>
      </c>
      <c r="U2598" s="2">
        <v>87210</v>
      </c>
      <c r="V2598">
        <v>123.039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30.6</v>
      </c>
      <c r="AC2598">
        <v>11.8575</v>
      </c>
      <c r="AD2598">
        <v>27</v>
      </c>
      <c r="AE2598" s="7"/>
      <c r="AF2598" s="7"/>
      <c r="AG2598" s="7"/>
      <c r="AH2598" s="7"/>
      <c r="AI2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598" s="7"/>
      <c r="AK2598" t="s">
        <v>51</v>
      </c>
      <c r="AN2598">
        <f>IFERROR(INT(Table13[[#This Row],[reject_prod]]/Table13[[#This Row],[part_weight]] * 1000), 0)</f>
        <v>0</v>
      </c>
    </row>
    <row r="2599" spans="1:40">
      <c r="A2599" s="1">
        <v>46099</v>
      </c>
      <c r="B2599">
        <v>1</v>
      </c>
      <c r="C2599">
        <v>16</v>
      </c>
      <c r="D2599" t="s">
        <v>870</v>
      </c>
      <c r="E2599" t="s">
        <v>46</v>
      </c>
      <c r="F2599">
        <v>555979</v>
      </c>
      <c r="G2599" s="6">
        <v>2</v>
      </c>
      <c r="H2599" t="s">
        <v>52</v>
      </c>
      <c r="I2599">
        <v>10689125</v>
      </c>
      <c r="J2599">
        <v>6</v>
      </c>
      <c r="K2599">
        <v>28</v>
      </c>
      <c r="L2599">
        <v>28</v>
      </c>
      <c r="M2599">
        <v>598</v>
      </c>
      <c r="N2599" s="2">
        <v>100800</v>
      </c>
      <c r="O2599" s="2">
        <v>3528</v>
      </c>
      <c r="P2599" s="2">
        <v>336</v>
      </c>
      <c r="Q2599" s="2">
        <v>3588</v>
      </c>
      <c r="R2599" s="2">
        <v>6720</v>
      </c>
      <c r="S2599">
        <v>188.16</v>
      </c>
      <c r="T2599" s="2">
        <v>30240</v>
      </c>
      <c r="U2599" s="2">
        <v>70560</v>
      </c>
      <c r="V2599">
        <v>100.464</v>
      </c>
      <c r="W2599">
        <v>0</v>
      </c>
      <c r="X2599">
        <v>11.5</v>
      </c>
      <c r="Y2599">
        <v>0.114468864</v>
      </c>
      <c r="Z2599">
        <v>0</v>
      </c>
      <c r="AA2599">
        <v>0</v>
      </c>
      <c r="AB2599">
        <v>40.5</v>
      </c>
      <c r="AC2599">
        <v>6.7275</v>
      </c>
      <c r="AD2599">
        <v>42</v>
      </c>
      <c r="AE2599" s="7"/>
      <c r="AF2599" s="7"/>
      <c r="AG2599" s="7"/>
      <c r="AH2599" s="7"/>
      <c r="AI25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5.2725</v>
      </c>
      <c r="AJ2599" s="7"/>
      <c r="AK2599" t="s">
        <v>1310</v>
      </c>
      <c r="AN2599">
        <f>IFERROR(INT(Table13[[#This Row],[reject_prod]]/Table13[[#This Row],[part_weight]] * 1000), 0)</f>
        <v>0</v>
      </c>
    </row>
    <row r="2600" spans="1:40">
      <c r="A2600" s="1">
        <v>46099</v>
      </c>
      <c r="B2600">
        <v>2</v>
      </c>
      <c r="C2600">
        <v>1</v>
      </c>
      <c r="D2600" t="s">
        <v>33</v>
      </c>
      <c r="E2600" t="s">
        <v>34</v>
      </c>
      <c r="F2600">
        <v>504598</v>
      </c>
      <c r="G2600" s="6">
        <v>0</v>
      </c>
      <c r="H2600" t="s">
        <v>1027</v>
      </c>
      <c r="I2600">
        <v>10689498</v>
      </c>
      <c r="J2600">
        <v>4</v>
      </c>
      <c r="K2600">
        <v>30.2</v>
      </c>
      <c r="L2600">
        <v>28</v>
      </c>
      <c r="M2600">
        <v>0</v>
      </c>
      <c r="N2600" s="2">
        <v>10080</v>
      </c>
      <c r="O2600" s="2">
        <v>0</v>
      </c>
      <c r="P2600" s="2">
        <v>0</v>
      </c>
      <c r="Q2600" s="2">
        <v>0</v>
      </c>
      <c r="R2600" s="2">
        <v>0</v>
      </c>
      <c r="S2600">
        <v>0</v>
      </c>
      <c r="T2600" s="2">
        <v>0</v>
      </c>
      <c r="U2600" s="2">
        <v>10080</v>
      </c>
      <c r="V2600">
        <v>0</v>
      </c>
      <c r="W2600">
        <v>0</v>
      </c>
      <c r="X2600">
        <v>8.8000000000000007</v>
      </c>
      <c r="Y2600" t="e">
        <v>#DIV/0!</v>
      </c>
      <c r="Z2600">
        <v>0</v>
      </c>
      <c r="AA2600" t="e">
        <v>#DIV/0!</v>
      </c>
      <c r="AB2600">
        <v>25.5</v>
      </c>
      <c r="AC2600">
        <v>0</v>
      </c>
      <c r="AD2600">
        <v>22.24</v>
      </c>
      <c r="AE2600" s="7"/>
      <c r="AF2600" s="7"/>
      <c r="AG2600" s="7"/>
      <c r="AH2600" s="7"/>
      <c r="AI2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00" s="7"/>
      <c r="AK2600" t="s">
        <v>1311</v>
      </c>
      <c r="AN2600">
        <f>IFERROR(INT(Table13[[#This Row],[reject_prod]]/Table13[[#This Row],[part_weight]] * 1000), 0)</f>
        <v>0</v>
      </c>
    </row>
    <row r="2601" spans="1:40">
      <c r="A2601" s="1">
        <v>46099</v>
      </c>
      <c r="B2601">
        <v>2</v>
      </c>
      <c r="C2601">
        <v>2</v>
      </c>
      <c r="D2601" t="s">
        <v>59</v>
      </c>
      <c r="E2601" t="s">
        <v>34</v>
      </c>
      <c r="F2601">
        <v>543590</v>
      </c>
      <c r="G2601" s="6">
        <v>0</v>
      </c>
      <c r="H2601" t="s">
        <v>913</v>
      </c>
      <c r="I2601">
        <v>10688496</v>
      </c>
      <c r="J2601">
        <v>4</v>
      </c>
      <c r="K2601">
        <v>19</v>
      </c>
      <c r="L2601">
        <v>19</v>
      </c>
      <c r="M2601">
        <v>790</v>
      </c>
      <c r="N2601" s="2">
        <v>57288</v>
      </c>
      <c r="O2601" s="2">
        <v>0</v>
      </c>
      <c r="P2601" s="2">
        <v>3080</v>
      </c>
      <c r="Q2601" s="2">
        <v>3160</v>
      </c>
      <c r="R2601" s="2">
        <v>0</v>
      </c>
      <c r="S2601">
        <v>0</v>
      </c>
      <c r="T2601" s="2">
        <v>3080</v>
      </c>
      <c r="U2601" s="2">
        <v>54208</v>
      </c>
      <c r="V2601">
        <v>60.04</v>
      </c>
      <c r="W2601">
        <v>0</v>
      </c>
      <c r="X2601">
        <v>7</v>
      </c>
      <c r="Y2601">
        <v>0.116588941</v>
      </c>
      <c r="Z2601">
        <v>0.3</v>
      </c>
      <c r="AA2601">
        <v>4.9966689999999996E-3</v>
      </c>
      <c r="AB2601">
        <v>22.3</v>
      </c>
      <c r="AC2601">
        <v>4.8936111110000002</v>
      </c>
      <c r="AD2601">
        <v>18.72</v>
      </c>
      <c r="AE2601" s="7"/>
      <c r="AF2601" s="7">
        <v>3.5</v>
      </c>
      <c r="AG2601" s="7"/>
      <c r="AH2601" s="7"/>
      <c r="AI2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2.6063888889999998</v>
      </c>
      <c r="AJ2601" s="7">
        <v>1</v>
      </c>
      <c r="AK2601" t="s">
        <v>1312</v>
      </c>
      <c r="AN2601">
        <f>IFERROR(INT(Table13[[#This Row],[reject_prod]]/Table13[[#This Row],[part_weight]] * 1000), 0)</f>
        <v>15</v>
      </c>
    </row>
    <row r="2602" spans="1:40">
      <c r="A2602" s="1">
        <v>46099</v>
      </c>
      <c r="B2602">
        <v>2</v>
      </c>
      <c r="C2602">
        <v>3</v>
      </c>
      <c r="D2602" t="s">
        <v>124</v>
      </c>
      <c r="E2602" t="s">
        <v>34</v>
      </c>
      <c r="F2602">
        <v>442034</v>
      </c>
      <c r="G2602" s="6">
        <v>0</v>
      </c>
      <c r="H2602" t="s">
        <v>37</v>
      </c>
      <c r="I2602">
        <v>10685635</v>
      </c>
      <c r="J2602">
        <v>4</v>
      </c>
      <c r="K2602">
        <v>23</v>
      </c>
      <c r="L2602">
        <v>23</v>
      </c>
      <c r="M2602">
        <v>1160</v>
      </c>
      <c r="N2602" s="2">
        <v>139776</v>
      </c>
      <c r="O2602" s="2">
        <v>1536</v>
      </c>
      <c r="P2602" s="2">
        <v>0</v>
      </c>
      <c r="Q2602" s="2">
        <v>4640</v>
      </c>
      <c r="R2602" s="2">
        <v>6144</v>
      </c>
      <c r="S2602">
        <v>141.31200000000001</v>
      </c>
      <c r="T2602" s="2">
        <v>139776</v>
      </c>
      <c r="U2602" s="2">
        <v>0</v>
      </c>
      <c r="V2602">
        <v>106.72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27.8</v>
      </c>
      <c r="AC2602">
        <v>8.9577777780000005</v>
      </c>
      <c r="AD2602">
        <v>22</v>
      </c>
      <c r="AE2602" s="7"/>
      <c r="AF2602" s="7"/>
      <c r="AG2602" s="7"/>
      <c r="AH2602" s="7"/>
      <c r="AI2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3.0422222219999995</v>
      </c>
      <c r="AJ2602" s="7"/>
      <c r="AK2602" t="s">
        <v>102</v>
      </c>
      <c r="AN2602">
        <f>IFERROR(INT(Table13[[#This Row],[reject_prod]]/Table13[[#This Row],[part_weight]] * 1000), 0)</f>
        <v>0</v>
      </c>
    </row>
    <row r="2603" spans="1:40">
      <c r="A2603" s="1">
        <v>46099</v>
      </c>
      <c r="B2603">
        <v>2</v>
      </c>
      <c r="C2603">
        <v>3</v>
      </c>
      <c r="D2603" t="s">
        <v>124</v>
      </c>
      <c r="E2603" t="s">
        <v>34</v>
      </c>
      <c r="F2603">
        <v>442034</v>
      </c>
      <c r="G2603" s="6">
        <v>0</v>
      </c>
      <c r="H2603" t="s">
        <v>37</v>
      </c>
      <c r="I2603">
        <v>10688497</v>
      </c>
      <c r="J2603">
        <v>4</v>
      </c>
      <c r="K2603">
        <v>23</v>
      </c>
      <c r="L2603">
        <v>23</v>
      </c>
      <c r="M2603">
        <v>385</v>
      </c>
      <c r="N2603" s="2">
        <v>139776</v>
      </c>
      <c r="O2603" s="2">
        <v>0</v>
      </c>
      <c r="P2603" s="2">
        <v>1536</v>
      </c>
      <c r="Q2603" s="2">
        <v>1540</v>
      </c>
      <c r="R2603" s="2">
        <v>0</v>
      </c>
      <c r="S2603">
        <v>0</v>
      </c>
      <c r="T2603" s="2">
        <v>1536</v>
      </c>
      <c r="U2603" s="2">
        <v>138240</v>
      </c>
      <c r="V2603">
        <v>35.42</v>
      </c>
      <c r="W2603">
        <v>0</v>
      </c>
      <c r="X2603">
        <v>0</v>
      </c>
      <c r="Y2603">
        <v>0</v>
      </c>
      <c r="Z2603">
        <v>10.199999999999999</v>
      </c>
      <c r="AA2603">
        <v>0.28797289700000001</v>
      </c>
      <c r="AB2603">
        <v>27.8</v>
      </c>
      <c r="AC2603">
        <v>2.9730555559999998</v>
      </c>
      <c r="AD2603">
        <v>22</v>
      </c>
      <c r="AE2603" s="7"/>
      <c r="AF2603" s="7"/>
      <c r="AG2603" s="7"/>
      <c r="AH2603" s="7"/>
      <c r="AI2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9.0269444439999997</v>
      </c>
      <c r="AJ2603" s="7"/>
      <c r="AK2603" t="s">
        <v>1313</v>
      </c>
      <c r="AN2603">
        <f>IFERROR(INT(Table13[[#This Row],[reject_prod]]/Table13[[#This Row],[part_weight]] * 1000), 0)</f>
        <v>443</v>
      </c>
    </row>
    <row r="2604" spans="1:40">
      <c r="A2604" s="1">
        <v>46099</v>
      </c>
      <c r="B2604">
        <v>2</v>
      </c>
      <c r="C2604">
        <v>4</v>
      </c>
      <c r="D2604" t="s">
        <v>56</v>
      </c>
      <c r="E2604" t="s">
        <v>34</v>
      </c>
      <c r="F2604">
        <v>451191</v>
      </c>
      <c r="G2604" s="6">
        <v>0</v>
      </c>
      <c r="H2604" t="s">
        <v>946</v>
      </c>
      <c r="I2604">
        <v>10690450</v>
      </c>
      <c r="J2604">
        <v>4</v>
      </c>
      <c r="K2604">
        <v>29</v>
      </c>
      <c r="L2604">
        <v>29</v>
      </c>
      <c r="M2604">
        <v>1750</v>
      </c>
      <c r="N2604" s="2">
        <v>110160</v>
      </c>
      <c r="O2604" s="2">
        <v>0</v>
      </c>
      <c r="P2604" s="2">
        <v>612</v>
      </c>
      <c r="Q2604" s="2">
        <v>7000</v>
      </c>
      <c r="R2604" s="2">
        <v>6426</v>
      </c>
      <c r="S2604">
        <v>186.35400000000001</v>
      </c>
      <c r="T2604" s="2">
        <v>16218</v>
      </c>
      <c r="U2604" s="2">
        <v>93942</v>
      </c>
      <c r="V2604">
        <v>203</v>
      </c>
      <c r="W2604">
        <v>0</v>
      </c>
      <c r="X2604">
        <v>0</v>
      </c>
      <c r="Y2604">
        <v>0</v>
      </c>
      <c r="Z2604">
        <v>1.2</v>
      </c>
      <c r="AA2604">
        <v>5.9113300000000002E-3</v>
      </c>
      <c r="AB2604">
        <v>25</v>
      </c>
      <c r="AC2604">
        <v>12</v>
      </c>
      <c r="AD2604">
        <v>24</v>
      </c>
      <c r="AE2604" s="7"/>
      <c r="AF2604" s="7"/>
      <c r="AG2604" s="7"/>
      <c r="AH2604" s="7"/>
      <c r="AI2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04" s="7"/>
      <c r="AK2604" t="s">
        <v>51</v>
      </c>
      <c r="AN2604">
        <f>IFERROR(INT(Table13[[#This Row],[reject_prod]]/Table13[[#This Row],[part_weight]] * 1000), 0)</f>
        <v>41</v>
      </c>
    </row>
    <row r="2605" spans="1:40">
      <c r="A2605" s="1">
        <v>46099</v>
      </c>
      <c r="B2605">
        <v>2</v>
      </c>
      <c r="C2605">
        <v>5</v>
      </c>
      <c r="D2605" t="s">
        <v>59</v>
      </c>
      <c r="E2605" t="s">
        <v>34</v>
      </c>
      <c r="F2605">
        <v>323111</v>
      </c>
      <c r="G2605" s="6">
        <v>0</v>
      </c>
      <c r="H2605" t="s">
        <v>1277</v>
      </c>
      <c r="I2605">
        <v>10690121</v>
      </c>
      <c r="J2605">
        <v>2</v>
      </c>
      <c r="K2605">
        <v>73.2</v>
      </c>
      <c r="L2605">
        <v>75</v>
      </c>
      <c r="M2605">
        <v>560</v>
      </c>
      <c r="N2605" s="2">
        <v>2760</v>
      </c>
      <c r="O2605" s="2">
        <v>0</v>
      </c>
      <c r="P2605" s="2">
        <v>0</v>
      </c>
      <c r="Q2605" s="2">
        <v>1120</v>
      </c>
      <c r="R2605" s="2">
        <v>1104</v>
      </c>
      <c r="S2605">
        <v>82.8</v>
      </c>
      <c r="T2605" s="2">
        <v>2760</v>
      </c>
      <c r="U2605" s="2">
        <v>0</v>
      </c>
      <c r="V2605">
        <v>84</v>
      </c>
      <c r="W2605">
        <v>-2.016</v>
      </c>
      <c r="X2605">
        <v>0</v>
      </c>
      <c r="Y2605">
        <v>0</v>
      </c>
      <c r="Z2605">
        <v>1.6</v>
      </c>
      <c r="AA2605">
        <v>1.9047618999999998E-2</v>
      </c>
      <c r="AB2605">
        <v>35.39</v>
      </c>
      <c r="AC2605">
        <v>5.5051111109999997</v>
      </c>
      <c r="AD2605">
        <v>33</v>
      </c>
      <c r="AE2605" s="7"/>
      <c r="AF2605" s="7"/>
      <c r="AG2605" s="7"/>
      <c r="AH2605" s="7"/>
      <c r="AI26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6.4948888890000003</v>
      </c>
      <c r="AJ2605" s="7"/>
      <c r="AK2605" t="s">
        <v>1314</v>
      </c>
      <c r="AN2605">
        <f>IFERROR(INT(Table13[[#This Row],[reject_prod]]/Table13[[#This Row],[part_weight]] * 1000), 0)</f>
        <v>21</v>
      </c>
    </row>
    <row r="2606" spans="1:40">
      <c r="A2606" s="1">
        <v>46099</v>
      </c>
      <c r="B2606">
        <v>2</v>
      </c>
      <c r="C2606">
        <v>5</v>
      </c>
      <c r="D2606" t="s">
        <v>59</v>
      </c>
      <c r="E2606" t="s">
        <v>34</v>
      </c>
      <c r="F2606">
        <v>322382</v>
      </c>
      <c r="G2606" s="6">
        <v>0</v>
      </c>
      <c r="H2606" t="s">
        <v>1184</v>
      </c>
      <c r="I2606">
        <v>10689314</v>
      </c>
      <c r="J2606">
        <v>4</v>
      </c>
      <c r="K2606">
        <v>18.8</v>
      </c>
      <c r="L2606">
        <v>11.3</v>
      </c>
      <c r="M2606">
        <v>0</v>
      </c>
      <c r="N2606" s="2">
        <v>10350</v>
      </c>
      <c r="O2606" s="2">
        <v>0</v>
      </c>
      <c r="P2606" s="2">
        <v>0</v>
      </c>
      <c r="Q2606" s="2">
        <v>0</v>
      </c>
      <c r="R2606" s="2">
        <v>0</v>
      </c>
      <c r="S2606">
        <v>0</v>
      </c>
      <c r="T2606" s="2">
        <v>0</v>
      </c>
      <c r="U2606" s="2">
        <v>10350</v>
      </c>
      <c r="V2606">
        <v>0</v>
      </c>
      <c r="W2606">
        <v>0</v>
      </c>
      <c r="X2606">
        <v>0</v>
      </c>
      <c r="Y2606" t="e">
        <v>#DIV/0!</v>
      </c>
      <c r="Z2606">
        <v>0</v>
      </c>
      <c r="AA2606" t="e">
        <v>#DIV/0!</v>
      </c>
      <c r="AB2606">
        <v>0</v>
      </c>
      <c r="AC2606">
        <v>0</v>
      </c>
      <c r="AD2606">
        <v>15.44</v>
      </c>
      <c r="AE2606" s="7">
        <v>5.5</v>
      </c>
      <c r="AF2606" s="7"/>
      <c r="AG2606" s="7"/>
      <c r="AH2606" s="7"/>
      <c r="AI2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606" s="7"/>
      <c r="AK2606" t="s">
        <v>890</v>
      </c>
      <c r="AN2606">
        <f>IFERROR(INT(Table13[[#This Row],[reject_prod]]/Table13[[#This Row],[part_weight]] * 1000), 0)</f>
        <v>0</v>
      </c>
    </row>
    <row r="2607" spans="1:40">
      <c r="A2607" s="1">
        <v>46099</v>
      </c>
      <c r="B2607">
        <v>2</v>
      </c>
      <c r="C2607">
        <v>6</v>
      </c>
      <c r="D2607" t="s">
        <v>33</v>
      </c>
      <c r="E2607" t="s">
        <v>34</v>
      </c>
      <c r="F2607">
        <v>322435</v>
      </c>
      <c r="G2607" s="6">
        <v>0</v>
      </c>
      <c r="H2607" t="s">
        <v>216</v>
      </c>
      <c r="I2607">
        <v>10680041</v>
      </c>
      <c r="J2607">
        <v>4</v>
      </c>
      <c r="K2607">
        <v>34.5</v>
      </c>
      <c r="L2607">
        <v>34.5</v>
      </c>
      <c r="M2607">
        <v>0</v>
      </c>
      <c r="N2607" s="2">
        <v>16380</v>
      </c>
      <c r="O2607" s="2">
        <v>0</v>
      </c>
      <c r="P2607" s="2">
        <v>0</v>
      </c>
      <c r="Q2607" s="2">
        <v>0</v>
      </c>
      <c r="R2607" s="2">
        <v>0</v>
      </c>
      <c r="S2607">
        <v>0</v>
      </c>
      <c r="T2607" s="2">
        <v>0</v>
      </c>
      <c r="U2607" s="2">
        <v>16380</v>
      </c>
      <c r="V2607">
        <v>0</v>
      </c>
      <c r="W2607">
        <v>0</v>
      </c>
      <c r="X2607">
        <v>0</v>
      </c>
      <c r="Y2607" t="e">
        <v>#DIV/0!</v>
      </c>
      <c r="Z2607">
        <v>0</v>
      </c>
      <c r="AA2607" t="e">
        <v>#DIV/0!</v>
      </c>
      <c r="AB2607">
        <v>24.55</v>
      </c>
      <c r="AC2607">
        <v>0</v>
      </c>
      <c r="AD2607">
        <v>22</v>
      </c>
      <c r="AE2607" s="7"/>
      <c r="AF2607" s="7"/>
      <c r="AG2607" s="7"/>
      <c r="AH2607" s="7">
        <v>10</v>
      </c>
      <c r="AI2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</v>
      </c>
      <c r="AJ2607" s="7"/>
      <c r="AK2607" t="s">
        <v>1315</v>
      </c>
      <c r="AN2607">
        <f>IFERROR(INT(Table13[[#This Row],[reject_prod]]/Table13[[#This Row],[part_weight]] * 1000), 0)</f>
        <v>0</v>
      </c>
    </row>
    <row r="2608" spans="1:40">
      <c r="A2608" s="1">
        <v>46099</v>
      </c>
      <c r="B2608">
        <v>2</v>
      </c>
      <c r="C2608">
        <v>7</v>
      </c>
      <c r="D2608" t="s">
        <v>53</v>
      </c>
      <c r="E2608" t="s">
        <v>34</v>
      </c>
      <c r="F2608">
        <v>597507</v>
      </c>
      <c r="G2608" s="6">
        <v>0</v>
      </c>
      <c r="H2608" t="s">
        <v>279</v>
      </c>
      <c r="I2608">
        <v>10690042</v>
      </c>
      <c r="J2608">
        <v>3</v>
      </c>
      <c r="K2608">
        <v>23</v>
      </c>
      <c r="L2608">
        <v>23</v>
      </c>
      <c r="M2608">
        <v>1080</v>
      </c>
      <c r="N2608" s="2">
        <v>86240</v>
      </c>
      <c r="O2608" s="2">
        <v>0</v>
      </c>
      <c r="P2608" s="2">
        <v>0</v>
      </c>
      <c r="Q2608" s="2">
        <v>3240</v>
      </c>
      <c r="R2608" s="2">
        <v>4312</v>
      </c>
      <c r="S2608">
        <v>99.176000000000002</v>
      </c>
      <c r="T2608" s="2">
        <v>4312</v>
      </c>
      <c r="U2608" s="2">
        <v>81928</v>
      </c>
      <c r="V2608">
        <v>74.52</v>
      </c>
      <c r="W2608">
        <v>0</v>
      </c>
      <c r="X2608">
        <v>17</v>
      </c>
      <c r="Y2608">
        <v>0.228126677</v>
      </c>
      <c r="Z2608">
        <v>1.8</v>
      </c>
      <c r="AA2608">
        <v>2.4154589000000001E-2</v>
      </c>
      <c r="AB2608">
        <v>20.2</v>
      </c>
      <c r="AC2608">
        <v>6.06</v>
      </c>
      <c r="AD2608">
        <v>22</v>
      </c>
      <c r="AE2608" s="7"/>
      <c r="AF2608" s="7"/>
      <c r="AG2608" s="7"/>
      <c r="AH2608" s="7"/>
      <c r="AI2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5.94</v>
      </c>
      <c r="AJ2608" s="7"/>
      <c r="AK2608" t="s">
        <v>1316</v>
      </c>
      <c r="AN2608">
        <f>IFERROR(INT(Table13[[#This Row],[reject_prod]]/Table13[[#This Row],[part_weight]] * 1000), 0)</f>
        <v>78</v>
      </c>
    </row>
    <row r="2609" spans="1:40">
      <c r="A2609" s="1">
        <v>46099</v>
      </c>
      <c r="B2609">
        <v>2</v>
      </c>
      <c r="C2609">
        <v>8</v>
      </c>
      <c r="D2609" t="s">
        <v>1248</v>
      </c>
      <c r="E2609" t="s">
        <v>41</v>
      </c>
      <c r="F2609">
        <v>593537</v>
      </c>
      <c r="G2609" s="6">
        <v>0</v>
      </c>
      <c r="H2609" t="s">
        <v>48</v>
      </c>
      <c r="I2609">
        <v>10689826</v>
      </c>
      <c r="J2609">
        <v>4</v>
      </c>
      <c r="K2609">
        <v>56.5</v>
      </c>
      <c r="L2609">
        <v>56.8</v>
      </c>
      <c r="M2609">
        <v>1445</v>
      </c>
      <c r="N2609" s="2">
        <v>69000</v>
      </c>
      <c r="O2609" s="2">
        <v>0</v>
      </c>
      <c r="P2609" s="2">
        <v>0</v>
      </c>
      <c r="Q2609" s="2">
        <v>5780</v>
      </c>
      <c r="R2609" s="2">
        <v>5750</v>
      </c>
      <c r="S2609">
        <v>326.60000000000002</v>
      </c>
      <c r="T2609" s="2">
        <v>23000</v>
      </c>
      <c r="U2609" s="2">
        <v>46000</v>
      </c>
      <c r="V2609">
        <v>328.30399999999997</v>
      </c>
      <c r="W2609">
        <v>0</v>
      </c>
      <c r="X2609">
        <v>0</v>
      </c>
      <c r="Y2609">
        <v>0</v>
      </c>
      <c r="Z2609">
        <v>1.6</v>
      </c>
      <c r="AA2609">
        <v>4.8735319999999999E-3</v>
      </c>
      <c r="AB2609">
        <v>29.7</v>
      </c>
      <c r="AC2609">
        <v>11.921250000000001</v>
      </c>
      <c r="AD2609">
        <v>28.5</v>
      </c>
      <c r="AE2609" s="7"/>
      <c r="AF2609" s="7"/>
      <c r="AG2609" s="7"/>
      <c r="AH2609" s="7"/>
      <c r="AI2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7.8749999999999432E-2</v>
      </c>
      <c r="AJ2609" s="7"/>
      <c r="AK2609" t="s">
        <v>57</v>
      </c>
      <c r="AN2609">
        <f>IFERROR(INT(Table13[[#This Row],[reject_prod]]/Table13[[#This Row],[part_weight]] * 1000), 0)</f>
        <v>28</v>
      </c>
    </row>
    <row r="2610" spans="1:40">
      <c r="A2610" s="1">
        <v>46099</v>
      </c>
      <c r="B2610">
        <v>2</v>
      </c>
      <c r="C2610">
        <v>9</v>
      </c>
      <c r="D2610" t="s">
        <v>289</v>
      </c>
      <c r="E2610" t="s">
        <v>46</v>
      </c>
      <c r="F2610">
        <v>586276</v>
      </c>
      <c r="G2610" s="6">
        <v>1</v>
      </c>
      <c r="H2610" t="s">
        <v>47</v>
      </c>
      <c r="I2610">
        <v>10689112</v>
      </c>
      <c r="J2610">
        <v>6</v>
      </c>
      <c r="K2610">
        <v>12.3</v>
      </c>
      <c r="L2610">
        <v>12.3</v>
      </c>
      <c r="M2610">
        <v>1580</v>
      </c>
      <c r="N2610" s="2">
        <v>162000</v>
      </c>
      <c r="O2610" s="2">
        <v>2835</v>
      </c>
      <c r="P2610" s="2">
        <v>3645</v>
      </c>
      <c r="Q2610" s="2">
        <v>9480</v>
      </c>
      <c r="R2610" s="2">
        <v>8100</v>
      </c>
      <c r="S2610">
        <v>99.63</v>
      </c>
      <c r="T2610" s="2">
        <v>11745</v>
      </c>
      <c r="U2610" s="2">
        <v>150255</v>
      </c>
      <c r="V2610">
        <v>116.604</v>
      </c>
      <c r="W2610">
        <v>0</v>
      </c>
      <c r="X2610">
        <v>0</v>
      </c>
      <c r="Y2610">
        <v>0</v>
      </c>
      <c r="Z2610">
        <v>1.3</v>
      </c>
      <c r="AA2610">
        <v>1.1148846E-2</v>
      </c>
      <c r="AB2610">
        <v>26.9</v>
      </c>
      <c r="AC2610">
        <v>11.80611111</v>
      </c>
      <c r="AD2610">
        <v>26</v>
      </c>
      <c r="AE2610" s="7"/>
      <c r="AF2610" s="7"/>
      <c r="AG2610" s="7"/>
      <c r="AH2610" s="7"/>
      <c r="AI2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0.1938888900000002</v>
      </c>
      <c r="AJ2610" s="7"/>
      <c r="AK2610" t="s">
        <v>51</v>
      </c>
      <c r="AN2610">
        <f>IFERROR(INT(Table13[[#This Row],[reject_prod]]/Table13[[#This Row],[part_weight]] * 1000), 0)</f>
        <v>105</v>
      </c>
    </row>
    <row r="2611" spans="1:40">
      <c r="A2611" s="1">
        <v>46099</v>
      </c>
      <c r="B2611">
        <v>2</v>
      </c>
      <c r="C2611">
        <v>10</v>
      </c>
      <c r="D2611" t="s">
        <v>33</v>
      </c>
      <c r="E2611" t="s">
        <v>34</v>
      </c>
      <c r="F2611">
        <v>324638</v>
      </c>
      <c r="G2611" s="6">
        <v>0</v>
      </c>
      <c r="H2611" t="s">
        <v>687</v>
      </c>
      <c r="I2611">
        <v>10689561</v>
      </c>
      <c r="J2611">
        <v>4</v>
      </c>
      <c r="K2611">
        <v>77.5</v>
      </c>
      <c r="L2611">
        <v>77.5</v>
      </c>
      <c r="M2611">
        <v>0</v>
      </c>
      <c r="N2611" s="2">
        <v>13248</v>
      </c>
      <c r="O2611" s="2">
        <v>0</v>
      </c>
      <c r="P2611" s="2">
        <v>0</v>
      </c>
      <c r="Q2611" s="2">
        <v>0</v>
      </c>
      <c r="R2611" s="2">
        <v>0</v>
      </c>
      <c r="S2611">
        <v>0</v>
      </c>
      <c r="T2611" s="2">
        <v>0</v>
      </c>
      <c r="U2611" s="2">
        <v>13248</v>
      </c>
      <c r="V2611">
        <v>0</v>
      </c>
      <c r="W2611">
        <v>0</v>
      </c>
      <c r="X2611">
        <v>11.6</v>
      </c>
      <c r="Y2611" t="e">
        <v>#DIV/0!</v>
      </c>
      <c r="Z2611">
        <v>0</v>
      </c>
      <c r="AA2611" t="e">
        <v>#DIV/0!</v>
      </c>
      <c r="AB2611">
        <v>35</v>
      </c>
      <c r="AC2611">
        <v>0</v>
      </c>
      <c r="AD2611">
        <v>36</v>
      </c>
      <c r="AE2611" s="7"/>
      <c r="AF2611" s="7"/>
      <c r="AG2611" s="7"/>
      <c r="AH2611" s="7"/>
      <c r="AI2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1" s="7"/>
      <c r="AK2611" t="s">
        <v>1317</v>
      </c>
      <c r="AN2611">
        <f>IFERROR(INT(Table13[[#This Row],[reject_prod]]/Table13[[#This Row],[part_weight]] * 1000), 0)</f>
        <v>0</v>
      </c>
    </row>
    <row r="2612" spans="1:40">
      <c r="A2612" s="1">
        <v>46099</v>
      </c>
      <c r="B2612">
        <v>2</v>
      </c>
      <c r="C2612">
        <v>11</v>
      </c>
      <c r="D2612" t="s">
        <v>139</v>
      </c>
      <c r="E2612" t="s">
        <v>46</v>
      </c>
      <c r="F2612">
        <v>552181</v>
      </c>
      <c r="G2612" s="6">
        <v>1</v>
      </c>
      <c r="H2612" t="s">
        <v>49</v>
      </c>
      <c r="I2612">
        <v>10689113</v>
      </c>
      <c r="J2612">
        <v>6</v>
      </c>
      <c r="K2612">
        <v>14.7</v>
      </c>
      <c r="L2612">
        <v>14.7</v>
      </c>
      <c r="M2612">
        <v>1485</v>
      </c>
      <c r="N2612" s="2">
        <v>108000</v>
      </c>
      <c r="O2612" s="2">
        <v>0</v>
      </c>
      <c r="P2612" s="2">
        <v>3510</v>
      </c>
      <c r="Q2612" s="2">
        <v>8910</v>
      </c>
      <c r="R2612" s="2">
        <v>5400</v>
      </c>
      <c r="S2612">
        <v>79.38</v>
      </c>
      <c r="T2612" s="2">
        <v>8910</v>
      </c>
      <c r="U2612" s="2">
        <v>99090</v>
      </c>
      <c r="V2612">
        <v>130.977</v>
      </c>
      <c r="W2612">
        <v>0</v>
      </c>
      <c r="X2612">
        <v>0</v>
      </c>
      <c r="Y2612">
        <v>0</v>
      </c>
      <c r="Z2612">
        <v>1</v>
      </c>
      <c r="AA2612">
        <v>7.634928E-3</v>
      </c>
      <c r="AB2612">
        <v>29.2</v>
      </c>
      <c r="AC2612">
        <v>12</v>
      </c>
      <c r="AD2612">
        <v>27</v>
      </c>
      <c r="AE2612" s="7"/>
      <c r="AF2612" s="7"/>
      <c r="AG2612" s="7"/>
      <c r="AH2612" s="7"/>
      <c r="AI2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2" s="7"/>
      <c r="AK2612" t="s">
        <v>51</v>
      </c>
      <c r="AN2612">
        <f>IFERROR(INT(Table13[[#This Row],[reject_prod]]/Table13[[#This Row],[part_weight]] * 1000), 0)</f>
        <v>68</v>
      </c>
    </row>
    <row r="2613" spans="1:40">
      <c r="A2613" s="1">
        <v>46099</v>
      </c>
      <c r="B2613">
        <v>2</v>
      </c>
      <c r="C2613">
        <v>12</v>
      </c>
      <c r="D2613" t="s">
        <v>33</v>
      </c>
      <c r="E2613" t="s">
        <v>46</v>
      </c>
      <c r="F2613">
        <v>555979</v>
      </c>
      <c r="G2613" s="6">
        <v>1</v>
      </c>
      <c r="H2613" t="s">
        <v>52</v>
      </c>
      <c r="I2613">
        <v>10689126</v>
      </c>
      <c r="J2613">
        <v>6</v>
      </c>
      <c r="K2613">
        <v>28</v>
      </c>
      <c r="L2613">
        <v>28</v>
      </c>
      <c r="M2613">
        <v>0</v>
      </c>
      <c r="N2613" s="2">
        <v>100800</v>
      </c>
      <c r="O2613" s="2">
        <v>0</v>
      </c>
      <c r="P2613" s="2">
        <v>0</v>
      </c>
      <c r="Q2613" s="2">
        <v>0</v>
      </c>
      <c r="R2613" s="2">
        <v>0</v>
      </c>
      <c r="S2613">
        <v>0</v>
      </c>
      <c r="T2613" s="2">
        <v>13440</v>
      </c>
      <c r="U2613" s="2">
        <v>87360</v>
      </c>
      <c r="V2613">
        <v>0</v>
      </c>
      <c r="W2613">
        <v>0</v>
      </c>
      <c r="X2613">
        <v>8.6</v>
      </c>
      <c r="Y2613" t="e">
        <v>#DIV/0!</v>
      </c>
      <c r="Z2613">
        <v>0</v>
      </c>
      <c r="AA2613" t="e">
        <v>#DIV/0!</v>
      </c>
      <c r="AB2613">
        <v>41.2</v>
      </c>
      <c r="AC2613">
        <v>0</v>
      </c>
      <c r="AD2613">
        <v>42</v>
      </c>
      <c r="AE2613" s="7"/>
      <c r="AF2613" s="7"/>
      <c r="AG2613" s="7"/>
      <c r="AH2613" s="7"/>
      <c r="AI2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3" s="7"/>
      <c r="AK2613" t="s">
        <v>1281</v>
      </c>
      <c r="AN2613">
        <f>IFERROR(INT(Table13[[#This Row],[reject_prod]]/Table13[[#This Row],[part_weight]] * 1000), 0)</f>
        <v>0</v>
      </c>
    </row>
    <row r="2614" spans="1:40">
      <c r="A2614" s="1">
        <v>46099</v>
      </c>
      <c r="B2614">
        <v>2</v>
      </c>
      <c r="C2614">
        <v>13</v>
      </c>
      <c r="D2614" t="s">
        <v>1189</v>
      </c>
      <c r="E2614" t="s">
        <v>46</v>
      </c>
      <c r="F2614">
        <v>586276</v>
      </c>
      <c r="G2614" s="6">
        <v>2</v>
      </c>
      <c r="H2614" t="s">
        <v>47</v>
      </c>
      <c r="I2614">
        <v>10689118</v>
      </c>
      <c r="J2614">
        <v>6</v>
      </c>
      <c r="K2614">
        <v>12.3</v>
      </c>
      <c r="L2614">
        <v>12.3</v>
      </c>
      <c r="M2614">
        <v>1620</v>
      </c>
      <c r="N2614" s="2">
        <v>162000</v>
      </c>
      <c r="O2614" s="2">
        <v>3240</v>
      </c>
      <c r="P2614" s="2">
        <v>4860</v>
      </c>
      <c r="Q2614" s="2">
        <v>9720</v>
      </c>
      <c r="R2614" s="2">
        <v>8100</v>
      </c>
      <c r="S2614">
        <v>99.63</v>
      </c>
      <c r="T2614" s="2">
        <v>150660</v>
      </c>
      <c r="U2614" s="2">
        <v>11340</v>
      </c>
      <c r="V2614">
        <v>119.556</v>
      </c>
      <c r="W2614">
        <v>0</v>
      </c>
      <c r="X2614">
        <v>0</v>
      </c>
      <c r="Y2614">
        <v>0</v>
      </c>
      <c r="Z2614">
        <v>1</v>
      </c>
      <c r="AA2614">
        <v>8.3642809999999995E-3</v>
      </c>
      <c r="AB2614">
        <v>26.2</v>
      </c>
      <c r="AC2614">
        <v>11.79</v>
      </c>
      <c r="AD2614">
        <v>26</v>
      </c>
      <c r="AE2614" s="7"/>
      <c r="AF2614" s="7"/>
      <c r="AG2614" s="7"/>
      <c r="AH2614" s="7"/>
      <c r="AI2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14" s="7"/>
      <c r="AK2614" t="s">
        <v>51</v>
      </c>
      <c r="AN2614">
        <f>IFERROR(INT(Table13[[#This Row],[reject_prod]]/Table13[[#This Row],[part_weight]] * 1000), 0)</f>
        <v>81</v>
      </c>
    </row>
    <row r="2615" spans="1:40">
      <c r="A2615" s="1">
        <v>46099</v>
      </c>
      <c r="B2615">
        <v>2</v>
      </c>
      <c r="C2615">
        <v>14</v>
      </c>
      <c r="D2615" t="s">
        <v>58</v>
      </c>
      <c r="E2615" t="s">
        <v>34</v>
      </c>
      <c r="F2615">
        <v>541381</v>
      </c>
      <c r="G2615" s="6">
        <v>0</v>
      </c>
      <c r="H2615" t="s">
        <v>804</v>
      </c>
      <c r="I2615">
        <v>10689120</v>
      </c>
      <c r="J2615">
        <v>4</v>
      </c>
      <c r="K2615">
        <v>55</v>
      </c>
      <c r="L2615">
        <v>55</v>
      </c>
      <c r="M2615">
        <v>1620</v>
      </c>
      <c r="N2615" s="2">
        <v>84000</v>
      </c>
      <c r="O2615" s="2">
        <v>0</v>
      </c>
      <c r="P2615" s="2">
        <v>175</v>
      </c>
      <c r="Q2615" s="2">
        <v>6480</v>
      </c>
      <c r="R2615" s="2">
        <v>6300</v>
      </c>
      <c r="S2615">
        <v>346.5</v>
      </c>
      <c r="T2615" s="2">
        <v>54775</v>
      </c>
      <c r="U2615" s="2">
        <v>29225</v>
      </c>
      <c r="V2615">
        <v>356.4</v>
      </c>
      <c r="W2615">
        <v>0</v>
      </c>
      <c r="X2615">
        <v>0</v>
      </c>
      <c r="Y2615">
        <v>0</v>
      </c>
      <c r="Z2615">
        <v>1.2</v>
      </c>
      <c r="AA2615">
        <v>3.3670029999999999E-3</v>
      </c>
      <c r="AB2615">
        <v>26.8</v>
      </c>
      <c r="AC2615">
        <v>12</v>
      </c>
      <c r="AD2615">
        <v>30.08</v>
      </c>
      <c r="AE2615" s="7"/>
      <c r="AF2615" s="7"/>
      <c r="AG2615" s="7"/>
      <c r="AH2615" s="7"/>
      <c r="AI2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5" s="7"/>
      <c r="AK2615" t="s">
        <v>178</v>
      </c>
      <c r="AN2615">
        <f>IFERROR(INT(Table13[[#This Row],[reject_prod]]/Table13[[#This Row],[part_weight]] * 1000), 0)</f>
        <v>21</v>
      </c>
    </row>
    <row r="2616" spans="1:40">
      <c r="A2616" s="1">
        <v>46099</v>
      </c>
      <c r="B2616">
        <v>2</v>
      </c>
      <c r="C2616">
        <v>15</v>
      </c>
      <c r="D2616" t="s">
        <v>139</v>
      </c>
      <c r="E2616" t="s">
        <v>46</v>
      </c>
      <c r="F2616">
        <v>552181</v>
      </c>
      <c r="G2616" s="6">
        <v>2</v>
      </c>
      <c r="H2616" t="s">
        <v>49</v>
      </c>
      <c r="I2616">
        <v>10689123</v>
      </c>
      <c r="J2616">
        <v>6</v>
      </c>
      <c r="K2616">
        <v>14.7</v>
      </c>
      <c r="L2616">
        <v>14.7</v>
      </c>
      <c r="M2616">
        <v>1390</v>
      </c>
      <c r="N2616" s="2">
        <v>108000</v>
      </c>
      <c r="O2616" s="2">
        <v>4590</v>
      </c>
      <c r="P2616" s="2">
        <v>1890</v>
      </c>
      <c r="Q2616" s="2">
        <v>8340</v>
      </c>
      <c r="R2616" s="2">
        <v>10800</v>
      </c>
      <c r="S2616">
        <v>158.76</v>
      </c>
      <c r="T2616" s="2">
        <v>28890</v>
      </c>
      <c r="U2616" s="2">
        <v>79110</v>
      </c>
      <c r="V2616">
        <v>122.598</v>
      </c>
      <c r="W2616">
        <v>0</v>
      </c>
      <c r="X2616">
        <v>0</v>
      </c>
      <c r="Y2616">
        <v>0</v>
      </c>
      <c r="Z2616">
        <v>1</v>
      </c>
      <c r="AA2616">
        <v>8.1567400000000009E-3</v>
      </c>
      <c r="AB2616">
        <v>30.5</v>
      </c>
      <c r="AC2616">
        <v>11.77638889</v>
      </c>
      <c r="AD2616">
        <v>27</v>
      </c>
      <c r="AE2616" s="7"/>
      <c r="AF2616" s="7"/>
      <c r="AG2616" s="7"/>
      <c r="AH2616" s="7"/>
      <c r="AI2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0.22361111000000022</v>
      </c>
      <c r="AJ2616" s="7"/>
      <c r="AK2616" t="s">
        <v>51</v>
      </c>
      <c r="AN2616">
        <f>IFERROR(INT(Table13[[#This Row],[reject_prod]]/Table13[[#This Row],[part_weight]] * 1000), 0)</f>
        <v>68</v>
      </c>
    </row>
    <row r="2617" spans="1:40">
      <c r="A2617" s="1">
        <v>46099</v>
      </c>
      <c r="B2617">
        <v>2</v>
      </c>
      <c r="C2617">
        <v>16</v>
      </c>
      <c r="D2617" t="s">
        <v>208</v>
      </c>
      <c r="E2617" t="s">
        <v>46</v>
      </c>
      <c r="F2617">
        <v>555979</v>
      </c>
      <c r="G2617" s="6">
        <v>2</v>
      </c>
      <c r="H2617" t="s">
        <v>52</v>
      </c>
      <c r="I2617">
        <v>10689125</v>
      </c>
      <c r="J2617">
        <v>6</v>
      </c>
      <c r="K2617">
        <v>28</v>
      </c>
      <c r="L2617">
        <v>28</v>
      </c>
      <c r="M2617">
        <v>0</v>
      </c>
      <c r="N2617" s="2">
        <v>100800</v>
      </c>
      <c r="O2617" s="2">
        <v>336</v>
      </c>
      <c r="P2617" s="2">
        <v>336</v>
      </c>
      <c r="Q2617" s="2">
        <v>0</v>
      </c>
      <c r="R2617" s="2">
        <v>0</v>
      </c>
      <c r="S2617">
        <v>0</v>
      </c>
      <c r="T2617" s="2">
        <v>30240</v>
      </c>
      <c r="U2617" s="2">
        <v>70560</v>
      </c>
      <c r="V2617">
        <v>0</v>
      </c>
      <c r="W2617">
        <v>0</v>
      </c>
      <c r="X2617">
        <v>11.3</v>
      </c>
      <c r="Y2617" t="e">
        <v>#DIV/0!</v>
      </c>
      <c r="Z2617">
        <v>0</v>
      </c>
      <c r="AA2617" t="e">
        <v>#DIV/0!</v>
      </c>
      <c r="AB2617">
        <v>40.5</v>
      </c>
      <c r="AC2617">
        <v>0</v>
      </c>
      <c r="AD2617">
        <v>42</v>
      </c>
      <c r="AE2617" s="7"/>
      <c r="AF2617" s="7"/>
      <c r="AG2617" s="7"/>
      <c r="AH2617" s="7"/>
      <c r="AI2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7" s="7"/>
      <c r="AK2617" t="s">
        <v>1318</v>
      </c>
      <c r="AN2617">
        <f>IFERROR(INT(Table13[[#This Row],[reject_prod]]/Table13[[#This Row],[part_weight]] * 1000), 0)</f>
        <v>0</v>
      </c>
    </row>
    <row r="2618" spans="1:40">
      <c r="A2618" s="1">
        <v>46100</v>
      </c>
      <c r="B2618">
        <v>1</v>
      </c>
      <c r="C2618">
        <v>1</v>
      </c>
      <c r="D2618" t="s">
        <v>110</v>
      </c>
      <c r="E2618" t="s">
        <v>34</v>
      </c>
      <c r="F2618">
        <v>504598</v>
      </c>
      <c r="G2618" s="6">
        <v>0</v>
      </c>
      <c r="H2618" t="s">
        <v>1027</v>
      </c>
      <c r="I2618">
        <v>10689498</v>
      </c>
      <c r="J2618">
        <v>4</v>
      </c>
      <c r="K2618">
        <v>30.2</v>
      </c>
      <c r="L2618">
        <v>28</v>
      </c>
      <c r="M2618">
        <v>612</v>
      </c>
      <c r="N2618" s="2">
        <v>10080</v>
      </c>
      <c r="O2618" s="2">
        <v>0</v>
      </c>
      <c r="P2618" s="2">
        <v>2016</v>
      </c>
      <c r="Q2618" s="2">
        <v>2448</v>
      </c>
      <c r="R2618" s="2">
        <v>0</v>
      </c>
      <c r="S2618">
        <v>0</v>
      </c>
      <c r="T2618" s="2">
        <v>2016</v>
      </c>
      <c r="U2618" s="2">
        <v>8064</v>
      </c>
      <c r="V2618">
        <v>68.543999999999997</v>
      </c>
      <c r="W2618">
        <v>5.3856000000000002</v>
      </c>
      <c r="X2618">
        <v>2.5</v>
      </c>
      <c r="Y2618">
        <v>3.6472922999999997E-2</v>
      </c>
      <c r="Z2618">
        <v>0</v>
      </c>
      <c r="AA2618">
        <v>0</v>
      </c>
      <c r="AB2618">
        <v>25.5</v>
      </c>
      <c r="AC2618">
        <v>4.335</v>
      </c>
      <c r="AD2618">
        <v>22.24</v>
      </c>
      <c r="AE2618" s="7"/>
      <c r="AF2618" s="7"/>
      <c r="AG2618" s="7"/>
      <c r="AH2618" s="7"/>
      <c r="AI2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7.665</v>
      </c>
      <c r="AJ2618" s="7"/>
      <c r="AK2618" t="s">
        <v>1319</v>
      </c>
      <c r="AN2618">
        <f>IFERROR(INT(Table13[[#This Row],[reject_prod]]/Table13[[#This Row],[part_weight]] * 1000), 0)</f>
        <v>0</v>
      </c>
    </row>
    <row r="2619" spans="1:40">
      <c r="A2619" s="1">
        <v>46100</v>
      </c>
      <c r="B2619">
        <v>1</v>
      </c>
      <c r="C2619">
        <v>2</v>
      </c>
      <c r="D2619" t="s">
        <v>1320</v>
      </c>
      <c r="E2619" t="s">
        <v>34</v>
      </c>
      <c r="F2619">
        <v>543590</v>
      </c>
      <c r="G2619" s="6">
        <v>0</v>
      </c>
      <c r="H2619" t="s">
        <v>913</v>
      </c>
      <c r="I2619">
        <v>10688496</v>
      </c>
      <c r="J2619">
        <v>4</v>
      </c>
      <c r="K2619">
        <v>19</v>
      </c>
      <c r="L2619">
        <v>19</v>
      </c>
      <c r="M2619">
        <v>1934</v>
      </c>
      <c r="N2619" s="2">
        <v>57288</v>
      </c>
      <c r="O2619" s="2">
        <v>3080</v>
      </c>
      <c r="P2619" s="2">
        <v>4312</v>
      </c>
      <c r="Q2619" s="2">
        <v>7736</v>
      </c>
      <c r="R2619" s="2">
        <v>7392</v>
      </c>
      <c r="S2619">
        <v>140.44800000000001</v>
      </c>
      <c r="T2619" s="2">
        <v>11704</v>
      </c>
      <c r="U2619" s="2">
        <v>45584</v>
      </c>
      <c r="V2619">
        <v>146.98400000000001</v>
      </c>
      <c r="W2619">
        <v>0</v>
      </c>
      <c r="X2619">
        <v>0</v>
      </c>
      <c r="Y2619">
        <v>0</v>
      </c>
      <c r="Z2619">
        <v>2.5</v>
      </c>
      <c r="AA2619">
        <v>1.7008654000000002E-2</v>
      </c>
      <c r="AB2619">
        <v>22.3</v>
      </c>
      <c r="AC2619">
        <v>11.98005556</v>
      </c>
      <c r="AD2619">
        <v>18.72</v>
      </c>
      <c r="AE2619" s="7"/>
      <c r="AF2619" s="7"/>
      <c r="AG2619" s="7"/>
      <c r="AH2619" s="7"/>
      <c r="AI2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1.994443999999973E-2</v>
      </c>
      <c r="AJ2619" s="7"/>
      <c r="AK2619" t="s">
        <v>1321</v>
      </c>
      <c r="AN2619">
        <f>IFERROR(INT(Table13[[#This Row],[reject_prod]]/Table13[[#This Row],[part_weight]] * 1000), 0)</f>
        <v>131</v>
      </c>
    </row>
    <row r="2620" spans="1:40">
      <c r="A2620" s="1">
        <v>46100</v>
      </c>
      <c r="B2620">
        <v>1</v>
      </c>
      <c r="C2620">
        <v>3</v>
      </c>
      <c r="D2620" t="s">
        <v>61</v>
      </c>
      <c r="E2620" t="s">
        <v>34</v>
      </c>
      <c r="F2620">
        <v>442034</v>
      </c>
      <c r="G2620" s="6">
        <v>0</v>
      </c>
      <c r="H2620" t="s">
        <v>37</v>
      </c>
      <c r="I2620">
        <v>10688497</v>
      </c>
      <c r="J2620">
        <v>4</v>
      </c>
      <c r="K2620">
        <v>23</v>
      </c>
      <c r="L2620">
        <v>23</v>
      </c>
      <c r="M2620">
        <v>1304</v>
      </c>
      <c r="N2620" s="2">
        <v>139776</v>
      </c>
      <c r="O2620" s="2">
        <v>1536</v>
      </c>
      <c r="P2620" s="2">
        <v>2304</v>
      </c>
      <c r="Q2620" s="2">
        <v>5216</v>
      </c>
      <c r="R2620" s="2">
        <v>4608</v>
      </c>
      <c r="S2620">
        <v>105.98399999999999</v>
      </c>
      <c r="T2620" s="2">
        <v>6912</v>
      </c>
      <c r="U2620" s="2">
        <v>132864</v>
      </c>
      <c r="V2620">
        <v>119.968</v>
      </c>
      <c r="W2620">
        <v>0</v>
      </c>
      <c r="X2620">
        <v>0</v>
      </c>
      <c r="Y2620">
        <v>0</v>
      </c>
      <c r="Z2620">
        <v>11.5</v>
      </c>
      <c r="AA2620">
        <v>9.5858895999999999E-2</v>
      </c>
      <c r="AB2620">
        <v>27.8</v>
      </c>
      <c r="AC2620">
        <v>10.069777780000001</v>
      </c>
      <c r="AD2620">
        <v>22</v>
      </c>
      <c r="AE2620" s="7"/>
      <c r="AF2620" s="7"/>
      <c r="AG2620" s="7"/>
      <c r="AH2620" s="7"/>
      <c r="AI2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1.9302222199999992</v>
      </c>
      <c r="AJ2620" s="7"/>
      <c r="AK2620" t="s">
        <v>1313</v>
      </c>
      <c r="AN2620">
        <f>IFERROR(INT(Table13[[#This Row],[reject_prod]]/Table13[[#This Row],[part_weight]] * 1000), 0)</f>
        <v>500</v>
      </c>
    </row>
    <row r="2621" spans="1:40">
      <c r="A2621" s="1">
        <v>46100</v>
      </c>
      <c r="B2621">
        <v>1</v>
      </c>
      <c r="C2621">
        <v>4</v>
      </c>
      <c r="D2621" t="s">
        <v>150</v>
      </c>
      <c r="E2621" t="s">
        <v>34</v>
      </c>
      <c r="F2621">
        <v>451191</v>
      </c>
      <c r="G2621" s="6">
        <v>0</v>
      </c>
      <c r="H2621" t="s">
        <v>946</v>
      </c>
      <c r="I2621">
        <v>10690450</v>
      </c>
      <c r="J2621">
        <v>4</v>
      </c>
      <c r="K2621">
        <v>29</v>
      </c>
      <c r="L2621">
        <v>29</v>
      </c>
      <c r="M2621">
        <v>1687</v>
      </c>
      <c r="N2621" s="2">
        <v>110160</v>
      </c>
      <c r="O2621" s="2">
        <v>612</v>
      </c>
      <c r="P2621" s="2">
        <v>0</v>
      </c>
      <c r="Q2621" s="2">
        <v>6748</v>
      </c>
      <c r="R2621" s="2">
        <v>7344</v>
      </c>
      <c r="S2621">
        <v>212.976</v>
      </c>
      <c r="T2621" s="2">
        <v>22950</v>
      </c>
      <c r="U2621" s="2">
        <v>87210</v>
      </c>
      <c r="V2621">
        <v>195.69200000000001</v>
      </c>
      <c r="W2621">
        <v>0</v>
      </c>
      <c r="X2621">
        <v>0</v>
      </c>
      <c r="Y2621">
        <v>0</v>
      </c>
      <c r="Z2621">
        <v>1.5</v>
      </c>
      <c r="AA2621">
        <v>7.6651059999999997E-3</v>
      </c>
      <c r="AB2621">
        <v>25.2</v>
      </c>
      <c r="AC2621">
        <v>11.808999999999999</v>
      </c>
      <c r="AD2621">
        <v>24</v>
      </c>
      <c r="AE2621" s="7"/>
      <c r="AF2621" s="7"/>
      <c r="AG2621" s="7"/>
      <c r="AH2621" s="7"/>
      <c r="AI26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0.19100000000000072</v>
      </c>
      <c r="AJ2621" s="7"/>
      <c r="AK2621" t="s">
        <v>1302</v>
      </c>
      <c r="AN2621">
        <f>IFERROR(INT(Table13[[#This Row],[reject_prod]]/Table13[[#This Row],[part_weight]] * 1000), 0)</f>
        <v>51</v>
      </c>
    </row>
    <row r="2622" spans="1:40">
      <c r="A2622" s="1">
        <v>46100</v>
      </c>
      <c r="B2622">
        <v>1</v>
      </c>
      <c r="C2622">
        <v>5</v>
      </c>
      <c r="D2622" t="s">
        <v>33</v>
      </c>
      <c r="E2622" t="s">
        <v>34</v>
      </c>
      <c r="F2622">
        <v>322382</v>
      </c>
      <c r="G2622" s="6">
        <v>0</v>
      </c>
      <c r="H2622" t="s">
        <v>1184</v>
      </c>
      <c r="I2622">
        <v>10689314</v>
      </c>
      <c r="J2622">
        <v>4</v>
      </c>
      <c r="K2622">
        <v>18.8</v>
      </c>
      <c r="L2622">
        <v>11.3</v>
      </c>
      <c r="M2622">
        <v>0</v>
      </c>
      <c r="N2622" s="2">
        <v>10350</v>
      </c>
      <c r="O2622" s="2">
        <v>0</v>
      </c>
      <c r="P2622" s="2">
        <v>0</v>
      </c>
      <c r="Q2622" s="2">
        <v>0</v>
      </c>
      <c r="R2622" s="2">
        <v>0</v>
      </c>
      <c r="S2622">
        <v>0</v>
      </c>
      <c r="T2622" s="2">
        <v>0</v>
      </c>
      <c r="U2622" s="2">
        <v>10350</v>
      </c>
      <c r="V2622">
        <v>0</v>
      </c>
      <c r="W2622">
        <v>0</v>
      </c>
      <c r="X2622">
        <v>12.5</v>
      </c>
      <c r="Y2622" t="e">
        <v>#DIV/0!</v>
      </c>
      <c r="Z2622">
        <v>0</v>
      </c>
      <c r="AA2622" t="e">
        <v>#DIV/0!</v>
      </c>
      <c r="AB2622">
        <v>0</v>
      </c>
      <c r="AC2622">
        <v>0</v>
      </c>
      <c r="AD2622">
        <v>15.44</v>
      </c>
      <c r="AE2622" s="7"/>
      <c r="AF2622" s="7"/>
      <c r="AG2622" s="7"/>
      <c r="AH2622" s="7"/>
      <c r="AI2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2" s="7"/>
      <c r="AK2622" t="s">
        <v>890</v>
      </c>
      <c r="AN2622">
        <f>IFERROR(INT(Table13[[#This Row],[reject_prod]]/Table13[[#This Row],[part_weight]] * 1000), 0)</f>
        <v>0</v>
      </c>
    </row>
    <row r="2623" spans="1:40">
      <c r="A2623" s="1">
        <v>46100</v>
      </c>
      <c r="B2623">
        <v>1</v>
      </c>
      <c r="C2623">
        <v>6</v>
      </c>
      <c r="D2623" t="s">
        <v>33</v>
      </c>
      <c r="E2623" t="s">
        <v>34</v>
      </c>
      <c r="F2623">
        <v>322435</v>
      </c>
      <c r="G2623" s="6">
        <v>0</v>
      </c>
      <c r="H2623" t="s">
        <v>216</v>
      </c>
      <c r="I2623">
        <v>10680041</v>
      </c>
      <c r="J2623">
        <v>4</v>
      </c>
      <c r="K2623">
        <v>34.5</v>
      </c>
      <c r="L2623">
        <v>34.5</v>
      </c>
      <c r="M2623">
        <v>0</v>
      </c>
      <c r="N2623" s="2">
        <v>16380</v>
      </c>
      <c r="O2623" s="2">
        <v>0</v>
      </c>
      <c r="P2623" s="2">
        <v>0</v>
      </c>
      <c r="Q2623" s="2">
        <v>0</v>
      </c>
      <c r="R2623" s="2">
        <v>0</v>
      </c>
      <c r="S2623">
        <v>0</v>
      </c>
      <c r="T2623" s="2">
        <v>0</v>
      </c>
      <c r="U2623" s="2">
        <v>16380</v>
      </c>
      <c r="V2623">
        <v>0</v>
      </c>
      <c r="W2623">
        <v>0</v>
      </c>
      <c r="X2623">
        <v>0</v>
      </c>
      <c r="Y2623" t="e">
        <v>#DIV/0!</v>
      </c>
      <c r="Z2623">
        <v>0</v>
      </c>
      <c r="AA2623" t="e">
        <v>#DIV/0!</v>
      </c>
      <c r="AB2623">
        <v>22</v>
      </c>
      <c r="AC2623">
        <v>0</v>
      </c>
      <c r="AD2623">
        <v>22</v>
      </c>
      <c r="AE2623" s="7"/>
      <c r="AF2623" s="7"/>
      <c r="AG2623" s="7"/>
      <c r="AH2623" s="7"/>
      <c r="AI2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3" s="7"/>
      <c r="AK2623" t="s">
        <v>1292</v>
      </c>
      <c r="AN2623">
        <f>IFERROR(INT(Table13[[#This Row],[reject_prod]]/Table13[[#This Row],[part_weight]] * 1000), 0)</f>
        <v>0</v>
      </c>
    </row>
    <row r="2624" spans="1:40">
      <c r="A2624" s="1">
        <v>46100</v>
      </c>
      <c r="B2624">
        <v>1</v>
      </c>
      <c r="C2624">
        <v>7</v>
      </c>
      <c r="D2624" t="s">
        <v>67</v>
      </c>
      <c r="E2624" t="s">
        <v>34</v>
      </c>
      <c r="F2624">
        <v>597507</v>
      </c>
      <c r="G2624" s="6">
        <v>0</v>
      </c>
      <c r="H2624" t="s">
        <v>279</v>
      </c>
      <c r="I2624">
        <v>10690042</v>
      </c>
      <c r="J2624">
        <v>3</v>
      </c>
      <c r="K2624">
        <v>23</v>
      </c>
      <c r="L2624">
        <v>23</v>
      </c>
      <c r="M2624">
        <v>1494</v>
      </c>
      <c r="N2624" s="2">
        <v>86240</v>
      </c>
      <c r="O2624" s="2">
        <v>0</v>
      </c>
      <c r="P2624" s="2">
        <v>1540</v>
      </c>
      <c r="Q2624" s="2">
        <v>4482</v>
      </c>
      <c r="R2624" s="2">
        <v>3234</v>
      </c>
      <c r="S2624">
        <v>74.382000000000005</v>
      </c>
      <c r="T2624" s="2">
        <v>9086</v>
      </c>
      <c r="U2624" s="2">
        <v>77154</v>
      </c>
      <c r="V2624">
        <v>103.086</v>
      </c>
      <c r="W2624">
        <v>0</v>
      </c>
      <c r="X2624">
        <v>27.5</v>
      </c>
      <c r="Y2624">
        <v>0.26676755299999999</v>
      </c>
      <c r="Z2624">
        <v>0</v>
      </c>
      <c r="AA2624">
        <v>0</v>
      </c>
      <c r="AB2624">
        <v>20.2</v>
      </c>
      <c r="AC2624">
        <v>8.3829999999999991</v>
      </c>
      <c r="AD2624">
        <v>22</v>
      </c>
      <c r="AE2624" s="7"/>
      <c r="AF2624" s="7"/>
      <c r="AG2624" s="7"/>
      <c r="AH2624" s="7"/>
      <c r="AI2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3.6170000000000009</v>
      </c>
      <c r="AJ2624" s="7"/>
      <c r="AK2624" t="s">
        <v>1322</v>
      </c>
      <c r="AN2624">
        <f>IFERROR(INT(Table13[[#This Row],[reject_prod]]/Table13[[#This Row],[part_weight]] * 1000), 0)</f>
        <v>0</v>
      </c>
    </row>
    <row r="2625" spans="1:40">
      <c r="A2625" s="1">
        <v>46100</v>
      </c>
      <c r="B2625">
        <v>1</v>
      </c>
      <c r="C2625">
        <v>8</v>
      </c>
      <c r="D2625" t="s">
        <v>1323</v>
      </c>
      <c r="E2625" t="s">
        <v>41</v>
      </c>
      <c r="F2625">
        <v>593537</v>
      </c>
      <c r="G2625" s="6">
        <v>0</v>
      </c>
      <c r="H2625" t="s">
        <v>48</v>
      </c>
      <c r="I2625">
        <v>10689826</v>
      </c>
      <c r="J2625">
        <v>4</v>
      </c>
      <c r="K2625">
        <v>56.5</v>
      </c>
      <c r="L2625">
        <v>56.8</v>
      </c>
      <c r="M2625">
        <v>1393</v>
      </c>
      <c r="N2625" s="2">
        <v>69000</v>
      </c>
      <c r="O2625" s="2">
        <v>0</v>
      </c>
      <c r="P2625" s="2">
        <v>0</v>
      </c>
      <c r="Q2625" s="2">
        <v>5572</v>
      </c>
      <c r="R2625" s="2">
        <v>5175</v>
      </c>
      <c r="S2625">
        <v>293.94</v>
      </c>
      <c r="T2625" s="2">
        <v>28175</v>
      </c>
      <c r="U2625" s="2">
        <v>40825</v>
      </c>
      <c r="V2625">
        <v>316.4896</v>
      </c>
      <c r="W2625">
        <v>0</v>
      </c>
      <c r="X2625">
        <v>0</v>
      </c>
      <c r="Y2625">
        <v>0</v>
      </c>
      <c r="Z2625">
        <v>17.5</v>
      </c>
      <c r="AA2625">
        <v>5.5294075999999998E-2</v>
      </c>
      <c r="AB2625">
        <v>29.7</v>
      </c>
      <c r="AC2625">
        <v>11.49225</v>
      </c>
      <c r="AD2625">
        <v>28.5</v>
      </c>
      <c r="AE2625" s="7"/>
      <c r="AF2625" s="7"/>
      <c r="AG2625" s="7"/>
      <c r="AH2625" s="7"/>
      <c r="AI2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0.5077499999999997</v>
      </c>
      <c r="AJ2625" s="7"/>
      <c r="AK2625" t="s">
        <v>1324</v>
      </c>
      <c r="AN2625">
        <f>IFERROR(INT(Table13[[#This Row],[reject_prod]]/Table13[[#This Row],[part_weight]] * 1000), 0)</f>
        <v>308</v>
      </c>
    </row>
    <row r="2626" spans="1:40">
      <c r="A2626" s="1">
        <v>46100</v>
      </c>
      <c r="B2626">
        <v>1</v>
      </c>
      <c r="C2626">
        <v>9</v>
      </c>
      <c r="D2626" t="s">
        <v>129</v>
      </c>
      <c r="E2626" t="s">
        <v>46</v>
      </c>
      <c r="F2626">
        <v>586276</v>
      </c>
      <c r="G2626" s="6">
        <v>1</v>
      </c>
      <c r="H2626" t="s">
        <v>47</v>
      </c>
      <c r="I2626">
        <v>10689112</v>
      </c>
      <c r="J2626">
        <v>6</v>
      </c>
      <c r="K2626">
        <v>12.3</v>
      </c>
      <c r="L2626">
        <v>12.3</v>
      </c>
      <c r="M2626">
        <v>1564</v>
      </c>
      <c r="N2626" s="2">
        <v>162000</v>
      </c>
      <c r="O2626" s="2">
        <v>3645</v>
      </c>
      <c r="P2626" s="2">
        <v>4050</v>
      </c>
      <c r="Q2626" s="2">
        <v>9384</v>
      </c>
      <c r="R2626" s="2">
        <v>8100</v>
      </c>
      <c r="S2626">
        <v>99.63</v>
      </c>
      <c r="T2626" s="2">
        <v>20250</v>
      </c>
      <c r="U2626" s="2">
        <v>141750</v>
      </c>
      <c r="V2626">
        <v>115.42319999999999</v>
      </c>
      <c r="W2626">
        <v>0</v>
      </c>
      <c r="X2626">
        <v>0</v>
      </c>
      <c r="Y2626">
        <v>0</v>
      </c>
      <c r="Z2626">
        <v>2</v>
      </c>
      <c r="AA2626">
        <v>1.7327538999999999E-2</v>
      </c>
      <c r="AB2626">
        <v>27.7</v>
      </c>
      <c r="AC2626">
        <v>12</v>
      </c>
      <c r="AD2626">
        <v>26</v>
      </c>
      <c r="AE2626" s="7"/>
      <c r="AF2626" s="7"/>
      <c r="AG2626" s="7"/>
      <c r="AH2626" s="7"/>
      <c r="AI2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26" s="7"/>
      <c r="AK2626" t="s">
        <v>51</v>
      </c>
      <c r="AN2626">
        <f>IFERROR(INT(Table13[[#This Row],[reject_prod]]/Table13[[#This Row],[part_weight]] * 1000), 0)</f>
        <v>162</v>
      </c>
    </row>
    <row r="2627" spans="1:40">
      <c r="A2627" s="1">
        <v>46100</v>
      </c>
      <c r="B2627">
        <v>1</v>
      </c>
      <c r="C2627">
        <v>10</v>
      </c>
      <c r="D2627" t="s">
        <v>33</v>
      </c>
      <c r="E2627" t="s">
        <v>34</v>
      </c>
      <c r="F2627">
        <v>324638</v>
      </c>
      <c r="G2627" s="6">
        <v>0</v>
      </c>
      <c r="H2627" t="s">
        <v>687</v>
      </c>
      <c r="I2627">
        <v>10689561</v>
      </c>
      <c r="J2627">
        <v>4</v>
      </c>
      <c r="K2627">
        <v>77.5</v>
      </c>
      <c r="L2627">
        <v>77.5</v>
      </c>
      <c r="M2627">
        <v>0</v>
      </c>
      <c r="N2627" s="2">
        <v>33120</v>
      </c>
      <c r="O2627" s="2">
        <v>0</v>
      </c>
      <c r="P2627" s="2">
        <v>0</v>
      </c>
      <c r="Q2627" s="2">
        <v>0</v>
      </c>
      <c r="R2627" s="2">
        <v>0</v>
      </c>
      <c r="S2627">
        <v>0</v>
      </c>
      <c r="T2627" s="2">
        <v>0</v>
      </c>
      <c r="U2627" s="2">
        <v>33120</v>
      </c>
      <c r="V2627">
        <v>0</v>
      </c>
      <c r="W2627">
        <v>0</v>
      </c>
      <c r="X2627">
        <v>0</v>
      </c>
      <c r="Y2627" t="e">
        <v>#DIV/0!</v>
      </c>
      <c r="Z2627">
        <v>0</v>
      </c>
      <c r="AA2627" t="e">
        <v>#DIV/0!</v>
      </c>
      <c r="AB2627">
        <v>35</v>
      </c>
      <c r="AC2627">
        <v>0</v>
      </c>
      <c r="AD2627">
        <v>36</v>
      </c>
      <c r="AE2627" s="7"/>
      <c r="AF2627" s="7"/>
      <c r="AG2627" s="7"/>
      <c r="AH2627" s="7"/>
      <c r="AI2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7" s="7"/>
      <c r="AK2627" t="s">
        <v>1300</v>
      </c>
      <c r="AN2627">
        <f>IFERROR(INT(Table13[[#This Row],[reject_prod]]/Table13[[#This Row],[part_weight]] * 1000), 0)</f>
        <v>0</v>
      </c>
    </row>
    <row r="2628" spans="1:40">
      <c r="A2628" s="1">
        <v>46100</v>
      </c>
      <c r="B2628">
        <v>1</v>
      </c>
      <c r="C2628">
        <v>11</v>
      </c>
      <c r="D2628" t="s">
        <v>112</v>
      </c>
      <c r="E2628" t="s">
        <v>46</v>
      </c>
      <c r="F2628">
        <v>552181</v>
      </c>
      <c r="G2628" s="6">
        <v>1</v>
      </c>
      <c r="H2628" t="s">
        <v>49</v>
      </c>
      <c r="I2628">
        <v>10689113</v>
      </c>
      <c r="J2628">
        <v>6</v>
      </c>
      <c r="K2628">
        <v>14.7</v>
      </c>
      <c r="L2628">
        <v>14.7</v>
      </c>
      <c r="M2628">
        <v>1456</v>
      </c>
      <c r="N2628" s="2">
        <v>108000</v>
      </c>
      <c r="O2628" s="2">
        <v>3510</v>
      </c>
      <c r="P2628" s="2">
        <v>2160</v>
      </c>
      <c r="Q2628" s="2">
        <v>8736</v>
      </c>
      <c r="R2628" s="2">
        <v>10800</v>
      </c>
      <c r="S2628">
        <v>158.76</v>
      </c>
      <c r="T2628" s="2">
        <v>18360</v>
      </c>
      <c r="U2628" s="2">
        <v>89640</v>
      </c>
      <c r="V2628">
        <v>128.41919999999999</v>
      </c>
      <c r="W2628">
        <v>0</v>
      </c>
      <c r="X2628">
        <v>0</v>
      </c>
      <c r="Y2628">
        <v>0</v>
      </c>
      <c r="Z2628">
        <v>2</v>
      </c>
      <c r="AA2628">
        <v>1.5573995E-2</v>
      </c>
      <c r="AB2628">
        <v>29.2</v>
      </c>
      <c r="AC2628">
        <v>11.809777779999999</v>
      </c>
      <c r="AD2628">
        <v>27</v>
      </c>
      <c r="AE2628" s="7"/>
      <c r="AF2628" s="7"/>
      <c r="AG2628" s="7"/>
      <c r="AH2628" s="7"/>
      <c r="AI2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0.19022222000000077</v>
      </c>
      <c r="AJ2628" s="7"/>
      <c r="AK2628" t="s">
        <v>51</v>
      </c>
      <c r="AN2628">
        <f>IFERROR(INT(Table13[[#This Row],[reject_prod]]/Table13[[#This Row],[part_weight]] * 1000), 0)</f>
        <v>136</v>
      </c>
    </row>
    <row r="2629" spans="1:40">
      <c r="A2629" s="1">
        <v>46100</v>
      </c>
      <c r="B2629">
        <v>1</v>
      </c>
      <c r="C2629">
        <v>12</v>
      </c>
      <c r="D2629" t="s">
        <v>33</v>
      </c>
      <c r="E2629" t="s">
        <v>46</v>
      </c>
      <c r="F2629">
        <v>555979</v>
      </c>
      <c r="G2629" s="6">
        <v>1</v>
      </c>
      <c r="H2629" t="s">
        <v>52</v>
      </c>
      <c r="I2629">
        <v>10689126</v>
      </c>
      <c r="J2629">
        <v>6</v>
      </c>
      <c r="K2629">
        <v>28</v>
      </c>
      <c r="L2629">
        <v>28</v>
      </c>
      <c r="M2629">
        <v>0</v>
      </c>
      <c r="N2629" s="2">
        <v>100800</v>
      </c>
      <c r="O2629" s="2">
        <v>0</v>
      </c>
      <c r="P2629" s="2">
        <v>0</v>
      </c>
      <c r="Q2629" s="2">
        <v>0</v>
      </c>
      <c r="R2629" s="2">
        <v>0</v>
      </c>
      <c r="S2629">
        <v>0</v>
      </c>
      <c r="T2629" s="2">
        <v>0</v>
      </c>
      <c r="U2629" s="2">
        <v>100800</v>
      </c>
      <c r="V2629">
        <v>0</v>
      </c>
      <c r="W2629">
        <v>0</v>
      </c>
      <c r="X2629">
        <v>0</v>
      </c>
      <c r="Y2629" t="e">
        <v>#DIV/0!</v>
      </c>
      <c r="Z2629">
        <v>0</v>
      </c>
      <c r="AA2629" t="e">
        <v>#DIV/0!</v>
      </c>
      <c r="AB2629">
        <v>41.2</v>
      </c>
      <c r="AC2629">
        <v>0</v>
      </c>
      <c r="AD2629">
        <v>42</v>
      </c>
      <c r="AE2629" s="7"/>
      <c r="AF2629" s="7"/>
      <c r="AG2629" s="7"/>
      <c r="AH2629" s="7"/>
      <c r="AI2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9" s="7"/>
      <c r="AK2629" t="s">
        <v>1281</v>
      </c>
      <c r="AN2629">
        <f>IFERROR(INT(Table13[[#This Row],[reject_prod]]/Table13[[#This Row],[part_weight]] * 1000), 0)</f>
        <v>0</v>
      </c>
    </row>
    <row r="2630" spans="1:40">
      <c r="A2630" s="1">
        <v>46100</v>
      </c>
      <c r="B2630">
        <v>1</v>
      </c>
      <c r="C2630">
        <v>13</v>
      </c>
      <c r="D2630" t="s">
        <v>1325</v>
      </c>
      <c r="E2630" t="s">
        <v>46</v>
      </c>
      <c r="F2630">
        <v>586276</v>
      </c>
      <c r="G2630" s="6">
        <v>2</v>
      </c>
      <c r="H2630" t="s">
        <v>47</v>
      </c>
      <c r="I2630">
        <v>10689118</v>
      </c>
      <c r="J2630">
        <v>6</v>
      </c>
      <c r="K2630">
        <v>12.3</v>
      </c>
      <c r="L2630">
        <v>12.3</v>
      </c>
      <c r="M2630">
        <v>1620</v>
      </c>
      <c r="N2630" s="2">
        <v>162000</v>
      </c>
      <c r="O2630" s="2">
        <v>4860</v>
      </c>
      <c r="P2630" s="2">
        <v>6480</v>
      </c>
      <c r="Q2630" s="2">
        <v>9720</v>
      </c>
      <c r="R2630" s="2">
        <v>8100</v>
      </c>
      <c r="S2630">
        <v>99.63</v>
      </c>
      <c r="T2630" s="2">
        <v>160380</v>
      </c>
      <c r="U2630" s="2">
        <v>1620</v>
      </c>
      <c r="V2630">
        <v>119.556</v>
      </c>
      <c r="W2630">
        <v>0</v>
      </c>
      <c r="X2630">
        <v>0</v>
      </c>
      <c r="Y2630">
        <v>0</v>
      </c>
      <c r="Z2630">
        <v>2</v>
      </c>
      <c r="AA2630">
        <v>1.6728561999999999E-2</v>
      </c>
      <c r="AB2630">
        <v>26.2</v>
      </c>
      <c r="AC2630">
        <v>11.79</v>
      </c>
      <c r="AD2630">
        <v>26</v>
      </c>
      <c r="AE2630" s="7"/>
      <c r="AF2630" s="7"/>
      <c r="AG2630" s="7"/>
      <c r="AH2630" s="7"/>
      <c r="AI2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30" s="7"/>
      <c r="AK2630" t="s">
        <v>51</v>
      </c>
      <c r="AN2630">
        <f>IFERROR(INT(Table13[[#This Row],[reject_prod]]/Table13[[#This Row],[part_weight]] * 1000), 0)</f>
        <v>162</v>
      </c>
    </row>
    <row r="2631" spans="1:40">
      <c r="A2631" s="1">
        <v>46100</v>
      </c>
      <c r="B2631">
        <v>1</v>
      </c>
      <c r="C2631">
        <v>14</v>
      </c>
      <c r="D2631" t="s">
        <v>115</v>
      </c>
      <c r="E2631" t="s">
        <v>34</v>
      </c>
      <c r="F2631">
        <v>541381</v>
      </c>
      <c r="G2631" s="6">
        <v>0</v>
      </c>
      <c r="H2631" t="s">
        <v>804</v>
      </c>
      <c r="I2631">
        <v>10689120</v>
      </c>
      <c r="J2631">
        <v>4</v>
      </c>
      <c r="K2631">
        <v>55</v>
      </c>
      <c r="L2631">
        <v>55</v>
      </c>
      <c r="M2631">
        <v>1586</v>
      </c>
      <c r="N2631" s="2">
        <v>84000</v>
      </c>
      <c r="O2631" s="2">
        <v>175</v>
      </c>
      <c r="P2631" s="2">
        <v>350</v>
      </c>
      <c r="Q2631" s="2">
        <v>6344</v>
      </c>
      <c r="R2631" s="2">
        <v>6300</v>
      </c>
      <c r="S2631">
        <v>346.5</v>
      </c>
      <c r="T2631" s="2">
        <v>61250</v>
      </c>
      <c r="U2631" s="2">
        <v>22750</v>
      </c>
      <c r="V2631">
        <v>348.92</v>
      </c>
      <c r="W2631">
        <v>0</v>
      </c>
      <c r="X2631">
        <v>0</v>
      </c>
      <c r="Y2631">
        <v>0</v>
      </c>
      <c r="Z2631">
        <v>3.5</v>
      </c>
      <c r="AA2631">
        <v>1.0030953E-2</v>
      </c>
      <c r="AB2631">
        <v>26.8</v>
      </c>
      <c r="AC2631">
        <v>11.80688889</v>
      </c>
      <c r="AD2631">
        <v>30.08</v>
      </c>
      <c r="AE2631" s="7"/>
      <c r="AF2631" s="7"/>
      <c r="AG2631" s="7"/>
      <c r="AH2631" s="7"/>
      <c r="AI2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0.19311111000000025</v>
      </c>
      <c r="AJ2631" s="7"/>
      <c r="AK2631" t="s">
        <v>178</v>
      </c>
      <c r="AN2631">
        <f>IFERROR(INT(Table13[[#This Row],[reject_prod]]/Table13[[#This Row],[part_weight]] * 1000), 0)</f>
        <v>63</v>
      </c>
    </row>
    <row r="2632" spans="1:40">
      <c r="A2632" s="1">
        <v>46100</v>
      </c>
      <c r="B2632">
        <v>1</v>
      </c>
      <c r="C2632">
        <v>15</v>
      </c>
      <c r="D2632" t="s">
        <v>1326</v>
      </c>
      <c r="E2632" t="s">
        <v>46</v>
      </c>
      <c r="F2632">
        <v>552181</v>
      </c>
      <c r="G2632" s="6">
        <v>2</v>
      </c>
      <c r="H2632" t="s">
        <v>49</v>
      </c>
      <c r="I2632">
        <v>10689123</v>
      </c>
      <c r="J2632">
        <v>6</v>
      </c>
      <c r="K2632">
        <v>14.7</v>
      </c>
      <c r="L2632">
        <v>14.7</v>
      </c>
      <c r="M2632">
        <v>1392</v>
      </c>
      <c r="N2632" s="2">
        <v>108000</v>
      </c>
      <c r="O2632" s="2">
        <v>1890</v>
      </c>
      <c r="P2632" s="2">
        <v>2970</v>
      </c>
      <c r="Q2632" s="2">
        <v>8352</v>
      </c>
      <c r="R2632" s="2">
        <v>0</v>
      </c>
      <c r="S2632">
        <v>0</v>
      </c>
      <c r="T2632" s="2">
        <v>35370</v>
      </c>
      <c r="U2632" s="2">
        <v>72630</v>
      </c>
      <c r="V2632">
        <v>122.7744</v>
      </c>
      <c r="W2632">
        <v>0</v>
      </c>
      <c r="X2632">
        <v>0</v>
      </c>
      <c r="Y2632">
        <v>0</v>
      </c>
      <c r="Z2632">
        <v>0.5</v>
      </c>
      <c r="AA2632">
        <v>4.0725099999999997E-3</v>
      </c>
      <c r="AB2632">
        <v>30.6</v>
      </c>
      <c r="AC2632">
        <v>11.832000000000001</v>
      </c>
      <c r="AD2632">
        <v>27</v>
      </c>
      <c r="AE2632" s="7"/>
      <c r="AF2632" s="7"/>
      <c r="AG2632" s="7"/>
      <c r="AH2632" s="7"/>
      <c r="AI2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632" s="7"/>
      <c r="AK2632" t="s">
        <v>1327</v>
      </c>
      <c r="AN2632">
        <f>IFERROR(INT(Table13[[#This Row],[reject_prod]]/Table13[[#This Row],[part_weight]] * 1000), 0)</f>
        <v>34</v>
      </c>
    </row>
    <row r="2633" spans="1:40">
      <c r="A2633" s="1">
        <v>46100</v>
      </c>
      <c r="B2633">
        <v>1</v>
      </c>
      <c r="C2633">
        <v>16</v>
      </c>
      <c r="D2633" t="s">
        <v>129</v>
      </c>
      <c r="E2633" t="s">
        <v>46</v>
      </c>
      <c r="F2633">
        <v>555979</v>
      </c>
      <c r="G2633" s="6">
        <v>2</v>
      </c>
      <c r="H2633" t="s">
        <v>52</v>
      </c>
      <c r="I2633">
        <v>10689125</v>
      </c>
      <c r="J2633">
        <v>6</v>
      </c>
      <c r="K2633">
        <v>28</v>
      </c>
      <c r="L2633">
        <v>28</v>
      </c>
      <c r="M2633">
        <v>0</v>
      </c>
      <c r="N2633" s="2">
        <v>100800</v>
      </c>
      <c r="O2633" s="2">
        <v>336</v>
      </c>
      <c r="P2633" s="2">
        <v>504</v>
      </c>
      <c r="Q2633" s="2">
        <v>0</v>
      </c>
      <c r="R2633" s="2">
        <v>0</v>
      </c>
      <c r="S2633">
        <v>0</v>
      </c>
      <c r="T2633" s="2">
        <v>30744</v>
      </c>
      <c r="U2633" s="2">
        <v>70056</v>
      </c>
      <c r="V2633">
        <v>0</v>
      </c>
      <c r="W2633">
        <v>0</v>
      </c>
      <c r="X2633">
        <v>6.5</v>
      </c>
      <c r="Y2633" t="e">
        <v>#DIV/0!</v>
      </c>
      <c r="Z2633">
        <v>0</v>
      </c>
      <c r="AA2633" t="e">
        <v>#DIV/0!</v>
      </c>
      <c r="AB2633">
        <v>40.5</v>
      </c>
      <c r="AC2633">
        <v>0</v>
      </c>
      <c r="AD2633">
        <v>42</v>
      </c>
      <c r="AE2633" s="7"/>
      <c r="AF2633" s="7"/>
      <c r="AG2633" s="7"/>
      <c r="AH2633" s="7"/>
      <c r="AI2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33" s="7"/>
      <c r="AK2633" t="s">
        <v>1328</v>
      </c>
      <c r="AN2633">
        <f>IFERROR(INT(Table13[[#This Row],[reject_prod]]/Table13[[#This Row],[part_weight]] * 1000), 0)</f>
        <v>0</v>
      </c>
    </row>
    <row r="2634" spans="1:40">
      <c r="A2634" s="1">
        <v>46100</v>
      </c>
      <c r="B2634">
        <v>2</v>
      </c>
      <c r="C2634">
        <v>1</v>
      </c>
      <c r="D2634" t="s">
        <v>56</v>
      </c>
      <c r="E2634" t="s">
        <v>34</v>
      </c>
      <c r="F2634">
        <v>504598</v>
      </c>
      <c r="G2634" s="6">
        <v>0</v>
      </c>
      <c r="H2634" t="s">
        <v>1027</v>
      </c>
      <c r="I2634">
        <v>10689498</v>
      </c>
      <c r="J2634">
        <v>4</v>
      </c>
      <c r="K2634">
        <v>30.2</v>
      </c>
      <c r="L2634">
        <v>28</v>
      </c>
      <c r="M2634">
        <v>1636</v>
      </c>
      <c r="N2634" s="2">
        <v>10080</v>
      </c>
      <c r="O2634" s="2">
        <v>2016</v>
      </c>
      <c r="P2634" s="2">
        <v>336</v>
      </c>
      <c r="Q2634" s="2">
        <v>6544</v>
      </c>
      <c r="R2634" s="2">
        <v>8064</v>
      </c>
      <c r="S2634">
        <v>225.792</v>
      </c>
      <c r="T2634" s="2">
        <v>8400</v>
      </c>
      <c r="U2634" s="2">
        <v>1680</v>
      </c>
      <c r="V2634">
        <v>183.232</v>
      </c>
      <c r="W2634">
        <v>14.396800000000001</v>
      </c>
      <c r="X2634">
        <v>0</v>
      </c>
      <c r="Y2634">
        <v>0</v>
      </c>
      <c r="Z2634">
        <v>1</v>
      </c>
      <c r="AA2634">
        <v>5.457562E-3</v>
      </c>
      <c r="AB2634">
        <v>25.5</v>
      </c>
      <c r="AC2634">
        <v>11.588333329999999</v>
      </c>
      <c r="AD2634">
        <v>22.24</v>
      </c>
      <c r="AE2634" s="7"/>
      <c r="AF2634" s="7"/>
      <c r="AG2634" s="7"/>
      <c r="AH2634" s="7"/>
      <c r="AI2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0.41166667000000068</v>
      </c>
      <c r="AJ2634" s="7"/>
      <c r="AK2634" t="s">
        <v>1329</v>
      </c>
      <c r="AN2634">
        <f>IFERROR(INT(Table13[[#This Row],[reject_prod]]/Table13[[#This Row],[part_weight]] * 1000), 0)</f>
        <v>35</v>
      </c>
    </row>
    <row r="2635" spans="1:40">
      <c r="A2635" s="1">
        <v>46100</v>
      </c>
      <c r="B2635">
        <v>2</v>
      </c>
      <c r="C2635">
        <v>2</v>
      </c>
      <c r="D2635" t="s">
        <v>1330</v>
      </c>
      <c r="E2635" t="s">
        <v>34</v>
      </c>
      <c r="F2635">
        <v>543590</v>
      </c>
      <c r="G2635" s="6">
        <v>0</v>
      </c>
      <c r="H2635" t="s">
        <v>913</v>
      </c>
      <c r="I2635">
        <v>10688496</v>
      </c>
      <c r="J2635">
        <v>4</v>
      </c>
      <c r="K2635">
        <v>19</v>
      </c>
      <c r="L2635">
        <v>19</v>
      </c>
      <c r="M2635">
        <v>2000</v>
      </c>
      <c r="N2635" s="2">
        <v>57288</v>
      </c>
      <c r="O2635" s="2">
        <v>4312</v>
      </c>
      <c r="P2635" s="2">
        <v>4928</v>
      </c>
      <c r="Q2635" s="2">
        <v>8000</v>
      </c>
      <c r="R2635" s="2">
        <v>7392</v>
      </c>
      <c r="S2635">
        <v>140.44800000000001</v>
      </c>
      <c r="T2635" s="2">
        <v>19712</v>
      </c>
      <c r="U2635" s="2">
        <v>37576</v>
      </c>
      <c r="V2635">
        <v>152</v>
      </c>
      <c r="W2635">
        <v>0</v>
      </c>
      <c r="X2635">
        <v>0</v>
      </c>
      <c r="Y2635">
        <v>0</v>
      </c>
      <c r="Z2635">
        <v>0.5</v>
      </c>
      <c r="AA2635">
        <v>3.2894740000000001E-3</v>
      </c>
      <c r="AB2635">
        <v>22</v>
      </c>
      <c r="AC2635">
        <v>12</v>
      </c>
      <c r="AD2635">
        <v>18.72</v>
      </c>
      <c r="AE2635" s="7"/>
      <c r="AF2635" s="7"/>
      <c r="AG2635" s="7"/>
      <c r="AH2635" s="7"/>
      <c r="AI2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35" s="7"/>
      <c r="AK2635" t="s">
        <v>51</v>
      </c>
      <c r="AN2635">
        <f>IFERROR(INT(Table13[[#This Row],[reject_prod]]/Table13[[#This Row],[part_weight]] * 1000), 0)</f>
        <v>26</v>
      </c>
    </row>
    <row r="2636" spans="1:40">
      <c r="A2636" s="1">
        <v>46100</v>
      </c>
      <c r="B2636">
        <v>2</v>
      </c>
      <c r="C2636">
        <v>3</v>
      </c>
      <c r="D2636" t="s">
        <v>117</v>
      </c>
      <c r="E2636" t="s">
        <v>34</v>
      </c>
      <c r="F2636">
        <v>442034</v>
      </c>
      <c r="G2636" s="6">
        <v>0</v>
      </c>
      <c r="H2636" t="s">
        <v>37</v>
      </c>
      <c r="I2636">
        <v>10688497</v>
      </c>
      <c r="J2636">
        <v>4</v>
      </c>
      <c r="K2636">
        <v>23</v>
      </c>
      <c r="L2636">
        <v>23</v>
      </c>
      <c r="M2636">
        <v>1536</v>
      </c>
      <c r="N2636" s="2">
        <v>139776</v>
      </c>
      <c r="O2636" s="2">
        <v>2304</v>
      </c>
      <c r="P2636" s="2">
        <v>3840</v>
      </c>
      <c r="Q2636" s="2">
        <v>6144</v>
      </c>
      <c r="R2636" s="2">
        <v>4608</v>
      </c>
      <c r="S2636">
        <v>105.98399999999999</v>
      </c>
      <c r="T2636" s="2">
        <v>13056</v>
      </c>
      <c r="U2636" s="2">
        <v>126720</v>
      </c>
      <c r="V2636">
        <v>141.31200000000001</v>
      </c>
      <c r="W2636">
        <v>0</v>
      </c>
      <c r="X2636">
        <v>0</v>
      </c>
      <c r="Y2636">
        <v>0</v>
      </c>
      <c r="Z2636">
        <v>1.2</v>
      </c>
      <c r="AA2636">
        <v>8.4918479999999998E-3</v>
      </c>
      <c r="AB2636">
        <v>27.8</v>
      </c>
      <c r="AC2636">
        <v>11.861333330000001</v>
      </c>
      <c r="AD2636">
        <v>22</v>
      </c>
      <c r="AE2636" s="7"/>
      <c r="AF2636" s="7"/>
      <c r="AG2636" s="7"/>
      <c r="AH2636" s="7"/>
      <c r="AI2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636" s="7"/>
      <c r="AK2636" t="s">
        <v>103</v>
      </c>
      <c r="AN2636">
        <f>IFERROR(INT(Table13[[#This Row],[reject_prod]]/Table13[[#This Row],[part_weight]] * 1000), 0)</f>
        <v>52</v>
      </c>
    </row>
    <row r="2637" spans="1:40">
      <c r="A2637" s="1">
        <v>46100</v>
      </c>
      <c r="B2637">
        <v>2</v>
      </c>
      <c r="C2637">
        <v>4</v>
      </c>
      <c r="D2637" t="s">
        <v>88</v>
      </c>
      <c r="E2637" t="s">
        <v>34</v>
      </c>
      <c r="F2637">
        <v>451191</v>
      </c>
      <c r="G2637" s="6">
        <v>0</v>
      </c>
      <c r="H2637" t="s">
        <v>946</v>
      </c>
      <c r="I2637">
        <v>10690450</v>
      </c>
      <c r="J2637">
        <v>4</v>
      </c>
      <c r="K2637">
        <v>29</v>
      </c>
      <c r="L2637">
        <v>29</v>
      </c>
      <c r="M2637">
        <v>1722</v>
      </c>
      <c r="N2637" s="2">
        <v>110160</v>
      </c>
      <c r="O2637" s="2">
        <v>0</v>
      </c>
      <c r="P2637" s="2">
        <v>462</v>
      </c>
      <c r="Q2637" s="2">
        <v>6888</v>
      </c>
      <c r="R2637" s="2">
        <v>6426</v>
      </c>
      <c r="S2637">
        <v>186.35400000000001</v>
      </c>
      <c r="T2637" s="2">
        <v>29838</v>
      </c>
      <c r="U2637" s="2">
        <v>80322</v>
      </c>
      <c r="V2637">
        <v>199.75200000000001</v>
      </c>
      <c r="W2637">
        <v>0</v>
      </c>
      <c r="X2637">
        <v>0</v>
      </c>
      <c r="Y2637">
        <v>0</v>
      </c>
      <c r="Z2637">
        <v>0.5</v>
      </c>
      <c r="AA2637">
        <v>2.5031039999999999E-3</v>
      </c>
      <c r="AB2637">
        <v>25</v>
      </c>
      <c r="AC2637">
        <v>11.95833333</v>
      </c>
      <c r="AD2637">
        <v>24</v>
      </c>
      <c r="AE2637" s="7"/>
      <c r="AF2637" s="7"/>
      <c r="AG2637" s="7"/>
      <c r="AH2637" s="7"/>
      <c r="AI26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4.1666669999999684E-2</v>
      </c>
      <c r="AJ2637" s="7"/>
      <c r="AK2637" t="s">
        <v>51</v>
      </c>
      <c r="AN2637">
        <f>IFERROR(INT(Table13[[#This Row],[reject_prod]]/Table13[[#This Row],[part_weight]] * 1000), 0)</f>
        <v>17</v>
      </c>
    </row>
    <row r="2638" spans="1:40">
      <c r="A2638" s="1">
        <v>46100</v>
      </c>
      <c r="B2638">
        <v>2</v>
      </c>
      <c r="C2638">
        <v>5</v>
      </c>
      <c r="D2638" t="s">
        <v>33</v>
      </c>
      <c r="E2638" t="s">
        <v>34</v>
      </c>
      <c r="F2638">
        <v>322382</v>
      </c>
      <c r="G2638" s="6">
        <v>0</v>
      </c>
      <c r="H2638" t="s">
        <v>1184</v>
      </c>
      <c r="I2638">
        <v>10689314</v>
      </c>
      <c r="J2638">
        <v>4</v>
      </c>
      <c r="K2638">
        <v>18.8</v>
      </c>
      <c r="L2638">
        <v>11.3</v>
      </c>
      <c r="M2638">
        <v>0</v>
      </c>
      <c r="N2638" s="2">
        <v>10350</v>
      </c>
      <c r="O2638" s="2">
        <v>0</v>
      </c>
      <c r="P2638" s="2">
        <v>0</v>
      </c>
      <c r="Q2638" s="2">
        <v>0</v>
      </c>
      <c r="R2638" s="2">
        <v>0</v>
      </c>
      <c r="S2638">
        <v>0</v>
      </c>
      <c r="T2638" s="2">
        <v>0</v>
      </c>
      <c r="U2638" s="2">
        <v>10350</v>
      </c>
      <c r="V2638">
        <v>0</v>
      </c>
      <c r="W2638">
        <v>0</v>
      </c>
      <c r="X2638">
        <v>11.3</v>
      </c>
      <c r="Y2638" t="e">
        <v>#DIV/0!</v>
      </c>
      <c r="Z2638">
        <v>0</v>
      </c>
      <c r="AA2638" t="e">
        <v>#DIV/0!</v>
      </c>
      <c r="AB2638">
        <v>0</v>
      </c>
      <c r="AC2638">
        <v>0</v>
      </c>
      <c r="AD2638">
        <v>15.44</v>
      </c>
      <c r="AE2638" s="7"/>
      <c r="AF2638" s="7"/>
      <c r="AG2638" s="7"/>
      <c r="AH2638" s="7"/>
      <c r="AI2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38" s="7"/>
      <c r="AK2638" t="s">
        <v>1331</v>
      </c>
      <c r="AN2638">
        <f>IFERROR(INT(Table13[[#This Row],[reject_prod]]/Table13[[#This Row],[part_weight]] * 1000), 0)</f>
        <v>0</v>
      </c>
    </row>
    <row r="2639" spans="1:40">
      <c r="A2639" s="1">
        <v>46100</v>
      </c>
      <c r="B2639">
        <v>2</v>
      </c>
      <c r="C2639">
        <v>6</v>
      </c>
      <c r="D2639" t="s">
        <v>33</v>
      </c>
      <c r="E2639" t="s">
        <v>34</v>
      </c>
      <c r="F2639">
        <v>322435</v>
      </c>
      <c r="G2639" s="6">
        <v>0</v>
      </c>
      <c r="H2639" t="s">
        <v>216</v>
      </c>
      <c r="I2639">
        <v>10680041</v>
      </c>
      <c r="J2639">
        <v>4</v>
      </c>
      <c r="K2639">
        <v>34.5</v>
      </c>
      <c r="L2639">
        <v>34.5</v>
      </c>
      <c r="M2639">
        <v>0</v>
      </c>
      <c r="N2639" s="2">
        <v>16380</v>
      </c>
      <c r="O2639" s="2">
        <v>0</v>
      </c>
      <c r="P2639" s="2">
        <v>0</v>
      </c>
      <c r="Q2639" s="2">
        <v>0</v>
      </c>
      <c r="R2639" s="2">
        <v>0</v>
      </c>
      <c r="S2639">
        <v>0</v>
      </c>
      <c r="T2639" s="2">
        <v>0</v>
      </c>
      <c r="U2639" s="2">
        <v>16380</v>
      </c>
      <c r="V2639">
        <v>0</v>
      </c>
      <c r="W2639">
        <v>0</v>
      </c>
      <c r="X2639">
        <v>6</v>
      </c>
      <c r="Y2639" t="e">
        <v>#DIV/0!</v>
      </c>
      <c r="Z2639">
        <v>0</v>
      </c>
      <c r="AA2639" t="e">
        <v>#DIV/0!</v>
      </c>
      <c r="AB2639">
        <v>24.55</v>
      </c>
      <c r="AC2639">
        <v>0</v>
      </c>
      <c r="AD2639">
        <v>22</v>
      </c>
      <c r="AE2639" s="7"/>
      <c r="AF2639" s="7"/>
      <c r="AG2639" s="7"/>
      <c r="AH2639" s="7">
        <v>3</v>
      </c>
      <c r="AI2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639" s="7"/>
      <c r="AK2639" t="s">
        <v>1332</v>
      </c>
      <c r="AN2639">
        <f>IFERROR(INT(Table13[[#This Row],[reject_prod]]/Table13[[#This Row],[part_weight]] * 1000), 0)</f>
        <v>0</v>
      </c>
    </row>
    <row r="2640" spans="1:40">
      <c r="A2640" s="1">
        <v>46100</v>
      </c>
      <c r="B2640">
        <v>2</v>
      </c>
      <c r="C2640">
        <v>7</v>
      </c>
      <c r="D2640" t="s">
        <v>289</v>
      </c>
      <c r="E2640" t="s">
        <v>34</v>
      </c>
      <c r="F2640">
        <v>597507</v>
      </c>
      <c r="G2640" s="6">
        <v>0</v>
      </c>
      <c r="H2640" t="s">
        <v>279</v>
      </c>
      <c r="I2640">
        <v>10690042</v>
      </c>
      <c r="J2640">
        <v>3</v>
      </c>
      <c r="K2640">
        <v>23</v>
      </c>
      <c r="L2640">
        <v>23</v>
      </c>
      <c r="M2640">
        <v>1620</v>
      </c>
      <c r="N2640" s="2">
        <v>86240</v>
      </c>
      <c r="O2640" s="2">
        <v>1540</v>
      </c>
      <c r="P2640" s="2">
        <v>1286</v>
      </c>
      <c r="Q2640" s="2">
        <v>4860</v>
      </c>
      <c r="R2640" s="2">
        <v>4312</v>
      </c>
      <c r="S2640">
        <v>99.176000000000002</v>
      </c>
      <c r="T2640" s="2">
        <v>13244</v>
      </c>
      <c r="U2640" s="2">
        <v>72996</v>
      </c>
      <c r="V2640">
        <v>111.78</v>
      </c>
      <c r="W2640">
        <v>0</v>
      </c>
      <c r="X2640">
        <v>0</v>
      </c>
      <c r="Y2640">
        <v>0</v>
      </c>
      <c r="Z2640">
        <v>32.4</v>
      </c>
      <c r="AA2640">
        <v>0.28985507199999999</v>
      </c>
      <c r="AB2640">
        <v>20.2</v>
      </c>
      <c r="AC2640">
        <v>9.09</v>
      </c>
      <c r="AD2640">
        <v>22</v>
      </c>
      <c r="AE2640" s="7"/>
      <c r="AF2640" s="7"/>
      <c r="AG2640" s="7"/>
      <c r="AH2640" s="7"/>
      <c r="AI2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2.91</v>
      </c>
      <c r="AJ2640" s="7"/>
      <c r="AK2640" t="s">
        <v>1333</v>
      </c>
      <c r="AN2640">
        <f>IFERROR(INT(Table13[[#This Row],[reject_prod]]/Table13[[#This Row],[part_weight]] * 1000), 0)</f>
        <v>1408</v>
      </c>
    </row>
    <row r="2641" spans="1:40">
      <c r="A2641" s="1">
        <v>46100</v>
      </c>
      <c r="B2641">
        <v>2</v>
      </c>
      <c r="C2641">
        <v>8</v>
      </c>
      <c r="D2641" t="s">
        <v>1334</v>
      </c>
      <c r="E2641" t="s">
        <v>41</v>
      </c>
      <c r="F2641">
        <v>593537</v>
      </c>
      <c r="G2641" s="6">
        <v>0</v>
      </c>
      <c r="H2641" t="s">
        <v>48</v>
      </c>
      <c r="I2641">
        <v>10689826</v>
      </c>
      <c r="J2641">
        <v>4</v>
      </c>
      <c r="K2641">
        <v>56.5</v>
      </c>
      <c r="L2641">
        <v>56.8</v>
      </c>
      <c r="M2641">
        <v>1466</v>
      </c>
      <c r="N2641" s="2">
        <v>69000</v>
      </c>
      <c r="O2641" s="2">
        <v>0</v>
      </c>
      <c r="P2641" s="2">
        <v>115</v>
      </c>
      <c r="Q2641" s="2">
        <v>5864</v>
      </c>
      <c r="R2641" s="2">
        <v>5750</v>
      </c>
      <c r="S2641">
        <v>326.60000000000002</v>
      </c>
      <c r="T2641" s="2">
        <v>34040</v>
      </c>
      <c r="U2641" s="2">
        <v>34960</v>
      </c>
      <c r="V2641">
        <v>333.0752</v>
      </c>
      <c r="W2641">
        <v>0</v>
      </c>
      <c r="X2641">
        <v>0</v>
      </c>
      <c r="Y2641">
        <v>0</v>
      </c>
      <c r="Z2641">
        <v>1.6</v>
      </c>
      <c r="AA2641">
        <v>4.80372E-3</v>
      </c>
      <c r="AB2641">
        <v>29.7</v>
      </c>
      <c r="AC2641">
        <v>12</v>
      </c>
      <c r="AD2641">
        <v>28.5</v>
      </c>
      <c r="AE2641" s="7"/>
      <c r="AF2641" s="7"/>
      <c r="AG2641" s="7"/>
      <c r="AH2641" s="7"/>
      <c r="AI2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41" s="7"/>
      <c r="AK2641" t="s">
        <v>57</v>
      </c>
      <c r="AN2641">
        <f>IFERROR(INT(Table13[[#This Row],[reject_prod]]/Table13[[#This Row],[part_weight]] * 1000), 0)</f>
        <v>28</v>
      </c>
    </row>
    <row r="2642" spans="1:40">
      <c r="A2642" s="1">
        <v>46100</v>
      </c>
      <c r="B2642">
        <v>2</v>
      </c>
      <c r="C2642">
        <v>9</v>
      </c>
      <c r="D2642" t="s">
        <v>58</v>
      </c>
      <c r="E2642" t="s">
        <v>46</v>
      </c>
      <c r="F2642">
        <v>586276</v>
      </c>
      <c r="G2642" s="6">
        <v>1</v>
      </c>
      <c r="H2642" t="s">
        <v>47</v>
      </c>
      <c r="I2642">
        <v>10689112</v>
      </c>
      <c r="J2642">
        <v>6</v>
      </c>
      <c r="K2642">
        <v>12.3</v>
      </c>
      <c r="L2642">
        <v>12.3</v>
      </c>
      <c r="M2642">
        <v>1580</v>
      </c>
      <c r="N2642" s="2">
        <v>162000</v>
      </c>
      <c r="O2642" s="2">
        <v>4050</v>
      </c>
      <c r="P2642" s="2">
        <v>4860</v>
      </c>
      <c r="Q2642" s="2">
        <v>9480</v>
      </c>
      <c r="R2642" s="2">
        <v>8100</v>
      </c>
      <c r="S2642">
        <v>99.63</v>
      </c>
      <c r="T2642" s="2">
        <v>29160</v>
      </c>
      <c r="U2642" s="2">
        <v>132840</v>
      </c>
      <c r="V2642">
        <v>116.604</v>
      </c>
      <c r="W2642">
        <v>0</v>
      </c>
      <c r="X2642">
        <v>0</v>
      </c>
      <c r="Y2642">
        <v>0</v>
      </c>
      <c r="Z2642">
        <v>1.2</v>
      </c>
      <c r="AA2642">
        <v>1.0291242000000001E-2</v>
      </c>
      <c r="AB2642">
        <v>26.9</v>
      </c>
      <c r="AC2642">
        <v>11.80611111</v>
      </c>
      <c r="AD2642">
        <v>26</v>
      </c>
      <c r="AE2642" s="7"/>
      <c r="AF2642" s="7"/>
      <c r="AG2642" s="7"/>
      <c r="AH2642" s="7"/>
      <c r="AI2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0.1938888900000002</v>
      </c>
      <c r="AJ2642" s="7"/>
      <c r="AK2642" t="s">
        <v>51</v>
      </c>
      <c r="AN2642">
        <f>IFERROR(INT(Table13[[#This Row],[reject_prod]]/Table13[[#This Row],[part_weight]] * 1000), 0)</f>
        <v>97</v>
      </c>
    </row>
    <row r="2643" spans="1:40">
      <c r="A2643" s="1">
        <v>46100</v>
      </c>
      <c r="B2643">
        <v>2</v>
      </c>
      <c r="C2643">
        <v>10</v>
      </c>
      <c r="D2643" t="s">
        <v>33</v>
      </c>
      <c r="E2643" t="s">
        <v>34</v>
      </c>
      <c r="F2643">
        <v>324638</v>
      </c>
      <c r="G2643" s="6">
        <v>0</v>
      </c>
      <c r="H2643" t="s">
        <v>687</v>
      </c>
      <c r="I2643">
        <v>10689561</v>
      </c>
      <c r="J2643">
        <v>4</v>
      </c>
      <c r="K2643">
        <v>77.5</v>
      </c>
      <c r="L2643">
        <v>77.5</v>
      </c>
      <c r="M2643">
        <v>0</v>
      </c>
      <c r="N2643" s="2">
        <v>13248</v>
      </c>
      <c r="O2643" s="2">
        <v>0</v>
      </c>
      <c r="P2643" s="2">
        <v>0</v>
      </c>
      <c r="Q2643" s="2">
        <v>0</v>
      </c>
      <c r="R2643" s="2">
        <v>0</v>
      </c>
      <c r="S2643">
        <v>0</v>
      </c>
      <c r="T2643" s="2">
        <v>0</v>
      </c>
      <c r="U2643" s="2">
        <v>13248</v>
      </c>
      <c r="V2643">
        <v>0</v>
      </c>
      <c r="W2643">
        <v>0</v>
      </c>
      <c r="X2643">
        <v>0</v>
      </c>
      <c r="Y2643" t="e">
        <v>#DIV/0!</v>
      </c>
      <c r="Z2643">
        <v>0</v>
      </c>
      <c r="AA2643" t="e">
        <v>#DIV/0!</v>
      </c>
      <c r="AB2643">
        <v>35</v>
      </c>
      <c r="AC2643">
        <v>0</v>
      </c>
      <c r="AD2643">
        <v>36</v>
      </c>
      <c r="AE2643" s="7"/>
      <c r="AF2643" s="7"/>
      <c r="AG2643" s="7"/>
      <c r="AH2643" s="7"/>
      <c r="AI2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43" s="7"/>
      <c r="AK2643" t="s">
        <v>1317</v>
      </c>
      <c r="AN2643">
        <f>IFERROR(INT(Table13[[#This Row],[reject_prod]]/Table13[[#This Row],[part_weight]] * 1000), 0)</f>
        <v>0</v>
      </c>
    </row>
    <row r="2644" spans="1:40">
      <c r="A2644" s="1">
        <v>46100</v>
      </c>
      <c r="B2644">
        <v>2</v>
      </c>
      <c r="C2644">
        <v>11</v>
      </c>
      <c r="D2644" t="s">
        <v>59</v>
      </c>
      <c r="E2644" t="s">
        <v>46</v>
      </c>
      <c r="F2644">
        <v>552181</v>
      </c>
      <c r="G2644" s="6">
        <v>1</v>
      </c>
      <c r="H2644" t="s">
        <v>49</v>
      </c>
      <c r="I2644">
        <v>10689113</v>
      </c>
      <c r="J2644">
        <v>6</v>
      </c>
      <c r="K2644">
        <v>14.7</v>
      </c>
      <c r="L2644">
        <v>14.7</v>
      </c>
      <c r="M2644">
        <v>1450</v>
      </c>
      <c r="N2644" s="2">
        <v>108000</v>
      </c>
      <c r="O2644" s="2">
        <v>2160</v>
      </c>
      <c r="P2644" s="2">
        <v>5400</v>
      </c>
      <c r="Q2644" s="2">
        <v>8700</v>
      </c>
      <c r="R2644" s="2">
        <v>5400</v>
      </c>
      <c r="S2644">
        <v>79.38</v>
      </c>
      <c r="T2644" s="2">
        <v>27000</v>
      </c>
      <c r="U2644" s="2">
        <v>81000</v>
      </c>
      <c r="V2644">
        <v>127.89</v>
      </c>
      <c r="W2644">
        <v>0</v>
      </c>
      <c r="X2644">
        <v>0</v>
      </c>
      <c r="Y2644">
        <v>0</v>
      </c>
      <c r="Z2644">
        <v>1</v>
      </c>
      <c r="AA2644">
        <v>7.81922E-3</v>
      </c>
      <c r="AB2644">
        <v>29.2</v>
      </c>
      <c r="AC2644">
        <v>11.76111111</v>
      </c>
      <c r="AD2644">
        <v>27</v>
      </c>
      <c r="AE2644" s="7"/>
      <c r="AF2644" s="7"/>
      <c r="AG2644" s="7"/>
      <c r="AH2644" s="7"/>
      <c r="AI2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0.23888889000000013</v>
      </c>
      <c r="AJ2644" s="7"/>
      <c r="AK2644" t="s">
        <v>51</v>
      </c>
      <c r="AN2644">
        <f>IFERROR(INT(Table13[[#This Row],[reject_prod]]/Table13[[#This Row],[part_weight]] * 1000), 0)</f>
        <v>68</v>
      </c>
    </row>
    <row r="2645" spans="1:40">
      <c r="A2645" s="1">
        <v>46100</v>
      </c>
      <c r="B2645">
        <v>2</v>
      </c>
      <c r="C2645">
        <v>12</v>
      </c>
      <c r="D2645" t="s">
        <v>33</v>
      </c>
      <c r="E2645" t="s">
        <v>46</v>
      </c>
      <c r="F2645">
        <v>555979</v>
      </c>
      <c r="G2645" s="6">
        <v>1</v>
      </c>
      <c r="H2645" t="s">
        <v>52</v>
      </c>
      <c r="I2645">
        <v>10689126</v>
      </c>
      <c r="J2645">
        <v>6</v>
      </c>
      <c r="K2645">
        <v>28</v>
      </c>
      <c r="L2645">
        <v>28</v>
      </c>
      <c r="M2645">
        <v>0</v>
      </c>
      <c r="N2645" s="2">
        <v>100800</v>
      </c>
      <c r="O2645" s="2">
        <v>0</v>
      </c>
      <c r="P2645" s="2">
        <v>0</v>
      </c>
      <c r="Q2645" s="2">
        <v>0</v>
      </c>
      <c r="R2645" s="2">
        <v>0</v>
      </c>
      <c r="S2645">
        <v>0</v>
      </c>
      <c r="T2645" s="2">
        <v>13440</v>
      </c>
      <c r="U2645" s="2">
        <v>87360</v>
      </c>
      <c r="V2645">
        <v>0</v>
      </c>
      <c r="W2645">
        <v>0</v>
      </c>
      <c r="X2645">
        <v>0</v>
      </c>
      <c r="Y2645" t="e">
        <v>#DIV/0!</v>
      </c>
      <c r="Z2645">
        <v>0</v>
      </c>
      <c r="AA2645" t="e">
        <v>#DIV/0!</v>
      </c>
      <c r="AB2645">
        <v>41.2</v>
      </c>
      <c r="AC2645">
        <v>0</v>
      </c>
      <c r="AD2645">
        <v>42</v>
      </c>
      <c r="AE2645" s="7"/>
      <c r="AF2645" s="7"/>
      <c r="AG2645" s="7"/>
      <c r="AH2645" s="7"/>
      <c r="AI2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45" s="7"/>
      <c r="AK2645" t="s">
        <v>1281</v>
      </c>
      <c r="AN2645">
        <f>IFERROR(INT(Table13[[#This Row],[reject_prod]]/Table13[[#This Row],[part_weight]] * 1000), 0)</f>
        <v>0</v>
      </c>
    </row>
    <row r="2646" spans="1:40">
      <c r="A2646" s="1">
        <v>46100</v>
      </c>
      <c r="B2646">
        <v>2</v>
      </c>
      <c r="C2646">
        <v>13</v>
      </c>
      <c r="D2646" t="s">
        <v>59</v>
      </c>
      <c r="E2646" t="s">
        <v>46</v>
      </c>
      <c r="F2646">
        <v>586276</v>
      </c>
      <c r="G2646" s="6">
        <v>2</v>
      </c>
      <c r="H2646" t="s">
        <v>47</v>
      </c>
      <c r="I2646">
        <v>10689118</v>
      </c>
      <c r="J2646">
        <v>6</v>
      </c>
      <c r="K2646">
        <v>12.3</v>
      </c>
      <c r="L2646">
        <v>12.3</v>
      </c>
      <c r="M2646">
        <v>270</v>
      </c>
      <c r="N2646" s="2">
        <v>162000</v>
      </c>
      <c r="O2646" s="2">
        <v>6480</v>
      </c>
      <c r="P2646" s="2">
        <v>0</v>
      </c>
      <c r="Q2646" s="2">
        <v>1620</v>
      </c>
      <c r="R2646" s="2">
        <v>8100</v>
      </c>
      <c r="S2646">
        <v>99.63</v>
      </c>
      <c r="T2646" s="2">
        <v>162000</v>
      </c>
      <c r="U2646" s="2">
        <v>0</v>
      </c>
      <c r="V2646">
        <v>19.925999999999998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26.2</v>
      </c>
      <c r="AC2646">
        <v>1.9650000000000001</v>
      </c>
      <c r="AD2646">
        <v>26</v>
      </c>
      <c r="AE2646" s="7"/>
      <c r="AF2646" s="7"/>
      <c r="AG2646" s="7"/>
      <c r="AH2646" s="7"/>
      <c r="AI2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10.035</v>
      </c>
      <c r="AJ2646" s="7"/>
      <c r="AK2646" t="s">
        <v>102</v>
      </c>
      <c r="AN2646">
        <f>IFERROR(INT(Table13[[#This Row],[reject_prod]]/Table13[[#This Row],[part_weight]] * 1000), 0)</f>
        <v>0</v>
      </c>
    </row>
    <row r="2647" spans="1:40">
      <c r="A2647" s="1">
        <v>46100</v>
      </c>
      <c r="B2647">
        <v>2</v>
      </c>
      <c r="C2647">
        <v>13</v>
      </c>
      <c r="D2647" t="s">
        <v>59</v>
      </c>
      <c r="E2647" t="s">
        <v>46</v>
      </c>
      <c r="F2647">
        <v>586276</v>
      </c>
      <c r="G2647" s="6">
        <v>2</v>
      </c>
      <c r="H2647" t="s">
        <v>47</v>
      </c>
      <c r="I2647">
        <v>10689119</v>
      </c>
      <c r="J2647">
        <v>6</v>
      </c>
      <c r="K2647">
        <v>12.3</v>
      </c>
      <c r="L2647">
        <v>12.3</v>
      </c>
      <c r="M2647">
        <v>1360</v>
      </c>
      <c r="N2647" s="2">
        <v>162000</v>
      </c>
      <c r="O2647" s="2">
        <v>0</v>
      </c>
      <c r="P2647" s="2">
        <v>0</v>
      </c>
      <c r="Q2647" s="2">
        <v>8160</v>
      </c>
      <c r="R2647" s="2">
        <v>8100</v>
      </c>
      <c r="S2647">
        <v>99.63</v>
      </c>
      <c r="T2647" s="2">
        <v>8100</v>
      </c>
      <c r="U2647" s="2">
        <v>153900</v>
      </c>
      <c r="V2647">
        <v>100.36799999999999</v>
      </c>
      <c r="W2647">
        <v>0</v>
      </c>
      <c r="X2647">
        <v>0</v>
      </c>
      <c r="Y2647">
        <v>0</v>
      </c>
      <c r="Z2647">
        <v>1</v>
      </c>
      <c r="AA2647">
        <v>9.9633350000000002E-3</v>
      </c>
      <c r="AB2647">
        <v>26.2</v>
      </c>
      <c r="AC2647">
        <v>9.897777778</v>
      </c>
      <c r="AD2647">
        <v>26</v>
      </c>
      <c r="AE2647" s="7"/>
      <c r="AF2647" s="7"/>
      <c r="AG2647" s="7"/>
      <c r="AH2647" s="7"/>
      <c r="AI2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2.102222222</v>
      </c>
      <c r="AJ2647" s="7"/>
      <c r="AK2647" t="s">
        <v>51</v>
      </c>
      <c r="AN2647">
        <f>IFERROR(INT(Table13[[#This Row],[reject_prod]]/Table13[[#This Row],[part_weight]] * 1000), 0)</f>
        <v>81</v>
      </c>
    </row>
    <row r="2648" spans="1:40">
      <c r="A2648" s="1">
        <v>46100</v>
      </c>
      <c r="B2648">
        <v>2</v>
      </c>
      <c r="C2648">
        <v>14</v>
      </c>
      <c r="D2648" t="s">
        <v>54</v>
      </c>
      <c r="E2648" t="s">
        <v>34</v>
      </c>
      <c r="F2648">
        <v>541381</v>
      </c>
      <c r="G2648" s="6">
        <v>0</v>
      </c>
      <c r="H2648" t="s">
        <v>804</v>
      </c>
      <c r="I2648">
        <v>10689120</v>
      </c>
      <c r="J2648">
        <v>4</v>
      </c>
      <c r="K2648">
        <v>55</v>
      </c>
      <c r="L2648">
        <v>55</v>
      </c>
      <c r="M2648">
        <v>1540</v>
      </c>
      <c r="N2648" s="2">
        <v>84000</v>
      </c>
      <c r="O2648" s="2">
        <v>350</v>
      </c>
      <c r="P2648" s="2">
        <v>175</v>
      </c>
      <c r="Q2648" s="2">
        <v>6160</v>
      </c>
      <c r="R2648" s="2">
        <v>6300</v>
      </c>
      <c r="S2648">
        <v>346.5</v>
      </c>
      <c r="T2648" s="2">
        <v>67375</v>
      </c>
      <c r="U2648" s="2">
        <v>16625</v>
      </c>
      <c r="V2648">
        <v>338.8</v>
      </c>
      <c r="W2648">
        <v>0</v>
      </c>
      <c r="X2648">
        <v>0</v>
      </c>
      <c r="Y2648">
        <v>0</v>
      </c>
      <c r="Z2648">
        <v>10.3</v>
      </c>
      <c r="AA2648">
        <v>3.0401417E-2</v>
      </c>
      <c r="AB2648">
        <v>26.8</v>
      </c>
      <c r="AC2648">
        <v>11.464444439999999</v>
      </c>
      <c r="AD2648">
        <v>30.08</v>
      </c>
      <c r="AE2648" s="7"/>
      <c r="AF2648" s="7"/>
      <c r="AG2648" s="7"/>
      <c r="AH2648" s="7"/>
      <c r="AI2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0.5355555600000006</v>
      </c>
      <c r="AJ2648" s="7"/>
      <c r="AK2648" t="s">
        <v>1335</v>
      </c>
      <c r="AN2648">
        <f>IFERROR(INT(Table13[[#This Row],[reject_prod]]/Table13[[#This Row],[part_weight]] * 1000), 0)</f>
        <v>187</v>
      </c>
    </row>
    <row r="2649" spans="1:40">
      <c r="A2649" s="1">
        <v>46100</v>
      </c>
      <c r="B2649">
        <v>2</v>
      </c>
      <c r="C2649">
        <v>15</v>
      </c>
      <c r="D2649" t="s">
        <v>59</v>
      </c>
      <c r="E2649" t="s">
        <v>46</v>
      </c>
      <c r="F2649">
        <v>552181</v>
      </c>
      <c r="G2649" s="6">
        <v>2</v>
      </c>
      <c r="H2649" t="s">
        <v>49</v>
      </c>
      <c r="I2649">
        <v>10689123</v>
      </c>
      <c r="J2649">
        <v>6</v>
      </c>
      <c r="K2649">
        <v>14.7</v>
      </c>
      <c r="L2649">
        <v>14.7</v>
      </c>
      <c r="M2649">
        <v>1395</v>
      </c>
      <c r="N2649" s="2">
        <v>108000</v>
      </c>
      <c r="O2649" s="2">
        <v>2970</v>
      </c>
      <c r="P2649" s="2">
        <v>540</v>
      </c>
      <c r="Q2649" s="2">
        <v>8370</v>
      </c>
      <c r="R2649" s="2">
        <v>10800</v>
      </c>
      <c r="S2649">
        <v>158.76</v>
      </c>
      <c r="T2649" s="2">
        <v>38340</v>
      </c>
      <c r="U2649" s="2">
        <v>69660</v>
      </c>
      <c r="V2649">
        <v>123.039</v>
      </c>
      <c r="W2649">
        <v>0</v>
      </c>
      <c r="X2649">
        <v>0</v>
      </c>
      <c r="Y2649">
        <v>0</v>
      </c>
      <c r="Z2649">
        <v>1</v>
      </c>
      <c r="AA2649">
        <v>8.1275040000000007E-3</v>
      </c>
      <c r="AB2649">
        <v>30.5</v>
      </c>
      <c r="AC2649">
        <v>11.81875</v>
      </c>
      <c r="AD2649">
        <v>27</v>
      </c>
      <c r="AE2649" s="7"/>
      <c r="AF2649" s="7"/>
      <c r="AG2649" s="7"/>
      <c r="AH2649" s="7"/>
      <c r="AI2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649" s="7"/>
      <c r="AK2649" t="s">
        <v>51</v>
      </c>
      <c r="AN2649">
        <f>IFERROR(INT(Table13[[#This Row],[reject_prod]]/Table13[[#This Row],[part_weight]] * 1000), 0)</f>
        <v>68</v>
      </c>
    </row>
    <row r="2650" spans="1:40">
      <c r="A2650" s="1">
        <v>46100</v>
      </c>
      <c r="B2650">
        <v>2</v>
      </c>
      <c r="C2650">
        <v>16</v>
      </c>
      <c r="D2650" t="s">
        <v>181</v>
      </c>
      <c r="E2650" t="s">
        <v>46</v>
      </c>
      <c r="F2650">
        <v>555979</v>
      </c>
      <c r="G2650" s="6">
        <v>2</v>
      </c>
      <c r="H2650" t="s">
        <v>52</v>
      </c>
      <c r="I2650">
        <v>10689125</v>
      </c>
      <c r="J2650">
        <v>6</v>
      </c>
      <c r="K2650">
        <v>28</v>
      </c>
      <c r="L2650">
        <v>28</v>
      </c>
      <c r="M2650">
        <v>1008</v>
      </c>
      <c r="N2650" s="2">
        <v>100800</v>
      </c>
      <c r="O2650" s="2">
        <v>504</v>
      </c>
      <c r="P2650" s="2">
        <v>3192</v>
      </c>
      <c r="Q2650" s="2">
        <v>6048</v>
      </c>
      <c r="R2650" s="2">
        <v>3360</v>
      </c>
      <c r="S2650">
        <v>94.08</v>
      </c>
      <c r="T2650" s="2">
        <v>36792</v>
      </c>
      <c r="U2650" s="2">
        <v>64008</v>
      </c>
      <c r="V2650">
        <v>169.34399999999999</v>
      </c>
      <c r="W2650">
        <v>0</v>
      </c>
      <c r="X2650">
        <v>0</v>
      </c>
      <c r="Y2650">
        <v>0</v>
      </c>
      <c r="Z2650">
        <v>0.5</v>
      </c>
      <c r="AA2650">
        <v>2.9525699999999998E-3</v>
      </c>
      <c r="AB2650">
        <v>42.55</v>
      </c>
      <c r="AC2650">
        <v>11.914</v>
      </c>
      <c r="AD2650">
        <v>42</v>
      </c>
      <c r="AE2650" s="7"/>
      <c r="AF2650" s="7"/>
      <c r="AG2650" s="7"/>
      <c r="AH2650" s="7"/>
      <c r="AI2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8.6000000000000298E-2</v>
      </c>
      <c r="AJ2650" s="7"/>
      <c r="AK2650" t="s">
        <v>51</v>
      </c>
      <c r="AN2650">
        <f>IFERROR(INT(Table13[[#This Row],[reject_prod]]/Table13[[#This Row],[part_weight]] * 1000), 0)</f>
        <v>17</v>
      </c>
    </row>
    <row r="2651" spans="1:40">
      <c r="A2651" s="1">
        <v>46101</v>
      </c>
      <c r="B2651">
        <v>1</v>
      </c>
      <c r="C2651">
        <v>1</v>
      </c>
      <c r="D2651" t="s">
        <v>129</v>
      </c>
      <c r="E2651" t="s">
        <v>34</v>
      </c>
      <c r="F2651">
        <v>504598</v>
      </c>
      <c r="G2651" s="6">
        <v>0</v>
      </c>
      <c r="H2651" t="s">
        <v>1027</v>
      </c>
      <c r="I2651">
        <v>10689498</v>
      </c>
      <c r="J2651">
        <v>4</v>
      </c>
      <c r="K2651">
        <v>30.2</v>
      </c>
      <c r="L2651">
        <v>28</v>
      </c>
      <c r="M2651">
        <v>423</v>
      </c>
      <c r="N2651" s="2">
        <v>10080</v>
      </c>
      <c r="O2651" s="2">
        <v>336</v>
      </c>
      <c r="P2651" s="2">
        <v>0</v>
      </c>
      <c r="Q2651" s="2">
        <v>1692</v>
      </c>
      <c r="R2651" s="2">
        <v>2016</v>
      </c>
      <c r="S2651">
        <v>56.448</v>
      </c>
      <c r="T2651" s="2">
        <v>10080</v>
      </c>
      <c r="U2651" s="2">
        <v>0</v>
      </c>
      <c r="V2651">
        <v>47.375999999999998</v>
      </c>
      <c r="W2651">
        <v>3.7223999999999999</v>
      </c>
      <c r="X2651">
        <v>0</v>
      </c>
      <c r="Y2651">
        <v>0</v>
      </c>
      <c r="Z2651">
        <v>4.8</v>
      </c>
      <c r="AA2651">
        <v>0.101317123</v>
      </c>
      <c r="AB2651">
        <v>25.5</v>
      </c>
      <c r="AC2651">
        <v>2.9962499999999999</v>
      </c>
      <c r="AD2651">
        <v>22.24</v>
      </c>
      <c r="AE2651" s="7"/>
      <c r="AF2651" s="7"/>
      <c r="AG2651" s="7"/>
      <c r="AH2651" s="7"/>
      <c r="AI2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9.0037500000000001</v>
      </c>
      <c r="AJ2651" s="7"/>
      <c r="AK2651" t="s">
        <v>1336</v>
      </c>
      <c r="AN2651">
        <f>IFERROR(INT(Table13[[#This Row],[reject_prod]]/Table13[[#This Row],[part_weight]] * 1000), 0)</f>
        <v>171</v>
      </c>
    </row>
    <row r="2652" spans="1:40">
      <c r="A2652" s="1">
        <v>46101</v>
      </c>
      <c r="B2652">
        <v>1</v>
      </c>
      <c r="C2652">
        <v>2</v>
      </c>
      <c r="D2652" t="s">
        <v>622</v>
      </c>
      <c r="E2652" t="s">
        <v>34</v>
      </c>
      <c r="F2652">
        <v>543590</v>
      </c>
      <c r="G2652" s="6">
        <v>0</v>
      </c>
      <c r="H2652" t="s">
        <v>913</v>
      </c>
      <c r="I2652">
        <v>10688496</v>
      </c>
      <c r="J2652">
        <v>4</v>
      </c>
      <c r="K2652">
        <v>19</v>
      </c>
      <c r="L2652">
        <v>19</v>
      </c>
      <c r="M2652">
        <v>1933</v>
      </c>
      <c r="N2652" s="2">
        <v>57288</v>
      </c>
      <c r="O2652" s="2">
        <v>4928</v>
      </c>
      <c r="P2652" s="2">
        <v>6776</v>
      </c>
      <c r="Q2652" s="2">
        <v>7732</v>
      </c>
      <c r="R2652" s="2">
        <v>7392</v>
      </c>
      <c r="S2652">
        <v>140.44800000000001</v>
      </c>
      <c r="T2652" s="2">
        <v>28952</v>
      </c>
      <c r="U2652" s="2">
        <v>28336</v>
      </c>
      <c r="V2652">
        <v>146.90799999999999</v>
      </c>
      <c r="W2652">
        <v>0</v>
      </c>
      <c r="X2652">
        <v>0</v>
      </c>
      <c r="Y2652">
        <v>0</v>
      </c>
      <c r="Z2652">
        <v>1</v>
      </c>
      <c r="AA2652">
        <v>6.8069810000000001E-3</v>
      </c>
      <c r="AB2652">
        <v>22.3</v>
      </c>
      <c r="AC2652">
        <v>11.97386111</v>
      </c>
      <c r="AD2652">
        <v>18.72</v>
      </c>
      <c r="AE2652" s="7"/>
      <c r="AF2652" s="7"/>
      <c r="AG2652" s="7"/>
      <c r="AH2652" s="7"/>
      <c r="AI2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2.6138890000000359E-2</v>
      </c>
      <c r="AJ2652" s="7"/>
      <c r="AK2652" t="s">
        <v>1337</v>
      </c>
      <c r="AN2652">
        <f>IFERROR(INT(Table13[[#This Row],[reject_prod]]/Table13[[#This Row],[part_weight]] * 1000), 0)</f>
        <v>52</v>
      </c>
    </row>
    <row r="2653" spans="1:40">
      <c r="A2653" s="1">
        <v>46101</v>
      </c>
      <c r="B2653">
        <v>1</v>
      </c>
      <c r="C2653">
        <v>3</v>
      </c>
      <c r="D2653" t="s">
        <v>1338</v>
      </c>
      <c r="E2653" t="s">
        <v>34</v>
      </c>
      <c r="F2653">
        <v>442034</v>
      </c>
      <c r="G2653" s="6">
        <v>0</v>
      </c>
      <c r="H2653" t="s">
        <v>37</v>
      </c>
      <c r="I2653">
        <v>10688497</v>
      </c>
      <c r="J2653">
        <v>4</v>
      </c>
      <c r="K2653">
        <v>23</v>
      </c>
      <c r="L2653">
        <v>23</v>
      </c>
      <c r="M2653">
        <v>1561</v>
      </c>
      <c r="N2653" s="2">
        <v>139776</v>
      </c>
      <c r="O2653" s="2">
        <v>3840</v>
      </c>
      <c r="P2653" s="2">
        <v>768</v>
      </c>
      <c r="Q2653" s="2">
        <v>6244</v>
      </c>
      <c r="R2653" s="2">
        <v>9216</v>
      </c>
      <c r="S2653">
        <v>211.96799999999999</v>
      </c>
      <c r="T2653" s="2">
        <v>19200</v>
      </c>
      <c r="U2653" s="2">
        <v>120576</v>
      </c>
      <c r="V2653">
        <v>143.61199999999999</v>
      </c>
      <c r="W2653">
        <v>0</v>
      </c>
      <c r="X2653">
        <v>0</v>
      </c>
      <c r="Y2653">
        <v>0</v>
      </c>
      <c r="Z2653">
        <v>16.5</v>
      </c>
      <c r="AA2653">
        <v>0.114892906</v>
      </c>
      <c r="AB2653">
        <v>27.8</v>
      </c>
      <c r="AC2653">
        <v>12</v>
      </c>
      <c r="AD2653">
        <v>22</v>
      </c>
      <c r="AE2653" s="7"/>
      <c r="AF2653" s="7"/>
      <c r="AG2653" s="7"/>
      <c r="AH2653" s="7"/>
      <c r="AI26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3" s="7"/>
      <c r="AK2653" t="s">
        <v>1339</v>
      </c>
      <c r="AN2653">
        <f>IFERROR(INT(Table13[[#This Row],[reject_prod]]/Table13[[#This Row],[part_weight]] * 1000), 0)</f>
        <v>717</v>
      </c>
    </row>
    <row r="2654" spans="1:40">
      <c r="A2654" s="1">
        <v>46101</v>
      </c>
      <c r="B2654">
        <v>1</v>
      </c>
      <c r="C2654">
        <v>4</v>
      </c>
      <c r="D2654" t="s">
        <v>67</v>
      </c>
      <c r="E2654" t="s">
        <v>34</v>
      </c>
      <c r="F2654">
        <v>451191</v>
      </c>
      <c r="G2654" s="6">
        <v>0</v>
      </c>
      <c r="H2654" t="s">
        <v>946</v>
      </c>
      <c r="I2654">
        <v>10690450</v>
      </c>
      <c r="J2654">
        <v>4</v>
      </c>
      <c r="K2654">
        <v>29</v>
      </c>
      <c r="L2654">
        <v>29</v>
      </c>
      <c r="M2654">
        <v>1715</v>
      </c>
      <c r="N2654" s="2">
        <v>110160</v>
      </c>
      <c r="O2654" s="2">
        <v>462</v>
      </c>
      <c r="P2654" s="2">
        <v>0</v>
      </c>
      <c r="Q2654" s="2">
        <v>6860</v>
      </c>
      <c r="R2654" s="2">
        <v>7344</v>
      </c>
      <c r="S2654">
        <v>212.976</v>
      </c>
      <c r="T2654" s="2">
        <v>36720</v>
      </c>
      <c r="U2654" s="2">
        <v>73440</v>
      </c>
      <c r="V2654">
        <v>198.94</v>
      </c>
      <c r="W2654">
        <v>0</v>
      </c>
      <c r="X2654">
        <v>0</v>
      </c>
      <c r="Y2654">
        <v>0</v>
      </c>
      <c r="Z2654">
        <v>1.5</v>
      </c>
      <c r="AA2654">
        <v>7.5399619999999999E-3</v>
      </c>
      <c r="AB2654">
        <v>25.2</v>
      </c>
      <c r="AC2654">
        <v>12</v>
      </c>
      <c r="AD2654">
        <v>24</v>
      </c>
      <c r="AE2654" s="7"/>
      <c r="AF2654" s="7"/>
      <c r="AG2654" s="7"/>
      <c r="AH2654" s="7"/>
      <c r="AI2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4" s="7"/>
      <c r="AK2654" t="s">
        <v>51</v>
      </c>
      <c r="AN2654">
        <f>IFERROR(INT(Table13[[#This Row],[reject_prod]]/Table13[[#This Row],[part_weight]] * 1000), 0)</f>
        <v>51</v>
      </c>
    </row>
    <row r="2655" spans="1:40">
      <c r="A2655" s="1">
        <v>46101</v>
      </c>
      <c r="B2655">
        <v>1</v>
      </c>
      <c r="C2655">
        <v>5</v>
      </c>
      <c r="F2655">
        <v>123456</v>
      </c>
      <c r="G2655" s="6">
        <v>0</v>
      </c>
      <c r="M2655">
        <v>0</v>
      </c>
      <c r="N2655" s="2">
        <v>0</v>
      </c>
      <c r="O2655" s="2">
        <v>0</v>
      </c>
      <c r="P2655" s="2">
        <v>0</v>
      </c>
      <c r="Q2655" s="2"/>
      <c r="R2655" s="2">
        <v>0</v>
      </c>
      <c r="T2655" s="2">
        <v>0</v>
      </c>
      <c r="U2655" s="2"/>
      <c r="X2655">
        <v>0</v>
      </c>
      <c r="Z2655">
        <v>0</v>
      </c>
      <c r="AB2655">
        <v>0</v>
      </c>
      <c r="AC2655">
        <v>0</v>
      </c>
      <c r="AD2655">
        <v>0</v>
      </c>
      <c r="AE2655" s="7"/>
      <c r="AF2655" s="7"/>
      <c r="AG2655" s="7"/>
      <c r="AH2655" s="7"/>
      <c r="AI2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5" s="7">
        <v>12</v>
      </c>
      <c r="AK2655" t="s">
        <v>116</v>
      </c>
      <c r="AN2655">
        <f>IFERROR(INT(Table13[[#This Row],[reject_prod]]/Table13[[#This Row],[part_weight]] * 1000), 0)</f>
        <v>0</v>
      </c>
    </row>
    <row r="2656" spans="1:40">
      <c r="A2656" s="1">
        <v>46101</v>
      </c>
      <c r="B2656">
        <v>1</v>
      </c>
      <c r="C2656">
        <v>6</v>
      </c>
      <c r="D2656" t="s">
        <v>33</v>
      </c>
      <c r="E2656" t="s">
        <v>34</v>
      </c>
      <c r="F2656">
        <v>322435</v>
      </c>
      <c r="G2656" s="6">
        <v>0</v>
      </c>
      <c r="H2656" t="s">
        <v>216</v>
      </c>
      <c r="I2656">
        <v>10680041</v>
      </c>
      <c r="J2656">
        <v>4</v>
      </c>
      <c r="K2656">
        <v>34.5</v>
      </c>
      <c r="L2656">
        <v>34.5</v>
      </c>
      <c r="M2656">
        <v>0</v>
      </c>
      <c r="N2656" s="2">
        <v>16380</v>
      </c>
      <c r="O2656" s="2">
        <v>0</v>
      </c>
      <c r="P2656" s="2">
        <v>0</v>
      </c>
      <c r="Q2656" s="2">
        <v>0</v>
      </c>
      <c r="R2656" s="2">
        <v>0</v>
      </c>
      <c r="S2656">
        <v>0</v>
      </c>
      <c r="T2656" s="2">
        <v>0</v>
      </c>
      <c r="U2656" s="2">
        <v>16380</v>
      </c>
      <c r="V2656">
        <v>0</v>
      </c>
      <c r="W2656">
        <v>0</v>
      </c>
      <c r="X2656">
        <v>0</v>
      </c>
      <c r="Y2656" t="e">
        <v>#DIV/0!</v>
      </c>
      <c r="Z2656">
        <v>0</v>
      </c>
      <c r="AA2656" t="e">
        <v>#DIV/0!</v>
      </c>
      <c r="AB2656">
        <v>22</v>
      </c>
      <c r="AC2656">
        <v>0</v>
      </c>
      <c r="AD2656">
        <v>22</v>
      </c>
      <c r="AE2656" s="7"/>
      <c r="AF2656" s="7"/>
      <c r="AG2656" s="7"/>
      <c r="AH2656" s="7"/>
      <c r="AI2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56" s="7"/>
      <c r="AK2656" t="s">
        <v>1292</v>
      </c>
      <c r="AN2656">
        <f>IFERROR(INT(Table13[[#This Row],[reject_prod]]/Table13[[#This Row],[part_weight]] * 1000), 0)</f>
        <v>0</v>
      </c>
    </row>
    <row r="2657" spans="1:40">
      <c r="A2657" s="1">
        <v>46101</v>
      </c>
      <c r="B2657">
        <v>1</v>
      </c>
      <c r="C2657">
        <v>7</v>
      </c>
      <c r="D2657" t="s">
        <v>110</v>
      </c>
      <c r="E2657" t="s">
        <v>34</v>
      </c>
      <c r="F2657">
        <v>597507</v>
      </c>
      <c r="G2657" s="6">
        <v>0</v>
      </c>
      <c r="H2657" t="s">
        <v>279</v>
      </c>
      <c r="I2657">
        <v>10690042</v>
      </c>
      <c r="J2657">
        <v>3</v>
      </c>
      <c r="K2657">
        <v>23</v>
      </c>
      <c r="L2657">
        <v>23</v>
      </c>
      <c r="M2657">
        <v>886</v>
      </c>
      <c r="N2657" s="2">
        <v>86240</v>
      </c>
      <c r="O2657" s="2">
        <v>1286</v>
      </c>
      <c r="P2657" s="2">
        <v>1078</v>
      </c>
      <c r="Q2657" s="2">
        <v>2658</v>
      </c>
      <c r="R2657" s="2">
        <v>3234</v>
      </c>
      <c r="S2657">
        <v>74.382000000000005</v>
      </c>
      <c r="T2657" s="2">
        <v>16170</v>
      </c>
      <c r="U2657" s="2">
        <v>70070</v>
      </c>
      <c r="V2657">
        <v>61.134</v>
      </c>
      <c r="W2657">
        <v>0</v>
      </c>
      <c r="X2657">
        <v>0</v>
      </c>
      <c r="Y2657">
        <v>0</v>
      </c>
      <c r="Z2657">
        <v>11</v>
      </c>
      <c r="AA2657">
        <v>0.17993260699999999</v>
      </c>
      <c r="AB2657">
        <v>20.2</v>
      </c>
      <c r="AC2657">
        <v>4.9714444440000003</v>
      </c>
      <c r="AD2657">
        <v>22</v>
      </c>
      <c r="AE2657" s="7"/>
      <c r="AF2657" s="7"/>
      <c r="AG2657" s="7"/>
      <c r="AH2657" s="7"/>
      <c r="AI2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7.0285555559999997</v>
      </c>
      <c r="AJ2657" s="7"/>
      <c r="AK2657" t="s">
        <v>1340</v>
      </c>
      <c r="AN2657">
        <f>IFERROR(INT(Table13[[#This Row],[reject_prod]]/Table13[[#This Row],[part_weight]] * 1000), 0)</f>
        <v>478</v>
      </c>
    </row>
    <row r="2658" spans="1:40">
      <c r="A2658" s="1">
        <v>46101</v>
      </c>
      <c r="B2658">
        <v>1</v>
      </c>
      <c r="C2658">
        <v>8</v>
      </c>
      <c r="D2658" t="s">
        <v>1341</v>
      </c>
      <c r="E2658" t="s">
        <v>41</v>
      </c>
      <c r="F2658">
        <v>593537</v>
      </c>
      <c r="G2658" s="6">
        <v>0</v>
      </c>
      <c r="H2658" t="s">
        <v>48</v>
      </c>
      <c r="I2658">
        <v>10689826</v>
      </c>
      <c r="J2658">
        <v>4</v>
      </c>
      <c r="K2658">
        <v>56.5</v>
      </c>
      <c r="L2658">
        <v>56.8</v>
      </c>
      <c r="M2658">
        <v>1447</v>
      </c>
      <c r="N2658" s="2">
        <v>69000</v>
      </c>
      <c r="O2658" s="2">
        <v>115</v>
      </c>
      <c r="P2658" s="2">
        <v>115</v>
      </c>
      <c r="Q2658" s="2">
        <v>5788</v>
      </c>
      <c r="R2658" s="2">
        <v>5750</v>
      </c>
      <c r="S2658">
        <v>326.60000000000002</v>
      </c>
      <c r="T2658" s="2">
        <v>39790</v>
      </c>
      <c r="U2658" s="2">
        <v>29210</v>
      </c>
      <c r="V2658">
        <v>328.75839999999999</v>
      </c>
      <c r="W2658">
        <v>0</v>
      </c>
      <c r="X2658">
        <v>0</v>
      </c>
      <c r="Y2658">
        <v>0</v>
      </c>
      <c r="Z2658">
        <v>2.5</v>
      </c>
      <c r="AA2658">
        <v>7.6043680000000002E-3</v>
      </c>
      <c r="AB2658">
        <v>29.7</v>
      </c>
      <c r="AC2658">
        <v>11.937749999999999</v>
      </c>
      <c r="AD2658">
        <v>28.5</v>
      </c>
      <c r="AE2658" s="7"/>
      <c r="AF2658" s="7"/>
      <c r="AG2658" s="7"/>
      <c r="AH2658" s="7"/>
      <c r="AI2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6.2250000000000583E-2</v>
      </c>
      <c r="AJ2658" s="7"/>
      <c r="AK2658" t="s">
        <v>1324</v>
      </c>
      <c r="AN2658">
        <f>IFERROR(INT(Table13[[#This Row],[reject_prod]]/Table13[[#This Row],[part_weight]] * 1000), 0)</f>
        <v>44</v>
      </c>
    </row>
    <row r="2659" spans="1:40">
      <c r="A2659" s="1">
        <v>46101</v>
      </c>
      <c r="B2659">
        <v>1</v>
      </c>
      <c r="C2659">
        <v>9</v>
      </c>
      <c r="D2659" t="s">
        <v>129</v>
      </c>
      <c r="E2659" t="s">
        <v>46</v>
      </c>
      <c r="F2659">
        <v>586276</v>
      </c>
      <c r="G2659" s="6">
        <v>1</v>
      </c>
      <c r="H2659" t="s">
        <v>47</v>
      </c>
      <c r="I2659">
        <v>10689112</v>
      </c>
      <c r="J2659">
        <v>6</v>
      </c>
      <c r="K2659">
        <v>12.3</v>
      </c>
      <c r="L2659">
        <v>12.3</v>
      </c>
      <c r="M2659">
        <v>1565</v>
      </c>
      <c r="N2659" s="2">
        <v>162000</v>
      </c>
      <c r="O2659" s="2">
        <v>4860</v>
      </c>
      <c r="P2659" s="2">
        <v>5670</v>
      </c>
      <c r="Q2659" s="2">
        <v>9390</v>
      </c>
      <c r="R2659" s="2">
        <v>8100</v>
      </c>
      <c r="S2659">
        <v>99.63</v>
      </c>
      <c r="T2659" s="2">
        <v>38070</v>
      </c>
      <c r="U2659" s="2">
        <v>123930</v>
      </c>
      <c r="V2659">
        <v>115.497</v>
      </c>
      <c r="W2659">
        <v>0</v>
      </c>
      <c r="X2659">
        <v>0</v>
      </c>
      <c r="Y2659">
        <v>0</v>
      </c>
      <c r="Z2659">
        <v>1</v>
      </c>
      <c r="AA2659">
        <v>8.6582340000000008E-3</v>
      </c>
      <c r="AB2659">
        <v>27.7</v>
      </c>
      <c r="AC2659">
        <v>12</v>
      </c>
      <c r="AD2659">
        <v>26</v>
      </c>
      <c r="AE2659" s="7"/>
      <c r="AF2659" s="7"/>
      <c r="AG2659" s="7"/>
      <c r="AH2659" s="7"/>
      <c r="AI2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9" s="7"/>
      <c r="AK2659" t="s">
        <v>51</v>
      </c>
      <c r="AN2659">
        <f>IFERROR(INT(Table13[[#This Row],[reject_prod]]/Table13[[#This Row],[part_weight]] * 1000), 0)</f>
        <v>81</v>
      </c>
    </row>
    <row r="2660" spans="1:40">
      <c r="A2660" s="1">
        <v>46101</v>
      </c>
      <c r="B2660">
        <v>1</v>
      </c>
      <c r="C2660">
        <v>10</v>
      </c>
      <c r="F2660">
        <v>123456</v>
      </c>
      <c r="G2660" s="6">
        <v>0</v>
      </c>
      <c r="M2660">
        <v>0</v>
      </c>
      <c r="N2660" s="2">
        <v>0</v>
      </c>
      <c r="O2660" s="2">
        <v>0</v>
      </c>
      <c r="P2660" s="2">
        <v>0</v>
      </c>
      <c r="Q2660" s="2"/>
      <c r="R2660" s="2">
        <v>0</v>
      </c>
      <c r="T2660" s="2">
        <v>0</v>
      </c>
      <c r="U2660" s="2"/>
      <c r="X2660">
        <v>0</v>
      </c>
      <c r="Z2660">
        <v>0</v>
      </c>
      <c r="AB2660">
        <v>0</v>
      </c>
      <c r="AC2660">
        <v>0</v>
      </c>
      <c r="AD2660">
        <v>0</v>
      </c>
      <c r="AE2660" s="7"/>
      <c r="AF2660" s="7"/>
      <c r="AG2660" s="7"/>
      <c r="AH2660" s="7"/>
      <c r="AI2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60" s="7">
        <v>12</v>
      </c>
      <c r="AK2660" t="s">
        <v>116</v>
      </c>
      <c r="AN2660">
        <f>IFERROR(INT(Table13[[#This Row],[reject_prod]]/Table13[[#This Row],[part_weight]] * 1000), 0)</f>
        <v>0</v>
      </c>
    </row>
    <row r="2661" spans="1:40">
      <c r="A2661" s="1">
        <v>46101</v>
      </c>
      <c r="B2661">
        <v>1</v>
      </c>
      <c r="C2661">
        <v>11</v>
      </c>
      <c r="D2661" t="s">
        <v>61</v>
      </c>
      <c r="E2661" t="s">
        <v>46</v>
      </c>
      <c r="F2661">
        <v>552181</v>
      </c>
      <c r="G2661" s="6">
        <v>1</v>
      </c>
      <c r="H2661" t="s">
        <v>49</v>
      </c>
      <c r="I2661">
        <v>10689113</v>
      </c>
      <c r="J2661">
        <v>6</v>
      </c>
      <c r="K2661">
        <v>14.7</v>
      </c>
      <c r="L2661">
        <v>14.7</v>
      </c>
      <c r="M2661">
        <v>1356</v>
      </c>
      <c r="N2661" s="2">
        <v>108000</v>
      </c>
      <c r="O2661" s="2">
        <v>5400</v>
      </c>
      <c r="P2661" s="2">
        <v>3510</v>
      </c>
      <c r="Q2661" s="2">
        <v>8136</v>
      </c>
      <c r="R2661" s="2">
        <v>10800</v>
      </c>
      <c r="S2661">
        <v>158.76</v>
      </c>
      <c r="T2661" s="2">
        <v>35910</v>
      </c>
      <c r="U2661" s="2">
        <v>72090</v>
      </c>
      <c r="V2661">
        <v>119.5992</v>
      </c>
      <c r="W2661">
        <v>0</v>
      </c>
      <c r="X2661">
        <v>0</v>
      </c>
      <c r="Y2661">
        <v>0</v>
      </c>
      <c r="Z2661">
        <v>2</v>
      </c>
      <c r="AA2661">
        <v>1.6722520000000001E-2</v>
      </c>
      <c r="AB2661">
        <v>29.2</v>
      </c>
      <c r="AC2661">
        <v>10.99866667</v>
      </c>
      <c r="AD2661">
        <v>27</v>
      </c>
      <c r="AE2661" s="7"/>
      <c r="AF2661" s="7"/>
      <c r="AG2661" s="7"/>
      <c r="AH2661" s="7"/>
      <c r="AI2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1.0013333299999996</v>
      </c>
      <c r="AJ2661" s="7"/>
      <c r="AK2661" t="s">
        <v>51</v>
      </c>
      <c r="AN2661">
        <f>IFERROR(INT(Table13[[#This Row],[reject_prod]]/Table13[[#This Row],[part_weight]] * 1000), 0)</f>
        <v>136</v>
      </c>
    </row>
    <row r="2662" spans="1:40">
      <c r="A2662" s="1">
        <v>46101</v>
      </c>
      <c r="B2662">
        <v>1</v>
      </c>
      <c r="C2662">
        <v>12</v>
      </c>
      <c r="D2662" t="s">
        <v>33</v>
      </c>
      <c r="E2662" t="s">
        <v>46</v>
      </c>
      <c r="F2662">
        <v>555979</v>
      </c>
      <c r="G2662" s="6">
        <v>1</v>
      </c>
      <c r="H2662" t="s">
        <v>52</v>
      </c>
      <c r="I2662">
        <v>10689126</v>
      </c>
      <c r="J2662">
        <v>6</v>
      </c>
      <c r="K2662">
        <v>28</v>
      </c>
      <c r="L2662">
        <v>28</v>
      </c>
      <c r="M2662">
        <v>0</v>
      </c>
      <c r="N2662" s="2">
        <v>100800</v>
      </c>
      <c r="O2662" s="2">
        <v>0</v>
      </c>
      <c r="P2662" s="2">
        <v>0</v>
      </c>
      <c r="Q2662" s="2">
        <v>0</v>
      </c>
      <c r="R2662" s="2">
        <v>0</v>
      </c>
      <c r="S2662">
        <v>0</v>
      </c>
      <c r="T2662" s="2">
        <v>0</v>
      </c>
      <c r="U2662" s="2">
        <v>100800</v>
      </c>
      <c r="V2662">
        <v>0</v>
      </c>
      <c r="W2662">
        <v>0</v>
      </c>
      <c r="X2662">
        <v>0</v>
      </c>
      <c r="Y2662" t="e">
        <v>#DIV/0!</v>
      </c>
      <c r="Z2662">
        <v>0</v>
      </c>
      <c r="AA2662" t="e">
        <v>#DIV/0!</v>
      </c>
      <c r="AB2662">
        <v>41.2</v>
      </c>
      <c r="AC2662">
        <v>0</v>
      </c>
      <c r="AD2662">
        <v>42</v>
      </c>
      <c r="AE2662" s="7"/>
      <c r="AF2662" s="7"/>
      <c r="AG2662" s="7"/>
      <c r="AH2662" s="7"/>
      <c r="AI2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62" s="7"/>
      <c r="AK2662" t="s">
        <v>1281</v>
      </c>
      <c r="AN2662">
        <f>IFERROR(INT(Table13[[#This Row],[reject_prod]]/Table13[[#This Row],[part_weight]] * 1000), 0)</f>
        <v>0</v>
      </c>
    </row>
    <row r="2663" spans="1:40">
      <c r="A2663" s="1">
        <v>46101</v>
      </c>
      <c r="B2663">
        <v>1</v>
      </c>
      <c r="C2663">
        <v>13</v>
      </c>
      <c r="D2663" t="s">
        <v>1342</v>
      </c>
      <c r="E2663" t="s">
        <v>46</v>
      </c>
      <c r="F2663">
        <v>586276</v>
      </c>
      <c r="G2663" s="6">
        <v>2</v>
      </c>
      <c r="H2663" t="s">
        <v>47</v>
      </c>
      <c r="I2663">
        <v>10689119</v>
      </c>
      <c r="J2663">
        <v>6</v>
      </c>
      <c r="K2663">
        <v>12.3</v>
      </c>
      <c r="L2663">
        <v>12.3</v>
      </c>
      <c r="M2663">
        <v>1620</v>
      </c>
      <c r="N2663" s="2">
        <v>162000</v>
      </c>
      <c r="O2663" s="2">
        <v>0</v>
      </c>
      <c r="P2663" s="2">
        <v>1620</v>
      </c>
      <c r="Q2663" s="2">
        <v>9720</v>
      </c>
      <c r="R2663" s="2">
        <v>8100</v>
      </c>
      <c r="S2663">
        <v>99.63</v>
      </c>
      <c r="T2663" s="2">
        <v>17820</v>
      </c>
      <c r="U2663" s="2">
        <v>144180</v>
      </c>
      <c r="V2663">
        <v>119.556</v>
      </c>
      <c r="W2663">
        <v>0</v>
      </c>
      <c r="X2663">
        <v>0</v>
      </c>
      <c r="Y2663">
        <v>0</v>
      </c>
      <c r="Z2663">
        <v>2</v>
      </c>
      <c r="AA2663">
        <v>1.6728561999999999E-2</v>
      </c>
      <c r="AB2663">
        <v>26.2</v>
      </c>
      <c r="AC2663">
        <v>11.79</v>
      </c>
      <c r="AD2663">
        <v>26</v>
      </c>
      <c r="AE2663" s="7"/>
      <c r="AF2663" s="7"/>
      <c r="AG2663" s="7"/>
      <c r="AH2663" s="7"/>
      <c r="AI2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63" s="7"/>
      <c r="AK2663" t="s">
        <v>51</v>
      </c>
      <c r="AN2663">
        <f>IFERROR(INT(Table13[[#This Row],[reject_prod]]/Table13[[#This Row],[part_weight]] * 1000), 0)</f>
        <v>162</v>
      </c>
    </row>
    <row r="2664" spans="1:40">
      <c r="A2664" s="1">
        <v>46101</v>
      </c>
      <c r="B2664">
        <v>1</v>
      </c>
      <c r="C2664">
        <v>14</v>
      </c>
      <c r="D2664" t="s">
        <v>112</v>
      </c>
      <c r="E2664" t="s">
        <v>34</v>
      </c>
      <c r="F2664">
        <v>541381</v>
      </c>
      <c r="G2664" s="6">
        <v>0</v>
      </c>
      <c r="H2664" t="s">
        <v>804</v>
      </c>
      <c r="I2664">
        <v>10689120</v>
      </c>
      <c r="J2664">
        <v>4</v>
      </c>
      <c r="K2664">
        <v>55</v>
      </c>
      <c r="L2664">
        <v>55</v>
      </c>
      <c r="M2664">
        <v>1589</v>
      </c>
      <c r="N2664" s="2">
        <v>84000</v>
      </c>
      <c r="O2664" s="2">
        <v>175</v>
      </c>
      <c r="P2664" s="2">
        <v>175</v>
      </c>
      <c r="Q2664" s="2">
        <v>6356</v>
      </c>
      <c r="R2664" s="2">
        <v>6300</v>
      </c>
      <c r="S2664">
        <v>346.5</v>
      </c>
      <c r="T2664" s="2">
        <v>73675</v>
      </c>
      <c r="U2664" s="2">
        <v>10325</v>
      </c>
      <c r="V2664">
        <v>349.58</v>
      </c>
      <c r="W2664">
        <v>0</v>
      </c>
      <c r="X2664">
        <v>0</v>
      </c>
      <c r="Y2664">
        <v>0</v>
      </c>
      <c r="Z2664">
        <v>3</v>
      </c>
      <c r="AA2664">
        <v>8.5817270000000008E-3</v>
      </c>
      <c r="AB2664">
        <v>26.8</v>
      </c>
      <c r="AC2664">
        <v>11.82922222</v>
      </c>
      <c r="AD2664">
        <v>30.08</v>
      </c>
      <c r="AE2664" s="7"/>
      <c r="AF2664" s="7"/>
      <c r="AG2664" s="7"/>
      <c r="AH2664" s="7"/>
      <c r="AI2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0.17077777999999988</v>
      </c>
      <c r="AJ2664" s="7"/>
      <c r="AK2664" t="s">
        <v>178</v>
      </c>
      <c r="AN2664">
        <f>IFERROR(INT(Table13[[#This Row],[reject_prod]]/Table13[[#This Row],[part_weight]] * 1000), 0)</f>
        <v>54</v>
      </c>
    </row>
    <row r="2665" spans="1:40">
      <c r="A2665" s="1">
        <v>46101</v>
      </c>
      <c r="B2665">
        <v>1</v>
      </c>
      <c r="C2665">
        <v>15</v>
      </c>
      <c r="D2665" t="s">
        <v>61</v>
      </c>
      <c r="E2665" t="s">
        <v>46</v>
      </c>
      <c r="F2665">
        <v>552181</v>
      </c>
      <c r="G2665" s="6">
        <v>2</v>
      </c>
      <c r="H2665" t="s">
        <v>49</v>
      </c>
      <c r="I2665">
        <v>10689123</v>
      </c>
      <c r="J2665">
        <v>6</v>
      </c>
      <c r="K2665">
        <v>14.7</v>
      </c>
      <c r="L2665">
        <v>14.7</v>
      </c>
      <c r="M2665">
        <v>1395</v>
      </c>
      <c r="N2665" s="2">
        <v>108000</v>
      </c>
      <c r="O2665" s="2">
        <v>540</v>
      </c>
      <c r="P2665" s="2">
        <v>3510</v>
      </c>
      <c r="Q2665" s="2">
        <v>8370</v>
      </c>
      <c r="R2665" s="2">
        <v>5400</v>
      </c>
      <c r="S2665">
        <v>79.38</v>
      </c>
      <c r="T2665" s="2">
        <v>46710</v>
      </c>
      <c r="U2665" s="2">
        <v>61290</v>
      </c>
      <c r="V2665">
        <v>123.039</v>
      </c>
      <c r="W2665">
        <v>0</v>
      </c>
      <c r="X2665">
        <v>0</v>
      </c>
      <c r="Y2665">
        <v>0</v>
      </c>
      <c r="Z2665">
        <v>2</v>
      </c>
      <c r="AA2665">
        <v>1.6255009000000001E-2</v>
      </c>
      <c r="AB2665">
        <v>30.6</v>
      </c>
      <c r="AC2665">
        <v>11.8575</v>
      </c>
      <c r="AD2665">
        <v>27</v>
      </c>
      <c r="AE2665" s="7"/>
      <c r="AF2665" s="7"/>
      <c r="AG2665" s="7"/>
      <c r="AH2665" s="7"/>
      <c r="AI2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665" s="7"/>
      <c r="AK2665" t="s">
        <v>1327</v>
      </c>
      <c r="AN2665">
        <f>IFERROR(INT(Table13[[#This Row],[reject_prod]]/Table13[[#This Row],[part_weight]] * 1000), 0)</f>
        <v>136</v>
      </c>
    </row>
    <row r="2666" spans="1:40">
      <c r="A2666" s="1">
        <v>46101</v>
      </c>
      <c r="B2666">
        <v>1</v>
      </c>
      <c r="C2666">
        <v>16</v>
      </c>
      <c r="D2666" t="s">
        <v>640</v>
      </c>
      <c r="E2666" t="s">
        <v>46</v>
      </c>
      <c r="F2666">
        <v>555979</v>
      </c>
      <c r="G2666" s="6">
        <v>2</v>
      </c>
      <c r="H2666" t="s">
        <v>52</v>
      </c>
      <c r="I2666">
        <v>10689125</v>
      </c>
      <c r="J2666">
        <v>6</v>
      </c>
      <c r="K2666">
        <v>28</v>
      </c>
      <c r="L2666">
        <v>28</v>
      </c>
      <c r="M2666">
        <v>1052</v>
      </c>
      <c r="N2666" s="2">
        <v>100800</v>
      </c>
      <c r="O2666" s="2">
        <v>3192</v>
      </c>
      <c r="P2666" s="2">
        <v>2352</v>
      </c>
      <c r="Q2666" s="2">
        <v>6312</v>
      </c>
      <c r="R2666" s="2">
        <v>6720</v>
      </c>
      <c r="S2666">
        <v>188.16</v>
      </c>
      <c r="T2666" s="2">
        <v>42672</v>
      </c>
      <c r="U2666" s="2">
        <v>58128</v>
      </c>
      <c r="V2666">
        <v>176.73599999999999</v>
      </c>
      <c r="W2666">
        <v>0</v>
      </c>
      <c r="X2666">
        <v>0</v>
      </c>
      <c r="Y2666">
        <v>0</v>
      </c>
      <c r="Z2666">
        <v>2</v>
      </c>
      <c r="AA2666">
        <v>1.1316313999999999E-2</v>
      </c>
      <c r="AB2666">
        <v>40.5</v>
      </c>
      <c r="AC2666">
        <v>11.835000000000001</v>
      </c>
      <c r="AD2666">
        <v>42</v>
      </c>
      <c r="AE2666" s="7"/>
      <c r="AF2666" s="7"/>
      <c r="AG2666" s="7"/>
      <c r="AH2666" s="7"/>
      <c r="AI2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2666" s="7"/>
      <c r="AK2666" t="s">
        <v>51</v>
      </c>
      <c r="AN2666">
        <f>IFERROR(INT(Table13[[#This Row],[reject_prod]]/Table13[[#This Row],[part_weight]] * 1000), 0)</f>
        <v>71</v>
      </c>
    </row>
    <row r="2667" spans="1:40">
      <c r="A2667" s="1">
        <v>46101</v>
      </c>
      <c r="B2667">
        <v>2</v>
      </c>
      <c r="C2667">
        <v>1</v>
      </c>
      <c r="F2667">
        <v>123456</v>
      </c>
      <c r="G2667" s="6">
        <v>0</v>
      </c>
      <c r="M2667">
        <v>0</v>
      </c>
      <c r="N2667" s="2">
        <v>0</v>
      </c>
      <c r="O2667" s="2">
        <v>0</v>
      </c>
      <c r="P2667" s="2">
        <v>0</v>
      </c>
      <c r="Q2667" s="2"/>
      <c r="R2667" s="2">
        <v>0</v>
      </c>
      <c r="T2667" s="2">
        <v>0</v>
      </c>
      <c r="U2667" s="2"/>
      <c r="X2667">
        <v>0</v>
      </c>
      <c r="Z2667">
        <v>0</v>
      </c>
      <c r="AB2667">
        <v>0</v>
      </c>
      <c r="AC2667">
        <v>0</v>
      </c>
      <c r="AD2667">
        <v>0</v>
      </c>
      <c r="AE2667" s="7"/>
      <c r="AF2667" s="7"/>
      <c r="AG2667" s="7"/>
      <c r="AH2667" s="7"/>
      <c r="AI2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67" s="7">
        <v>12</v>
      </c>
      <c r="AK2667" t="s">
        <v>116</v>
      </c>
      <c r="AN2667">
        <f>IFERROR(INT(Table13[[#This Row],[reject_prod]]/Table13[[#This Row],[part_weight]] * 1000), 0)</f>
        <v>0</v>
      </c>
    </row>
    <row r="2668" spans="1:40">
      <c r="A2668" s="1">
        <v>46101</v>
      </c>
      <c r="B2668">
        <v>2</v>
      </c>
      <c r="C2668">
        <v>2</v>
      </c>
      <c r="D2668" t="s">
        <v>391</v>
      </c>
      <c r="E2668" t="s">
        <v>34</v>
      </c>
      <c r="F2668">
        <v>543590</v>
      </c>
      <c r="G2668" s="6">
        <v>0</v>
      </c>
      <c r="H2668" t="s">
        <v>913</v>
      </c>
      <c r="I2668">
        <v>10688496</v>
      </c>
      <c r="J2668">
        <v>4</v>
      </c>
      <c r="K2668">
        <v>19</v>
      </c>
      <c r="L2668">
        <v>19</v>
      </c>
      <c r="M2668">
        <v>1890</v>
      </c>
      <c r="N2668" s="2">
        <v>57288</v>
      </c>
      <c r="O2668" s="2">
        <v>6776</v>
      </c>
      <c r="P2668" s="2">
        <v>6776</v>
      </c>
      <c r="Q2668" s="2">
        <v>7560</v>
      </c>
      <c r="R2668" s="2">
        <v>7392</v>
      </c>
      <c r="S2668">
        <v>140.44800000000001</v>
      </c>
      <c r="T2668" s="2">
        <v>36344</v>
      </c>
      <c r="U2668" s="2">
        <v>20944</v>
      </c>
      <c r="V2668">
        <v>143.63999999999999</v>
      </c>
      <c r="W2668">
        <v>0</v>
      </c>
      <c r="X2668">
        <v>0</v>
      </c>
      <c r="Y2668">
        <v>0</v>
      </c>
      <c r="Z2668">
        <v>1</v>
      </c>
      <c r="AA2668">
        <v>6.961849E-3</v>
      </c>
      <c r="AB2668">
        <v>22</v>
      </c>
      <c r="AC2668">
        <v>11.55</v>
      </c>
      <c r="AD2668">
        <v>18.72</v>
      </c>
      <c r="AE2668" s="7"/>
      <c r="AF2668" s="7"/>
      <c r="AG2668" s="7"/>
      <c r="AH2668" s="7"/>
      <c r="AI2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2668" s="7"/>
      <c r="AK2668" t="s">
        <v>51</v>
      </c>
      <c r="AN2668">
        <f>IFERROR(INT(Table13[[#This Row],[reject_prod]]/Table13[[#This Row],[part_weight]] * 1000), 0)</f>
        <v>52</v>
      </c>
    </row>
    <row r="2669" spans="1:40">
      <c r="A2669" s="1">
        <v>46101</v>
      </c>
      <c r="B2669">
        <v>2</v>
      </c>
      <c r="C2669">
        <v>3</v>
      </c>
      <c r="D2669" t="s">
        <v>56</v>
      </c>
      <c r="E2669" t="s">
        <v>34</v>
      </c>
      <c r="F2669">
        <v>442034</v>
      </c>
      <c r="G2669" s="6">
        <v>0</v>
      </c>
      <c r="H2669" t="s">
        <v>37</v>
      </c>
      <c r="I2669">
        <v>10688497</v>
      </c>
      <c r="J2669">
        <v>4</v>
      </c>
      <c r="K2669">
        <v>23</v>
      </c>
      <c r="L2669">
        <v>23</v>
      </c>
      <c r="M2669">
        <v>1536</v>
      </c>
      <c r="N2669" s="2">
        <v>139776</v>
      </c>
      <c r="O2669" s="2">
        <v>768</v>
      </c>
      <c r="P2669" s="2">
        <v>2304</v>
      </c>
      <c r="Q2669" s="2">
        <v>6144</v>
      </c>
      <c r="R2669" s="2">
        <v>4608</v>
      </c>
      <c r="S2669">
        <v>105.98399999999999</v>
      </c>
      <c r="T2669" s="2">
        <v>25344</v>
      </c>
      <c r="U2669" s="2">
        <v>114432</v>
      </c>
      <c r="V2669">
        <v>141.31200000000001</v>
      </c>
      <c r="W2669">
        <v>0</v>
      </c>
      <c r="X2669">
        <v>0</v>
      </c>
      <c r="Y2669">
        <v>0</v>
      </c>
      <c r="Z2669">
        <v>4</v>
      </c>
      <c r="AA2669">
        <v>2.8306159000000001E-2</v>
      </c>
      <c r="AB2669">
        <v>27.8</v>
      </c>
      <c r="AC2669">
        <v>11.861333330000001</v>
      </c>
      <c r="AD2669">
        <v>22</v>
      </c>
      <c r="AE2669" s="7"/>
      <c r="AF2669" s="7"/>
      <c r="AG2669" s="7"/>
      <c r="AH2669" s="7"/>
      <c r="AI2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669" s="7"/>
      <c r="AK2669" t="s">
        <v>103</v>
      </c>
      <c r="AN2669">
        <f>IFERROR(INT(Table13[[#This Row],[reject_prod]]/Table13[[#This Row],[part_weight]] * 1000), 0)</f>
        <v>173</v>
      </c>
    </row>
    <row r="2670" spans="1:40">
      <c r="A2670" s="1">
        <v>46101</v>
      </c>
      <c r="B2670">
        <v>2</v>
      </c>
      <c r="C2670">
        <v>4</v>
      </c>
      <c r="D2670" t="s">
        <v>54</v>
      </c>
      <c r="E2670" t="s">
        <v>34</v>
      </c>
      <c r="F2670">
        <v>451191</v>
      </c>
      <c r="G2670" s="6">
        <v>0</v>
      </c>
      <c r="H2670" t="s">
        <v>946</v>
      </c>
      <c r="I2670">
        <v>10690450</v>
      </c>
      <c r="J2670">
        <v>4</v>
      </c>
      <c r="K2670">
        <v>29</v>
      </c>
      <c r="L2670">
        <v>29</v>
      </c>
      <c r="M2670">
        <v>1700</v>
      </c>
      <c r="N2670" s="2">
        <v>110160</v>
      </c>
      <c r="O2670" s="2">
        <v>0</v>
      </c>
      <c r="P2670" s="2">
        <v>308</v>
      </c>
      <c r="Q2670" s="2">
        <v>6800</v>
      </c>
      <c r="R2670" s="2">
        <v>6426</v>
      </c>
      <c r="S2670">
        <v>186.35400000000001</v>
      </c>
      <c r="T2670" s="2">
        <v>43454</v>
      </c>
      <c r="U2670" s="2">
        <v>66706</v>
      </c>
      <c r="V2670">
        <v>197.2</v>
      </c>
      <c r="W2670">
        <v>0</v>
      </c>
      <c r="X2670">
        <v>0</v>
      </c>
      <c r="Y2670">
        <v>0</v>
      </c>
      <c r="Z2670">
        <v>1.4</v>
      </c>
      <c r="AA2670">
        <v>7.099391E-3</v>
      </c>
      <c r="AB2670">
        <v>25.2</v>
      </c>
      <c r="AC2670">
        <v>11.9</v>
      </c>
      <c r="AD2670">
        <v>24</v>
      </c>
      <c r="AE2670" s="7"/>
      <c r="AF2670" s="7"/>
      <c r="AG2670" s="7"/>
      <c r="AH2670" s="7"/>
      <c r="AI26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670" s="7"/>
      <c r="AK2670" t="s">
        <v>103</v>
      </c>
      <c r="AN2670">
        <f>IFERROR(INT(Table13[[#This Row],[reject_prod]]/Table13[[#This Row],[part_weight]] * 1000), 0)</f>
        <v>48</v>
      </c>
    </row>
    <row r="2671" spans="1:40">
      <c r="A2671" s="1">
        <v>46101</v>
      </c>
      <c r="B2671">
        <v>2</v>
      </c>
      <c r="C2671">
        <v>5</v>
      </c>
      <c r="F2671">
        <v>123456</v>
      </c>
      <c r="G2671" s="6">
        <v>0</v>
      </c>
      <c r="M2671">
        <v>0</v>
      </c>
      <c r="N2671" s="2">
        <v>0</v>
      </c>
      <c r="O2671" s="2">
        <v>0</v>
      </c>
      <c r="P2671" s="2">
        <v>0</v>
      </c>
      <c r="Q2671" s="2"/>
      <c r="R2671" s="2">
        <v>0</v>
      </c>
      <c r="T2671" s="2">
        <v>0</v>
      </c>
      <c r="U2671" s="2"/>
      <c r="X2671">
        <v>0</v>
      </c>
      <c r="Z2671">
        <v>0</v>
      </c>
      <c r="AB2671">
        <v>0</v>
      </c>
      <c r="AC2671">
        <v>0</v>
      </c>
      <c r="AD2671">
        <v>0</v>
      </c>
      <c r="AE2671" s="7"/>
      <c r="AF2671" s="7"/>
      <c r="AG2671" s="7"/>
      <c r="AH2671" s="7"/>
      <c r="AI2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1" s="7">
        <v>12</v>
      </c>
      <c r="AK2671" t="s">
        <v>116</v>
      </c>
      <c r="AN2671">
        <f>IFERROR(INT(Table13[[#This Row],[reject_prod]]/Table13[[#This Row],[part_weight]] * 1000), 0)</f>
        <v>0</v>
      </c>
    </row>
    <row r="2672" spans="1:40">
      <c r="A2672" s="1">
        <v>46101</v>
      </c>
      <c r="B2672">
        <v>2</v>
      </c>
      <c r="C2672">
        <v>6</v>
      </c>
      <c r="D2672" t="s">
        <v>33</v>
      </c>
      <c r="E2672" t="s">
        <v>34</v>
      </c>
      <c r="F2672">
        <v>322435</v>
      </c>
      <c r="G2672" s="6">
        <v>0</v>
      </c>
      <c r="H2672" t="s">
        <v>216</v>
      </c>
      <c r="I2672">
        <v>10680041</v>
      </c>
      <c r="J2672">
        <v>4</v>
      </c>
      <c r="K2672">
        <v>34.5</v>
      </c>
      <c r="L2672">
        <v>34.5</v>
      </c>
      <c r="M2672">
        <v>0</v>
      </c>
      <c r="N2672" s="2">
        <v>16380</v>
      </c>
      <c r="O2672" s="2">
        <v>0</v>
      </c>
      <c r="P2672" s="2">
        <v>0</v>
      </c>
      <c r="Q2672" s="2">
        <v>0</v>
      </c>
      <c r="R2672" s="2">
        <v>0</v>
      </c>
      <c r="S2672">
        <v>0</v>
      </c>
      <c r="T2672" s="2">
        <v>0</v>
      </c>
      <c r="U2672" s="2">
        <v>16380</v>
      </c>
      <c r="V2672">
        <v>0</v>
      </c>
      <c r="W2672">
        <v>0</v>
      </c>
      <c r="X2672">
        <v>0</v>
      </c>
      <c r="Y2672" t="e">
        <v>#DIV/0!</v>
      </c>
      <c r="Z2672">
        <v>0</v>
      </c>
      <c r="AA2672" t="e">
        <v>#DIV/0!</v>
      </c>
      <c r="AB2672">
        <v>24.55</v>
      </c>
      <c r="AC2672">
        <v>0</v>
      </c>
      <c r="AD2672">
        <v>22</v>
      </c>
      <c r="AE2672" s="7"/>
      <c r="AF2672" s="7"/>
      <c r="AG2672" s="7"/>
      <c r="AH2672" s="7"/>
      <c r="AI2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2" s="7"/>
      <c r="AK2672" t="s">
        <v>521</v>
      </c>
      <c r="AN2672">
        <f>IFERROR(INT(Table13[[#This Row],[reject_prod]]/Table13[[#This Row],[part_weight]] * 1000), 0)</f>
        <v>0</v>
      </c>
    </row>
    <row r="2673" spans="1:40">
      <c r="A2673" s="1">
        <v>46101</v>
      </c>
      <c r="B2673">
        <v>2</v>
      </c>
      <c r="C2673">
        <v>7</v>
      </c>
      <c r="D2673" t="s">
        <v>33</v>
      </c>
      <c r="E2673" t="s">
        <v>34</v>
      </c>
      <c r="F2673">
        <v>597507</v>
      </c>
      <c r="G2673" s="6">
        <v>0</v>
      </c>
      <c r="H2673" t="s">
        <v>279</v>
      </c>
      <c r="I2673">
        <v>10690042</v>
      </c>
      <c r="J2673">
        <v>3</v>
      </c>
      <c r="K2673">
        <v>23</v>
      </c>
      <c r="L2673">
        <v>23</v>
      </c>
      <c r="M2673">
        <v>0</v>
      </c>
      <c r="N2673" s="2">
        <v>86240</v>
      </c>
      <c r="O2673" s="2">
        <v>1078</v>
      </c>
      <c r="P2673" s="2">
        <v>1078</v>
      </c>
      <c r="Q2673" s="2">
        <v>0</v>
      </c>
      <c r="R2673" s="2">
        <v>0</v>
      </c>
      <c r="S2673">
        <v>0</v>
      </c>
      <c r="T2673" s="2">
        <v>15092</v>
      </c>
      <c r="U2673" s="2">
        <v>71148</v>
      </c>
      <c r="V2673">
        <v>0</v>
      </c>
      <c r="W2673">
        <v>0</v>
      </c>
      <c r="X2673">
        <v>0</v>
      </c>
      <c r="Y2673" t="e">
        <v>#DIV/0!</v>
      </c>
      <c r="Z2673">
        <v>0</v>
      </c>
      <c r="AA2673" t="e">
        <v>#DIV/0!</v>
      </c>
      <c r="AB2673">
        <v>20.2</v>
      </c>
      <c r="AC2673">
        <v>0</v>
      </c>
      <c r="AD2673">
        <v>22</v>
      </c>
      <c r="AE2673" s="7"/>
      <c r="AF2673" s="7"/>
      <c r="AG2673" s="7"/>
      <c r="AH2673" s="7"/>
      <c r="AI2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3" s="7"/>
      <c r="AK2673" t="s">
        <v>1343</v>
      </c>
      <c r="AN2673">
        <f>IFERROR(INT(Table13[[#This Row],[reject_prod]]/Table13[[#This Row],[part_weight]] * 1000), 0)</f>
        <v>0</v>
      </c>
    </row>
    <row r="2674" spans="1:40">
      <c r="A2674" s="1">
        <v>46101</v>
      </c>
      <c r="B2674">
        <v>2</v>
      </c>
      <c r="C2674">
        <v>8</v>
      </c>
      <c r="D2674" t="s">
        <v>1344</v>
      </c>
      <c r="E2674" t="s">
        <v>41</v>
      </c>
      <c r="F2674">
        <v>593537</v>
      </c>
      <c r="G2674" s="6">
        <v>0</v>
      </c>
      <c r="H2674" t="s">
        <v>48</v>
      </c>
      <c r="I2674">
        <v>10689826</v>
      </c>
      <c r="J2674">
        <v>4</v>
      </c>
      <c r="K2674">
        <v>56.5</v>
      </c>
      <c r="L2674">
        <v>56.8</v>
      </c>
      <c r="M2674">
        <v>1465</v>
      </c>
      <c r="N2674" s="2">
        <v>69000</v>
      </c>
      <c r="O2674" s="2">
        <v>115</v>
      </c>
      <c r="P2674" s="2">
        <v>230</v>
      </c>
      <c r="Q2674" s="2">
        <v>5860</v>
      </c>
      <c r="R2674" s="2">
        <v>5750</v>
      </c>
      <c r="S2674">
        <v>326.60000000000002</v>
      </c>
      <c r="T2674" s="2">
        <v>45655</v>
      </c>
      <c r="U2674" s="2">
        <v>23345</v>
      </c>
      <c r="V2674">
        <v>332.84800000000001</v>
      </c>
      <c r="W2674">
        <v>0</v>
      </c>
      <c r="X2674">
        <v>0</v>
      </c>
      <c r="Y2674">
        <v>0</v>
      </c>
      <c r="Z2674">
        <v>1</v>
      </c>
      <c r="AA2674">
        <v>3.0043740000000002E-3</v>
      </c>
      <c r="AB2674">
        <v>29.7</v>
      </c>
      <c r="AC2674">
        <v>12</v>
      </c>
      <c r="AD2674">
        <v>28.5</v>
      </c>
      <c r="AE2674" s="7"/>
      <c r="AF2674" s="7"/>
      <c r="AG2674" s="7"/>
      <c r="AH2674" s="7"/>
      <c r="AI2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4" s="7"/>
      <c r="AK2674" t="s">
        <v>51</v>
      </c>
      <c r="AN2674">
        <f>IFERROR(INT(Table13[[#This Row],[reject_prod]]/Table13[[#This Row],[part_weight]] * 1000), 0)</f>
        <v>17</v>
      </c>
    </row>
    <row r="2675" spans="1:40">
      <c r="A2675" s="1">
        <v>46101</v>
      </c>
      <c r="B2675">
        <v>2</v>
      </c>
      <c r="C2675">
        <v>9</v>
      </c>
      <c r="D2675" t="s">
        <v>58</v>
      </c>
      <c r="E2675" t="s">
        <v>46</v>
      </c>
      <c r="F2675">
        <v>586276</v>
      </c>
      <c r="G2675" s="6">
        <v>1</v>
      </c>
      <c r="H2675" t="s">
        <v>47</v>
      </c>
      <c r="I2675">
        <v>10689112</v>
      </c>
      <c r="J2675">
        <v>6</v>
      </c>
      <c r="K2675">
        <v>12.3</v>
      </c>
      <c r="L2675">
        <v>12.3</v>
      </c>
      <c r="M2675">
        <v>1575</v>
      </c>
      <c r="N2675" s="2">
        <v>162000</v>
      </c>
      <c r="O2675" s="2">
        <v>5670</v>
      </c>
      <c r="P2675" s="2">
        <v>6885</v>
      </c>
      <c r="Q2675" s="2">
        <v>9450</v>
      </c>
      <c r="R2675" s="2">
        <v>8100</v>
      </c>
      <c r="S2675">
        <v>99.63</v>
      </c>
      <c r="T2675" s="2">
        <v>47385</v>
      </c>
      <c r="U2675" s="2">
        <v>114615</v>
      </c>
      <c r="V2675">
        <v>116.235</v>
      </c>
      <c r="W2675">
        <v>0</v>
      </c>
      <c r="X2675">
        <v>0</v>
      </c>
      <c r="Y2675">
        <v>0</v>
      </c>
      <c r="Z2675">
        <v>1.2</v>
      </c>
      <c r="AA2675">
        <v>1.0323913000000001E-2</v>
      </c>
      <c r="AB2675">
        <v>26.9</v>
      </c>
      <c r="AC2675">
        <v>11.768750000000001</v>
      </c>
      <c r="AD2675">
        <v>26</v>
      </c>
      <c r="AE2675" s="7"/>
      <c r="AF2675" s="7"/>
      <c r="AG2675" s="7"/>
      <c r="AH2675" s="7"/>
      <c r="AI2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0.23124999999999929</v>
      </c>
      <c r="AJ2675" s="7"/>
      <c r="AK2675" t="s">
        <v>51</v>
      </c>
      <c r="AN2675">
        <f>IFERROR(INT(Table13[[#This Row],[reject_prod]]/Table13[[#This Row],[part_weight]] * 1000), 0)</f>
        <v>97</v>
      </c>
    </row>
    <row r="2676" spans="1:40">
      <c r="A2676" s="1">
        <v>46101</v>
      </c>
      <c r="B2676">
        <v>2</v>
      </c>
      <c r="C2676">
        <v>10</v>
      </c>
      <c r="F2676">
        <v>123456</v>
      </c>
      <c r="G2676" s="6">
        <v>0</v>
      </c>
      <c r="M2676">
        <v>0</v>
      </c>
      <c r="N2676" s="2">
        <v>0</v>
      </c>
      <c r="O2676" s="2">
        <v>0</v>
      </c>
      <c r="P2676" s="2">
        <v>0</v>
      </c>
      <c r="Q2676" s="2"/>
      <c r="R2676" s="2">
        <v>0</v>
      </c>
      <c r="T2676" s="2">
        <v>0</v>
      </c>
      <c r="U2676" s="2"/>
      <c r="X2676">
        <v>0</v>
      </c>
      <c r="Z2676">
        <v>0</v>
      </c>
      <c r="AB2676">
        <v>0</v>
      </c>
      <c r="AC2676">
        <v>0</v>
      </c>
      <c r="AD2676">
        <v>0</v>
      </c>
      <c r="AE2676" s="7"/>
      <c r="AF2676" s="7"/>
      <c r="AG2676" s="7"/>
      <c r="AH2676" s="7"/>
      <c r="AI2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6" s="7">
        <v>12</v>
      </c>
      <c r="AK2676" t="s">
        <v>116</v>
      </c>
      <c r="AN2676">
        <f>IFERROR(INT(Table13[[#This Row],[reject_prod]]/Table13[[#This Row],[part_weight]] * 1000), 0)</f>
        <v>0</v>
      </c>
    </row>
    <row r="2677" spans="1:40">
      <c r="A2677" s="1">
        <v>46101</v>
      </c>
      <c r="B2677">
        <v>2</v>
      </c>
      <c r="C2677">
        <v>11</v>
      </c>
      <c r="D2677" t="s">
        <v>139</v>
      </c>
      <c r="E2677" t="s">
        <v>46</v>
      </c>
      <c r="F2677">
        <v>552181</v>
      </c>
      <c r="G2677" s="6">
        <v>1</v>
      </c>
      <c r="H2677" t="s">
        <v>49</v>
      </c>
      <c r="I2677">
        <v>10689113</v>
      </c>
      <c r="J2677">
        <v>6</v>
      </c>
      <c r="K2677">
        <v>14.7</v>
      </c>
      <c r="L2677">
        <v>14.7</v>
      </c>
      <c r="M2677">
        <v>1460</v>
      </c>
      <c r="N2677" s="2">
        <v>108000</v>
      </c>
      <c r="O2677" s="2">
        <v>3510</v>
      </c>
      <c r="P2677" s="2">
        <v>1350</v>
      </c>
      <c r="Q2677" s="2">
        <v>8760</v>
      </c>
      <c r="R2677" s="2">
        <v>10800</v>
      </c>
      <c r="S2677">
        <v>158.76</v>
      </c>
      <c r="T2677" s="2">
        <v>44550</v>
      </c>
      <c r="U2677" s="2">
        <v>63450</v>
      </c>
      <c r="V2677">
        <v>128.77199999999999</v>
      </c>
      <c r="W2677">
        <v>0</v>
      </c>
      <c r="X2677">
        <v>0</v>
      </c>
      <c r="Y2677">
        <v>0</v>
      </c>
      <c r="Z2677">
        <v>0.4</v>
      </c>
      <c r="AA2677">
        <v>3.106265E-3</v>
      </c>
      <c r="AB2677">
        <v>29.2</v>
      </c>
      <c r="AC2677">
        <v>11.84222222</v>
      </c>
      <c r="AD2677">
        <v>27</v>
      </c>
      <c r="AE2677" s="7"/>
      <c r="AF2677" s="7"/>
      <c r="AG2677" s="7"/>
      <c r="AH2677" s="7"/>
      <c r="AI2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0.15777777999999998</v>
      </c>
      <c r="AJ2677" s="7"/>
      <c r="AK2677" t="s">
        <v>51</v>
      </c>
      <c r="AN2677">
        <f>IFERROR(INT(Table13[[#This Row],[reject_prod]]/Table13[[#This Row],[part_weight]] * 1000), 0)</f>
        <v>27</v>
      </c>
    </row>
    <row r="2678" spans="1:40">
      <c r="A2678" s="1">
        <v>46101</v>
      </c>
      <c r="B2678">
        <v>2</v>
      </c>
      <c r="C2678">
        <v>12</v>
      </c>
      <c r="D2678" t="s">
        <v>33</v>
      </c>
      <c r="E2678" t="s">
        <v>46</v>
      </c>
      <c r="F2678">
        <v>555979</v>
      </c>
      <c r="G2678" s="6">
        <v>1</v>
      </c>
      <c r="H2678" t="s">
        <v>52</v>
      </c>
      <c r="I2678">
        <v>10689126</v>
      </c>
      <c r="J2678">
        <v>6</v>
      </c>
      <c r="K2678">
        <v>28</v>
      </c>
      <c r="L2678">
        <v>28</v>
      </c>
      <c r="M2678">
        <v>0</v>
      </c>
      <c r="N2678" s="2">
        <v>100800</v>
      </c>
      <c r="O2678" s="2">
        <v>0</v>
      </c>
      <c r="P2678" s="2">
        <v>0</v>
      </c>
      <c r="Q2678" s="2">
        <v>0</v>
      </c>
      <c r="R2678" s="2">
        <v>0</v>
      </c>
      <c r="S2678">
        <v>0</v>
      </c>
      <c r="T2678" s="2">
        <v>13440</v>
      </c>
      <c r="U2678" s="2">
        <v>87360</v>
      </c>
      <c r="V2678">
        <v>0</v>
      </c>
      <c r="W2678">
        <v>0</v>
      </c>
      <c r="X2678">
        <v>0</v>
      </c>
      <c r="Y2678" t="e">
        <v>#DIV/0!</v>
      </c>
      <c r="Z2678">
        <v>0</v>
      </c>
      <c r="AA2678" t="e">
        <v>#DIV/0!</v>
      </c>
      <c r="AB2678">
        <v>41.2</v>
      </c>
      <c r="AC2678">
        <v>0</v>
      </c>
      <c r="AD2678">
        <v>42</v>
      </c>
      <c r="AE2678" s="7"/>
      <c r="AF2678" s="7"/>
      <c r="AG2678" s="7"/>
      <c r="AH2678" s="7"/>
      <c r="AI2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8" s="7"/>
      <c r="AK2678" t="s">
        <v>1281</v>
      </c>
      <c r="AN2678">
        <f>IFERROR(INT(Table13[[#This Row],[reject_prod]]/Table13[[#This Row],[part_weight]] * 1000), 0)</f>
        <v>0</v>
      </c>
    </row>
    <row r="2679" spans="1:40">
      <c r="A2679" s="1">
        <v>46101</v>
      </c>
      <c r="B2679">
        <v>2</v>
      </c>
      <c r="C2679">
        <v>13</v>
      </c>
      <c r="D2679" t="s">
        <v>266</v>
      </c>
      <c r="E2679" t="s">
        <v>46</v>
      </c>
      <c r="F2679">
        <v>586276</v>
      </c>
      <c r="G2679" s="6">
        <v>2</v>
      </c>
      <c r="H2679" t="s">
        <v>47</v>
      </c>
      <c r="I2679">
        <v>10689119</v>
      </c>
      <c r="J2679">
        <v>6</v>
      </c>
      <c r="K2679">
        <v>12.3</v>
      </c>
      <c r="L2679">
        <v>12.3</v>
      </c>
      <c r="M2679">
        <v>1630</v>
      </c>
      <c r="N2679" s="2">
        <v>162000</v>
      </c>
      <c r="O2679" s="2">
        <v>1620</v>
      </c>
      <c r="P2679" s="2">
        <v>3240</v>
      </c>
      <c r="Q2679" s="2">
        <v>9780</v>
      </c>
      <c r="R2679" s="2">
        <v>8100</v>
      </c>
      <c r="S2679">
        <v>99.63</v>
      </c>
      <c r="T2679" s="2">
        <v>27540</v>
      </c>
      <c r="U2679" s="2">
        <v>134460</v>
      </c>
      <c r="V2679">
        <v>120.294</v>
      </c>
      <c r="W2679">
        <v>0</v>
      </c>
      <c r="X2679">
        <v>0</v>
      </c>
      <c r="Y2679">
        <v>0</v>
      </c>
      <c r="Z2679">
        <v>0.5</v>
      </c>
      <c r="AA2679">
        <v>4.1564829999999999E-3</v>
      </c>
      <c r="AB2679">
        <v>26.2</v>
      </c>
      <c r="AC2679">
        <v>11.86277778</v>
      </c>
      <c r="AD2679">
        <v>26</v>
      </c>
      <c r="AE2679" s="7"/>
      <c r="AF2679" s="7"/>
      <c r="AG2679" s="7"/>
      <c r="AH2679" s="7"/>
      <c r="AI2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2679" s="7"/>
      <c r="AK2679" t="s">
        <v>51</v>
      </c>
      <c r="AN2679">
        <f>IFERROR(INT(Table13[[#This Row],[reject_prod]]/Table13[[#This Row],[part_weight]] * 1000), 0)</f>
        <v>40</v>
      </c>
    </row>
    <row r="2680" spans="1:40">
      <c r="A2680" s="1">
        <v>46101</v>
      </c>
      <c r="B2680">
        <v>2</v>
      </c>
      <c r="C2680">
        <v>14</v>
      </c>
      <c r="D2680" t="s">
        <v>88</v>
      </c>
      <c r="E2680" t="s">
        <v>34</v>
      </c>
      <c r="F2680">
        <v>541381</v>
      </c>
      <c r="G2680" s="6">
        <v>0</v>
      </c>
      <c r="H2680" t="s">
        <v>804</v>
      </c>
      <c r="I2680">
        <v>10689120</v>
      </c>
      <c r="J2680">
        <v>4</v>
      </c>
      <c r="K2680">
        <v>55</v>
      </c>
      <c r="L2680">
        <v>55</v>
      </c>
      <c r="M2680">
        <v>1620</v>
      </c>
      <c r="N2680" s="2">
        <v>84000</v>
      </c>
      <c r="O2680" s="2">
        <v>175</v>
      </c>
      <c r="P2680" s="2">
        <v>350</v>
      </c>
      <c r="Q2680" s="2">
        <v>6480</v>
      </c>
      <c r="R2680" s="2">
        <v>6300</v>
      </c>
      <c r="S2680">
        <v>346.5</v>
      </c>
      <c r="T2680" s="2">
        <v>80150</v>
      </c>
      <c r="U2680" s="2">
        <v>3850</v>
      </c>
      <c r="V2680">
        <v>356.4</v>
      </c>
      <c r="W2680">
        <v>0</v>
      </c>
      <c r="X2680">
        <v>0</v>
      </c>
      <c r="Y2680">
        <v>0</v>
      </c>
      <c r="Z2680">
        <v>2</v>
      </c>
      <c r="AA2680">
        <v>5.6116719999999998E-3</v>
      </c>
      <c r="AB2680">
        <v>26.8</v>
      </c>
      <c r="AC2680">
        <v>12</v>
      </c>
      <c r="AD2680">
        <v>30.08</v>
      </c>
      <c r="AE2680" s="7"/>
      <c r="AF2680" s="7"/>
      <c r="AG2680" s="7"/>
      <c r="AH2680" s="7"/>
      <c r="AI2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0" s="7"/>
      <c r="AK2680" t="s">
        <v>178</v>
      </c>
      <c r="AN2680">
        <f>IFERROR(INT(Table13[[#This Row],[reject_prod]]/Table13[[#This Row],[part_weight]] * 1000), 0)</f>
        <v>36</v>
      </c>
    </row>
    <row r="2681" spans="1:40">
      <c r="A2681" s="1">
        <v>46101</v>
      </c>
      <c r="B2681">
        <v>2</v>
      </c>
      <c r="C2681">
        <v>15</v>
      </c>
      <c r="D2681" t="s">
        <v>139</v>
      </c>
      <c r="E2681" t="s">
        <v>46</v>
      </c>
      <c r="F2681">
        <v>552181</v>
      </c>
      <c r="G2681" s="6">
        <v>2</v>
      </c>
      <c r="H2681" t="s">
        <v>49</v>
      </c>
      <c r="I2681">
        <v>10689123</v>
      </c>
      <c r="J2681">
        <v>6</v>
      </c>
      <c r="K2681">
        <v>14.7</v>
      </c>
      <c r="L2681">
        <v>14.7</v>
      </c>
      <c r="M2681">
        <v>1400</v>
      </c>
      <c r="N2681" s="2">
        <v>108000</v>
      </c>
      <c r="O2681" s="2">
        <v>3510</v>
      </c>
      <c r="P2681" s="2">
        <v>504</v>
      </c>
      <c r="Q2681" s="2">
        <v>8400</v>
      </c>
      <c r="R2681" s="2">
        <v>10800</v>
      </c>
      <c r="S2681">
        <v>158.76</v>
      </c>
      <c r="T2681" s="2">
        <v>54504</v>
      </c>
      <c r="U2681" s="2">
        <v>53496</v>
      </c>
      <c r="V2681">
        <v>123.48</v>
      </c>
      <c r="W2681">
        <v>0</v>
      </c>
      <c r="X2681">
        <v>0</v>
      </c>
      <c r="Y2681">
        <v>0</v>
      </c>
      <c r="Z2681">
        <v>0.4</v>
      </c>
      <c r="AA2681">
        <v>3.2393909999999999E-3</v>
      </c>
      <c r="AB2681">
        <v>30.5</v>
      </c>
      <c r="AC2681">
        <v>11.86111111</v>
      </c>
      <c r="AD2681">
        <v>27</v>
      </c>
      <c r="AE2681" s="7"/>
      <c r="AF2681" s="7"/>
      <c r="AG2681" s="7"/>
      <c r="AH2681" s="7"/>
      <c r="AI2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681" s="7"/>
      <c r="AK2681" t="s">
        <v>51</v>
      </c>
      <c r="AN2681">
        <f>IFERROR(INT(Table13[[#This Row],[reject_prod]]/Table13[[#This Row],[part_weight]] * 1000), 0)</f>
        <v>27</v>
      </c>
    </row>
    <row r="2682" spans="1:40">
      <c r="A2682" s="1">
        <v>46101</v>
      </c>
      <c r="B2682">
        <v>2</v>
      </c>
      <c r="C2682">
        <v>16</v>
      </c>
      <c r="D2682" t="s">
        <v>124</v>
      </c>
      <c r="E2682" t="s">
        <v>46</v>
      </c>
      <c r="F2682">
        <v>555979</v>
      </c>
      <c r="G2682" s="6">
        <v>2</v>
      </c>
      <c r="H2682" t="s">
        <v>52</v>
      </c>
      <c r="I2682">
        <v>10689125</v>
      </c>
      <c r="J2682">
        <v>6</v>
      </c>
      <c r="K2682">
        <v>28</v>
      </c>
      <c r="L2682">
        <v>28</v>
      </c>
      <c r="M2682">
        <v>1010</v>
      </c>
      <c r="N2682" s="2">
        <v>100800</v>
      </c>
      <c r="O2682" s="2">
        <v>2352</v>
      </c>
      <c r="P2682" s="2">
        <v>1680</v>
      </c>
      <c r="Q2682" s="2">
        <v>6060</v>
      </c>
      <c r="R2682" s="2">
        <v>6720</v>
      </c>
      <c r="S2682">
        <v>188.16</v>
      </c>
      <c r="T2682" s="2">
        <v>48720</v>
      </c>
      <c r="U2682" s="2">
        <v>52080</v>
      </c>
      <c r="V2682">
        <v>169.68</v>
      </c>
      <c r="W2682">
        <v>0</v>
      </c>
      <c r="X2682">
        <v>0</v>
      </c>
      <c r="Y2682">
        <v>0</v>
      </c>
      <c r="Z2682">
        <v>0.5</v>
      </c>
      <c r="AA2682">
        <v>2.9467230000000001E-3</v>
      </c>
      <c r="AB2682">
        <v>42.55</v>
      </c>
      <c r="AC2682">
        <v>11.937638890000001</v>
      </c>
      <c r="AD2682">
        <v>42</v>
      </c>
      <c r="AE2682" s="7"/>
      <c r="AF2682" s="7"/>
      <c r="AG2682" s="7"/>
      <c r="AH2682" s="7"/>
      <c r="AI2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6.2361109999999442E-2</v>
      </c>
      <c r="AJ2682" s="7"/>
      <c r="AK2682" t="s">
        <v>51</v>
      </c>
      <c r="AN2682">
        <f>IFERROR(INT(Table13[[#This Row],[reject_prod]]/Table13[[#This Row],[part_weight]] * 1000), 0)</f>
        <v>17</v>
      </c>
    </row>
    <row r="2683" spans="1:40">
      <c r="A2683" s="1">
        <v>46102</v>
      </c>
      <c r="B2683">
        <v>1</v>
      </c>
      <c r="C2683">
        <v>1</v>
      </c>
      <c r="F2683">
        <v>123456</v>
      </c>
      <c r="G2683" s="6">
        <v>0</v>
      </c>
      <c r="M2683">
        <v>0</v>
      </c>
      <c r="N2683" s="2">
        <v>0</v>
      </c>
      <c r="O2683" s="2">
        <v>0</v>
      </c>
      <c r="P2683" s="2">
        <v>0</v>
      </c>
      <c r="Q2683" s="2"/>
      <c r="R2683" s="2">
        <v>0</v>
      </c>
      <c r="T2683" s="2">
        <v>0</v>
      </c>
      <c r="U2683" s="2"/>
      <c r="X2683">
        <v>0</v>
      </c>
      <c r="Z2683">
        <v>0</v>
      </c>
      <c r="AB2683">
        <v>0</v>
      </c>
      <c r="AC2683">
        <v>0</v>
      </c>
      <c r="AD2683">
        <v>0</v>
      </c>
      <c r="AE2683" s="7"/>
      <c r="AF2683" s="7"/>
      <c r="AG2683" s="7"/>
      <c r="AH2683" s="7"/>
      <c r="AI2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3" s="7">
        <v>12</v>
      </c>
      <c r="AK2683" t="s">
        <v>116</v>
      </c>
      <c r="AN2683">
        <f>IFERROR(INT(Table13[[#This Row],[reject_prod]]/Table13[[#This Row],[part_weight]] * 1000), 0)</f>
        <v>0</v>
      </c>
    </row>
    <row r="2684" spans="1:40">
      <c r="A2684" s="1">
        <v>46102</v>
      </c>
      <c r="B2684">
        <v>1</v>
      </c>
      <c r="C2684">
        <v>2</v>
      </c>
      <c r="F2684">
        <v>123456</v>
      </c>
      <c r="G2684" s="6">
        <v>0</v>
      </c>
      <c r="M2684">
        <v>0</v>
      </c>
      <c r="N2684" s="2">
        <v>0</v>
      </c>
      <c r="O2684" s="2">
        <v>0</v>
      </c>
      <c r="P2684" s="2">
        <v>0</v>
      </c>
      <c r="Q2684" s="2"/>
      <c r="R2684" s="2">
        <v>0</v>
      </c>
      <c r="T2684" s="2">
        <v>0</v>
      </c>
      <c r="U2684" s="2"/>
      <c r="X2684">
        <v>0</v>
      </c>
      <c r="Z2684">
        <v>0</v>
      </c>
      <c r="AB2684">
        <v>0</v>
      </c>
      <c r="AC2684">
        <v>0</v>
      </c>
      <c r="AD2684">
        <v>0</v>
      </c>
      <c r="AE2684" s="7"/>
      <c r="AF2684" s="7"/>
      <c r="AG2684" s="7"/>
      <c r="AH2684" s="7"/>
      <c r="AI2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4" s="7">
        <v>12</v>
      </c>
      <c r="AK2684" t="s">
        <v>116</v>
      </c>
      <c r="AN2684">
        <f>IFERROR(INT(Table13[[#This Row],[reject_prod]]/Table13[[#This Row],[part_weight]] * 1000), 0)</f>
        <v>0</v>
      </c>
    </row>
    <row r="2685" spans="1:40">
      <c r="A2685" s="1">
        <v>46102</v>
      </c>
      <c r="B2685">
        <v>1</v>
      </c>
      <c r="C2685">
        <v>3</v>
      </c>
      <c r="F2685">
        <v>123456</v>
      </c>
      <c r="G2685" s="6">
        <v>0</v>
      </c>
      <c r="M2685">
        <v>0</v>
      </c>
      <c r="N2685" s="2">
        <v>0</v>
      </c>
      <c r="O2685" s="2">
        <v>0</v>
      </c>
      <c r="P2685" s="2">
        <v>0</v>
      </c>
      <c r="Q2685" s="2"/>
      <c r="R2685" s="2">
        <v>0</v>
      </c>
      <c r="T2685" s="2">
        <v>0</v>
      </c>
      <c r="U2685" s="2"/>
      <c r="X2685">
        <v>0</v>
      </c>
      <c r="Z2685">
        <v>0</v>
      </c>
      <c r="AB2685">
        <v>0</v>
      </c>
      <c r="AC2685">
        <v>0</v>
      </c>
      <c r="AD2685">
        <v>0</v>
      </c>
      <c r="AE2685" s="7"/>
      <c r="AF2685" s="7"/>
      <c r="AG2685" s="7"/>
      <c r="AH2685" s="7"/>
      <c r="AI2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5" s="7">
        <v>12</v>
      </c>
      <c r="AK2685" t="s">
        <v>116</v>
      </c>
      <c r="AN2685">
        <f>IFERROR(INT(Table13[[#This Row],[reject_prod]]/Table13[[#This Row],[part_weight]] * 1000), 0)</f>
        <v>0</v>
      </c>
    </row>
    <row r="2686" spans="1:40">
      <c r="A2686" s="1">
        <v>46102</v>
      </c>
      <c r="B2686">
        <v>1</v>
      </c>
      <c r="C2686">
        <v>4</v>
      </c>
      <c r="F2686">
        <v>123456</v>
      </c>
      <c r="G2686" s="6">
        <v>0</v>
      </c>
      <c r="M2686">
        <v>0</v>
      </c>
      <c r="N2686" s="2">
        <v>0</v>
      </c>
      <c r="O2686" s="2">
        <v>0</v>
      </c>
      <c r="P2686" s="2">
        <v>0</v>
      </c>
      <c r="Q2686" s="2"/>
      <c r="R2686" s="2">
        <v>0</v>
      </c>
      <c r="T2686" s="2">
        <v>0</v>
      </c>
      <c r="U2686" s="2"/>
      <c r="X2686">
        <v>0</v>
      </c>
      <c r="Z2686">
        <v>0</v>
      </c>
      <c r="AB2686">
        <v>0</v>
      </c>
      <c r="AC2686">
        <v>0</v>
      </c>
      <c r="AD2686">
        <v>0</v>
      </c>
      <c r="AE2686" s="7"/>
      <c r="AF2686" s="7"/>
      <c r="AG2686" s="7"/>
      <c r="AH2686" s="7"/>
      <c r="AI26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6" s="7">
        <v>12</v>
      </c>
      <c r="AK2686" t="s">
        <v>116</v>
      </c>
      <c r="AN2686">
        <f>IFERROR(INT(Table13[[#This Row],[reject_prod]]/Table13[[#This Row],[part_weight]] * 1000), 0)</f>
        <v>0</v>
      </c>
    </row>
    <row r="2687" spans="1:40">
      <c r="A2687" s="1">
        <v>46102</v>
      </c>
      <c r="B2687">
        <v>1</v>
      </c>
      <c r="C2687">
        <v>5</v>
      </c>
      <c r="F2687">
        <v>123456</v>
      </c>
      <c r="G2687" s="6">
        <v>0</v>
      </c>
      <c r="M2687">
        <v>0</v>
      </c>
      <c r="N2687" s="2">
        <v>0</v>
      </c>
      <c r="O2687" s="2">
        <v>0</v>
      </c>
      <c r="P2687" s="2">
        <v>0</v>
      </c>
      <c r="Q2687" s="2"/>
      <c r="R2687" s="2">
        <v>0</v>
      </c>
      <c r="T2687" s="2">
        <v>0</v>
      </c>
      <c r="U2687" s="2"/>
      <c r="X2687">
        <v>0</v>
      </c>
      <c r="Z2687">
        <v>0</v>
      </c>
      <c r="AB2687">
        <v>0</v>
      </c>
      <c r="AC2687">
        <v>0</v>
      </c>
      <c r="AD2687">
        <v>0</v>
      </c>
      <c r="AE2687" s="7"/>
      <c r="AF2687" s="7"/>
      <c r="AG2687" s="7"/>
      <c r="AH2687" s="7"/>
      <c r="AI2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7" s="7">
        <v>12</v>
      </c>
      <c r="AK2687" t="s">
        <v>116</v>
      </c>
      <c r="AN2687">
        <f>IFERROR(INT(Table13[[#This Row],[reject_prod]]/Table13[[#This Row],[part_weight]] * 1000), 0)</f>
        <v>0</v>
      </c>
    </row>
    <row r="2688" spans="1:40">
      <c r="A2688" s="1">
        <v>46102</v>
      </c>
      <c r="B2688">
        <v>1</v>
      </c>
      <c r="C2688">
        <v>6</v>
      </c>
      <c r="F2688">
        <v>123456</v>
      </c>
      <c r="G2688" s="6">
        <v>0</v>
      </c>
      <c r="M2688">
        <v>0</v>
      </c>
      <c r="N2688" s="2">
        <v>0</v>
      </c>
      <c r="O2688" s="2">
        <v>0</v>
      </c>
      <c r="P2688" s="2">
        <v>0</v>
      </c>
      <c r="Q2688" s="2"/>
      <c r="R2688" s="2">
        <v>0</v>
      </c>
      <c r="T2688" s="2">
        <v>0</v>
      </c>
      <c r="U2688" s="2"/>
      <c r="X2688">
        <v>0</v>
      </c>
      <c r="Z2688">
        <v>0</v>
      </c>
      <c r="AB2688">
        <v>0</v>
      </c>
      <c r="AC2688">
        <v>0</v>
      </c>
      <c r="AD2688">
        <v>0</v>
      </c>
      <c r="AE2688" s="7"/>
      <c r="AF2688" s="7"/>
      <c r="AG2688" s="7"/>
      <c r="AH2688" s="7"/>
      <c r="AI2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8" s="7">
        <v>12</v>
      </c>
      <c r="AK2688" t="s">
        <v>116</v>
      </c>
      <c r="AN2688">
        <f>IFERROR(INT(Table13[[#This Row],[reject_prod]]/Table13[[#This Row],[part_weight]] * 1000), 0)</f>
        <v>0</v>
      </c>
    </row>
    <row r="2689" spans="1:40">
      <c r="A2689" s="1">
        <v>46102</v>
      </c>
      <c r="B2689">
        <v>1</v>
      </c>
      <c r="C2689">
        <v>7</v>
      </c>
      <c r="F2689">
        <v>123456</v>
      </c>
      <c r="G2689" s="6">
        <v>0</v>
      </c>
      <c r="M2689">
        <v>0</v>
      </c>
      <c r="N2689" s="2">
        <v>0</v>
      </c>
      <c r="O2689" s="2">
        <v>0</v>
      </c>
      <c r="P2689" s="2">
        <v>0</v>
      </c>
      <c r="Q2689" s="2"/>
      <c r="R2689" s="2">
        <v>0</v>
      </c>
      <c r="T2689" s="2">
        <v>0</v>
      </c>
      <c r="U2689" s="2"/>
      <c r="X2689">
        <v>0</v>
      </c>
      <c r="Z2689">
        <v>0</v>
      </c>
      <c r="AB2689">
        <v>0</v>
      </c>
      <c r="AC2689">
        <v>0</v>
      </c>
      <c r="AD2689">
        <v>0</v>
      </c>
      <c r="AE2689" s="7"/>
      <c r="AF2689" s="7"/>
      <c r="AG2689" s="7"/>
      <c r="AH2689" s="7"/>
      <c r="AI2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9" s="7">
        <v>12</v>
      </c>
      <c r="AK2689" t="s">
        <v>116</v>
      </c>
      <c r="AN2689">
        <f>IFERROR(INT(Table13[[#This Row],[reject_prod]]/Table13[[#This Row],[part_weight]] * 1000), 0)</f>
        <v>0</v>
      </c>
    </row>
    <row r="2690" spans="1:40">
      <c r="A2690" s="1">
        <v>46102</v>
      </c>
      <c r="B2690">
        <v>1</v>
      </c>
      <c r="C2690">
        <v>8</v>
      </c>
      <c r="F2690">
        <v>123456</v>
      </c>
      <c r="G2690" s="6">
        <v>0</v>
      </c>
      <c r="M2690">
        <v>0</v>
      </c>
      <c r="N2690" s="2">
        <v>0</v>
      </c>
      <c r="O2690" s="2">
        <v>0</v>
      </c>
      <c r="P2690" s="2">
        <v>0</v>
      </c>
      <c r="Q2690" s="2"/>
      <c r="R2690" s="2">
        <v>0</v>
      </c>
      <c r="T2690" s="2">
        <v>0</v>
      </c>
      <c r="U2690" s="2"/>
      <c r="X2690">
        <v>0</v>
      </c>
      <c r="Z2690">
        <v>0</v>
      </c>
      <c r="AB2690">
        <v>0</v>
      </c>
      <c r="AC2690">
        <v>0</v>
      </c>
      <c r="AD2690">
        <v>0</v>
      </c>
      <c r="AE2690" s="7"/>
      <c r="AF2690" s="7"/>
      <c r="AG2690" s="7"/>
      <c r="AH2690" s="7"/>
      <c r="AI2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0" s="7">
        <v>12</v>
      </c>
      <c r="AK2690" t="s">
        <v>116</v>
      </c>
      <c r="AN2690">
        <f>IFERROR(INT(Table13[[#This Row],[reject_prod]]/Table13[[#This Row],[part_weight]] * 1000), 0)</f>
        <v>0</v>
      </c>
    </row>
    <row r="2691" spans="1:40">
      <c r="A2691" s="1">
        <v>46102</v>
      </c>
      <c r="B2691">
        <v>1</v>
      </c>
      <c r="C2691">
        <v>9</v>
      </c>
      <c r="F2691">
        <v>123456</v>
      </c>
      <c r="G2691" s="6">
        <v>0</v>
      </c>
      <c r="M2691">
        <v>0</v>
      </c>
      <c r="N2691" s="2">
        <v>0</v>
      </c>
      <c r="O2691" s="2">
        <v>0</v>
      </c>
      <c r="P2691" s="2">
        <v>0</v>
      </c>
      <c r="Q2691" s="2"/>
      <c r="R2691" s="2">
        <v>0</v>
      </c>
      <c r="T2691" s="2">
        <v>0</v>
      </c>
      <c r="U2691" s="2"/>
      <c r="X2691">
        <v>0</v>
      </c>
      <c r="Z2691">
        <v>0</v>
      </c>
      <c r="AB2691">
        <v>0</v>
      </c>
      <c r="AC2691">
        <v>0</v>
      </c>
      <c r="AD2691">
        <v>0</v>
      </c>
      <c r="AE2691" s="7"/>
      <c r="AF2691" s="7"/>
      <c r="AG2691" s="7"/>
      <c r="AH2691" s="7"/>
      <c r="AI2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1" s="7">
        <v>12</v>
      </c>
      <c r="AK2691" t="s">
        <v>116</v>
      </c>
      <c r="AN2691">
        <f>IFERROR(INT(Table13[[#This Row],[reject_prod]]/Table13[[#This Row],[part_weight]] * 1000), 0)</f>
        <v>0</v>
      </c>
    </row>
    <row r="2692" spans="1:40">
      <c r="A2692" s="1">
        <v>46102</v>
      </c>
      <c r="B2692">
        <v>1</v>
      </c>
      <c r="C2692">
        <v>10</v>
      </c>
      <c r="F2692">
        <v>123456</v>
      </c>
      <c r="G2692" s="6">
        <v>0</v>
      </c>
      <c r="M2692">
        <v>0</v>
      </c>
      <c r="N2692" s="2">
        <v>0</v>
      </c>
      <c r="O2692" s="2">
        <v>0</v>
      </c>
      <c r="P2692" s="2">
        <v>0</v>
      </c>
      <c r="Q2692" s="2"/>
      <c r="R2692" s="2">
        <v>0</v>
      </c>
      <c r="T2692" s="2">
        <v>0</v>
      </c>
      <c r="U2692" s="2"/>
      <c r="X2692">
        <v>0</v>
      </c>
      <c r="Z2692">
        <v>0</v>
      </c>
      <c r="AB2692">
        <v>0</v>
      </c>
      <c r="AC2692">
        <v>0</v>
      </c>
      <c r="AD2692">
        <v>0</v>
      </c>
      <c r="AE2692" s="7"/>
      <c r="AF2692" s="7"/>
      <c r="AG2692" s="7"/>
      <c r="AH2692" s="7"/>
      <c r="AI2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2" s="7">
        <v>12</v>
      </c>
      <c r="AK2692" t="s">
        <v>116</v>
      </c>
      <c r="AN2692">
        <f>IFERROR(INT(Table13[[#This Row],[reject_prod]]/Table13[[#This Row],[part_weight]] * 1000), 0)</f>
        <v>0</v>
      </c>
    </row>
    <row r="2693" spans="1:40">
      <c r="A2693" s="1">
        <v>46102</v>
      </c>
      <c r="B2693">
        <v>1</v>
      </c>
      <c r="C2693">
        <v>11</v>
      </c>
      <c r="F2693">
        <v>123456</v>
      </c>
      <c r="G2693" s="6">
        <v>0</v>
      </c>
      <c r="M2693">
        <v>0</v>
      </c>
      <c r="N2693" s="2">
        <v>0</v>
      </c>
      <c r="O2693" s="2">
        <v>0</v>
      </c>
      <c r="P2693" s="2">
        <v>0</v>
      </c>
      <c r="Q2693" s="2"/>
      <c r="R2693" s="2">
        <v>0</v>
      </c>
      <c r="T2693" s="2">
        <v>0</v>
      </c>
      <c r="U2693" s="2"/>
      <c r="X2693">
        <v>0</v>
      </c>
      <c r="Z2693">
        <v>0</v>
      </c>
      <c r="AB2693">
        <v>0</v>
      </c>
      <c r="AC2693">
        <v>0</v>
      </c>
      <c r="AD2693">
        <v>0</v>
      </c>
      <c r="AE2693" s="7"/>
      <c r="AF2693" s="7"/>
      <c r="AG2693" s="7"/>
      <c r="AH2693" s="7"/>
      <c r="AI2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3" s="7">
        <v>12</v>
      </c>
      <c r="AK2693" t="s">
        <v>116</v>
      </c>
      <c r="AN2693">
        <f>IFERROR(INT(Table13[[#This Row],[reject_prod]]/Table13[[#This Row],[part_weight]] * 1000), 0)</f>
        <v>0</v>
      </c>
    </row>
    <row r="2694" spans="1:40">
      <c r="A2694" s="1">
        <v>46102</v>
      </c>
      <c r="B2694">
        <v>1</v>
      </c>
      <c r="C2694">
        <v>12</v>
      </c>
      <c r="F2694">
        <v>123456</v>
      </c>
      <c r="G2694" s="6">
        <v>0</v>
      </c>
      <c r="M2694">
        <v>0</v>
      </c>
      <c r="N2694" s="2">
        <v>0</v>
      </c>
      <c r="O2694" s="2">
        <v>0</v>
      </c>
      <c r="P2694" s="2">
        <v>0</v>
      </c>
      <c r="Q2694" s="2"/>
      <c r="R2694" s="2">
        <v>0</v>
      </c>
      <c r="T2694" s="2">
        <v>0</v>
      </c>
      <c r="U2694" s="2"/>
      <c r="X2694">
        <v>0</v>
      </c>
      <c r="Z2694">
        <v>0</v>
      </c>
      <c r="AB2694">
        <v>0</v>
      </c>
      <c r="AC2694">
        <v>0</v>
      </c>
      <c r="AD2694">
        <v>0</v>
      </c>
      <c r="AE2694" s="7"/>
      <c r="AF2694" s="7"/>
      <c r="AG2694" s="7"/>
      <c r="AH2694" s="7"/>
      <c r="AI2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4" s="7">
        <v>12</v>
      </c>
      <c r="AK2694" t="s">
        <v>116</v>
      </c>
      <c r="AN2694">
        <f>IFERROR(INT(Table13[[#This Row],[reject_prod]]/Table13[[#This Row],[part_weight]] * 1000), 0)</f>
        <v>0</v>
      </c>
    </row>
    <row r="2695" spans="1:40">
      <c r="A2695" s="1">
        <v>46102</v>
      </c>
      <c r="B2695">
        <v>1</v>
      </c>
      <c r="C2695">
        <v>13</v>
      </c>
      <c r="F2695">
        <v>123456</v>
      </c>
      <c r="G2695" s="6">
        <v>0</v>
      </c>
      <c r="M2695">
        <v>0</v>
      </c>
      <c r="N2695" s="2">
        <v>0</v>
      </c>
      <c r="O2695" s="2">
        <v>0</v>
      </c>
      <c r="P2695" s="2">
        <v>0</v>
      </c>
      <c r="Q2695" s="2"/>
      <c r="R2695" s="2">
        <v>0</v>
      </c>
      <c r="T2695" s="2">
        <v>0</v>
      </c>
      <c r="U2695" s="2"/>
      <c r="X2695">
        <v>0</v>
      </c>
      <c r="Z2695">
        <v>0</v>
      </c>
      <c r="AB2695">
        <v>0</v>
      </c>
      <c r="AC2695">
        <v>0</v>
      </c>
      <c r="AD2695">
        <v>0</v>
      </c>
      <c r="AE2695" s="7"/>
      <c r="AF2695" s="7"/>
      <c r="AG2695" s="7"/>
      <c r="AH2695" s="7"/>
      <c r="AI2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5" s="7">
        <v>12</v>
      </c>
      <c r="AK2695" t="s">
        <v>116</v>
      </c>
      <c r="AN2695">
        <f>IFERROR(INT(Table13[[#This Row],[reject_prod]]/Table13[[#This Row],[part_weight]] * 1000), 0)</f>
        <v>0</v>
      </c>
    </row>
    <row r="2696" spans="1:40">
      <c r="A2696" s="1">
        <v>46102</v>
      </c>
      <c r="B2696">
        <v>1</v>
      </c>
      <c r="C2696">
        <v>14</v>
      </c>
      <c r="F2696">
        <v>123456</v>
      </c>
      <c r="G2696" s="6">
        <v>0</v>
      </c>
      <c r="M2696">
        <v>0</v>
      </c>
      <c r="N2696" s="2">
        <v>0</v>
      </c>
      <c r="O2696" s="2">
        <v>0</v>
      </c>
      <c r="P2696" s="2">
        <v>0</v>
      </c>
      <c r="Q2696" s="2"/>
      <c r="R2696" s="2">
        <v>0</v>
      </c>
      <c r="T2696" s="2">
        <v>0</v>
      </c>
      <c r="U2696" s="2"/>
      <c r="X2696">
        <v>0</v>
      </c>
      <c r="Z2696">
        <v>0</v>
      </c>
      <c r="AB2696">
        <v>0</v>
      </c>
      <c r="AC2696">
        <v>0</v>
      </c>
      <c r="AD2696">
        <v>0</v>
      </c>
      <c r="AE2696" s="7"/>
      <c r="AF2696" s="7"/>
      <c r="AG2696" s="7"/>
      <c r="AH2696" s="7"/>
      <c r="AI2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6" s="7">
        <v>12</v>
      </c>
      <c r="AK2696" t="s">
        <v>116</v>
      </c>
      <c r="AN2696">
        <f>IFERROR(INT(Table13[[#This Row],[reject_prod]]/Table13[[#This Row],[part_weight]] * 1000), 0)</f>
        <v>0</v>
      </c>
    </row>
    <row r="2697" spans="1:40">
      <c r="A2697" s="1">
        <v>46102</v>
      </c>
      <c r="B2697">
        <v>1</v>
      </c>
      <c r="C2697">
        <v>15</v>
      </c>
      <c r="F2697">
        <v>123456</v>
      </c>
      <c r="G2697" s="6">
        <v>0</v>
      </c>
      <c r="M2697">
        <v>0</v>
      </c>
      <c r="N2697" s="2">
        <v>0</v>
      </c>
      <c r="O2697" s="2">
        <v>0</v>
      </c>
      <c r="P2697" s="2">
        <v>0</v>
      </c>
      <c r="Q2697" s="2"/>
      <c r="R2697" s="2">
        <v>0</v>
      </c>
      <c r="T2697" s="2">
        <v>0</v>
      </c>
      <c r="U2697" s="2"/>
      <c r="X2697">
        <v>0</v>
      </c>
      <c r="Z2697">
        <v>0</v>
      </c>
      <c r="AB2697">
        <v>0</v>
      </c>
      <c r="AC2697">
        <v>0</v>
      </c>
      <c r="AD2697">
        <v>0</v>
      </c>
      <c r="AE2697" s="7"/>
      <c r="AF2697" s="7"/>
      <c r="AG2697" s="7"/>
      <c r="AH2697" s="7"/>
      <c r="AI2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7" s="7">
        <v>12</v>
      </c>
      <c r="AK2697" t="s">
        <v>116</v>
      </c>
      <c r="AN2697">
        <f>IFERROR(INT(Table13[[#This Row],[reject_prod]]/Table13[[#This Row],[part_weight]] * 1000), 0)</f>
        <v>0</v>
      </c>
    </row>
    <row r="2698" spans="1:40">
      <c r="A2698" s="1">
        <v>46102</v>
      </c>
      <c r="B2698">
        <v>1</v>
      </c>
      <c r="C2698">
        <v>16</v>
      </c>
      <c r="F2698">
        <v>123456</v>
      </c>
      <c r="G2698" s="6">
        <v>0</v>
      </c>
      <c r="M2698">
        <v>0</v>
      </c>
      <c r="N2698" s="2">
        <v>0</v>
      </c>
      <c r="O2698" s="2">
        <v>0</v>
      </c>
      <c r="P2698" s="2">
        <v>0</v>
      </c>
      <c r="Q2698" s="2"/>
      <c r="R2698" s="2">
        <v>0</v>
      </c>
      <c r="T2698" s="2">
        <v>0</v>
      </c>
      <c r="U2698" s="2"/>
      <c r="X2698">
        <v>0</v>
      </c>
      <c r="Z2698">
        <v>0</v>
      </c>
      <c r="AB2698">
        <v>0</v>
      </c>
      <c r="AC2698">
        <v>0</v>
      </c>
      <c r="AD2698">
        <v>0</v>
      </c>
      <c r="AE2698" s="7"/>
      <c r="AF2698" s="7"/>
      <c r="AG2698" s="7"/>
      <c r="AH2698" s="7"/>
      <c r="AI2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8" s="7">
        <v>12</v>
      </c>
      <c r="AK2698" t="s">
        <v>116</v>
      </c>
      <c r="AN2698">
        <f>IFERROR(INT(Table13[[#This Row],[reject_prod]]/Table13[[#This Row],[part_weight]] * 1000), 0)</f>
        <v>0</v>
      </c>
    </row>
    <row r="2699" spans="1:40">
      <c r="A2699" s="1">
        <v>46102</v>
      </c>
      <c r="B2699">
        <v>2</v>
      </c>
      <c r="C2699">
        <v>1</v>
      </c>
      <c r="F2699">
        <v>123456</v>
      </c>
      <c r="G2699" s="6">
        <v>0</v>
      </c>
      <c r="M2699">
        <v>0</v>
      </c>
      <c r="N2699" s="2">
        <v>0</v>
      </c>
      <c r="O2699" s="2">
        <v>0</v>
      </c>
      <c r="P2699" s="2">
        <v>0</v>
      </c>
      <c r="Q2699" s="2"/>
      <c r="R2699" s="2">
        <v>0</v>
      </c>
      <c r="T2699" s="2">
        <v>0</v>
      </c>
      <c r="U2699" s="2"/>
      <c r="X2699">
        <v>0</v>
      </c>
      <c r="Z2699">
        <v>0</v>
      </c>
      <c r="AB2699">
        <v>0</v>
      </c>
      <c r="AC2699">
        <v>0</v>
      </c>
      <c r="AD2699">
        <v>0</v>
      </c>
      <c r="AE2699" s="7"/>
      <c r="AF2699" s="7"/>
      <c r="AG2699" s="7"/>
      <c r="AH2699" s="7"/>
      <c r="AI2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9" s="7">
        <v>12</v>
      </c>
      <c r="AK2699" t="s">
        <v>116</v>
      </c>
      <c r="AN2699">
        <f>IFERROR(INT(Table13[[#This Row],[reject_prod]]/Table13[[#This Row],[part_weight]] * 1000), 0)</f>
        <v>0</v>
      </c>
    </row>
    <row r="2700" spans="1:40">
      <c r="A2700" s="1">
        <v>46102</v>
      </c>
      <c r="B2700">
        <v>2</v>
      </c>
      <c r="C2700">
        <v>2</v>
      </c>
      <c r="F2700">
        <v>123456</v>
      </c>
      <c r="G2700" s="6">
        <v>0</v>
      </c>
      <c r="M2700">
        <v>0</v>
      </c>
      <c r="N2700" s="2">
        <v>0</v>
      </c>
      <c r="O2700" s="2">
        <v>0</v>
      </c>
      <c r="P2700" s="2">
        <v>0</v>
      </c>
      <c r="Q2700" s="2"/>
      <c r="R2700" s="2">
        <v>0</v>
      </c>
      <c r="T2700" s="2">
        <v>0</v>
      </c>
      <c r="U2700" s="2"/>
      <c r="X2700">
        <v>0</v>
      </c>
      <c r="Z2700">
        <v>0</v>
      </c>
      <c r="AB2700">
        <v>0</v>
      </c>
      <c r="AC2700">
        <v>0</v>
      </c>
      <c r="AD2700">
        <v>0</v>
      </c>
      <c r="AE2700" s="7"/>
      <c r="AF2700" s="7"/>
      <c r="AG2700" s="7"/>
      <c r="AH2700" s="7"/>
      <c r="AI2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0" s="7">
        <v>12</v>
      </c>
      <c r="AK2700" t="s">
        <v>116</v>
      </c>
      <c r="AN2700">
        <f>IFERROR(INT(Table13[[#This Row],[reject_prod]]/Table13[[#This Row],[part_weight]] * 1000), 0)</f>
        <v>0</v>
      </c>
    </row>
    <row r="2701" spans="1:40">
      <c r="A2701" s="1">
        <v>46102</v>
      </c>
      <c r="B2701">
        <v>2</v>
      </c>
      <c r="C2701">
        <v>3</v>
      </c>
      <c r="F2701">
        <v>123456</v>
      </c>
      <c r="G2701" s="6">
        <v>0</v>
      </c>
      <c r="M2701">
        <v>0</v>
      </c>
      <c r="N2701" s="2">
        <v>0</v>
      </c>
      <c r="O2701" s="2">
        <v>0</v>
      </c>
      <c r="P2701" s="2">
        <v>0</v>
      </c>
      <c r="Q2701" s="2"/>
      <c r="R2701" s="2">
        <v>0</v>
      </c>
      <c r="T2701" s="2">
        <v>0</v>
      </c>
      <c r="U2701" s="2"/>
      <c r="X2701">
        <v>0</v>
      </c>
      <c r="Z2701">
        <v>0</v>
      </c>
      <c r="AB2701">
        <v>0</v>
      </c>
      <c r="AC2701">
        <v>0</v>
      </c>
      <c r="AD2701">
        <v>0</v>
      </c>
      <c r="AE2701" s="7"/>
      <c r="AF2701" s="7"/>
      <c r="AG2701" s="7"/>
      <c r="AH2701" s="7"/>
      <c r="AI2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1" s="7">
        <v>12</v>
      </c>
      <c r="AK2701" t="s">
        <v>116</v>
      </c>
      <c r="AN2701">
        <f>IFERROR(INT(Table13[[#This Row],[reject_prod]]/Table13[[#This Row],[part_weight]] * 1000), 0)</f>
        <v>0</v>
      </c>
    </row>
    <row r="2702" spans="1:40">
      <c r="A2702" s="1">
        <v>46102</v>
      </c>
      <c r="B2702">
        <v>2</v>
      </c>
      <c r="C2702">
        <v>4</v>
      </c>
      <c r="F2702">
        <v>123456</v>
      </c>
      <c r="G2702" s="6">
        <v>0</v>
      </c>
      <c r="M2702">
        <v>0</v>
      </c>
      <c r="N2702" s="2">
        <v>0</v>
      </c>
      <c r="O2702" s="2">
        <v>0</v>
      </c>
      <c r="P2702" s="2">
        <v>0</v>
      </c>
      <c r="Q2702" s="2"/>
      <c r="R2702" s="2">
        <v>0</v>
      </c>
      <c r="T2702" s="2">
        <v>0</v>
      </c>
      <c r="U2702" s="2"/>
      <c r="X2702">
        <v>0</v>
      </c>
      <c r="Z2702">
        <v>0</v>
      </c>
      <c r="AB2702">
        <v>0</v>
      </c>
      <c r="AC2702">
        <v>0</v>
      </c>
      <c r="AD2702">
        <v>0</v>
      </c>
      <c r="AE2702" s="7"/>
      <c r="AF2702" s="7"/>
      <c r="AG2702" s="7"/>
      <c r="AH2702" s="7"/>
      <c r="AI2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2" s="7">
        <v>12</v>
      </c>
      <c r="AK2702" t="s">
        <v>116</v>
      </c>
      <c r="AN2702">
        <f>IFERROR(INT(Table13[[#This Row],[reject_prod]]/Table13[[#This Row],[part_weight]] * 1000), 0)</f>
        <v>0</v>
      </c>
    </row>
    <row r="2703" spans="1:40">
      <c r="A2703" s="1">
        <v>46102</v>
      </c>
      <c r="B2703">
        <v>2</v>
      </c>
      <c r="C2703">
        <v>5</v>
      </c>
      <c r="F2703">
        <v>123456</v>
      </c>
      <c r="G2703" s="6">
        <v>0</v>
      </c>
      <c r="M2703">
        <v>0</v>
      </c>
      <c r="N2703" s="2">
        <v>0</v>
      </c>
      <c r="O2703" s="2">
        <v>0</v>
      </c>
      <c r="P2703" s="2">
        <v>0</v>
      </c>
      <c r="Q2703" s="2"/>
      <c r="R2703" s="2">
        <v>0</v>
      </c>
      <c r="T2703" s="2">
        <v>0</v>
      </c>
      <c r="U2703" s="2"/>
      <c r="X2703">
        <v>0</v>
      </c>
      <c r="Z2703">
        <v>0</v>
      </c>
      <c r="AB2703">
        <v>0</v>
      </c>
      <c r="AC2703">
        <v>0</v>
      </c>
      <c r="AD2703">
        <v>0</v>
      </c>
      <c r="AE2703" s="7"/>
      <c r="AF2703" s="7"/>
      <c r="AG2703" s="7"/>
      <c r="AH2703" s="7"/>
      <c r="AI27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3" s="7">
        <v>12</v>
      </c>
      <c r="AK2703" t="s">
        <v>116</v>
      </c>
      <c r="AN2703">
        <f>IFERROR(INT(Table13[[#This Row],[reject_prod]]/Table13[[#This Row],[part_weight]] * 1000), 0)</f>
        <v>0</v>
      </c>
    </row>
    <row r="2704" spans="1:40">
      <c r="A2704" s="1">
        <v>46102</v>
      </c>
      <c r="B2704">
        <v>2</v>
      </c>
      <c r="C2704">
        <v>6</v>
      </c>
      <c r="F2704">
        <v>123456</v>
      </c>
      <c r="G2704" s="6">
        <v>0</v>
      </c>
      <c r="M2704">
        <v>0</v>
      </c>
      <c r="N2704" s="2">
        <v>0</v>
      </c>
      <c r="O2704" s="2">
        <v>0</v>
      </c>
      <c r="P2704" s="2">
        <v>0</v>
      </c>
      <c r="Q2704" s="2"/>
      <c r="R2704" s="2">
        <v>0</v>
      </c>
      <c r="T2704" s="2">
        <v>0</v>
      </c>
      <c r="U2704" s="2"/>
      <c r="X2704">
        <v>0</v>
      </c>
      <c r="Z2704">
        <v>0</v>
      </c>
      <c r="AB2704">
        <v>0</v>
      </c>
      <c r="AC2704">
        <v>0</v>
      </c>
      <c r="AD2704">
        <v>0</v>
      </c>
      <c r="AE2704" s="7"/>
      <c r="AF2704" s="7"/>
      <c r="AG2704" s="7"/>
      <c r="AH2704" s="7"/>
      <c r="AI2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4" s="7">
        <v>12</v>
      </c>
      <c r="AK2704" t="s">
        <v>116</v>
      </c>
      <c r="AN2704">
        <f>IFERROR(INT(Table13[[#This Row],[reject_prod]]/Table13[[#This Row],[part_weight]] * 1000), 0)</f>
        <v>0</v>
      </c>
    </row>
    <row r="2705" spans="1:40">
      <c r="A2705" s="1">
        <v>46102</v>
      </c>
      <c r="B2705">
        <v>2</v>
      </c>
      <c r="C2705">
        <v>7</v>
      </c>
      <c r="F2705">
        <v>123456</v>
      </c>
      <c r="G2705" s="6">
        <v>0</v>
      </c>
      <c r="M2705">
        <v>0</v>
      </c>
      <c r="N2705" s="2">
        <v>0</v>
      </c>
      <c r="O2705" s="2">
        <v>0</v>
      </c>
      <c r="P2705" s="2">
        <v>0</v>
      </c>
      <c r="Q2705" s="2"/>
      <c r="R2705" s="2">
        <v>0</v>
      </c>
      <c r="T2705" s="2">
        <v>0</v>
      </c>
      <c r="U2705" s="2"/>
      <c r="X2705">
        <v>0</v>
      </c>
      <c r="Z2705">
        <v>0</v>
      </c>
      <c r="AB2705">
        <v>0</v>
      </c>
      <c r="AC2705">
        <v>0</v>
      </c>
      <c r="AD2705">
        <v>0</v>
      </c>
      <c r="AE2705" s="7"/>
      <c r="AF2705" s="7"/>
      <c r="AG2705" s="7"/>
      <c r="AH2705" s="7"/>
      <c r="AI2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5" s="7">
        <v>12</v>
      </c>
      <c r="AK2705" t="s">
        <v>116</v>
      </c>
      <c r="AN2705">
        <f>IFERROR(INT(Table13[[#This Row],[reject_prod]]/Table13[[#This Row],[part_weight]] * 1000), 0)</f>
        <v>0</v>
      </c>
    </row>
    <row r="2706" spans="1:40">
      <c r="A2706" s="1">
        <v>46102</v>
      </c>
      <c r="B2706">
        <v>2</v>
      </c>
      <c r="C2706">
        <v>8</v>
      </c>
      <c r="F2706">
        <v>123456</v>
      </c>
      <c r="G2706" s="6">
        <v>0</v>
      </c>
      <c r="M2706">
        <v>0</v>
      </c>
      <c r="N2706" s="2">
        <v>0</v>
      </c>
      <c r="O2706" s="2">
        <v>0</v>
      </c>
      <c r="P2706" s="2">
        <v>0</v>
      </c>
      <c r="Q2706" s="2"/>
      <c r="R2706" s="2">
        <v>0</v>
      </c>
      <c r="T2706" s="2">
        <v>0</v>
      </c>
      <c r="U2706" s="2"/>
      <c r="X2706">
        <v>0</v>
      </c>
      <c r="Z2706">
        <v>0</v>
      </c>
      <c r="AB2706">
        <v>0</v>
      </c>
      <c r="AC2706">
        <v>0</v>
      </c>
      <c r="AD2706">
        <v>0</v>
      </c>
      <c r="AE2706" s="7"/>
      <c r="AF2706" s="7"/>
      <c r="AG2706" s="7"/>
      <c r="AH2706" s="7"/>
      <c r="AI2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6" s="7">
        <v>12</v>
      </c>
      <c r="AK2706" t="s">
        <v>116</v>
      </c>
      <c r="AN2706">
        <f>IFERROR(INT(Table13[[#This Row],[reject_prod]]/Table13[[#This Row],[part_weight]] * 1000), 0)</f>
        <v>0</v>
      </c>
    </row>
    <row r="2707" spans="1:40">
      <c r="A2707" s="1">
        <v>46102</v>
      </c>
      <c r="B2707">
        <v>2</v>
      </c>
      <c r="C2707">
        <v>9</v>
      </c>
      <c r="F2707">
        <v>123456</v>
      </c>
      <c r="G2707" s="6">
        <v>0</v>
      </c>
      <c r="M2707">
        <v>0</v>
      </c>
      <c r="N2707" s="2">
        <v>0</v>
      </c>
      <c r="O2707" s="2">
        <v>0</v>
      </c>
      <c r="P2707" s="2">
        <v>0</v>
      </c>
      <c r="Q2707" s="2"/>
      <c r="R2707" s="2">
        <v>0</v>
      </c>
      <c r="T2707" s="2">
        <v>0</v>
      </c>
      <c r="U2707" s="2"/>
      <c r="X2707">
        <v>0</v>
      </c>
      <c r="Z2707">
        <v>0</v>
      </c>
      <c r="AB2707">
        <v>0</v>
      </c>
      <c r="AC2707">
        <v>0</v>
      </c>
      <c r="AD2707">
        <v>0</v>
      </c>
      <c r="AE2707" s="7"/>
      <c r="AF2707" s="7"/>
      <c r="AG2707" s="7"/>
      <c r="AH2707" s="7"/>
      <c r="AI2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7" s="7">
        <v>12</v>
      </c>
      <c r="AK2707" t="s">
        <v>116</v>
      </c>
      <c r="AN2707">
        <f>IFERROR(INT(Table13[[#This Row],[reject_prod]]/Table13[[#This Row],[part_weight]] * 1000), 0)</f>
        <v>0</v>
      </c>
    </row>
    <row r="2708" spans="1:40">
      <c r="A2708" s="1">
        <v>46102</v>
      </c>
      <c r="B2708">
        <v>2</v>
      </c>
      <c r="C2708">
        <v>10</v>
      </c>
      <c r="F2708">
        <v>123456</v>
      </c>
      <c r="G2708" s="6">
        <v>0</v>
      </c>
      <c r="M2708">
        <v>0</v>
      </c>
      <c r="N2708" s="2">
        <v>0</v>
      </c>
      <c r="O2708" s="2">
        <v>0</v>
      </c>
      <c r="P2708" s="2">
        <v>0</v>
      </c>
      <c r="Q2708" s="2"/>
      <c r="R2708" s="2">
        <v>0</v>
      </c>
      <c r="T2708" s="2">
        <v>0</v>
      </c>
      <c r="U2708" s="2"/>
      <c r="X2708">
        <v>0</v>
      </c>
      <c r="Z2708">
        <v>0</v>
      </c>
      <c r="AB2708">
        <v>0</v>
      </c>
      <c r="AC2708">
        <v>0</v>
      </c>
      <c r="AD2708">
        <v>0</v>
      </c>
      <c r="AE2708" s="7"/>
      <c r="AF2708" s="7"/>
      <c r="AG2708" s="7"/>
      <c r="AH2708" s="7"/>
      <c r="AI2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8" s="7">
        <v>12</v>
      </c>
      <c r="AK2708" t="s">
        <v>116</v>
      </c>
      <c r="AN2708">
        <f>IFERROR(INT(Table13[[#This Row],[reject_prod]]/Table13[[#This Row],[part_weight]] * 1000), 0)</f>
        <v>0</v>
      </c>
    </row>
    <row r="2709" spans="1:40">
      <c r="A2709" s="1">
        <v>46102</v>
      </c>
      <c r="B2709">
        <v>2</v>
      </c>
      <c r="C2709">
        <v>11</v>
      </c>
      <c r="F2709">
        <v>123456</v>
      </c>
      <c r="G2709" s="6">
        <v>0</v>
      </c>
      <c r="M2709">
        <v>0</v>
      </c>
      <c r="N2709" s="2">
        <v>0</v>
      </c>
      <c r="O2709" s="2">
        <v>0</v>
      </c>
      <c r="P2709" s="2">
        <v>0</v>
      </c>
      <c r="Q2709" s="2"/>
      <c r="R2709" s="2">
        <v>0</v>
      </c>
      <c r="T2709" s="2">
        <v>0</v>
      </c>
      <c r="U2709" s="2"/>
      <c r="X2709">
        <v>0</v>
      </c>
      <c r="Z2709">
        <v>0</v>
      </c>
      <c r="AB2709">
        <v>0</v>
      </c>
      <c r="AC2709">
        <v>0</v>
      </c>
      <c r="AD2709">
        <v>0</v>
      </c>
      <c r="AE2709" s="7"/>
      <c r="AF2709" s="7"/>
      <c r="AG2709" s="7"/>
      <c r="AH2709" s="7"/>
      <c r="AI2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9" s="7">
        <v>12</v>
      </c>
      <c r="AK2709" t="s">
        <v>116</v>
      </c>
      <c r="AN2709">
        <f>IFERROR(INT(Table13[[#This Row],[reject_prod]]/Table13[[#This Row],[part_weight]] * 1000), 0)</f>
        <v>0</v>
      </c>
    </row>
    <row r="2710" spans="1:40">
      <c r="A2710" s="1">
        <v>46102</v>
      </c>
      <c r="B2710">
        <v>2</v>
      </c>
      <c r="C2710">
        <v>12</v>
      </c>
      <c r="F2710">
        <v>123456</v>
      </c>
      <c r="G2710" s="6">
        <v>0</v>
      </c>
      <c r="M2710">
        <v>0</v>
      </c>
      <c r="N2710" s="2">
        <v>0</v>
      </c>
      <c r="O2710" s="2">
        <v>0</v>
      </c>
      <c r="P2710" s="2">
        <v>0</v>
      </c>
      <c r="Q2710" s="2"/>
      <c r="R2710" s="2">
        <v>0</v>
      </c>
      <c r="T2710" s="2">
        <v>0</v>
      </c>
      <c r="U2710" s="2"/>
      <c r="X2710">
        <v>0</v>
      </c>
      <c r="Z2710">
        <v>0</v>
      </c>
      <c r="AB2710">
        <v>0</v>
      </c>
      <c r="AC2710">
        <v>0</v>
      </c>
      <c r="AD2710">
        <v>0</v>
      </c>
      <c r="AE2710" s="7"/>
      <c r="AF2710" s="7"/>
      <c r="AG2710" s="7"/>
      <c r="AH2710" s="7"/>
      <c r="AI2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0" s="7">
        <v>12</v>
      </c>
      <c r="AK2710" t="s">
        <v>116</v>
      </c>
      <c r="AN2710">
        <f>IFERROR(INT(Table13[[#This Row],[reject_prod]]/Table13[[#This Row],[part_weight]] * 1000), 0)</f>
        <v>0</v>
      </c>
    </row>
    <row r="2711" spans="1:40">
      <c r="A2711" s="1">
        <v>46102</v>
      </c>
      <c r="B2711">
        <v>2</v>
      </c>
      <c r="C2711">
        <v>13</v>
      </c>
      <c r="F2711">
        <v>123456</v>
      </c>
      <c r="G2711" s="6">
        <v>0</v>
      </c>
      <c r="M2711">
        <v>0</v>
      </c>
      <c r="N2711" s="2">
        <v>0</v>
      </c>
      <c r="O2711" s="2">
        <v>0</v>
      </c>
      <c r="P2711" s="2">
        <v>0</v>
      </c>
      <c r="Q2711" s="2"/>
      <c r="R2711" s="2">
        <v>0</v>
      </c>
      <c r="T2711" s="2">
        <v>0</v>
      </c>
      <c r="U2711" s="2"/>
      <c r="X2711">
        <v>0</v>
      </c>
      <c r="Z2711">
        <v>0</v>
      </c>
      <c r="AB2711">
        <v>0</v>
      </c>
      <c r="AC2711">
        <v>0</v>
      </c>
      <c r="AD2711">
        <v>0</v>
      </c>
      <c r="AE2711" s="7"/>
      <c r="AF2711" s="7"/>
      <c r="AG2711" s="7"/>
      <c r="AH2711" s="7"/>
      <c r="AI2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1" s="7">
        <v>12</v>
      </c>
      <c r="AK2711" t="s">
        <v>116</v>
      </c>
      <c r="AN2711">
        <f>IFERROR(INT(Table13[[#This Row],[reject_prod]]/Table13[[#This Row],[part_weight]] * 1000), 0)</f>
        <v>0</v>
      </c>
    </row>
    <row r="2712" spans="1:40">
      <c r="A2712" s="1">
        <v>46102</v>
      </c>
      <c r="B2712">
        <v>2</v>
      </c>
      <c r="C2712">
        <v>14</v>
      </c>
      <c r="F2712">
        <v>123456</v>
      </c>
      <c r="G2712" s="6">
        <v>0</v>
      </c>
      <c r="M2712">
        <v>0</v>
      </c>
      <c r="N2712" s="2">
        <v>0</v>
      </c>
      <c r="O2712" s="2">
        <v>0</v>
      </c>
      <c r="P2712" s="2">
        <v>0</v>
      </c>
      <c r="Q2712" s="2"/>
      <c r="R2712" s="2">
        <v>0</v>
      </c>
      <c r="T2712" s="2">
        <v>0</v>
      </c>
      <c r="U2712" s="2"/>
      <c r="X2712">
        <v>0</v>
      </c>
      <c r="Z2712">
        <v>0</v>
      </c>
      <c r="AB2712">
        <v>0</v>
      </c>
      <c r="AC2712">
        <v>0</v>
      </c>
      <c r="AD2712">
        <v>0</v>
      </c>
      <c r="AE2712" s="7"/>
      <c r="AF2712" s="7"/>
      <c r="AG2712" s="7"/>
      <c r="AH2712" s="7"/>
      <c r="AI2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2" s="7">
        <v>12</v>
      </c>
      <c r="AK2712" t="s">
        <v>116</v>
      </c>
      <c r="AN2712">
        <f>IFERROR(INT(Table13[[#This Row],[reject_prod]]/Table13[[#This Row],[part_weight]] * 1000), 0)</f>
        <v>0</v>
      </c>
    </row>
    <row r="2713" spans="1:40">
      <c r="A2713" s="1">
        <v>46102</v>
      </c>
      <c r="B2713">
        <v>2</v>
      </c>
      <c r="C2713">
        <v>15</v>
      </c>
      <c r="F2713">
        <v>123456</v>
      </c>
      <c r="G2713" s="6">
        <v>0</v>
      </c>
      <c r="M2713">
        <v>0</v>
      </c>
      <c r="N2713" s="2">
        <v>0</v>
      </c>
      <c r="O2713" s="2">
        <v>0</v>
      </c>
      <c r="P2713" s="2">
        <v>0</v>
      </c>
      <c r="Q2713" s="2"/>
      <c r="R2713" s="2">
        <v>0</v>
      </c>
      <c r="T2713" s="2">
        <v>0</v>
      </c>
      <c r="U2713" s="2"/>
      <c r="X2713">
        <v>0</v>
      </c>
      <c r="Z2713">
        <v>0</v>
      </c>
      <c r="AB2713">
        <v>0</v>
      </c>
      <c r="AC2713">
        <v>0</v>
      </c>
      <c r="AD2713">
        <v>0</v>
      </c>
      <c r="AE2713" s="7"/>
      <c r="AF2713" s="7"/>
      <c r="AG2713" s="7"/>
      <c r="AH2713" s="7"/>
      <c r="AI2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3" s="7">
        <v>12</v>
      </c>
      <c r="AK2713" t="s">
        <v>116</v>
      </c>
      <c r="AN2713">
        <f>IFERROR(INT(Table13[[#This Row],[reject_prod]]/Table13[[#This Row],[part_weight]] * 1000), 0)</f>
        <v>0</v>
      </c>
    </row>
    <row r="2714" spans="1:40">
      <c r="A2714" s="1">
        <v>46102</v>
      </c>
      <c r="B2714">
        <v>2</v>
      </c>
      <c r="C2714">
        <v>16</v>
      </c>
      <c r="F2714">
        <v>123456</v>
      </c>
      <c r="G2714" s="6">
        <v>0</v>
      </c>
      <c r="M2714">
        <v>0</v>
      </c>
      <c r="N2714" s="2">
        <v>0</v>
      </c>
      <c r="O2714" s="2">
        <v>0</v>
      </c>
      <c r="P2714" s="2">
        <v>0</v>
      </c>
      <c r="Q2714" s="2"/>
      <c r="R2714" s="2">
        <v>0</v>
      </c>
      <c r="T2714" s="2">
        <v>0</v>
      </c>
      <c r="U2714" s="2"/>
      <c r="X2714">
        <v>0</v>
      </c>
      <c r="Z2714">
        <v>0</v>
      </c>
      <c r="AB2714">
        <v>0</v>
      </c>
      <c r="AC2714">
        <v>0</v>
      </c>
      <c r="AD2714">
        <v>0</v>
      </c>
      <c r="AE2714" s="7"/>
      <c r="AF2714" s="7"/>
      <c r="AG2714" s="7"/>
      <c r="AH2714" s="7"/>
      <c r="AI2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4" s="7">
        <v>12</v>
      </c>
      <c r="AK2714" t="s">
        <v>116</v>
      </c>
      <c r="AN2714">
        <f>IFERROR(INT(Table13[[#This Row],[reject_prod]]/Table13[[#This Row],[part_weight]] * 1000), 0)</f>
        <v>0</v>
      </c>
    </row>
    <row r="2715" spans="1:40">
      <c r="A2715" s="1">
        <v>46103</v>
      </c>
      <c r="B2715">
        <v>1</v>
      </c>
      <c r="C2715">
        <v>1</v>
      </c>
      <c r="F2715">
        <v>123456</v>
      </c>
      <c r="G2715" s="6">
        <v>0</v>
      </c>
      <c r="M2715">
        <v>0</v>
      </c>
      <c r="N2715" s="2">
        <v>0</v>
      </c>
      <c r="O2715" s="2">
        <v>0</v>
      </c>
      <c r="P2715" s="2">
        <v>0</v>
      </c>
      <c r="Q2715" s="2"/>
      <c r="R2715" s="2">
        <v>0</v>
      </c>
      <c r="T2715" s="2">
        <v>0</v>
      </c>
      <c r="U2715" s="2"/>
      <c r="X2715">
        <v>0</v>
      </c>
      <c r="Z2715">
        <v>0</v>
      </c>
      <c r="AB2715">
        <v>0</v>
      </c>
      <c r="AC2715">
        <v>0</v>
      </c>
      <c r="AD2715">
        <v>0</v>
      </c>
      <c r="AE2715" s="7"/>
      <c r="AF2715" s="7"/>
      <c r="AG2715" s="7"/>
      <c r="AH2715" s="7"/>
      <c r="AI2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5" s="7">
        <v>12</v>
      </c>
      <c r="AK2715" t="s">
        <v>116</v>
      </c>
      <c r="AN2715">
        <f>IFERROR(INT(Table13[[#This Row],[reject_prod]]/Table13[[#This Row],[part_weight]] * 1000), 0)</f>
        <v>0</v>
      </c>
    </row>
    <row r="2716" spans="1:40">
      <c r="A2716" s="1">
        <v>46103</v>
      </c>
      <c r="B2716">
        <v>1</v>
      </c>
      <c r="C2716">
        <v>2</v>
      </c>
      <c r="F2716">
        <v>123456</v>
      </c>
      <c r="G2716" s="6">
        <v>0</v>
      </c>
      <c r="M2716">
        <v>0</v>
      </c>
      <c r="N2716" s="2">
        <v>0</v>
      </c>
      <c r="O2716" s="2">
        <v>0</v>
      </c>
      <c r="P2716" s="2">
        <v>0</v>
      </c>
      <c r="Q2716" s="2"/>
      <c r="R2716" s="2">
        <v>0</v>
      </c>
      <c r="T2716" s="2">
        <v>0</v>
      </c>
      <c r="U2716" s="2"/>
      <c r="X2716">
        <v>0</v>
      </c>
      <c r="Z2716">
        <v>0</v>
      </c>
      <c r="AB2716">
        <v>0</v>
      </c>
      <c r="AC2716">
        <v>0</v>
      </c>
      <c r="AD2716">
        <v>0</v>
      </c>
      <c r="AE2716" s="7"/>
      <c r="AF2716" s="7"/>
      <c r="AG2716" s="7"/>
      <c r="AH2716" s="7"/>
      <c r="AI2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6" s="7">
        <v>12</v>
      </c>
      <c r="AK2716" t="s">
        <v>116</v>
      </c>
      <c r="AN2716">
        <f>IFERROR(INT(Table13[[#This Row],[reject_prod]]/Table13[[#This Row],[part_weight]] * 1000), 0)</f>
        <v>0</v>
      </c>
    </row>
    <row r="2717" spans="1:40">
      <c r="A2717" s="1">
        <v>46103</v>
      </c>
      <c r="B2717">
        <v>1</v>
      </c>
      <c r="C2717">
        <v>3</v>
      </c>
      <c r="F2717">
        <v>123456</v>
      </c>
      <c r="G2717" s="6">
        <v>0</v>
      </c>
      <c r="M2717">
        <v>0</v>
      </c>
      <c r="N2717" s="2">
        <v>0</v>
      </c>
      <c r="O2717" s="2">
        <v>0</v>
      </c>
      <c r="P2717" s="2">
        <v>0</v>
      </c>
      <c r="Q2717" s="2"/>
      <c r="R2717" s="2">
        <v>0</v>
      </c>
      <c r="T2717" s="2">
        <v>0</v>
      </c>
      <c r="U2717" s="2"/>
      <c r="X2717">
        <v>0</v>
      </c>
      <c r="Z2717">
        <v>0</v>
      </c>
      <c r="AB2717">
        <v>0</v>
      </c>
      <c r="AC2717">
        <v>0</v>
      </c>
      <c r="AD2717">
        <v>0</v>
      </c>
      <c r="AE2717" s="7"/>
      <c r="AF2717" s="7"/>
      <c r="AG2717" s="7"/>
      <c r="AH2717" s="7"/>
      <c r="AI2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7" s="7">
        <v>12</v>
      </c>
      <c r="AK2717" t="s">
        <v>116</v>
      </c>
      <c r="AN2717">
        <f>IFERROR(INT(Table13[[#This Row],[reject_prod]]/Table13[[#This Row],[part_weight]] * 1000), 0)</f>
        <v>0</v>
      </c>
    </row>
    <row r="2718" spans="1:40">
      <c r="A2718" s="1">
        <v>46103</v>
      </c>
      <c r="B2718">
        <v>1</v>
      </c>
      <c r="C2718">
        <v>4</v>
      </c>
      <c r="F2718">
        <v>123456</v>
      </c>
      <c r="G2718" s="6">
        <v>0</v>
      </c>
      <c r="M2718">
        <v>0</v>
      </c>
      <c r="N2718" s="2">
        <v>0</v>
      </c>
      <c r="O2718" s="2">
        <v>0</v>
      </c>
      <c r="P2718" s="2">
        <v>0</v>
      </c>
      <c r="Q2718" s="2"/>
      <c r="R2718" s="2">
        <v>0</v>
      </c>
      <c r="T2718" s="2">
        <v>0</v>
      </c>
      <c r="U2718" s="2"/>
      <c r="X2718">
        <v>0</v>
      </c>
      <c r="Z2718">
        <v>0</v>
      </c>
      <c r="AB2718">
        <v>0</v>
      </c>
      <c r="AC2718">
        <v>0</v>
      </c>
      <c r="AD2718">
        <v>0</v>
      </c>
      <c r="AE2718" s="7"/>
      <c r="AF2718" s="7"/>
      <c r="AG2718" s="7"/>
      <c r="AH2718" s="7"/>
      <c r="AI2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8" s="7">
        <v>12</v>
      </c>
      <c r="AK2718" t="s">
        <v>116</v>
      </c>
      <c r="AN2718">
        <f>IFERROR(INT(Table13[[#This Row],[reject_prod]]/Table13[[#This Row],[part_weight]] * 1000), 0)</f>
        <v>0</v>
      </c>
    </row>
    <row r="2719" spans="1:40">
      <c r="A2719" s="1">
        <v>46103</v>
      </c>
      <c r="B2719">
        <v>1</v>
      </c>
      <c r="C2719">
        <v>5</v>
      </c>
      <c r="F2719">
        <v>123456</v>
      </c>
      <c r="G2719" s="6">
        <v>0</v>
      </c>
      <c r="M2719">
        <v>0</v>
      </c>
      <c r="N2719" s="2">
        <v>0</v>
      </c>
      <c r="O2719" s="2">
        <v>0</v>
      </c>
      <c r="P2719" s="2">
        <v>0</v>
      </c>
      <c r="Q2719" s="2"/>
      <c r="R2719" s="2">
        <v>0</v>
      </c>
      <c r="T2719" s="2">
        <v>0</v>
      </c>
      <c r="U2719" s="2"/>
      <c r="X2719">
        <v>0</v>
      </c>
      <c r="Z2719">
        <v>0</v>
      </c>
      <c r="AB2719">
        <v>0</v>
      </c>
      <c r="AC2719">
        <v>0</v>
      </c>
      <c r="AD2719">
        <v>0</v>
      </c>
      <c r="AE2719" s="7"/>
      <c r="AF2719" s="7"/>
      <c r="AG2719" s="7"/>
      <c r="AH2719" s="7"/>
      <c r="AI2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9" s="7">
        <v>12</v>
      </c>
      <c r="AK2719" t="s">
        <v>116</v>
      </c>
      <c r="AN2719">
        <f>IFERROR(INT(Table13[[#This Row],[reject_prod]]/Table13[[#This Row],[part_weight]] * 1000), 0)</f>
        <v>0</v>
      </c>
    </row>
    <row r="2720" spans="1:40">
      <c r="A2720" s="1">
        <v>46103</v>
      </c>
      <c r="B2720">
        <v>1</v>
      </c>
      <c r="C2720">
        <v>6</v>
      </c>
      <c r="F2720">
        <v>123456</v>
      </c>
      <c r="G2720" s="6">
        <v>0</v>
      </c>
      <c r="M2720">
        <v>0</v>
      </c>
      <c r="N2720" s="2">
        <v>0</v>
      </c>
      <c r="O2720" s="2">
        <v>0</v>
      </c>
      <c r="P2720" s="2">
        <v>0</v>
      </c>
      <c r="Q2720" s="2"/>
      <c r="R2720" s="2">
        <v>0</v>
      </c>
      <c r="T2720" s="2">
        <v>0</v>
      </c>
      <c r="U2720" s="2"/>
      <c r="X2720">
        <v>0</v>
      </c>
      <c r="Z2720">
        <v>0</v>
      </c>
      <c r="AB2720">
        <v>0</v>
      </c>
      <c r="AC2720">
        <v>0</v>
      </c>
      <c r="AD2720">
        <v>0</v>
      </c>
      <c r="AE2720" s="7"/>
      <c r="AF2720" s="7"/>
      <c r="AG2720" s="7"/>
      <c r="AH2720" s="7"/>
      <c r="AI2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0" s="7">
        <v>12</v>
      </c>
      <c r="AK2720" t="s">
        <v>116</v>
      </c>
      <c r="AN2720">
        <f>IFERROR(INT(Table13[[#This Row],[reject_prod]]/Table13[[#This Row],[part_weight]] * 1000), 0)</f>
        <v>0</v>
      </c>
    </row>
    <row r="2721" spans="1:40">
      <c r="A2721" s="1">
        <v>46103</v>
      </c>
      <c r="B2721">
        <v>1</v>
      </c>
      <c r="C2721">
        <v>7</v>
      </c>
      <c r="F2721">
        <v>123456</v>
      </c>
      <c r="G2721" s="6">
        <v>0</v>
      </c>
      <c r="M2721">
        <v>0</v>
      </c>
      <c r="N2721" s="2">
        <v>0</v>
      </c>
      <c r="O2721" s="2">
        <v>0</v>
      </c>
      <c r="P2721" s="2">
        <v>0</v>
      </c>
      <c r="Q2721" s="2"/>
      <c r="R2721" s="2">
        <v>0</v>
      </c>
      <c r="T2721" s="2">
        <v>0</v>
      </c>
      <c r="U2721" s="2"/>
      <c r="X2721">
        <v>0</v>
      </c>
      <c r="Z2721">
        <v>0</v>
      </c>
      <c r="AB2721">
        <v>0</v>
      </c>
      <c r="AC2721">
        <v>0</v>
      </c>
      <c r="AD2721">
        <v>0</v>
      </c>
      <c r="AE2721" s="7"/>
      <c r="AF2721" s="7"/>
      <c r="AG2721" s="7"/>
      <c r="AH2721" s="7"/>
      <c r="AI2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1" s="7">
        <v>12</v>
      </c>
      <c r="AK2721" t="s">
        <v>116</v>
      </c>
      <c r="AN2721">
        <f>IFERROR(INT(Table13[[#This Row],[reject_prod]]/Table13[[#This Row],[part_weight]] * 1000), 0)</f>
        <v>0</v>
      </c>
    </row>
    <row r="2722" spans="1:40">
      <c r="A2722" s="1">
        <v>46103</v>
      </c>
      <c r="B2722">
        <v>1</v>
      </c>
      <c r="C2722">
        <v>8</v>
      </c>
      <c r="F2722">
        <v>123456</v>
      </c>
      <c r="G2722" s="6">
        <v>0</v>
      </c>
      <c r="M2722">
        <v>0</v>
      </c>
      <c r="N2722" s="2">
        <v>0</v>
      </c>
      <c r="O2722" s="2">
        <v>0</v>
      </c>
      <c r="P2722" s="2">
        <v>0</v>
      </c>
      <c r="Q2722" s="2"/>
      <c r="R2722" s="2">
        <v>0</v>
      </c>
      <c r="T2722" s="2">
        <v>0</v>
      </c>
      <c r="U2722" s="2"/>
      <c r="X2722">
        <v>0</v>
      </c>
      <c r="Z2722">
        <v>0</v>
      </c>
      <c r="AB2722">
        <v>0</v>
      </c>
      <c r="AC2722">
        <v>0</v>
      </c>
      <c r="AD2722">
        <v>0</v>
      </c>
      <c r="AE2722" s="7"/>
      <c r="AF2722" s="7"/>
      <c r="AG2722" s="7"/>
      <c r="AH2722" s="7"/>
      <c r="AI27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2" s="7">
        <v>12</v>
      </c>
      <c r="AK2722" t="s">
        <v>116</v>
      </c>
      <c r="AN2722">
        <f>IFERROR(INT(Table13[[#This Row],[reject_prod]]/Table13[[#This Row],[part_weight]] * 1000), 0)</f>
        <v>0</v>
      </c>
    </row>
    <row r="2723" spans="1:40">
      <c r="A2723" s="1">
        <v>46103</v>
      </c>
      <c r="B2723">
        <v>1</v>
      </c>
      <c r="C2723">
        <v>9</v>
      </c>
      <c r="F2723">
        <v>123456</v>
      </c>
      <c r="G2723" s="6">
        <v>0</v>
      </c>
      <c r="M2723">
        <v>0</v>
      </c>
      <c r="N2723" s="2">
        <v>0</v>
      </c>
      <c r="O2723" s="2">
        <v>0</v>
      </c>
      <c r="P2723" s="2">
        <v>0</v>
      </c>
      <c r="Q2723" s="2"/>
      <c r="R2723" s="2">
        <v>0</v>
      </c>
      <c r="T2723" s="2">
        <v>0</v>
      </c>
      <c r="U2723" s="2"/>
      <c r="X2723">
        <v>0</v>
      </c>
      <c r="Z2723">
        <v>0</v>
      </c>
      <c r="AB2723">
        <v>0</v>
      </c>
      <c r="AC2723">
        <v>0</v>
      </c>
      <c r="AD2723">
        <v>0</v>
      </c>
      <c r="AE2723" s="7"/>
      <c r="AF2723" s="7"/>
      <c r="AG2723" s="7"/>
      <c r="AH2723" s="7"/>
      <c r="AI2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3" s="7">
        <v>12</v>
      </c>
      <c r="AK2723" t="s">
        <v>116</v>
      </c>
      <c r="AN2723">
        <f>IFERROR(INT(Table13[[#This Row],[reject_prod]]/Table13[[#This Row],[part_weight]] * 1000), 0)</f>
        <v>0</v>
      </c>
    </row>
    <row r="2724" spans="1:40">
      <c r="A2724" s="1">
        <v>46103</v>
      </c>
      <c r="B2724">
        <v>1</v>
      </c>
      <c r="C2724">
        <v>10</v>
      </c>
      <c r="F2724">
        <v>123456</v>
      </c>
      <c r="G2724" s="6">
        <v>0</v>
      </c>
      <c r="M2724">
        <v>0</v>
      </c>
      <c r="N2724" s="2">
        <v>0</v>
      </c>
      <c r="O2724" s="2">
        <v>0</v>
      </c>
      <c r="P2724" s="2">
        <v>0</v>
      </c>
      <c r="Q2724" s="2"/>
      <c r="R2724" s="2">
        <v>0</v>
      </c>
      <c r="T2724" s="2">
        <v>0</v>
      </c>
      <c r="U2724" s="2"/>
      <c r="X2724">
        <v>0</v>
      </c>
      <c r="Z2724">
        <v>0</v>
      </c>
      <c r="AB2724">
        <v>0</v>
      </c>
      <c r="AC2724">
        <v>0</v>
      </c>
      <c r="AD2724">
        <v>0</v>
      </c>
      <c r="AE2724" s="7"/>
      <c r="AF2724" s="7"/>
      <c r="AG2724" s="7"/>
      <c r="AH2724" s="7"/>
      <c r="AI2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4" s="7">
        <v>12</v>
      </c>
      <c r="AK2724" t="s">
        <v>116</v>
      </c>
      <c r="AN2724">
        <f>IFERROR(INT(Table13[[#This Row],[reject_prod]]/Table13[[#This Row],[part_weight]] * 1000), 0)</f>
        <v>0</v>
      </c>
    </row>
    <row r="2725" spans="1:40">
      <c r="A2725" s="1">
        <v>46103</v>
      </c>
      <c r="B2725">
        <v>1</v>
      </c>
      <c r="C2725">
        <v>11</v>
      </c>
      <c r="F2725">
        <v>123456</v>
      </c>
      <c r="G2725" s="6">
        <v>0</v>
      </c>
      <c r="M2725">
        <v>0</v>
      </c>
      <c r="N2725" s="2">
        <v>0</v>
      </c>
      <c r="O2725" s="2">
        <v>0</v>
      </c>
      <c r="P2725" s="2">
        <v>0</v>
      </c>
      <c r="Q2725" s="2"/>
      <c r="R2725" s="2">
        <v>0</v>
      </c>
      <c r="T2725" s="2">
        <v>0</v>
      </c>
      <c r="U2725" s="2"/>
      <c r="X2725">
        <v>0</v>
      </c>
      <c r="Z2725">
        <v>0</v>
      </c>
      <c r="AB2725">
        <v>0</v>
      </c>
      <c r="AC2725">
        <v>0</v>
      </c>
      <c r="AD2725">
        <v>0</v>
      </c>
      <c r="AE2725" s="7"/>
      <c r="AF2725" s="7"/>
      <c r="AG2725" s="7"/>
      <c r="AH2725" s="7"/>
      <c r="AI2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5" s="7">
        <v>12</v>
      </c>
      <c r="AK2725" t="s">
        <v>116</v>
      </c>
      <c r="AN2725">
        <f>IFERROR(INT(Table13[[#This Row],[reject_prod]]/Table13[[#This Row],[part_weight]] * 1000), 0)</f>
        <v>0</v>
      </c>
    </row>
    <row r="2726" spans="1:40">
      <c r="A2726" s="1">
        <v>46103</v>
      </c>
      <c r="B2726">
        <v>1</v>
      </c>
      <c r="C2726">
        <v>12</v>
      </c>
      <c r="F2726">
        <v>123456</v>
      </c>
      <c r="G2726" s="6">
        <v>0</v>
      </c>
      <c r="M2726">
        <v>0</v>
      </c>
      <c r="N2726" s="2">
        <v>0</v>
      </c>
      <c r="O2726" s="2">
        <v>0</v>
      </c>
      <c r="P2726" s="2">
        <v>0</v>
      </c>
      <c r="Q2726" s="2"/>
      <c r="R2726" s="2">
        <v>0</v>
      </c>
      <c r="T2726" s="2">
        <v>0</v>
      </c>
      <c r="U2726" s="2"/>
      <c r="X2726">
        <v>0</v>
      </c>
      <c r="Z2726">
        <v>0</v>
      </c>
      <c r="AB2726">
        <v>0</v>
      </c>
      <c r="AC2726">
        <v>0</v>
      </c>
      <c r="AD2726">
        <v>0</v>
      </c>
      <c r="AE2726" s="7"/>
      <c r="AF2726" s="7"/>
      <c r="AG2726" s="7"/>
      <c r="AH2726" s="7"/>
      <c r="AI2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6" s="7">
        <v>12</v>
      </c>
      <c r="AK2726" t="s">
        <v>116</v>
      </c>
      <c r="AN2726">
        <f>IFERROR(INT(Table13[[#This Row],[reject_prod]]/Table13[[#This Row],[part_weight]] * 1000), 0)</f>
        <v>0</v>
      </c>
    </row>
    <row r="2727" spans="1:40">
      <c r="A2727" s="1">
        <v>46103</v>
      </c>
      <c r="B2727">
        <v>1</v>
      </c>
      <c r="C2727">
        <v>13</v>
      </c>
      <c r="F2727">
        <v>123456</v>
      </c>
      <c r="G2727" s="6">
        <v>0</v>
      </c>
      <c r="M2727">
        <v>0</v>
      </c>
      <c r="N2727" s="2">
        <v>0</v>
      </c>
      <c r="O2727" s="2">
        <v>0</v>
      </c>
      <c r="P2727" s="2">
        <v>0</v>
      </c>
      <c r="Q2727" s="2"/>
      <c r="R2727" s="2">
        <v>0</v>
      </c>
      <c r="T2727" s="2">
        <v>0</v>
      </c>
      <c r="U2727" s="2"/>
      <c r="X2727">
        <v>0</v>
      </c>
      <c r="Z2727">
        <v>0</v>
      </c>
      <c r="AB2727">
        <v>0</v>
      </c>
      <c r="AC2727">
        <v>0</v>
      </c>
      <c r="AD2727">
        <v>0</v>
      </c>
      <c r="AE2727" s="7"/>
      <c r="AF2727" s="7"/>
      <c r="AG2727" s="7"/>
      <c r="AH2727" s="7"/>
      <c r="AI2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7" s="7">
        <v>12</v>
      </c>
      <c r="AK2727" t="s">
        <v>116</v>
      </c>
      <c r="AN2727">
        <f>IFERROR(INT(Table13[[#This Row],[reject_prod]]/Table13[[#This Row],[part_weight]] * 1000), 0)</f>
        <v>0</v>
      </c>
    </row>
    <row r="2728" spans="1:40">
      <c r="A2728" s="1">
        <v>46103</v>
      </c>
      <c r="B2728">
        <v>1</v>
      </c>
      <c r="C2728">
        <v>14</v>
      </c>
      <c r="F2728">
        <v>123456</v>
      </c>
      <c r="G2728" s="6">
        <v>0</v>
      </c>
      <c r="M2728">
        <v>0</v>
      </c>
      <c r="N2728" s="2">
        <v>0</v>
      </c>
      <c r="O2728" s="2">
        <v>0</v>
      </c>
      <c r="P2728" s="2">
        <v>0</v>
      </c>
      <c r="Q2728" s="2"/>
      <c r="R2728" s="2">
        <v>0</v>
      </c>
      <c r="T2728" s="2">
        <v>0</v>
      </c>
      <c r="U2728" s="2"/>
      <c r="X2728">
        <v>0</v>
      </c>
      <c r="Z2728">
        <v>0</v>
      </c>
      <c r="AB2728">
        <v>0</v>
      </c>
      <c r="AC2728">
        <v>0</v>
      </c>
      <c r="AD2728">
        <v>0</v>
      </c>
      <c r="AE2728" s="7"/>
      <c r="AF2728" s="7"/>
      <c r="AG2728" s="7"/>
      <c r="AH2728" s="7"/>
      <c r="AI2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8" s="7">
        <v>12</v>
      </c>
      <c r="AK2728" t="s">
        <v>116</v>
      </c>
      <c r="AN2728">
        <f>IFERROR(INT(Table13[[#This Row],[reject_prod]]/Table13[[#This Row],[part_weight]] * 1000), 0)</f>
        <v>0</v>
      </c>
    </row>
    <row r="2729" spans="1:40">
      <c r="A2729" s="1">
        <v>46103</v>
      </c>
      <c r="B2729">
        <v>1</v>
      </c>
      <c r="C2729">
        <v>15</v>
      </c>
      <c r="F2729">
        <v>123456</v>
      </c>
      <c r="G2729" s="6">
        <v>0</v>
      </c>
      <c r="M2729">
        <v>0</v>
      </c>
      <c r="N2729" s="2">
        <v>0</v>
      </c>
      <c r="O2729" s="2">
        <v>0</v>
      </c>
      <c r="P2729" s="2">
        <v>0</v>
      </c>
      <c r="Q2729" s="2"/>
      <c r="R2729" s="2">
        <v>0</v>
      </c>
      <c r="T2729" s="2">
        <v>0</v>
      </c>
      <c r="U2729" s="2"/>
      <c r="X2729">
        <v>0</v>
      </c>
      <c r="Z2729">
        <v>0</v>
      </c>
      <c r="AB2729">
        <v>0</v>
      </c>
      <c r="AC2729">
        <v>0</v>
      </c>
      <c r="AD2729">
        <v>0</v>
      </c>
      <c r="AE2729" s="7"/>
      <c r="AF2729" s="7"/>
      <c r="AG2729" s="7"/>
      <c r="AH2729" s="7"/>
      <c r="AI2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9" s="7">
        <v>12</v>
      </c>
      <c r="AK2729" t="s">
        <v>116</v>
      </c>
      <c r="AN2729">
        <f>IFERROR(INT(Table13[[#This Row],[reject_prod]]/Table13[[#This Row],[part_weight]] * 1000), 0)</f>
        <v>0</v>
      </c>
    </row>
    <row r="2730" spans="1:40">
      <c r="A2730" s="1">
        <v>46103</v>
      </c>
      <c r="B2730">
        <v>1</v>
      </c>
      <c r="C2730">
        <v>16</v>
      </c>
      <c r="F2730">
        <v>123456</v>
      </c>
      <c r="G2730" s="6">
        <v>0</v>
      </c>
      <c r="M2730">
        <v>0</v>
      </c>
      <c r="N2730" s="2">
        <v>0</v>
      </c>
      <c r="O2730" s="2">
        <v>0</v>
      </c>
      <c r="P2730" s="2">
        <v>0</v>
      </c>
      <c r="Q2730" s="2"/>
      <c r="R2730" s="2">
        <v>0</v>
      </c>
      <c r="T2730" s="2">
        <v>0</v>
      </c>
      <c r="U2730" s="2"/>
      <c r="X2730">
        <v>0</v>
      </c>
      <c r="Z2730">
        <v>0</v>
      </c>
      <c r="AB2730">
        <v>0</v>
      </c>
      <c r="AC2730">
        <v>0</v>
      </c>
      <c r="AD2730">
        <v>0</v>
      </c>
      <c r="AE2730" s="7"/>
      <c r="AF2730" s="7"/>
      <c r="AG2730" s="7"/>
      <c r="AH2730" s="7"/>
      <c r="AI2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0" s="7">
        <v>12</v>
      </c>
      <c r="AK2730" t="s">
        <v>116</v>
      </c>
      <c r="AN2730">
        <f>IFERROR(INT(Table13[[#This Row],[reject_prod]]/Table13[[#This Row],[part_weight]] * 1000), 0)</f>
        <v>0</v>
      </c>
    </row>
    <row r="2731" spans="1:40">
      <c r="A2731" s="1">
        <v>46103</v>
      </c>
      <c r="B2731">
        <v>2</v>
      </c>
      <c r="C2731">
        <v>1</v>
      </c>
      <c r="F2731">
        <v>123456</v>
      </c>
      <c r="G2731" s="6">
        <v>0</v>
      </c>
      <c r="M2731">
        <v>0</v>
      </c>
      <c r="N2731" s="2">
        <v>0</v>
      </c>
      <c r="O2731" s="2">
        <v>0</v>
      </c>
      <c r="P2731" s="2">
        <v>0</v>
      </c>
      <c r="Q2731" s="2"/>
      <c r="R2731" s="2">
        <v>0</v>
      </c>
      <c r="T2731" s="2">
        <v>0</v>
      </c>
      <c r="U2731" s="2"/>
      <c r="X2731">
        <v>0</v>
      </c>
      <c r="Z2731">
        <v>0</v>
      </c>
      <c r="AB2731">
        <v>0</v>
      </c>
      <c r="AC2731">
        <v>0</v>
      </c>
      <c r="AD2731">
        <v>0</v>
      </c>
      <c r="AE2731" s="7"/>
      <c r="AF2731" s="7"/>
      <c r="AG2731" s="7"/>
      <c r="AH2731" s="7"/>
      <c r="AI2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1" s="7">
        <v>12</v>
      </c>
      <c r="AK2731" t="s">
        <v>116</v>
      </c>
      <c r="AN2731">
        <f>IFERROR(INT(Table13[[#This Row],[reject_prod]]/Table13[[#This Row],[part_weight]] * 1000), 0)</f>
        <v>0</v>
      </c>
    </row>
    <row r="2732" spans="1:40">
      <c r="A2732" s="1">
        <v>46103</v>
      </c>
      <c r="B2732">
        <v>2</v>
      </c>
      <c r="C2732">
        <v>2</v>
      </c>
      <c r="F2732">
        <v>123456</v>
      </c>
      <c r="G2732" s="6">
        <v>0</v>
      </c>
      <c r="M2732">
        <v>0</v>
      </c>
      <c r="N2732" s="2">
        <v>0</v>
      </c>
      <c r="O2732" s="2">
        <v>0</v>
      </c>
      <c r="P2732" s="2">
        <v>0</v>
      </c>
      <c r="Q2732" s="2"/>
      <c r="R2732" s="2">
        <v>0</v>
      </c>
      <c r="T2732" s="2">
        <v>0</v>
      </c>
      <c r="U2732" s="2"/>
      <c r="X2732">
        <v>0</v>
      </c>
      <c r="Z2732">
        <v>0</v>
      </c>
      <c r="AB2732">
        <v>0</v>
      </c>
      <c r="AC2732">
        <v>0</v>
      </c>
      <c r="AD2732">
        <v>0</v>
      </c>
      <c r="AE2732" s="7"/>
      <c r="AF2732" s="7"/>
      <c r="AG2732" s="7"/>
      <c r="AH2732" s="7"/>
      <c r="AI2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2" s="7">
        <v>12</v>
      </c>
      <c r="AK2732" t="s">
        <v>116</v>
      </c>
      <c r="AN2732">
        <f>IFERROR(INT(Table13[[#This Row],[reject_prod]]/Table13[[#This Row],[part_weight]] * 1000), 0)</f>
        <v>0</v>
      </c>
    </row>
    <row r="2733" spans="1:40">
      <c r="A2733" s="1">
        <v>46103</v>
      </c>
      <c r="B2733">
        <v>2</v>
      </c>
      <c r="C2733">
        <v>3</v>
      </c>
      <c r="F2733">
        <v>123456</v>
      </c>
      <c r="G2733" s="6">
        <v>0</v>
      </c>
      <c r="M2733">
        <v>0</v>
      </c>
      <c r="N2733" s="2">
        <v>0</v>
      </c>
      <c r="O2733" s="2">
        <v>0</v>
      </c>
      <c r="P2733" s="2">
        <v>0</v>
      </c>
      <c r="Q2733" s="2"/>
      <c r="R2733" s="2">
        <v>0</v>
      </c>
      <c r="T2733" s="2">
        <v>0</v>
      </c>
      <c r="U2733" s="2"/>
      <c r="X2733">
        <v>0</v>
      </c>
      <c r="Z2733">
        <v>0</v>
      </c>
      <c r="AB2733">
        <v>0</v>
      </c>
      <c r="AC2733">
        <v>0</v>
      </c>
      <c r="AD2733">
        <v>0</v>
      </c>
      <c r="AE2733" s="7"/>
      <c r="AF2733" s="7"/>
      <c r="AG2733" s="7"/>
      <c r="AH2733" s="7"/>
      <c r="AI2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3" s="7">
        <v>12</v>
      </c>
      <c r="AK2733" t="s">
        <v>116</v>
      </c>
      <c r="AN2733">
        <f>IFERROR(INT(Table13[[#This Row],[reject_prod]]/Table13[[#This Row],[part_weight]] * 1000), 0)</f>
        <v>0</v>
      </c>
    </row>
    <row r="2734" spans="1:40">
      <c r="A2734" s="1">
        <v>46103</v>
      </c>
      <c r="B2734">
        <v>2</v>
      </c>
      <c r="C2734">
        <v>4</v>
      </c>
      <c r="F2734">
        <v>123456</v>
      </c>
      <c r="G2734" s="6">
        <v>0</v>
      </c>
      <c r="M2734">
        <v>0</v>
      </c>
      <c r="N2734" s="2">
        <v>0</v>
      </c>
      <c r="O2734" s="2">
        <v>0</v>
      </c>
      <c r="P2734" s="2">
        <v>0</v>
      </c>
      <c r="Q2734" s="2"/>
      <c r="R2734" s="2">
        <v>0</v>
      </c>
      <c r="T2734" s="2">
        <v>0</v>
      </c>
      <c r="U2734" s="2"/>
      <c r="X2734">
        <v>0</v>
      </c>
      <c r="Z2734">
        <v>0</v>
      </c>
      <c r="AB2734">
        <v>0</v>
      </c>
      <c r="AC2734">
        <v>0</v>
      </c>
      <c r="AD2734">
        <v>0</v>
      </c>
      <c r="AE2734" s="7"/>
      <c r="AF2734" s="7"/>
      <c r="AG2734" s="7"/>
      <c r="AH2734" s="7"/>
      <c r="AI2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4" s="7">
        <v>12</v>
      </c>
      <c r="AK2734" t="s">
        <v>116</v>
      </c>
      <c r="AN2734">
        <f>IFERROR(INT(Table13[[#This Row],[reject_prod]]/Table13[[#This Row],[part_weight]] * 1000), 0)</f>
        <v>0</v>
      </c>
    </row>
    <row r="2735" spans="1:40">
      <c r="A2735" s="1">
        <v>46103</v>
      </c>
      <c r="B2735">
        <v>2</v>
      </c>
      <c r="C2735">
        <v>5</v>
      </c>
      <c r="F2735">
        <v>123456</v>
      </c>
      <c r="G2735" s="6">
        <v>0</v>
      </c>
      <c r="M2735">
        <v>0</v>
      </c>
      <c r="N2735" s="2">
        <v>0</v>
      </c>
      <c r="O2735" s="2">
        <v>0</v>
      </c>
      <c r="P2735" s="2">
        <v>0</v>
      </c>
      <c r="Q2735" s="2"/>
      <c r="R2735" s="2">
        <v>0</v>
      </c>
      <c r="T2735" s="2">
        <v>0</v>
      </c>
      <c r="U2735" s="2"/>
      <c r="X2735">
        <v>0</v>
      </c>
      <c r="Z2735">
        <v>0</v>
      </c>
      <c r="AB2735">
        <v>0</v>
      </c>
      <c r="AC2735">
        <v>0</v>
      </c>
      <c r="AD2735">
        <v>0</v>
      </c>
      <c r="AE2735" s="7"/>
      <c r="AF2735" s="7"/>
      <c r="AG2735" s="7"/>
      <c r="AH2735" s="7"/>
      <c r="AI2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5" s="7">
        <v>12</v>
      </c>
      <c r="AK2735" t="s">
        <v>116</v>
      </c>
      <c r="AN2735">
        <f>IFERROR(INT(Table13[[#This Row],[reject_prod]]/Table13[[#This Row],[part_weight]] * 1000), 0)</f>
        <v>0</v>
      </c>
    </row>
    <row r="2736" spans="1:40">
      <c r="A2736" s="1">
        <v>46103</v>
      </c>
      <c r="B2736">
        <v>2</v>
      </c>
      <c r="C2736">
        <v>6</v>
      </c>
      <c r="F2736">
        <v>123456</v>
      </c>
      <c r="G2736" s="6">
        <v>0</v>
      </c>
      <c r="M2736">
        <v>0</v>
      </c>
      <c r="N2736" s="2">
        <v>0</v>
      </c>
      <c r="O2736" s="2">
        <v>0</v>
      </c>
      <c r="P2736" s="2">
        <v>0</v>
      </c>
      <c r="Q2736" s="2"/>
      <c r="R2736" s="2">
        <v>0</v>
      </c>
      <c r="T2736" s="2">
        <v>0</v>
      </c>
      <c r="U2736" s="2"/>
      <c r="X2736">
        <v>0</v>
      </c>
      <c r="Z2736">
        <v>0</v>
      </c>
      <c r="AB2736">
        <v>0</v>
      </c>
      <c r="AC2736">
        <v>0</v>
      </c>
      <c r="AD2736">
        <v>0</v>
      </c>
      <c r="AE2736" s="7"/>
      <c r="AF2736" s="7"/>
      <c r="AG2736" s="7"/>
      <c r="AH2736" s="7"/>
      <c r="AI2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6" s="7">
        <v>12</v>
      </c>
      <c r="AK2736" t="s">
        <v>116</v>
      </c>
      <c r="AN2736">
        <f>IFERROR(INT(Table13[[#This Row],[reject_prod]]/Table13[[#This Row],[part_weight]] * 1000), 0)</f>
        <v>0</v>
      </c>
    </row>
    <row r="2737" spans="1:40">
      <c r="A2737" s="1">
        <v>46103</v>
      </c>
      <c r="B2737">
        <v>2</v>
      </c>
      <c r="C2737">
        <v>7</v>
      </c>
      <c r="F2737">
        <v>123456</v>
      </c>
      <c r="G2737" s="6">
        <v>0</v>
      </c>
      <c r="M2737">
        <v>0</v>
      </c>
      <c r="N2737" s="2">
        <v>0</v>
      </c>
      <c r="O2737" s="2">
        <v>0</v>
      </c>
      <c r="P2737" s="2">
        <v>0</v>
      </c>
      <c r="Q2737" s="2"/>
      <c r="R2737" s="2">
        <v>0</v>
      </c>
      <c r="T2737" s="2">
        <v>0</v>
      </c>
      <c r="U2737" s="2"/>
      <c r="X2737">
        <v>0</v>
      </c>
      <c r="Z2737">
        <v>0</v>
      </c>
      <c r="AB2737">
        <v>0</v>
      </c>
      <c r="AC2737">
        <v>0</v>
      </c>
      <c r="AD2737">
        <v>0</v>
      </c>
      <c r="AE2737" s="7"/>
      <c r="AF2737" s="7"/>
      <c r="AG2737" s="7"/>
      <c r="AH2737" s="7"/>
      <c r="AI2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7" s="7">
        <v>12</v>
      </c>
      <c r="AK2737" t="s">
        <v>116</v>
      </c>
      <c r="AN2737">
        <f>IFERROR(INT(Table13[[#This Row],[reject_prod]]/Table13[[#This Row],[part_weight]] * 1000), 0)</f>
        <v>0</v>
      </c>
    </row>
    <row r="2738" spans="1:40">
      <c r="A2738" s="1">
        <v>46103</v>
      </c>
      <c r="B2738">
        <v>2</v>
      </c>
      <c r="C2738">
        <v>8</v>
      </c>
      <c r="F2738">
        <v>123456</v>
      </c>
      <c r="G2738" s="6">
        <v>0</v>
      </c>
      <c r="M2738">
        <v>0</v>
      </c>
      <c r="N2738" s="2">
        <v>0</v>
      </c>
      <c r="O2738" s="2">
        <v>0</v>
      </c>
      <c r="P2738" s="2">
        <v>0</v>
      </c>
      <c r="Q2738" s="2"/>
      <c r="R2738" s="2">
        <v>0</v>
      </c>
      <c r="T2738" s="2">
        <v>0</v>
      </c>
      <c r="U2738" s="2"/>
      <c r="X2738">
        <v>0</v>
      </c>
      <c r="Z2738">
        <v>0</v>
      </c>
      <c r="AB2738">
        <v>0</v>
      </c>
      <c r="AC2738">
        <v>0</v>
      </c>
      <c r="AD2738">
        <v>0</v>
      </c>
      <c r="AE2738" s="7"/>
      <c r="AF2738" s="7"/>
      <c r="AG2738" s="7"/>
      <c r="AH2738" s="7"/>
      <c r="AI2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8" s="7">
        <v>12</v>
      </c>
      <c r="AK2738" t="s">
        <v>116</v>
      </c>
      <c r="AN2738">
        <f>IFERROR(INT(Table13[[#This Row],[reject_prod]]/Table13[[#This Row],[part_weight]] * 1000), 0)</f>
        <v>0</v>
      </c>
    </row>
    <row r="2739" spans="1:40">
      <c r="A2739" s="1">
        <v>46103</v>
      </c>
      <c r="B2739">
        <v>2</v>
      </c>
      <c r="C2739">
        <v>9</v>
      </c>
      <c r="F2739">
        <v>123456</v>
      </c>
      <c r="G2739" s="6">
        <v>0</v>
      </c>
      <c r="M2739">
        <v>0</v>
      </c>
      <c r="N2739" s="2">
        <v>0</v>
      </c>
      <c r="O2739" s="2">
        <v>0</v>
      </c>
      <c r="P2739" s="2">
        <v>0</v>
      </c>
      <c r="Q2739" s="2"/>
      <c r="R2739" s="2">
        <v>0</v>
      </c>
      <c r="T2739" s="2">
        <v>0</v>
      </c>
      <c r="U2739" s="2"/>
      <c r="X2739">
        <v>0</v>
      </c>
      <c r="Z2739">
        <v>0</v>
      </c>
      <c r="AB2739">
        <v>0</v>
      </c>
      <c r="AC2739">
        <v>0</v>
      </c>
      <c r="AD2739">
        <v>0</v>
      </c>
      <c r="AE2739" s="7"/>
      <c r="AF2739" s="7"/>
      <c r="AG2739" s="7"/>
      <c r="AH2739" s="7"/>
      <c r="AI27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9" s="7">
        <v>12</v>
      </c>
      <c r="AK2739" t="s">
        <v>116</v>
      </c>
      <c r="AN2739">
        <f>IFERROR(INT(Table13[[#This Row],[reject_prod]]/Table13[[#This Row],[part_weight]] * 1000), 0)</f>
        <v>0</v>
      </c>
    </row>
    <row r="2740" spans="1:40">
      <c r="A2740" s="1">
        <v>46103</v>
      </c>
      <c r="B2740">
        <v>2</v>
      </c>
      <c r="C2740">
        <v>10</v>
      </c>
      <c r="F2740">
        <v>123456</v>
      </c>
      <c r="G2740" s="6">
        <v>0</v>
      </c>
      <c r="M2740">
        <v>0</v>
      </c>
      <c r="N2740" s="2">
        <v>0</v>
      </c>
      <c r="O2740" s="2">
        <v>0</v>
      </c>
      <c r="P2740" s="2">
        <v>0</v>
      </c>
      <c r="Q2740" s="2"/>
      <c r="R2740" s="2">
        <v>0</v>
      </c>
      <c r="T2740" s="2">
        <v>0</v>
      </c>
      <c r="U2740" s="2"/>
      <c r="X2740">
        <v>0</v>
      </c>
      <c r="Z2740">
        <v>0</v>
      </c>
      <c r="AB2740">
        <v>0</v>
      </c>
      <c r="AC2740">
        <v>0</v>
      </c>
      <c r="AD2740">
        <v>0</v>
      </c>
      <c r="AE2740" s="7"/>
      <c r="AF2740" s="7"/>
      <c r="AG2740" s="7"/>
      <c r="AH2740" s="7"/>
      <c r="AI2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0" s="7">
        <v>12</v>
      </c>
      <c r="AK2740" t="s">
        <v>116</v>
      </c>
      <c r="AN2740">
        <f>IFERROR(INT(Table13[[#This Row],[reject_prod]]/Table13[[#This Row],[part_weight]] * 1000), 0)</f>
        <v>0</v>
      </c>
    </row>
    <row r="2741" spans="1:40">
      <c r="A2741" s="1">
        <v>46103</v>
      </c>
      <c r="B2741">
        <v>2</v>
      </c>
      <c r="C2741">
        <v>11</v>
      </c>
      <c r="F2741">
        <v>123456</v>
      </c>
      <c r="G2741" s="6">
        <v>0</v>
      </c>
      <c r="M2741">
        <v>0</v>
      </c>
      <c r="N2741" s="2">
        <v>0</v>
      </c>
      <c r="O2741" s="2">
        <v>0</v>
      </c>
      <c r="P2741" s="2">
        <v>0</v>
      </c>
      <c r="Q2741" s="2"/>
      <c r="R2741" s="2">
        <v>0</v>
      </c>
      <c r="T2741" s="2">
        <v>0</v>
      </c>
      <c r="U2741" s="2"/>
      <c r="X2741">
        <v>0</v>
      </c>
      <c r="Z2741">
        <v>0</v>
      </c>
      <c r="AB2741">
        <v>0</v>
      </c>
      <c r="AC2741">
        <v>0</v>
      </c>
      <c r="AD2741">
        <v>0</v>
      </c>
      <c r="AE2741" s="7"/>
      <c r="AF2741" s="7"/>
      <c r="AG2741" s="7"/>
      <c r="AH2741" s="7"/>
      <c r="AI2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1" s="7">
        <v>12</v>
      </c>
      <c r="AK2741" t="s">
        <v>116</v>
      </c>
      <c r="AN2741">
        <f>IFERROR(INT(Table13[[#This Row],[reject_prod]]/Table13[[#This Row],[part_weight]] * 1000), 0)</f>
        <v>0</v>
      </c>
    </row>
    <row r="2742" spans="1:40">
      <c r="A2742" s="1">
        <v>46103</v>
      </c>
      <c r="B2742">
        <v>2</v>
      </c>
      <c r="C2742">
        <v>12</v>
      </c>
      <c r="F2742">
        <v>123456</v>
      </c>
      <c r="G2742" s="6">
        <v>0</v>
      </c>
      <c r="M2742">
        <v>0</v>
      </c>
      <c r="N2742" s="2">
        <v>0</v>
      </c>
      <c r="O2742" s="2">
        <v>0</v>
      </c>
      <c r="P2742" s="2">
        <v>0</v>
      </c>
      <c r="Q2742" s="2"/>
      <c r="R2742" s="2">
        <v>0</v>
      </c>
      <c r="T2742" s="2">
        <v>0</v>
      </c>
      <c r="U2742" s="2"/>
      <c r="X2742">
        <v>0</v>
      </c>
      <c r="Z2742">
        <v>0</v>
      </c>
      <c r="AB2742">
        <v>0</v>
      </c>
      <c r="AC2742">
        <v>0</v>
      </c>
      <c r="AD2742">
        <v>0</v>
      </c>
      <c r="AE2742" s="7"/>
      <c r="AF2742" s="7"/>
      <c r="AG2742" s="7"/>
      <c r="AH2742" s="7"/>
      <c r="AI2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2" s="7">
        <v>12</v>
      </c>
      <c r="AK2742" t="s">
        <v>116</v>
      </c>
      <c r="AN2742">
        <f>IFERROR(INT(Table13[[#This Row],[reject_prod]]/Table13[[#This Row],[part_weight]] * 1000), 0)</f>
        <v>0</v>
      </c>
    </row>
    <row r="2743" spans="1:40">
      <c r="A2743" s="1">
        <v>46103</v>
      </c>
      <c r="B2743">
        <v>2</v>
      </c>
      <c r="C2743">
        <v>13</v>
      </c>
      <c r="F2743">
        <v>123456</v>
      </c>
      <c r="G2743" s="6">
        <v>0</v>
      </c>
      <c r="M2743">
        <v>0</v>
      </c>
      <c r="N2743" s="2">
        <v>0</v>
      </c>
      <c r="O2743" s="2">
        <v>0</v>
      </c>
      <c r="P2743" s="2">
        <v>0</v>
      </c>
      <c r="Q2743" s="2"/>
      <c r="R2743" s="2">
        <v>0</v>
      </c>
      <c r="T2743" s="2">
        <v>0</v>
      </c>
      <c r="U2743" s="2"/>
      <c r="X2743">
        <v>0</v>
      </c>
      <c r="Z2743">
        <v>0</v>
      </c>
      <c r="AB2743">
        <v>0</v>
      </c>
      <c r="AC2743">
        <v>0</v>
      </c>
      <c r="AD2743">
        <v>0</v>
      </c>
      <c r="AE2743" s="7"/>
      <c r="AF2743" s="7"/>
      <c r="AG2743" s="7"/>
      <c r="AH2743" s="7"/>
      <c r="AI2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3" s="7">
        <v>12</v>
      </c>
      <c r="AK2743" t="s">
        <v>116</v>
      </c>
      <c r="AN2743">
        <f>IFERROR(INT(Table13[[#This Row],[reject_prod]]/Table13[[#This Row],[part_weight]] * 1000), 0)</f>
        <v>0</v>
      </c>
    </row>
    <row r="2744" spans="1:40">
      <c r="A2744" s="1">
        <v>46103</v>
      </c>
      <c r="B2744">
        <v>2</v>
      </c>
      <c r="C2744">
        <v>14</v>
      </c>
      <c r="F2744">
        <v>123456</v>
      </c>
      <c r="G2744" s="6">
        <v>0</v>
      </c>
      <c r="M2744">
        <v>0</v>
      </c>
      <c r="N2744" s="2">
        <v>0</v>
      </c>
      <c r="O2744" s="2">
        <v>0</v>
      </c>
      <c r="P2744" s="2">
        <v>0</v>
      </c>
      <c r="Q2744" s="2"/>
      <c r="R2744" s="2">
        <v>0</v>
      </c>
      <c r="T2744" s="2">
        <v>0</v>
      </c>
      <c r="U2744" s="2"/>
      <c r="X2744">
        <v>0</v>
      </c>
      <c r="Z2744">
        <v>0</v>
      </c>
      <c r="AB2744">
        <v>0</v>
      </c>
      <c r="AC2744">
        <v>0</v>
      </c>
      <c r="AD2744">
        <v>0</v>
      </c>
      <c r="AE2744" s="7"/>
      <c r="AF2744" s="7"/>
      <c r="AG2744" s="7"/>
      <c r="AH2744" s="7"/>
      <c r="AI2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4" s="7">
        <v>12</v>
      </c>
      <c r="AK2744" t="s">
        <v>116</v>
      </c>
      <c r="AN2744">
        <f>IFERROR(INT(Table13[[#This Row],[reject_prod]]/Table13[[#This Row],[part_weight]] * 1000), 0)</f>
        <v>0</v>
      </c>
    </row>
    <row r="2745" spans="1:40">
      <c r="A2745" s="1">
        <v>46103</v>
      </c>
      <c r="B2745">
        <v>2</v>
      </c>
      <c r="C2745">
        <v>15</v>
      </c>
      <c r="F2745">
        <v>123456</v>
      </c>
      <c r="G2745" s="6">
        <v>0</v>
      </c>
      <c r="M2745">
        <v>0</v>
      </c>
      <c r="N2745" s="2">
        <v>0</v>
      </c>
      <c r="O2745" s="2">
        <v>0</v>
      </c>
      <c r="P2745" s="2">
        <v>0</v>
      </c>
      <c r="Q2745" s="2"/>
      <c r="R2745" s="2">
        <v>0</v>
      </c>
      <c r="T2745" s="2">
        <v>0</v>
      </c>
      <c r="U2745" s="2"/>
      <c r="X2745">
        <v>0</v>
      </c>
      <c r="Z2745">
        <v>0</v>
      </c>
      <c r="AB2745">
        <v>0</v>
      </c>
      <c r="AC2745">
        <v>0</v>
      </c>
      <c r="AD2745">
        <v>0</v>
      </c>
      <c r="AE2745" s="7"/>
      <c r="AF2745" s="7"/>
      <c r="AG2745" s="7"/>
      <c r="AH2745" s="7"/>
      <c r="AI2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5" s="7">
        <v>12</v>
      </c>
      <c r="AK2745" t="s">
        <v>116</v>
      </c>
      <c r="AN2745">
        <f>IFERROR(INT(Table13[[#This Row],[reject_prod]]/Table13[[#This Row],[part_weight]] * 1000), 0)</f>
        <v>0</v>
      </c>
    </row>
    <row r="2746" spans="1:40">
      <c r="A2746" s="1">
        <v>46103</v>
      </c>
      <c r="B2746">
        <v>2</v>
      </c>
      <c r="C2746">
        <v>16</v>
      </c>
      <c r="F2746">
        <v>123456</v>
      </c>
      <c r="G2746" s="6">
        <v>0</v>
      </c>
      <c r="M2746">
        <v>0</v>
      </c>
      <c r="N2746" s="2">
        <v>0</v>
      </c>
      <c r="O2746" s="2">
        <v>0</v>
      </c>
      <c r="P2746" s="2">
        <v>0</v>
      </c>
      <c r="Q2746" s="2"/>
      <c r="R2746" s="2">
        <v>0</v>
      </c>
      <c r="T2746" s="2">
        <v>0</v>
      </c>
      <c r="U2746" s="2"/>
      <c r="X2746">
        <v>0</v>
      </c>
      <c r="Z2746">
        <v>0</v>
      </c>
      <c r="AB2746">
        <v>0</v>
      </c>
      <c r="AC2746">
        <v>0</v>
      </c>
      <c r="AD2746">
        <v>0</v>
      </c>
      <c r="AE2746" s="7"/>
      <c r="AF2746" s="7"/>
      <c r="AG2746" s="7"/>
      <c r="AH2746" s="7"/>
      <c r="AI2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6" s="7">
        <v>12</v>
      </c>
      <c r="AK2746" t="s">
        <v>116</v>
      </c>
      <c r="AN2746">
        <f>IFERROR(INT(Table13[[#This Row],[reject_prod]]/Table13[[#This Row],[part_weight]] * 1000), 0)</f>
        <v>0</v>
      </c>
    </row>
    <row r="2747" spans="1:40">
      <c r="A2747" s="1">
        <v>46104</v>
      </c>
      <c r="B2747">
        <v>1</v>
      </c>
      <c r="C2747">
        <v>1</v>
      </c>
      <c r="F2747">
        <v>123456</v>
      </c>
      <c r="G2747" s="6">
        <v>0</v>
      </c>
      <c r="M2747">
        <v>0</v>
      </c>
      <c r="N2747" s="2">
        <v>0</v>
      </c>
      <c r="O2747" s="2">
        <v>0</v>
      </c>
      <c r="P2747" s="2">
        <v>0</v>
      </c>
      <c r="Q2747" s="2"/>
      <c r="R2747" s="2">
        <v>0</v>
      </c>
      <c r="T2747" s="2">
        <v>0</v>
      </c>
      <c r="U2747" s="2"/>
      <c r="X2747">
        <v>0</v>
      </c>
      <c r="Z2747">
        <v>0</v>
      </c>
      <c r="AB2747">
        <v>0</v>
      </c>
      <c r="AC2747">
        <v>0</v>
      </c>
      <c r="AD2747">
        <v>0</v>
      </c>
      <c r="AE2747" s="7"/>
      <c r="AF2747" s="7"/>
      <c r="AG2747" s="7"/>
      <c r="AH2747" s="7"/>
      <c r="AI2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7" s="7">
        <v>12</v>
      </c>
      <c r="AK2747" t="s">
        <v>116</v>
      </c>
      <c r="AN2747">
        <f>IFERROR(INT(Table13[[#This Row],[reject_prod]]/Table13[[#This Row],[part_weight]] * 1000), 0)</f>
        <v>0</v>
      </c>
    </row>
    <row r="2748" spans="1:40">
      <c r="A2748" s="1">
        <v>46104</v>
      </c>
      <c r="B2748">
        <v>1</v>
      </c>
      <c r="C2748">
        <v>2</v>
      </c>
      <c r="F2748">
        <v>123456</v>
      </c>
      <c r="G2748" s="6">
        <v>0</v>
      </c>
      <c r="M2748">
        <v>0</v>
      </c>
      <c r="N2748" s="2">
        <v>0</v>
      </c>
      <c r="O2748" s="2">
        <v>0</v>
      </c>
      <c r="P2748" s="2">
        <v>0</v>
      </c>
      <c r="Q2748" s="2"/>
      <c r="R2748" s="2">
        <v>0</v>
      </c>
      <c r="T2748" s="2">
        <v>0</v>
      </c>
      <c r="U2748" s="2"/>
      <c r="X2748">
        <v>0</v>
      </c>
      <c r="Z2748">
        <v>0</v>
      </c>
      <c r="AB2748">
        <v>0</v>
      </c>
      <c r="AC2748">
        <v>0</v>
      </c>
      <c r="AD2748">
        <v>0</v>
      </c>
      <c r="AE2748" s="7"/>
      <c r="AF2748" s="7"/>
      <c r="AG2748" s="7"/>
      <c r="AH2748" s="7"/>
      <c r="AI2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8" s="7">
        <v>12</v>
      </c>
      <c r="AK2748" t="s">
        <v>116</v>
      </c>
      <c r="AN2748">
        <f>IFERROR(INT(Table13[[#This Row],[reject_prod]]/Table13[[#This Row],[part_weight]] * 1000), 0)</f>
        <v>0</v>
      </c>
    </row>
    <row r="2749" spans="1:40">
      <c r="A2749" s="1">
        <v>46104</v>
      </c>
      <c r="B2749">
        <v>1</v>
      </c>
      <c r="C2749">
        <v>3</v>
      </c>
      <c r="F2749">
        <v>123456</v>
      </c>
      <c r="G2749" s="6">
        <v>0</v>
      </c>
      <c r="M2749">
        <v>0</v>
      </c>
      <c r="N2749" s="2">
        <v>0</v>
      </c>
      <c r="O2749" s="2">
        <v>0</v>
      </c>
      <c r="P2749" s="2">
        <v>0</v>
      </c>
      <c r="Q2749" s="2"/>
      <c r="R2749" s="2">
        <v>0</v>
      </c>
      <c r="T2749" s="2">
        <v>0</v>
      </c>
      <c r="U2749" s="2"/>
      <c r="X2749">
        <v>0</v>
      </c>
      <c r="Z2749">
        <v>0</v>
      </c>
      <c r="AB2749">
        <v>0</v>
      </c>
      <c r="AC2749">
        <v>0</v>
      </c>
      <c r="AD2749">
        <v>0</v>
      </c>
      <c r="AE2749" s="7"/>
      <c r="AF2749" s="7"/>
      <c r="AG2749" s="7"/>
      <c r="AH2749" s="7"/>
      <c r="AI2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9" s="7">
        <v>12</v>
      </c>
      <c r="AK2749" t="s">
        <v>116</v>
      </c>
      <c r="AN2749">
        <f>IFERROR(INT(Table13[[#This Row],[reject_prod]]/Table13[[#This Row],[part_weight]] * 1000), 0)</f>
        <v>0</v>
      </c>
    </row>
    <row r="2750" spans="1:40">
      <c r="A2750" s="1">
        <v>46104</v>
      </c>
      <c r="B2750">
        <v>1</v>
      </c>
      <c r="C2750">
        <v>4</v>
      </c>
      <c r="F2750">
        <v>123456</v>
      </c>
      <c r="G2750" s="6">
        <v>0</v>
      </c>
      <c r="M2750">
        <v>0</v>
      </c>
      <c r="N2750" s="2">
        <v>0</v>
      </c>
      <c r="O2750" s="2">
        <v>0</v>
      </c>
      <c r="P2750" s="2">
        <v>0</v>
      </c>
      <c r="Q2750" s="2"/>
      <c r="R2750" s="2">
        <v>0</v>
      </c>
      <c r="T2750" s="2">
        <v>0</v>
      </c>
      <c r="U2750" s="2"/>
      <c r="X2750">
        <v>0</v>
      </c>
      <c r="Z2750">
        <v>0</v>
      </c>
      <c r="AB2750">
        <v>0</v>
      </c>
      <c r="AC2750">
        <v>0</v>
      </c>
      <c r="AD2750">
        <v>0</v>
      </c>
      <c r="AE2750" s="7"/>
      <c r="AF2750" s="7"/>
      <c r="AG2750" s="7"/>
      <c r="AH2750" s="7"/>
      <c r="AI2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0" s="7">
        <v>12</v>
      </c>
      <c r="AK2750" t="s">
        <v>116</v>
      </c>
      <c r="AN2750">
        <f>IFERROR(INT(Table13[[#This Row],[reject_prod]]/Table13[[#This Row],[part_weight]] * 1000), 0)</f>
        <v>0</v>
      </c>
    </row>
    <row r="2751" spans="1:40">
      <c r="A2751" s="1">
        <v>46104</v>
      </c>
      <c r="B2751">
        <v>1</v>
      </c>
      <c r="C2751">
        <v>5</v>
      </c>
      <c r="F2751">
        <v>123456</v>
      </c>
      <c r="G2751" s="6">
        <v>0</v>
      </c>
      <c r="M2751">
        <v>0</v>
      </c>
      <c r="N2751" s="2">
        <v>0</v>
      </c>
      <c r="O2751" s="2">
        <v>0</v>
      </c>
      <c r="P2751" s="2">
        <v>0</v>
      </c>
      <c r="Q2751" s="2"/>
      <c r="R2751" s="2">
        <v>0</v>
      </c>
      <c r="T2751" s="2">
        <v>0</v>
      </c>
      <c r="U2751" s="2"/>
      <c r="X2751">
        <v>0</v>
      </c>
      <c r="Z2751">
        <v>0</v>
      </c>
      <c r="AB2751">
        <v>0</v>
      </c>
      <c r="AC2751">
        <v>0</v>
      </c>
      <c r="AD2751">
        <v>0</v>
      </c>
      <c r="AE2751" s="7"/>
      <c r="AF2751" s="7"/>
      <c r="AG2751" s="7"/>
      <c r="AH2751" s="7"/>
      <c r="AI2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1" s="7">
        <v>12</v>
      </c>
      <c r="AK2751" t="s">
        <v>116</v>
      </c>
      <c r="AN2751">
        <f>IFERROR(INT(Table13[[#This Row],[reject_prod]]/Table13[[#This Row],[part_weight]] * 1000), 0)</f>
        <v>0</v>
      </c>
    </row>
    <row r="2752" spans="1:40">
      <c r="A2752" s="1">
        <v>46104</v>
      </c>
      <c r="B2752">
        <v>1</v>
      </c>
      <c r="C2752">
        <v>6</v>
      </c>
      <c r="F2752">
        <v>123456</v>
      </c>
      <c r="G2752" s="6">
        <v>0</v>
      </c>
      <c r="M2752">
        <v>0</v>
      </c>
      <c r="N2752" s="2">
        <v>0</v>
      </c>
      <c r="O2752" s="2">
        <v>0</v>
      </c>
      <c r="P2752" s="2">
        <v>0</v>
      </c>
      <c r="Q2752" s="2"/>
      <c r="R2752" s="2">
        <v>0</v>
      </c>
      <c r="T2752" s="2">
        <v>0</v>
      </c>
      <c r="U2752" s="2"/>
      <c r="X2752">
        <v>0</v>
      </c>
      <c r="Z2752">
        <v>0</v>
      </c>
      <c r="AB2752">
        <v>0</v>
      </c>
      <c r="AC2752">
        <v>0</v>
      </c>
      <c r="AD2752">
        <v>0</v>
      </c>
      <c r="AE2752" s="7"/>
      <c r="AF2752" s="7"/>
      <c r="AG2752" s="7"/>
      <c r="AH2752" s="7"/>
      <c r="AI2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2" s="7">
        <v>12</v>
      </c>
      <c r="AK2752" t="s">
        <v>116</v>
      </c>
      <c r="AN2752">
        <f>IFERROR(INT(Table13[[#This Row],[reject_prod]]/Table13[[#This Row],[part_weight]] * 1000), 0)</f>
        <v>0</v>
      </c>
    </row>
    <row r="2753" spans="1:40">
      <c r="A2753" s="1">
        <v>46104</v>
      </c>
      <c r="B2753">
        <v>1</v>
      </c>
      <c r="C2753">
        <v>7</v>
      </c>
      <c r="F2753">
        <v>123456</v>
      </c>
      <c r="G2753" s="6">
        <v>0</v>
      </c>
      <c r="M2753">
        <v>0</v>
      </c>
      <c r="N2753" s="2">
        <v>0</v>
      </c>
      <c r="O2753" s="2">
        <v>0</v>
      </c>
      <c r="P2753" s="2">
        <v>0</v>
      </c>
      <c r="Q2753" s="2"/>
      <c r="R2753" s="2">
        <v>0</v>
      </c>
      <c r="T2753" s="2">
        <v>0</v>
      </c>
      <c r="U2753" s="2"/>
      <c r="X2753">
        <v>0</v>
      </c>
      <c r="Z2753">
        <v>0</v>
      </c>
      <c r="AB2753">
        <v>0</v>
      </c>
      <c r="AC2753">
        <v>0</v>
      </c>
      <c r="AD2753">
        <v>0</v>
      </c>
      <c r="AE2753" s="7"/>
      <c r="AF2753" s="7"/>
      <c r="AG2753" s="7"/>
      <c r="AH2753" s="7"/>
      <c r="AI2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3" s="7">
        <v>12</v>
      </c>
      <c r="AK2753" t="s">
        <v>116</v>
      </c>
      <c r="AN2753">
        <f>IFERROR(INT(Table13[[#This Row],[reject_prod]]/Table13[[#This Row],[part_weight]] * 1000), 0)</f>
        <v>0</v>
      </c>
    </row>
    <row r="2754" spans="1:40">
      <c r="A2754" s="1">
        <v>46104</v>
      </c>
      <c r="B2754">
        <v>1</v>
      </c>
      <c r="C2754">
        <v>8</v>
      </c>
      <c r="F2754">
        <v>123456</v>
      </c>
      <c r="G2754" s="6">
        <v>0</v>
      </c>
      <c r="M2754">
        <v>0</v>
      </c>
      <c r="N2754" s="2">
        <v>0</v>
      </c>
      <c r="O2754" s="2">
        <v>0</v>
      </c>
      <c r="P2754" s="2">
        <v>0</v>
      </c>
      <c r="Q2754" s="2"/>
      <c r="R2754" s="2">
        <v>0</v>
      </c>
      <c r="T2754" s="2">
        <v>0</v>
      </c>
      <c r="U2754" s="2"/>
      <c r="X2754">
        <v>0</v>
      </c>
      <c r="Z2754">
        <v>0</v>
      </c>
      <c r="AB2754">
        <v>0</v>
      </c>
      <c r="AC2754">
        <v>0</v>
      </c>
      <c r="AD2754">
        <v>0</v>
      </c>
      <c r="AE2754" s="7"/>
      <c r="AF2754" s="7"/>
      <c r="AG2754" s="7"/>
      <c r="AH2754" s="7"/>
      <c r="AI2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4" s="7">
        <v>12</v>
      </c>
      <c r="AK2754" t="s">
        <v>116</v>
      </c>
      <c r="AN2754">
        <f>IFERROR(INT(Table13[[#This Row],[reject_prod]]/Table13[[#This Row],[part_weight]] * 1000), 0)</f>
        <v>0</v>
      </c>
    </row>
    <row r="2755" spans="1:40">
      <c r="A2755" s="1">
        <v>46104</v>
      </c>
      <c r="B2755">
        <v>1</v>
      </c>
      <c r="C2755">
        <v>9</v>
      </c>
      <c r="F2755">
        <v>123456</v>
      </c>
      <c r="G2755" s="6">
        <v>0</v>
      </c>
      <c r="M2755">
        <v>0</v>
      </c>
      <c r="N2755" s="2">
        <v>0</v>
      </c>
      <c r="O2755" s="2">
        <v>0</v>
      </c>
      <c r="P2755" s="2">
        <v>0</v>
      </c>
      <c r="Q2755" s="2"/>
      <c r="R2755" s="2">
        <v>0</v>
      </c>
      <c r="T2755" s="2">
        <v>0</v>
      </c>
      <c r="U2755" s="2"/>
      <c r="X2755">
        <v>0</v>
      </c>
      <c r="Z2755">
        <v>0</v>
      </c>
      <c r="AB2755">
        <v>0</v>
      </c>
      <c r="AC2755">
        <v>0</v>
      </c>
      <c r="AD2755">
        <v>0</v>
      </c>
      <c r="AE2755" s="7"/>
      <c r="AF2755" s="7"/>
      <c r="AG2755" s="7"/>
      <c r="AH2755" s="7"/>
      <c r="AI2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5" s="7">
        <v>12</v>
      </c>
      <c r="AK2755" t="s">
        <v>116</v>
      </c>
      <c r="AN2755">
        <f>IFERROR(INT(Table13[[#This Row],[reject_prod]]/Table13[[#This Row],[part_weight]] * 1000), 0)</f>
        <v>0</v>
      </c>
    </row>
    <row r="2756" spans="1:40">
      <c r="A2756" s="1">
        <v>46104</v>
      </c>
      <c r="B2756">
        <v>1</v>
      </c>
      <c r="C2756">
        <v>10</v>
      </c>
      <c r="F2756">
        <v>123456</v>
      </c>
      <c r="G2756" s="6">
        <v>0</v>
      </c>
      <c r="M2756">
        <v>0</v>
      </c>
      <c r="N2756" s="2">
        <v>0</v>
      </c>
      <c r="O2756" s="2">
        <v>0</v>
      </c>
      <c r="P2756" s="2">
        <v>0</v>
      </c>
      <c r="Q2756" s="2"/>
      <c r="R2756" s="2">
        <v>0</v>
      </c>
      <c r="T2756" s="2">
        <v>0</v>
      </c>
      <c r="U2756" s="2"/>
      <c r="X2756">
        <v>0</v>
      </c>
      <c r="Z2756">
        <v>0</v>
      </c>
      <c r="AB2756">
        <v>0</v>
      </c>
      <c r="AC2756">
        <v>0</v>
      </c>
      <c r="AD2756">
        <v>0</v>
      </c>
      <c r="AE2756" s="7"/>
      <c r="AF2756" s="7"/>
      <c r="AG2756" s="7"/>
      <c r="AH2756" s="7"/>
      <c r="AI27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6" s="7">
        <v>12</v>
      </c>
      <c r="AK2756" t="s">
        <v>116</v>
      </c>
      <c r="AN2756">
        <f>IFERROR(INT(Table13[[#This Row],[reject_prod]]/Table13[[#This Row],[part_weight]] * 1000), 0)</f>
        <v>0</v>
      </c>
    </row>
    <row r="2757" spans="1:40">
      <c r="A2757" s="1">
        <v>46104</v>
      </c>
      <c r="B2757">
        <v>1</v>
      </c>
      <c r="C2757">
        <v>11</v>
      </c>
      <c r="F2757">
        <v>123456</v>
      </c>
      <c r="G2757" s="6">
        <v>0</v>
      </c>
      <c r="M2757">
        <v>0</v>
      </c>
      <c r="N2757" s="2">
        <v>0</v>
      </c>
      <c r="O2757" s="2">
        <v>0</v>
      </c>
      <c r="P2757" s="2">
        <v>0</v>
      </c>
      <c r="Q2757" s="2"/>
      <c r="R2757" s="2">
        <v>0</v>
      </c>
      <c r="T2757" s="2">
        <v>0</v>
      </c>
      <c r="U2757" s="2"/>
      <c r="X2757">
        <v>0</v>
      </c>
      <c r="Z2757">
        <v>0</v>
      </c>
      <c r="AB2757">
        <v>0</v>
      </c>
      <c r="AC2757">
        <v>0</v>
      </c>
      <c r="AD2757">
        <v>0</v>
      </c>
      <c r="AE2757" s="7"/>
      <c r="AF2757" s="7"/>
      <c r="AG2757" s="7"/>
      <c r="AH2757" s="7"/>
      <c r="AI2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7" s="7">
        <v>12</v>
      </c>
      <c r="AK2757" t="s">
        <v>116</v>
      </c>
      <c r="AN2757">
        <f>IFERROR(INT(Table13[[#This Row],[reject_prod]]/Table13[[#This Row],[part_weight]] * 1000), 0)</f>
        <v>0</v>
      </c>
    </row>
    <row r="2758" spans="1:40">
      <c r="A2758" s="1">
        <v>46104</v>
      </c>
      <c r="B2758">
        <v>1</v>
      </c>
      <c r="C2758">
        <v>12</v>
      </c>
      <c r="F2758">
        <v>123456</v>
      </c>
      <c r="G2758" s="6">
        <v>0</v>
      </c>
      <c r="M2758">
        <v>0</v>
      </c>
      <c r="N2758" s="2">
        <v>0</v>
      </c>
      <c r="O2758" s="2">
        <v>0</v>
      </c>
      <c r="P2758" s="2">
        <v>0</v>
      </c>
      <c r="Q2758" s="2"/>
      <c r="R2758" s="2">
        <v>0</v>
      </c>
      <c r="T2758" s="2">
        <v>0</v>
      </c>
      <c r="U2758" s="2"/>
      <c r="X2758">
        <v>0</v>
      </c>
      <c r="Z2758">
        <v>0</v>
      </c>
      <c r="AB2758">
        <v>0</v>
      </c>
      <c r="AC2758">
        <v>0</v>
      </c>
      <c r="AD2758">
        <v>0</v>
      </c>
      <c r="AE2758" s="7"/>
      <c r="AF2758" s="7"/>
      <c r="AG2758" s="7"/>
      <c r="AH2758" s="7"/>
      <c r="AI2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8" s="7">
        <v>12</v>
      </c>
      <c r="AK2758" t="s">
        <v>116</v>
      </c>
      <c r="AN2758">
        <f>IFERROR(INT(Table13[[#This Row],[reject_prod]]/Table13[[#This Row],[part_weight]] * 1000), 0)</f>
        <v>0</v>
      </c>
    </row>
    <row r="2759" spans="1:40">
      <c r="A2759" s="1">
        <v>46104</v>
      </c>
      <c r="B2759">
        <v>1</v>
      </c>
      <c r="C2759">
        <v>13</v>
      </c>
      <c r="F2759">
        <v>123456</v>
      </c>
      <c r="G2759" s="6">
        <v>0</v>
      </c>
      <c r="M2759">
        <v>0</v>
      </c>
      <c r="N2759" s="2">
        <v>0</v>
      </c>
      <c r="O2759" s="2">
        <v>0</v>
      </c>
      <c r="P2759" s="2">
        <v>0</v>
      </c>
      <c r="Q2759" s="2"/>
      <c r="R2759" s="2">
        <v>0</v>
      </c>
      <c r="T2759" s="2">
        <v>0</v>
      </c>
      <c r="U2759" s="2"/>
      <c r="X2759">
        <v>0</v>
      </c>
      <c r="Z2759">
        <v>0</v>
      </c>
      <c r="AB2759">
        <v>0</v>
      </c>
      <c r="AC2759">
        <v>0</v>
      </c>
      <c r="AD2759">
        <v>0</v>
      </c>
      <c r="AE2759" s="7"/>
      <c r="AF2759" s="7"/>
      <c r="AG2759" s="7"/>
      <c r="AH2759" s="7"/>
      <c r="AI2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9" s="7">
        <v>12</v>
      </c>
      <c r="AK2759" t="s">
        <v>116</v>
      </c>
      <c r="AN2759">
        <f>IFERROR(INT(Table13[[#This Row],[reject_prod]]/Table13[[#This Row],[part_weight]] * 1000), 0)</f>
        <v>0</v>
      </c>
    </row>
    <row r="2760" spans="1:40">
      <c r="A2760" s="1">
        <v>46104</v>
      </c>
      <c r="B2760">
        <v>1</v>
      </c>
      <c r="C2760">
        <v>14</v>
      </c>
      <c r="F2760">
        <v>123456</v>
      </c>
      <c r="G2760" s="6">
        <v>0</v>
      </c>
      <c r="M2760">
        <v>0</v>
      </c>
      <c r="N2760" s="2">
        <v>0</v>
      </c>
      <c r="O2760" s="2">
        <v>0</v>
      </c>
      <c r="P2760" s="2">
        <v>0</v>
      </c>
      <c r="Q2760" s="2"/>
      <c r="R2760" s="2">
        <v>0</v>
      </c>
      <c r="T2760" s="2">
        <v>0</v>
      </c>
      <c r="U2760" s="2"/>
      <c r="X2760">
        <v>0</v>
      </c>
      <c r="Z2760">
        <v>0</v>
      </c>
      <c r="AB2760">
        <v>0</v>
      </c>
      <c r="AC2760">
        <v>0</v>
      </c>
      <c r="AD2760">
        <v>0</v>
      </c>
      <c r="AE2760" s="7"/>
      <c r="AF2760" s="7"/>
      <c r="AG2760" s="7"/>
      <c r="AH2760" s="7"/>
      <c r="AI2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0" s="7">
        <v>12</v>
      </c>
      <c r="AK2760" t="s">
        <v>116</v>
      </c>
      <c r="AN2760">
        <f>IFERROR(INT(Table13[[#This Row],[reject_prod]]/Table13[[#This Row],[part_weight]] * 1000), 0)</f>
        <v>0</v>
      </c>
    </row>
    <row r="2761" spans="1:40">
      <c r="A2761" s="1">
        <v>46104</v>
      </c>
      <c r="B2761">
        <v>1</v>
      </c>
      <c r="C2761">
        <v>15</v>
      </c>
      <c r="F2761">
        <v>123456</v>
      </c>
      <c r="G2761" s="6">
        <v>0</v>
      </c>
      <c r="M2761">
        <v>0</v>
      </c>
      <c r="N2761" s="2">
        <v>0</v>
      </c>
      <c r="O2761" s="2">
        <v>0</v>
      </c>
      <c r="P2761" s="2">
        <v>0</v>
      </c>
      <c r="Q2761" s="2"/>
      <c r="R2761" s="2">
        <v>0</v>
      </c>
      <c r="T2761" s="2">
        <v>0</v>
      </c>
      <c r="U2761" s="2"/>
      <c r="X2761">
        <v>0</v>
      </c>
      <c r="Z2761">
        <v>0</v>
      </c>
      <c r="AB2761">
        <v>0</v>
      </c>
      <c r="AC2761">
        <v>0</v>
      </c>
      <c r="AD2761">
        <v>0</v>
      </c>
      <c r="AE2761" s="7"/>
      <c r="AF2761" s="7"/>
      <c r="AG2761" s="7"/>
      <c r="AH2761" s="7"/>
      <c r="AI2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1" s="7">
        <v>12</v>
      </c>
      <c r="AK2761" t="s">
        <v>116</v>
      </c>
      <c r="AN2761">
        <f>IFERROR(INT(Table13[[#This Row],[reject_prod]]/Table13[[#This Row],[part_weight]] * 1000), 0)</f>
        <v>0</v>
      </c>
    </row>
    <row r="2762" spans="1:40">
      <c r="A2762" s="1">
        <v>46104</v>
      </c>
      <c r="B2762">
        <v>1</v>
      </c>
      <c r="C2762">
        <v>16</v>
      </c>
      <c r="F2762">
        <v>123456</v>
      </c>
      <c r="G2762" s="6">
        <v>0</v>
      </c>
      <c r="M2762">
        <v>0</v>
      </c>
      <c r="N2762" s="2">
        <v>0</v>
      </c>
      <c r="O2762" s="2">
        <v>0</v>
      </c>
      <c r="P2762" s="2">
        <v>0</v>
      </c>
      <c r="Q2762" s="2"/>
      <c r="R2762" s="2">
        <v>0</v>
      </c>
      <c r="T2762" s="2">
        <v>0</v>
      </c>
      <c r="U2762" s="2"/>
      <c r="X2762">
        <v>0</v>
      </c>
      <c r="Z2762">
        <v>0</v>
      </c>
      <c r="AB2762">
        <v>0</v>
      </c>
      <c r="AC2762">
        <v>0</v>
      </c>
      <c r="AD2762">
        <v>0</v>
      </c>
      <c r="AE2762" s="7"/>
      <c r="AF2762" s="7"/>
      <c r="AG2762" s="7"/>
      <c r="AH2762" s="7"/>
      <c r="AI2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2" s="7">
        <v>12</v>
      </c>
      <c r="AK2762" t="s">
        <v>116</v>
      </c>
      <c r="AN2762">
        <f>IFERROR(INT(Table13[[#This Row],[reject_prod]]/Table13[[#This Row],[part_weight]] * 1000), 0)</f>
        <v>0</v>
      </c>
    </row>
    <row r="2763" spans="1:40">
      <c r="A2763" s="1">
        <v>46104</v>
      </c>
      <c r="B2763">
        <v>2</v>
      </c>
      <c r="C2763">
        <v>1</v>
      </c>
      <c r="F2763">
        <v>123456</v>
      </c>
      <c r="G2763" s="6">
        <v>0</v>
      </c>
      <c r="M2763">
        <v>0</v>
      </c>
      <c r="N2763" s="2">
        <v>0</v>
      </c>
      <c r="O2763" s="2">
        <v>0</v>
      </c>
      <c r="P2763" s="2">
        <v>0</v>
      </c>
      <c r="Q2763" s="2"/>
      <c r="R2763" s="2">
        <v>0</v>
      </c>
      <c r="T2763" s="2">
        <v>0</v>
      </c>
      <c r="U2763" s="2"/>
      <c r="X2763">
        <v>0</v>
      </c>
      <c r="Z2763">
        <v>0</v>
      </c>
      <c r="AB2763">
        <v>0</v>
      </c>
      <c r="AC2763">
        <v>0</v>
      </c>
      <c r="AD2763">
        <v>0</v>
      </c>
      <c r="AE2763" s="7"/>
      <c r="AF2763" s="7"/>
      <c r="AG2763" s="7"/>
      <c r="AH2763" s="7"/>
      <c r="AI2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3" s="7">
        <v>12</v>
      </c>
      <c r="AK2763" t="s">
        <v>116</v>
      </c>
      <c r="AN2763">
        <f>IFERROR(INT(Table13[[#This Row],[reject_prod]]/Table13[[#This Row],[part_weight]] * 1000), 0)</f>
        <v>0</v>
      </c>
    </row>
    <row r="2764" spans="1:40">
      <c r="A2764" s="1">
        <v>46104</v>
      </c>
      <c r="B2764">
        <v>2</v>
      </c>
      <c r="C2764">
        <v>2</v>
      </c>
      <c r="F2764">
        <v>123456</v>
      </c>
      <c r="G2764" s="6">
        <v>0</v>
      </c>
      <c r="M2764">
        <v>0</v>
      </c>
      <c r="N2764" s="2">
        <v>0</v>
      </c>
      <c r="O2764" s="2">
        <v>0</v>
      </c>
      <c r="P2764" s="2">
        <v>0</v>
      </c>
      <c r="Q2764" s="2"/>
      <c r="R2764" s="2">
        <v>0</v>
      </c>
      <c r="T2764" s="2">
        <v>0</v>
      </c>
      <c r="U2764" s="2"/>
      <c r="X2764">
        <v>0</v>
      </c>
      <c r="Z2764">
        <v>0</v>
      </c>
      <c r="AB2764">
        <v>0</v>
      </c>
      <c r="AC2764">
        <v>0</v>
      </c>
      <c r="AD2764">
        <v>0</v>
      </c>
      <c r="AE2764" s="7"/>
      <c r="AF2764" s="7"/>
      <c r="AG2764" s="7"/>
      <c r="AH2764" s="7"/>
      <c r="AI2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4" s="7">
        <v>12</v>
      </c>
      <c r="AK2764" t="s">
        <v>116</v>
      </c>
      <c r="AN2764">
        <f>IFERROR(INT(Table13[[#This Row],[reject_prod]]/Table13[[#This Row],[part_weight]] * 1000), 0)</f>
        <v>0</v>
      </c>
    </row>
    <row r="2765" spans="1:40">
      <c r="A2765" s="1">
        <v>46104</v>
      </c>
      <c r="B2765">
        <v>2</v>
      </c>
      <c r="C2765">
        <v>3</v>
      </c>
      <c r="F2765">
        <v>123456</v>
      </c>
      <c r="G2765" s="6">
        <v>0</v>
      </c>
      <c r="M2765">
        <v>0</v>
      </c>
      <c r="N2765" s="2">
        <v>0</v>
      </c>
      <c r="O2765" s="2">
        <v>0</v>
      </c>
      <c r="P2765" s="2">
        <v>0</v>
      </c>
      <c r="Q2765" s="2"/>
      <c r="R2765" s="2">
        <v>0</v>
      </c>
      <c r="T2765" s="2">
        <v>0</v>
      </c>
      <c r="U2765" s="2"/>
      <c r="X2765">
        <v>0</v>
      </c>
      <c r="Z2765">
        <v>0</v>
      </c>
      <c r="AB2765">
        <v>0</v>
      </c>
      <c r="AC2765">
        <v>0</v>
      </c>
      <c r="AD2765">
        <v>0</v>
      </c>
      <c r="AE2765" s="7"/>
      <c r="AF2765" s="7"/>
      <c r="AG2765" s="7"/>
      <c r="AH2765" s="7"/>
      <c r="AI2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5" s="7">
        <v>12</v>
      </c>
      <c r="AK2765" t="s">
        <v>116</v>
      </c>
      <c r="AN2765">
        <f>IFERROR(INT(Table13[[#This Row],[reject_prod]]/Table13[[#This Row],[part_weight]] * 1000), 0)</f>
        <v>0</v>
      </c>
    </row>
    <row r="2766" spans="1:40">
      <c r="A2766" s="1">
        <v>46104</v>
      </c>
      <c r="B2766">
        <v>2</v>
      </c>
      <c r="C2766">
        <v>4</v>
      </c>
      <c r="F2766">
        <v>123456</v>
      </c>
      <c r="G2766" s="6">
        <v>0</v>
      </c>
      <c r="M2766">
        <v>0</v>
      </c>
      <c r="N2766" s="2">
        <v>0</v>
      </c>
      <c r="O2766" s="2">
        <v>0</v>
      </c>
      <c r="P2766" s="2">
        <v>0</v>
      </c>
      <c r="Q2766" s="2"/>
      <c r="R2766" s="2">
        <v>0</v>
      </c>
      <c r="T2766" s="2">
        <v>0</v>
      </c>
      <c r="U2766" s="2"/>
      <c r="X2766">
        <v>0</v>
      </c>
      <c r="Z2766">
        <v>0</v>
      </c>
      <c r="AB2766">
        <v>0</v>
      </c>
      <c r="AC2766">
        <v>0</v>
      </c>
      <c r="AD2766">
        <v>0</v>
      </c>
      <c r="AE2766" s="7"/>
      <c r="AF2766" s="7"/>
      <c r="AG2766" s="7"/>
      <c r="AH2766" s="7"/>
      <c r="AI2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6" s="7">
        <v>12</v>
      </c>
      <c r="AK2766" t="s">
        <v>116</v>
      </c>
      <c r="AN2766">
        <f>IFERROR(INT(Table13[[#This Row],[reject_prod]]/Table13[[#This Row],[part_weight]] * 1000), 0)</f>
        <v>0</v>
      </c>
    </row>
    <row r="2767" spans="1:40">
      <c r="A2767" s="1">
        <v>46104</v>
      </c>
      <c r="B2767">
        <v>2</v>
      </c>
      <c r="C2767">
        <v>5</v>
      </c>
      <c r="F2767">
        <v>123456</v>
      </c>
      <c r="G2767" s="6">
        <v>0</v>
      </c>
      <c r="M2767">
        <v>0</v>
      </c>
      <c r="N2767" s="2">
        <v>0</v>
      </c>
      <c r="O2767" s="2">
        <v>0</v>
      </c>
      <c r="P2767" s="2">
        <v>0</v>
      </c>
      <c r="Q2767" s="2"/>
      <c r="R2767" s="2">
        <v>0</v>
      </c>
      <c r="T2767" s="2">
        <v>0</v>
      </c>
      <c r="U2767" s="2"/>
      <c r="X2767">
        <v>0</v>
      </c>
      <c r="Z2767">
        <v>0</v>
      </c>
      <c r="AB2767">
        <v>0</v>
      </c>
      <c r="AC2767">
        <v>0</v>
      </c>
      <c r="AD2767">
        <v>0</v>
      </c>
      <c r="AE2767" s="7"/>
      <c r="AF2767" s="7"/>
      <c r="AG2767" s="7"/>
      <c r="AH2767" s="7"/>
      <c r="AI2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7" s="7">
        <v>12</v>
      </c>
      <c r="AK2767" t="s">
        <v>116</v>
      </c>
      <c r="AN2767">
        <f>IFERROR(INT(Table13[[#This Row],[reject_prod]]/Table13[[#This Row],[part_weight]] * 1000), 0)</f>
        <v>0</v>
      </c>
    </row>
    <row r="2768" spans="1:40">
      <c r="A2768" s="1">
        <v>46104</v>
      </c>
      <c r="B2768">
        <v>2</v>
      </c>
      <c r="C2768">
        <v>6</v>
      </c>
      <c r="F2768">
        <v>123456</v>
      </c>
      <c r="G2768" s="6">
        <v>0</v>
      </c>
      <c r="M2768">
        <v>0</v>
      </c>
      <c r="N2768" s="2">
        <v>0</v>
      </c>
      <c r="O2768" s="2">
        <v>0</v>
      </c>
      <c r="P2768" s="2">
        <v>0</v>
      </c>
      <c r="Q2768" s="2"/>
      <c r="R2768" s="2">
        <v>0</v>
      </c>
      <c r="T2768" s="2">
        <v>0</v>
      </c>
      <c r="U2768" s="2"/>
      <c r="X2768">
        <v>0</v>
      </c>
      <c r="Z2768">
        <v>0</v>
      </c>
      <c r="AB2768">
        <v>0</v>
      </c>
      <c r="AC2768">
        <v>0</v>
      </c>
      <c r="AD2768">
        <v>0</v>
      </c>
      <c r="AE2768" s="7"/>
      <c r="AF2768" s="7"/>
      <c r="AG2768" s="7"/>
      <c r="AH2768" s="7"/>
      <c r="AI2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8" s="7">
        <v>12</v>
      </c>
      <c r="AK2768" t="s">
        <v>116</v>
      </c>
      <c r="AN2768">
        <f>IFERROR(INT(Table13[[#This Row],[reject_prod]]/Table13[[#This Row],[part_weight]] * 1000), 0)</f>
        <v>0</v>
      </c>
    </row>
    <row r="2769" spans="1:40">
      <c r="A2769" s="1">
        <v>46104</v>
      </c>
      <c r="B2769">
        <v>2</v>
      </c>
      <c r="C2769">
        <v>7</v>
      </c>
      <c r="F2769">
        <v>123456</v>
      </c>
      <c r="G2769" s="6">
        <v>0</v>
      </c>
      <c r="M2769">
        <v>0</v>
      </c>
      <c r="N2769" s="2">
        <v>0</v>
      </c>
      <c r="O2769" s="2">
        <v>0</v>
      </c>
      <c r="P2769" s="2">
        <v>0</v>
      </c>
      <c r="Q2769" s="2"/>
      <c r="R2769" s="2">
        <v>0</v>
      </c>
      <c r="T2769" s="2">
        <v>0</v>
      </c>
      <c r="U2769" s="2"/>
      <c r="X2769">
        <v>0</v>
      </c>
      <c r="Z2769">
        <v>0</v>
      </c>
      <c r="AB2769">
        <v>0</v>
      </c>
      <c r="AC2769">
        <v>0</v>
      </c>
      <c r="AD2769">
        <v>0</v>
      </c>
      <c r="AE2769" s="7"/>
      <c r="AF2769" s="7"/>
      <c r="AG2769" s="7"/>
      <c r="AH2769" s="7"/>
      <c r="AI2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9" s="7">
        <v>12</v>
      </c>
      <c r="AK2769" t="s">
        <v>116</v>
      </c>
      <c r="AN2769">
        <f>IFERROR(INT(Table13[[#This Row],[reject_prod]]/Table13[[#This Row],[part_weight]] * 1000), 0)</f>
        <v>0</v>
      </c>
    </row>
    <row r="2770" spans="1:40">
      <c r="A2770" s="1">
        <v>46104</v>
      </c>
      <c r="B2770">
        <v>2</v>
      </c>
      <c r="C2770">
        <v>8</v>
      </c>
      <c r="F2770">
        <v>123456</v>
      </c>
      <c r="G2770" s="6">
        <v>0</v>
      </c>
      <c r="M2770">
        <v>0</v>
      </c>
      <c r="N2770" s="2">
        <v>0</v>
      </c>
      <c r="O2770" s="2">
        <v>0</v>
      </c>
      <c r="P2770" s="2">
        <v>0</v>
      </c>
      <c r="Q2770" s="2"/>
      <c r="R2770" s="2">
        <v>0</v>
      </c>
      <c r="T2770" s="2">
        <v>0</v>
      </c>
      <c r="U2770" s="2"/>
      <c r="X2770">
        <v>0</v>
      </c>
      <c r="Z2770">
        <v>0</v>
      </c>
      <c r="AB2770">
        <v>0</v>
      </c>
      <c r="AC2770">
        <v>0</v>
      </c>
      <c r="AD2770">
        <v>0</v>
      </c>
      <c r="AE2770" s="7"/>
      <c r="AF2770" s="7"/>
      <c r="AG2770" s="7"/>
      <c r="AH2770" s="7"/>
      <c r="AI2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0" s="7">
        <v>12</v>
      </c>
      <c r="AK2770" t="s">
        <v>116</v>
      </c>
      <c r="AN2770">
        <f>IFERROR(INT(Table13[[#This Row],[reject_prod]]/Table13[[#This Row],[part_weight]] * 1000), 0)</f>
        <v>0</v>
      </c>
    </row>
    <row r="2771" spans="1:40">
      <c r="A2771" s="1">
        <v>46104</v>
      </c>
      <c r="B2771">
        <v>2</v>
      </c>
      <c r="C2771">
        <v>9</v>
      </c>
      <c r="F2771">
        <v>123456</v>
      </c>
      <c r="G2771" s="6">
        <v>0</v>
      </c>
      <c r="M2771">
        <v>0</v>
      </c>
      <c r="N2771" s="2">
        <v>0</v>
      </c>
      <c r="O2771" s="2">
        <v>0</v>
      </c>
      <c r="P2771" s="2">
        <v>0</v>
      </c>
      <c r="Q2771" s="2"/>
      <c r="R2771" s="2">
        <v>0</v>
      </c>
      <c r="T2771" s="2">
        <v>0</v>
      </c>
      <c r="U2771" s="2"/>
      <c r="X2771">
        <v>0</v>
      </c>
      <c r="Z2771">
        <v>0</v>
      </c>
      <c r="AB2771">
        <v>0</v>
      </c>
      <c r="AC2771">
        <v>0</v>
      </c>
      <c r="AD2771">
        <v>0</v>
      </c>
      <c r="AE2771" s="7"/>
      <c r="AF2771" s="7"/>
      <c r="AG2771" s="7"/>
      <c r="AH2771" s="7"/>
      <c r="AI27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1" s="7">
        <v>12</v>
      </c>
      <c r="AK2771" t="s">
        <v>116</v>
      </c>
      <c r="AN2771">
        <f>IFERROR(INT(Table13[[#This Row],[reject_prod]]/Table13[[#This Row],[part_weight]] * 1000), 0)</f>
        <v>0</v>
      </c>
    </row>
    <row r="2772" spans="1:40">
      <c r="A2772" s="1">
        <v>46104</v>
      </c>
      <c r="B2772">
        <v>2</v>
      </c>
      <c r="C2772">
        <v>10</v>
      </c>
      <c r="F2772">
        <v>123456</v>
      </c>
      <c r="G2772" s="6">
        <v>0</v>
      </c>
      <c r="M2772">
        <v>0</v>
      </c>
      <c r="N2772" s="2">
        <v>0</v>
      </c>
      <c r="O2772" s="2">
        <v>0</v>
      </c>
      <c r="P2772" s="2">
        <v>0</v>
      </c>
      <c r="Q2772" s="2"/>
      <c r="R2772" s="2">
        <v>0</v>
      </c>
      <c r="T2772" s="2">
        <v>0</v>
      </c>
      <c r="U2772" s="2"/>
      <c r="X2772">
        <v>0</v>
      </c>
      <c r="Z2772">
        <v>0</v>
      </c>
      <c r="AB2772">
        <v>0</v>
      </c>
      <c r="AC2772">
        <v>0</v>
      </c>
      <c r="AD2772">
        <v>0</v>
      </c>
      <c r="AE2772" s="7"/>
      <c r="AF2772" s="7"/>
      <c r="AG2772" s="7"/>
      <c r="AH2772" s="7"/>
      <c r="AI2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2" s="7">
        <v>12</v>
      </c>
      <c r="AK2772" t="s">
        <v>116</v>
      </c>
      <c r="AN2772">
        <f>IFERROR(INT(Table13[[#This Row],[reject_prod]]/Table13[[#This Row],[part_weight]] * 1000), 0)</f>
        <v>0</v>
      </c>
    </row>
    <row r="2773" spans="1:40">
      <c r="A2773" s="1">
        <v>46104</v>
      </c>
      <c r="B2773">
        <v>2</v>
      </c>
      <c r="C2773">
        <v>11</v>
      </c>
      <c r="F2773">
        <v>123456</v>
      </c>
      <c r="G2773" s="6">
        <v>0</v>
      </c>
      <c r="M2773">
        <v>0</v>
      </c>
      <c r="N2773" s="2">
        <v>0</v>
      </c>
      <c r="O2773" s="2">
        <v>0</v>
      </c>
      <c r="P2773" s="2">
        <v>0</v>
      </c>
      <c r="Q2773" s="2"/>
      <c r="R2773" s="2">
        <v>0</v>
      </c>
      <c r="T2773" s="2">
        <v>0</v>
      </c>
      <c r="U2773" s="2"/>
      <c r="X2773">
        <v>0</v>
      </c>
      <c r="Z2773">
        <v>0</v>
      </c>
      <c r="AB2773">
        <v>0</v>
      </c>
      <c r="AC2773">
        <v>0</v>
      </c>
      <c r="AD2773">
        <v>0</v>
      </c>
      <c r="AE2773" s="7"/>
      <c r="AF2773" s="7"/>
      <c r="AG2773" s="7"/>
      <c r="AH2773" s="7"/>
      <c r="AI2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3" s="7">
        <v>12</v>
      </c>
      <c r="AK2773" t="s">
        <v>116</v>
      </c>
      <c r="AN2773">
        <f>IFERROR(INT(Table13[[#This Row],[reject_prod]]/Table13[[#This Row],[part_weight]] * 1000), 0)</f>
        <v>0</v>
      </c>
    </row>
    <row r="2774" spans="1:40">
      <c r="A2774" s="1">
        <v>46104</v>
      </c>
      <c r="B2774">
        <v>2</v>
      </c>
      <c r="C2774">
        <v>12</v>
      </c>
      <c r="F2774">
        <v>123456</v>
      </c>
      <c r="G2774" s="6">
        <v>0</v>
      </c>
      <c r="M2774">
        <v>0</v>
      </c>
      <c r="N2774" s="2">
        <v>0</v>
      </c>
      <c r="O2774" s="2">
        <v>0</v>
      </c>
      <c r="P2774" s="2">
        <v>0</v>
      </c>
      <c r="Q2774" s="2"/>
      <c r="R2774" s="2">
        <v>0</v>
      </c>
      <c r="T2774" s="2">
        <v>0</v>
      </c>
      <c r="U2774" s="2"/>
      <c r="X2774">
        <v>0</v>
      </c>
      <c r="Z2774">
        <v>0</v>
      </c>
      <c r="AB2774">
        <v>0</v>
      </c>
      <c r="AC2774">
        <v>0</v>
      </c>
      <c r="AD2774">
        <v>0</v>
      </c>
      <c r="AE2774" s="7"/>
      <c r="AF2774" s="7"/>
      <c r="AG2774" s="7"/>
      <c r="AH2774" s="7"/>
      <c r="AI2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4" s="7">
        <v>12</v>
      </c>
      <c r="AK2774" t="s">
        <v>116</v>
      </c>
      <c r="AN2774">
        <f>IFERROR(INT(Table13[[#This Row],[reject_prod]]/Table13[[#This Row],[part_weight]] * 1000), 0)</f>
        <v>0</v>
      </c>
    </row>
    <row r="2775" spans="1:40">
      <c r="A2775" s="1">
        <v>46104</v>
      </c>
      <c r="B2775">
        <v>2</v>
      </c>
      <c r="C2775">
        <v>13</v>
      </c>
      <c r="F2775">
        <v>123456</v>
      </c>
      <c r="G2775" s="6">
        <v>0</v>
      </c>
      <c r="M2775">
        <v>0</v>
      </c>
      <c r="N2775" s="2">
        <v>0</v>
      </c>
      <c r="O2775" s="2">
        <v>0</v>
      </c>
      <c r="P2775" s="2">
        <v>0</v>
      </c>
      <c r="Q2775" s="2"/>
      <c r="R2775" s="2">
        <v>0</v>
      </c>
      <c r="T2775" s="2">
        <v>0</v>
      </c>
      <c r="U2775" s="2"/>
      <c r="X2775">
        <v>0</v>
      </c>
      <c r="Z2775">
        <v>0</v>
      </c>
      <c r="AB2775">
        <v>0</v>
      </c>
      <c r="AC2775">
        <v>0</v>
      </c>
      <c r="AD2775">
        <v>0</v>
      </c>
      <c r="AE2775" s="7"/>
      <c r="AF2775" s="7"/>
      <c r="AG2775" s="7"/>
      <c r="AH2775" s="7"/>
      <c r="AI2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5" s="7">
        <v>12</v>
      </c>
      <c r="AK2775" t="s">
        <v>116</v>
      </c>
      <c r="AN2775">
        <f>IFERROR(INT(Table13[[#This Row],[reject_prod]]/Table13[[#This Row],[part_weight]] * 1000), 0)</f>
        <v>0</v>
      </c>
    </row>
    <row r="2776" spans="1:40">
      <c r="A2776" s="1">
        <v>46104</v>
      </c>
      <c r="B2776">
        <v>2</v>
      </c>
      <c r="C2776">
        <v>14</v>
      </c>
      <c r="F2776">
        <v>123456</v>
      </c>
      <c r="G2776" s="6">
        <v>0</v>
      </c>
      <c r="M2776">
        <v>0</v>
      </c>
      <c r="N2776" s="2">
        <v>0</v>
      </c>
      <c r="O2776" s="2">
        <v>0</v>
      </c>
      <c r="P2776" s="2">
        <v>0</v>
      </c>
      <c r="Q2776" s="2"/>
      <c r="R2776" s="2">
        <v>0</v>
      </c>
      <c r="T2776" s="2">
        <v>0</v>
      </c>
      <c r="U2776" s="2"/>
      <c r="X2776">
        <v>0</v>
      </c>
      <c r="Z2776">
        <v>0</v>
      </c>
      <c r="AB2776">
        <v>0</v>
      </c>
      <c r="AC2776">
        <v>0</v>
      </c>
      <c r="AD2776">
        <v>0</v>
      </c>
      <c r="AE2776" s="7"/>
      <c r="AF2776" s="7"/>
      <c r="AG2776" s="7"/>
      <c r="AH2776" s="7"/>
      <c r="AI2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6" s="7">
        <v>12</v>
      </c>
      <c r="AK2776" t="s">
        <v>116</v>
      </c>
      <c r="AN2776">
        <f>IFERROR(INT(Table13[[#This Row],[reject_prod]]/Table13[[#This Row],[part_weight]] * 1000), 0)</f>
        <v>0</v>
      </c>
    </row>
    <row r="2777" spans="1:40">
      <c r="A2777" s="1">
        <v>46104</v>
      </c>
      <c r="B2777">
        <v>2</v>
      </c>
      <c r="C2777">
        <v>15</v>
      </c>
      <c r="F2777">
        <v>123456</v>
      </c>
      <c r="G2777" s="6">
        <v>0</v>
      </c>
      <c r="M2777">
        <v>0</v>
      </c>
      <c r="N2777" s="2">
        <v>0</v>
      </c>
      <c r="O2777" s="2">
        <v>0</v>
      </c>
      <c r="P2777" s="2">
        <v>0</v>
      </c>
      <c r="Q2777" s="2"/>
      <c r="R2777" s="2">
        <v>0</v>
      </c>
      <c r="T2777" s="2">
        <v>0</v>
      </c>
      <c r="U2777" s="2"/>
      <c r="X2777">
        <v>0</v>
      </c>
      <c r="Z2777">
        <v>0</v>
      </c>
      <c r="AB2777">
        <v>0</v>
      </c>
      <c r="AC2777">
        <v>0</v>
      </c>
      <c r="AD2777">
        <v>0</v>
      </c>
      <c r="AE2777" s="7"/>
      <c r="AF2777" s="7"/>
      <c r="AG2777" s="7"/>
      <c r="AH2777" s="7"/>
      <c r="AI2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7" s="7">
        <v>12</v>
      </c>
      <c r="AK2777" t="s">
        <v>116</v>
      </c>
      <c r="AN2777">
        <f>IFERROR(INT(Table13[[#This Row],[reject_prod]]/Table13[[#This Row],[part_weight]] * 1000), 0)</f>
        <v>0</v>
      </c>
    </row>
    <row r="2778" spans="1:40">
      <c r="A2778" s="1">
        <v>46104</v>
      </c>
      <c r="B2778">
        <v>2</v>
      </c>
      <c r="C2778">
        <v>16</v>
      </c>
      <c r="F2778">
        <v>123456</v>
      </c>
      <c r="G2778" s="6">
        <v>0</v>
      </c>
      <c r="M2778">
        <v>0</v>
      </c>
      <c r="N2778" s="2">
        <v>0</v>
      </c>
      <c r="O2778" s="2">
        <v>0</v>
      </c>
      <c r="P2778" s="2">
        <v>0</v>
      </c>
      <c r="Q2778" s="2"/>
      <c r="R2778" s="2">
        <v>0</v>
      </c>
      <c r="T2778" s="2">
        <v>0</v>
      </c>
      <c r="U2778" s="2"/>
      <c r="X2778">
        <v>0</v>
      </c>
      <c r="Z2778">
        <v>0</v>
      </c>
      <c r="AB2778">
        <v>0</v>
      </c>
      <c r="AC2778">
        <v>0</v>
      </c>
      <c r="AD2778">
        <v>0</v>
      </c>
      <c r="AE2778" s="7"/>
      <c r="AF2778" s="7"/>
      <c r="AG2778" s="7"/>
      <c r="AH2778" s="7"/>
      <c r="AI2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8" s="7">
        <v>12</v>
      </c>
      <c r="AK2778" t="s">
        <v>116</v>
      </c>
      <c r="AN2778">
        <f>IFERROR(INT(Table13[[#This Row],[reject_prod]]/Table13[[#This Row],[part_weight]] * 1000), 0)</f>
        <v>0</v>
      </c>
    </row>
    <row r="2779" spans="1:40">
      <c r="A2779" s="1">
        <v>46105</v>
      </c>
      <c r="B2779">
        <v>1</v>
      </c>
      <c r="C2779">
        <v>1</v>
      </c>
      <c r="F2779">
        <v>123456</v>
      </c>
      <c r="G2779" s="6">
        <v>0</v>
      </c>
      <c r="M2779">
        <v>0</v>
      </c>
      <c r="N2779" s="2">
        <v>0</v>
      </c>
      <c r="O2779" s="2">
        <v>0</v>
      </c>
      <c r="P2779" s="2">
        <v>0</v>
      </c>
      <c r="Q2779" s="2"/>
      <c r="R2779" s="2">
        <v>0</v>
      </c>
      <c r="T2779" s="2">
        <v>0</v>
      </c>
      <c r="U2779" s="2"/>
      <c r="X2779">
        <v>0</v>
      </c>
      <c r="Z2779">
        <v>0</v>
      </c>
      <c r="AB2779">
        <v>0</v>
      </c>
      <c r="AC2779">
        <v>0</v>
      </c>
      <c r="AD2779">
        <v>0</v>
      </c>
      <c r="AE2779" s="7"/>
      <c r="AF2779" s="7"/>
      <c r="AG2779" s="7"/>
      <c r="AH2779" s="7"/>
      <c r="AI2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9" s="7">
        <v>12</v>
      </c>
      <c r="AK2779" t="s">
        <v>116</v>
      </c>
      <c r="AN2779">
        <f>IFERROR(INT(Table13[[#This Row],[reject_prod]]/Table13[[#This Row],[part_weight]] * 1000), 0)</f>
        <v>0</v>
      </c>
    </row>
    <row r="2780" spans="1:40">
      <c r="A2780" s="1">
        <v>46105</v>
      </c>
      <c r="B2780">
        <v>1</v>
      </c>
      <c r="C2780">
        <v>2</v>
      </c>
      <c r="D2780" t="s">
        <v>1345</v>
      </c>
      <c r="E2780" t="s">
        <v>34</v>
      </c>
      <c r="F2780">
        <v>543590</v>
      </c>
      <c r="G2780" s="6">
        <v>0</v>
      </c>
      <c r="H2780" t="s">
        <v>913</v>
      </c>
      <c r="I2780">
        <v>10688496</v>
      </c>
      <c r="J2780">
        <v>4</v>
      </c>
      <c r="K2780">
        <v>19</v>
      </c>
      <c r="L2780">
        <v>19</v>
      </c>
      <c r="M2780">
        <v>930</v>
      </c>
      <c r="N2780" s="2">
        <v>57288</v>
      </c>
      <c r="O2780" s="2">
        <v>1848</v>
      </c>
      <c r="P2780" s="2"/>
      <c r="Q2780" s="2">
        <v>3720</v>
      </c>
      <c r="R2780" s="2">
        <v>5544</v>
      </c>
      <c r="S2780">
        <v>105.336</v>
      </c>
      <c r="T2780" s="2">
        <v>57288</v>
      </c>
      <c r="U2780" s="2">
        <v>0</v>
      </c>
      <c r="V2780">
        <v>70.680000000000007</v>
      </c>
      <c r="W2780">
        <v>0</v>
      </c>
      <c r="X2780">
        <v>3</v>
      </c>
      <c r="Y2780">
        <v>4.2444822E-2</v>
      </c>
      <c r="Z2780">
        <v>0.5</v>
      </c>
      <c r="AA2780">
        <v>7.0741370000000003E-3</v>
      </c>
      <c r="AB2780">
        <v>22.3</v>
      </c>
      <c r="AC2780">
        <v>5.7608333329999999</v>
      </c>
      <c r="AD2780">
        <v>18.72</v>
      </c>
      <c r="AE2780" s="7"/>
      <c r="AF2780" s="7"/>
      <c r="AG2780" s="7"/>
      <c r="AH2780" s="7"/>
      <c r="AI2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6.2391666670000001</v>
      </c>
      <c r="AJ2780" s="7"/>
      <c r="AK2780" t="s">
        <v>1346</v>
      </c>
      <c r="AN2780">
        <f>IFERROR(INT(Table13[[#This Row],[reject_prod]]/Table13[[#This Row],[part_weight]] * 1000), 0)</f>
        <v>26</v>
      </c>
    </row>
    <row r="2781" spans="1:40">
      <c r="A2781" s="1">
        <v>46105</v>
      </c>
      <c r="B2781">
        <v>1</v>
      </c>
      <c r="C2781">
        <v>2</v>
      </c>
      <c r="D2781" t="s">
        <v>33</v>
      </c>
      <c r="E2781" t="s">
        <v>34</v>
      </c>
      <c r="F2781">
        <v>423213</v>
      </c>
      <c r="G2781" s="6">
        <v>0</v>
      </c>
      <c r="H2781" t="s">
        <v>70</v>
      </c>
      <c r="I2781">
        <v>10689499</v>
      </c>
      <c r="J2781">
        <v>4</v>
      </c>
      <c r="K2781">
        <v>23</v>
      </c>
      <c r="L2781">
        <v>23</v>
      </c>
      <c r="M2781">
        <v>0</v>
      </c>
      <c r="N2781" s="2">
        <v>99822</v>
      </c>
      <c r="O2781" s="2">
        <v>0</v>
      </c>
      <c r="P2781" s="2">
        <v>0</v>
      </c>
      <c r="Q2781" s="2">
        <v>0</v>
      </c>
      <c r="R2781" s="2">
        <v>0</v>
      </c>
      <c r="S2781">
        <v>0</v>
      </c>
      <c r="T2781" s="2">
        <v>0</v>
      </c>
      <c r="U2781" s="2">
        <v>99822</v>
      </c>
      <c r="V2781">
        <v>0</v>
      </c>
      <c r="W2781">
        <v>0</v>
      </c>
      <c r="X2781">
        <v>0</v>
      </c>
      <c r="Y2781" t="e">
        <v>#DIV/0!</v>
      </c>
      <c r="Z2781">
        <v>0</v>
      </c>
      <c r="AA2781" t="e">
        <v>#DIV/0!</v>
      </c>
      <c r="AB2781">
        <v>0</v>
      </c>
      <c r="AC2781">
        <v>0</v>
      </c>
      <c r="AD2781">
        <v>22.5</v>
      </c>
      <c r="AE2781" s="7"/>
      <c r="AF2781" s="7"/>
      <c r="AG2781" s="7">
        <v>1.5</v>
      </c>
      <c r="AH2781" s="7"/>
      <c r="AI2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781" s="7"/>
      <c r="AK2781" t="s">
        <v>1347</v>
      </c>
      <c r="AL2781">
        <v>3</v>
      </c>
      <c r="AM2781">
        <v>1</v>
      </c>
      <c r="AN2781">
        <f>IFERROR(INT(Table13[[#This Row],[reject_prod]]/Table13[[#This Row],[part_weight]] * 1000), 0)</f>
        <v>0</v>
      </c>
    </row>
    <row r="2782" spans="1:40">
      <c r="A2782" s="1">
        <v>46105</v>
      </c>
      <c r="B2782">
        <v>1</v>
      </c>
      <c r="C2782">
        <v>3</v>
      </c>
      <c r="D2782" t="s">
        <v>59</v>
      </c>
      <c r="E2782" t="s">
        <v>34</v>
      </c>
      <c r="F2782">
        <v>442034</v>
      </c>
      <c r="G2782" s="6">
        <v>0</v>
      </c>
      <c r="H2782" t="s">
        <v>37</v>
      </c>
      <c r="I2782">
        <v>10688497</v>
      </c>
      <c r="J2782">
        <v>4</v>
      </c>
      <c r="K2782">
        <v>23</v>
      </c>
      <c r="L2782">
        <v>23</v>
      </c>
      <c r="M2782">
        <v>1160</v>
      </c>
      <c r="N2782" s="2">
        <v>139776</v>
      </c>
      <c r="O2782" s="2">
        <v>3840</v>
      </c>
      <c r="P2782" s="2">
        <v>3840</v>
      </c>
      <c r="Q2782" s="2">
        <v>4640</v>
      </c>
      <c r="R2782" s="2">
        <v>4608</v>
      </c>
      <c r="S2782">
        <v>105.98399999999999</v>
      </c>
      <c r="T2782" s="2">
        <v>40704</v>
      </c>
      <c r="U2782" s="2">
        <v>99072</v>
      </c>
      <c r="V2782">
        <v>106.72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24.83</v>
      </c>
      <c r="AC2782">
        <v>8.0007777779999998</v>
      </c>
      <c r="AD2782">
        <v>22</v>
      </c>
      <c r="AE2782" s="7"/>
      <c r="AF2782" s="7"/>
      <c r="AG2782" s="7"/>
      <c r="AH2782" s="7"/>
      <c r="AI2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3.9992222220000002</v>
      </c>
      <c r="AJ2782" s="7"/>
      <c r="AK2782" t="s">
        <v>1348</v>
      </c>
      <c r="AL2782">
        <v>2</v>
      </c>
      <c r="AM2782">
        <v>2</v>
      </c>
      <c r="AN2782">
        <f>IFERROR(INT(Table13[[#This Row],[reject_prod]]/Table13[[#This Row],[part_weight]] * 1000), 0)</f>
        <v>0</v>
      </c>
    </row>
    <row r="2783" spans="1:40">
      <c r="A2783" s="1">
        <v>46105</v>
      </c>
      <c r="B2783">
        <v>1</v>
      </c>
      <c r="C2783">
        <v>4</v>
      </c>
      <c r="D2783" t="s">
        <v>56</v>
      </c>
      <c r="E2783" t="s">
        <v>34</v>
      </c>
      <c r="F2783">
        <v>451191</v>
      </c>
      <c r="G2783" s="6">
        <v>0</v>
      </c>
      <c r="H2783" t="s">
        <v>946</v>
      </c>
      <c r="I2783">
        <v>10690450</v>
      </c>
      <c r="J2783">
        <v>4</v>
      </c>
      <c r="K2783">
        <v>29</v>
      </c>
      <c r="L2783">
        <v>29</v>
      </c>
      <c r="M2783">
        <v>1560</v>
      </c>
      <c r="N2783" s="2">
        <v>110160</v>
      </c>
      <c r="O2783" s="2">
        <v>0</v>
      </c>
      <c r="P2783" s="2">
        <v>765</v>
      </c>
      <c r="Q2783" s="2">
        <v>6240</v>
      </c>
      <c r="R2783" s="2">
        <v>5508</v>
      </c>
      <c r="S2783">
        <v>159.732</v>
      </c>
      <c r="T2783" s="2">
        <v>63189</v>
      </c>
      <c r="U2783" s="2">
        <v>46971</v>
      </c>
      <c r="V2783">
        <v>180.96</v>
      </c>
      <c r="W2783">
        <v>0</v>
      </c>
      <c r="X2783">
        <v>2</v>
      </c>
      <c r="Y2783">
        <v>1.1052166E-2</v>
      </c>
      <c r="Z2783">
        <v>0.9</v>
      </c>
      <c r="AA2783">
        <v>4.9734749999999998E-3</v>
      </c>
      <c r="AB2783">
        <v>25.2</v>
      </c>
      <c r="AC2783">
        <v>10.92</v>
      </c>
      <c r="AD2783">
        <v>24</v>
      </c>
      <c r="AE2783" s="7"/>
      <c r="AF2783" s="7"/>
      <c r="AG2783" s="7"/>
      <c r="AH2783" s="7"/>
      <c r="AI2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</v>
      </c>
      <c r="AJ2783" s="7"/>
      <c r="AK2783" t="s">
        <v>51</v>
      </c>
      <c r="AL2783">
        <v>9</v>
      </c>
      <c r="AM2783">
        <v>1</v>
      </c>
      <c r="AN2783">
        <f>IFERROR(INT(Table13[[#This Row],[reject_prod]]/Table13[[#This Row],[part_weight]] * 1000), 0)</f>
        <v>31</v>
      </c>
    </row>
    <row r="2784" spans="1:40">
      <c r="A2784" s="1">
        <v>46105</v>
      </c>
      <c r="B2784">
        <v>1</v>
      </c>
      <c r="C2784">
        <v>5</v>
      </c>
      <c r="D2784" t="s">
        <v>33</v>
      </c>
      <c r="E2784" t="s">
        <v>34</v>
      </c>
      <c r="F2784">
        <v>322382</v>
      </c>
      <c r="G2784" s="6">
        <v>0</v>
      </c>
      <c r="H2784" t="s">
        <v>1184</v>
      </c>
      <c r="I2784">
        <v>10689314</v>
      </c>
      <c r="J2784">
        <v>4</v>
      </c>
      <c r="K2784">
        <v>18.8</v>
      </c>
      <c r="L2784">
        <v>11.3</v>
      </c>
      <c r="M2784">
        <v>0</v>
      </c>
      <c r="N2784" s="2">
        <v>10350</v>
      </c>
      <c r="O2784" s="2">
        <v>0</v>
      </c>
      <c r="P2784" s="2">
        <v>0</v>
      </c>
      <c r="Q2784" s="2">
        <v>0</v>
      </c>
      <c r="R2784" s="2">
        <v>0</v>
      </c>
      <c r="S2784">
        <v>0</v>
      </c>
      <c r="T2784" s="2">
        <v>0</v>
      </c>
      <c r="U2784" s="2">
        <v>10350</v>
      </c>
      <c r="V2784">
        <v>0</v>
      </c>
      <c r="W2784">
        <v>0</v>
      </c>
      <c r="X2784">
        <v>3.2</v>
      </c>
      <c r="Y2784" t="e">
        <v>#DIV/0!</v>
      </c>
      <c r="Z2784">
        <v>0</v>
      </c>
      <c r="AA2784" t="e">
        <v>#DIV/0!</v>
      </c>
      <c r="AB2784">
        <v>22</v>
      </c>
      <c r="AC2784">
        <v>0</v>
      </c>
      <c r="AD2784">
        <v>15.44</v>
      </c>
      <c r="AE2784" s="7"/>
      <c r="AF2784" s="7"/>
      <c r="AG2784" s="7"/>
      <c r="AH2784" s="7"/>
      <c r="AI2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84" s="7"/>
      <c r="AK2784" t="s">
        <v>1349</v>
      </c>
      <c r="AL2784">
        <v>11</v>
      </c>
      <c r="AM2784">
        <v>4</v>
      </c>
      <c r="AN2784">
        <f>IFERROR(INT(Table13[[#This Row],[reject_prod]]/Table13[[#This Row],[part_weight]] * 1000), 0)</f>
        <v>0</v>
      </c>
    </row>
    <row r="2785" spans="1:40">
      <c r="A2785" s="1">
        <v>46105</v>
      </c>
      <c r="B2785">
        <v>1</v>
      </c>
      <c r="C2785">
        <v>6</v>
      </c>
      <c r="D2785" t="s">
        <v>33</v>
      </c>
      <c r="E2785" t="s">
        <v>34</v>
      </c>
      <c r="F2785">
        <v>322435</v>
      </c>
      <c r="G2785" s="6">
        <v>0</v>
      </c>
      <c r="H2785" t="s">
        <v>216</v>
      </c>
      <c r="I2785">
        <v>10680041</v>
      </c>
      <c r="J2785">
        <v>4</v>
      </c>
      <c r="K2785">
        <v>34.5</v>
      </c>
      <c r="L2785">
        <v>34.5</v>
      </c>
      <c r="M2785">
        <v>0</v>
      </c>
      <c r="N2785" s="2">
        <v>16380</v>
      </c>
      <c r="O2785" s="2">
        <v>0</v>
      </c>
      <c r="P2785" s="2">
        <v>0</v>
      </c>
      <c r="Q2785" s="2">
        <v>0</v>
      </c>
      <c r="R2785" s="2">
        <v>0</v>
      </c>
      <c r="S2785">
        <v>0</v>
      </c>
      <c r="T2785" s="2">
        <v>0</v>
      </c>
      <c r="U2785" s="2">
        <v>16380</v>
      </c>
      <c r="V2785">
        <v>0</v>
      </c>
      <c r="W2785">
        <v>0</v>
      </c>
      <c r="X2785">
        <v>0</v>
      </c>
      <c r="Y2785" t="e">
        <v>#DIV/0!</v>
      </c>
      <c r="Z2785">
        <v>0</v>
      </c>
      <c r="AA2785" t="e">
        <v>#DIV/0!</v>
      </c>
      <c r="AB2785">
        <v>22</v>
      </c>
      <c r="AC2785">
        <v>0</v>
      </c>
      <c r="AD2785">
        <v>22</v>
      </c>
      <c r="AE2785" s="7"/>
      <c r="AF2785" s="7"/>
      <c r="AG2785" s="7"/>
      <c r="AH2785" s="7"/>
      <c r="AI2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85" s="7"/>
      <c r="AK2785" t="s">
        <v>521</v>
      </c>
      <c r="AN2785">
        <f>IFERROR(INT(Table13[[#This Row],[reject_prod]]/Table13[[#This Row],[part_weight]] * 1000), 0)</f>
        <v>0</v>
      </c>
    </row>
    <row r="2786" spans="1:40">
      <c r="A2786" s="1">
        <v>46105</v>
      </c>
      <c r="B2786">
        <v>1</v>
      </c>
      <c r="C2786">
        <v>7</v>
      </c>
      <c r="D2786" t="s">
        <v>1345</v>
      </c>
      <c r="E2786" t="s">
        <v>34</v>
      </c>
      <c r="F2786">
        <v>597507</v>
      </c>
      <c r="G2786" s="6">
        <v>0</v>
      </c>
      <c r="H2786" t="s">
        <v>279</v>
      </c>
      <c r="I2786">
        <v>10690042</v>
      </c>
      <c r="J2786">
        <v>4</v>
      </c>
      <c r="K2786">
        <v>23</v>
      </c>
      <c r="L2786">
        <v>23</v>
      </c>
      <c r="M2786">
        <v>540</v>
      </c>
      <c r="N2786" s="2">
        <v>86240</v>
      </c>
      <c r="O2786" s="2">
        <v>0</v>
      </c>
      <c r="P2786" s="2">
        <v>0</v>
      </c>
      <c r="Q2786" s="2">
        <v>2160</v>
      </c>
      <c r="R2786" s="2">
        <v>2156</v>
      </c>
      <c r="S2786">
        <v>49.588000000000001</v>
      </c>
      <c r="T2786" s="2">
        <v>18326</v>
      </c>
      <c r="U2786" s="2">
        <v>67914</v>
      </c>
      <c r="V2786">
        <v>49.68</v>
      </c>
      <c r="W2786">
        <v>0</v>
      </c>
      <c r="X2786">
        <v>17</v>
      </c>
      <c r="Y2786">
        <v>0.34219001599999999</v>
      </c>
      <c r="Z2786">
        <v>0.7</v>
      </c>
      <c r="AA2786">
        <v>1.4090177000000001E-2</v>
      </c>
      <c r="AB2786">
        <v>23.54</v>
      </c>
      <c r="AC2786">
        <v>3.5310000000000001</v>
      </c>
      <c r="AD2786">
        <v>22</v>
      </c>
      <c r="AE2786" s="7"/>
      <c r="AF2786" s="7"/>
      <c r="AG2786" s="7"/>
      <c r="AH2786" s="7"/>
      <c r="AI2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8.4689999999999994</v>
      </c>
      <c r="AJ2786" s="7"/>
      <c r="AK2786" t="s">
        <v>1350</v>
      </c>
      <c r="AL2786">
        <v>7</v>
      </c>
      <c r="AM2786">
        <v>2</v>
      </c>
      <c r="AN2786">
        <f>IFERROR(INT(Table13[[#This Row],[reject_prod]]/Table13[[#This Row],[part_weight]] * 1000), 0)</f>
        <v>30</v>
      </c>
    </row>
    <row r="2787" spans="1:40">
      <c r="A2787" s="1">
        <v>46105</v>
      </c>
      <c r="B2787">
        <v>1</v>
      </c>
      <c r="C2787">
        <v>8</v>
      </c>
      <c r="D2787" t="s">
        <v>1351</v>
      </c>
      <c r="E2787" t="s">
        <v>41</v>
      </c>
      <c r="F2787">
        <v>593537</v>
      </c>
      <c r="G2787" s="6">
        <v>0</v>
      </c>
      <c r="H2787" t="s">
        <v>48</v>
      </c>
      <c r="I2787">
        <v>10689826</v>
      </c>
      <c r="J2787">
        <v>4</v>
      </c>
      <c r="K2787">
        <v>56.5</v>
      </c>
      <c r="L2787">
        <v>56.8</v>
      </c>
      <c r="M2787">
        <v>1270</v>
      </c>
      <c r="N2787" s="2">
        <v>69000</v>
      </c>
      <c r="O2787" s="2">
        <v>345</v>
      </c>
      <c r="P2787" s="2">
        <v>230</v>
      </c>
      <c r="Q2787" s="2">
        <v>5080</v>
      </c>
      <c r="R2787" s="2">
        <v>5175</v>
      </c>
      <c r="S2787">
        <v>293.94</v>
      </c>
      <c r="T2787" s="2">
        <v>62330</v>
      </c>
      <c r="U2787" s="2">
        <v>6670</v>
      </c>
      <c r="V2787">
        <v>288.54399999999998</v>
      </c>
      <c r="W2787">
        <v>0</v>
      </c>
      <c r="X2787">
        <v>3</v>
      </c>
      <c r="Y2787">
        <v>1.0397028000000001E-2</v>
      </c>
      <c r="Z2787">
        <v>2</v>
      </c>
      <c r="AA2787">
        <v>6.931352E-3</v>
      </c>
      <c r="AB2787">
        <v>29.7</v>
      </c>
      <c r="AC2787">
        <v>10.477499999999999</v>
      </c>
      <c r="AD2787">
        <v>28.5</v>
      </c>
      <c r="AE2787" s="7"/>
      <c r="AF2787" s="7"/>
      <c r="AG2787" s="7"/>
      <c r="AH2787" s="7"/>
      <c r="AI2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1.5225000000000009</v>
      </c>
      <c r="AJ2787" s="7"/>
      <c r="AK2787" t="s">
        <v>1352</v>
      </c>
      <c r="AL2787">
        <v>8</v>
      </c>
      <c r="AM2787">
        <v>3</v>
      </c>
      <c r="AN2787">
        <f>IFERROR(INT(Table13[[#This Row],[reject_prod]]/Table13[[#This Row],[part_weight]] * 1000), 0)</f>
        <v>35</v>
      </c>
    </row>
    <row r="2788" spans="1:40">
      <c r="A2788" s="1">
        <v>46105</v>
      </c>
      <c r="B2788">
        <v>1</v>
      </c>
      <c r="C2788">
        <v>9</v>
      </c>
      <c r="D2788" t="s">
        <v>289</v>
      </c>
      <c r="E2788" t="s">
        <v>46</v>
      </c>
      <c r="F2788">
        <v>586276</v>
      </c>
      <c r="G2788" s="6">
        <v>1</v>
      </c>
      <c r="H2788" t="s">
        <v>47</v>
      </c>
      <c r="I2788">
        <v>10689112</v>
      </c>
      <c r="J2788">
        <v>6</v>
      </c>
      <c r="K2788">
        <v>12.3</v>
      </c>
      <c r="L2788">
        <v>12.3</v>
      </c>
      <c r="M2788">
        <v>1230</v>
      </c>
      <c r="N2788" s="2">
        <v>162000</v>
      </c>
      <c r="O2788" s="2">
        <v>0</v>
      </c>
      <c r="P2788" s="2">
        <v>7290</v>
      </c>
      <c r="Q2788" s="2">
        <v>7380</v>
      </c>
      <c r="R2788" s="2">
        <v>0</v>
      </c>
      <c r="S2788">
        <v>0</v>
      </c>
      <c r="T2788" s="2">
        <v>72090</v>
      </c>
      <c r="U2788" s="2">
        <v>89910</v>
      </c>
      <c r="V2788">
        <v>90.774000000000001</v>
      </c>
      <c r="W2788">
        <v>0</v>
      </c>
      <c r="X2788">
        <v>2</v>
      </c>
      <c r="Y2788">
        <v>2.2032741000000002E-2</v>
      </c>
      <c r="Z2788">
        <v>0</v>
      </c>
      <c r="AA2788">
        <v>0</v>
      </c>
      <c r="AB2788">
        <v>28.24</v>
      </c>
      <c r="AC2788">
        <v>9.6486666670000005</v>
      </c>
      <c r="AD2788">
        <v>26</v>
      </c>
      <c r="AE2788" s="7"/>
      <c r="AF2788" s="7"/>
      <c r="AG2788" s="7"/>
      <c r="AH2788" s="7"/>
      <c r="AI27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2.3513333329999995</v>
      </c>
      <c r="AJ2788" s="7"/>
      <c r="AK2788" t="s">
        <v>51</v>
      </c>
      <c r="AL2788">
        <v>1</v>
      </c>
      <c r="AM2788">
        <v>1</v>
      </c>
      <c r="AN2788">
        <f>IFERROR(INT(Table13[[#This Row],[reject_prod]]/Table13[[#This Row],[part_weight]] * 1000), 0)</f>
        <v>0</v>
      </c>
    </row>
    <row r="2789" spans="1:40">
      <c r="A2789" s="1">
        <v>46105</v>
      </c>
      <c r="B2789">
        <v>1</v>
      </c>
      <c r="C2789">
        <v>10</v>
      </c>
      <c r="D2789" t="s">
        <v>33</v>
      </c>
      <c r="E2789" t="s">
        <v>34</v>
      </c>
      <c r="F2789">
        <v>324638</v>
      </c>
      <c r="G2789" s="6">
        <v>0</v>
      </c>
      <c r="H2789" t="s">
        <v>687</v>
      </c>
      <c r="I2789">
        <v>10689561</v>
      </c>
      <c r="J2789">
        <v>4</v>
      </c>
      <c r="K2789">
        <v>14.7</v>
      </c>
      <c r="L2789">
        <v>14.7</v>
      </c>
      <c r="M2789">
        <v>0</v>
      </c>
      <c r="N2789" s="2">
        <v>108000</v>
      </c>
      <c r="O2789" s="2">
        <v>0</v>
      </c>
      <c r="P2789" s="2">
        <v>0</v>
      </c>
      <c r="Q2789" s="2">
        <v>0</v>
      </c>
      <c r="R2789" s="2">
        <v>0</v>
      </c>
      <c r="S2789">
        <v>0</v>
      </c>
      <c r="T2789" s="2">
        <v>0</v>
      </c>
      <c r="U2789" s="2">
        <v>108000</v>
      </c>
      <c r="V2789">
        <v>0</v>
      </c>
      <c r="W2789">
        <v>0</v>
      </c>
      <c r="X2789">
        <v>9.6</v>
      </c>
      <c r="Y2789" t="e">
        <v>#DIV/0!</v>
      </c>
      <c r="Z2789">
        <v>0</v>
      </c>
      <c r="AA2789" t="e">
        <v>#DIV/0!</v>
      </c>
      <c r="AB2789">
        <v>29.2</v>
      </c>
      <c r="AC2789">
        <v>0</v>
      </c>
      <c r="AD2789">
        <v>36</v>
      </c>
      <c r="AE2789" s="7">
        <v>5.5</v>
      </c>
      <c r="AF2789" s="7"/>
      <c r="AG2789" s="7"/>
      <c r="AH2789" s="7"/>
      <c r="AI2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789" s="7"/>
      <c r="AK2789" t="s">
        <v>1353</v>
      </c>
      <c r="AL2789">
        <v>19</v>
      </c>
      <c r="AM2789">
        <v>10</v>
      </c>
      <c r="AN2789">
        <f>IFERROR(INT(Table13[[#This Row],[reject_prod]]/Table13[[#This Row],[part_weight]] * 1000), 0)</f>
        <v>0</v>
      </c>
    </row>
    <row r="2790" spans="1:40">
      <c r="A2790" s="1">
        <v>46105</v>
      </c>
      <c r="B2790">
        <v>1</v>
      </c>
      <c r="C2790">
        <v>11</v>
      </c>
      <c r="D2790" t="s">
        <v>139</v>
      </c>
      <c r="E2790" t="s">
        <v>46</v>
      </c>
      <c r="F2790">
        <v>552181</v>
      </c>
      <c r="G2790" s="6">
        <v>1</v>
      </c>
      <c r="H2790" t="s">
        <v>49</v>
      </c>
      <c r="I2790">
        <v>10689113</v>
      </c>
      <c r="J2790">
        <v>6</v>
      </c>
      <c r="K2790">
        <v>14.7</v>
      </c>
      <c r="L2790">
        <v>14.7</v>
      </c>
      <c r="M2790">
        <v>370</v>
      </c>
      <c r="N2790" s="2">
        <v>108000</v>
      </c>
      <c r="O2790" s="2">
        <v>3240</v>
      </c>
      <c r="P2790" s="2">
        <v>0</v>
      </c>
      <c r="Q2790" s="2">
        <v>2220</v>
      </c>
      <c r="R2790" s="2">
        <v>5400</v>
      </c>
      <c r="S2790">
        <v>79.38</v>
      </c>
      <c r="T2790" s="2">
        <v>64800</v>
      </c>
      <c r="U2790" s="2">
        <v>43200</v>
      </c>
      <c r="V2790">
        <v>32.634</v>
      </c>
      <c r="W2790">
        <v>0</v>
      </c>
      <c r="X2790">
        <v>4.5</v>
      </c>
      <c r="Y2790">
        <v>0.13789299499999999</v>
      </c>
      <c r="Z2790">
        <v>0</v>
      </c>
      <c r="AA2790">
        <v>0</v>
      </c>
      <c r="AB2790">
        <v>29.2</v>
      </c>
      <c r="AC2790">
        <v>3.0011111110000002</v>
      </c>
      <c r="AD2790">
        <v>27</v>
      </c>
      <c r="AE2790" s="7"/>
      <c r="AF2790" s="7"/>
      <c r="AG2790" s="7"/>
      <c r="AH2790" s="7"/>
      <c r="AI2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8.9988888889999998</v>
      </c>
      <c r="AJ2790" s="7"/>
      <c r="AK2790" t="s">
        <v>1354</v>
      </c>
      <c r="AL2790">
        <v>7</v>
      </c>
      <c r="AM2790">
        <v>1</v>
      </c>
      <c r="AN2790">
        <f>IFERROR(INT(Table13[[#This Row],[reject_prod]]/Table13[[#This Row],[part_weight]] * 1000), 0)</f>
        <v>0</v>
      </c>
    </row>
    <row r="2791" spans="1:40">
      <c r="A2791" s="1">
        <v>46105</v>
      </c>
      <c r="B2791">
        <v>1</v>
      </c>
      <c r="C2791">
        <v>11</v>
      </c>
      <c r="D2791" t="s">
        <v>640</v>
      </c>
      <c r="E2791" t="s">
        <v>46</v>
      </c>
      <c r="F2791">
        <v>552181</v>
      </c>
      <c r="G2791" s="6">
        <v>1</v>
      </c>
      <c r="H2791" t="s">
        <v>49</v>
      </c>
      <c r="I2791" t="s">
        <v>1355</v>
      </c>
      <c r="J2791">
        <v>6</v>
      </c>
      <c r="K2791">
        <v>14.7</v>
      </c>
      <c r="L2791">
        <v>14.7</v>
      </c>
      <c r="M2791">
        <v>450</v>
      </c>
      <c r="N2791" s="2">
        <v>2700</v>
      </c>
      <c r="O2791" s="2">
        <v>0</v>
      </c>
      <c r="P2791" s="2">
        <v>2700</v>
      </c>
      <c r="Q2791" s="2">
        <v>2700</v>
      </c>
      <c r="R2791" s="2">
        <v>0</v>
      </c>
      <c r="S2791">
        <v>0</v>
      </c>
      <c r="T2791" s="2">
        <v>0</v>
      </c>
      <c r="U2791" s="2">
        <v>2700</v>
      </c>
      <c r="V2791">
        <v>39.69</v>
      </c>
      <c r="W2791">
        <v>0</v>
      </c>
      <c r="X2791">
        <v>5.4</v>
      </c>
      <c r="Y2791">
        <v>0.13605442200000001</v>
      </c>
      <c r="Z2791">
        <v>0</v>
      </c>
      <c r="AA2791">
        <v>0</v>
      </c>
      <c r="AB2791">
        <v>29.2</v>
      </c>
      <c r="AC2791">
        <v>3.65</v>
      </c>
      <c r="AD2791">
        <v>27</v>
      </c>
      <c r="AE2791" s="7"/>
      <c r="AF2791" s="7"/>
      <c r="AG2791" s="7"/>
      <c r="AH2791" s="7"/>
      <c r="AI2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8.35</v>
      </c>
      <c r="AJ2791" s="7"/>
      <c r="AK2791" t="s">
        <v>1356</v>
      </c>
      <c r="AL2791">
        <v>1.2</v>
      </c>
      <c r="AN2791">
        <f>IFERROR(INT(Table13[[#This Row],[reject_prod]]/Table13[[#This Row],[part_weight]] * 1000), 0)</f>
        <v>0</v>
      </c>
    </row>
    <row r="2792" spans="1:40">
      <c r="A2792" s="1">
        <v>46105</v>
      </c>
      <c r="B2792">
        <v>1</v>
      </c>
      <c r="C2792">
        <v>12</v>
      </c>
      <c r="D2792" t="s">
        <v>33</v>
      </c>
      <c r="E2792" t="s">
        <v>46</v>
      </c>
      <c r="F2792">
        <v>555979</v>
      </c>
      <c r="G2792" s="6">
        <v>1</v>
      </c>
      <c r="H2792" t="s">
        <v>52</v>
      </c>
      <c r="I2792">
        <v>10689126</v>
      </c>
      <c r="J2792">
        <v>6</v>
      </c>
      <c r="K2792">
        <v>28</v>
      </c>
      <c r="L2792">
        <v>28</v>
      </c>
      <c r="M2792">
        <v>0</v>
      </c>
      <c r="N2792" s="2">
        <v>100800</v>
      </c>
      <c r="O2792" s="2">
        <v>0</v>
      </c>
      <c r="P2792" s="2">
        <v>0</v>
      </c>
      <c r="Q2792" s="2">
        <v>0</v>
      </c>
      <c r="R2792" s="2">
        <v>0</v>
      </c>
      <c r="S2792">
        <v>0</v>
      </c>
      <c r="T2792" s="2">
        <v>13440</v>
      </c>
      <c r="U2792" s="2">
        <v>87360</v>
      </c>
      <c r="V2792">
        <v>0</v>
      </c>
      <c r="W2792">
        <v>0</v>
      </c>
      <c r="X2792">
        <v>0</v>
      </c>
      <c r="Y2792" t="e">
        <v>#DIV/0!</v>
      </c>
      <c r="Z2792">
        <v>0</v>
      </c>
      <c r="AA2792" t="e">
        <v>#DIV/0!</v>
      </c>
      <c r="AB2792">
        <v>41.2</v>
      </c>
      <c r="AC2792">
        <v>0</v>
      </c>
      <c r="AD2792">
        <v>42</v>
      </c>
      <c r="AE2792" s="7"/>
      <c r="AF2792" s="7"/>
      <c r="AG2792" s="7"/>
      <c r="AH2792" s="7"/>
      <c r="AI2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92" s="7"/>
      <c r="AK2792" t="s">
        <v>1357</v>
      </c>
      <c r="AN2792">
        <f>IFERROR(INT(Table13[[#This Row],[reject_prod]]/Table13[[#This Row],[part_weight]] * 1000), 0)</f>
        <v>0</v>
      </c>
    </row>
    <row r="2793" spans="1:40">
      <c r="A2793" s="1">
        <v>46105</v>
      </c>
      <c r="B2793">
        <v>1</v>
      </c>
      <c r="C2793">
        <v>13</v>
      </c>
      <c r="D2793" t="s">
        <v>139</v>
      </c>
      <c r="E2793" t="s">
        <v>46</v>
      </c>
      <c r="F2793">
        <v>586276</v>
      </c>
      <c r="G2793" s="6">
        <v>2</v>
      </c>
      <c r="H2793" t="s">
        <v>47</v>
      </c>
      <c r="I2793">
        <v>10689119</v>
      </c>
      <c r="J2793">
        <v>6</v>
      </c>
      <c r="K2793">
        <v>12.3</v>
      </c>
      <c r="L2793">
        <v>12.3</v>
      </c>
      <c r="M2793">
        <v>1490</v>
      </c>
      <c r="N2793" s="2">
        <v>162000</v>
      </c>
      <c r="O2793" s="2">
        <v>6480</v>
      </c>
      <c r="P2793" s="2">
        <v>7290</v>
      </c>
      <c r="Q2793" s="2">
        <v>8940</v>
      </c>
      <c r="R2793" s="2">
        <v>8100</v>
      </c>
      <c r="S2793">
        <v>99.63</v>
      </c>
      <c r="T2793" s="2">
        <v>55890</v>
      </c>
      <c r="U2793" s="2">
        <v>106110</v>
      </c>
      <c r="V2793">
        <v>109.962</v>
      </c>
      <c r="W2793">
        <v>0</v>
      </c>
      <c r="X2793">
        <v>4</v>
      </c>
      <c r="Y2793">
        <v>3.6376203000000003E-2</v>
      </c>
      <c r="Z2793">
        <v>1</v>
      </c>
      <c r="AA2793">
        <v>9.0940510000000006E-3</v>
      </c>
      <c r="AB2793">
        <v>26.2</v>
      </c>
      <c r="AC2793">
        <v>10.843888890000001</v>
      </c>
      <c r="AD2793">
        <v>26</v>
      </c>
      <c r="AE2793" s="7"/>
      <c r="AF2793" s="7"/>
      <c r="AG2793" s="7"/>
      <c r="AH2793" s="7"/>
      <c r="AI2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1.1561111099999994</v>
      </c>
      <c r="AJ2793" s="7"/>
      <c r="AK2793" t="s">
        <v>51</v>
      </c>
      <c r="AL2793">
        <v>1</v>
      </c>
      <c r="AM2793">
        <v>1</v>
      </c>
      <c r="AN2793">
        <f>IFERROR(INT(Table13[[#This Row],[reject_prod]]/Table13[[#This Row],[part_weight]] * 1000), 0)</f>
        <v>81</v>
      </c>
    </row>
    <row r="2794" spans="1:40">
      <c r="A2794" s="1">
        <v>46105</v>
      </c>
      <c r="B2794">
        <v>1</v>
      </c>
      <c r="C2794">
        <v>14</v>
      </c>
      <c r="D2794" t="s">
        <v>53</v>
      </c>
      <c r="E2794" t="s">
        <v>34</v>
      </c>
      <c r="F2794">
        <v>541381</v>
      </c>
      <c r="G2794" s="6">
        <v>0</v>
      </c>
      <c r="H2794" t="s">
        <v>804</v>
      </c>
      <c r="I2794">
        <v>10689121</v>
      </c>
      <c r="J2794">
        <v>4</v>
      </c>
      <c r="K2794">
        <v>55</v>
      </c>
      <c r="L2794">
        <v>55</v>
      </c>
      <c r="M2794">
        <v>1445</v>
      </c>
      <c r="N2794" s="2">
        <v>84000</v>
      </c>
      <c r="O2794" s="2">
        <v>350</v>
      </c>
      <c r="P2794" s="2">
        <v>525</v>
      </c>
      <c r="Q2794" s="2">
        <v>5780</v>
      </c>
      <c r="R2794" s="2">
        <v>5600</v>
      </c>
      <c r="S2794">
        <v>308</v>
      </c>
      <c r="T2794" s="2">
        <v>14525</v>
      </c>
      <c r="U2794" s="2">
        <v>69475</v>
      </c>
      <c r="V2794">
        <v>317.89999999999998</v>
      </c>
      <c r="W2794">
        <v>0</v>
      </c>
      <c r="X2794">
        <v>7</v>
      </c>
      <c r="Y2794">
        <v>2.2019502999999999E-2</v>
      </c>
      <c r="Z2794">
        <v>0.2</v>
      </c>
      <c r="AA2794">
        <v>6.2912899999999997E-4</v>
      </c>
      <c r="AB2794">
        <v>26.78</v>
      </c>
      <c r="AC2794">
        <v>10.74919444</v>
      </c>
      <c r="AD2794">
        <v>30.08</v>
      </c>
      <c r="AE2794" s="7"/>
      <c r="AF2794" s="7"/>
      <c r="AG2794" s="7"/>
      <c r="AH2794" s="7"/>
      <c r="AI2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1.2508055599999999</v>
      </c>
      <c r="AJ2794" s="7"/>
      <c r="AK2794" t="s">
        <v>51</v>
      </c>
      <c r="AL2794">
        <v>5</v>
      </c>
      <c r="AM2794">
        <v>3</v>
      </c>
      <c r="AN2794">
        <f>IFERROR(INT(Table13[[#This Row],[reject_prod]]/Table13[[#This Row],[part_weight]] * 1000), 0)</f>
        <v>3</v>
      </c>
    </row>
    <row r="2795" spans="1:40">
      <c r="A2795" s="1">
        <v>46105</v>
      </c>
      <c r="B2795">
        <v>1</v>
      </c>
      <c r="C2795">
        <v>15</v>
      </c>
      <c r="D2795" t="s">
        <v>139</v>
      </c>
      <c r="E2795" t="s">
        <v>46</v>
      </c>
      <c r="F2795">
        <v>552181</v>
      </c>
      <c r="G2795" s="6">
        <v>2</v>
      </c>
      <c r="H2795" t="s">
        <v>49</v>
      </c>
      <c r="I2795">
        <v>10689123</v>
      </c>
      <c r="J2795">
        <v>6</v>
      </c>
      <c r="K2795">
        <v>14.7</v>
      </c>
      <c r="L2795">
        <v>14.7</v>
      </c>
      <c r="M2795">
        <v>1260</v>
      </c>
      <c r="N2795" s="2">
        <v>108000</v>
      </c>
      <c r="O2795" s="2">
        <v>540</v>
      </c>
      <c r="P2795" s="2">
        <v>2700</v>
      </c>
      <c r="Q2795" s="2">
        <v>7560</v>
      </c>
      <c r="R2795" s="2">
        <v>5400</v>
      </c>
      <c r="S2795">
        <v>79.38</v>
      </c>
      <c r="T2795" s="2">
        <v>78300</v>
      </c>
      <c r="U2795" s="2">
        <v>29700</v>
      </c>
      <c r="V2795">
        <v>111.13200000000001</v>
      </c>
      <c r="W2795">
        <v>0</v>
      </c>
      <c r="X2795">
        <v>5</v>
      </c>
      <c r="Y2795">
        <v>4.4991542000000002E-2</v>
      </c>
      <c r="Z2795">
        <v>0.4</v>
      </c>
      <c r="AA2795">
        <v>3.5993230000000002E-3</v>
      </c>
      <c r="AB2795">
        <v>31</v>
      </c>
      <c r="AC2795">
        <v>10.85</v>
      </c>
      <c r="AD2795">
        <v>27</v>
      </c>
      <c r="AE2795" s="7"/>
      <c r="AF2795" s="7"/>
      <c r="AG2795" s="7"/>
      <c r="AH2795" s="7"/>
      <c r="AI2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1.1500000000000004</v>
      </c>
      <c r="AJ2795" s="7"/>
      <c r="AK2795" t="s">
        <v>57</v>
      </c>
      <c r="AL2795">
        <v>1</v>
      </c>
      <c r="AM2795">
        <v>1</v>
      </c>
      <c r="AN2795">
        <f>IFERROR(INT(Table13[[#This Row],[reject_prod]]/Table13[[#This Row],[part_weight]] * 1000), 0)</f>
        <v>27</v>
      </c>
    </row>
    <row r="2796" spans="1:40">
      <c r="A2796" s="1">
        <v>46105</v>
      </c>
      <c r="B2796">
        <v>1</v>
      </c>
      <c r="C2796">
        <v>16</v>
      </c>
      <c r="D2796" t="s">
        <v>208</v>
      </c>
      <c r="E2796" t="s">
        <v>46</v>
      </c>
      <c r="F2796">
        <v>555979</v>
      </c>
      <c r="G2796" s="6">
        <v>2</v>
      </c>
      <c r="H2796" t="s">
        <v>52</v>
      </c>
      <c r="I2796">
        <v>10689125</v>
      </c>
      <c r="J2796">
        <v>6</v>
      </c>
      <c r="K2796">
        <v>28</v>
      </c>
      <c r="L2796">
        <v>28</v>
      </c>
      <c r="M2796">
        <v>940</v>
      </c>
      <c r="N2796" s="2">
        <v>100800</v>
      </c>
      <c r="O2796" s="2">
        <v>168</v>
      </c>
      <c r="P2796" s="2">
        <v>2184</v>
      </c>
      <c r="Q2796" s="2">
        <v>5640</v>
      </c>
      <c r="R2796" s="2">
        <v>3360</v>
      </c>
      <c r="S2796">
        <v>94.08</v>
      </c>
      <c r="T2796" s="2">
        <v>66024</v>
      </c>
      <c r="U2796" s="2">
        <v>34776</v>
      </c>
      <c r="V2796">
        <v>157.91999999999999</v>
      </c>
      <c r="W2796">
        <v>0</v>
      </c>
      <c r="X2796">
        <v>2</v>
      </c>
      <c r="Y2796">
        <v>1.266464E-2</v>
      </c>
      <c r="Z2796">
        <v>0</v>
      </c>
      <c r="AA2796">
        <v>0</v>
      </c>
      <c r="AB2796">
        <v>40.5</v>
      </c>
      <c r="AC2796">
        <v>10.574999999999999</v>
      </c>
      <c r="AD2796">
        <v>42</v>
      </c>
      <c r="AE2796" s="7"/>
      <c r="AF2796" s="7"/>
      <c r="AG2796" s="7"/>
      <c r="AH2796" s="7"/>
      <c r="AI2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1.4250000000000007</v>
      </c>
      <c r="AJ2796" s="7"/>
      <c r="AK2796" t="s">
        <v>51</v>
      </c>
      <c r="AL2796">
        <v>2</v>
      </c>
      <c r="AM2796">
        <v>1</v>
      </c>
      <c r="AN2796">
        <f>IFERROR(INT(Table13[[#This Row],[reject_prod]]/Table13[[#This Row],[part_weight]] * 1000), 0)</f>
        <v>0</v>
      </c>
    </row>
    <row r="2797" spans="1:40">
      <c r="A2797" s="1">
        <v>46105</v>
      </c>
      <c r="B2797">
        <v>2</v>
      </c>
      <c r="C2797">
        <v>1</v>
      </c>
      <c r="F2797">
        <v>123456</v>
      </c>
      <c r="G2797" s="6">
        <v>0</v>
      </c>
      <c r="M2797">
        <v>0</v>
      </c>
      <c r="N2797" s="2">
        <v>0</v>
      </c>
      <c r="O2797" s="2">
        <v>0</v>
      </c>
      <c r="P2797" s="2">
        <v>0</v>
      </c>
      <c r="Q2797" s="2"/>
      <c r="R2797" s="2">
        <v>0</v>
      </c>
      <c r="T2797" s="2">
        <v>0</v>
      </c>
      <c r="U2797" s="2"/>
      <c r="X2797">
        <v>0</v>
      </c>
      <c r="Z2797">
        <v>0</v>
      </c>
      <c r="AB2797">
        <v>0</v>
      </c>
      <c r="AC2797">
        <v>0</v>
      </c>
      <c r="AD2797">
        <v>0</v>
      </c>
      <c r="AE2797" s="7"/>
      <c r="AF2797" s="7"/>
      <c r="AG2797" s="7"/>
      <c r="AH2797" s="7"/>
      <c r="AI2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97" s="7">
        <v>12</v>
      </c>
      <c r="AK2797" t="s">
        <v>116</v>
      </c>
      <c r="AN2797">
        <f>IFERROR(INT(Table13[[#This Row],[reject_prod]]/Table13[[#This Row],[part_weight]] * 1000), 0)</f>
        <v>0</v>
      </c>
    </row>
    <row r="2798" spans="1:40">
      <c r="A2798" s="1">
        <v>46105</v>
      </c>
      <c r="B2798">
        <v>2</v>
      </c>
      <c r="C2798">
        <v>2</v>
      </c>
      <c r="D2798" t="s">
        <v>40</v>
      </c>
      <c r="E2798" t="s">
        <v>34</v>
      </c>
      <c r="F2798">
        <v>423213</v>
      </c>
      <c r="G2798" s="6">
        <v>0</v>
      </c>
      <c r="H2798" t="s">
        <v>70</v>
      </c>
      <c r="I2798">
        <v>10689499</v>
      </c>
      <c r="J2798">
        <v>4</v>
      </c>
      <c r="K2798">
        <v>23</v>
      </c>
      <c r="L2798">
        <v>23</v>
      </c>
      <c r="M2798">
        <v>1804</v>
      </c>
      <c r="N2798" s="2">
        <v>99822</v>
      </c>
      <c r="O2798" s="2">
        <v>0</v>
      </c>
      <c r="P2798" s="2">
        <v>2286</v>
      </c>
      <c r="Q2798" s="2">
        <v>7216</v>
      </c>
      <c r="R2798" s="2">
        <v>4572</v>
      </c>
      <c r="S2798">
        <v>105.15600000000001</v>
      </c>
      <c r="T2798" s="2">
        <v>6858</v>
      </c>
      <c r="U2798" s="2">
        <v>92964</v>
      </c>
      <c r="V2798">
        <v>165.96799999999999</v>
      </c>
      <c r="W2798">
        <v>0</v>
      </c>
      <c r="X2798">
        <v>0</v>
      </c>
      <c r="Y2798">
        <v>0</v>
      </c>
      <c r="Z2798">
        <v>2</v>
      </c>
      <c r="AA2798">
        <v>1.2050516000000001E-2</v>
      </c>
      <c r="AB2798">
        <v>23.08</v>
      </c>
      <c r="AC2798">
        <v>11.56564444</v>
      </c>
      <c r="AD2798">
        <v>22.5</v>
      </c>
      <c r="AE2798" s="7"/>
      <c r="AF2798" s="7"/>
      <c r="AG2798" s="7"/>
      <c r="AH2798" s="7"/>
      <c r="AI2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0.4343555600000002</v>
      </c>
      <c r="AJ2798" s="7"/>
      <c r="AK2798" t="s">
        <v>214</v>
      </c>
      <c r="AN2798">
        <f>IFERROR(INT(Table13[[#This Row],[reject_prod]]/Table13[[#This Row],[part_weight]] * 1000), 0)</f>
        <v>86</v>
      </c>
    </row>
    <row r="2799" spans="1:40">
      <c r="A2799" s="1">
        <v>46105</v>
      </c>
      <c r="B2799">
        <v>2</v>
      </c>
      <c r="C2799">
        <v>3</v>
      </c>
      <c r="D2799" t="s">
        <v>141</v>
      </c>
      <c r="E2799" t="s">
        <v>34</v>
      </c>
      <c r="F2799">
        <v>442034</v>
      </c>
      <c r="G2799" s="6">
        <v>0</v>
      </c>
      <c r="H2799" t="s">
        <v>37</v>
      </c>
      <c r="I2799">
        <v>10688497</v>
      </c>
      <c r="J2799">
        <v>4</v>
      </c>
      <c r="K2799">
        <v>23</v>
      </c>
      <c r="L2799">
        <v>23</v>
      </c>
      <c r="M2799">
        <v>1420</v>
      </c>
      <c r="N2799" s="2">
        <v>139776</v>
      </c>
      <c r="O2799" s="2">
        <v>3840</v>
      </c>
      <c r="P2799" s="2">
        <v>0</v>
      </c>
      <c r="Q2799" s="2">
        <v>5680</v>
      </c>
      <c r="R2799" s="2">
        <v>9216</v>
      </c>
      <c r="S2799">
        <v>211.96799999999999</v>
      </c>
      <c r="T2799" s="2">
        <v>46080</v>
      </c>
      <c r="U2799" s="2">
        <v>93696</v>
      </c>
      <c r="V2799">
        <v>130.63999999999999</v>
      </c>
      <c r="W2799">
        <v>0</v>
      </c>
      <c r="X2799">
        <v>0</v>
      </c>
      <c r="Y2799">
        <v>0</v>
      </c>
      <c r="Z2799">
        <v>24.5</v>
      </c>
      <c r="AA2799">
        <v>0.18753827300000001</v>
      </c>
      <c r="AB2799">
        <v>27.8</v>
      </c>
      <c r="AC2799">
        <v>10.96555556</v>
      </c>
      <c r="AD2799">
        <v>22</v>
      </c>
      <c r="AE2799" s="7"/>
      <c r="AF2799" s="7"/>
      <c r="AG2799" s="7"/>
      <c r="AH2799" s="7"/>
      <c r="AI2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1.0344444399999997</v>
      </c>
      <c r="AJ2799" s="7"/>
      <c r="AK2799" t="s">
        <v>1358</v>
      </c>
      <c r="AN2799">
        <f>IFERROR(INT(Table13[[#This Row],[reject_prod]]/Table13[[#This Row],[part_weight]] * 1000), 0)</f>
        <v>1065</v>
      </c>
    </row>
    <row r="2800" spans="1:40">
      <c r="A2800" s="1">
        <v>46105</v>
      </c>
      <c r="B2800">
        <v>2</v>
      </c>
      <c r="C2800">
        <v>4</v>
      </c>
      <c r="D2800" t="s">
        <v>67</v>
      </c>
      <c r="E2800" t="s">
        <v>34</v>
      </c>
      <c r="F2800">
        <v>451191</v>
      </c>
      <c r="G2800" s="6">
        <v>0</v>
      </c>
      <c r="H2800" t="s">
        <v>946</v>
      </c>
      <c r="I2800">
        <v>10690450</v>
      </c>
      <c r="J2800">
        <v>4</v>
      </c>
      <c r="K2800">
        <v>29</v>
      </c>
      <c r="L2800">
        <v>29</v>
      </c>
      <c r="M2800">
        <v>1664</v>
      </c>
      <c r="N2800" s="2">
        <v>110160</v>
      </c>
      <c r="O2800" s="2">
        <v>765</v>
      </c>
      <c r="P2800" s="2">
        <v>0</v>
      </c>
      <c r="Q2800" s="2">
        <v>6656</v>
      </c>
      <c r="R2800" s="2">
        <v>7344</v>
      </c>
      <c r="S2800">
        <v>212.976</v>
      </c>
      <c r="T2800" s="2">
        <v>69768</v>
      </c>
      <c r="U2800" s="2">
        <v>40392</v>
      </c>
      <c r="V2800">
        <v>193.024</v>
      </c>
      <c r="W2800">
        <v>0</v>
      </c>
      <c r="X2800">
        <v>0</v>
      </c>
      <c r="Y2800">
        <v>0</v>
      </c>
      <c r="Z2800">
        <v>1</v>
      </c>
      <c r="AA2800">
        <v>5.180703E-3</v>
      </c>
      <c r="AB2800">
        <v>25.2</v>
      </c>
      <c r="AC2800">
        <v>11.648</v>
      </c>
      <c r="AD2800">
        <v>24</v>
      </c>
      <c r="AE2800" s="7"/>
      <c r="AF2800" s="7"/>
      <c r="AG2800" s="7"/>
      <c r="AH2800" s="7"/>
      <c r="AI2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0.35200000000000031</v>
      </c>
      <c r="AJ2800" s="7"/>
      <c r="AK2800" t="s">
        <v>1359</v>
      </c>
      <c r="AN2800">
        <f>IFERROR(INT(Table13[[#This Row],[reject_prod]]/Table13[[#This Row],[part_weight]] * 1000), 0)</f>
        <v>34</v>
      </c>
    </row>
    <row r="2801" spans="1:40">
      <c r="A2801" s="1">
        <v>46105</v>
      </c>
      <c r="B2801">
        <v>2</v>
      </c>
      <c r="C2801">
        <v>5</v>
      </c>
      <c r="D2801" t="s">
        <v>33</v>
      </c>
      <c r="E2801" t="s">
        <v>34</v>
      </c>
      <c r="F2801">
        <v>322382</v>
      </c>
      <c r="G2801" s="6">
        <v>0</v>
      </c>
      <c r="H2801" t="s">
        <v>1184</v>
      </c>
      <c r="I2801">
        <v>10689314</v>
      </c>
      <c r="J2801">
        <v>4</v>
      </c>
      <c r="K2801">
        <v>18.8</v>
      </c>
      <c r="L2801">
        <v>11.3</v>
      </c>
      <c r="M2801">
        <v>0</v>
      </c>
      <c r="N2801" s="2">
        <v>10350</v>
      </c>
      <c r="O2801" s="2">
        <v>0</v>
      </c>
      <c r="P2801" s="2">
        <v>0</v>
      </c>
      <c r="Q2801" s="2">
        <v>0</v>
      </c>
      <c r="R2801" s="2">
        <v>0</v>
      </c>
      <c r="S2801">
        <v>0</v>
      </c>
      <c r="T2801" s="2">
        <v>0</v>
      </c>
      <c r="U2801" s="2">
        <v>10350</v>
      </c>
      <c r="V2801">
        <v>0</v>
      </c>
      <c r="W2801">
        <v>0</v>
      </c>
      <c r="X2801">
        <v>0</v>
      </c>
      <c r="Y2801" t="e">
        <v>#DIV/0!</v>
      </c>
      <c r="Z2801">
        <v>0</v>
      </c>
      <c r="AA2801" t="e">
        <v>#DIV/0!</v>
      </c>
      <c r="AB2801">
        <v>22</v>
      </c>
      <c r="AC2801">
        <v>0</v>
      </c>
      <c r="AD2801">
        <v>15.44</v>
      </c>
      <c r="AE2801" s="7"/>
      <c r="AF2801" s="7"/>
      <c r="AG2801" s="7"/>
      <c r="AH2801" s="7"/>
      <c r="AI2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1" s="7"/>
      <c r="AK2801" t="s">
        <v>1360</v>
      </c>
      <c r="AN2801">
        <f>IFERROR(INT(Table13[[#This Row],[reject_prod]]/Table13[[#This Row],[part_weight]] * 1000), 0)</f>
        <v>0</v>
      </c>
    </row>
    <row r="2802" spans="1:40">
      <c r="A2802" s="1">
        <v>46105</v>
      </c>
      <c r="B2802">
        <v>2</v>
      </c>
      <c r="C2802">
        <v>6</v>
      </c>
      <c r="D2802" t="s">
        <v>33</v>
      </c>
      <c r="E2802" t="s">
        <v>34</v>
      </c>
      <c r="F2802">
        <v>322435</v>
      </c>
      <c r="G2802" s="6">
        <v>0</v>
      </c>
      <c r="H2802" t="s">
        <v>216</v>
      </c>
      <c r="I2802">
        <v>10680041</v>
      </c>
      <c r="J2802">
        <v>4</v>
      </c>
      <c r="K2802">
        <v>34.5</v>
      </c>
      <c r="L2802">
        <v>34.5</v>
      </c>
      <c r="M2802">
        <v>0</v>
      </c>
      <c r="N2802" s="2">
        <v>16380</v>
      </c>
      <c r="O2802" s="2">
        <v>0</v>
      </c>
      <c r="P2802" s="2">
        <v>0</v>
      </c>
      <c r="Q2802" s="2">
        <v>0</v>
      </c>
      <c r="R2802" s="2">
        <v>0</v>
      </c>
      <c r="S2802">
        <v>0</v>
      </c>
      <c r="T2802" s="2">
        <v>0</v>
      </c>
      <c r="U2802" s="2">
        <v>16380</v>
      </c>
      <c r="V2802">
        <v>0</v>
      </c>
      <c r="W2802">
        <v>0</v>
      </c>
      <c r="X2802">
        <v>0</v>
      </c>
      <c r="Y2802" t="e">
        <v>#DIV/0!</v>
      </c>
      <c r="Z2802">
        <v>0</v>
      </c>
      <c r="AA2802" t="e">
        <v>#DIV/0!</v>
      </c>
      <c r="AB2802">
        <v>24.55</v>
      </c>
      <c r="AC2802">
        <v>0</v>
      </c>
      <c r="AD2802">
        <v>22</v>
      </c>
      <c r="AE2802" s="7"/>
      <c r="AF2802" s="7"/>
      <c r="AG2802" s="7"/>
      <c r="AH2802" s="7"/>
      <c r="AI2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2" s="7"/>
      <c r="AK2802" t="s">
        <v>521</v>
      </c>
      <c r="AN2802">
        <f>IFERROR(INT(Table13[[#This Row],[reject_prod]]/Table13[[#This Row],[part_weight]] * 1000), 0)</f>
        <v>0</v>
      </c>
    </row>
    <row r="2803" spans="1:40">
      <c r="A2803" s="1">
        <v>46105</v>
      </c>
      <c r="B2803">
        <v>2</v>
      </c>
      <c r="C2803">
        <v>7</v>
      </c>
      <c r="D2803" t="s">
        <v>1361</v>
      </c>
      <c r="E2803" t="s">
        <v>34</v>
      </c>
      <c r="F2803">
        <v>597507</v>
      </c>
      <c r="G2803" s="6">
        <v>0</v>
      </c>
      <c r="H2803" t="s">
        <v>279</v>
      </c>
      <c r="I2803">
        <v>10690042</v>
      </c>
      <c r="J2803">
        <v>3</v>
      </c>
      <c r="K2803">
        <v>23</v>
      </c>
      <c r="L2803">
        <v>23</v>
      </c>
      <c r="M2803">
        <v>1809</v>
      </c>
      <c r="N2803" s="2">
        <v>86240</v>
      </c>
      <c r="O2803" s="2">
        <v>0</v>
      </c>
      <c r="P2803" s="2">
        <v>462</v>
      </c>
      <c r="Q2803" s="2">
        <v>5427</v>
      </c>
      <c r="R2803" s="2">
        <v>6468</v>
      </c>
      <c r="S2803">
        <v>148.76400000000001</v>
      </c>
      <c r="T2803" s="2">
        <v>25256</v>
      </c>
      <c r="U2803" s="2">
        <v>60984</v>
      </c>
      <c r="V2803">
        <v>124.821</v>
      </c>
      <c r="W2803">
        <v>0</v>
      </c>
      <c r="X2803">
        <v>0</v>
      </c>
      <c r="Y2803">
        <v>0</v>
      </c>
      <c r="Z2803">
        <v>7</v>
      </c>
      <c r="AA2803">
        <v>5.6080307000000003E-2</v>
      </c>
      <c r="AB2803">
        <v>20.2</v>
      </c>
      <c r="AC2803">
        <v>10.150499999999999</v>
      </c>
      <c r="AD2803">
        <v>22</v>
      </c>
      <c r="AE2803" s="7"/>
      <c r="AF2803" s="7"/>
      <c r="AG2803" s="7"/>
      <c r="AH2803" s="7"/>
      <c r="AI2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1.8495000000000008</v>
      </c>
      <c r="AJ2803" s="7"/>
      <c r="AK2803" t="s">
        <v>1362</v>
      </c>
      <c r="AN2803">
        <f>IFERROR(INT(Table13[[#This Row],[reject_prod]]/Table13[[#This Row],[part_weight]] * 1000), 0)</f>
        <v>304</v>
      </c>
    </row>
    <row r="2804" spans="1:40">
      <c r="A2804" s="1">
        <v>46105</v>
      </c>
      <c r="B2804">
        <v>2</v>
      </c>
      <c r="C2804">
        <v>8</v>
      </c>
      <c r="D2804" t="s">
        <v>1170</v>
      </c>
      <c r="E2804" t="s">
        <v>41</v>
      </c>
      <c r="F2804">
        <v>593537</v>
      </c>
      <c r="G2804" s="6">
        <v>0</v>
      </c>
      <c r="H2804" t="s">
        <v>48</v>
      </c>
      <c r="I2804">
        <v>10689826</v>
      </c>
      <c r="J2804">
        <v>4</v>
      </c>
      <c r="K2804">
        <v>56.5</v>
      </c>
      <c r="L2804">
        <v>56.8</v>
      </c>
      <c r="M2804">
        <v>1413</v>
      </c>
      <c r="N2804" s="2">
        <v>69000</v>
      </c>
      <c r="O2804" s="2">
        <v>230</v>
      </c>
      <c r="P2804" s="2">
        <v>0</v>
      </c>
      <c r="Q2804" s="2">
        <v>5652</v>
      </c>
      <c r="R2804" s="2">
        <v>5750</v>
      </c>
      <c r="S2804">
        <v>326.60000000000002</v>
      </c>
      <c r="T2804" s="2">
        <v>67850</v>
      </c>
      <c r="U2804" s="2">
        <v>1150</v>
      </c>
      <c r="V2804">
        <v>321.03359999999998</v>
      </c>
      <c r="W2804">
        <v>0</v>
      </c>
      <c r="X2804">
        <v>0</v>
      </c>
      <c r="Y2804">
        <v>0</v>
      </c>
      <c r="Z2804">
        <v>6.5</v>
      </c>
      <c r="AA2804">
        <v>2.0247101999999999E-2</v>
      </c>
      <c r="AB2804">
        <v>29.7</v>
      </c>
      <c r="AC2804">
        <v>11.657249999999999</v>
      </c>
      <c r="AD2804">
        <v>28.5</v>
      </c>
      <c r="AE2804" s="7"/>
      <c r="AF2804" s="7"/>
      <c r="AG2804" s="7"/>
      <c r="AH2804" s="7"/>
      <c r="AI2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0.34275000000000055</v>
      </c>
      <c r="AJ2804" s="7"/>
      <c r="AK2804" t="s">
        <v>1352</v>
      </c>
      <c r="AN2804">
        <f>IFERROR(INT(Table13[[#This Row],[reject_prod]]/Table13[[#This Row],[part_weight]] * 1000), 0)</f>
        <v>114</v>
      </c>
    </row>
    <row r="2805" spans="1:40">
      <c r="A2805" s="1">
        <v>46105</v>
      </c>
      <c r="B2805">
        <v>2</v>
      </c>
      <c r="C2805">
        <v>9</v>
      </c>
      <c r="D2805" t="s">
        <v>1363</v>
      </c>
      <c r="E2805" t="s">
        <v>46</v>
      </c>
      <c r="F2805">
        <v>586276</v>
      </c>
      <c r="G2805" s="6">
        <v>1</v>
      </c>
      <c r="H2805" t="s">
        <v>47</v>
      </c>
      <c r="I2805">
        <v>10689112</v>
      </c>
      <c r="J2805">
        <v>6</v>
      </c>
      <c r="K2805">
        <v>12.3</v>
      </c>
      <c r="L2805">
        <v>12.3</v>
      </c>
      <c r="M2805">
        <v>1562</v>
      </c>
      <c r="N2805" s="2">
        <v>162000</v>
      </c>
      <c r="O2805" s="2">
        <v>7290</v>
      </c>
      <c r="P2805" s="2">
        <v>405</v>
      </c>
      <c r="Q2805" s="2">
        <v>9372</v>
      </c>
      <c r="R2805" s="2">
        <v>16200</v>
      </c>
      <c r="S2805">
        <v>199.26</v>
      </c>
      <c r="T2805" s="2">
        <v>81405</v>
      </c>
      <c r="U2805" s="2">
        <v>80595</v>
      </c>
      <c r="V2805">
        <v>115.2756</v>
      </c>
      <c r="W2805">
        <v>0</v>
      </c>
      <c r="X2805">
        <v>0</v>
      </c>
      <c r="Y2805">
        <v>0</v>
      </c>
      <c r="Z2805">
        <v>1</v>
      </c>
      <c r="AA2805">
        <v>8.6748629999999997E-3</v>
      </c>
      <c r="AB2805">
        <v>26.9</v>
      </c>
      <c r="AC2805">
        <v>11.671611110000001</v>
      </c>
      <c r="AD2805">
        <v>26</v>
      </c>
      <c r="AE2805" s="7"/>
      <c r="AF2805" s="7"/>
      <c r="AG2805" s="7"/>
      <c r="AH2805" s="7"/>
      <c r="AI2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0.32838888999999938</v>
      </c>
      <c r="AJ2805" s="7"/>
      <c r="AK2805" t="s">
        <v>51</v>
      </c>
      <c r="AN2805">
        <f>IFERROR(INT(Table13[[#This Row],[reject_prod]]/Table13[[#This Row],[part_weight]] * 1000), 0)</f>
        <v>81</v>
      </c>
    </row>
    <row r="2806" spans="1:40">
      <c r="A2806" s="1">
        <v>46105</v>
      </c>
      <c r="B2806">
        <v>2</v>
      </c>
      <c r="C2806">
        <v>10</v>
      </c>
      <c r="D2806" t="s">
        <v>33</v>
      </c>
      <c r="E2806" t="s">
        <v>34</v>
      </c>
      <c r="F2806">
        <v>324638</v>
      </c>
      <c r="G2806" s="6">
        <v>0</v>
      </c>
      <c r="H2806" t="s">
        <v>687</v>
      </c>
      <c r="I2806">
        <v>10689561</v>
      </c>
      <c r="J2806">
        <v>4</v>
      </c>
      <c r="K2806">
        <v>14.7</v>
      </c>
      <c r="L2806">
        <v>14.7</v>
      </c>
      <c r="M2806">
        <v>0</v>
      </c>
      <c r="N2806" s="2">
        <v>108000</v>
      </c>
      <c r="O2806" s="2">
        <v>0</v>
      </c>
      <c r="P2806" s="2">
        <v>0</v>
      </c>
      <c r="Q2806" s="2">
        <v>0</v>
      </c>
      <c r="R2806" s="2">
        <v>0</v>
      </c>
      <c r="S2806">
        <v>0</v>
      </c>
      <c r="T2806" s="2">
        <v>0</v>
      </c>
      <c r="U2806" s="2">
        <v>108000</v>
      </c>
      <c r="V2806">
        <v>0</v>
      </c>
      <c r="W2806">
        <v>0</v>
      </c>
      <c r="X2806">
        <v>8.5</v>
      </c>
      <c r="Y2806" t="e">
        <v>#DIV/0!</v>
      </c>
      <c r="Z2806">
        <v>0</v>
      </c>
      <c r="AA2806" t="e">
        <v>#DIV/0!</v>
      </c>
      <c r="AB2806">
        <v>29.2</v>
      </c>
      <c r="AC2806">
        <v>0</v>
      </c>
      <c r="AD2806">
        <v>36</v>
      </c>
      <c r="AE2806" s="7"/>
      <c r="AF2806" s="7"/>
      <c r="AG2806" s="7"/>
      <c r="AH2806" s="7"/>
      <c r="AI28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6" s="7"/>
      <c r="AK2806" t="s">
        <v>1353</v>
      </c>
      <c r="AN2806">
        <f>IFERROR(INT(Table13[[#This Row],[reject_prod]]/Table13[[#This Row],[part_weight]] * 1000), 0)</f>
        <v>0</v>
      </c>
    </row>
    <row r="2807" spans="1:40">
      <c r="A2807" s="1">
        <v>46105</v>
      </c>
      <c r="B2807">
        <v>2</v>
      </c>
      <c r="C2807">
        <v>11</v>
      </c>
      <c r="D2807" t="s">
        <v>61</v>
      </c>
      <c r="E2807" t="s">
        <v>46</v>
      </c>
      <c r="F2807">
        <v>552181</v>
      </c>
      <c r="G2807" s="6">
        <v>1</v>
      </c>
      <c r="H2807" t="s">
        <v>49</v>
      </c>
      <c r="I2807">
        <v>10689113</v>
      </c>
      <c r="J2807">
        <v>6</v>
      </c>
      <c r="K2807">
        <v>14.7</v>
      </c>
      <c r="L2807">
        <v>14.7</v>
      </c>
      <c r="M2807">
        <v>0</v>
      </c>
      <c r="N2807" s="2">
        <v>108000</v>
      </c>
      <c r="O2807" s="2">
        <v>0</v>
      </c>
      <c r="P2807" s="2">
        <v>0</v>
      </c>
      <c r="Q2807" s="2">
        <v>0</v>
      </c>
      <c r="R2807" s="2">
        <v>0</v>
      </c>
      <c r="S2807">
        <v>0</v>
      </c>
      <c r="T2807" s="2">
        <v>64800</v>
      </c>
      <c r="U2807" s="2">
        <v>43200</v>
      </c>
      <c r="V2807">
        <v>0</v>
      </c>
      <c r="W2807">
        <v>0</v>
      </c>
      <c r="X2807">
        <v>0</v>
      </c>
      <c r="Y2807" t="e">
        <v>#DIV/0!</v>
      </c>
      <c r="Z2807">
        <v>1</v>
      </c>
      <c r="AA2807" t="e">
        <v>#DIV/0!</v>
      </c>
      <c r="AB2807">
        <v>29.2</v>
      </c>
      <c r="AC2807">
        <v>0</v>
      </c>
      <c r="AD2807">
        <v>27</v>
      </c>
      <c r="AE2807" s="7"/>
      <c r="AF2807" s="7"/>
      <c r="AG2807" s="7"/>
      <c r="AH2807" s="7"/>
      <c r="AI2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7" s="7"/>
      <c r="AK2807" t="s">
        <v>1364</v>
      </c>
      <c r="AN2807">
        <f>IFERROR(INT(Table13[[#This Row],[reject_prod]]/Table13[[#This Row],[part_weight]] * 1000), 0)</f>
        <v>68</v>
      </c>
    </row>
    <row r="2808" spans="1:40">
      <c r="A2808" s="1">
        <v>46105</v>
      </c>
      <c r="B2808">
        <v>2</v>
      </c>
      <c r="C2808">
        <v>12</v>
      </c>
      <c r="E2808" t="s">
        <v>46</v>
      </c>
      <c r="F2808">
        <v>555979</v>
      </c>
      <c r="G2808" s="6">
        <v>1</v>
      </c>
      <c r="H2808" t="s">
        <v>52</v>
      </c>
      <c r="I2808">
        <v>10689126</v>
      </c>
      <c r="J2808">
        <v>6</v>
      </c>
      <c r="K2808">
        <v>28</v>
      </c>
      <c r="L2808">
        <v>28</v>
      </c>
      <c r="M2808">
        <v>0</v>
      </c>
      <c r="N2808" s="2">
        <v>100800</v>
      </c>
      <c r="O2808" s="2">
        <v>0</v>
      </c>
      <c r="P2808" s="2">
        <v>0</v>
      </c>
      <c r="Q2808" s="2">
        <v>0</v>
      </c>
      <c r="R2808" s="2">
        <v>0</v>
      </c>
      <c r="S2808">
        <v>0</v>
      </c>
      <c r="T2808" s="2">
        <v>13440</v>
      </c>
      <c r="U2808" s="2">
        <v>87360</v>
      </c>
      <c r="V2808">
        <v>0</v>
      </c>
      <c r="W2808">
        <v>0</v>
      </c>
      <c r="X2808">
        <v>0</v>
      </c>
      <c r="Y2808" t="e">
        <v>#DIV/0!</v>
      </c>
      <c r="Z2808">
        <v>0</v>
      </c>
      <c r="AA2808" t="e">
        <v>#DIV/0!</v>
      </c>
      <c r="AB2808">
        <v>41.2</v>
      </c>
      <c r="AC2808">
        <v>0</v>
      </c>
      <c r="AD2808">
        <v>42</v>
      </c>
      <c r="AE2808" s="7"/>
      <c r="AF2808" s="7"/>
      <c r="AG2808" s="7"/>
      <c r="AH2808" s="7"/>
      <c r="AI2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8" s="7"/>
      <c r="AK2808" t="s">
        <v>1281</v>
      </c>
      <c r="AN2808">
        <f>IFERROR(INT(Table13[[#This Row],[reject_prod]]/Table13[[#This Row],[part_weight]] * 1000), 0)</f>
        <v>0</v>
      </c>
    </row>
    <row r="2809" spans="1:40">
      <c r="A2809" s="1">
        <v>46105</v>
      </c>
      <c r="B2809">
        <v>2</v>
      </c>
      <c r="C2809">
        <v>13</v>
      </c>
      <c r="D2809" t="s">
        <v>1365</v>
      </c>
      <c r="E2809" t="s">
        <v>46</v>
      </c>
      <c r="F2809">
        <v>586276</v>
      </c>
      <c r="G2809" s="6">
        <v>2</v>
      </c>
      <c r="H2809" t="s">
        <v>47</v>
      </c>
      <c r="I2809">
        <v>10689119</v>
      </c>
      <c r="J2809">
        <v>6</v>
      </c>
      <c r="K2809">
        <v>12.3</v>
      </c>
      <c r="L2809">
        <v>12.3</v>
      </c>
      <c r="M2809">
        <v>1624</v>
      </c>
      <c r="N2809" s="2">
        <v>162000</v>
      </c>
      <c r="O2809" s="2">
        <v>7290</v>
      </c>
      <c r="P2809" s="2">
        <v>405</v>
      </c>
      <c r="Q2809" s="2">
        <v>9744</v>
      </c>
      <c r="R2809" s="2">
        <v>16200</v>
      </c>
      <c r="S2809">
        <v>199.26</v>
      </c>
      <c r="T2809" s="2">
        <v>65205</v>
      </c>
      <c r="U2809" s="2">
        <v>96795</v>
      </c>
      <c r="V2809">
        <v>119.85120000000001</v>
      </c>
      <c r="W2809">
        <v>0</v>
      </c>
      <c r="X2809">
        <v>0</v>
      </c>
      <c r="Y2809">
        <v>0</v>
      </c>
      <c r="Z2809">
        <v>1</v>
      </c>
      <c r="AA2809">
        <v>8.3436789999999997E-3</v>
      </c>
      <c r="AB2809">
        <v>26.2</v>
      </c>
      <c r="AC2809">
        <v>11.81911111</v>
      </c>
      <c r="AD2809">
        <v>26</v>
      </c>
      <c r="AE2809" s="7"/>
      <c r="AF2809" s="7"/>
      <c r="AG2809" s="7"/>
      <c r="AH2809" s="7"/>
      <c r="AI2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809" s="7"/>
      <c r="AK2809" t="s">
        <v>51</v>
      </c>
      <c r="AN2809">
        <f>IFERROR(INT(Table13[[#This Row],[reject_prod]]/Table13[[#This Row],[part_weight]] * 1000), 0)</f>
        <v>81</v>
      </c>
    </row>
    <row r="2810" spans="1:40">
      <c r="A2810" s="1">
        <v>46105</v>
      </c>
      <c r="B2810">
        <v>2</v>
      </c>
      <c r="C2810">
        <v>14</v>
      </c>
      <c r="D2810" t="s">
        <v>150</v>
      </c>
      <c r="E2810" t="s">
        <v>34</v>
      </c>
      <c r="F2810">
        <v>541381</v>
      </c>
      <c r="G2810" s="6">
        <v>0</v>
      </c>
      <c r="H2810" t="s">
        <v>804</v>
      </c>
      <c r="I2810">
        <v>10689121</v>
      </c>
      <c r="J2810">
        <v>4</v>
      </c>
      <c r="K2810">
        <v>55</v>
      </c>
      <c r="L2810">
        <v>55</v>
      </c>
      <c r="M2810">
        <v>1616</v>
      </c>
      <c r="N2810" s="2">
        <v>84000</v>
      </c>
      <c r="O2810" s="2">
        <v>525</v>
      </c>
      <c r="P2810" s="2">
        <v>0</v>
      </c>
      <c r="Q2810" s="2">
        <v>6464</v>
      </c>
      <c r="R2810" s="2">
        <v>7000</v>
      </c>
      <c r="S2810">
        <v>385</v>
      </c>
      <c r="T2810" s="2">
        <v>21000</v>
      </c>
      <c r="U2810" s="2">
        <v>63000</v>
      </c>
      <c r="V2810">
        <v>355.52</v>
      </c>
      <c r="W2810">
        <v>0</v>
      </c>
      <c r="X2810">
        <v>0</v>
      </c>
      <c r="Y2810">
        <v>0</v>
      </c>
      <c r="Z2810">
        <v>3</v>
      </c>
      <c r="AA2810">
        <v>8.4383440000000004E-3</v>
      </c>
      <c r="AB2810">
        <v>26.8</v>
      </c>
      <c r="AC2810">
        <v>12</v>
      </c>
      <c r="AD2810">
        <v>30.08</v>
      </c>
      <c r="AE2810" s="7"/>
      <c r="AF2810" s="7"/>
      <c r="AG2810" s="7"/>
      <c r="AH2810" s="7"/>
      <c r="AI2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0" s="7"/>
      <c r="AK2810" t="s">
        <v>178</v>
      </c>
      <c r="AN2810">
        <f>IFERROR(INT(Table13[[#This Row],[reject_prod]]/Table13[[#This Row],[part_weight]] * 1000), 0)</f>
        <v>54</v>
      </c>
    </row>
    <row r="2811" spans="1:40">
      <c r="A2811" s="1">
        <v>46105</v>
      </c>
      <c r="B2811">
        <v>2</v>
      </c>
      <c r="C2811">
        <v>15</v>
      </c>
      <c r="D2811" t="s">
        <v>61</v>
      </c>
      <c r="E2811" t="s">
        <v>46</v>
      </c>
      <c r="F2811">
        <v>552181</v>
      </c>
      <c r="G2811" s="6">
        <v>2</v>
      </c>
      <c r="H2811" t="s">
        <v>49</v>
      </c>
      <c r="I2811">
        <v>10689123</v>
      </c>
      <c r="J2811">
        <v>6</v>
      </c>
      <c r="K2811">
        <v>14.7</v>
      </c>
      <c r="L2811">
        <v>14.7</v>
      </c>
      <c r="M2811">
        <v>1395</v>
      </c>
      <c r="N2811" s="2">
        <v>108000</v>
      </c>
      <c r="O2811" s="2">
        <v>2700</v>
      </c>
      <c r="P2811" s="2">
        <v>270</v>
      </c>
      <c r="Q2811" s="2">
        <v>8370</v>
      </c>
      <c r="R2811" s="2">
        <v>10800</v>
      </c>
      <c r="S2811">
        <v>158.76</v>
      </c>
      <c r="T2811" s="2">
        <v>86670</v>
      </c>
      <c r="U2811" s="2">
        <v>21330</v>
      </c>
      <c r="V2811">
        <v>123.039</v>
      </c>
      <c r="W2811">
        <v>0</v>
      </c>
      <c r="X2811">
        <v>0</v>
      </c>
      <c r="Y2811">
        <v>0</v>
      </c>
      <c r="Z2811">
        <v>2</v>
      </c>
      <c r="AA2811">
        <v>1.6255009000000001E-2</v>
      </c>
      <c r="AB2811">
        <v>30.5</v>
      </c>
      <c r="AC2811">
        <v>11.81875</v>
      </c>
      <c r="AD2811">
        <v>27</v>
      </c>
      <c r="AE2811" s="7"/>
      <c r="AF2811" s="7"/>
      <c r="AG2811" s="7"/>
      <c r="AH2811" s="7"/>
      <c r="AI2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811" s="7"/>
      <c r="AK2811" t="s">
        <v>51</v>
      </c>
      <c r="AN2811">
        <f>IFERROR(INT(Table13[[#This Row],[reject_prod]]/Table13[[#This Row],[part_weight]] * 1000), 0)</f>
        <v>136</v>
      </c>
    </row>
    <row r="2812" spans="1:40">
      <c r="A2812" s="1">
        <v>46105</v>
      </c>
      <c r="B2812">
        <v>2</v>
      </c>
      <c r="C2812">
        <v>16</v>
      </c>
      <c r="D2812" t="s">
        <v>115</v>
      </c>
      <c r="E2812" t="s">
        <v>46</v>
      </c>
      <c r="F2812">
        <v>555979</v>
      </c>
      <c r="G2812" s="6">
        <v>2</v>
      </c>
      <c r="H2812" t="s">
        <v>52</v>
      </c>
      <c r="I2812">
        <v>10689125</v>
      </c>
      <c r="J2812">
        <v>6</v>
      </c>
      <c r="K2812">
        <v>28</v>
      </c>
      <c r="L2812">
        <v>28</v>
      </c>
      <c r="M2812">
        <v>948</v>
      </c>
      <c r="N2812" s="2">
        <v>100800</v>
      </c>
      <c r="O2812" s="2">
        <v>2184</v>
      </c>
      <c r="P2812" s="2">
        <v>1008</v>
      </c>
      <c r="Q2812" s="2">
        <v>5688</v>
      </c>
      <c r="R2812" s="2">
        <v>6720</v>
      </c>
      <c r="S2812">
        <v>188.16</v>
      </c>
      <c r="T2812" s="2">
        <v>71568</v>
      </c>
      <c r="U2812" s="2">
        <v>29232</v>
      </c>
      <c r="V2812">
        <v>159.26400000000001</v>
      </c>
      <c r="W2812">
        <v>0</v>
      </c>
      <c r="X2812">
        <v>0</v>
      </c>
      <c r="Y2812">
        <v>0</v>
      </c>
      <c r="Z2812">
        <v>4</v>
      </c>
      <c r="AA2812">
        <v>2.5115531E-2</v>
      </c>
      <c r="AB2812">
        <v>42.55</v>
      </c>
      <c r="AC2812">
        <v>11.20483333</v>
      </c>
      <c r="AD2812">
        <v>42</v>
      </c>
      <c r="AE2812" s="7"/>
      <c r="AF2812" s="7"/>
      <c r="AG2812" s="7"/>
      <c r="AH2812" s="7"/>
      <c r="AI2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0.79516667000000041</v>
      </c>
      <c r="AJ2812" s="7"/>
      <c r="AK2812" t="s">
        <v>51</v>
      </c>
      <c r="AN2812">
        <f>IFERROR(INT(Table13[[#This Row],[reject_prod]]/Table13[[#This Row],[part_weight]] * 1000), 0)</f>
        <v>142</v>
      </c>
    </row>
    <row r="2813" spans="1:40">
      <c r="A2813" s="1">
        <v>46106</v>
      </c>
      <c r="B2813">
        <v>1</v>
      </c>
      <c r="C2813">
        <v>1</v>
      </c>
      <c r="F2813">
        <v>123456</v>
      </c>
      <c r="G2813" s="6">
        <v>0</v>
      </c>
      <c r="M2813">
        <v>0</v>
      </c>
      <c r="N2813" s="2">
        <v>0</v>
      </c>
      <c r="O2813" s="2">
        <v>0</v>
      </c>
      <c r="P2813" s="2">
        <v>0</v>
      </c>
      <c r="Q2813" s="2"/>
      <c r="R2813" s="2">
        <v>0</v>
      </c>
      <c r="T2813" s="2">
        <v>0</v>
      </c>
      <c r="U2813" s="2"/>
      <c r="X2813">
        <v>0</v>
      </c>
      <c r="Z2813">
        <v>0</v>
      </c>
      <c r="AB2813">
        <v>0</v>
      </c>
      <c r="AC2813">
        <v>0</v>
      </c>
      <c r="AD2813">
        <v>0</v>
      </c>
      <c r="AE2813" s="7"/>
      <c r="AF2813" s="7"/>
      <c r="AG2813" s="7"/>
      <c r="AH2813" s="7"/>
      <c r="AI2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3" s="7">
        <v>12</v>
      </c>
      <c r="AK2813" t="s">
        <v>116</v>
      </c>
      <c r="AN2813">
        <f>IFERROR(INT(Table13[[#This Row],[reject_prod]]/Table13[[#This Row],[part_weight]] * 1000), 0)</f>
        <v>0</v>
      </c>
    </row>
    <row r="2814" spans="1:40">
      <c r="A2814" s="1">
        <v>46106</v>
      </c>
      <c r="B2814">
        <v>1</v>
      </c>
      <c r="C2814">
        <v>2</v>
      </c>
      <c r="D2814" t="s">
        <v>289</v>
      </c>
      <c r="E2814" t="s">
        <v>34</v>
      </c>
      <c r="F2814">
        <v>423213</v>
      </c>
      <c r="G2814" s="6">
        <v>0</v>
      </c>
      <c r="H2814" t="s">
        <v>70</v>
      </c>
      <c r="I2814">
        <v>10689499</v>
      </c>
      <c r="J2814">
        <v>4</v>
      </c>
      <c r="K2814">
        <v>23</v>
      </c>
      <c r="L2814">
        <v>23</v>
      </c>
      <c r="M2814">
        <v>1820</v>
      </c>
      <c r="N2814" s="2">
        <v>99822</v>
      </c>
      <c r="O2814" s="2">
        <v>2286</v>
      </c>
      <c r="P2814" s="2">
        <v>381</v>
      </c>
      <c r="Q2814" s="2">
        <v>7280</v>
      </c>
      <c r="R2814" s="2">
        <v>9144</v>
      </c>
      <c r="S2814">
        <v>210.31200000000001</v>
      </c>
      <c r="T2814" s="2">
        <v>14097</v>
      </c>
      <c r="U2814" s="2">
        <v>85725</v>
      </c>
      <c r="V2814">
        <v>167.44</v>
      </c>
      <c r="W2814">
        <v>0</v>
      </c>
      <c r="X2814">
        <v>0</v>
      </c>
      <c r="Y2814">
        <v>0</v>
      </c>
      <c r="Z2814">
        <v>0.5</v>
      </c>
      <c r="AA2814">
        <v>2.986144E-3</v>
      </c>
      <c r="AB2814">
        <v>23.05</v>
      </c>
      <c r="AC2814">
        <v>11.65305556</v>
      </c>
      <c r="AD2814">
        <v>22.5</v>
      </c>
      <c r="AE2814" s="7"/>
      <c r="AF2814" s="7"/>
      <c r="AG2814" s="7"/>
      <c r="AH2814" s="7"/>
      <c r="AI2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814" s="7"/>
      <c r="AK2814" t="s">
        <v>214</v>
      </c>
      <c r="AN2814">
        <f>IFERROR(INT(Table13[[#This Row],[reject_prod]]/Table13[[#This Row],[part_weight]] * 1000), 0)</f>
        <v>21</v>
      </c>
    </row>
    <row r="2815" spans="1:40">
      <c r="A2815" s="1">
        <v>46106</v>
      </c>
      <c r="B2815">
        <v>1</v>
      </c>
      <c r="C2815">
        <v>3</v>
      </c>
      <c r="D2815" t="s">
        <v>56</v>
      </c>
      <c r="E2815" t="s">
        <v>34</v>
      </c>
      <c r="F2815">
        <v>442034</v>
      </c>
      <c r="G2815" s="6">
        <v>0</v>
      </c>
      <c r="H2815" t="s">
        <v>37</v>
      </c>
      <c r="I2815">
        <v>10688497</v>
      </c>
      <c r="J2815">
        <v>4</v>
      </c>
      <c r="K2815">
        <v>23</v>
      </c>
      <c r="L2815">
        <v>23</v>
      </c>
      <c r="M2815">
        <v>100</v>
      </c>
      <c r="N2815" s="2">
        <v>139776</v>
      </c>
      <c r="O2815" s="2">
        <v>0</v>
      </c>
      <c r="P2815" s="2">
        <v>384</v>
      </c>
      <c r="Q2815" s="2">
        <v>400</v>
      </c>
      <c r="R2815" s="2">
        <v>0</v>
      </c>
      <c r="S2815">
        <v>0</v>
      </c>
      <c r="T2815" s="2">
        <v>46464</v>
      </c>
      <c r="U2815" s="2">
        <v>93312</v>
      </c>
      <c r="V2815">
        <v>9.1999999999999993</v>
      </c>
      <c r="W2815">
        <v>0</v>
      </c>
      <c r="X2815">
        <v>0</v>
      </c>
      <c r="Y2815">
        <v>0</v>
      </c>
      <c r="Z2815">
        <v>24.3</v>
      </c>
      <c r="AA2815">
        <v>2.6413043479999998</v>
      </c>
      <c r="AB2815">
        <v>24.83</v>
      </c>
      <c r="AC2815">
        <v>0.689722222</v>
      </c>
      <c r="AD2815">
        <v>22</v>
      </c>
      <c r="AE2815" s="7"/>
      <c r="AF2815" s="7"/>
      <c r="AG2815" s="7"/>
      <c r="AH2815" s="7"/>
      <c r="AI2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11.310277778</v>
      </c>
      <c r="AJ2815" s="7"/>
      <c r="AK2815" t="s">
        <v>1366</v>
      </c>
      <c r="AL2815">
        <v>4</v>
      </c>
      <c r="AM2815">
        <v>6</v>
      </c>
      <c r="AN2815">
        <f>IFERROR(INT(Table13[[#This Row],[reject_prod]]/Table13[[#This Row],[part_weight]] * 1000), 0)</f>
        <v>1056</v>
      </c>
    </row>
    <row r="2816" spans="1:40">
      <c r="A2816" s="1">
        <v>46106</v>
      </c>
      <c r="B2816">
        <v>1</v>
      </c>
      <c r="C2816">
        <v>4</v>
      </c>
      <c r="D2816" t="s">
        <v>53</v>
      </c>
      <c r="E2816" t="s">
        <v>34</v>
      </c>
      <c r="F2816">
        <v>451191</v>
      </c>
      <c r="G2816" s="6">
        <v>0</v>
      </c>
      <c r="H2816" t="s">
        <v>946</v>
      </c>
      <c r="I2816">
        <v>10690450</v>
      </c>
      <c r="J2816">
        <v>4</v>
      </c>
      <c r="K2816">
        <v>29</v>
      </c>
      <c r="L2816">
        <v>29</v>
      </c>
      <c r="M2816">
        <v>1683</v>
      </c>
      <c r="N2816" s="2">
        <v>110160</v>
      </c>
      <c r="O2816" s="2">
        <v>0</v>
      </c>
      <c r="P2816" s="2">
        <v>306</v>
      </c>
      <c r="Q2816" s="2">
        <v>6732</v>
      </c>
      <c r="R2816" s="2">
        <v>6426</v>
      </c>
      <c r="S2816">
        <v>186.35400000000001</v>
      </c>
      <c r="T2816" s="2">
        <v>76500</v>
      </c>
      <c r="U2816" s="2">
        <v>33660</v>
      </c>
      <c r="V2816">
        <v>195.22800000000001</v>
      </c>
      <c r="W2816">
        <v>0</v>
      </c>
      <c r="X2816">
        <v>0</v>
      </c>
      <c r="Y2816">
        <v>0</v>
      </c>
      <c r="Z2816">
        <v>2.2999999999999998</v>
      </c>
      <c r="AA2816">
        <v>1.1781097000000001E-2</v>
      </c>
      <c r="AB2816">
        <v>25.2</v>
      </c>
      <c r="AC2816">
        <v>11.781000000000001</v>
      </c>
      <c r="AD2816">
        <v>24</v>
      </c>
      <c r="AE2816" s="7"/>
      <c r="AF2816" s="7"/>
      <c r="AG2816" s="7"/>
      <c r="AH2816" s="7"/>
      <c r="AI2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0.21899999999999942</v>
      </c>
      <c r="AJ2816" s="7"/>
      <c r="AK2816" t="s">
        <v>51</v>
      </c>
      <c r="AN2816">
        <f>IFERROR(INT(Table13[[#This Row],[reject_prod]]/Table13[[#This Row],[part_weight]] * 1000), 0)</f>
        <v>79</v>
      </c>
    </row>
    <row r="2817" spans="1:40">
      <c r="A2817" s="1">
        <v>46106</v>
      </c>
      <c r="B2817">
        <v>1</v>
      </c>
      <c r="C2817">
        <v>5</v>
      </c>
      <c r="D2817" t="s">
        <v>465</v>
      </c>
      <c r="E2817" t="s">
        <v>34</v>
      </c>
      <c r="F2817">
        <v>322382</v>
      </c>
      <c r="G2817" s="6">
        <v>0</v>
      </c>
      <c r="H2817" t="s">
        <v>1184</v>
      </c>
      <c r="I2817">
        <v>10689314</v>
      </c>
      <c r="J2817">
        <v>4</v>
      </c>
      <c r="K2817">
        <v>18.8</v>
      </c>
      <c r="L2817">
        <v>11.3</v>
      </c>
      <c r="M2817">
        <v>0</v>
      </c>
      <c r="N2817" s="2">
        <v>10350</v>
      </c>
      <c r="O2817" s="2">
        <v>0</v>
      </c>
      <c r="P2817" s="2">
        <v>0</v>
      </c>
      <c r="Q2817" s="2">
        <v>0</v>
      </c>
      <c r="R2817" s="2">
        <v>0</v>
      </c>
      <c r="S2817">
        <v>0</v>
      </c>
      <c r="T2817" s="2">
        <v>0</v>
      </c>
      <c r="U2817" s="2">
        <v>10350</v>
      </c>
      <c r="V2817">
        <v>0</v>
      </c>
      <c r="W2817">
        <v>0</v>
      </c>
      <c r="X2817">
        <v>20</v>
      </c>
      <c r="Y2817" t="e">
        <v>#DIV/0!</v>
      </c>
      <c r="Z2817">
        <v>6.7</v>
      </c>
      <c r="AA2817" t="e">
        <v>#DIV/0!</v>
      </c>
      <c r="AB2817">
        <v>22</v>
      </c>
      <c r="AC2817">
        <v>0</v>
      </c>
      <c r="AD2817">
        <v>15.44</v>
      </c>
      <c r="AE2817" s="7"/>
      <c r="AF2817" s="7"/>
      <c r="AG2817" s="7"/>
      <c r="AH2817" s="7"/>
      <c r="AI2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17" s="7"/>
      <c r="AK2817" t="s">
        <v>1367</v>
      </c>
      <c r="AL2817">
        <v>5</v>
      </c>
      <c r="AM2817">
        <v>4</v>
      </c>
      <c r="AN2817">
        <f>IFERROR(INT(Table13[[#This Row],[reject_prod]]/Table13[[#This Row],[part_weight]] * 1000), 0)</f>
        <v>592</v>
      </c>
    </row>
    <row r="2818" spans="1:40">
      <c r="A2818" s="1">
        <v>46106</v>
      </c>
      <c r="B2818">
        <v>1</v>
      </c>
      <c r="C2818">
        <v>6</v>
      </c>
      <c r="D2818" t="s">
        <v>33</v>
      </c>
      <c r="E2818" t="s">
        <v>34</v>
      </c>
      <c r="F2818">
        <v>322435</v>
      </c>
      <c r="G2818" s="6">
        <v>0</v>
      </c>
      <c r="H2818" t="s">
        <v>216</v>
      </c>
      <c r="I2818">
        <v>10690041</v>
      </c>
      <c r="J2818">
        <v>4</v>
      </c>
      <c r="K2818">
        <v>34.5</v>
      </c>
      <c r="L2818">
        <v>34.5</v>
      </c>
      <c r="M2818">
        <v>0</v>
      </c>
      <c r="N2818" s="2">
        <v>16380</v>
      </c>
      <c r="O2818" s="2">
        <v>0</v>
      </c>
      <c r="P2818" s="2">
        <v>0</v>
      </c>
      <c r="Q2818" s="2">
        <v>0</v>
      </c>
      <c r="R2818" s="2">
        <v>0</v>
      </c>
      <c r="S2818">
        <v>0</v>
      </c>
      <c r="T2818" s="2">
        <v>0</v>
      </c>
      <c r="U2818" s="2">
        <v>16380</v>
      </c>
      <c r="V2818">
        <v>0</v>
      </c>
      <c r="W2818">
        <v>0</v>
      </c>
      <c r="X2818">
        <v>0</v>
      </c>
      <c r="Y2818" t="e">
        <v>#DIV/0!</v>
      </c>
      <c r="Z2818">
        <v>0</v>
      </c>
      <c r="AA2818" t="e">
        <v>#DIV/0!</v>
      </c>
      <c r="AB2818">
        <v>22</v>
      </c>
      <c r="AC2818">
        <v>0</v>
      </c>
      <c r="AD2818">
        <v>22</v>
      </c>
      <c r="AE2818" s="7"/>
      <c r="AF2818" s="7"/>
      <c r="AG2818" s="7"/>
      <c r="AH2818" s="7"/>
      <c r="AI2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18" s="7"/>
      <c r="AK2818" t="s">
        <v>521</v>
      </c>
      <c r="AN2818">
        <f>IFERROR(INT(Table13[[#This Row],[reject_prod]]/Table13[[#This Row],[part_weight]] * 1000), 0)</f>
        <v>0</v>
      </c>
    </row>
    <row r="2819" spans="1:40">
      <c r="A2819" s="1">
        <v>46106</v>
      </c>
      <c r="B2819">
        <v>1</v>
      </c>
      <c r="C2819">
        <v>7</v>
      </c>
      <c r="D2819" t="s">
        <v>1368</v>
      </c>
      <c r="E2819" t="s">
        <v>34</v>
      </c>
      <c r="F2819">
        <v>597507</v>
      </c>
      <c r="G2819" s="6">
        <v>0</v>
      </c>
      <c r="H2819" t="s">
        <v>279</v>
      </c>
      <c r="I2819">
        <v>10690042</v>
      </c>
      <c r="J2819">
        <v>4</v>
      </c>
      <c r="K2819">
        <v>23</v>
      </c>
      <c r="L2819">
        <v>23</v>
      </c>
      <c r="M2819">
        <v>1450</v>
      </c>
      <c r="N2819" s="2">
        <v>86240</v>
      </c>
      <c r="O2819" s="2">
        <v>462</v>
      </c>
      <c r="P2819" s="2">
        <v>1540</v>
      </c>
      <c r="Q2819" s="2">
        <v>5800</v>
      </c>
      <c r="R2819" s="2">
        <v>4312</v>
      </c>
      <c r="S2819">
        <v>99.176000000000002</v>
      </c>
      <c r="T2819" s="2">
        <v>30646</v>
      </c>
      <c r="U2819" s="2">
        <v>55594</v>
      </c>
      <c r="V2819">
        <v>133.4</v>
      </c>
      <c r="W2819">
        <v>0</v>
      </c>
      <c r="X2819">
        <v>0</v>
      </c>
      <c r="Y2819">
        <v>0</v>
      </c>
      <c r="Z2819">
        <v>6.5</v>
      </c>
      <c r="AA2819">
        <v>4.8725637000000002E-2</v>
      </c>
      <c r="AB2819">
        <v>23.54</v>
      </c>
      <c r="AC2819">
        <v>9.4813888889999998</v>
      </c>
      <c r="AD2819">
        <v>22</v>
      </c>
      <c r="AE2819" s="7"/>
      <c r="AF2819" s="7"/>
      <c r="AG2819" s="7"/>
      <c r="AH2819" s="7"/>
      <c r="AI2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2.5186111110000002</v>
      </c>
      <c r="AJ2819" s="7"/>
      <c r="AK2819" t="s">
        <v>1369</v>
      </c>
      <c r="AL2819">
        <v>3</v>
      </c>
      <c r="AM2819">
        <v>3</v>
      </c>
      <c r="AN2819">
        <f>IFERROR(INT(Table13[[#This Row],[reject_prod]]/Table13[[#This Row],[part_weight]] * 1000), 0)</f>
        <v>282</v>
      </c>
    </row>
    <row r="2820" spans="1:40">
      <c r="A2820" s="1">
        <v>46106</v>
      </c>
      <c r="B2820">
        <v>1</v>
      </c>
      <c r="C2820">
        <v>8</v>
      </c>
      <c r="D2820" t="s">
        <v>1370</v>
      </c>
      <c r="E2820" t="s">
        <v>41</v>
      </c>
      <c r="F2820">
        <v>593537</v>
      </c>
      <c r="G2820" s="6">
        <v>0</v>
      </c>
      <c r="H2820" t="s">
        <v>48</v>
      </c>
      <c r="I2820">
        <v>10689826</v>
      </c>
      <c r="J2820">
        <v>4</v>
      </c>
      <c r="K2820">
        <v>56.5</v>
      </c>
      <c r="L2820">
        <v>56.8</v>
      </c>
      <c r="M2820">
        <v>308</v>
      </c>
      <c r="N2820" s="2">
        <v>69000</v>
      </c>
      <c r="O2820" s="2">
        <v>0</v>
      </c>
      <c r="P2820" s="2">
        <v>0</v>
      </c>
      <c r="Q2820" s="2">
        <v>1232</v>
      </c>
      <c r="R2820" s="2">
        <v>1150</v>
      </c>
      <c r="S2820">
        <v>65.319999999999993</v>
      </c>
      <c r="T2820" s="2">
        <v>69000</v>
      </c>
      <c r="U2820" s="2">
        <v>0</v>
      </c>
      <c r="V2820">
        <v>69.977599999999995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29.7</v>
      </c>
      <c r="AC2820">
        <v>2.5409999999999999</v>
      </c>
      <c r="AD2820">
        <v>28.5</v>
      </c>
      <c r="AE2820" s="7"/>
      <c r="AF2820" s="7"/>
      <c r="AG2820" s="7"/>
      <c r="AH2820" s="7"/>
      <c r="AI2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9.4589999999999996</v>
      </c>
      <c r="AJ2820" s="7"/>
      <c r="AK2820" t="s">
        <v>102</v>
      </c>
      <c r="AN2820">
        <f>IFERROR(INT(Table13[[#This Row],[reject_prod]]/Table13[[#This Row],[part_weight]] * 1000), 0)</f>
        <v>0</v>
      </c>
    </row>
    <row r="2821" spans="1:40">
      <c r="A2821" s="1">
        <v>46106</v>
      </c>
      <c r="B2821">
        <v>1</v>
      </c>
      <c r="C2821">
        <v>8</v>
      </c>
      <c r="D2821" t="s">
        <v>1370</v>
      </c>
      <c r="E2821" t="s">
        <v>41</v>
      </c>
      <c r="F2821">
        <v>593537</v>
      </c>
      <c r="G2821" s="6">
        <v>0</v>
      </c>
      <c r="H2821" t="s">
        <v>48</v>
      </c>
      <c r="I2821">
        <v>10689827</v>
      </c>
      <c r="J2821">
        <v>4</v>
      </c>
      <c r="K2821">
        <v>56.5</v>
      </c>
      <c r="L2821">
        <v>56.8</v>
      </c>
      <c r="M2821">
        <v>1100</v>
      </c>
      <c r="N2821" s="2">
        <v>69000</v>
      </c>
      <c r="O2821" s="2">
        <v>0</v>
      </c>
      <c r="P2821" s="2">
        <v>345</v>
      </c>
      <c r="Q2821" s="2">
        <v>4400</v>
      </c>
      <c r="R2821" s="2">
        <v>4025</v>
      </c>
      <c r="S2821">
        <v>228.62</v>
      </c>
      <c r="T2821" s="2">
        <v>4370</v>
      </c>
      <c r="U2821" s="2">
        <v>64630</v>
      </c>
      <c r="V2821">
        <v>249.92</v>
      </c>
      <c r="W2821">
        <v>0</v>
      </c>
      <c r="X2821">
        <v>0</v>
      </c>
      <c r="Y2821">
        <v>0</v>
      </c>
      <c r="Z2821">
        <v>5.7</v>
      </c>
      <c r="AA2821">
        <v>2.2807298E-2</v>
      </c>
      <c r="AB2821">
        <v>29.7</v>
      </c>
      <c r="AC2821">
        <v>9.0749999999999993</v>
      </c>
      <c r="AD2821">
        <v>28.5</v>
      </c>
      <c r="AE2821" s="7"/>
      <c r="AF2821" s="7"/>
      <c r="AG2821" s="7"/>
      <c r="AH2821" s="7"/>
      <c r="AI2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2.9250000000000007</v>
      </c>
      <c r="AJ2821" s="7"/>
      <c r="AK2821" t="s">
        <v>1371</v>
      </c>
      <c r="AN2821">
        <f>IFERROR(INT(Table13[[#This Row],[reject_prod]]/Table13[[#This Row],[part_weight]] * 1000), 0)</f>
        <v>100</v>
      </c>
    </row>
    <row r="2822" spans="1:40">
      <c r="A2822" s="1">
        <v>46106</v>
      </c>
      <c r="B2822">
        <v>1</v>
      </c>
      <c r="C2822">
        <v>9</v>
      </c>
      <c r="D2822" t="s">
        <v>58</v>
      </c>
      <c r="E2822" t="s">
        <v>46</v>
      </c>
      <c r="F2822">
        <v>586276</v>
      </c>
      <c r="G2822" s="6">
        <v>1</v>
      </c>
      <c r="H2822" t="s">
        <v>47</v>
      </c>
      <c r="I2822">
        <v>10689112</v>
      </c>
      <c r="J2822">
        <v>6</v>
      </c>
      <c r="K2822">
        <v>12.3</v>
      </c>
      <c r="L2822">
        <v>12.3</v>
      </c>
      <c r="M2822">
        <v>1285</v>
      </c>
      <c r="N2822" s="2">
        <v>162000</v>
      </c>
      <c r="O2822" s="2">
        <v>405</v>
      </c>
      <c r="P2822" s="2">
        <v>7695</v>
      </c>
      <c r="Q2822" s="2">
        <v>7710</v>
      </c>
      <c r="R2822" s="2">
        <v>0</v>
      </c>
      <c r="S2822">
        <v>0</v>
      </c>
      <c r="T2822" s="2">
        <v>88695</v>
      </c>
      <c r="U2822" s="2">
        <v>73305</v>
      </c>
      <c r="V2822">
        <v>94.832999999999998</v>
      </c>
      <c r="W2822">
        <v>0</v>
      </c>
      <c r="X2822">
        <v>0</v>
      </c>
      <c r="Y2822">
        <v>0</v>
      </c>
      <c r="Z2822">
        <v>2.8</v>
      </c>
      <c r="AA2822">
        <v>2.9525586999999999E-2</v>
      </c>
      <c r="AB2822">
        <v>28.24</v>
      </c>
      <c r="AC2822">
        <v>10.080111110000001</v>
      </c>
      <c r="AD2822">
        <v>26</v>
      </c>
      <c r="AE2822" s="7"/>
      <c r="AF2822" s="7"/>
      <c r="AG2822" s="7"/>
      <c r="AH2822" s="7"/>
      <c r="AI2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1.9198888899999993</v>
      </c>
      <c r="AJ2822" s="7"/>
      <c r="AK2822" t="s">
        <v>1372</v>
      </c>
      <c r="AN2822">
        <f>IFERROR(INT(Table13[[#This Row],[reject_prod]]/Table13[[#This Row],[part_weight]] * 1000), 0)</f>
        <v>227</v>
      </c>
    </row>
    <row r="2823" spans="1:40">
      <c r="A2823" s="1">
        <v>46106</v>
      </c>
      <c r="B2823">
        <v>1</v>
      </c>
      <c r="C2823">
        <v>10</v>
      </c>
      <c r="D2823" t="s">
        <v>33</v>
      </c>
      <c r="E2823" t="s">
        <v>34</v>
      </c>
      <c r="F2823">
        <v>324638</v>
      </c>
      <c r="G2823" s="6">
        <v>0</v>
      </c>
      <c r="H2823" t="s">
        <v>687</v>
      </c>
      <c r="I2823">
        <v>10689561</v>
      </c>
      <c r="J2823">
        <v>4</v>
      </c>
      <c r="K2823">
        <v>77.5</v>
      </c>
      <c r="L2823">
        <v>77.5</v>
      </c>
      <c r="M2823">
        <v>0</v>
      </c>
      <c r="N2823" s="2">
        <v>13248</v>
      </c>
      <c r="O2823" s="2">
        <v>0</v>
      </c>
      <c r="P2823" s="2">
        <v>0</v>
      </c>
      <c r="Q2823" s="2">
        <v>0</v>
      </c>
      <c r="R2823" s="2">
        <v>0</v>
      </c>
      <c r="S2823">
        <v>0</v>
      </c>
      <c r="T2823" s="2">
        <v>0</v>
      </c>
      <c r="U2823" s="2">
        <v>13248</v>
      </c>
      <c r="V2823">
        <v>0</v>
      </c>
      <c r="W2823">
        <v>0</v>
      </c>
      <c r="X2823">
        <v>11.5</v>
      </c>
      <c r="Y2823" t="e">
        <v>#DIV/0!</v>
      </c>
      <c r="Z2823">
        <v>0</v>
      </c>
      <c r="AA2823" t="e">
        <v>#DIV/0!</v>
      </c>
      <c r="AB2823">
        <v>29.2</v>
      </c>
      <c r="AC2823">
        <v>0</v>
      </c>
      <c r="AD2823">
        <v>36</v>
      </c>
      <c r="AE2823" s="7"/>
      <c r="AF2823" s="7"/>
      <c r="AG2823" s="7"/>
      <c r="AH2823" s="7"/>
      <c r="AI28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23" s="7"/>
      <c r="AK2823" t="s">
        <v>1353</v>
      </c>
      <c r="AL2823">
        <v>8</v>
      </c>
      <c r="AM2823">
        <v>7</v>
      </c>
      <c r="AN2823">
        <f>IFERROR(INT(Table13[[#This Row],[reject_prod]]/Table13[[#This Row],[part_weight]] * 1000), 0)</f>
        <v>0</v>
      </c>
    </row>
    <row r="2824" spans="1:40">
      <c r="A2824" s="1">
        <v>46106</v>
      </c>
      <c r="B2824">
        <v>1</v>
      </c>
      <c r="C2824">
        <v>11</v>
      </c>
      <c r="D2824" t="s">
        <v>54</v>
      </c>
      <c r="E2824" t="s">
        <v>46</v>
      </c>
      <c r="F2824">
        <v>552181</v>
      </c>
      <c r="G2824" s="6">
        <v>1</v>
      </c>
      <c r="H2824" t="s">
        <v>49</v>
      </c>
      <c r="I2824" t="s">
        <v>490</v>
      </c>
      <c r="J2824">
        <v>6</v>
      </c>
      <c r="K2824">
        <v>14.7</v>
      </c>
      <c r="L2824">
        <v>14.7</v>
      </c>
      <c r="M2824">
        <v>180</v>
      </c>
      <c r="N2824" s="2">
        <v>3240</v>
      </c>
      <c r="O2824" s="2">
        <v>0</v>
      </c>
      <c r="P2824" s="2">
        <v>1080</v>
      </c>
      <c r="Q2824" s="2">
        <v>1080</v>
      </c>
      <c r="R2824" s="2">
        <v>0</v>
      </c>
      <c r="S2824">
        <v>0</v>
      </c>
      <c r="T2824" s="2">
        <v>1080</v>
      </c>
      <c r="U2824" s="2">
        <v>2160</v>
      </c>
      <c r="V2824">
        <v>15.875999999999999</v>
      </c>
      <c r="W2824">
        <v>0</v>
      </c>
      <c r="X2824">
        <v>4</v>
      </c>
      <c r="Y2824">
        <v>0.25195263299999998</v>
      </c>
      <c r="Z2824">
        <v>0</v>
      </c>
      <c r="AA2824">
        <v>0</v>
      </c>
      <c r="AB2824">
        <v>29.2</v>
      </c>
      <c r="AC2824">
        <v>1.46</v>
      </c>
      <c r="AD2824">
        <v>27</v>
      </c>
      <c r="AE2824" s="7"/>
      <c r="AF2824" s="7"/>
      <c r="AG2824" s="7"/>
      <c r="AH2824" s="7"/>
      <c r="AI2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10.54</v>
      </c>
      <c r="AJ2824" s="7"/>
      <c r="AK2824" t="s">
        <v>1356</v>
      </c>
      <c r="AL2824">
        <v>5.4</v>
      </c>
      <c r="AN2824">
        <f>IFERROR(INT(Table13[[#This Row],[reject_prod]]/Table13[[#This Row],[part_weight]] * 1000), 0)</f>
        <v>0</v>
      </c>
    </row>
    <row r="2825" spans="1:40">
      <c r="A2825" s="1">
        <v>46106</v>
      </c>
      <c r="B2825">
        <v>1</v>
      </c>
      <c r="C2825">
        <v>12</v>
      </c>
      <c r="D2825" t="s">
        <v>33</v>
      </c>
      <c r="E2825" t="s">
        <v>46</v>
      </c>
      <c r="F2825">
        <v>555979</v>
      </c>
      <c r="G2825" s="6">
        <v>1</v>
      </c>
      <c r="H2825" t="s">
        <v>52</v>
      </c>
      <c r="I2825">
        <v>10689126</v>
      </c>
      <c r="J2825">
        <v>6</v>
      </c>
      <c r="K2825">
        <v>28</v>
      </c>
      <c r="L2825">
        <v>28</v>
      </c>
      <c r="M2825">
        <v>0</v>
      </c>
      <c r="N2825" s="2">
        <v>100800</v>
      </c>
      <c r="O2825" s="2">
        <v>0</v>
      </c>
      <c r="P2825" s="2">
        <v>0</v>
      </c>
      <c r="Q2825" s="2">
        <v>0</v>
      </c>
      <c r="R2825" s="2">
        <v>0</v>
      </c>
      <c r="S2825">
        <v>0</v>
      </c>
      <c r="T2825" s="2">
        <v>13440</v>
      </c>
      <c r="U2825" s="2">
        <v>87360</v>
      </c>
      <c r="V2825">
        <v>0</v>
      </c>
      <c r="W2825">
        <v>0</v>
      </c>
      <c r="X2825">
        <v>0</v>
      </c>
      <c r="Y2825" t="e">
        <v>#DIV/0!</v>
      </c>
      <c r="Z2825">
        <v>0</v>
      </c>
      <c r="AA2825" t="e">
        <v>#DIV/0!</v>
      </c>
      <c r="AB2825">
        <v>41.2</v>
      </c>
      <c r="AC2825">
        <v>0</v>
      </c>
      <c r="AD2825">
        <v>42</v>
      </c>
      <c r="AE2825" s="7"/>
      <c r="AF2825" s="7"/>
      <c r="AG2825" s="7"/>
      <c r="AH2825" s="7"/>
      <c r="AI2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25" s="7"/>
      <c r="AK2825" t="s">
        <v>1357</v>
      </c>
      <c r="AN2825">
        <f>IFERROR(INT(Table13[[#This Row],[reject_prod]]/Table13[[#This Row],[part_weight]] * 1000), 0)</f>
        <v>0</v>
      </c>
    </row>
    <row r="2826" spans="1:40">
      <c r="A2826" s="1">
        <v>46106</v>
      </c>
      <c r="B2826">
        <v>1</v>
      </c>
      <c r="C2826">
        <v>13</v>
      </c>
      <c r="D2826" t="s">
        <v>1243</v>
      </c>
      <c r="E2826" t="s">
        <v>46</v>
      </c>
      <c r="F2826">
        <v>586276</v>
      </c>
      <c r="G2826" s="6">
        <v>2</v>
      </c>
      <c r="H2826" t="s">
        <v>47</v>
      </c>
      <c r="I2826">
        <v>10689119</v>
      </c>
      <c r="J2826">
        <v>6</v>
      </c>
      <c r="K2826">
        <v>12.3</v>
      </c>
      <c r="L2826">
        <v>12.3</v>
      </c>
      <c r="M2826">
        <v>1625</v>
      </c>
      <c r="N2826" s="2">
        <v>162000</v>
      </c>
      <c r="O2826" s="2">
        <v>405</v>
      </c>
      <c r="P2826" s="2">
        <v>2025</v>
      </c>
      <c r="Q2826" s="2">
        <v>9750</v>
      </c>
      <c r="R2826" s="2">
        <v>8100</v>
      </c>
      <c r="S2826">
        <v>99.63</v>
      </c>
      <c r="T2826" s="2">
        <v>74925</v>
      </c>
      <c r="U2826" s="2">
        <v>87075</v>
      </c>
      <c r="V2826">
        <v>119.925</v>
      </c>
      <c r="W2826">
        <v>0</v>
      </c>
      <c r="X2826">
        <v>0</v>
      </c>
      <c r="Y2826">
        <v>0</v>
      </c>
      <c r="Z2826">
        <v>1.6</v>
      </c>
      <c r="AA2826">
        <v>1.3341672000000001E-2</v>
      </c>
      <c r="AB2826">
        <v>26.2</v>
      </c>
      <c r="AC2826">
        <v>11.82638889</v>
      </c>
      <c r="AD2826">
        <v>26</v>
      </c>
      <c r="AE2826" s="7"/>
      <c r="AF2826" s="7"/>
      <c r="AG2826" s="7"/>
      <c r="AH2826" s="7"/>
      <c r="AI2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826" s="7"/>
      <c r="AK2826" t="s">
        <v>51</v>
      </c>
      <c r="AN2826">
        <f>IFERROR(INT(Table13[[#This Row],[reject_prod]]/Table13[[#This Row],[part_weight]] * 1000), 0)</f>
        <v>130</v>
      </c>
    </row>
    <row r="2827" spans="1:40">
      <c r="A2827" s="1">
        <v>46106</v>
      </c>
      <c r="B2827">
        <v>1</v>
      </c>
      <c r="C2827">
        <v>14</v>
      </c>
      <c r="D2827" t="s">
        <v>167</v>
      </c>
      <c r="E2827" t="s">
        <v>34</v>
      </c>
      <c r="F2827">
        <v>541381</v>
      </c>
      <c r="G2827" s="6">
        <v>0</v>
      </c>
      <c r="H2827" t="s">
        <v>804</v>
      </c>
      <c r="I2827">
        <v>10689121</v>
      </c>
      <c r="J2827">
        <v>4</v>
      </c>
      <c r="K2827">
        <v>55</v>
      </c>
      <c r="L2827">
        <v>55</v>
      </c>
      <c r="M2827">
        <v>1580</v>
      </c>
      <c r="N2827" s="2">
        <v>84000</v>
      </c>
      <c r="O2827" s="2">
        <v>0</v>
      </c>
      <c r="P2827" s="2">
        <v>0</v>
      </c>
      <c r="Q2827" s="2">
        <v>6320</v>
      </c>
      <c r="R2827" s="2">
        <v>6300</v>
      </c>
      <c r="S2827">
        <v>346.5</v>
      </c>
      <c r="T2827" s="2">
        <v>27300</v>
      </c>
      <c r="U2827" s="2">
        <v>56700</v>
      </c>
      <c r="V2827">
        <v>347.6</v>
      </c>
      <c r="W2827">
        <v>0</v>
      </c>
      <c r="X2827">
        <v>0</v>
      </c>
      <c r="Y2827">
        <v>0</v>
      </c>
      <c r="Z2827">
        <v>2</v>
      </c>
      <c r="AA2827">
        <v>5.7537400000000002E-3</v>
      </c>
      <c r="AB2827">
        <v>26.78</v>
      </c>
      <c r="AC2827">
        <v>11.753444440000001</v>
      </c>
      <c r="AD2827">
        <v>30.08</v>
      </c>
      <c r="AE2827" s="7"/>
      <c r="AF2827" s="7"/>
      <c r="AG2827" s="7"/>
      <c r="AH2827" s="7"/>
      <c r="AI2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0.24655555999999912</v>
      </c>
      <c r="AJ2827" s="7"/>
      <c r="AK2827" t="s">
        <v>51</v>
      </c>
      <c r="AN2827">
        <f>IFERROR(INT(Table13[[#This Row],[reject_prod]]/Table13[[#This Row],[part_weight]] * 1000), 0)</f>
        <v>36</v>
      </c>
    </row>
    <row r="2828" spans="1:40">
      <c r="A2828" s="1">
        <v>46106</v>
      </c>
      <c r="B2828">
        <v>1</v>
      </c>
      <c r="C2828">
        <v>15</v>
      </c>
      <c r="D2828" t="s">
        <v>59</v>
      </c>
      <c r="E2828" t="s">
        <v>46</v>
      </c>
      <c r="F2828">
        <v>552181</v>
      </c>
      <c r="G2828" s="6">
        <v>2</v>
      </c>
      <c r="H2828" t="s">
        <v>49</v>
      </c>
      <c r="I2828">
        <v>10689123</v>
      </c>
      <c r="J2828">
        <v>6</v>
      </c>
      <c r="K2828">
        <v>14.7</v>
      </c>
      <c r="L2828">
        <v>14.7</v>
      </c>
      <c r="M2828">
        <v>1300</v>
      </c>
      <c r="N2828" s="2">
        <v>108000</v>
      </c>
      <c r="O2828" s="2">
        <v>270</v>
      </c>
      <c r="P2828" s="2">
        <v>8100</v>
      </c>
      <c r="Q2828" s="2">
        <v>7800</v>
      </c>
      <c r="R2828" s="2">
        <v>0</v>
      </c>
      <c r="S2828">
        <v>0</v>
      </c>
      <c r="T2828" s="2">
        <v>94500</v>
      </c>
      <c r="U2828" s="2">
        <v>13500</v>
      </c>
      <c r="V2828">
        <v>114.66</v>
      </c>
      <c r="W2828">
        <v>0</v>
      </c>
      <c r="X2828">
        <v>0</v>
      </c>
      <c r="Y2828">
        <v>0</v>
      </c>
      <c r="Z2828">
        <v>4.5</v>
      </c>
      <c r="AA2828">
        <v>3.9246468E-2</v>
      </c>
      <c r="AB2828">
        <v>31</v>
      </c>
      <c r="AC2828">
        <v>11.19444444</v>
      </c>
      <c r="AD2828">
        <v>27</v>
      </c>
      <c r="AE2828" s="7"/>
      <c r="AF2828" s="7"/>
      <c r="AG2828" s="7"/>
      <c r="AH2828" s="7"/>
      <c r="AI2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0.80555556000000017</v>
      </c>
      <c r="AJ2828" s="7"/>
      <c r="AK2828" t="s">
        <v>1373</v>
      </c>
      <c r="AN2828">
        <f>IFERROR(INT(Table13[[#This Row],[reject_prod]]/Table13[[#This Row],[part_weight]] * 1000), 0)</f>
        <v>306</v>
      </c>
    </row>
    <row r="2829" spans="1:40">
      <c r="A2829" s="1">
        <v>46106</v>
      </c>
      <c r="B2829">
        <v>1</v>
      </c>
      <c r="C2829">
        <v>16</v>
      </c>
      <c r="D2829" t="s">
        <v>60</v>
      </c>
      <c r="E2829" t="s">
        <v>46</v>
      </c>
      <c r="F2829">
        <v>555979</v>
      </c>
      <c r="G2829" s="6">
        <v>2</v>
      </c>
      <c r="H2829" t="s">
        <v>52</v>
      </c>
      <c r="I2829">
        <v>10689125</v>
      </c>
      <c r="J2829">
        <v>6</v>
      </c>
      <c r="K2829">
        <v>28</v>
      </c>
      <c r="L2829">
        <v>28</v>
      </c>
      <c r="M2829">
        <v>1010</v>
      </c>
      <c r="N2829" s="2">
        <v>100800</v>
      </c>
      <c r="O2829" s="2">
        <v>1008</v>
      </c>
      <c r="P2829" s="2">
        <v>336</v>
      </c>
      <c r="Q2829" s="2">
        <v>6060</v>
      </c>
      <c r="R2829" s="2">
        <v>6720</v>
      </c>
      <c r="S2829">
        <v>188.16</v>
      </c>
      <c r="T2829" s="2">
        <v>77616</v>
      </c>
      <c r="U2829" s="2">
        <v>23184</v>
      </c>
      <c r="V2829">
        <v>169.68</v>
      </c>
      <c r="W2829">
        <v>0</v>
      </c>
      <c r="X2829">
        <v>0</v>
      </c>
      <c r="Y2829">
        <v>0</v>
      </c>
      <c r="Z2829">
        <v>1.2</v>
      </c>
      <c r="AA2829">
        <v>7.0721359999999997E-3</v>
      </c>
      <c r="AB2829">
        <v>42.58</v>
      </c>
      <c r="AC2829">
        <v>11.94605556</v>
      </c>
      <c r="AD2829">
        <v>42</v>
      </c>
      <c r="AE2829" s="7"/>
      <c r="AF2829" s="7"/>
      <c r="AG2829" s="7"/>
      <c r="AH2829" s="7"/>
      <c r="AI2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2829" s="7"/>
      <c r="AK2829" t="s">
        <v>51</v>
      </c>
      <c r="AN2829">
        <f>IFERROR(INT(Table13[[#This Row],[reject_prod]]/Table13[[#This Row],[part_weight]] * 1000), 0)</f>
        <v>42</v>
      </c>
    </row>
    <row r="2830" spans="1:40">
      <c r="A2830" s="1">
        <v>46106</v>
      </c>
      <c r="B2830">
        <v>2</v>
      </c>
      <c r="C2830">
        <v>1</v>
      </c>
      <c r="F2830">
        <v>123456</v>
      </c>
      <c r="G2830" s="6">
        <v>0</v>
      </c>
      <c r="M2830">
        <v>0</v>
      </c>
      <c r="N2830" s="2">
        <v>0</v>
      </c>
      <c r="O2830" s="2">
        <v>0</v>
      </c>
      <c r="P2830" s="2">
        <v>0</v>
      </c>
      <c r="Q2830" s="2"/>
      <c r="R2830" s="2">
        <v>0</v>
      </c>
      <c r="T2830" s="2">
        <v>0</v>
      </c>
      <c r="U2830" s="2"/>
      <c r="X2830">
        <v>0</v>
      </c>
      <c r="Z2830">
        <v>0</v>
      </c>
      <c r="AB2830">
        <v>0</v>
      </c>
      <c r="AC2830">
        <v>0</v>
      </c>
      <c r="AD2830">
        <v>0</v>
      </c>
      <c r="AE2830" s="7"/>
      <c r="AF2830" s="7"/>
      <c r="AG2830" s="7"/>
      <c r="AH2830" s="7"/>
      <c r="AI2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0" s="7">
        <v>12</v>
      </c>
      <c r="AK2830" t="s">
        <v>116</v>
      </c>
      <c r="AN2830">
        <f>IFERROR(INT(Table13[[#This Row],[reject_prod]]/Table13[[#This Row],[part_weight]] * 1000), 0)</f>
        <v>0</v>
      </c>
    </row>
    <row r="2831" spans="1:40">
      <c r="A2831" s="1">
        <v>46106</v>
      </c>
      <c r="B2831">
        <v>2</v>
      </c>
      <c r="C2831">
        <v>2</v>
      </c>
      <c r="D2831" t="s">
        <v>870</v>
      </c>
      <c r="E2831" t="s">
        <v>34</v>
      </c>
      <c r="F2831">
        <v>423213</v>
      </c>
      <c r="G2831" s="6">
        <v>0</v>
      </c>
      <c r="H2831" t="s">
        <v>70</v>
      </c>
      <c r="I2831">
        <v>10689499</v>
      </c>
      <c r="J2831">
        <v>4</v>
      </c>
      <c r="K2831">
        <v>23</v>
      </c>
      <c r="L2831">
        <v>23</v>
      </c>
      <c r="M2831">
        <v>1838</v>
      </c>
      <c r="N2831" s="2">
        <v>99822</v>
      </c>
      <c r="O2831" s="2">
        <v>381</v>
      </c>
      <c r="P2831" s="2">
        <v>3429</v>
      </c>
      <c r="Q2831" s="2">
        <v>7352</v>
      </c>
      <c r="R2831" s="2">
        <v>4572</v>
      </c>
      <c r="S2831">
        <v>105.15600000000001</v>
      </c>
      <c r="T2831" s="2">
        <v>21817</v>
      </c>
      <c r="U2831" s="2">
        <v>78005</v>
      </c>
      <c r="V2831">
        <v>169.096</v>
      </c>
      <c r="W2831">
        <v>0</v>
      </c>
      <c r="X2831">
        <v>0</v>
      </c>
      <c r="Y2831">
        <v>0</v>
      </c>
      <c r="Z2831">
        <v>2</v>
      </c>
      <c r="AA2831">
        <v>1.1827601E-2</v>
      </c>
      <c r="AB2831">
        <v>23.08</v>
      </c>
      <c r="AC2831">
        <v>11.78362222</v>
      </c>
      <c r="AD2831">
        <v>22.5</v>
      </c>
      <c r="AE2831" s="7"/>
      <c r="AF2831" s="7"/>
      <c r="AG2831" s="7"/>
      <c r="AH2831" s="7"/>
      <c r="AI2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0.21637778000000019</v>
      </c>
      <c r="AJ2831" s="7"/>
      <c r="AK2831" t="s">
        <v>214</v>
      </c>
      <c r="AN2831">
        <f>IFERROR(INT(Table13[[#This Row],[reject_prod]]/Table13[[#This Row],[part_weight]] * 1000), 0)</f>
        <v>86</v>
      </c>
    </row>
    <row r="2832" spans="1:40">
      <c r="A2832" s="1">
        <v>46106</v>
      </c>
      <c r="B2832">
        <v>2</v>
      </c>
      <c r="C2832">
        <v>3</v>
      </c>
      <c r="D2832" t="s">
        <v>143</v>
      </c>
      <c r="E2832" t="s">
        <v>34</v>
      </c>
      <c r="F2832">
        <v>442034</v>
      </c>
      <c r="G2832" s="6">
        <v>0</v>
      </c>
      <c r="H2832" t="s">
        <v>37</v>
      </c>
      <c r="I2832">
        <v>10688497</v>
      </c>
      <c r="J2832">
        <v>4</v>
      </c>
      <c r="K2832">
        <v>23</v>
      </c>
      <c r="L2832">
        <v>23</v>
      </c>
      <c r="M2832">
        <v>0</v>
      </c>
      <c r="N2832" s="2">
        <v>139776</v>
      </c>
      <c r="O2832" s="2">
        <v>384</v>
      </c>
      <c r="P2832" s="2">
        <v>384</v>
      </c>
      <c r="Q2832" s="2">
        <v>0</v>
      </c>
      <c r="R2832" s="2">
        <v>0</v>
      </c>
      <c r="S2832">
        <v>0</v>
      </c>
      <c r="T2832" s="2">
        <v>46464</v>
      </c>
      <c r="U2832" s="2">
        <v>93312</v>
      </c>
      <c r="V2832">
        <v>0</v>
      </c>
      <c r="W2832">
        <v>0</v>
      </c>
      <c r="X2832">
        <v>12.5</v>
      </c>
      <c r="Y2832" t="e">
        <v>#DIV/0!</v>
      </c>
      <c r="Z2832">
        <v>0</v>
      </c>
      <c r="AA2832" t="e">
        <v>#DIV/0!</v>
      </c>
      <c r="AB2832">
        <v>27.8</v>
      </c>
      <c r="AC2832">
        <v>0</v>
      </c>
      <c r="AD2832">
        <v>22</v>
      </c>
      <c r="AE2832" s="7"/>
      <c r="AF2832" s="7"/>
      <c r="AG2832" s="7"/>
      <c r="AH2832" s="7"/>
      <c r="AI2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2" s="7"/>
      <c r="AK2832" t="s">
        <v>1374</v>
      </c>
      <c r="AN2832">
        <f>IFERROR(INT(Table13[[#This Row],[reject_prod]]/Table13[[#This Row],[part_weight]] * 1000), 0)</f>
        <v>0</v>
      </c>
    </row>
    <row r="2833" spans="1:40">
      <c r="A2833" s="1">
        <v>46106</v>
      </c>
      <c r="B2833">
        <v>2</v>
      </c>
      <c r="C2833">
        <v>4</v>
      </c>
      <c r="D2833" t="s">
        <v>1375</v>
      </c>
      <c r="E2833" t="s">
        <v>34</v>
      </c>
      <c r="F2833">
        <v>451191</v>
      </c>
      <c r="G2833" s="6">
        <v>0</v>
      </c>
      <c r="H2833" t="s">
        <v>946</v>
      </c>
      <c r="I2833">
        <v>10690450</v>
      </c>
      <c r="J2833">
        <v>4</v>
      </c>
      <c r="K2833">
        <v>29</v>
      </c>
      <c r="L2833">
        <v>29</v>
      </c>
      <c r="M2833">
        <v>1671</v>
      </c>
      <c r="N2833" s="2">
        <v>110160</v>
      </c>
      <c r="O2833" s="2">
        <v>306</v>
      </c>
      <c r="P2833" s="2">
        <v>459</v>
      </c>
      <c r="Q2833" s="2">
        <v>6684</v>
      </c>
      <c r="R2833" s="2">
        <v>6426</v>
      </c>
      <c r="S2833">
        <v>186.35400000000001</v>
      </c>
      <c r="T2833" s="2">
        <v>83079</v>
      </c>
      <c r="U2833" s="2">
        <v>27081</v>
      </c>
      <c r="V2833">
        <v>193.83600000000001</v>
      </c>
      <c r="W2833">
        <v>0</v>
      </c>
      <c r="X2833">
        <v>0</v>
      </c>
      <c r="Y2833">
        <v>0</v>
      </c>
      <c r="Z2833">
        <v>2</v>
      </c>
      <c r="AA2833">
        <v>1.0318001E-2</v>
      </c>
      <c r="AB2833">
        <v>25.2</v>
      </c>
      <c r="AC2833">
        <v>11.696999999999999</v>
      </c>
      <c r="AD2833">
        <v>24</v>
      </c>
      <c r="AE2833" s="7"/>
      <c r="AF2833" s="7"/>
      <c r="AG2833" s="7"/>
      <c r="AH2833" s="7"/>
      <c r="AI2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0.30300000000000082</v>
      </c>
      <c r="AJ2833" s="7"/>
      <c r="AK2833" t="s">
        <v>51</v>
      </c>
      <c r="AN2833">
        <f>IFERROR(INT(Table13[[#This Row],[reject_prod]]/Table13[[#This Row],[part_weight]] * 1000), 0)</f>
        <v>68</v>
      </c>
    </row>
    <row r="2834" spans="1:40">
      <c r="A2834" s="1">
        <v>46106</v>
      </c>
      <c r="B2834">
        <v>2</v>
      </c>
      <c r="C2834">
        <v>5</v>
      </c>
      <c r="D2834" t="s">
        <v>1376</v>
      </c>
      <c r="E2834" t="s">
        <v>34</v>
      </c>
      <c r="F2834">
        <v>322382</v>
      </c>
      <c r="G2834" s="6">
        <v>0</v>
      </c>
      <c r="H2834" t="s">
        <v>1184</v>
      </c>
      <c r="I2834">
        <v>10689314</v>
      </c>
      <c r="J2834">
        <v>4</v>
      </c>
      <c r="K2834">
        <v>18.8</v>
      </c>
      <c r="L2834">
        <v>11.3</v>
      </c>
      <c r="M2834">
        <v>1970</v>
      </c>
      <c r="N2834" s="2">
        <v>10350</v>
      </c>
      <c r="O2834" s="2">
        <v>0</v>
      </c>
      <c r="P2834" s="2">
        <v>8050</v>
      </c>
      <c r="Q2834" s="2">
        <v>7880</v>
      </c>
      <c r="R2834" s="2">
        <v>0</v>
      </c>
      <c r="S2834">
        <v>0</v>
      </c>
      <c r="T2834" s="2">
        <v>8050</v>
      </c>
      <c r="U2834" s="2">
        <v>2300</v>
      </c>
      <c r="V2834">
        <v>89.043999999999997</v>
      </c>
      <c r="W2834">
        <v>0</v>
      </c>
      <c r="X2834">
        <v>0</v>
      </c>
      <c r="Y2834">
        <v>0</v>
      </c>
      <c r="Z2834">
        <v>3.5</v>
      </c>
      <c r="AA2834">
        <v>3.930641E-2</v>
      </c>
      <c r="AB2834">
        <v>22</v>
      </c>
      <c r="AC2834">
        <v>12</v>
      </c>
      <c r="AD2834">
        <v>15.44</v>
      </c>
      <c r="AE2834" s="7"/>
      <c r="AF2834" s="7"/>
      <c r="AG2834" s="7"/>
      <c r="AH2834" s="7"/>
      <c r="AI2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4" s="7"/>
      <c r="AK2834" t="s">
        <v>1377</v>
      </c>
      <c r="AN2834">
        <f>IFERROR(INT(Table13[[#This Row],[reject_prod]]/Table13[[#This Row],[part_weight]] * 1000), 0)</f>
        <v>309</v>
      </c>
    </row>
    <row r="2835" spans="1:40">
      <c r="A2835" s="1">
        <v>46106</v>
      </c>
      <c r="B2835">
        <v>2</v>
      </c>
      <c r="C2835">
        <v>6</v>
      </c>
      <c r="D2835" t="s">
        <v>33</v>
      </c>
      <c r="E2835" t="s">
        <v>34</v>
      </c>
      <c r="F2835">
        <v>661980</v>
      </c>
      <c r="G2835" s="6">
        <v>0</v>
      </c>
      <c r="H2835" t="s">
        <v>1378</v>
      </c>
      <c r="I2835">
        <v>10690617</v>
      </c>
      <c r="J2835">
        <v>4</v>
      </c>
      <c r="K2835">
        <v>24.9</v>
      </c>
      <c r="L2835">
        <v>24.9</v>
      </c>
      <c r="M2835">
        <v>0</v>
      </c>
      <c r="N2835" s="2">
        <v>15600</v>
      </c>
      <c r="O2835" s="2">
        <v>0</v>
      </c>
      <c r="P2835" s="2">
        <v>0</v>
      </c>
      <c r="Q2835" s="2">
        <v>0</v>
      </c>
      <c r="R2835" s="2">
        <v>0</v>
      </c>
      <c r="S2835">
        <v>0</v>
      </c>
      <c r="T2835" s="2">
        <v>0</v>
      </c>
      <c r="U2835" s="2">
        <v>15600</v>
      </c>
      <c r="V2835">
        <v>0</v>
      </c>
      <c r="W2835">
        <v>0</v>
      </c>
      <c r="X2835">
        <v>6.5</v>
      </c>
      <c r="Y2835" t="e">
        <v>#DIV/0!</v>
      </c>
      <c r="Z2835">
        <v>0</v>
      </c>
      <c r="AA2835" t="e">
        <v>#DIV/0!</v>
      </c>
      <c r="AB2835">
        <v>24.55</v>
      </c>
      <c r="AC2835">
        <v>0</v>
      </c>
      <c r="AD2835">
        <v>22</v>
      </c>
      <c r="AE2835" s="7"/>
      <c r="AF2835" s="7"/>
      <c r="AG2835" s="7"/>
      <c r="AH2835" s="7"/>
      <c r="AI2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5" s="7"/>
      <c r="AK2835" t="s">
        <v>1300</v>
      </c>
      <c r="AN2835">
        <f>IFERROR(INT(Table13[[#This Row],[reject_prod]]/Table13[[#This Row],[part_weight]] * 1000), 0)</f>
        <v>0</v>
      </c>
    </row>
    <row r="2836" spans="1:40">
      <c r="A2836" s="1">
        <v>46106</v>
      </c>
      <c r="B2836">
        <v>2</v>
      </c>
      <c r="C2836">
        <v>7</v>
      </c>
      <c r="D2836" t="s">
        <v>152</v>
      </c>
      <c r="E2836" t="s">
        <v>34</v>
      </c>
      <c r="F2836">
        <v>597507</v>
      </c>
      <c r="G2836" s="6">
        <v>0</v>
      </c>
      <c r="H2836" t="s">
        <v>279</v>
      </c>
      <c r="I2836">
        <v>10690042</v>
      </c>
      <c r="J2836">
        <v>3</v>
      </c>
      <c r="K2836">
        <v>23</v>
      </c>
      <c r="L2836">
        <v>23</v>
      </c>
      <c r="M2836">
        <v>1701</v>
      </c>
      <c r="N2836" s="2">
        <v>86240</v>
      </c>
      <c r="O2836" s="2">
        <v>1540</v>
      </c>
      <c r="P2836" s="2">
        <v>0</v>
      </c>
      <c r="Q2836" s="2">
        <v>5103</v>
      </c>
      <c r="R2836" s="2">
        <v>7546</v>
      </c>
      <c r="S2836">
        <v>173.55799999999999</v>
      </c>
      <c r="T2836" s="2">
        <v>36652</v>
      </c>
      <c r="U2836" s="2">
        <v>49588</v>
      </c>
      <c r="V2836">
        <v>117.369</v>
      </c>
      <c r="W2836">
        <v>0</v>
      </c>
      <c r="X2836">
        <v>0</v>
      </c>
      <c r="Y2836">
        <v>0</v>
      </c>
      <c r="Z2836">
        <v>12.5</v>
      </c>
      <c r="AA2836">
        <v>0.106501717</v>
      </c>
      <c r="AB2836">
        <v>23.5</v>
      </c>
      <c r="AC2836">
        <v>11.10375</v>
      </c>
      <c r="AD2836">
        <v>22</v>
      </c>
      <c r="AE2836" s="7"/>
      <c r="AF2836" s="7"/>
      <c r="AG2836" s="7"/>
      <c r="AH2836" s="7"/>
      <c r="AI2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0.89625000000000021</v>
      </c>
      <c r="AJ2836" s="7"/>
      <c r="AK2836" t="s">
        <v>1379</v>
      </c>
      <c r="AN2836">
        <f>IFERROR(INT(Table13[[#This Row],[reject_prod]]/Table13[[#This Row],[part_weight]] * 1000), 0)</f>
        <v>543</v>
      </c>
    </row>
    <row r="2837" spans="1:40">
      <c r="A2837" s="1">
        <v>46106</v>
      </c>
      <c r="B2837">
        <v>2</v>
      </c>
      <c r="C2837">
        <v>8</v>
      </c>
      <c r="D2837" t="s">
        <v>61</v>
      </c>
      <c r="E2837" t="s">
        <v>41</v>
      </c>
      <c r="F2837">
        <v>593537</v>
      </c>
      <c r="G2837" s="6">
        <v>0</v>
      </c>
      <c r="H2837" t="s">
        <v>48</v>
      </c>
      <c r="I2837">
        <v>10689827</v>
      </c>
      <c r="J2837">
        <v>4</v>
      </c>
      <c r="K2837">
        <v>56.5</v>
      </c>
      <c r="L2837">
        <v>56.8</v>
      </c>
      <c r="M2837">
        <v>1456</v>
      </c>
      <c r="N2837" s="2">
        <v>69000</v>
      </c>
      <c r="O2837" s="2">
        <v>345</v>
      </c>
      <c r="P2837" s="2">
        <v>460</v>
      </c>
      <c r="Q2837" s="2">
        <v>5824</v>
      </c>
      <c r="R2837" s="2">
        <v>5750</v>
      </c>
      <c r="S2837">
        <v>326.60000000000002</v>
      </c>
      <c r="T2837" s="2">
        <v>10235</v>
      </c>
      <c r="U2837" s="2">
        <v>58765</v>
      </c>
      <c r="V2837">
        <v>330.8032</v>
      </c>
      <c r="W2837">
        <v>0</v>
      </c>
      <c r="X2837">
        <v>0</v>
      </c>
      <c r="Y2837">
        <v>0</v>
      </c>
      <c r="Z2837">
        <v>3</v>
      </c>
      <c r="AA2837">
        <v>9.0688360000000003E-3</v>
      </c>
      <c r="AB2837">
        <v>29.7</v>
      </c>
      <c r="AC2837">
        <v>12</v>
      </c>
      <c r="AD2837">
        <v>28.5</v>
      </c>
      <c r="AE2837" s="7"/>
      <c r="AF2837" s="7"/>
      <c r="AG2837" s="7"/>
      <c r="AH2837" s="7"/>
      <c r="AI2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7" s="7"/>
      <c r="AK2837" t="s">
        <v>1352</v>
      </c>
      <c r="AN2837">
        <f>IFERROR(INT(Table13[[#This Row],[reject_prod]]/Table13[[#This Row],[part_weight]] * 1000), 0)</f>
        <v>52</v>
      </c>
    </row>
    <row r="2838" spans="1:40">
      <c r="A2838" s="1">
        <v>46106</v>
      </c>
      <c r="B2838">
        <v>2</v>
      </c>
      <c r="C2838">
        <v>9</v>
      </c>
      <c r="D2838" t="s">
        <v>1170</v>
      </c>
      <c r="E2838" t="s">
        <v>46</v>
      </c>
      <c r="F2838">
        <v>586276</v>
      </c>
      <c r="G2838" s="6">
        <v>1</v>
      </c>
      <c r="H2838" t="s">
        <v>47</v>
      </c>
      <c r="I2838">
        <v>10689112</v>
      </c>
      <c r="J2838">
        <v>6</v>
      </c>
      <c r="K2838">
        <v>12.3</v>
      </c>
      <c r="L2838">
        <v>12.3</v>
      </c>
      <c r="M2838">
        <v>1376</v>
      </c>
      <c r="N2838" s="2">
        <v>162000</v>
      </c>
      <c r="O2838" s="2">
        <v>7695</v>
      </c>
      <c r="P2838" s="2">
        <v>7290</v>
      </c>
      <c r="Q2838" s="2">
        <v>8256</v>
      </c>
      <c r="R2838" s="2">
        <v>8100</v>
      </c>
      <c r="S2838">
        <v>99.63</v>
      </c>
      <c r="T2838" s="2">
        <v>96390</v>
      </c>
      <c r="U2838" s="2">
        <v>65610</v>
      </c>
      <c r="V2838">
        <v>101.5488</v>
      </c>
      <c r="W2838">
        <v>0</v>
      </c>
      <c r="X2838">
        <v>0</v>
      </c>
      <c r="Y2838">
        <v>0</v>
      </c>
      <c r="Z2838">
        <v>3</v>
      </c>
      <c r="AA2838">
        <v>2.9542446999999999E-2</v>
      </c>
      <c r="AB2838">
        <v>28.2</v>
      </c>
      <c r="AC2838">
        <v>10.77866667</v>
      </c>
      <c r="AD2838">
        <v>26</v>
      </c>
      <c r="AE2838" s="7"/>
      <c r="AF2838" s="7"/>
      <c r="AG2838" s="7"/>
      <c r="AH2838" s="7"/>
      <c r="AI2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1.2213333300000002</v>
      </c>
      <c r="AJ2838" s="7"/>
      <c r="AK2838" t="s">
        <v>51</v>
      </c>
      <c r="AN2838">
        <f>IFERROR(INT(Table13[[#This Row],[reject_prod]]/Table13[[#This Row],[part_weight]] * 1000), 0)</f>
        <v>243</v>
      </c>
    </row>
    <row r="2839" spans="1:40">
      <c r="A2839" s="1">
        <v>46106</v>
      </c>
      <c r="B2839">
        <v>2</v>
      </c>
      <c r="C2839">
        <v>10</v>
      </c>
      <c r="D2839" t="s">
        <v>33</v>
      </c>
      <c r="E2839" t="s">
        <v>34</v>
      </c>
      <c r="F2839">
        <v>324638</v>
      </c>
      <c r="G2839" s="6">
        <v>0</v>
      </c>
      <c r="H2839" t="s">
        <v>687</v>
      </c>
      <c r="I2839">
        <v>10689561</v>
      </c>
      <c r="J2839">
        <v>4</v>
      </c>
      <c r="K2839">
        <v>14.7</v>
      </c>
      <c r="L2839">
        <v>14.7</v>
      </c>
      <c r="M2839">
        <v>0</v>
      </c>
      <c r="N2839" s="2">
        <v>33120</v>
      </c>
      <c r="O2839" s="2">
        <v>0</v>
      </c>
      <c r="P2839" s="2">
        <v>0</v>
      </c>
      <c r="Q2839" s="2">
        <v>0</v>
      </c>
      <c r="R2839" s="2">
        <v>0</v>
      </c>
      <c r="S2839">
        <v>0</v>
      </c>
      <c r="T2839" s="2">
        <v>0</v>
      </c>
      <c r="U2839" s="2">
        <v>33120</v>
      </c>
      <c r="V2839">
        <v>0</v>
      </c>
      <c r="W2839">
        <v>0</v>
      </c>
      <c r="X2839">
        <v>0</v>
      </c>
      <c r="Y2839" t="e">
        <v>#DIV/0!</v>
      </c>
      <c r="Z2839">
        <v>0</v>
      </c>
      <c r="AA2839" t="e">
        <v>#DIV/0!</v>
      </c>
      <c r="AB2839">
        <v>29.2</v>
      </c>
      <c r="AC2839">
        <v>0</v>
      </c>
      <c r="AD2839">
        <v>36</v>
      </c>
      <c r="AE2839" s="7"/>
      <c r="AF2839" s="7"/>
      <c r="AG2839" s="7"/>
      <c r="AH2839" s="7"/>
      <c r="AI2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9" s="7"/>
      <c r="AK2839" t="s">
        <v>1353</v>
      </c>
      <c r="AN2839">
        <f>IFERROR(INT(Table13[[#This Row],[reject_prod]]/Table13[[#This Row],[part_weight]] * 1000), 0)</f>
        <v>0</v>
      </c>
    </row>
    <row r="2840" spans="1:40">
      <c r="A2840" s="1">
        <v>46106</v>
      </c>
      <c r="B2840">
        <v>2</v>
      </c>
      <c r="C2840">
        <v>11</v>
      </c>
      <c r="D2840" t="s">
        <v>143</v>
      </c>
      <c r="E2840" t="s">
        <v>46</v>
      </c>
      <c r="F2840">
        <v>552181</v>
      </c>
      <c r="G2840" s="6">
        <v>1</v>
      </c>
      <c r="H2840" t="s">
        <v>49</v>
      </c>
      <c r="I2840" t="s">
        <v>490</v>
      </c>
      <c r="J2840">
        <v>6</v>
      </c>
      <c r="K2840">
        <v>14.7</v>
      </c>
      <c r="L2840">
        <v>14.7</v>
      </c>
      <c r="M2840">
        <v>492</v>
      </c>
      <c r="N2840" s="2">
        <v>3240</v>
      </c>
      <c r="O2840" s="2">
        <v>1080</v>
      </c>
      <c r="P2840" s="2">
        <v>3240</v>
      </c>
      <c r="Q2840" s="2">
        <v>2952</v>
      </c>
      <c r="R2840" s="2">
        <v>0</v>
      </c>
      <c r="S2840">
        <v>0</v>
      </c>
      <c r="T2840" s="2">
        <v>3240</v>
      </c>
      <c r="U2840" s="2">
        <v>0</v>
      </c>
      <c r="V2840">
        <v>43.394399999999997</v>
      </c>
      <c r="W2840">
        <v>0</v>
      </c>
      <c r="X2840">
        <v>15</v>
      </c>
      <c r="Y2840">
        <v>0.34566672199999998</v>
      </c>
      <c r="Z2840">
        <v>0</v>
      </c>
      <c r="AA2840">
        <v>0</v>
      </c>
      <c r="AB2840">
        <v>29.2</v>
      </c>
      <c r="AC2840">
        <v>3.9906666670000002</v>
      </c>
      <c r="AD2840">
        <v>27</v>
      </c>
      <c r="AE2840" s="7"/>
      <c r="AF2840" s="7"/>
      <c r="AG2840" s="7"/>
      <c r="AH2840" s="7"/>
      <c r="AI2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8.0093333330000007</v>
      </c>
      <c r="AJ2840" s="7"/>
      <c r="AK2840" t="s">
        <v>1380</v>
      </c>
      <c r="AN2840">
        <f>IFERROR(INT(Table13[[#This Row],[reject_prod]]/Table13[[#This Row],[part_weight]] * 1000), 0)</f>
        <v>0</v>
      </c>
    </row>
    <row r="2841" spans="1:40">
      <c r="A2841" s="1">
        <v>46106</v>
      </c>
      <c r="B2841">
        <v>2</v>
      </c>
      <c r="C2841">
        <v>11</v>
      </c>
      <c r="D2841" t="s">
        <v>115</v>
      </c>
      <c r="E2841" t="s">
        <v>46</v>
      </c>
      <c r="F2841">
        <v>552181</v>
      </c>
      <c r="G2841" s="6">
        <v>1</v>
      </c>
      <c r="H2841" t="s">
        <v>49</v>
      </c>
      <c r="I2841" t="s">
        <v>490</v>
      </c>
      <c r="J2841">
        <v>6</v>
      </c>
      <c r="K2841">
        <v>14.7</v>
      </c>
      <c r="L2841">
        <v>14.7</v>
      </c>
      <c r="M2841">
        <v>282</v>
      </c>
      <c r="N2841" s="2">
        <v>3240</v>
      </c>
      <c r="O2841" s="2">
        <v>0</v>
      </c>
      <c r="P2841" s="2">
        <v>1620</v>
      </c>
      <c r="Q2841" s="2">
        <v>1692</v>
      </c>
      <c r="R2841" s="2">
        <v>0</v>
      </c>
      <c r="S2841">
        <v>0</v>
      </c>
      <c r="T2841" s="2">
        <v>1620</v>
      </c>
      <c r="U2841" s="2">
        <v>3240</v>
      </c>
      <c r="V2841">
        <v>24.872399999999999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29.2</v>
      </c>
      <c r="AC2841">
        <v>2.2873333329999999</v>
      </c>
      <c r="AD2841">
        <v>27</v>
      </c>
      <c r="AE2841" s="7"/>
      <c r="AF2841" s="7"/>
      <c r="AG2841" s="7"/>
      <c r="AH2841" s="7"/>
      <c r="AI28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9.7126666670000006</v>
      </c>
      <c r="AJ2841" s="7"/>
      <c r="AK2841" t="s">
        <v>1381</v>
      </c>
      <c r="AN2841">
        <f>IFERROR(INT(Table13[[#This Row],[reject_prod]]/Table13[[#This Row],[part_weight]] * 1000), 0)</f>
        <v>0</v>
      </c>
    </row>
    <row r="2842" spans="1:40">
      <c r="A2842" s="1">
        <v>46106</v>
      </c>
      <c r="B2842">
        <v>2</v>
      </c>
      <c r="C2842">
        <v>12</v>
      </c>
      <c r="D2842" t="s">
        <v>33</v>
      </c>
      <c r="E2842" t="s">
        <v>46</v>
      </c>
      <c r="F2842">
        <v>555979</v>
      </c>
      <c r="G2842" s="6">
        <v>1</v>
      </c>
      <c r="H2842" t="s">
        <v>52</v>
      </c>
      <c r="I2842">
        <v>10689126</v>
      </c>
      <c r="J2842">
        <v>6</v>
      </c>
      <c r="K2842">
        <v>28</v>
      </c>
      <c r="L2842">
        <v>28</v>
      </c>
      <c r="M2842">
        <v>0</v>
      </c>
      <c r="N2842" s="2">
        <v>100800</v>
      </c>
      <c r="O2842" s="2">
        <v>0</v>
      </c>
      <c r="P2842" s="2">
        <v>0</v>
      </c>
      <c r="Q2842" s="2">
        <v>0</v>
      </c>
      <c r="R2842" s="2">
        <v>0</v>
      </c>
      <c r="S2842">
        <v>0</v>
      </c>
      <c r="T2842" s="2">
        <v>13440</v>
      </c>
      <c r="U2842" s="2">
        <v>87360</v>
      </c>
      <c r="V2842">
        <v>0</v>
      </c>
      <c r="W2842">
        <v>0</v>
      </c>
      <c r="X2842">
        <v>0</v>
      </c>
      <c r="Y2842" t="e">
        <v>#DIV/0!</v>
      </c>
      <c r="Z2842">
        <v>0</v>
      </c>
      <c r="AA2842" t="e">
        <v>#DIV/0!</v>
      </c>
      <c r="AB2842">
        <v>41.2</v>
      </c>
      <c r="AC2842">
        <v>0</v>
      </c>
      <c r="AD2842">
        <v>42</v>
      </c>
      <c r="AE2842" s="7"/>
      <c r="AF2842" s="7"/>
      <c r="AG2842" s="7"/>
      <c r="AH2842" s="7"/>
      <c r="AI2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42" s="7"/>
      <c r="AK2842" t="s">
        <v>1281</v>
      </c>
      <c r="AN2842">
        <f>IFERROR(INT(Table13[[#This Row],[reject_prod]]/Table13[[#This Row],[part_weight]] * 1000), 0)</f>
        <v>0</v>
      </c>
    </row>
    <row r="2843" spans="1:40">
      <c r="A2843" s="1">
        <v>46106</v>
      </c>
      <c r="B2843">
        <v>2</v>
      </c>
      <c r="C2843">
        <v>13</v>
      </c>
      <c r="D2843" t="s">
        <v>1382</v>
      </c>
      <c r="E2843" t="s">
        <v>46</v>
      </c>
      <c r="F2843">
        <v>586276</v>
      </c>
      <c r="G2843" s="6">
        <v>2</v>
      </c>
      <c r="H2843" t="s">
        <v>47</v>
      </c>
      <c r="I2843">
        <v>10689119</v>
      </c>
      <c r="J2843">
        <v>6</v>
      </c>
      <c r="K2843">
        <v>12.3</v>
      </c>
      <c r="L2843">
        <v>12.3</v>
      </c>
      <c r="M2843">
        <v>1619</v>
      </c>
      <c r="N2843" s="2">
        <v>162000</v>
      </c>
      <c r="O2843" s="2">
        <v>2025</v>
      </c>
      <c r="P2843" s="2">
        <v>3645</v>
      </c>
      <c r="Q2843" s="2">
        <v>9714</v>
      </c>
      <c r="R2843" s="2">
        <v>8100</v>
      </c>
      <c r="S2843">
        <v>99.63</v>
      </c>
      <c r="T2843" s="2">
        <v>84645</v>
      </c>
      <c r="U2843" s="2">
        <v>77355</v>
      </c>
      <c r="V2843">
        <v>119.48220000000001</v>
      </c>
      <c r="W2843">
        <v>0</v>
      </c>
      <c r="X2843">
        <v>0</v>
      </c>
      <c r="Y2843">
        <v>0</v>
      </c>
      <c r="Z2843">
        <v>2</v>
      </c>
      <c r="AA2843">
        <v>1.6738895E-2</v>
      </c>
      <c r="AB2843">
        <v>26.2</v>
      </c>
      <c r="AC2843">
        <v>11.78272222</v>
      </c>
      <c r="AD2843">
        <v>26</v>
      </c>
      <c r="AE2843" s="7"/>
      <c r="AF2843" s="7"/>
      <c r="AG2843" s="7"/>
      <c r="AH2843" s="7"/>
      <c r="AI2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0.21727777999999986</v>
      </c>
      <c r="AJ2843" s="7"/>
      <c r="AK2843" t="s">
        <v>51</v>
      </c>
      <c r="AN2843">
        <f>IFERROR(INT(Table13[[#This Row],[reject_prod]]/Table13[[#This Row],[part_weight]] * 1000), 0)</f>
        <v>162</v>
      </c>
    </row>
    <row r="2844" spans="1:40">
      <c r="A2844" s="1">
        <v>46106</v>
      </c>
      <c r="B2844">
        <v>2</v>
      </c>
      <c r="C2844">
        <v>14</v>
      </c>
      <c r="D2844" t="s">
        <v>67</v>
      </c>
      <c r="E2844" t="s">
        <v>34</v>
      </c>
      <c r="F2844">
        <v>541381</v>
      </c>
      <c r="G2844" s="6">
        <v>0</v>
      </c>
      <c r="H2844" t="s">
        <v>804</v>
      </c>
      <c r="I2844">
        <v>10689121</v>
      </c>
      <c r="J2844">
        <v>4</v>
      </c>
      <c r="K2844">
        <v>55</v>
      </c>
      <c r="L2844">
        <v>55</v>
      </c>
      <c r="M2844">
        <v>1610</v>
      </c>
      <c r="N2844" s="2">
        <v>84000</v>
      </c>
      <c r="O2844" s="2">
        <v>0</v>
      </c>
      <c r="P2844" s="2">
        <v>350</v>
      </c>
      <c r="Q2844" s="2">
        <v>6440</v>
      </c>
      <c r="R2844" s="2">
        <v>6300</v>
      </c>
      <c r="S2844">
        <v>346.5</v>
      </c>
      <c r="T2844" s="2">
        <v>33950</v>
      </c>
      <c r="U2844" s="2">
        <v>50050</v>
      </c>
      <c r="V2844">
        <v>354.2</v>
      </c>
      <c r="W2844">
        <v>0</v>
      </c>
      <c r="X2844">
        <v>0</v>
      </c>
      <c r="Y2844">
        <v>0</v>
      </c>
      <c r="Z2844">
        <v>2</v>
      </c>
      <c r="AA2844">
        <v>5.6465270000000001E-3</v>
      </c>
      <c r="AB2844">
        <v>26.8</v>
      </c>
      <c r="AC2844">
        <v>11.98555556</v>
      </c>
      <c r="AD2844">
        <v>30.08</v>
      </c>
      <c r="AE2844" s="7"/>
      <c r="AF2844" s="7"/>
      <c r="AG2844" s="7"/>
      <c r="AH2844" s="7"/>
      <c r="AI2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1.4444440000000114E-2</v>
      </c>
      <c r="AJ2844" s="7"/>
      <c r="AK2844" t="s">
        <v>270</v>
      </c>
      <c r="AN2844">
        <f>IFERROR(INT(Table13[[#This Row],[reject_prod]]/Table13[[#This Row],[part_weight]] * 1000), 0)</f>
        <v>36</v>
      </c>
    </row>
    <row r="2845" spans="1:40">
      <c r="A2845" s="1">
        <v>46106</v>
      </c>
      <c r="B2845">
        <v>2</v>
      </c>
      <c r="C2845">
        <v>15</v>
      </c>
      <c r="D2845" t="s">
        <v>112</v>
      </c>
      <c r="E2845" t="s">
        <v>46</v>
      </c>
      <c r="F2845">
        <v>552181</v>
      </c>
      <c r="G2845" s="6">
        <v>2</v>
      </c>
      <c r="H2845" t="s">
        <v>49</v>
      </c>
      <c r="I2845">
        <v>10689123</v>
      </c>
      <c r="J2845">
        <v>6</v>
      </c>
      <c r="K2845">
        <v>14.7</v>
      </c>
      <c r="L2845">
        <v>14.7</v>
      </c>
      <c r="M2845">
        <v>1364</v>
      </c>
      <c r="N2845" s="2">
        <v>108000</v>
      </c>
      <c r="O2845" s="2">
        <v>8100</v>
      </c>
      <c r="P2845" s="2">
        <v>2970</v>
      </c>
      <c r="Q2845" s="2">
        <v>8184</v>
      </c>
      <c r="R2845" s="2">
        <v>10800</v>
      </c>
      <c r="S2845">
        <v>158.76</v>
      </c>
      <c r="T2845" s="2">
        <v>100170</v>
      </c>
      <c r="U2845" s="2">
        <v>7830</v>
      </c>
      <c r="V2845">
        <v>120.3048</v>
      </c>
      <c r="W2845">
        <v>0</v>
      </c>
      <c r="X2845">
        <v>0</v>
      </c>
      <c r="Y2845">
        <v>0</v>
      </c>
      <c r="Z2845">
        <v>3</v>
      </c>
      <c r="AA2845">
        <v>2.4936660999999999E-2</v>
      </c>
      <c r="AB2845">
        <v>30.5</v>
      </c>
      <c r="AC2845">
        <v>11.55611111</v>
      </c>
      <c r="AD2845">
        <v>27</v>
      </c>
      <c r="AE2845" s="7"/>
      <c r="AF2845" s="7"/>
      <c r="AG2845" s="7"/>
      <c r="AH2845" s="7"/>
      <c r="AI2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0.4438888900000002</v>
      </c>
      <c r="AJ2845" s="7"/>
      <c r="AK2845" t="s">
        <v>1383</v>
      </c>
      <c r="AN2845">
        <f>IFERROR(INT(Table13[[#This Row],[reject_prod]]/Table13[[#This Row],[part_weight]] * 1000), 0)</f>
        <v>204</v>
      </c>
    </row>
    <row r="2846" spans="1:40">
      <c r="A2846" s="1">
        <v>46106</v>
      </c>
      <c r="B2846">
        <v>2</v>
      </c>
      <c r="C2846">
        <v>16</v>
      </c>
      <c r="D2846" t="s">
        <v>149</v>
      </c>
      <c r="E2846" t="s">
        <v>46</v>
      </c>
      <c r="F2846">
        <v>555979</v>
      </c>
      <c r="G2846" s="6">
        <v>2</v>
      </c>
      <c r="H2846" t="s">
        <v>52</v>
      </c>
      <c r="I2846">
        <v>10689125</v>
      </c>
      <c r="J2846">
        <v>6</v>
      </c>
      <c r="K2846">
        <v>28</v>
      </c>
      <c r="L2846">
        <v>28</v>
      </c>
      <c r="M2846">
        <v>1027</v>
      </c>
      <c r="N2846" s="2">
        <v>100800</v>
      </c>
      <c r="O2846" s="2">
        <v>336</v>
      </c>
      <c r="P2846" s="2">
        <v>3024</v>
      </c>
      <c r="Q2846" s="2">
        <v>6162</v>
      </c>
      <c r="R2846" s="2">
        <v>3360</v>
      </c>
      <c r="S2846">
        <v>94.08</v>
      </c>
      <c r="T2846" s="2">
        <v>83664</v>
      </c>
      <c r="U2846" s="2">
        <v>17136</v>
      </c>
      <c r="V2846">
        <v>172.536</v>
      </c>
      <c r="W2846">
        <v>0</v>
      </c>
      <c r="X2846">
        <v>0</v>
      </c>
      <c r="Y2846">
        <v>0</v>
      </c>
      <c r="Z2846">
        <v>1</v>
      </c>
      <c r="AA2846">
        <v>5.7958920000000004E-3</v>
      </c>
      <c r="AB2846">
        <v>42.55</v>
      </c>
      <c r="AC2846">
        <v>12</v>
      </c>
      <c r="AD2846">
        <v>42</v>
      </c>
      <c r="AE2846" s="7"/>
      <c r="AF2846" s="7"/>
      <c r="AG2846" s="7"/>
      <c r="AH2846" s="7"/>
      <c r="AI2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46" s="7"/>
      <c r="AK2846" t="s">
        <v>51</v>
      </c>
      <c r="AN2846">
        <f>IFERROR(INT(Table13[[#This Row],[reject_prod]]/Table13[[#This Row],[part_weight]] * 1000), 0)</f>
        <v>35</v>
      </c>
    </row>
    <row r="2847" spans="1:40">
      <c r="A2847" s="1">
        <v>46107</v>
      </c>
      <c r="B2847">
        <v>1</v>
      </c>
      <c r="C2847">
        <v>1</v>
      </c>
      <c r="D2847" t="s">
        <v>33</v>
      </c>
      <c r="E2847" t="s">
        <v>34</v>
      </c>
      <c r="F2847">
        <v>340460</v>
      </c>
      <c r="G2847" s="6">
        <v>0</v>
      </c>
      <c r="H2847" t="s">
        <v>1177</v>
      </c>
      <c r="I2847">
        <v>10691250</v>
      </c>
      <c r="J2847">
        <v>4</v>
      </c>
      <c r="K2847">
        <v>15.05</v>
      </c>
      <c r="L2847">
        <v>15.05</v>
      </c>
      <c r="M2847">
        <v>0</v>
      </c>
      <c r="N2847" s="2">
        <v>20300</v>
      </c>
      <c r="O2847" s="2">
        <v>0</v>
      </c>
      <c r="P2847" s="2">
        <v>0</v>
      </c>
      <c r="Q2847" s="2">
        <v>0</v>
      </c>
      <c r="R2847" s="2">
        <v>0</v>
      </c>
      <c r="S2847">
        <v>0</v>
      </c>
      <c r="T2847" s="2">
        <v>0</v>
      </c>
      <c r="U2847" s="2">
        <v>20300</v>
      </c>
      <c r="V2847">
        <v>0</v>
      </c>
      <c r="W2847">
        <v>0</v>
      </c>
      <c r="X2847">
        <v>0</v>
      </c>
      <c r="Y2847" t="e">
        <v>#DIV/0!</v>
      </c>
      <c r="Z2847">
        <v>0</v>
      </c>
      <c r="AA2847" t="e">
        <v>#DIV/0!</v>
      </c>
      <c r="AB2847">
        <v>0</v>
      </c>
      <c r="AC2847">
        <v>0</v>
      </c>
      <c r="AD2847">
        <v>20</v>
      </c>
      <c r="AE2847" s="7">
        <v>5.5</v>
      </c>
      <c r="AF2847" s="7"/>
      <c r="AG2847" s="7"/>
      <c r="AH2847" s="7"/>
      <c r="AI2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847" s="7"/>
      <c r="AK2847" t="s">
        <v>1384</v>
      </c>
      <c r="AL2847">
        <v>2</v>
      </c>
      <c r="AN2847">
        <f>IFERROR(INT(Table13[[#This Row],[reject_prod]]/Table13[[#This Row],[part_weight]] * 1000), 0)</f>
        <v>0</v>
      </c>
    </row>
    <row r="2848" spans="1:40">
      <c r="A2848" s="1">
        <v>46107</v>
      </c>
      <c r="B2848">
        <v>1</v>
      </c>
      <c r="C2848">
        <v>2</v>
      </c>
      <c r="D2848" t="s">
        <v>53</v>
      </c>
      <c r="E2848" t="s">
        <v>34</v>
      </c>
      <c r="F2848">
        <v>423213</v>
      </c>
      <c r="G2848" s="6">
        <v>0</v>
      </c>
      <c r="H2848" t="s">
        <v>70</v>
      </c>
      <c r="I2848">
        <v>10689499</v>
      </c>
      <c r="J2848">
        <v>4</v>
      </c>
      <c r="K2848">
        <v>23</v>
      </c>
      <c r="L2848">
        <v>23</v>
      </c>
      <c r="M2848">
        <v>1810</v>
      </c>
      <c r="N2848" s="2">
        <v>99822</v>
      </c>
      <c r="O2848" s="2">
        <v>3429</v>
      </c>
      <c r="P2848" s="2">
        <v>1524</v>
      </c>
      <c r="Q2848" s="2">
        <v>7240</v>
      </c>
      <c r="R2848" s="2">
        <v>9144</v>
      </c>
      <c r="S2848">
        <v>210.31200000000001</v>
      </c>
      <c r="T2848" s="2">
        <v>28956</v>
      </c>
      <c r="U2848" s="2">
        <v>70866</v>
      </c>
      <c r="V2848">
        <v>166.52</v>
      </c>
      <c r="W2848">
        <v>0</v>
      </c>
      <c r="X2848">
        <v>0</v>
      </c>
      <c r="Y2848">
        <v>0</v>
      </c>
      <c r="Z2848">
        <v>2.4</v>
      </c>
      <c r="AA2848">
        <v>1.4412683000000001E-2</v>
      </c>
      <c r="AB2848">
        <v>23.05</v>
      </c>
      <c r="AC2848">
        <v>11.58902778</v>
      </c>
      <c r="AD2848">
        <v>22.5</v>
      </c>
      <c r="AE2848" s="7"/>
      <c r="AF2848" s="7"/>
      <c r="AG2848" s="7"/>
      <c r="AH2848" s="7"/>
      <c r="AI2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0.41097221999999967</v>
      </c>
      <c r="AJ2848" s="7"/>
      <c r="AK2848" t="s">
        <v>214</v>
      </c>
      <c r="AN2848">
        <f>IFERROR(INT(Table13[[#This Row],[reject_prod]]/Table13[[#This Row],[part_weight]] * 1000), 0)</f>
        <v>104</v>
      </c>
    </row>
    <row r="2849" spans="1:40">
      <c r="A2849" s="1">
        <v>46107</v>
      </c>
      <c r="B2849">
        <v>1</v>
      </c>
      <c r="C2849">
        <v>3</v>
      </c>
      <c r="D2849" t="s">
        <v>651</v>
      </c>
      <c r="E2849" t="s">
        <v>34</v>
      </c>
      <c r="F2849">
        <v>442034</v>
      </c>
      <c r="G2849" s="6">
        <v>0</v>
      </c>
      <c r="H2849" t="s">
        <v>37</v>
      </c>
      <c r="I2849">
        <v>10688497</v>
      </c>
      <c r="J2849">
        <v>4</v>
      </c>
      <c r="K2849">
        <v>23</v>
      </c>
      <c r="L2849">
        <v>23</v>
      </c>
      <c r="M2849">
        <v>1730</v>
      </c>
      <c r="N2849" s="2">
        <v>139776</v>
      </c>
      <c r="O2849" s="2">
        <v>384</v>
      </c>
      <c r="P2849" s="2">
        <v>2688</v>
      </c>
      <c r="Q2849" s="2">
        <v>6920</v>
      </c>
      <c r="R2849" s="2">
        <v>4608</v>
      </c>
      <c r="S2849">
        <v>105.98399999999999</v>
      </c>
      <c r="T2849" s="2">
        <v>53376</v>
      </c>
      <c r="U2849" s="2">
        <v>86400</v>
      </c>
      <c r="V2849">
        <v>159.16</v>
      </c>
      <c r="W2849">
        <v>0</v>
      </c>
      <c r="X2849">
        <v>0</v>
      </c>
      <c r="Y2849">
        <v>0</v>
      </c>
      <c r="Z2849">
        <v>1</v>
      </c>
      <c r="AA2849">
        <v>6.282986E-3</v>
      </c>
      <c r="AB2849">
        <v>25.4</v>
      </c>
      <c r="AC2849">
        <v>12</v>
      </c>
      <c r="AD2849">
        <v>22</v>
      </c>
      <c r="AE2849" s="7"/>
      <c r="AF2849" s="7"/>
      <c r="AG2849" s="7"/>
      <c r="AH2849" s="7"/>
      <c r="AI2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49" s="7"/>
      <c r="AK2849" t="s">
        <v>214</v>
      </c>
      <c r="AL2849">
        <v>3</v>
      </c>
      <c r="AM2849">
        <v>4</v>
      </c>
      <c r="AN2849">
        <f>IFERROR(INT(Table13[[#This Row],[reject_prod]]/Table13[[#This Row],[part_weight]] * 1000), 0)</f>
        <v>43</v>
      </c>
    </row>
    <row r="2850" spans="1:40">
      <c r="A2850" s="1">
        <v>46107</v>
      </c>
      <c r="B2850">
        <v>1</v>
      </c>
      <c r="C2850">
        <v>4</v>
      </c>
      <c r="D2850" t="s">
        <v>58</v>
      </c>
      <c r="E2850" t="s">
        <v>34</v>
      </c>
      <c r="F2850">
        <v>451191</v>
      </c>
      <c r="G2850" s="6">
        <v>0</v>
      </c>
      <c r="H2850" t="s">
        <v>946</v>
      </c>
      <c r="I2850">
        <v>10690450</v>
      </c>
      <c r="J2850">
        <v>4</v>
      </c>
      <c r="K2850">
        <v>29</v>
      </c>
      <c r="L2850">
        <v>29</v>
      </c>
      <c r="M2850">
        <v>1500</v>
      </c>
      <c r="N2850" s="2">
        <v>110160</v>
      </c>
      <c r="O2850" s="2">
        <v>459</v>
      </c>
      <c r="P2850" s="2">
        <v>918</v>
      </c>
      <c r="Q2850" s="2">
        <v>6000</v>
      </c>
      <c r="R2850" s="2">
        <v>5508</v>
      </c>
      <c r="S2850">
        <v>159.732</v>
      </c>
      <c r="T2850" s="2">
        <v>89046</v>
      </c>
      <c r="U2850" s="2">
        <v>21114</v>
      </c>
      <c r="V2850">
        <v>174</v>
      </c>
      <c r="W2850">
        <v>0</v>
      </c>
      <c r="X2850">
        <v>0</v>
      </c>
      <c r="Y2850">
        <v>0</v>
      </c>
      <c r="Z2850">
        <v>11.3</v>
      </c>
      <c r="AA2850">
        <v>6.4942528999999999E-2</v>
      </c>
      <c r="AB2850">
        <v>25.2</v>
      </c>
      <c r="AC2850">
        <v>10.5</v>
      </c>
      <c r="AD2850">
        <v>24</v>
      </c>
      <c r="AE2850" s="7"/>
      <c r="AF2850" s="7"/>
      <c r="AG2850" s="7"/>
      <c r="AH2850" s="7"/>
      <c r="AI2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</v>
      </c>
      <c r="AJ2850" s="7"/>
      <c r="AK2850" t="s">
        <v>1385</v>
      </c>
      <c r="AN2850">
        <f>IFERROR(INT(Table13[[#This Row],[reject_prod]]/Table13[[#This Row],[part_weight]] * 1000), 0)</f>
        <v>389</v>
      </c>
    </row>
    <row r="2851" spans="1:40">
      <c r="A2851" s="1">
        <v>46107</v>
      </c>
      <c r="B2851">
        <v>1</v>
      </c>
      <c r="C2851">
        <v>5</v>
      </c>
      <c r="D2851" t="s">
        <v>1386</v>
      </c>
      <c r="E2851" t="s">
        <v>34</v>
      </c>
      <c r="F2851">
        <v>322382</v>
      </c>
      <c r="G2851" s="6">
        <v>0</v>
      </c>
      <c r="H2851" t="s">
        <v>1184</v>
      </c>
      <c r="I2851">
        <v>10689314</v>
      </c>
      <c r="J2851">
        <v>4</v>
      </c>
      <c r="K2851">
        <v>18.8</v>
      </c>
      <c r="L2851">
        <v>11.3</v>
      </c>
      <c r="M2851">
        <v>575</v>
      </c>
      <c r="N2851" s="2">
        <v>10350</v>
      </c>
      <c r="O2851" s="2">
        <v>8050</v>
      </c>
      <c r="P2851" s="2">
        <v>0</v>
      </c>
      <c r="Q2851" s="2">
        <v>2300</v>
      </c>
      <c r="R2851" s="2">
        <v>10350</v>
      </c>
      <c r="S2851">
        <v>116.955</v>
      </c>
      <c r="T2851" s="2">
        <v>10350</v>
      </c>
      <c r="U2851" s="2">
        <v>0</v>
      </c>
      <c r="V2851">
        <v>25.99</v>
      </c>
      <c r="W2851">
        <v>0</v>
      </c>
      <c r="X2851">
        <v>0</v>
      </c>
      <c r="Y2851">
        <v>0</v>
      </c>
      <c r="Z2851">
        <v>1.7</v>
      </c>
      <c r="AA2851">
        <v>6.5409773000000004E-2</v>
      </c>
      <c r="AB2851">
        <v>20.34</v>
      </c>
      <c r="AC2851">
        <v>3.2487499999999998</v>
      </c>
      <c r="AD2851">
        <v>15.44</v>
      </c>
      <c r="AE2851" s="7"/>
      <c r="AF2851" s="7"/>
      <c r="AG2851" s="7"/>
      <c r="AH2851" s="7"/>
      <c r="AI2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8.7512500000000006</v>
      </c>
      <c r="AJ2851" s="7"/>
      <c r="AK2851" t="s">
        <v>477</v>
      </c>
      <c r="AL2851">
        <v>3</v>
      </c>
      <c r="AN2851">
        <f>IFERROR(INT(Table13[[#This Row],[reject_prod]]/Table13[[#This Row],[part_weight]] * 1000), 0)</f>
        <v>150</v>
      </c>
    </row>
    <row r="2852" spans="1:40">
      <c r="A2852" s="1">
        <v>46107</v>
      </c>
      <c r="B2852">
        <v>1</v>
      </c>
      <c r="C2852">
        <v>5</v>
      </c>
      <c r="D2852" t="s">
        <v>33</v>
      </c>
      <c r="E2852" t="s">
        <v>34</v>
      </c>
      <c r="F2852">
        <v>626029</v>
      </c>
      <c r="G2852" s="6">
        <v>0</v>
      </c>
      <c r="H2852" t="s">
        <v>478</v>
      </c>
      <c r="I2852">
        <v>10689832</v>
      </c>
      <c r="J2852">
        <v>4</v>
      </c>
      <c r="K2852">
        <v>48.39</v>
      </c>
      <c r="L2852">
        <v>48.39</v>
      </c>
      <c r="M2852">
        <v>0</v>
      </c>
      <c r="N2852" s="2">
        <v>29952</v>
      </c>
      <c r="O2852" s="2">
        <v>0</v>
      </c>
      <c r="P2852" s="2">
        <v>0</v>
      </c>
      <c r="Q2852" s="2">
        <v>0</v>
      </c>
      <c r="R2852" s="2">
        <v>0</v>
      </c>
      <c r="S2852">
        <v>0</v>
      </c>
      <c r="T2852" s="2">
        <v>0</v>
      </c>
      <c r="U2852" s="2">
        <v>29952</v>
      </c>
      <c r="V2852">
        <v>0</v>
      </c>
      <c r="W2852">
        <v>0</v>
      </c>
      <c r="X2852">
        <v>0</v>
      </c>
      <c r="Y2852" t="e">
        <v>#DIV/0!</v>
      </c>
      <c r="Z2852">
        <v>0</v>
      </c>
      <c r="AA2852" t="e">
        <v>#DIV/0!</v>
      </c>
      <c r="AB2852">
        <v>22</v>
      </c>
      <c r="AC2852">
        <v>0</v>
      </c>
      <c r="AD2852">
        <v>28</v>
      </c>
      <c r="AE2852" s="7">
        <v>5.5</v>
      </c>
      <c r="AF2852" s="7"/>
      <c r="AG2852" s="7"/>
      <c r="AH2852" s="7"/>
      <c r="AI2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852" s="7"/>
      <c r="AK2852" t="s">
        <v>1387</v>
      </c>
      <c r="AN2852">
        <f>IFERROR(INT(Table13[[#This Row],[reject_prod]]/Table13[[#This Row],[part_weight]] * 1000), 0)</f>
        <v>0</v>
      </c>
    </row>
    <row r="2853" spans="1:40">
      <c r="A2853" s="1">
        <v>46107</v>
      </c>
      <c r="B2853">
        <v>1</v>
      </c>
      <c r="C2853">
        <v>6</v>
      </c>
      <c r="D2853" t="s">
        <v>33</v>
      </c>
      <c r="E2853" t="s">
        <v>34</v>
      </c>
      <c r="F2853">
        <v>661980</v>
      </c>
      <c r="G2853" s="6">
        <v>0</v>
      </c>
      <c r="H2853" t="s">
        <v>1378</v>
      </c>
      <c r="I2853">
        <v>10690617</v>
      </c>
      <c r="J2853">
        <v>4</v>
      </c>
      <c r="K2853">
        <v>24.9</v>
      </c>
      <c r="L2853">
        <v>24.9</v>
      </c>
      <c r="M2853">
        <v>0</v>
      </c>
      <c r="N2853" s="2">
        <v>6240</v>
      </c>
      <c r="O2853" s="2">
        <v>0</v>
      </c>
      <c r="P2853" s="2">
        <v>0</v>
      </c>
      <c r="Q2853" s="2">
        <v>0</v>
      </c>
      <c r="R2853" s="2">
        <v>0</v>
      </c>
      <c r="S2853">
        <v>0</v>
      </c>
      <c r="T2853" s="2">
        <v>0</v>
      </c>
      <c r="U2853" s="2">
        <v>6240</v>
      </c>
      <c r="V2853">
        <v>0</v>
      </c>
      <c r="W2853">
        <v>0</v>
      </c>
      <c r="X2853">
        <v>3.3</v>
      </c>
      <c r="Y2853" t="e">
        <v>#DIV/0!</v>
      </c>
      <c r="Z2853">
        <v>0</v>
      </c>
      <c r="AA2853" t="e">
        <v>#DIV/0!</v>
      </c>
      <c r="AB2853">
        <v>22</v>
      </c>
      <c r="AC2853">
        <v>0</v>
      </c>
      <c r="AD2853">
        <v>22</v>
      </c>
      <c r="AE2853" s="7"/>
      <c r="AF2853" s="7"/>
      <c r="AG2853" s="7"/>
      <c r="AH2853" s="7"/>
      <c r="AI2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3" s="7"/>
      <c r="AK2853" t="s">
        <v>1388</v>
      </c>
      <c r="AL2853">
        <v>12</v>
      </c>
      <c r="AM2853">
        <v>9</v>
      </c>
      <c r="AN2853">
        <f>IFERROR(INT(Table13[[#This Row],[reject_prod]]/Table13[[#This Row],[part_weight]] * 1000), 0)</f>
        <v>0</v>
      </c>
    </row>
    <row r="2854" spans="1:40">
      <c r="A2854" s="1">
        <v>46107</v>
      </c>
      <c r="B2854">
        <v>1</v>
      </c>
      <c r="C2854">
        <v>7</v>
      </c>
      <c r="D2854" t="s">
        <v>84</v>
      </c>
      <c r="E2854" t="s">
        <v>34</v>
      </c>
      <c r="F2854">
        <v>597507</v>
      </c>
      <c r="G2854" s="6">
        <v>0</v>
      </c>
      <c r="H2854" t="s">
        <v>279</v>
      </c>
      <c r="I2854">
        <v>10690042</v>
      </c>
      <c r="J2854">
        <v>4</v>
      </c>
      <c r="K2854">
        <v>23</v>
      </c>
      <c r="L2854">
        <v>23</v>
      </c>
      <c r="M2854">
        <v>1772</v>
      </c>
      <c r="N2854" s="2">
        <v>86240</v>
      </c>
      <c r="O2854" s="2">
        <v>0</v>
      </c>
      <c r="P2854" s="2">
        <v>616</v>
      </c>
      <c r="Q2854" s="2">
        <v>7088</v>
      </c>
      <c r="R2854" s="2">
        <v>6468</v>
      </c>
      <c r="S2854">
        <v>148.76400000000001</v>
      </c>
      <c r="T2854" s="2">
        <v>43736</v>
      </c>
      <c r="U2854" s="2">
        <v>42504</v>
      </c>
      <c r="V2854">
        <v>163.024</v>
      </c>
      <c r="W2854">
        <v>0</v>
      </c>
      <c r="X2854">
        <v>0</v>
      </c>
      <c r="Y2854">
        <v>0</v>
      </c>
      <c r="Z2854">
        <v>6</v>
      </c>
      <c r="AA2854">
        <v>3.6804397000000003E-2</v>
      </c>
      <c r="AB2854">
        <v>23.54</v>
      </c>
      <c r="AC2854">
        <v>11.586911110000001</v>
      </c>
      <c r="AD2854">
        <v>22</v>
      </c>
      <c r="AE2854" s="7"/>
      <c r="AF2854" s="7"/>
      <c r="AG2854" s="7"/>
      <c r="AH2854" s="7"/>
      <c r="AI2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0.41308888999999915</v>
      </c>
      <c r="AJ2854" s="7"/>
      <c r="AK2854" t="s">
        <v>608</v>
      </c>
      <c r="AL2854">
        <v>4</v>
      </c>
      <c r="AM2854">
        <v>2</v>
      </c>
      <c r="AN2854">
        <f>IFERROR(INT(Table13[[#This Row],[reject_prod]]/Table13[[#This Row],[part_weight]] * 1000), 0)</f>
        <v>260</v>
      </c>
    </row>
    <row r="2855" spans="1:40">
      <c r="A2855" s="1">
        <v>46107</v>
      </c>
      <c r="B2855">
        <v>1</v>
      </c>
      <c r="C2855">
        <v>8</v>
      </c>
      <c r="D2855" t="s">
        <v>534</v>
      </c>
      <c r="E2855" t="s">
        <v>41</v>
      </c>
      <c r="F2855">
        <v>593537</v>
      </c>
      <c r="G2855" s="6">
        <v>0</v>
      </c>
      <c r="H2855" t="s">
        <v>48</v>
      </c>
      <c r="I2855">
        <v>10689827</v>
      </c>
      <c r="J2855">
        <v>4</v>
      </c>
      <c r="K2855">
        <v>56.5</v>
      </c>
      <c r="L2855">
        <v>56.8</v>
      </c>
      <c r="M2855">
        <v>1440</v>
      </c>
      <c r="N2855" s="2">
        <v>69000</v>
      </c>
      <c r="O2855" s="2">
        <v>460</v>
      </c>
      <c r="P2855" s="2">
        <v>460</v>
      </c>
      <c r="Q2855" s="2">
        <v>5760</v>
      </c>
      <c r="R2855" s="2">
        <v>5750</v>
      </c>
      <c r="S2855">
        <v>326.60000000000002</v>
      </c>
      <c r="T2855" s="2">
        <v>15985</v>
      </c>
      <c r="U2855" s="2">
        <v>53015</v>
      </c>
      <c r="V2855">
        <v>327.16800000000001</v>
      </c>
      <c r="W2855">
        <v>0</v>
      </c>
      <c r="X2855">
        <v>0</v>
      </c>
      <c r="Y2855">
        <v>0</v>
      </c>
      <c r="Z2855">
        <v>2.5</v>
      </c>
      <c r="AA2855">
        <v>7.6413339999999996E-3</v>
      </c>
      <c r="AB2855">
        <v>29.9</v>
      </c>
      <c r="AC2855">
        <v>11.96</v>
      </c>
      <c r="AD2855">
        <v>28.5</v>
      </c>
      <c r="AE2855" s="7"/>
      <c r="AF2855" s="7"/>
      <c r="AG2855" s="7"/>
      <c r="AH2855" s="7"/>
      <c r="AI2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855" s="7"/>
      <c r="AK2855" t="s">
        <v>178</v>
      </c>
      <c r="AM2855">
        <v>3</v>
      </c>
      <c r="AN2855">
        <f>IFERROR(INT(Table13[[#This Row],[reject_prod]]/Table13[[#This Row],[part_weight]] * 1000), 0)</f>
        <v>44</v>
      </c>
    </row>
    <row r="2856" spans="1:40">
      <c r="A2856" s="1">
        <v>46107</v>
      </c>
      <c r="B2856">
        <v>1</v>
      </c>
      <c r="C2856">
        <v>9</v>
      </c>
      <c r="D2856" t="s">
        <v>289</v>
      </c>
      <c r="E2856" t="s">
        <v>46</v>
      </c>
      <c r="F2856">
        <v>586276</v>
      </c>
      <c r="G2856" s="6">
        <v>1</v>
      </c>
      <c r="H2856" t="s">
        <v>47</v>
      </c>
      <c r="I2856">
        <v>10689112</v>
      </c>
      <c r="J2856">
        <v>6</v>
      </c>
      <c r="K2856">
        <v>12.3</v>
      </c>
      <c r="L2856">
        <v>12.3</v>
      </c>
      <c r="M2856">
        <v>1540</v>
      </c>
      <c r="N2856" s="2">
        <v>162000</v>
      </c>
      <c r="O2856" s="2">
        <v>7290</v>
      </c>
      <c r="P2856" s="2">
        <v>8505</v>
      </c>
      <c r="Q2856" s="2">
        <v>9240</v>
      </c>
      <c r="R2856" s="2">
        <v>8100</v>
      </c>
      <c r="S2856">
        <v>99.63</v>
      </c>
      <c r="T2856" s="2">
        <v>105705</v>
      </c>
      <c r="U2856" s="2">
        <v>56295</v>
      </c>
      <c r="V2856">
        <v>113.652</v>
      </c>
      <c r="W2856">
        <v>0</v>
      </c>
      <c r="X2856">
        <v>0</v>
      </c>
      <c r="Y2856">
        <v>0</v>
      </c>
      <c r="Z2856">
        <v>1.5</v>
      </c>
      <c r="AA2856">
        <v>1.3198184E-2</v>
      </c>
      <c r="AB2856">
        <v>29.6</v>
      </c>
      <c r="AC2856">
        <v>12</v>
      </c>
      <c r="AD2856">
        <v>26</v>
      </c>
      <c r="AE2856" s="7"/>
      <c r="AF2856" s="7"/>
      <c r="AG2856" s="7"/>
      <c r="AH2856" s="7"/>
      <c r="AI2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56" s="7"/>
      <c r="AK2856" t="s">
        <v>57</v>
      </c>
      <c r="AN2856">
        <f>IFERROR(INT(Table13[[#This Row],[reject_prod]]/Table13[[#This Row],[part_weight]] * 1000), 0)</f>
        <v>121</v>
      </c>
    </row>
    <row r="2857" spans="1:40">
      <c r="A2857" s="1">
        <v>46107</v>
      </c>
      <c r="B2857">
        <v>1</v>
      </c>
      <c r="C2857">
        <v>10</v>
      </c>
      <c r="D2857" t="s">
        <v>33</v>
      </c>
      <c r="E2857" t="s">
        <v>34</v>
      </c>
      <c r="F2857">
        <v>324638</v>
      </c>
      <c r="G2857" s="6">
        <v>0</v>
      </c>
      <c r="H2857" t="s">
        <v>687</v>
      </c>
      <c r="I2857">
        <v>10689561</v>
      </c>
      <c r="J2857">
        <v>4</v>
      </c>
      <c r="K2857">
        <v>77.5</v>
      </c>
      <c r="L2857">
        <v>77.5</v>
      </c>
      <c r="M2857">
        <v>0</v>
      </c>
      <c r="N2857" s="2">
        <v>13248</v>
      </c>
      <c r="O2857" s="2">
        <v>0</v>
      </c>
      <c r="P2857" s="2">
        <v>0</v>
      </c>
      <c r="Q2857" s="2">
        <v>0</v>
      </c>
      <c r="R2857" s="2">
        <v>0</v>
      </c>
      <c r="S2857">
        <v>0</v>
      </c>
      <c r="T2857" s="2">
        <v>0</v>
      </c>
      <c r="U2857" s="2">
        <v>13248</v>
      </c>
      <c r="V2857">
        <v>0</v>
      </c>
      <c r="W2857">
        <v>0</v>
      </c>
      <c r="X2857">
        <v>4.3</v>
      </c>
      <c r="Y2857" t="e">
        <v>#DIV/0!</v>
      </c>
      <c r="Z2857">
        <v>0</v>
      </c>
      <c r="AA2857" t="e">
        <v>#DIV/0!</v>
      </c>
      <c r="AB2857">
        <v>29.2</v>
      </c>
      <c r="AC2857">
        <v>0</v>
      </c>
      <c r="AD2857">
        <v>36</v>
      </c>
      <c r="AE2857" s="7"/>
      <c r="AF2857" s="7"/>
      <c r="AG2857" s="7"/>
      <c r="AH2857" s="7"/>
      <c r="AI2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7" s="7"/>
      <c r="AK2857" t="s">
        <v>1389</v>
      </c>
      <c r="AL2857">
        <v>3.2</v>
      </c>
      <c r="AM2857">
        <v>13</v>
      </c>
      <c r="AN2857">
        <f>IFERROR(INT(Table13[[#This Row],[reject_prod]]/Table13[[#This Row],[part_weight]] * 1000), 0)</f>
        <v>0</v>
      </c>
    </row>
    <row r="2858" spans="1:40">
      <c r="A2858" s="1">
        <v>46107</v>
      </c>
      <c r="B2858">
        <v>1</v>
      </c>
      <c r="C2858">
        <v>11</v>
      </c>
      <c r="D2858" t="s">
        <v>33</v>
      </c>
      <c r="E2858" t="s">
        <v>46</v>
      </c>
      <c r="F2858">
        <v>552181</v>
      </c>
      <c r="G2858" s="6">
        <v>1</v>
      </c>
      <c r="H2858" t="s">
        <v>49</v>
      </c>
      <c r="I2858" t="s">
        <v>490</v>
      </c>
      <c r="J2858">
        <v>6</v>
      </c>
      <c r="K2858">
        <v>14.7</v>
      </c>
      <c r="L2858">
        <v>14.7</v>
      </c>
      <c r="M2858">
        <v>270</v>
      </c>
      <c r="N2858" s="2">
        <v>3240</v>
      </c>
      <c r="O2858" s="2">
        <v>1620</v>
      </c>
      <c r="P2858" s="2">
        <v>3240</v>
      </c>
      <c r="Q2858" s="2">
        <v>1620</v>
      </c>
      <c r="R2858" s="2">
        <v>0</v>
      </c>
      <c r="S2858">
        <v>0</v>
      </c>
      <c r="T2858" s="2">
        <v>3240</v>
      </c>
      <c r="U2858" s="2">
        <v>0</v>
      </c>
      <c r="V2858">
        <v>23.814</v>
      </c>
      <c r="W2858">
        <v>0</v>
      </c>
      <c r="X2858">
        <v>0</v>
      </c>
      <c r="Y2858">
        <v>0</v>
      </c>
      <c r="Z2858">
        <v>1</v>
      </c>
      <c r="AA2858">
        <v>4.1992105000000002E-2</v>
      </c>
      <c r="AB2858">
        <v>29.2</v>
      </c>
      <c r="AC2858">
        <v>2.19</v>
      </c>
      <c r="AD2858">
        <v>27</v>
      </c>
      <c r="AE2858" s="7"/>
      <c r="AF2858" s="7"/>
      <c r="AG2858" s="7"/>
      <c r="AH2858" s="7"/>
      <c r="AI2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9.81</v>
      </c>
      <c r="AJ2858" s="7"/>
      <c r="AK2858" t="s">
        <v>1390</v>
      </c>
      <c r="AN2858">
        <f>IFERROR(INT(Table13[[#This Row],[reject_prod]]/Table13[[#This Row],[part_weight]] * 1000), 0)</f>
        <v>68</v>
      </c>
    </row>
    <row r="2859" spans="1:40">
      <c r="A2859" s="1">
        <v>46107</v>
      </c>
      <c r="B2859">
        <v>1</v>
      </c>
      <c r="C2859">
        <v>11</v>
      </c>
      <c r="D2859" t="s">
        <v>33</v>
      </c>
      <c r="E2859" t="s">
        <v>46</v>
      </c>
      <c r="F2859">
        <v>552181</v>
      </c>
      <c r="G2859" s="6">
        <v>1</v>
      </c>
      <c r="H2859" t="s">
        <v>49</v>
      </c>
      <c r="I2859" t="s">
        <v>490</v>
      </c>
      <c r="J2859">
        <v>6</v>
      </c>
      <c r="K2859">
        <v>14.7</v>
      </c>
      <c r="L2859">
        <v>14.7</v>
      </c>
      <c r="M2859">
        <v>0</v>
      </c>
      <c r="N2859" s="2">
        <v>3240</v>
      </c>
      <c r="O2859" s="2">
        <v>0</v>
      </c>
      <c r="P2859" s="2">
        <v>0</v>
      </c>
      <c r="Q2859" s="2">
        <v>0</v>
      </c>
      <c r="R2859" s="2">
        <v>0</v>
      </c>
      <c r="S2859">
        <v>0</v>
      </c>
      <c r="T2859" s="2">
        <v>0</v>
      </c>
      <c r="U2859" s="2">
        <v>3240</v>
      </c>
      <c r="V2859">
        <v>0</v>
      </c>
      <c r="W2859">
        <v>0</v>
      </c>
      <c r="X2859">
        <v>0</v>
      </c>
      <c r="Y2859" t="e">
        <v>#DIV/0!</v>
      </c>
      <c r="Z2859">
        <v>0</v>
      </c>
      <c r="AA2859" t="e">
        <v>#DIV/0!</v>
      </c>
      <c r="AB2859">
        <v>29.2</v>
      </c>
      <c r="AC2859">
        <v>0</v>
      </c>
      <c r="AD2859">
        <v>27</v>
      </c>
      <c r="AE2859" s="7"/>
      <c r="AF2859" s="7"/>
      <c r="AG2859" s="7"/>
      <c r="AH2859" s="7"/>
      <c r="AI28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9" s="7"/>
      <c r="AK2859" t="s">
        <v>1391</v>
      </c>
      <c r="AN2859">
        <f>IFERROR(INT(Table13[[#This Row],[reject_prod]]/Table13[[#This Row],[part_weight]] * 1000), 0)</f>
        <v>0</v>
      </c>
    </row>
    <row r="2860" spans="1:40">
      <c r="A2860" s="1">
        <v>46107</v>
      </c>
      <c r="B2860">
        <v>1</v>
      </c>
      <c r="C2860">
        <v>11</v>
      </c>
      <c r="D2860" t="s">
        <v>54</v>
      </c>
      <c r="E2860" t="s">
        <v>46</v>
      </c>
      <c r="F2860">
        <v>552181</v>
      </c>
      <c r="G2860" s="6">
        <v>1</v>
      </c>
      <c r="H2860" t="s">
        <v>49</v>
      </c>
      <c r="I2860" t="s">
        <v>490</v>
      </c>
      <c r="J2860">
        <v>6</v>
      </c>
      <c r="K2860">
        <v>14.7</v>
      </c>
      <c r="L2860">
        <v>14.7</v>
      </c>
      <c r="M2860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1350</v>
      </c>
      <c r="S2860">
        <v>19.844999999999999</v>
      </c>
      <c r="T2860" s="2">
        <v>0</v>
      </c>
      <c r="U2860" s="2">
        <v>0</v>
      </c>
      <c r="V2860">
        <v>0</v>
      </c>
      <c r="W2860">
        <v>0</v>
      </c>
      <c r="X2860">
        <v>0</v>
      </c>
      <c r="Y2860" t="e">
        <v>#DIV/0!</v>
      </c>
      <c r="Z2860">
        <v>0</v>
      </c>
      <c r="AA2860" t="e">
        <v>#DIV/0!</v>
      </c>
      <c r="AB2860">
        <v>27</v>
      </c>
      <c r="AC2860">
        <v>0</v>
      </c>
      <c r="AD2860">
        <v>27</v>
      </c>
      <c r="AE2860" s="7"/>
      <c r="AF2860" s="7"/>
      <c r="AG2860" s="7"/>
      <c r="AH2860" s="7"/>
      <c r="AI2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0" s="7"/>
      <c r="AK2860" t="s">
        <v>437</v>
      </c>
      <c r="AN2860">
        <f>IFERROR(INT(Table13[[#This Row],[reject_prod]]/Table13[[#This Row],[part_weight]] * 1000), 0)</f>
        <v>0</v>
      </c>
    </row>
    <row r="2861" spans="1:40">
      <c r="A2861" s="1">
        <v>46107</v>
      </c>
      <c r="B2861">
        <v>1</v>
      </c>
      <c r="C2861">
        <v>12</v>
      </c>
      <c r="D2861" t="s">
        <v>33</v>
      </c>
      <c r="E2861" t="s">
        <v>46</v>
      </c>
      <c r="F2861">
        <v>555979</v>
      </c>
      <c r="G2861" s="6">
        <v>1</v>
      </c>
      <c r="H2861" t="s">
        <v>52</v>
      </c>
      <c r="I2861">
        <v>10689126</v>
      </c>
      <c r="J2861">
        <v>6</v>
      </c>
      <c r="K2861">
        <v>28</v>
      </c>
      <c r="L2861">
        <v>28</v>
      </c>
      <c r="M2861">
        <v>0</v>
      </c>
      <c r="N2861" s="2">
        <v>100800</v>
      </c>
      <c r="O2861" s="2">
        <v>0</v>
      </c>
      <c r="P2861" s="2">
        <v>0</v>
      </c>
      <c r="Q2861" s="2">
        <v>0</v>
      </c>
      <c r="R2861" s="2">
        <v>0</v>
      </c>
      <c r="S2861">
        <v>0</v>
      </c>
      <c r="T2861" s="2">
        <v>13440</v>
      </c>
      <c r="U2861" s="2">
        <v>87360</v>
      </c>
      <c r="V2861">
        <v>0</v>
      </c>
      <c r="W2861">
        <v>0</v>
      </c>
      <c r="X2861">
        <v>6.3</v>
      </c>
      <c r="Y2861" t="e">
        <v>#DIV/0!</v>
      </c>
      <c r="Z2861">
        <v>0</v>
      </c>
      <c r="AA2861" t="e">
        <v>#DIV/0!</v>
      </c>
      <c r="AB2861">
        <v>41.2</v>
      </c>
      <c r="AC2861">
        <v>0</v>
      </c>
      <c r="AD2861">
        <v>42</v>
      </c>
      <c r="AE2861" s="7"/>
      <c r="AF2861" s="7"/>
      <c r="AG2861" s="7"/>
      <c r="AH2861" s="7"/>
      <c r="AI2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1" s="7"/>
      <c r="AK2861" t="s">
        <v>1392</v>
      </c>
      <c r="AN2861">
        <f>IFERROR(INT(Table13[[#This Row],[reject_prod]]/Table13[[#This Row],[part_weight]] * 1000), 0)</f>
        <v>0</v>
      </c>
    </row>
    <row r="2862" spans="1:40">
      <c r="A2862" s="1">
        <v>46107</v>
      </c>
      <c r="B2862">
        <v>1</v>
      </c>
      <c r="C2862">
        <v>13</v>
      </c>
      <c r="D2862" t="s">
        <v>56</v>
      </c>
      <c r="E2862" t="s">
        <v>46</v>
      </c>
      <c r="F2862">
        <v>586276</v>
      </c>
      <c r="G2862" s="6">
        <v>2</v>
      </c>
      <c r="H2862" t="s">
        <v>47</v>
      </c>
      <c r="I2862">
        <v>10689119</v>
      </c>
      <c r="J2862">
        <v>6</v>
      </c>
      <c r="K2862">
        <v>12.3</v>
      </c>
      <c r="L2862">
        <v>12.3</v>
      </c>
      <c r="M2862">
        <v>1620</v>
      </c>
      <c r="N2862" s="2">
        <v>162000</v>
      </c>
      <c r="O2862" s="2">
        <v>3645</v>
      </c>
      <c r="P2862" s="2">
        <v>5265</v>
      </c>
      <c r="Q2862" s="2">
        <v>9720</v>
      </c>
      <c r="R2862" s="2">
        <v>8100</v>
      </c>
      <c r="S2862">
        <v>99.63</v>
      </c>
      <c r="T2862" s="2">
        <v>94365</v>
      </c>
      <c r="U2862" s="2">
        <v>67635</v>
      </c>
      <c r="V2862">
        <v>119.556</v>
      </c>
      <c r="W2862">
        <v>0</v>
      </c>
      <c r="X2862">
        <v>0</v>
      </c>
      <c r="Y2862">
        <v>0</v>
      </c>
      <c r="Z2862">
        <v>1.3</v>
      </c>
      <c r="AA2862">
        <v>1.0873565999999999E-2</v>
      </c>
      <c r="AB2862">
        <v>26.2</v>
      </c>
      <c r="AC2862">
        <v>11.79</v>
      </c>
      <c r="AD2862">
        <v>26</v>
      </c>
      <c r="AE2862" s="7"/>
      <c r="AF2862" s="7"/>
      <c r="AG2862" s="7"/>
      <c r="AH2862" s="7"/>
      <c r="AI2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862" s="7"/>
      <c r="AK2862" t="s">
        <v>51</v>
      </c>
      <c r="AN2862">
        <f>IFERROR(INT(Table13[[#This Row],[reject_prod]]/Table13[[#This Row],[part_weight]] * 1000), 0)</f>
        <v>105</v>
      </c>
    </row>
    <row r="2863" spans="1:40">
      <c r="A2863" s="1">
        <v>46107</v>
      </c>
      <c r="B2863">
        <v>1</v>
      </c>
      <c r="C2863">
        <v>14</v>
      </c>
      <c r="D2863" t="s">
        <v>54</v>
      </c>
      <c r="E2863" t="s">
        <v>34</v>
      </c>
      <c r="F2863">
        <v>541381</v>
      </c>
      <c r="G2863" s="6">
        <v>0</v>
      </c>
      <c r="H2863" t="s">
        <v>804</v>
      </c>
      <c r="I2863">
        <v>10689121</v>
      </c>
      <c r="J2863">
        <v>4</v>
      </c>
      <c r="K2863">
        <v>55</v>
      </c>
      <c r="L2863">
        <v>55</v>
      </c>
      <c r="M2863">
        <v>1585</v>
      </c>
      <c r="N2863" s="2">
        <v>84000</v>
      </c>
      <c r="O2863" s="2">
        <v>350</v>
      </c>
      <c r="P2863" s="2">
        <v>350</v>
      </c>
      <c r="Q2863" s="2">
        <v>6340</v>
      </c>
      <c r="R2863" s="2">
        <v>6300</v>
      </c>
      <c r="S2863">
        <v>346.5</v>
      </c>
      <c r="T2863" s="2">
        <v>40250</v>
      </c>
      <c r="U2863" s="2">
        <v>43750</v>
      </c>
      <c r="V2863">
        <v>348.7</v>
      </c>
      <c r="W2863">
        <v>0</v>
      </c>
      <c r="X2863">
        <v>0</v>
      </c>
      <c r="Y2863">
        <v>0</v>
      </c>
      <c r="Z2863">
        <v>1.7</v>
      </c>
      <c r="AA2863">
        <v>4.8752509999999997E-3</v>
      </c>
      <c r="AB2863">
        <v>26.78</v>
      </c>
      <c r="AC2863">
        <v>11.79063889</v>
      </c>
      <c r="AD2863">
        <v>30.08</v>
      </c>
      <c r="AE2863" s="7"/>
      <c r="AF2863" s="7"/>
      <c r="AG2863" s="7"/>
      <c r="AH2863" s="7"/>
      <c r="AI2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0.20936110999999968</v>
      </c>
      <c r="AJ2863" s="7"/>
      <c r="AK2863" t="s">
        <v>1393</v>
      </c>
      <c r="AN2863">
        <f>IFERROR(INT(Table13[[#This Row],[reject_prod]]/Table13[[#This Row],[part_weight]] * 1000), 0)</f>
        <v>30</v>
      </c>
    </row>
    <row r="2864" spans="1:40">
      <c r="A2864" s="1">
        <v>46107</v>
      </c>
      <c r="B2864">
        <v>1</v>
      </c>
      <c r="C2864">
        <v>15</v>
      </c>
      <c r="D2864" t="s">
        <v>208</v>
      </c>
      <c r="E2864" t="s">
        <v>46</v>
      </c>
      <c r="F2864">
        <v>552181</v>
      </c>
      <c r="G2864" s="6">
        <v>2</v>
      </c>
      <c r="H2864" t="s">
        <v>49</v>
      </c>
      <c r="I2864">
        <v>10689123</v>
      </c>
      <c r="J2864">
        <v>6</v>
      </c>
      <c r="K2864">
        <v>14.7</v>
      </c>
      <c r="L2864">
        <v>14.7</v>
      </c>
      <c r="M2864">
        <v>1400</v>
      </c>
      <c r="N2864" s="2">
        <v>108000</v>
      </c>
      <c r="O2864" s="2">
        <v>2970</v>
      </c>
      <c r="P2864" s="2">
        <v>0</v>
      </c>
      <c r="Q2864" s="2">
        <v>8400</v>
      </c>
      <c r="R2864" s="2">
        <v>10800</v>
      </c>
      <c r="S2864">
        <v>158.76</v>
      </c>
      <c r="T2864" s="2">
        <v>108000</v>
      </c>
      <c r="U2864" s="2">
        <v>0</v>
      </c>
      <c r="V2864">
        <v>123.48</v>
      </c>
      <c r="W2864">
        <v>0</v>
      </c>
      <c r="X2864">
        <v>0</v>
      </c>
      <c r="Y2864">
        <v>0</v>
      </c>
      <c r="Z2864">
        <v>1</v>
      </c>
      <c r="AA2864">
        <v>8.0984769999999998E-3</v>
      </c>
      <c r="AB2864">
        <v>31</v>
      </c>
      <c r="AC2864">
        <v>12</v>
      </c>
      <c r="AD2864">
        <v>27</v>
      </c>
      <c r="AE2864" s="7"/>
      <c r="AF2864" s="7"/>
      <c r="AG2864" s="7"/>
      <c r="AH2864" s="7"/>
      <c r="AI2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64" s="7"/>
      <c r="AK2864" t="s">
        <v>1394</v>
      </c>
      <c r="AN2864">
        <f>IFERROR(INT(Table13[[#This Row],[reject_prod]]/Table13[[#This Row],[part_weight]] * 1000), 0)</f>
        <v>68</v>
      </c>
    </row>
    <row r="2865" spans="1:40">
      <c r="A2865" s="1">
        <v>46107</v>
      </c>
      <c r="B2865">
        <v>1</v>
      </c>
      <c r="C2865">
        <v>16</v>
      </c>
      <c r="D2865" t="s">
        <v>134</v>
      </c>
      <c r="E2865" t="s">
        <v>46</v>
      </c>
      <c r="F2865">
        <v>555979</v>
      </c>
      <c r="G2865" s="6">
        <v>2</v>
      </c>
      <c r="H2865" t="s">
        <v>52</v>
      </c>
      <c r="I2865">
        <v>10689125</v>
      </c>
      <c r="J2865">
        <v>6</v>
      </c>
      <c r="K2865">
        <v>28</v>
      </c>
      <c r="L2865">
        <v>28</v>
      </c>
      <c r="M2865">
        <v>630</v>
      </c>
      <c r="N2865" s="2">
        <v>100800</v>
      </c>
      <c r="O2865" s="2">
        <v>3024</v>
      </c>
      <c r="P2865" s="2">
        <v>0</v>
      </c>
      <c r="Q2865" s="2">
        <v>3780</v>
      </c>
      <c r="R2865" s="2">
        <v>6720</v>
      </c>
      <c r="S2865">
        <v>188.16</v>
      </c>
      <c r="T2865" s="2">
        <v>87360</v>
      </c>
      <c r="U2865" s="2">
        <v>13440</v>
      </c>
      <c r="V2865">
        <v>105.84</v>
      </c>
      <c r="W2865">
        <v>0</v>
      </c>
      <c r="X2865">
        <v>0</v>
      </c>
      <c r="Y2865">
        <v>0</v>
      </c>
      <c r="Z2865">
        <v>1.5</v>
      </c>
      <c r="AA2865">
        <v>1.4172336000000001E-2</v>
      </c>
      <c r="AB2865">
        <v>42.58</v>
      </c>
      <c r="AC2865">
        <v>7.4515000000000002</v>
      </c>
      <c r="AD2865">
        <v>42</v>
      </c>
      <c r="AE2865" s="7"/>
      <c r="AF2865" s="7"/>
      <c r="AG2865" s="7"/>
      <c r="AH2865" s="7"/>
      <c r="AI2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4.5484999999999998</v>
      </c>
      <c r="AJ2865" s="7"/>
      <c r="AK2865" t="s">
        <v>1395</v>
      </c>
      <c r="AL2865">
        <v>2</v>
      </c>
      <c r="AM2865">
        <v>1.5</v>
      </c>
      <c r="AN2865">
        <f>IFERROR(INT(Table13[[#This Row],[reject_prod]]/Table13[[#This Row],[part_weight]] * 1000), 0)</f>
        <v>53</v>
      </c>
    </row>
    <row r="2866" spans="1:40">
      <c r="A2866" s="1">
        <v>46107</v>
      </c>
      <c r="B2866">
        <v>1</v>
      </c>
      <c r="C2866">
        <v>16</v>
      </c>
      <c r="D2866" t="s">
        <v>129</v>
      </c>
      <c r="E2866" t="s">
        <v>46</v>
      </c>
      <c r="F2866">
        <v>555979</v>
      </c>
      <c r="G2866" s="6">
        <v>2</v>
      </c>
      <c r="H2866" t="s">
        <v>52</v>
      </c>
      <c r="I2866" t="s">
        <v>490</v>
      </c>
      <c r="J2866">
        <v>6</v>
      </c>
      <c r="K2866">
        <v>28</v>
      </c>
      <c r="L2866">
        <v>28</v>
      </c>
      <c r="M2866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430</v>
      </c>
      <c r="S2866">
        <v>12.04</v>
      </c>
      <c r="T2866" s="2">
        <v>0</v>
      </c>
      <c r="U2866" s="2">
        <v>0</v>
      </c>
      <c r="V2866">
        <v>0</v>
      </c>
      <c r="W2866">
        <v>0</v>
      </c>
      <c r="X2866">
        <v>0</v>
      </c>
      <c r="Y2866" t="e">
        <v>#DIV/0!</v>
      </c>
      <c r="Z2866">
        <v>0</v>
      </c>
      <c r="AA2866" t="e">
        <v>#DIV/0!</v>
      </c>
      <c r="AB2866">
        <v>7.4</v>
      </c>
      <c r="AC2866">
        <v>0</v>
      </c>
      <c r="AD2866">
        <v>42</v>
      </c>
      <c r="AE2866" s="7"/>
      <c r="AF2866" s="7"/>
      <c r="AG2866" s="7"/>
      <c r="AH2866" s="7"/>
      <c r="AI2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6" s="7"/>
      <c r="AK2866" t="s">
        <v>437</v>
      </c>
      <c r="AN2866">
        <f>IFERROR(INT(Table13[[#This Row],[reject_prod]]/Table13[[#This Row],[part_weight]] * 1000), 0)</f>
        <v>0</v>
      </c>
    </row>
    <row r="2867" spans="1:40">
      <c r="A2867" s="1">
        <v>46107</v>
      </c>
      <c r="B2867">
        <v>2</v>
      </c>
      <c r="C2867">
        <v>1</v>
      </c>
      <c r="D2867" t="s">
        <v>33</v>
      </c>
      <c r="E2867" t="s">
        <v>34</v>
      </c>
      <c r="F2867">
        <v>340460</v>
      </c>
      <c r="G2867" s="6">
        <v>0</v>
      </c>
      <c r="H2867" t="s">
        <v>1177</v>
      </c>
      <c r="I2867">
        <v>10691250</v>
      </c>
      <c r="J2867">
        <v>4</v>
      </c>
      <c r="K2867">
        <v>15.05</v>
      </c>
      <c r="L2867">
        <v>15.05</v>
      </c>
      <c r="M2867">
        <v>0</v>
      </c>
      <c r="N2867" s="2">
        <v>20300</v>
      </c>
      <c r="O2867" s="2">
        <v>0</v>
      </c>
      <c r="P2867" s="2">
        <v>0</v>
      </c>
      <c r="Q2867" s="2">
        <v>0</v>
      </c>
      <c r="R2867" s="2">
        <v>0</v>
      </c>
      <c r="S2867">
        <v>0</v>
      </c>
      <c r="T2867" s="2">
        <v>0</v>
      </c>
      <c r="U2867" s="2">
        <v>20300</v>
      </c>
      <c r="V2867">
        <v>0</v>
      </c>
      <c r="W2867">
        <v>0</v>
      </c>
      <c r="X2867">
        <v>14.7</v>
      </c>
      <c r="Y2867" t="e">
        <v>#DIV/0!</v>
      </c>
      <c r="Z2867">
        <v>0</v>
      </c>
      <c r="AA2867" t="e">
        <v>#DIV/0!</v>
      </c>
      <c r="AB2867">
        <v>20</v>
      </c>
      <c r="AC2867">
        <v>0</v>
      </c>
      <c r="AD2867">
        <v>20</v>
      </c>
      <c r="AE2867" s="7"/>
      <c r="AF2867" s="7"/>
      <c r="AG2867" s="7"/>
      <c r="AH2867" s="7"/>
      <c r="AI2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7" s="7"/>
      <c r="AK2867" t="s">
        <v>1396</v>
      </c>
      <c r="AN2867">
        <f>IFERROR(INT(Table13[[#This Row],[reject_prod]]/Table13[[#This Row],[part_weight]] * 1000), 0)</f>
        <v>0</v>
      </c>
    </row>
    <row r="2868" spans="1:40">
      <c r="A2868" s="1">
        <v>46107</v>
      </c>
      <c r="B2868">
        <v>2</v>
      </c>
      <c r="C2868">
        <v>2</v>
      </c>
      <c r="D2868" t="s">
        <v>40</v>
      </c>
      <c r="E2868" t="s">
        <v>34</v>
      </c>
      <c r="F2868">
        <v>423213</v>
      </c>
      <c r="G2868" s="6">
        <v>0</v>
      </c>
      <c r="H2868" t="s">
        <v>70</v>
      </c>
      <c r="I2868">
        <v>10689499</v>
      </c>
      <c r="J2868">
        <v>4</v>
      </c>
      <c r="K2868">
        <v>23</v>
      </c>
      <c r="L2868">
        <v>23</v>
      </c>
      <c r="M2868">
        <v>1911</v>
      </c>
      <c r="N2868" s="2">
        <v>99822</v>
      </c>
      <c r="O2868" s="2">
        <v>1524</v>
      </c>
      <c r="P2868" s="2">
        <v>0</v>
      </c>
      <c r="Q2868" s="2">
        <v>7644</v>
      </c>
      <c r="R2868" s="2">
        <v>9144</v>
      </c>
      <c r="S2868">
        <v>210.31200000000001</v>
      </c>
      <c r="T2868" s="2">
        <v>36576</v>
      </c>
      <c r="U2868" s="2">
        <v>63246</v>
      </c>
      <c r="V2868">
        <v>175.81200000000001</v>
      </c>
      <c r="W2868">
        <v>0</v>
      </c>
      <c r="X2868">
        <v>0</v>
      </c>
      <c r="Y2868">
        <v>0</v>
      </c>
      <c r="Z2868">
        <v>0.5</v>
      </c>
      <c r="AA2868">
        <v>2.8439469999999999E-3</v>
      </c>
      <c r="AB2868">
        <v>23.08</v>
      </c>
      <c r="AC2868">
        <v>12</v>
      </c>
      <c r="AD2868">
        <v>22.5</v>
      </c>
      <c r="AE2868" s="7"/>
      <c r="AF2868" s="7"/>
      <c r="AG2868" s="7"/>
      <c r="AH2868" s="7"/>
      <c r="AI2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68" s="7"/>
      <c r="AK2868" t="s">
        <v>214</v>
      </c>
      <c r="AN2868">
        <f>IFERROR(INT(Table13[[#This Row],[reject_prod]]/Table13[[#This Row],[part_weight]] * 1000), 0)</f>
        <v>21</v>
      </c>
    </row>
    <row r="2869" spans="1:40">
      <c r="A2869" s="1">
        <v>46107</v>
      </c>
      <c r="B2869">
        <v>2</v>
      </c>
      <c r="C2869">
        <v>3</v>
      </c>
      <c r="D2869" t="s">
        <v>67</v>
      </c>
      <c r="E2869" t="s">
        <v>34</v>
      </c>
      <c r="F2869">
        <v>442034</v>
      </c>
      <c r="G2869" s="6">
        <v>0</v>
      </c>
      <c r="H2869" t="s">
        <v>37</v>
      </c>
      <c r="I2869">
        <v>10688497</v>
      </c>
      <c r="J2869">
        <v>4</v>
      </c>
      <c r="K2869">
        <v>23</v>
      </c>
      <c r="L2869">
        <v>23</v>
      </c>
      <c r="M2869">
        <v>1660</v>
      </c>
      <c r="N2869" s="2">
        <v>139776</v>
      </c>
      <c r="O2869" s="2">
        <v>2688</v>
      </c>
      <c r="P2869" s="2">
        <v>0</v>
      </c>
      <c r="Q2869" s="2">
        <v>6640</v>
      </c>
      <c r="R2869" s="2">
        <v>9216</v>
      </c>
      <c r="S2869">
        <v>211.96799999999999</v>
      </c>
      <c r="T2869" s="2">
        <v>59904</v>
      </c>
      <c r="U2869" s="2">
        <v>79872</v>
      </c>
      <c r="V2869">
        <v>152.72</v>
      </c>
      <c r="W2869">
        <v>0</v>
      </c>
      <c r="X2869">
        <v>0</v>
      </c>
      <c r="Y2869">
        <v>0</v>
      </c>
      <c r="Z2869">
        <v>2.5</v>
      </c>
      <c r="AA2869">
        <v>1.6369827E-2</v>
      </c>
      <c r="AB2869">
        <v>25.4</v>
      </c>
      <c r="AC2869">
        <v>11.712222219999999</v>
      </c>
      <c r="AD2869">
        <v>22</v>
      </c>
      <c r="AE2869" s="7"/>
      <c r="AF2869" s="7"/>
      <c r="AG2869" s="7"/>
      <c r="AH2869" s="7"/>
      <c r="AI2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0.28777778000000076</v>
      </c>
      <c r="AJ2869" s="7"/>
      <c r="AK2869" t="s">
        <v>75</v>
      </c>
      <c r="AN2869">
        <f>IFERROR(INT(Table13[[#This Row],[reject_prod]]/Table13[[#This Row],[part_weight]] * 1000), 0)</f>
        <v>108</v>
      </c>
    </row>
    <row r="2870" spans="1:40">
      <c r="A2870" s="1">
        <v>46107</v>
      </c>
      <c r="B2870">
        <v>2</v>
      </c>
      <c r="C2870">
        <v>4</v>
      </c>
      <c r="D2870" t="s">
        <v>141</v>
      </c>
      <c r="E2870" t="s">
        <v>34</v>
      </c>
      <c r="F2870">
        <v>451191</v>
      </c>
      <c r="G2870" s="6">
        <v>0</v>
      </c>
      <c r="H2870" t="s">
        <v>946</v>
      </c>
      <c r="I2870">
        <v>10690450</v>
      </c>
      <c r="J2870">
        <v>4</v>
      </c>
      <c r="K2870">
        <v>29</v>
      </c>
      <c r="L2870">
        <v>29</v>
      </c>
      <c r="M2870">
        <v>1658</v>
      </c>
      <c r="N2870" s="2">
        <v>110160</v>
      </c>
      <c r="O2870" s="2">
        <v>918</v>
      </c>
      <c r="P2870" s="2">
        <v>153</v>
      </c>
      <c r="Q2870" s="2">
        <v>6632</v>
      </c>
      <c r="R2870" s="2">
        <v>7344</v>
      </c>
      <c r="S2870">
        <v>212.976</v>
      </c>
      <c r="T2870" s="2">
        <v>95625</v>
      </c>
      <c r="U2870" s="2">
        <v>14535</v>
      </c>
      <c r="V2870">
        <v>192.328</v>
      </c>
      <c r="W2870">
        <v>0</v>
      </c>
      <c r="X2870">
        <v>0</v>
      </c>
      <c r="Y2870">
        <v>0</v>
      </c>
      <c r="Z2870">
        <v>1.5</v>
      </c>
      <c r="AA2870">
        <v>7.7991759999999997E-3</v>
      </c>
      <c r="AB2870">
        <v>25.4</v>
      </c>
      <c r="AC2870">
        <v>11.698111109999999</v>
      </c>
      <c r="AD2870">
        <v>24</v>
      </c>
      <c r="AE2870" s="7"/>
      <c r="AF2870" s="7"/>
      <c r="AG2870" s="7"/>
      <c r="AH2870" s="7"/>
      <c r="AI2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0.30188889000000074</v>
      </c>
      <c r="AJ2870" s="7"/>
      <c r="AK2870" t="s">
        <v>75</v>
      </c>
      <c r="AN2870">
        <f>IFERROR(INT(Table13[[#This Row],[reject_prod]]/Table13[[#This Row],[part_weight]] * 1000), 0)</f>
        <v>51</v>
      </c>
    </row>
    <row r="2871" spans="1:40">
      <c r="A2871" s="1">
        <v>46107</v>
      </c>
      <c r="B2871">
        <v>2</v>
      </c>
      <c r="C2871">
        <v>5</v>
      </c>
      <c r="D2871" t="s">
        <v>33</v>
      </c>
      <c r="E2871" t="s">
        <v>34</v>
      </c>
      <c r="F2871">
        <v>626029</v>
      </c>
      <c r="G2871" s="6">
        <v>0</v>
      </c>
      <c r="H2871" t="s">
        <v>478</v>
      </c>
      <c r="I2871">
        <v>10689832</v>
      </c>
      <c r="J2871">
        <v>4</v>
      </c>
      <c r="K2871">
        <v>48.39</v>
      </c>
      <c r="L2871">
        <v>48.39</v>
      </c>
      <c r="M2871">
        <v>0</v>
      </c>
      <c r="N2871" s="2">
        <v>29952</v>
      </c>
      <c r="O2871" s="2">
        <v>0</v>
      </c>
      <c r="P2871" s="2">
        <v>0</v>
      </c>
      <c r="Q2871" s="2">
        <v>0</v>
      </c>
      <c r="R2871" s="2">
        <v>0</v>
      </c>
      <c r="S2871">
        <v>0</v>
      </c>
      <c r="T2871" s="2">
        <v>0</v>
      </c>
      <c r="U2871" s="2">
        <v>29952</v>
      </c>
      <c r="V2871">
        <v>0</v>
      </c>
      <c r="W2871">
        <v>0</v>
      </c>
      <c r="X2871">
        <v>28.6</v>
      </c>
      <c r="Y2871" t="e">
        <v>#DIV/0!</v>
      </c>
      <c r="Z2871">
        <v>0</v>
      </c>
      <c r="AA2871" t="e">
        <v>#DIV/0!</v>
      </c>
      <c r="AB2871">
        <v>28</v>
      </c>
      <c r="AC2871">
        <v>0</v>
      </c>
      <c r="AD2871">
        <v>28</v>
      </c>
      <c r="AE2871" s="7"/>
      <c r="AF2871" s="7"/>
      <c r="AG2871" s="7"/>
      <c r="AH2871" s="7"/>
      <c r="AI2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71" s="7"/>
      <c r="AK2871" t="s">
        <v>1397</v>
      </c>
      <c r="AN2871">
        <f>IFERROR(INT(Table13[[#This Row],[reject_prod]]/Table13[[#This Row],[part_weight]] * 1000), 0)</f>
        <v>0</v>
      </c>
    </row>
    <row r="2872" spans="1:40">
      <c r="A2872" s="1">
        <v>46107</v>
      </c>
      <c r="B2872">
        <v>2</v>
      </c>
      <c r="C2872">
        <v>6</v>
      </c>
      <c r="D2872" t="s">
        <v>554</v>
      </c>
      <c r="E2872" t="s">
        <v>34</v>
      </c>
      <c r="F2872">
        <v>661980</v>
      </c>
      <c r="G2872" s="6">
        <v>0</v>
      </c>
      <c r="H2872" t="s">
        <v>1378</v>
      </c>
      <c r="I2872">
        <v>10690617</v>
      </c>
      <c r="J2872">
        <v>4</v>
      </c>
      <c r="K2872">
        <v>24.9</v>
      </c>
      <c r="L2872">
        <v>24.9</v>
      </c>
      <c r="M2872">
        <v>1595</v>
      </c>
      <c r="N2872" s="2">
        <v>15600</v>
      </c>
      <c r="O2872" s="2">
        <v>0</v>
      </c>
      <c r="P2872" s="2">
        <v>0</v>
      </c>
      <c r="Q2872" s="2">
        <v>6380</v>
      </c>
      <c r="R2872" s="2">
        <v>6240</v>
      </c>
      <c r="S2872">
        <v>155.376</v>
      </c>
      <c r="T2872" s="2">
        <v>6240</v>
      </c>
      <c r="U2872" s="2">
        <v>9360</v>
      </c>
      <c r="V2872">
        <v>158.86199999999999</v>
      </c>
      <c r="W2872">
        <v>0</v>
      </c>
      <c r="X2872">
        <v>3</v>
      </c>
      <c r="Y2872">
        <v>1.8884314999999999E-2</v>
      </c>
      <c r="Z2872">
        <v>0.5</v>
      </c>
      <c r="AA2872">
        <v>3.1473859999999998E-3</v>
      </c>
      <c r="AB2872">
        <v>22.9</v>
      </c>
      <c r="AC2872">
        <v>10.145972220000001</v>
      </c>
      <c r="AD2872">
        <v>22</v>
      </c>
      <c r="AE2872" s="7"/>
      <c r="AF2872" s="7"/>
      <c r="AG2872" s="7"/>
      <c r="AH2872" s="7"/>
      <c r="AI2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1.8540277799999991</v>
      </c>
      <c r="AJ2872" s="7"/>
      <c r="AK2872" t="s">
        <v>214</v>
      </c>
      <c r="AN2872">
        <f>IFERROR(INT(Table13[[#This Row],[reject_prod]]/Table13[[#This Row],[part_weight]] * 1000), 0)</f>
        <v>20</v>
      </c>
    </row>
    <row r="2873" spans="1:40">
      <c r="A2873" s="1">
        <v>46107</v>
      </c>
      <c r="B2873">
        <v>2</v>
      </c>
      <c r="C2873">
        <v>7</v>
      </c>
      <c r="D2873" t="s">
        <v>393</v>
      </c>
      <c r="E2873" t="s">
        <v>34</v>
      </c>
      <c r="F2873">
        <v>597507</v>
      </c>
      <c r="G2873" s="6">
        <v>0</v>
      </c>
      <c r="H2873" t="s">
        <v>279</v>
      </c>
      <c r="I2873">
        <v>10690042</v>
      </c>
      <c r="J2873">
        <v>4</v>
      </c>
      <c r="K2873">
        <v>23</v>
      </c>
      <c r="L2873">
        <v>23</v>
      </c>
      <c r="M2873">
        <v>1782</v>
      </c>
      <c r="N2873" s="2">
        <v>86240</v>
      </c>
      <c r="O2873" s="2">
        <v>616</v>
      </c>
      <c r="P2873" s="2">
        <v>0</v>
      </c>
      <c r="Q2873" s="2">
        <v>7128</v>
      </c>
      <c r="R2873" s="2">
        <v>7546</v>
      </c>
      <c r="S2873">
        <v>173.55799999999999</v>
      </c>
      <c r="T2873" s="2">
        <v>50666</v>
      </c>
      <c r="U2873" s="2">
        <v>35574</v>
      </c>
      <c r="V2873">
        <v>163.94399999999999</v>
      </c>
      <c r="W2873">
        <v>0</v>
      </c>
      <c r="X2873">
        <v>0</v>
      </c>
      <c r="Y2873">
        <v>0</v>
      </c>
      <c r="Z2873">
        <v>4.5</v>
      </c>
      <c r="AA2873">
        <v>2.7448396999999999E-2</v>
      </c>
      <c r="AB2873">
        <v>23.5</v>
      </c>
      <c r="AC2873">
        <v>11.6325</v>
      </c>
      <c r="AD2873">
        <v>22</v>
      </c>
      <c r="AE2873" s="7"/>
      <c r="AF2873" s="7"/>
      <c r="AG2873" s="7"/>
      <c r="AH2873" s="7"/>
      <c r="AI2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0.36749999999999972</v>
      </c>
      <c r="AJ2873" s="7"/>
      <c r="AK2873" t="s">
        <v>1398</v>
      </c>
      <c r="AN2873">
        <f>IFERROR(INT(Table13[[#This Row],[reject_prod]]/Table13[[#This Row],[part_weight]] * 1000), 0)</f>
        <v>195</v>
      </c>
    </row>
    <row r="2874" spans="1:40">
      <c r="A2874" s="1">
        <v>46107</v>
      </c>
      <c r="B2874">
        <v>2</v>
      </c>
      <c r="C2874">
        <v>8</v>
      </c>
      <c r="D2874" t="s">
        <v>65</v>
      </c>
      <c r="E2874" t="s">
        <v>41</v>
      </c>
      <c r="F2874">
        <v>593537</v>
      </c>
      <c r="G2874" s="6">
        <v>0</v>
      </c>
      <c r="H2874" t="s">
        <v>48</v>
      </c>
      <c r="I2874">
        <v>10689827</v>
      </c>
      <c r="J2874">
        <v>4</v>
      </c>
      <c r="K2874">
        <v>56.5</v>
      </c>
      <c r="L2874">
        <v>56.8</v>
      </c>
      <c r="M2874">
        <v>1409</v>
      </c>
      <c r="N2874" s="2">
        <v>69000</v>
      </c>
      <c r="O2874" s="2">
        <v>460</v>
      </c>
      <c r="P2874" s="2">
        <v>345</v>
      </c>
      <c r="Q2874" s="2">
        <v>5636</v>
      </c>
      <c r="R2874" s="2">
        <v>5750</v>
      </c>
      <c r="S2874">
        <v>326.60000000000002</v>
      </c>
      <c r="T2874" s="2">
        <v>21620</v>
      </c>
      <c r="U2874" s="2">
        <v>47380</v>
      </c>
      <c r="V2874">
        <v>320.12479999999999</v>
      </c>
      <c r="W2874">
        <v>0</v>
      </c>
      <c r="X2874">
        <v>0</v>
      </c>
      <c r="Y2874">
        <v>0</v>
      </c>
      <c r="Z2874">
        <v>1.5</v>
      </c>
      <c r="AA2874">
        <v>4.6856729999999996E-3</v>
      </c>
      <c r="AB2874">
        <v>29.9</v>
      </c>
      <c r="AC2874">
        <v>11.70252778</v>
      </c>
      <c r="AD2874">
        <v>28.5</v>
      </c>
      <c r="AE2874" s="7"/>
      <c r="AF2874" s="7"/>
      <c r="AG2874" s="7"/>
      <c r="AH2874" s="7"/>
      <c r="AI2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0.29747221999999951</v>
      </c>
      <c r="AJ2874" s="7"/>
      <c r="AK2874" t="s">
        <v>51</v>
      </c>
      <c r="AN2874">
        <f>IFERROR(INT(Table13[[#This Row],[reject_prod]]/Table13[[#This Row],[part_weight]] * 1000), 0)</f>
        <v>26</v>
      </c>
    </row>
    <row r="2875" spans="1:40">
      <c r="A2875" s="1">
        <v>46107</v>
      </c>
      <c r="B2875">
        <v>2</v>
      </c>
      <c r="C2875">
        <v>9</v>
      </c>
      <c r="D2875" t="s">
        <v>43</v>
      </c>
      <c r="E2875" t="s">
        <v>46</v>
      </c>
      <c r="F2875">
        <v>586276</v>
      </c>
      <c r="G2875" s="6">
        <v>1</v>
      </c>
      <c r="H2875" t="s">
        <v>47</v>
      </c>
      <c r="I2875">
        <v>10689112</v>
      </c>
      <c r="J2875">
        <v>6</v>
      </c>
      <c r="K2875">
        <v>12.3</v>
      </c>
      <c r="L2875">
        <v>12.3</v>
      </c>
      <c r="M2875">
        <v>1449</v>
      </c>
      <c r="N2875" s="2">
        <v>162000</v>
      </c>
      <c r="O2875" s="2">
        <v>8505</v>
      </c>
      <c r="P2875" s="2">
        <v>8910</v>
      </c>
      <c r="Q2875" s="2">
        <v>8694</v>
      </c>
      <c r="R2875" s="2">
        <v>8100</v>
      </c>
      <c r="S2875">
        <v>99.63</v>
      </c>
      <c r="T2875" s="2">
        <v>114210</v>
      </c>
      <c r="U2875" s="2">
        <v>47790</v>
      </c>
      <c r="V2875">
        <v>106.9362</v>
      </c>
      <c r="W2875">
        <v>0</v>
      </c>
      <c r="X2875">
        <v>0</v>
      </c>
      <c r="Y2875">
        <v>0</v>
      </c>
      <c r="Z2875">
        <v>1.7</v>
      </c>
      <c r="AA2875">
        <v>1.5897329000000002E-2</v>
      </c>
      <c r="AB2875">
        <v>29.6</v>
      </c>
      <c r="AC2875">
        <v>11.914</v>
      </c>
      <c r="AD2875">
        <v>26</v>
      </c>
      <c r="AE2875" s="7"/>
      <c r="AF2875" s="7"/>
      <c r="AG2875" s="7"/>
      <c r="AH2875" s="7"/>
      <c r="AI2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8.6000000000000298E-2</v>
      </c>
      <c r="AJ2875" s="7"/>
      <c r="AK2875" t="s">
        <v>1399</v>
      </c>
      <c r="AN2875">
        <f>IFERROR(INT(Table13[[#This Row],[reject_prod]]/Table13[[#This Row],[part_weight]] * 1000), 0)</f>
        <v>138</v>
      </c>
    </row>
    <row r="2876" spans="1:40">
      <c r="A2876" s="1">
        <v>46107</v>
      </c>
      <c r="B2876">
        <v>2</v>
      </c>
      <c r="C2876">
        <v>10</v>
      </c>
      <c r="D2876" t="s">
        <v>33</v>
      </c>
      <c r="E2876" t="s">
        <v>34</v>
      </c>
      <c r="F2876">
        <v>324638</v>
      </c>
      <c r="G2876" s="6">
        <v>0</v>
      </c>
      <c r="H2876" t="s">
        <v>687</v>
      </c>
      <c r="I2876">
        <v>10689561</v>
      </c>
      <c r="J2876">
        <v>4</v>
      </c>
      <c r="K2876">
        <v>77.5</v>
      </c>
      <c r="L2876">
        <v>77.5</v>
      </c>
      <c r="M2876">
        <v>69</v>
      </c>
      <c r="N2876" s="2">
        <v>26496</v>
      </c>
      <c r="O2876" s="2">
        <v>0</v>
      </c>
      <c r="P2876" s="2">
        <v>0</v>
      </c>
      <c r="Q2876" s="2">
        <v>276</v>
      </c>
      <c r="R2876" s="2">
        <v>276</v>
      </c>
      <c r="S2876">
        <v>21.39</v>
      </c>
      <c r="T2876" s="2">
        <v>276</v>
      </c>
      <c r="U2876" s="2">
        <v>26220</v>
      </c>
      <c r="V2876">
        <v>21.39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38</v>
      </c>
      <c r="AC2876">
        <v>0.72833333300000003</v>
      </c>
      <c r="AD2876">
        <v>36</v>
      </c>
      <c r="AE2876" s="7"/>
      <c r="AF2876" s="7"/>
      <c r="AG2876" s="7"/>
      <c r="AH2876" s="7"/>
      <c r="AI28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11.271666667</v>
      </c>
      <c r="AJ2876" s="7"/>
      <c r="AK2876" t="s">
        <v>1400</v>
      </c>
      <c r="AN2876">
        <f>IFERROR(INT(Table13[[#This Row],[reject_prod]]/Table13[[#This Row],[part_weight]] * 1000), 0)</f>
        <v>0</v>
      </c>
    </row>
    <row r="2877" spans="1:40">
      <c r="A2877" s="1">
        <v>46107</v>
      </c>
      <c r="B2877">
        <v>2</v>
      </c>
      <c r="C2877">
        <v>11</v>
      </c>
      <c r="D2877" t="s">
        <v>61</v>
      </c>
      <c r="E2877" t="s">
        <v>46</v>
      </c>
      <c r="F2877">
        <v>552181</v>
      </c>
      <c r="G2877" s="6">
        <v>1</v>
      </c>
      <c r="H2877" t="s">
        <v>49</v>
      </c>
      <c r="I2877" t="s">
        <v>490</v>
      </c>
      <c r="J2877">
        <v>6</v>
      </c>
      <c r="K2877">
        <v>14.7</v>
      </c>
      <c r="L2877">
        <v>14.7</v>
      </c>
      <c r="M2877">
        <v>549</v>
      </c>
      <c r="N2877" s="2">
        <v>3240</v>
      </c>
      <c r="O2877" s="2">
        <v>0</v>
      </c>
      <c r="P2877" s="2">
        <v>3240</v>
      </c>
      <c r="Q2877" s="2">
        <v>3294</v>
      </c>
      <c r="R2877" s="2">
        <v>0</v>
      </c>
      <c r="S2877">
        <v>0</v>
      </c>
      <c r="T2877" s="2">
        <v>3240</v>
      </c>
      <c r="U2877" s="2">
        <v>3240</v>
      </c>
      <c r="V2877">
        <v>48.421799999999998</v>
      </c>
      <c r="W2877">
        <v>0</v>
      </c>
      <c r="X2877">
        <v>0</v>
      </c>
      <c r="Y2877">
        <v>0</v>
      </c>
      <c r="Z2877">
        <v>1</v>
      </c>
      <c r="AA2877">
        <v>2.0651855E-2</v>
      </c>
      <c r="AB2877">
        <v>29.2</v>
      </c>
      <c r="AC2877">
        <v>4.4530000000000003</v>
      </c>
      <c r="AD2877">
        <v>27</v>
      </c>
      <c r="AE2877" s="7"/>
      <c r="AF2877" s="7"/>
      <c r="AG2877" s="7"/>
      <c r="AH2877" s="7"/>
      <c r="AI2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7.5469999999999997</v>
      </c>
      <c r="AJ2877" s="7"/>
      <c r="AK2877" t="s">
        <v>1401</v>
      </c>
      <c r="AN2877">
        <f>IFERROR(INT(Table13[[#This Row],[reject_prod]]/Table13[[#This Row],[part_weight]] * 1000), 0)</f>
        <v>68</v>
      </c>
    </row>
    <row r="2878" spans="1:40">
      <c r="A2878" s="1">
        <v>46107</v>
      </c>
      <c r="B2878">
        <v>2</v>
      </c>
      <c r="C2878">
        <v>11</v>
      </c>
      <c r="D2878" t="s">
        <v>61</v>
      </c>
      <c r="E2878" t="s">
        <v>46</v>
      </c>
      <c r="F2878">
        <v>552181</v>
      </c>
      <c r="G2878" s="6">
        <v>1</v>
      </c>
      <c r="H2878" t="s">
        <v>49</v>
      </c>
      <c r="I2878" t="s">
        <v>490</v>
      </c>
      <c r="J2878">
        <v>6</v>
      </c>
      <c r="K2878">
        <v>14.7</v>
      </c>
      <c r="L2878">
        <v>14.7</v>
      </c>
      <c r="M2878">
        <v>121</v>
      </c>
      <c r="N2878" s="2">
        <v>3240</v>
      </c>
      <c r="O2878" s="2">
        <v>0</v>
      </c>
      <c r="P2878" s="2">
        <v>540</v>
      </c>
      <c r="Q2878" s="2">
        <v>726</v>
      </c>
      <c r="R2878" s="2">
        <v>0</v>
      </c>
      <c r="S2878">
        <v>0</v>
      </c>
      <c r="T2878" s="2">
        <v>540</v>
      </c>
      <c r="U2878" s="2">
        <v>3240</v>
      </c>
      <c r="V2878">
        <v>10.6722</v>
      </c>
      <c r="W2878">
        <v>0</v>
      </c>
      <c r="X2878">
        <v>3.5</v>
      </c>
      <c r="Y2878">
        <v>0.32795487299999998</v>
      </c>
      <c r="Z2878">
        <v>0</v>
      </c>
      <c r="AA2878">
        <v>0</v>
      </c>
      <c r="AB2878">
        <v>29.2</v>
      </c>
      <c r="AC2878">
        <v>0.98144444399999997</v>
      </c>
      <c r="AD2878">
        <v>27</v>
      </c>
      <c r="AE2878" s="7"/>
      <c r="AF2878" s="7"/>
      <c r="AG2878" s="7"/>
      <c r="AH2878" s="7"/>
      <c r="AI2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11.018555556000001</v>
      </c>
      <c r="AJ2878" s="7"/>
      <c r="AK2878" t="s">
        <v>1402</v>
      </c>
      <c r="AN2878">
        <f>IFERROR(INT(Table13[[#This Row],[reject_prod]]/Table13[[#This Row],[part_weight]] * 1000), 0)</f>
        <v>0</v>
      </c>
    </row>
    <row r="2879" spans="1:40">
      <c r="A2879" s="1">
        <v>46107</v>
      </c>
      <c r="B2879">
        <v>2</v>
      </c>
      <c r="C2879">
        <v>12</v>
      </c>
      <c r="D2879" t="s">
        <v>33</v>
      </c>
      <c r="E2879" t="s">
        <v>46</v>
      </c>
      <c r="F2879">
        <v>555979</v>
      </c>
      <c r="G2879" s="6">
        <v>1</v>
      </c>
      <c r="H2879" t="s">
        <v>52</v>
      </c>
      <c r="I2879">
        <v>10689126</v>
      </c>
      <c r="J2879">
        <v>6</v>
      </c>
      <c r="K2879">
        <v>28</v>
      </c>
      <c r="L2879">
        <v>28</v>
      </c>
      <c r="M2879">
        <v>0</v>
      </c>
      <c r="N2879" s="2">
        <v>100800</v>
      </c>
      <c r="O2879" s="2">
        <v>0</v>
      </c>
      <c r="P2879" s="2">
        <v>0</v>
      </c>
      <c r="Q2879" s="2">
        <v>0</v>
      </c>
      <c r="R2879" s="2">
        <v>0</v>
      </c>
      <c r="S2879">
        <v>0</v>
      </c>
      <c r="T2879" s="2">
        <v>13440</v>
      </c>
      <c r="U2879" s="2">
        <v>87360</v>
      </c>
      <c r="V2879">
        <v>0</v>
      </c>
      <c r="W2879">
        <v>0</v>
      </c>
      <c r="X2879">
        <v>6.5</v>
      </c>
      <c r="Y2879" t="e">
        <v>#DIV/0!</v>
      </c>
      <c r="Z2879">
        <v>0</v>
      </c>
      <c r="AA2879" t="e">
        <v>#DIV/0!</v>
      </c>
      <c r="AB2879">
        <v>41.2</v>
      </c>
      <c r="AC2879">
        <v>0</v>
      </c>
      <c r="AD2879">
        <v>42</v>
      </c>
      <c r="AE2879" s="7"/>
      <c r="AF2879" s="7"/>
      <c r="AG2879" s="7"/>
      <c r="AH2879" s="7"/>
      <c r="AI2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79" s="7"/>
      <c r="AK2879" t="s">
        <v>1403</v>
      </c>
      <c r="AN2879">
        <f>IFERROR(INT(Table13[[#This Row],[reject_prod]]/Table13[[#This Row],[part_weight]] * 1000), 0)</f>
        <v>0</v>
      </c>
    </row>
    <row r="2880" spans="1:40">
      <c r="A2880" s="1">
        <v>46107</v>
      </c>
      <c r="B2880">
        <v>2</v>
      </c>
      <c r="C2880">
        <v>13</v>
      </c>
      <c r="D2880" t="s">
        <v>511</v>
      </c>
      <c r="E2880" t="s">
        <v>46</v>
      </c>
      <c r="F2880">
        <v>586276</v>
      </c>
      <c r="G2880" s="6">
        <v>2</v>
      </c>
      <c r="H2880" t="s">
        <v>47</v>
      </c>
      <c r="I2880">
        <v>10689119</v>
      </c>
      <c r="J2880">
        <v>6</v>
      </c>
      <c r="K2880">
        <v>12.3</v>
      </c>
      <c r="L2880">
        <v>12.3</v>
      </c>
      <c r="M2880">
        <v>1627</v>
      </c>
      <c r="N2880" s="2">
        <v>162000</v>
      </c>
      <c r="O2880" s="2">
        <v>5265</v>
      </c>
      <c r="P2880" s="2">
        <v>6885</v>
      </c>
      <c r="Q2880" s="2">
        <v>9762</v>
      </c>
      <c r="R2880" s="2">
        <v>8100</v>
      </c>
      <c r="S2880">
        <v>99.63</v>
      </c>
      <c r="T2880" s="2">
        <v>104085</v>
      </c>
      <c r="U2880" s="2">
        <v>57915</v>
      </c>
      <c r="V2880">
        <v>120.07259999999999</v>
      </c>
      <c r="W2880">
        <v>0</v>
      </c>
      <c r="X2880">
        <v>0</v>
      </c>
      <c r="Y2880">
        <v>0</v>
      </c>
      <c r="Z2880">
        <v>0.5</v>
      </c>
      <c r="AA2880">
        <v>4.164147E-3</v>
      </c>
      <c r="AB2880">
        <v>26.2</v>
      </c>
      <c r="AC2880">
        <v>11.840944439999999</v>
      </c>
      <c r="AD2880">
        <v>26</v>
      </c>
      <c r="AE2880" s="7"/>
      <c r="AF2880" s="7"/>
      <c r="AG2880" s="7"/>
      <c r="AH2880" s="7"/>
      <c r="AI2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2880" s="7"/>
      <c r="AK2880" t="s">
        <v>51</v>
      </c>
      <c r="AN2880">
        <f>IFERROR(INT(Table13[[#This Row],[reject_prod]]/Table13[[#This Row],[part_weight]] * 1000), 0)</f>
        <v>40</v>
      </c>
    </row>
    <row r="2881" spans="1:40">
      <c r="A2881" s="1">
        <v>46107</v>
      </c>
      <c r="B2881">
        <v>2</v>
      </c>
      <c r="C2881">
        <v>14</v>
      </c>
      <c r="D2881" t="s">
        <v>152</v>
      </c>
      <c r="E2881" t="s">
        <v>34</v>
      </c>
      <c r="F2881">
        <v>541381</v>
      </c>
      <c r="G2881" s="6">
        <v>0</v>
      </c>
      <c r="H2881" t="s">
        <v>804</v>
      </c>
      <c r="I2881">
        <v>10689121</v>
      </c>
      <c r="J2881">
        <v>4</v>
      </c>
      <c r="K2881">
        <v>55</v>
      </c>
      <c r="L2881">
        <v>55</v>
      </c>
      <c r="M2881">
        <v>1579</v>
      </c>
      <c r="N2881" s="2">
        <v>84000</v>
      </c>
      <c r="O2881" s="2">
        <v>350</v>
      </c>
      <c r="P2881" s="2">
        <v>350</v>
      </c>
      <c r="Q2881" s="2">
        <v>6316</v>
      </c>
      <c r="R2881" s="2">
        <v>6300</v>
      </c>
      <c r="S2881">
        <v>346.5</v>
      </c>
      <c r="T2881" s="2">
        <v>46550</v>
      </c>
      <c r="U2881" s="2">
        <v>37450</v>
      </c>
      <c r="V2881">
        <v>347.38</v>
      </c>
      <c r="W2881">
        <v>0</v>
      </c>
      <c r="X2881">
        <v>0</v>
      </c>
      <c r="Y2881">
        <v>0</v>
      </c>
      <c r="Z2881">
        <v>0.8</v>
      </c>
      <c r="AA2881">
        <v>2.3029539999999999E-3</v>
      </c>
      <c r="AB2881">
        <v>26.8</v>
      </c>
      <c r="AC2881">
        <v>11.75477778</v>
      </c>
      <c r="AD2881">
        <v>30.08</v>
      </c>
      <c r="AE2881" s="7"/>
      <c r="AF2881" s="7"/>
      <c r="AG2881" s="7"/>
      <c r="AH2881" s="7"/>
      <c r="AI2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0.24522222000000049</v>
      </c>
      <c r="AJ2881" s="7"/>
      <c r="AK2881" t="s">
        <v>51</v>
      </c>
      <c r="AN2881">
        <f>IFERROR(INT(Table13[[#This Row],[reject_prod]]/Table13[[#This Row],[part_weight]] * 1000), 0)</f>
        <v>14</v>
      </c>
    </row>
    <row r="2882" spans="1:40">
      <c r="A2882" s="1">
        <v>46107</v>
      </c>
      <c r="B2882">
        <v>2</v>
      </c>
      <c r="C2882">
        <v>15</v>
      </c>
      <c r="D2882" t="s">
        <v>61</v>
      </c>
      <c r="E2882" t="s">
        <v>46</v>
      </c>
      <c r="F2882">
        <v>552181</v>
      </c>
      <c r="G2882" s="6">
        <v>2</v>
      </c>
      <c r="H2882" t="s">
        <v>49</v>
      </c>
      <c r="I2882">
        <v>10689124</v>
      </c>
      <c r="J2882">
        <v>6</v>
      </c>
      <c r="K2882">
        <v>14.7</v>
      </c>
      <c r="L2882">
        <v>14.7</v>
      </c>
      <c r="M2882">
        <v>1403</v>
      </c>
      <c r="N2882" s="2">
        <v>108000</v>
      </c>
      <c r="O2882" s="2">
        <v>0</v>
      </c>
      <c r="P2882" s="2">
        <v>2970</v>
      </c>
      <c r="Q2882" s="2">
        <v>8418</v>
      </c>
      <c r="R2882" s="2">
        <v>5400</v>
      </c>
      <c r="S2882">
        <v>79.38</v>
      </c>
      <c r="T2882" s="2">
        <v>8370</v>
      </c>
      <c r="U2882" s="2">
        <v>99630</v>
      </c>
      <c r="V2882">
        <v>123.74460000000001</v>
      </c>
      <c r="W2882">
        <v>0</v>
      </c>
      <c r="X2882">
        <v>0</v>
      </c>
      <c r="Y2882">
        <v>0</v>
      </c>
      <c r="Z2882">
        <v>1.5</v>
      </c>
      <c r="AA2882">
        <v>1.2121741E-2</v>
      </c>
      <c r="AB2882">
        <v>30.8</v>
      </c>
      <c r="AC2882">
        <v>12</v>
      </c>
      <c r="AD2882">
        <v>27</v>
      </c>
      <c r="AE2882" s="7"/>
      <c r="AF2882" s="7"/>
      <c r="AG2882" s="7"/>
      <c r="AH2882" s="7"/>
      <c r="AI2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82" s="7"/>
      <c r="AK2882" t="s">
        <v>51</v>
      </c>
      <c r="AN2882">
        <f>IFERROR(INT(Table13[[#This Row],[reject_prod]]/Table13[[#This Row],[part_weight]] * 1000), 0)</f>
        <v>102</v>
      </c>
    </row>
    <row r="2883" spans="1:40">
      <c r="A2883" s="1">
        <v>46107</v>
      </c>
      <c r="B2883">
        <v>2</v>
      </c>
      <c r="C2883">
        <v>16</v>
      </c>
      <c r="D2883" t="s">
        <v>115</v>
      </c>
      <c r="E2883" t="s">
        <v>46</v>
      </c>
      <c r="F2883">
        <v>555979</v>
      </c>
      <c r="G2883" s="6">
        <v>2</v>
      </c>
      <c r="H2883" t="s">
        <v>52</v>
      </c>
      <c r="I2883">
        <v>10689125</v>
      </c>
      <c r="J2883">
        <v>6</v>
      </c>
      <c r="K2883">
        <v>28</v>
      </c>
      <c r="L2883">
        <v>28</v>
      </c>
      <c r="M2883">
        <v>992</v>
      </c>
      <c r="N2883" s="2">
        <v>100800</v>
      </c>
      <c r="O2883" s="2">
        <v>0</v>
      </c>
      <c r="P2883" s="2">
        <v>2520</v>
      </c>
      <c r="Q2883" s="2">
        <v>5952</v>
      </c>
      <c r="R2883" s="2">
        <v>3360</v>
      </c>
      <c r="S2883">
        <v>94.08</v>
      </c>
      <c r="T2883" s="2">
        <v>93240</v>
      </c>
      <c r="U2883" s="2">
        <v>7560</v>
      </c>
      <c r="V2883">
        <v>166.65600000000001</v>
      </c>
      <c r="W2883">
        <v>0</v>
      </c>
      <c r="X2883">
        <v>0</v>
      </c>
      <c r="Y2883">
        <v>0</v>
      </c>
      <c r="Z2883">
        <v>1.7</v>
      </c>
      <c r="AA2883">
        <v>1.0200653E-2</v>
      </c>
      <c r="AB2883">
        <v>42.55</v>
      </c>
      <c r="AC2883">
        <v>11.724888890000001</v>
      </c>
      <c r="AD2883">
        <v>42</v>
      </c>
      <c r="AE2883" s="7"/>
      <c r="AF2883" s="7"/>
      <c r="AG2883" s="7"/>
      <c r="AH2883" s="7"/>
      <c r="AI2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0.27511110999999921</v>
      </c>
      <c r="AJ2883" s="7"/>
      <c r="AK2883" t="s">
        <v>51</v>
      </c>
      <c r="AN2883">
        <f>IFERROR(INT(Table13[[#This Row],[reject_prod]]/Table13[[#This Row],[part_weight]] * 1000), 0)</f>
        <v>60</v>
      </c>
    </row>
    <row r="2884" spans="1:40">
      <c r="A2884" s="1">
        <v>46108</v>
      </c>
      <c r="B2884">
        <v>1</v>
      </c>
      <c r="C2884">
        <v>1</v>
      </c>
      <c r="D2884" t="s">
        <v>33</v>
      </c>
      <c r="E2884" t="s">
        <v>34</v>
      </c>
      <c r="F2884">
        <v>340460</v>
      </c>
      <c r="G2884" s="6">
        <v>0</v>
      </c>
      <c r="H2884" t="s">
        <v>1177</v>
      </c>
      <c r="I2884">
        <v>10691250</v>
      </c>
      <c r="J2884">
        <v>4</v>
      </c>
      <c r="K2884">
        <v>15.05</v>
      </c>
      <c r="L2884">
        <v>15.05</v>
      </c>
      <c r="M2884">
        <v>0</v>
      </c>
      <c r="N2884" s="2">
        <v>20300</v>
      </c>
      <c r="O2884" s="2">
        <v>0</v>
      </c>
      <c r="P2884" s="2">
        <v>0</v>
      </c>
      <c r="Q2884" s="2">
        <v>0</v>
      </c>
      <c r="R2884" s="2">
        <v>0</v>
      </c>
      <c r="S2884">
        <v>0</v>
      </c>
      <c r="T2884" s="2">
        <v>0</v>
      </c>
      <c r="U2884" s="2">
        <v>20300</v>
      </c>
      <c r="V2884">
        <v>0</v>
      </c>
      <c r="W2884">
        <v>0</v>
      </c>
      <c r="X2884">
        <v>6</v>
      </c>
      <c r="Y2884" t="e">
        <v>#DIV/0!</v>
      </c>
      <c r="Z2884">
        <v>0</v>
      </c>
      <c r="AA2884" t="e">
        <v>#DIV/0!</v>
      </c>
      <c r="AB2884">
        <v>0</v>
      </c>
      <c r="AC2884">
        <v>0</v>
      </c>
      <c r="AD2884">
        <v>20</v>
      </c>
      <c r="AE2884" s="7"/>
      <c r="AF2884" s="7"/>
      <c r="AG2884" s="7"/>
      <c r="AH2884" s="7"/>
      <c r="AI2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84" s="7"/>
      <c r="AK2884" t="s">
        <v>1404</v>
      </c>
      <c r="AN2884">
        <f>IFERROR(INT(Table13[[#This Row],[reject_prod]]/Table13[[#This Row],[part_weight]] * 1000), 0)</f>
        <v>0</v>
      </c>
    </row>
    <row r="2885" spans="1:40">
      <c r="A2885" s="1">
        <v>46108</v>
      </c>
      <c r="B2885">
        <v>1</v>
      </c>
      <c r="C2885">
        <v>2</v>
      </c>
      <c r="D2885" t="s">
        <v>1405</v>
      </c>
      <c r="E2885" t="s">
        <v>34</v>
      </c>
      <c r="F2885">
        <v>423213</v>
      </c>
      <c r="G2885" s="6">
        <v>0</v>
      </c>
      <c r="H2885" t="s">
        <v>70</v>
      </c>
      <c r="I2885">
        <v>10689499</v>
      </c>
      <c r="J2885">
        <v>4</v>
      </c>
      <c r="K2885">
        <v>23</v>
      </c>
      <c r="L2885">
        <v>23</v>
      </c>
      <c r="M2885">
        <v>1810</v>
      </c>
      <c r="N2885" s="2">
        <v>99822</v>
      </c>
      <c r="O2885" s="2">
        <v>0</v>
      </c>
      <c r="P2885" s="2">
        <v>2667</v>
      </c>
      <c r="Q2885" s="2">
        <v>7240</v>
      </c>
      <c r="R2885" s="2">
        <v>4572</v>
      </c>
      <c r="S2885">
        <v>105.15600000000001</v>
      </c>
      <c r="T2885" s="2">
        <v>43815</v>
      </c>
      <c r="U2885" s="2">
        <v>56007</v>
      </c>
      <c r="V2885">
        <v>166.52</v>
      </c>
      <c r="W2885">
        <v>0</v>
      </c>
      <c r="X2885">
        <v>0</v>
      </c>
      <c r="Y2885">
        <v>0</v>
      </c>
      <c r="Z2885">
        <v>1</v>
      </c>
      <c r="AA2885">
        <v>6.005285E-3</v>
      </c>
      <c r="AB2885">
        <v>23.05</v>
      </c>
      <c r="AC2885">
        <v>11.58902778</v>
      </c>
      <c r="AD2885">
        <v>22.5</v>
      </c>
      <c r="AE2885" s="7"/>
      <c r="AF2885" s="7"/>
      <c r="AG2885" s="7"/>
      <c r="AH2885" s="7"/>
      <c r="AI2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0.41097221999999967</v>
      </c>
      <c r="AJ2885" s="7"/>
      <c r="AK2885" t="s">
        <v>214</v>
      </c>
      <c r="AN2885">
        <f>IFERROR(INT(Table13[[#This Row],[reject_prod]]/Table13[[#This Row],[part_weight]] * 1000), 0)</f>
        <v>43</v>
      </c>
    </row>
    <row r="2886" spans="1:40">
      <c r="A2886" s="1">
        <v>46108</v>
      </c>
      <c r="B2886">
        <v>1</v>
      </c>
      <c r="C2886">
        <v>3</v>
      </c>
      <c r="D2886" t="s">
        <v>54</v>
      </c>
      <c r="E2886" t="s">
        <v>34</v>
      </c>
      <c r="F2886">
        <v>442034</v>
      </c>
      <c r="G2886" s="6">
        <v>0</v>
      </c>
      <c r="H2886" t="s">
        <v>37</v>
      </c>
      <c r="I2886">
        <v>10688497</v>
      </c>
      <c r="J2886">
        <v>4</v>
      </c>
      <c r="K2886">
        <v>23</v>
      </c>
      <c r="L2886">
        <v>23</v>
      </c>
      <c r="M2886">
        <v>1720</v>
      </c>
      <c r="N2886" s="2">
        <v>139776</v>
      </c>
      <c r="O2886" s="2">
        <v>0</v>
      </c>
      <c r="P2886" s="2">
        <v>2304</v>
      </c>
      <c r="Q2886" s="2">
        <v>6880</v>
      </c>
      <c r="R2886" s="2">
        <v>4608</v>
      </c>
      <c r="S2886">
        <v>105.98399999999999</v>
      </c>
      <c r="T2886" s="2">
        <v>66816</v>
      </c>
      <c r="U2886" s="2">
        <v>72960</v>
      </c>
      <c r="V2886">
        <v>158.24</v>
      </c>
      <c r="W2886">
        <v>0</v>
      </c>
      <c r="X2886">
        <v>0</v>
      </c>
      <c r="Y2886">
        <v>0</v>
      </c>
      <c r="Z2886">
        <v>1.7</v>
      </c>
      <c r="AA2886">
        <v>1.0743175000000001E-2</v>
      </c>
      <c r="AB2886">
        <v>25.4</v>
      </c>
      <c r="AC2886">
        <v>12</v>
      </c>
      <c r="AD2886">
        <v>22</v>
      </c>
      <c r="AE2886" s="7"/>
      <c r="AF2886" s="7"/>
      <c r="AG2886" s="7"/>
      <c r="AH2886" s="7"/>
      <c r="AI2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86" s="7"/>
      <c r="AK2886" t="s">
        <v>214</v>
      </c>
      <c r="AN2886">
        <f>IFERROR(INT(Table13[[#This Row],[reject_prod]]/Table13[[#This Row],[part_weight]] * 1000), 0)</f>
        <v>73</v>
      </c>
    </row>
    <row r="2887" spans="1:40">
      <c r="A2887" s="1">
        <v>46108</v>
      </c>
      <c r="B2887">
        <v>1</v>
      </c>
      <c r="C2887">
        <v>4</v>
      </c>
      <c r="D2887" t="s">
        <v>84</v>
      </c>
      <c r="E2887" t="s">
        <v>34</v>
      </c>
      <c r="F2887">
        <v>451191</v>
      </c>
      <c r="G2887" s="6">
        <v>0</v>
      </c>
      <c r="H2887" t="s">
        <v>946</v>
      </c>
      <c r="I2887">
        <v>10690450</v>
      </c>
      <c r="J2887">
        <v>4</v>
      </c>
      <c r="K2887">
        <v>29</v>
      </c>
      <c r="L2887">
        <v>29</v>
      </c>
      <c r="M2887">
        <v>1568</v>
      </c>
      <c r="N2887" s="2">
        <v>110160</v>
      </c>
      <c r="O2887" s="2">
        <v>153</v>
      </c>
      <c r="P2887" s="2"/>
      <c r="Q2887" s="2">
        <v>6272</v>
      </c>
      <c r="R2887" s="2">
        <v>6426</v>
      </c>
      <c r="S2887">
        <v>186.35400000000001</v>
      </c>
      <c r="T2887" s="2">
        <v>101898</v>
      </c>
      <c r="U2887" s="2">
        <v>8262</v>
      </c>
      <c r="V2887">
        <v>181.88800000000001</v>
      </c>
      <c r="W2887">
        <v>0</v>
      </c>
      <c r="X2887">
        <v>0</v>
      </c>
      <c r="Y2887">
        <v>0</v>
      </c>
      <c r="Z2887">
        <v>6.5</v>
      </c>
      <c r="AA2887">
        <v>3.5736276999999997E-2</v>
      </c>
      <c r="AB2887">
        <v>25.2</v>
      </c>
      <c r="AC2887">
        <v>10.976000000000001</v>
      </c>
      <c r="AD2887">
        <v>24</v>
      </c>
      <c r="AE2887" s="7"/>
      <c r="AF2887" s="7"/>
      <c r="AG2887" s="7"/>
      <c r="AH2887" s="7"/>
      <c r="AI2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1.0239999999999991</v>
      </c>
      <c r="AJ2887" s="7"/>
      <c r="AK2887" t="s">
        <v>237</v>
      </c>
      <c r="AN2887">
        <f>IFERROR(INT(Table13[[#This Row],[reject_prod]]/Table13[[#This Row],[part_weight]] * 1000), 0)</f>
        <v>224</v>
      </c>
    </row>
    <row r="2888" spans="1:40">
      <c r="A2888" s="1">
        <v>46108</v>
      </c>
      <c r="B2888">
        <v>1</v>
      </c>
      <c r="C2888">
        <v>5</v>
      </c>
      <c r="D2888" t="s">
        <v>506</v>
      </c>
      <c r="E2888" t="s">
        <v>34</v>
      </c>
      <c r="F2888">
        <v>626029</v>
      </c>
      <c r="G2888" s="6">
        <v>0</v>
      </c>
      <c r="H2888" t="s">
        <v>478</v>
      </c>
      <c r="I2888">
        <v>10689832</v>
      </c>
      <c r="J2888">
        <v>4</v>
      </c>
      <c r="K2888">
        <v>48.39</v>
      </c>
      <c r="L2888">
        <v>48.39</v>
      </c>
      <c r="M2888">
        <v>800</v>
      </c>
      <c r="N2888" s="2">
        <v>29952</v>
      </c>
      <c r="O2888" s="2">
        <v>0</v>
      </c>
      <c r="P2888" s="2">
        <v>624</v>
      </c>
      <c r="Q2888" s="2">
        <v>3200</v>
      </c>
      <c r="R2888" s="2">
        <v>2496</v>
      </c>
      <c r="S2888">
        <v>120.78144</v>
      </c>
      <c r="T2888" s="2">
        <v>3120</v>
      </c>
      <c r="U2888" s="2">
        <v>26832</v>
      </c>
      <c r="V2888">
        <v>154.84800000000001</v>
      </c>
      <c r="W2888">
        <v>0</v>
      </c>
      <c r="X2888">
        <v>14</v>
      </c>
      <c r="Y2888">
        <v>9.0411242000000003E-2</v>
      </c>
      <c r="Z2888">
        <v>8.6999999999999993</v>
      </c>
      <c r="AA2888">
        <v>5.6184128999999999E-2</v>
      </c>
      <c r="AB2888">
        <v>29.22</v>
      </c>
      <c r="AC2888">
        <v>6.4933333329999998</v>
      </c>
      <c r="AD2888">
        <v>28</v>
      </c>
      <c r="AE2888" s="7"/>
      <c r="AF2888" s="7"/>
      <c r="AG2888" s="7"/>
      <c r="AH2888" s="7"/>
      <c r="AI2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5.5066666670000002</v>
      </c>
      <c r="AJ2888" s="7"/>
      <c r="AK2888" t="s">
        <v>1406</v>
      </c>
      <c r="AN2888">
        <f>IFERROR(INT(Table13[[#This Row],[reject_prod]]/Table13[[#This Row],[part_weight]] * 1000), 0)</f>
        <v>179</v>
      </c>
    </row>
    <row r="2889" spans="1:40">
      <c r="A2889" s="1">
        <v>46108</v>
      </c>
      <c r="B2889">
        <v>1</v>
      </c>
      <c r="C2889">
        <v>6</v>
      </c>
      <c r="D2889" t="s">
        <v>1407</v>
      </c>
      <c r="E2889" t="s">
        <v>34</v>
      </c>
      <c r="F2889">
        <v>661980</v>
      </c>
      <c r="G2889" s="6">
        <v>0</v>
      </c>
      <c r="H2889" t="s">
        <v>1378</v>
      </c>
      <c r="I2889">
        <v>10690617</v>
      </c>
      <c r="J2889">
        <v>4</v>
      </c>
      <c r="K2889">
        <v>24.9</v>
      </c>
      <c r="L2889">
        <v>24.9</v>
      </c>
      <c r="M2889">
        <v>1960</v>
      </c>
      <c r="N2889" s="2">
        <v>15600</v>
      </c>
      <c r="O2889" s="2">
        <v>0</v>
      </c>
      <c r="P2889" s="2">
        <v>0</v>
      </c>
      <c r="Q2889" s="2">
        <v>7840</v>
      </c>
      <c r="R2889" s="2">
        <v>7800</v>
      </c>
      <c r="S2889">
        <v>194.22</v>
      </c>
      <c r="T2889" s="2">
        <v>14040</v>
      </c>
      <c r="U2889" s="2">
        <v>1560</v>
      </c>
      <c r="V2889">
        <v>195.21600000000001</v>
      </c>
      <c r="W2889">
        <v>0</v>
      </c>
      <c r="X2889">
        <v>0</v>
      </c>
      <c r="Y2889">
        <v>0</v>
      </c>
      <c r="Z2889">
        <v>1.6</v>
      </c>
      <c r="AA2889">
        <v>8.1960499999999999E-3</v>
      </c>
      <c r="AB2889">
        <v>22</v>
      </c>
      <c r="AC2889">
        <v>11.97777778</v>
      </c>
      <c r="AD2889">
        <v>22</v>
      </c>
      <c r="AE2889" s="7"/>
      <c r="AF2889" s="7"/>
      <c r="AG2889" s="7"/>
      <c r="AH2889" s="7"/>
      <c r="AI2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2889" s="7"/>
      <c r="AK2889" t="s">
        <v>1388</v>
      </c>
      <c r="AN2889">
        <f>IFERROR(INT(Table13[[#This Row],[reject_prod]]/Table13[[#This Row],[part_weight]] * 1000), 0)</f>
        <v>64</v>
      </c>
    </row>
    <row r="2890" spans="1:40">
      <c r="A2890" s="1">
        <v>46108</v>
      </c>
      <c r="B2890">
        <v>1</v>
      </c>
      <c r="C2890">
        <v>7</v>
      </c>
      <c r="D2890" t="s">
        <v>534</v>
      </c>
      <c r="E2890" t="s">
        <v>34</v>
      </c>
      <c r="F2890">
        <v>597507</v>
      </c>
      <c r="G2890" s="6">
        <v>0</v>
      </c>
      <c r="H2890" t="s">
        <v>279</v>
      </c>
      <c r="I2890">
        <v>10690042</v>
      </c>
      <c r="J2890">
        <v>4</v>
      </c>
      <c r="K2890">
        <v>23</v>
      </c>
      <c r="L2890">
        <v>23</v>
      </c>
      <c r="M2890">
        <v>1540</v>
      </c>
      <c r="N2890" s="2">
        <v>86240</v>
      </c>
      <c r="O2890" s="2">
        <v>0</v>
      </c>
      <c r="P2890" s="2">
        <v>770</v>
      </c>
      <c r="Q2890" s="2">
        <v>6160</v>
      </c>
      <c r="R2890" s="2">
        <v>5390</v>
      </c>
      <c r="S2890">
        <v>123.97</v>
      </c>
      <c r="T2890" s="2">
        <v>56826</v>
      </c>
      <c r="U2890" s="2">
        <v>29414</v>
      </c>
      <c r="V2890">
        <v>141.68</v>
      </c>
      <c r="W2890">
        <v>0</v>
      </c>
      <c r="X2890">
        <v>0</v>
      </c>
      <c r="Y2890">
        <v>0</v>
      </c>
      <c r="Z2890">
        <v>6.4</v>
      </c>
      <c r="AA2890">
        <v>4.5172219E-2</v>
      </c>
      <c r="AB2890">
        <v>23.54</v>
      </c>
      <c r="AC2890">
        <v>10.06988889</v>
      </c>
      <c r="AD2890">
        <v>22</v>
      </c>
      <c r="AE2890" s="7"/>
      <c r="AF2890" s="7"/>
      <c r="AG2890" s="7"/>
      <c r="AH2890" s="7"/>
      <c r="AI2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1.9301111100000004</v>
      </c>
      <c r="AJ2890" s="7"/>
      <c r="AK2890" t="s">
        <v>1408</v>
      </c>
      <c r="AN2890">
        <f>IFERROR(INT(Table13[[#This Row],[reject_prod]]/Table13[[#This Row],[part_weight]] * 1000), 0)</f>
        <v>278</v>
      </c>
    </row>
    <row r="2891" spans="1:40">
      <c r="A2891" s="1">
        <v>46108</v>
      </c>
      <c r="B2891">
        <v>1</v>
      </c>
      <c r="C2891">
        <v>8</v>
      </c>
      <c r="D2891" t="s">
        <v>58</v>
      </c>
      <c r="E2891" t="s">
        <v>41</v>
      </c>
      <c r="F2891">
        <v>593537</v>
      </c>
      <c r="G2891" s="6">
        <v>0</v>
      </c>
      <c r="H2891" t="s">
        <v>48</v>
      </c>
      <c r="I2891">
        <v>10689827</v>
      </c>
      <c r="J2891">
        <v>4</v>
      </c>
      <c r="K2891">
        <v>56.5</v>
      </c>
      <c r="L2891">
        <v>56.8</v>
      </c>
      <c r="M2891">
        <v>1410</v>
      </c>
      <c r="N2891" s="2">
        <v>69000</v>
      </c>
      <c r="O2891" s="2">
        <v>345</v>
      </c>
      <c r="P2891" s="2">
        <v>230</v>
      </c>
      <c r="Q2891" s="2">
        <v>5640</v>
      </c>
      <c r="R2891" s="2">
        <v>5750</v>
      </c>
      <c r="S2891">
        <v>326.60000000000002</v>
      </c>
      <c r="T2891" s="2">
        <v>27255</v>
      </c>
      <c r="U2891" s="2">
        <v>41745</v>
      </c>
      <c r="V2891">
        <v>320.35199999999998</v>
      </c>
      <c r="W2891">
        <v>-1.6919999999999999</v>
      </c>
      <c r="X2891">
        <v>0</v>
      </c>
      <c r="Y2891">
        <v>0</v>
      </c>
      <c r="Z2891">
        <v>3.2</v>
      </c>
      <c r="AA2891">
        <v>9.9890120000000002E-3</v>
      </c>
      <c r="AB2891">
        <v>29.9</v>
      </c>
      <c r="AC2891">
        <v>11.71083333</v>
      </c>
      <c r="AD2891">
        <v>28.5</v>
      </c>
      <c r="AE2891" s="7"/>
      <c r="AF2891" s="7"/>
      <c r="AG2891" s="7"/>
      <c r="AH2891" s="7"/>
      <c r="AI2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0.28916667000000018</v>
      </c>
      <c r="AJ2891" s="7"/>
      <c r="AK2891" t="s">
        <v>178</v>
      </c>
      <c r="AN2891">
        <f>IFERROR(INT(Table13[[#This Row],[reject_prod]]/Table13[[#This Row],[part_weight]] * 1000), 0)</f>
        <v>56</v>
      </c>
    </row>
    <row r="2892" spans="1:40">
      <c r="A2892" s="1">
        <v>46108</v>
      </c>
      <c r="B2892">
        <v>1</v>
      </c>
      <c r="C2892">
        <v>9</v>
      </c>
      <c r="D2892" t="s">
        <v>208</v>
      </c>
      <c r="E2892" t="s">
        <v>46</v>
      </c>
      <c r="F2892">
        <v>586276</v>
      </c>
      <c r="G2892" s="6">
        <v>1</v>
      </c>
      <c r="H2892" t="s">
        <v>47</v>
      </c>
      <c r="I2892">
        <v>10689112</v>
      </c>
      <c r="J2892">
        <v>6</v>
      </c>
      <c r="K2892">
        <v>12.3</v>
      </c>
      <c r="L2892">
        <v>12.3</v>
      </c>
      <c r="M2892">
        <v>1400</v>
      </c>
      <c r="N2892" s="2">
        <v>162000</v>
      </c>
      <c r="O2892" s="2">
        <v>8910</v>
      </c>
      <c r="P2892" s="2">
        <v>8910</v>
      </c>
      <c r="Q2892" s="2">
        <v>8400</v>
      </c>
      <c r="R2892" s="2">
        <v>8100</v>
      </c>
      <c r="S2892">
        <v>99.63</v>
      </c>
      <c r="T2892" s="2">
        <v>122310</v>
      </c>
      <c r="U2892" s="2">
        <v>39690</v>
      </c>
      <c r="V2892">
        <v>103.32</v>
      </c>
      <c r="W2892">
        <v>0</v>
      </c>
      <c r="X2892">
        <v>0</v>
      </c>
      <c r="Y2892">
        <v>0</v>
      </c>
      <c r="Z2892">
        <v>1.5</v>
      </c>
      <c r="AA2892">
        <v>1.4518002E-2</v>
      </c>
      <c r="AB2892">
        <v>29.6</v>
      </c>
      <c r="AC2892">
        <v>11.51111111</v>
      </c>
      <c r="AD2892">
        <v>26</v>
      </c>
      <c r="AE2892" s="7"/>
      <c r="AF2892" s="7"/>
      <c r="AG2892" s="7"/>
      <c r="AH2892" s="7"/>
      <c r="AI28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0.48888889000000013</v>
      </c>
      <c r="AJ2892" s="7"/>
      <c r="AK2892" t="s">
        <v>1409</v>
      </c>
      <c r="AN2892">
        <f>IFERROR(INT(Table13[[#This Row],[reject_prod]]/Table13[[#This Row],[part_weight]] * 1000), 0)</f>
        <v>121</v>
      </c>
    </row>
    <row r="2893" spans="1:40">
      <c r="A2893" s="1">
        <v>46108</v>
      </c>
      <c r="B2893">
        <v>1</v>
      </c>
      <c r="C2893">
        <v>10</v>
      </c>
      <c r="D2893" t="s">
        <v>33</v>
      </c>
      <c r="E2893" t="s">
        <v>34</v>
      </c>
      <c r="F2893">
        <v>324638</v>
      </c>
      <c r="G2893" s="6">
        <v>0</v>
      </c>
      <c r="H2893" t="s">
        <v>687</v>
      </c>
      <c r="I2893">
        <v>10689561</v>
      </c>
      <c r="J2893">
        <v>4</v>
      </c>
      <c r="K2893">
        <v>77.5</v>
      </c>
      <c r="L2893">
        <v>77.5</v>
      </c>
      <c r="M2893">
        <v>90</v>
      </c>
      <c r="N2893" s="2">
        <v>26496</v>
      </c>
      <c r="O2893" s="2">
        <v>0</v>
      </c>
      <c r="P2893" s="2">
        <v>69</v>
      </c>
      <c r="Q2893" s="2">
        <v>360</v>
      </c>
      <c r="R2893" s="2">
        <v>276</v>
      </c>
      <c r="S2893">
        <v>21.39</v>
      </c>
      <c r="T2893" s="2">
        <v>621</v>
      </c>
      <c r="U2893" s="2">
        <v>25875</v>
      </c>
      <c r="V2893">
        <v>27.9</v>
      </c>
      <c r="W2893">
        <v>0</v>
      </c>
      <c r="X2893">
        <v>2.8</v>
      </c>
      <c r="Y2893">
        <v>0.100358423</v>
      </c>
      <c r="Z2893">
        <v>0</v>
      </c>
      <c r="AA2893">
        <v>0</v>
      </c>
      <c r="AB2893">
        <v>38.450000000000003</v>
      </c>
      <c r="AC2893">
        <v>0.96125000000000005</v>
      </c>
      <c r="AD2893">
        <v>36</v>
      </c>
      <c r="AE2893" s="7"/>
      <c r="AF2893" s="7"/>
      <c r="AG2893" s="7"/>
      <c r="AH2893" s="7"/>
      <c r="AI2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11.03875</v>
      </c>
      <c r="AJ2893" s="7"/>
      <c r="AK2893" t="s">
        <v>1410</v>
      </c>
      <c r="AN2893">
        <f>IFERROR(INT(Table13[[#This Row],[reject_prod]]/Table13[[#This Row],[part_weight]] * 1000), 0)</f>
        <v>0</v>
      </c>
    </row>
    <row r="2894" spans="1:40">
      <c r="A2894" s="1">
        <v>46108</v>
      </c>
      <c r="B2894">
        <v>1</v>
      </c>
      <c r="C2894">
        <v>11</v>
      </c>
      <c r="D2894" t="s">
        <v>139</v>
      </c>
      <c r="E2894" t="s">
        <v>46</v>
      </c>
      <c r="F2894">
        <v>552181</v>
      </c>
      <c r="G2894" s="6">
        <v>1</v>
      </c>
      <c r="H2894" t="s">
        <v>49</v>
      </c>
      <c r="I2894" t="s">
        <v>490</v>
      </c>
      <c r="J2894">
        <v>6</v>
      </c>
      <c r="K2894">
        <v>14.7</v>
      </c>
      <c r="L2894">
        <v>14.7</v>
      </c>
      <c r="M2894">
        <v>450</v>
      </c>
      <c r="N2894" s="2">
        <v>3240</v>
      </c>
      <c r="O2894" s="2">
        <v>540</v>
      </c>
      <c r="P2894" s="2">
        <v>3240</v>
      </c>
      <c r="Q2894" s="2">
        <v>2700</v>
      </c>
      <c r="R2894" s="2">
        <v>0</v>
      </c>
      <c r="S2894">
        <v>0</v>
      </c>
      <c r="T2894" s="2">
        <v>3240</v>
      </c>
      <c r="U2894" s="2">
        <v>0</v>
      </c>
      <c r="V2894">
        <v>39.69</v>
      </c>
      <c r="W2894">
        <v>0</v>
      </c>
      <c r="X2894">
        <v>0</v>
      </c>
      <c r="Y2894">
        <v>0</v>
      </c>
      <c r="Z2894">
        <v>1.3</v>
      </c>
      <c r="AA2894">
        <v>3.2753841999999998E-2</v>
      </c>
      <c r="AB2894">
        <v>29.2</v>
      </c>
      <c r="AC2894">
        <v>3.65</v>
      </c>
      <c r="AD2894">
        <v>27</v>
      </c>
      <c r="AE2894" s="7"/>
      <c r="AF2894" s="7"/>
      <c r="AG2894" s="7"/>
      <c r="AH2894" s="7"/>
      <c r="AI2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8.35</v>
      </c>
      <c r="AJ2894" s="7"/>
      <c r="AK2894" t="s">
        <v>1391</v>
      </c>
      <c r="AN2894">
        <f>IFERROR(INT(Table13[[#This Row],[reject_prod]]/Table13[[#This Row],[part_weight]] * 1000), 0)</f>
        <v>88</v>
      </c>
    </row>
    <row r="2895" spans="1:40">
      <c r="A2895" s="1">
        <v>46108</v>
      </c>
      <c r="B2895">
        <v>1</v>
      </c>
      <c r="C2895">
        <v>12</v>
      </c>
      <c r="D2895" t="s">
        <v>167</v>
      </c>
      <c r="E2895" t="s">
        <v>46</v>
      </c>
      <c r="F2895">
        <v>555979</v>
      </c>
      <c r="G2895" s="6">
        <v>1</v>
      </c>
      <c r="H2895" t="s">
        <v>52</v>
      </c>
      <c r="I2895">
        <v>10689126</v>
      </c>
      <c r="J2895">
        <v>6</v>
      </c>
      <c r="K2895">
        <v>28</v>
      </c>
      <c r="L2895">
        <v>28</v>
      </c>
      <c r="M2895">
        <v>616</v>
      </c>
      <c r="N2895" s="2">
        <v>100800</v>
      </c>
      <c r="O2895" s="2">
        <v>0</v>
      </c>
      <c r="P2895" s="2">
        <v>336</v>
      </c>
      <c r="Q2895" s="2">
        <v>3696</v>
      </c>
      <c r="R2895" s="2">
        <v>3360</v>
      </c>
      <c r="S2895">
        <v>94.08</v>
      </c>
      <c r="T2895" s="2">
        <v>17136</v>
      </c>
      <c r="U2895" s="2">
        <v>83664</v>
      </c>
      <c r="V2895">
        <v>103.488</v>
      </c>
      <c r="W2895">
        <v>0</v>
      </c>
      <c r="X2895">
        <v>6</v>
      </c>
      <c r="Y2895">
        <v>5.7977737000000001E-2</v>
      </c>
      <c r="Z2895">
        <v>1</v>
      </c>
      <c r="AA2895">
        <v>9.6629560000000003E-3</v>
      </c>
      <c r="AB2895">
        <v>44</v>
      </c>
      <c r="AC2895">
        <v>7.5288888890000001</v>
      </c>
      <c r="AD2895">
        <v>42</v>
      </c>
      <c r="AE2895" s="7"/>
      <c r="AF2895" s="7"/>
      <c r="AG2895" s="7"/>
      <c r="AH2895" s="7"/>
      <c r="AI2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4.4711111109999999</v>
      </c>
      <c r="AJ2895" s="7"/>
      <c r="AK2895" t="s">
        <v>1411</v>
      </c>
      <c r="AN2895">
        <f>IFERROR(INT(Table13[[#This Row],[reject_prod]]/Table13[[#This Row],[part_weight]] * 1000), 0)</f>
        <v>35</v>
      </c>
    </row>
    <row r="2896" spans="1:40">
      <c r="A2896" s="1">
        <v>46108</v>
      </c>
      <c r="B2896">
        <v>1</v>
      </c>
      <c r="C2896">
        <v>13</v>
      </c>
      <c r="D2896" t="s">
        <v>1412</v>
      </c>
      <c r="E2896" t="s">
        <v>46</v>
      </c>
      <c r="F2896">
        <v>586276</v>
      </c>
      <c r="G2896" s="6">
        <v>2</v>
      </c>
      <c r="H2896" t="s">
        <v>47</v>
      </c>
      <c r="I2896">
        <v>10689119</v>
      </c>
      <c r="J2896">
        <v>6</v>
      </c>
      <c r="K2896">
        <v>12.3</v>
      </c>
      <c r="L2896">
        <v>12.3</v>
      </c>
      <c r="M2896">
        <v>1620</v>
      </c>
      <c r="N2896" s="2">
        <v>162000</v>
      </c>
      <c r="O2896" s="2">
        <v>6885</v>
      </c>
      <c r="P2896" s="2">
        <v>405</v>
      </c>
      <c r="Q2896" s="2">
        <v>9720</v>
      </c>
      <c r="R2896" s="2">
        <v>16200</v>
      </c>
      <c r="S2896">
        <v>199.26</v>
      </c>
      <c r="T2896" s="2">
        <v>113805</v>
      </c>
      <c r="U2896" s="2">
        <v>48195</v>
      </c>
      <c r="V2896">
        <v>119.556</v>
      </c>
      <c r="W2896">
        <v>0</v>
      </c>
      <c r="X2896">
        <v>0</v>
      </c>
      <c r="Y2896">
        <v>0</v>
      </c>
      <c r="Z2896">
        <v>1</v>
      </c>
      <c r="AA2896">
        <v>8.3642809999999995E-3</v>
      </c>
      <c r="AB2896">
        <v>26.2</v>
      </c>
      <c r="AC2896">
        <v>11.79</v>
      </c>
      <c r="AD2896">
        <v>26</v>
      </c>
      <c r="AE2896" s="7"/>
      <c r="AF2896" s="7"/>
      <c r="AG2896" s="7"/>
      <c r="AH2896" s="7"/>
      <c r="AI2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896" s="7"/>
      <c r="AK2896" t="s">
        <v>51</v>
      </c>
      <c r="AN2896">
        <f>IFERROR(INT(Table13[[#This Row],[reject_prod]]/Table13[[#This Row],[part_weight]] * 1000), 0)</f>
        <v>81</v>
      </c>
    </row>
    <row r="2897" spans="1:40">
      <c r="A2897" s="1">
        <v>46108</v>
      </c>
      <c r="B2897">
        <v>1</v>
      </c>
      <c r="C2897">
        <v>14</v>
      </c>
      <c r="D2897" t="s">
        <v>59</v>
      </c>
      <c r="E2897" t="s">
        <v>34</v>
      </c>
      <c r="F2897">
        <v>541381</v>
      </c>
      <c r="G2897" s="6">
        <v>0</v>
      </c>
      <c r="H2897" t="s">
        <v>804</v>
      </c>
      <c r="I2897">
        <v>10689121</v>
      </c>
      <c r="J2897">
        <v>4</v>
      </c>
      <c r="K2897">
        <v>55</v>
      </c>
      <c r="L2897">
        <v>55</v>
      </c>
      <c r="M2897">
        <v>1488</v>
      </c>
      <c r="N2897" s="2">
        <v>84000</v>
      </c>
      <c r="O2897" s="2">
        <v>350</v>
      </c>
      <c r="P2897" s="2">
        <v>0</v>
      </c>
      <c r="Q2897" s="2">
        <v>5952</v>
      </c>
      <c r="R2897" s="2">
        <v>6300</v>
      </c>
      <c r="S2897">
        <v>346.5</v>
      </c>
      <c r="T2897" s="2">
        <v>52500</v>
      </c>
      <c r="U2897" s="2">
        <v>31500</v>
      </c>
      <c r="V2897">
        <v>327.36</v>
      </c>
      <c r="W2897">
        <v>0</v>
      </c>
      <c r="X2897">
        <v>0</v>
      </c>
      <c r="Y2897">
        <v>0</v>
      </c>
      <c r="Z2897">
        <v>7.8</v>
      </c>
      <c r="AA2897">
        <v>2.3826979000000002E-2</v>
      </c>
      <c r="AB2897">
        <v>26.78</v>
      </c>
      <c r="AC2897">
        <v>11.06906667</v>
      </c>
      <c r="AD2897">
        <v>30.08</v>
      </c>
      <c r="AE2897" s="7"/>
      <c r="AF2897" s="7"/>
      <c r="AG2897" s="7"/>
      <c r="AH2897" s="7"/>
      <c r="AI2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0.93093333000000023</v>
      </c>
      <c r="AJ2897" s="7"/>
      <c r="AK2897" t="s">
        <v>1413</v>
      </c>
      <c r="AN2897">
        <f>IFERROR(INT(Table13[[#This Row],[reject_prod]]/Table13[[#This Row],[part_weight]] * 1000), 0)</f>
        <v>141</v>
      </c>
    </row>
    <row r="2898" spans="1:40">
      <c r="A2898" s="1">
        <v>46108</v>
      </c>
      <c r="B2898">
        <v>1</v>
      </c>
      <c r="C2898">
        <v>15</v>
      </c>
      <c r="D2898" t="s">
        <v>139</v>
      </c>
      <c r="E2898" t="s">
        <v>46</v>
      </c>
      <c r="F2898">
        <v>552181</v>
      </c>
      <c r="G2898" s="6">
        <v>2</v>
      </c>
      <c r="H2898" t="s">
        <v>49</v>
      </c>
      <c r="I2898">
        <v>10689124</v>
      </c>
      <c r="J2898">
        <v>6</v>
      </c>
      <c r="K2898">
        <v>14.7</v>
      </c>
      <c r="L2898">
        <v>14.7</v>
      </c>
      <c r="M2898">
        <v>1350</v>
      </c>
      <c r="N2898" s="2">
        <v>108000</v>
      </c>
      <c r="O2898" s="2">
        <v>2970</v>
      </c>
      <c r="P2898" s="2">
        <v>270</v>
      </c>
      <c r="Q2898" s="2">
        <v>8100</v>
      </c>
      <c r="R2898" s="2">
        <v>10800</v>
      </c>
      <c r="S2898">
        <v>158.76</v>
      </c>
      <c r="T2898" s="2">
        <v>16470</v>
      </c>
      <c r="U2898" s="2">
        <v>91530</v>
      </c>
      <c r="V2898">
        <v>119.07</v>
      </c>
      <c r="W2898">
        <v>0</v>
      </c>
      <c r="X2898">
        <v>0</v>
      </c>
      <c r="Y2898">
        <v>0</v>
      </c>
      <c r="Z2898">
        <v>1</v>
      </c>
      <c r="AA2898">
        <v>8.3984209999999997E-3</v>
      </c>
      <c r="AB2898">
        <v>30.8</v>
      </c>
      <c r="AC2898">
        <v>11.55</v>
      </c>
      <c r="AD2898">
        <v>27</v>
      </c>
      <c r="AE2898" s="7"/>
      <c r="AF2898" s="7"/>
      <c r="AG2898" s="7"/>
      <c r="AH2898" s="7"/>
      <c r="AI2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2898" s="7"/>
      <c r="AK2898" t="s">
        <v>1394</v>
      </c>
      <c r="AN2898">
        <f>IFERROR(INT(Table13[[#This Row],[reject_prod]]/Table13[[#This Row],[part_weight]] * 1000), 0)</f>
        <v>68</v>
      </c>
    </row>
    <row r="2899" spans="1:40">
      <c r="A2899" s="1">
        <v>46108</v>
      </c>
      <c r="B2899">
        <v>1</v>
      </c>
      <c r="C2899">
        <v>16</v>
      </c>
      <c r="D2899" t="s">
        <v>124</v>
      </c>
      <c r="E2899" t="s">
        <v>46</v>
      </c>
      <c r="F2899">
        <v>555979</v>
      </c>
      <c r="G2899" s="6">
        <v>2</v>
      </c>
      <c r="H2899" t="s">
        <v>52</v>
      </c>
      <c r="I2899">
        <v>10689125</v>
      </c>
      <c r="J2899">
        <v>6</v>
      </c>
      <c r="K2899">
        <v>28</v>
      </c>
      <c r="L2899">
        <v>28</v>
      </c>
      <c r="M2899">
        <v>1000</v>
      </c>
      <c r="N2899" s="2">
        <v>100800</v>
      </c>
      <c r="O2899" s="2">
        <v>2520</v>
      </c>
      <c r="P2899" s="2">
        <v>1680</v>
      </c>
      <c r="Q2899" s="2">
        <v>6000</v>
      </c>
      <c r="R2899" s="2">
        <v>6720</v>
      </c>
      <c r="S2899">
        <v>188.16</v>
      </c>
      <c r="T2899" s="2">
        <v>99120</v>
      </c>
      <c r="U2899" s="2">
        <v>1680</v>
      </c>
      <c r="V2899">
        <v>168</v>
      </c>
      <c r="W2899">
        <v>0</v>
      </c>
      <c r="X2899">
        <v>0</v>
      </c>
      <c r="Y2899">
        <v>0</v>
      </c>
      <c r="Z2899">
        <v>2</v>
      </c>
      <c r="AA2899">
        <v>1.1904761999999999E-2</v>
      </c>
      <c r="AB2899">
        <v>42.58</v>
      </c>
      <c r="AC2899">
        <v>11.82777778</v>
      </c>
      <c r="AD2899">
        <v>42</v>
      </c>
      <c r="AE2899" s="7"/>
      <c r="AF2899" s="7"/>
      <c r="AG2899" s="7"/>
      <c r="AH2899" s="7"/>
      <c r="AI2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0.17222222000000009</v>
      </c>
      <c r="AJ2899" s="7"/>
      <c r="AK2899" t="s">
        <v>51</v>
      </c>
      <c r="AN2899">
        <f>IFERROR(INT(Table13[[#This Row],[reject_prod]]/Table13[[#This Row],[part_weight]] * 1000), 0)</f>
        <v>71</v>
      </c>
    </row>
    <row r="2900" spans="1:40">
      <c r="A2900" s="1">
        <v>46108</v>
      </c>
      <c r="B2900">
        <v>2</v>
      </c>
      <c r="C2900">
        <v>1</v>
      </c>
      <c r="D2900" t="s">
        <v>141</v>
      </c>
      <c r="E2900" t="s">
        <v>34</v>
      </c>
      <c r="F2900">
        <v>340460</v>
      </c>
      <c r="G2900" s="6">
        <v>0</v>
      </c>
      <c r="H2900" t="s">
        <v>1177</v>
      </c>
      <c r="I2900">
        <v>10691250</v>
      </c>
      <c r="J2900">
        <v>4</v>
      </c>
      <c r="K2900">
        <v>15.05</v>
      </c>
      <c r="L2900">
        <v>15.05</v>
      </c>
      <c r="M2900">
        <v>1928</v>
      </c>
      <c r="N2900" s="2">
        <v>20300</v>
      </c>
      <c r="O2900" s="2">
        <v>0</v>
      </c>
      <c r="P2900" s="2">
        <v>580</v>
      </c>
      <c r="Q2900" s="2">
        <v>7712</v>
      </c>
      <c r="R2900" s="2">
        <v>6960</v>
      </c>
      <c r="S2900">
        <v>104.748</v>
      </c>
      <c r="T2900" s="2">
        <v>7540</v>
      </c>
      <c r="U2900" s="2">
        <v>12760</v>
      </c>
      <c r="V2900">
        <v>116.0656</v>
      </c>
      <c r="W2900">
        <v>0</v>
      </c>
      <c r="X2900">
        <v>0</v>
      </c>
      <c r="Y2900">
        <v>0</v>
      </c>
      <c r="Z2900">
        <v>2.5</v>
      </c>
      <c r="AA2900">
        <v>2.1539543000000001E-2</v>
      </c>
      <c r="AB2900">
        <v>21.7</v>
      </c>
      <c r="AC2900">
        <v>11.621555559999999</v>
      </c>
      <c r="AD2900">
        <v>20</v>
      </c>
      <c r="AE2900" s="7"/>
      <c r="AF2900" s="7"/>
      <c r="AG2900" s="7"/>
      <c r="AH2900" s="7"/>
      <c r="AI2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0.37844444000000088</v>
      </c>
      <c r="AJ2900" s="7"/>
      <c r="AK2900" t="s">
        <v>214</v>
      </c>
      <c r="AN2900">
        <f>IFERROR(INT(Table13[[#This Row],[reject_prod]]/Table13[[#This Row],[part_weight]] * 1000), 0)</f>
        <v>166</v>
      </c>
    </row>
    <row r="2901" spans="1:40">
      <c r="A2901" s="1">
        <v>46108</v>
      </c>
      <c r="B2901">
        <v>2</v>
      </c>
      <c r="C2901">
        <v>2</v>
      </c>
      <c r="D2901" t="s">
        <v>43</v>
      </c>
      <c r="E2901" t="s">
        <v>34</v>
      </c>
      <c r="F2901">
        <v>423213</v>
      </c>
      <c r="G2901" s="6">
        <v>0</v>
      </c>
      <c r="H2901" t="s">
        <v>70</v>
      </c>
      <c r="I2901">
        <v>10689499</v>
      </c>
      <c r="J2901">
        <v>4</v>
      </c>
      <c r="K2901">
        <v>23</v>
      </c>
      <c r="L2901">
        <v>23</v>
      </c>
      <c r="M2901">
        <v>1815</v>
      </c>
      <c r="N2901" s="2">
        <v>99822</v>
      </c>
      <c r="O2901" s="2">
        <v>2667</v>
      </c>
      <c r="P2901" s="2">
        <v>762</v>
      </c>
      <c r="Q2901" s="2">
        <v>7260</v>
      </c>
      <c r="R2901" s="2">
        <v>9144</v>
      </c>
      <c r="S2901">
        <v>210.31200000000001</v>
      </c>
      <c r="T2901" s="2">
        <v>51054</v>
      </c>
      <c r="U2901" s="2">
        <v>48768</v>
      </c>
      <c r="V2901">
        <v>166.98</v>
      </c>
      <c r="W2901">
        <v>0</v>
      </c>
      <c r="X2901">
        <v>0</v>
      </c>
      <c r="Y2901">
        <v>0</v>
      </c>
      <c r="Z2901">
        <v>0.5</v>
      </c>
      <c r="AA2901">
        <v>2.994371E-3</v>
      </c>
      <c r="AB2901">
        <v>23.08</v>
      </c>
      <c r="AC2901">
        <v>11.63616667</v>
      </c>
      <c r="AD2901">
        <v>22.5</v>
      </c>
      <c r="AE2901" s="7"/>
      <c r="AF2901" s="7"/>
      <c r="AG2901" s="7"/>
      <c r="AH2901" s="7"/>
      <c r="AI2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0.36383333000000029</v>
      </c>
      <c r="AJ2901" s="7"/>
      <c r="AK2901" t="s">
        <v>214</v>
      </c>
      <c r="AN2901">
        <f>IFERROR(INT(Table13[[#This Row],[reject_prod]]/Table13[[#This Row],[part_weight]] * 1000), 0)</f>
        <v>21</v>
      </c>
    </row>
    <row r="2902" spans="1:40">
      <c r="A2902" s="1">
        <v>46108</v>
      </c>
      <c r="B2902">
        <v>2</v>
      </c>
      <c r="C2902">
        <v>3</v>
      </c>
      <c r="D2902" t="s">
        <v>574</v>
      </c>
      <c r="E2902" t="s">
        <v>34</v>
      </c>
      <c r="F2902">
        <v>442034</v>
      </c>
      <c r="G2902" s="6">
        <v>0</v>
      </c>
      <c r="H2902" t="s">
        <v>37</v>
      </c>
      <c r="I2902">
        <v>10688497</v>
      </c>
      <c r="J2902">
        <v>4</v>
      </c>
      <c r="K2902">
        <v>23</v>
      </c>
      <c r="L2902">
        <v>23</v>
      </c>
      <c r="M2902">
        <v>1749</v>
      </c>
      <c r="N2902" s="2">
        <v>139776</v>
      </c>
      <c r="O2902" s="2">
        <v>2304</v>
      </c>
      <c r="P2902" s="2">
        <v>384</v>
      </c>
      <c r="Q2902" s="2">
        <v>6996</v>
      </c>
      <c r="R2902" s="2">
        <v>9216</v>
      </c>
      <c r="S2902">
        <v>211.96799999999999</v>
      </c>
      <c r="T2902" s="2">
        <v>74112</v>
      </c>
      <c r="U2902" s="2">
        <v>65664</v>
      </c>
      <c r="V2902">
        <v>160.90799999999999</v>
      </c>
      <c r="W2902">
        <v>0</v>
      </c>
      <c r="X2902">
        <v>0</v>
      </c>
      <c r="Y2902">
        <v>0</v>
      </c>
      <c r="Z2902">
        <v>1.5</v>
      </c>
      <c r="AA2902">
        <v>9.3220969999999997E-3</v>
      </c>
      <c r="AB2902">
        <v>24.8</v>
      </c>
      <c r="AC2902">
        <v>12</v>
      </c>
      <c r="AD2902">
        <v>22</v>
      </c>
      <c r="AE2902" s="7"/>
      <c r="AF2902" s="7"/>
      <c r="AG2902" s="7"/>
      <c r="AH2902" s="7"/>
      <c r="AI2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02" s="7"/>
      <c r="AK2902" t="s">
        <v>214</v>
      </c>
      <c r="AN2902">
        <f>IFERROR(INT(Table13[[#This Row],[reject_prod]]/Table13[[#This Row],[part_weight]] * 1000), 0)</f>
        <v>65</v>
      </c>
    </row>
    <row r="2903" spans="1:40">
      <c r="A2903" s="1">
        <v>46108</v>
      </c>
      <c r="B2903">
        <v>2</v>
      </c>
      <c r="C2903">
        <v>4</v>
      </c>
      <c r="D2903" t="s">
        <v>65</v>
      </c>
      <c r="E2903" t="s">
        <v>34</v>
      </c>
      <c r="F2903">
        <v>451191</v>
      </c>
      <c r="G2903" s="6">
        <v>0</v>
      </c>
      <c r="H2903" t="s">
        <v>946</v>
      </c>
      <c r="I2903">
        <v>10690450</v>
      </c>
      <c r="J2903">
        <v>4</v>
      </c>
      <c r="K2903">
        <v>29</v>
      </c>
      <c r="L2903">
        <v>29</v>
      </c>
      <c r="M2903">
        <v>1688</v>
      </c>
      <c r="N2903" s="2">
        <v>110160</v>
      </c>
      <c r="O2903" s="2">
        <v>0</v>
      </c>
      <c r="P2903" s="2">
        <v>5814</v>
      </c>
      <c r="Q2903" s="2">
        <v>6752</v>
      </c>
      <c r="R2903" s="2">
        <v>918</v>
      </c>
      <c r="S2903">
        <v>26.622</v>
      </c>
      <c r="T2903" s="2">
        <v>108630</v>
      </c>
      <c r="U2903" s="2">
        <v>1530</v>
      </c>
      <c r="V2903">
        <v>195.80799999999999</v>
      </c>
      <c r="W2903">
        <v>0</v>
      </c>
      <c r="X2903">
        <v>0</v>
      </c>
      <c r="Y2903">
        <v>0</v>
      </c>
      <c r="Z2903">
        <v>0.5</v>
      </c>
      <c r="AA2903">
        <v>2.5535219999999999E-3</v>
      </c>
      <c r="AB2903">
        <v>25.4</v>
      </c>
      <c r="AC2903">
        <v>11.909777780000001</v>
      </c>
      <c r="AD2903">
        <v>24</v>
      </c>
      <c r="AE2903" s="7"/>
      <c r="AF2903" s="7"/>
      <c r="AG2903" s="7"/>
      <c r="AH2903" s="7"/>
      <c r="AI2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9.0222219999999353E-2</v>
      </c>
      <c r="AJ2903" s="7"/>
      <c r="AK2903" t="s">
        <v>406</v>
      </c>
      <c r="AN2903">
        <f>IFERROR(INT(Table13[[#This Row],[reject_prod]]/Table13[[#This Row],[part_weight]] * 1000), 0)</f>
        <v>17</v>
      </c>
    </row>
    <row r="2904" spans="1:40">
      <c r="A2904" s="1">
        <v>46108</v>
      </c>
      <c r="B2904">
        <v>2</v>
      </c>
      <c r="C2904">
        <v>5</v>
      </c>
      <c r="D2904" t="s">
        <v>1030</v>
      </c>
      <c r="E2904" t="s">
        <v>34</v>
      </c>
      <c r="F2904">
        <v>626029</v>
      </c>
      <c r="G2904" s="6">
        <v>0</v>
      </c>
      <c r="H2904" t="s">
        <v>478</v>
      </c>
      <c r="I2904">
        <v>10689832</v>
      </c>
      <c r="J2904">
        <v>4</v>
      </c>
      <c r="K2904">
        <v>48.39</v>
      </c>
      <c r="L2904">
        <v>48.39</v>
      </c>
      <c r="M2904">
        <v>1384</v>
      </c>
      <c r="N2904" s="2">
        <v>29952</v>
      </c>
      <c r="O2904" s="2">
        <v>624</v>
      </c>
      <c r="P2904" s="2">
        <v>468</v>
      </c>
      <c r="Q2904" s="2">
        <v>5536</v>
      </c>
      <c r="R2904" s="2">
        <v>5616</v>
      </c>
      <c r="S2904">
        <v>271.75824</v>
      </c>
      <c r="T2904" s="2">
        <v>8580</v>
      </c>
      <c r="U2904" s="2">
        <v>21372</v>
      </c>
      <c r="V2904">
        <v>267.88704000000001</v>
      </c>
      <c r="W2904">
        <v>0</v>
      </c>
      <c r="X2904">
        <v>0</v>
      </c>
      <c r="Y2904">
        <v>0</v>
      </c>
      <c r="Z2904">
        <v>3.5</v>
      </c>
      <c r="AA2904">
        <v>1.3065208E-2</v>
      </c>
      <c r="AB2904">
        <v>28.7</v>
      </c>
      <c r="AC2904">
        <v>11.03355556</v>
      </c>
      <c r="AD2904">
        <v>28</v>
      </c>
      <c r="AE2904" s="7"/>
      <c r="AF2904" s="7"/>
      <c r="AG2904" s="7"/>
      <c r="AH2904" s="7"/>
      <c r="AI2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0.96644444000000007</v>
      </c>
      <c r="AJ2904" s="7"/>
      <c r="AK2904" t="s">
        <v>1414</v>
      </c>
      <c r="AN2904">
        <f>IFERROR(INT(Table13[[#This Row],[reject_prod]]/Table13[[#This Row],[part_weight]] * 1000), 0)</f>
        <v>72</v>
      </c>
    </row>
    <row r="2905" spans="1:40">
      <c r="A2905" s="1">
        <v>46108</v>
      </c>
      <c r="B2905">
        <v>2</v>
      </c>
      <c r="C2905">
        <v>6</v>
      </c>
      <c r="D2905" t="s">
        <v>1415</v>
      </c>
      <c r="E2905" t="s">
        <v>34</v>
      </c>
      <c r="F2905">
        <v>661980</v>
      </c>
      <c r="G2905" s="6">
        <v>0</v>
      </c>
      <c r="H2905" t="s">
        <v>1378</v>
      </c>
      <c r="I2905">
        <v>10690617</v>
      </c>
      <c r="J2905">
        <v>4</v>
      </c>
      <c r="K2905">
        <v>24.9</v>
      </c>
      <c r="L2905">
        <v>24.9</v>
      </c>
      <c r="M2905">
        <v>396</v>
      </c>
      <c r="N2905" s="2">
        <v>15600</v>
      </c>
      <c r="O2905" s="2">
        <v>0</v>
      </c>
      <c r="P2905" s="2">
        <v>0</v>
      </c>
      <c r="Q2905" s="2">
        <v>1584</v>
      </c>
      <c r="R2905" s="2">
        <v>1560</v>
      </c>
      <c r="S2905">
        <v>38.844000000000001</v>
      </c>
      <c r="T2905" s="2">
        <v>15600</v>
      </c>
      <c r="U2905" s="2">
        <v>0</v>
      </c>
      <c r="V2905">
        <v>39.441600000000001</v>
      </c>
      <c r="W2905">
        <v>0</v>
      </c>
      <c r="X2905">
        <v>0</v>
      </c>
      <c r="Y2905">
        <v>0</v>
      </c>
      <c r="Z2905">
        <v>0.6</v>
      </c>
      <c r="AA2905">
        <v>1.5212365E-2</v>
      </c>
      <c r="AB2905">
        <v>22.9</v>
      </c>
      <c r="AC2905">
        <v>2.5190000000000001</v>
      </c>
      <c r="AD2905">
        <v>22</v>
      </c>
      <c r="AE2905" s="7"/>
      <c r="AF2905" s="7"/>
      <c r="AG2905" s="7"/>
      <c r="AH2905" s="7"/>
      <c r="AI2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9.4809999999999999</v>
      </c>
      <c r="AJ2905" s="7"/>
      <c r="AK2905" t="s">
        <v>1416</v>
      </c>
      <c r="AN2905">
        <f>IFERROR(INT(Table13[[#This Row],[reject_prod]]/Table13[[#This Row],[part_weight]] * 1000), 0)</f>
        <v>24</v>
      </c>
    </row>
    <row r="2906" spans="1:40">
      <c r="A2906" s="1">
        <v>46108</v>
      </c>
      <c r="B2906">
        <v>2</v>
      </c>
      <c r="C2906">
        <v>6</v>
      </c>
      <c r="D2906" t="s">
        <v>33</v>
      </c>
      <c r="E2906" t="s">
        <v>34</v>
      </c>
      <c r="F2906">
        <v>322409</v>
      </c>
      <c r="G2906" s="6">
        <v>0</v>
      </c>
      <c r="H2906" t="s">
        <v>400</v>
      </c>
      <c r="I2906">
        <v>10690123</v>
      </c>
      <c r="J2906">
        <v>4</v>
      </c>
      <c r="K2906">
        <v>24</v>
      </c>
      <c r="L2906">
        <v>24</v>
      </c>
      <c r="M2906">
        <v>0</v>
      </c>
      <c r="N2906" s="2">
        <v>10368</v>
      </c>
      <c r="O2906" s="2">
        <v>0</v>
      </c>
      <c r="P2906" s="2">
        <v>0</v>
      </c>
      <c r="Q2906" s="2">
        <v>0</v>
      </c>
      <c r="R2906" s="2">
        <v>0</v>
      </c>
      <c r="S2906">
        <v>0</v>
      </c>
      <c r="T2906" s="2">
        <v>0</v>
      </c>
      <c r="U2906" s="2">
        <v>10368</v>
      </c>
      <c r="V2906">
        <v>0</v>
      </c>
      <c r="W2906">
        <v>0</v>
      </c>
      <c r="X2906">
        <v>10</v>
      </c>
      <c r="Y2906" t="e">
        <v>#DIV/0!</v>
      </c>
      <c r="Z2906">
        <v>0</v>
      </c>
      <c r="AA2906" t="e">
        <v>#DIV/0!</v>
      </c>
      <c r="AB2906">
        <v>22.9</v>
      </c>
      <c r="AC2906">
        <v>0</v>
      </c>
      <c r="AD2906">
        <v>20</v>
      </c>
      <c r="AE2906" s="7"/>
      <c r="AF2906" s="7"/>
      <c r="AG2906" s="7"/>
      <c r="AH2906" s="7"/>
      <c r="AI2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</v>
      </c>
      <c r="AJ2906" s="7">
        <v>4</v>
      </c>
      <c r="AK2906" t="s">
        <v>1417</v>
      </c>
      <c r="AN2906">
        <f>IFERROR(INT(Table13[[#This Row],[reject_prod]]/Table13[[#This Row],[part_weight]] * 1000), 0)</f>
        <v>0</v>
      </c>
    </row>
    <row r="2907" spans="1:40">
      <c r="A2907" s="1">
        <v>46108</v>
      </c>
      <c r="B2907">
        <v>2</v>
      </c>
      <c r="C2907">
        <v>7</v>
      </c>
      <c r="D2907" t="s">
        <v>33</v>
      </c>
      <c r="E2907" t="s">
        <v>34</v>
      </c>
      <c r="F2907">
        <v>597507</v>
      </c>
      <c r="G2907" s="6">
        <v>0</v>
      </c>
      <c r="H2907" t="s">
        <v>279</v>
      </c>
      <c r="I2907">
        <v>10690042</v>
      </c>
      <c r="J2907">
        <v>4</v>
      </c>
      <c r="K2907">
        <v>23</v>
      </c>
      <c r="L2907">
        <v>23</v>
      </c>
      <c r="M2907">
        <v>0</v>
      </c>
      <c r="N2907" s="2">
        <v>86240</v>
      </c>
      <c r="O2907" s="2">
        <v>770</v>
      </c>
      <c r="P2907" s="2">
        <v>770</v>
      </c>
      <c r="Q2907" s="2">
        <v>0</v>
      </c>
      <c r="R2907" s="2">
        <v>0</v>
      </c>
      <c r="S2907">
        <v>0</v>
      </c>
      <c r="T2907" s="2">
        <v>56826</v>
      </c>
      <c r="U2907" s="2">
        <v>29414</v>
      </c>
      <c r="V2907">
        <v>0</v>
      </c>
      <c r="W2907">
        <v>0</v>
      </c>
      <c r="X2907">
        <v>0</v>
      </c>
      <c r="Y2907" t="e">
        <v>#DIV/0!</v>
      </c>
      <c r="Z2907">
        <v>0</v>
      </c>
      <c r="AA2907" t="e">
        <v>#DIV/0!</v>
      </c>
      <c r="AB2907">
        <v>23.5</v>
      </c>
      <c r="AC2907">
        <v>0</v>
      </c>
      <c r="AD2907">
        <v>22</v>
      </c>
      <c r="AE2907" s="7"/>
      <c r="AF2907" s="7"/>
      <c r="AG2907" s="7"/>
      <c r="AH2907" s="7"/>
      <c r="AI2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907" s="7"/>
      <c r="AK2907" t="s">
        <v>1418</v>
      </c>
      <c r="AN2907">
        <f>IFERROR(INT(Table13[[#This Row],[reject_prod]]/Table13[[#This Row],[part_weight]] * 1000), 0)</f>
        <v>0</v>
      </c>
    </row>
    <row r="2908" spans="1:40">
      <c r="A2908" s="1">
        <v>46108</v>
      </c>
      <c r="B2908">
        <v>2</v>
      </c>
      <c r="C2908">
        <v>8</v>
      </c>
      <c r="D2908" t="s">
        <v>1419</v>
      </c>
      <c r="E2908" t="s">
        <v>41</v>
      </c>
      <c r="F2908">
        <v>593537</v>
      </c>
      <c r="G2908" s="6">
        <v>0</v>
      </c>
      <c r="H2908" t="s">
        <v>48</v>
      </c>
      <c r="I2908">
        <v>10689827</v>
      </c>
      <c r="J2908">
        <v>4</v>
      </c>
      <c r="K2908">
        <v>56.5</v>
      </c>
      <c r="L2908">
        <v>56.8</v>
      </c>
      <c r="M2908">
        <v>1445</v>
      </c>
      <c r="N2908" s="2">
        <v>69000</v>
      </c>
      <c r="O2908" s="2">
        <v>230</v>
      </c>
      <c r="P2908" s="2">
        <v>230</v>
      </c>
      <c r="Q2908" s="2">
        <v>5780</v>
      </c>
      <c r="R2908" s="2">
        <v>5750</v>
      </c>
      <c r="S2908">
        <v>326.60000000000002</v>
      </c>
      <c r="T2908" s="2">
        <v>32430</v>
      </c>
      <c r="U2908" s="2">
        <v>36570</v>
      </c>
      <c r="V2908">
        <v>328.30399999999997</v>
      </c>
      <c r="W2908">
        <v>0</v>
      </c>
      <c r="X2908">
        <v>0</v>
      </c>
      <c r="Y2908">
        <v>0</v>
      </c>
      <c r="Z2908">
        <v>1.5</v>
      </c>
      <c r="AA2908">
        <v>4.568936E-3</v>
      </c>
      <c r="AB2908">
        <v>29.9</v>
      </c>
      <c r="AC2908">
        <v>12</v>
      </c>
      <c r="AD2908">
        <v>28.5</v>
      </c>
      <c r="AE2908" s="7"/>
      <c r="AF2908" s="7"/>
      <c r="AG2908" s="7"/>
      <c r="AH2908" s="7"/>
      <c r="AI29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08" s="7"/>
      <c r="AK2908" t="s">
        <v>51</v>
      </c>
      <c r="AN2908">
        <f>IFERROR(INT(Table13[[#This Row],[reject_prod]]/Table13[[#This Row],[part_weight]] * 1000), 0)</f>
        <v>26</v>
      </c>
    </row>
    <row r="2909" spans="1:40">
      <c r="A2909" s="1">
        <v>46108</v>
      </c>
      <c r="B2909">
        <v>2</v>
      </c>
      <c r="C2909">
        <v>9</v>
      </c>
      <c r="D2909" t="s">
        <v>129</v>
      </c>
      <c r="E2909" t="s">
        <v>46</v>
      </c>
      <c r="F2909">
        <v>586276</v>
      </c>
      <c r="G2909" s="6">
        <v>1</v>
      </c>
      <c r="H2909" t="s">
        <v>47</v>
      </c>
      <c r="I2909">
        <v>10689112</v>
      </c>
      <c r="J2909">
        <v>6</v>
      </c>
      <c r="K2909">
        <v>12.3</v>
      </c>
      <c r="L2909">
        <v>12.3</v>
      </c>
      <c r="M2909">
        <v>1390</v>
      </c>
      <c r="N2909" s="2">
        <v>162000</v>
      </c>
      <c r="O2909" s="2">
        <v>8910</v>
      </c>
      <c r="P2909" s="2">
        <v>6480</v>
      </c>
      <c r="Q2909" s="2">
        <v>8340</v>
      </c>
      <c r="R2909" s="2">
        <v>8100</v>
      </c>
      <c r="S2909">
        <v>99.63</v>
      </c>
      <c r="T2909" s="2">
        <v>127980</v>
      </c>
      <c r="U2909" s="2">
        <v>34020</v>
      </c>
      <c r="V2909">
        <v>102.58199999999999</v>
      </c>
      <c r="W2909">
        <v>0</v>
      </c>
      <c r="X2909">
        <v>0</v>
      </c>
      <c r="Y2909">
        <v>0</v>
      </c>
      <c r="Z2909">
        <v>1.7</v>
      </c>
      <c r="AA2909">
        <v>1.6572107999999999E-2</v>
      </c>
      <c r="AB2909">
        <v>29.6</v>
      </c>
      <c r="AC2909">
        <v>11.42888889</v>
      </c>
      <c r="AD2909">
        <v>26</v>
      </c>
      <c r="AE2909" s="7"/>
      <c r="AF2909" s="7"/>
      <c r="AG2909" s="7"/>
      <c r="AH2909" s="7"/>
      <c r="AI2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0.57111111000000037</v>
      </c>
      <c r="AJ2909" s="7"/>
      <c r="AK2909" t="s">
        <v>1420</v>
      </c>
      <c r="AN2909">
        <f>IFERROR(INT(Table13[[#This Row],[reject_prod]]/Table13[[#This Row],[part_weight]] * 1000), 0)</f>
        <v>138</v>
      </c>
    </row>
    <row r="2910" spans="1:40">
      <c r="A2910" s="1">
        <v>46108</v>
      </c>
      <c r="B2910">
        <v>2</v>
      </c>
      <c r="C2910">
        <v>10</v>
      </c>
      <c r="D2910" t="s">
        <v>143</v>
      </c>
      <c r="E2910" t="s">
        <v>34</v>
      </c>
      <c r="F2910">
        <v>324638</v>
      </c>
      <c r="G2910" s="6">
        <v>0</v>
      </c>
      <c r="H2910" t="s">
        <v>687</v>
      </c>
      <c r="I2910">
        <v>10689561</v>
      </c>
      <c r="J2910">
        <v>4</v>
      </c>
      <c r="K2910">
        <v>77.5</v>
      </c>
      <c r="L2910">
        <v>77.5</v>
      </c>
      <c r="M2910">
        <v>939</v>
      </c>
      <c r="N2910" s="2">
        <v>26496</v>
      </c>
      <c r="O2910" s="2">
        <v>69</v>
      </c>
      <c r="P2910" s="2">
        <v>138</v>
      </c>
      <c r="Q2910" s="2">
        <v>3756</v>
      </c>
      <c r="R2910" s="2">
        <v>3588</v>
      </c>
      <c r="S2910">
        <v>278.07</v>
      </c>
      <c r="T2910" s="2">
        <v>4278</v>
      </c>
      <c r="U2910" s="2">
        <v>22218</v>
      </c>
      <c r="V2910">
        <v>291.08999999999997</v>
      </c>
      <c r="W2910">
        <v>0</v>
      </c>
      <c r="X2910">
        <v>0</v>
      </c>
      <c r="Y2910">
        <v>0</v>
      </c>
      <c r="Z2910">
        <v>7.5</v>
      </c>
      <c r="AA2910">
        <v>2.5765227000000002E-2</v>
      </c>
      <c r="AB2910">
        <v>38.5</v>
      </c>
      <c r="AC2910">
        <v>10.042083330000001</v>
      </c>
      <c r="AD2910">
        <v>36</v>
      </c>
      <c r="AE2910" s="7"/>
      <c r="AF2910" s="7"/>
      <c r="AG2910" s="7"/>
      <c r="AH2910" s="7"/>
      <c r="AI2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1.9579166699999995</v>
      </c>
      <c r="AJ2910" s="7"/>
      <c r="AK2910" t="s">
        <v>1421</v>
      </c>
      <c r="AN2910">
        <f>IFERROR(INT(Table13[[#This Row],[reject_prod]]/Table13[[#This Row],[part_weight]] * 1000), 0)</f>
        <v>96</v>
      </c>
    </row>
    <row r="2911" spans="1:40">
      <c r="A2911" s="1">
        <v>46108</v>
      </c>
      <c r="B2911">
        <v>2</v>
      </c>
      <c r="C2911">
        <v>11</v>
      </c>
      <c r="D2911" t="s">
        <v>112</v>
      </c>
      <c r="E2911" t="s">
        <v>46</v>
      </c>
      <c r="F2911">
        <v>552181</v>
      </c>
      <c r="G2911" s="6">
        <v>1</v>
      </c>
      <c r="H2911" t="s">
        <v>49</v>
      </c>
      <c r="I2911">
        <v>10689113</v>
      </c>
      <c r="J2911">
        <v>6</v>
      </c>
      <c r="K2911">
        <v>14.7</v>
      </c>
      <c r="L2911">
        <v>14.7</v>
      </c>
      <c r="M2911">
        <v>967</v>
      </c>
      <c r="N2911" s="2">
        <v>108000</v>
      </c>
      <c r="O2911" s="2">
        <v>0</v>
      </c>
      <c r="P2911" s="2">
        <v>270</v>
      </c>
      <c r="Q2911" s="2">
        <v>5802</v>
      </c>
      <c r="R2911" s="2">
        <v>5400</v>
      </c>
      <c r="S2911">
        <v>79.38</v>
      </c>
      <c r="T2911" s="2">
        <v>70470</v>
      </c>
      <c r="U2911" s="2">
        <v>3240</v>
      </c>
      <c r="V2911">
        <v>85.289400000000001</v>
      </c>
      <c r="W2911">
        <v>0</v>
      </c>
      <c r="X2911">
        <v>2</v>
      </c>
      <c r="Y2911">
        <v>2.3449573000000001E-2</v>
      </c>
      <c r="Z2911">
        <v>0.5</v>
      </c>
      <c r="AA2911">
        <v>5.8623929999999996E-3</v>
      </c>
      <c r="AB2911">
        <v>27.7</v>
      </c>
      <c r="AC2911">
        <v>7.4405277779999999</v>
      </c>
      <c r="AD2911">
        <v>27</v>
      </c>
      <c r="AE2911" s="7"/>
      <c r="AF2911" s="7"/>
      <c r="AG2911" s="7"/>
      <c r="AH2911" s="7"/>
      <c r="AI2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4.5594722220000001</v>
      </c>
      <c r="AJ2911" s="7"/>
      <c r="AK2911" t="s">
        <v>1422</v>
      </c>
      <c r="AN2911">
        <f>IFERROR(INT(Table13[[#This Row],[reject_prod]]/Table13[[#This Row],[part_weight]] * 1000), 0)</f>
        <v>34</v>
      </c>
    </row>
    <row r="2912" spans="1:40">
      <c r="A2912" s="1">
        <v>46108</v>
      </c>
      <c r="B2912">
        <v>2</v>
      </c>
      <c r="C2912">
        <v>12</v>
      </c>
      <c r="D2912" t="s">
        <v>149</v>
      </c>
      <c r="E2912" t="s">
        <v>46</v>
      </c>
      <c r="F2912">
        <v>555979</v>
      </c>
      <c r="G2912" s="6">
        <v>1</v>
      </c>
      <c r="H2912" t="s">
        <v>52</v>
      </c>
      <c r="I2912">
        <v>10689126</v>
      </c>
      <c r="J2912">
        <v>6</v>
      </c>
      <c r="K2912">
        <v>28</v>
      </c>
      <c r="L2912">
        <v>28</v>
      </c>
      <c r="M2912">
        <v>937</v>
      </c>
      <c r="N2912" s="2">
        <v>100800</v>
      </c>
      <c r="O2912" s="2">
        <v>336</v>
      </c>
      <c r="P2912" s="2">
        <v>2184</v>
      </c>
      <c r="Q2912" s="2">
        <v>5622</v>
      </c>
      <c r="R2912" s="2">
        <v>3360</v>
      </c>
      <c r="S2912">
        <v>94.08</v>
      </c>
      <c r="T2912" s="2">
        <v>22344</v>
      </c>
      <c r="U2912" s="2">
        <v>78456</v>
      </c>
      <c r="V2912">
        <v>157.416</v>
      </c>
      <c r="W2912">
        <v>0</v>
      </c>
      <c r="X2912">
        <v>0</v>
      </c>
      <c r="Y2912">
        <v>0</v>
      </c>
      <c r="Z2912">
        <v>2.5</v>
      </c>
      <c r="AA2912">
        <v>1.5881486E-2</v>
      </c>
      <c r="AB2912">
        <v>44</v>
      </c>
      <c r="AC2912">
        <v>11.452222219999999</v>
      </c>
      <c r="AD2912">
        <v>42</v>
      </c>
      <c r="AE2912" s="7"/>
      <c r="AF2912" s="7"/>
      <c r="AG2912" s="7"/>
      <c r="AH2912" s="7"/>
      <c r="AI2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0.54777778000000055</v>
      </c>
      <c r="AJ2912" s="7"/>
      <c r="AK2912" t="s">
        <v>51</v>
      </c>
      <c r="AN2912">
        <f>IFERROR(INT(Table13[[#This Row],[reject_prod]]/Table13[[#This Row],[part_weight]] * 1000), 0)</f>
        <v>89</v>
      </c>
    </row>
    <row r="2913" spans="1:40">
      <c r="A2913" s="1">
        <v>46108</v>
      </c>
      <c r="B2913">
        <v>2</v>
      </c>
      <c r="C2913">
        <v>13</v>
      </c>
      <c r="D2913" t="s">
        <v>1419</v>
      </c>
      <c r="E2913" t="s">
        <v>46</v>
      </c>
      <c r="F2913">
        <v>586276</v>
      </c>
      <c r="G2913" s="6">
        <v>2</v>
      </c>
      <c r="H2913" t="s">
        <v>47</v>
      </c>
      <c r="I2913">
        <v>10689119</v>
      </c>
      <c r="J2913">
        <v>6</v>
      </c>
      <c r="K2913">
        <v>12.3</v>
      </c>
      <c r="L2913">
        <v>12.3</v>
      </c>
      <c r="M2913">
        <v>1628</v>
      </c>
      <c r="N2913" s="2">
        <v>162000</v>
      </c>
      <c r="O2913" s="2">
        <v>405</v>
      </c>
      <c r="P2913" s="2">
        <v>2025</v>
      </c>
      <c r="Q2913" s="2">
        <v>9768</v>
      </c>
      <c r="R2913" s="2">
        <v>8100</v>
      </c>
      <c r="S2913">
        <v>99.63</v>
      </c>
      <c r="T2913" s="2">
        <v>123525</v>
      </c>
      <c r="U2913" s="2">
        <v>38475</v>
      </c>
      <c r="V2913">
        <v>120.1464</v>
      </c>
      <c r="W2913">
        <v>0</v>
      </c>
      <c r="X2913">
        <v>0</v>
      </c>
      <c r="Y2913">
        <v>0</v>
      </c>
      <c r="Z2913">
        <v>0.5</v>
      </c>
      <c r="AA2913">
        <v>4.1615899999999997E-3</v>
      </c>
      <c r="AB2913">
        <v>26.2</v>
      </c>
      <c r="AC2913">
        <v>11.84822222</v>
      </c>
      <c r="AD2913">
        <v>26</v>
      </c>
      <c r="AE2913" s="7"/>
      <c r="AF2913" s="7"/>
      <c r="AG2913" s="7"/>
      <c r="AH2913" s="7"/>
      <c r="AI2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0.15177777999999975</v>
      </c>
      <c r="AJ2913" s="7"/>
      <c r="AK2913" t="s">
        <v>51</v>
      </c>
      <c r="AN2913">
        <f>IFERROR(INT(Table13[[#This Row],[reject_prod]]/Table13[[#This Row],[part_weight]] * 1000), 0)</f>
        <v>40</v>
      </c>
    </row>
    <row r="2914" spans="1:40">
      <c r="A2914" s="1">
        <v>46108</v>
      </c>
      <c r="B2914">
        <v>2</v>
      </c>
      <c r="C2914">
        <v>14</v>
      </c>
      <c r="D2914" t="s">
        <v>67</v>
      </c>
      <c r="E2914" t="s">
        <v>34</v>
      </c>
      <c r="F2914">
        <v>541381</v>
      </c>
      <c r="G2914" s="6">
        <v>0</v>
      </c>
      <c r="H2914" t="s">
        <v>804</v>
      </c>
      <c r="I2914">
        <v>10689121</v>
      </c>
      <c r="J2914">
        <v>4</v>
      </c>
      <c r="K2914">
        <v>55</v>
      </c>
      <c r="L2914">
        <v>55</v>
      </c>
      <c r="M2914">
        <v>1596</v>
      </c>
      <c r="N2914" s="2">
        <v>84000</v>
      </c>
      <c r="O2914" s="2">
        <v>0</v>
      </c>
      <c r="P2914" s="2">
        <v>0</v>
      </c>
      <c r="Q2914" s="2">
        <v>6384</v>
      </c>
      <c r="R2914" s="2">
        <v>6300</v>
      </c>
      <c r="S2914">
        <v>346.5</v>
      </c>
      <c r="T2914" s="2">
        <v>58800</v>
      </c>
      <c r="U2914" s="2">
        <v>25200</v>
      </c>
      <c r="V2914">
        <v>351.12</v>
      </c>
      <c r="W2914">
        <v>0</v>
      </c>
      <c r="X2914">
        <v>0</v>
      </c>
      <c r="Y2914">
        <v>0</v>
      </c>
      <c r="Z2914">
        <v>4.5</v>
      </c>
      <c r="AA2914">
        <v>1.2816131E-2</v>
      </c>
      <c r="AB2914">
        <v>26.8</v>
      </c>
      <c r="AC2914">
        <v>11.88133333</v>
      </c>
      <c r="AD2914">
        <v>30.08</v>
      </c>
      <c r="AE2914" s="7"/>
      <c r="AF2914" s="7"/>
      <c r="AG2914" s="7"/>
      <c r="AH2914" s="7"/>
      <c r="AI2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0.11866666999999964</v>
      </c>
      <c r="AJ2914" s="7"/>
      <c r="AK2914" t="s">
        <v>1423</v>
      </c>
      <c r="AN2914">
        <f>IFERROR(INT(Table13[[#This Row],[reject_prod]]/Table13[[#This Row],[part_weight]] * 1000), 0)</f>
        <v>81</v>
      </c>
    </row>
    <row r="2915" spans="1:40">
      <c r="A2915" s="1">
        <v>46108</v>
      </c>
      <c r="B2915">
        <v>2</v>
      </c>
      <c r="C2915">
        <v>15</v>
      </c>
      <c r="D2915" t="s">
        <v>112</v>
      </c>
      <c r="E2915" t="s">
        <v>46</v>
      </c>
      <c r="F2915">
        <v>552181</v>
      </c>
      <c r="G2915" s="6">
        <v>2</v>
      </c>
      <c r="H2915" t="s">
        <v>49</v>
      </c>
      <c r="I2915">
        <v>10689124</v>
      </c>
      <c r="J2915">
        <v>6</v>
      </c>
      <c r="K2915">
        <v>14.7</v>
      </c>
      <c r="L2915">
        <v>14.7</v>
      </c>
      <c r="M2915">
        <v>1396</v>
      </c>
      <c r="N2915" s="2">
        <v>108000</v>
      </c>
      <c r="O2915" s="2">
        <v>270</v>
      </c>
      <c r="P2915" s="2">
        <v>3240</v>
      </c>
      <c r="Q2915" s="2">
        <v>8376</v>
      </c>
      <c r="R2915" s="2">
        <v>5400</v>
      </c>
      <c r="S2915">
        <v>79.38</v>
      </c>
      <c r="T2915" s="2">
        <v>24840</v>
      </c>
      <c r="U2915" s="2">
        <v>83160</v>
      </c>
      <c r="V2915">
        <v>123.1272</v>
      </c>
      <c r="W2915">
        <v>0</v>
      </c>
      <c r="X2915">
        <v>0</v>
      </c>
      <c r="Y2915">
        <v>0</v>
      </c>
      <c r="Z2915">
        <v>0.7</v>
      </c>
      <c r="AA2915">
        <v>5.6851779999999999E-3</v>
      </c>
      <c r="AB2915">
        <v>30.8</v>
      </c>
      <c r="AC2915">
        <v>11.94355556</v>
      </c>
      <c r="AD2915">
        <v>27</v>
      </c>
      <c r="AE2915" s="7"/>
      <c r="AF2915" s="7"/>
      <c r="AG2915" s="7"/>
      <c r="AH2915" s="7"/>
      <c r="AI2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5.6444439999999929E-2</v>
      </c>
      <c r="AJ2915" s="7"/>
      <c r="AK2915" t="s">
        <v>51</v>
      </c>
      <c r="AN2915">
        <f>IFERROR(INT(Table13[[#This Row],[reject_prod]]/Table13[[#This Row],[part_weight]] * 1000), 0)</f>
        <v>47</v>
      </c>
    </row>
    <row r="2916" spans="1:40">
      <c r="A2916" s="1">
        <v>46108</v>
      </c>
      <c r="B2916">
        <v>2</v>
      </c>
      <c r="C2916">
        <v>16</v>
      </c>
      <c r="D2916" t="s">
        <v>115</v>
      </c>
      <c r="E2916" t="s">
        <v>46</v>
      </c>
      <c r="F2916">
        <v>555979</v>
      </c>
      <c r="G2916" s="6">
        <v>2</v>
      </c>
      <c r="H2916" t="s">
        <v>52</v>
      </c>
      <c r="I2916">
        <v>10689125</v>
      </c>
      <c r="J2916">
        <v>6</v>
      </c>
      <c r="K2916">
        <v>28</v>
      </c>
      <c r="L2916">
        <v>28</v>
      </c>
      <c r="M2916">
        <v>280</v>
      </c>
      <c r="N2916" s="2">
        <v>100800</v>
      </c>
      <c r="O2916" s="2">
        <v>1680</v>
      </c>
      <c r="P2916" s="2">
        <v>0</v>
      </c>
      <c r="Q2916" s="2">
        <v>1680</v>
      </c>
      <c r="R2916" s="2">
        <v>3360</v>
      </c>
      <c r="S2916">
        <v>94.08</v>
      </c>
      <c r="T2916" s="2">
        <v>100800</v>
      </c>
      <c r="U2916" s="2">
        <v>0</v>
      </c>
      <c r="V2916">
        <v>47.04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42.55</v>
      </c>
      <c r="AC2916">
        <v>3.3094444439999999</v>
      </c>
      <c r="AD2916">
        <v>42</v>
      </c>
      <c r="AE2916" s="7"/>
      <c r="AF2916" s="7"/>
      <c r="AG2916" s="7"/>
      <c r="AH2916" s="7"/>
      <c r="AI2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8.6905555559999996</v>
      </c>
      <c r="AJ2916" s="7"/>
      <c r="AK2916" t="s">
        <v>51</v>
      </c>
      <c r="AN2916">
        <f>IFERROR(INT(Table13[[#This Row],[reject_prod]]/Table13[[#This Row],[part_weight]] * 1000), 0)</f>
        <v>0</v>
      </c>
    </row>
    <row r="2917" spans="1:40">
      <c r="A2917" s="1">
        <v>46108</v>
      </c>
      <c r="B2917">
        <v>2</v>
      </c>
      <c r="C2917">
        <v>16</v>
      </c>
      <c r="D2917" t="s">
        <v>115</v>
      </c>
      <c r="E2917" t="s">
        <v>46</v>
      </c>
      <c r="F2917">
        <v>555979</v>
      </c>
      <c r="G2917" s="6">
        <v>2</v>
      </c>
      <c r="H2917" t="s">
        <v>52</v>
      </c>
      <c r="I2917">
        <v>10689831</v>
      </c>
      <c r="J2917">
        <v>6</v>
      </c>
      <c r="K2917">
        <v>28</v>
      </c>
      <c r="L2917">
        <v>28</v>
      </c>
      <c r="M2917">
        <v>734</v>
      </c>
      <c r="N2917" s="2">
        <v>100800</v>
      </c>
      <c r="O2917" s="2">
        <v>0</v>
      </c>
      <c r="P2917" s="2">
        <v>1008</v>
      </c>
      <c r="Q2917" s="2">
        <v>4404</v>
      </c>
      <c r="R2917" s="2">
        <v>3360</v>
      </c>
      <c r="S2917">
        <v>94.08</v>
      </c>
      <c r="T2917" s="2">
        <v>4368</v>
      </c>
      <c r="U2917" s="2">
        <v>96432</v>
      </c>
      <c r="V2917">
        <v>123.312</v>
      </c>
      <c r="W2917">
        <v>0</v>
      </c>
      <c r="X2917">
        <v>0</v>
      </c>
      <c r="Y2917">
        <v>0</v>
      </c>
      <c r="Z2917">
        <v>1</v>
      </c>
      <c r="AA2917">
        <v>8.1095109999999998E-3</v>
      </c>
      <c r="AB2917">
        <v>42.55</v>
      </c>
      <c r="AC2917">
        <v>8.6754722219999998</v>
      </c>
      <c r="AD2917">
        <v>42</v>
      </c>
      <c r="AE2917" s="7"/>
      <c r="AF2917" s="7"/>
      <c r="AG2917" s="7"/>
      <c r="AH2917" s="7"/>
      <c r="AI2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3.3245277780000002</v>
      </c>
      <c r="AJ2917" s="7"/>
      <c r="AK2917" t="s">
        <v>51</v>
      </c>
      <c r="AN2917">
        <f>IFERROR(INT(Table13[[#This Row],[reject_prod]]/Table13[[#This Row],[part_weight]] * 1000), 0)</f>
        <v>35</v>
      </c>
    </row>
    <row r="2918" spans="1:40">
      <c r="A2918" s="1">
        <v>46109</v>
      </c>
      <c r="B2918">
        <v>1</v>
      </c>
      <c r="C2918">
        <v>1</v>
      </c>
      <c r="D2918" t="s">
        <v>56</v>
      </c>
      <c r="E2918" t="s">
        <v>34</v>
      </c>
      <c r="F2918">
        <v>340460</v>
      </c>
      <c r="G2918" s="6">
        <v>0</v>
      </c>
      <c r="H2918" t="s">
        <v>1177</v>
      </c>
      <c r="I2918">
        <v>10691250</v>
      </c>
      <c r="J2918">
        <v>4</v>
      </c>
      <c r="K2918">
        <v>15.05</v>
      </c>
      <c r="L2918">
        <v>15.05</v>
      </c>
      <c r="M2918">
        <v>1900</v>
      </c>
      <c r="N2918" s="2">
        <v>20300</v>
      </c>
      <c r="O2918" s="2">
        <v>580</v>
      </c>
      <c r="P2918" s="2">
        <v>1160</v>
      </c>
      <c r="Q2918" s="2">
        <v>7600</v>
      </c>
      <c r="R2918" s="2">
        <v>6960</v>
      </c>
      <c r="S2918">
        <v>104.748</v>
      </c>
      <c r="T2918" s="2">
        <v>13920</v>
      </c>
      <c r="U2918" s="2">
        <v>6380</v>
      </c>
      <c r="V2918">
        <v>114.38</v>
      </c>
      <c r="W2918">
        <v>0</v>
      </c>
      <c r="X2918">
        <v>0</v>
      </c>
      <c r="Y2918">
        <v>0</v>
      </c>
      <c r="Z2918">
        <v>1</v>
      </c>
      <c r="AA2918">
        <v>8.7427870000000001E-3</v>
      </c>
      <c r="AB2918">
        <v>21.7</v>
      </c>
      <c r="AC2918">
        <v>11.45277778</v>
      </c>
      <c r="AD2918">
        <v>20</v>
      </c>
      <c r="AE2918" s="7"/>
      <c r="AF2918" s="7"/>
      <c r="AG2918" s="7"/>
      <c r="AH2918" s="7"/>
      <c r="AI2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0.54722222000000009</v>
      </c>
      <c r="AJ2918" s="7"/>
      <c r="AK2918" t="s">
        <v>214</v>
      </c>
      <c r="AN2918">
        <f>IFERROR(INT(Table13[[#This Row],[reject_prod]]/Table13[[#This Row],[part_weight]] * 1000), 0)</f>
        <v>66</v>
      </c>
    </row>
    <row r="2919" spans="1:40">
      <c r="A2919" s="1">
        <v>46109</v>
      </c>
      <c r="B2919">
        <v>1</v>
      </c>
      <c r="C2919">
        <v>2</v>
      </c>
      <c r="D2919" t="s">
        <v>124</v>
      </c>
      <c r="E2919" t="s">
        <v>34</v>
      </c>
      <c r="F2919">
        <v>423213</v>
      </c>
      <c r="G2919" s="6">
        <v>0</v>
      </c>
      <c r="H2919" t="s">
        <v>70</v>
      </c>
      <c r="I2919">
        <v>10689499</v>
      </c>
      <c r="J2919">
        <v>4</v>
      </c>
      <c r="K2919">
        <v>23</v>
      </c>
      <c r="L2919">
        <v>23</v>
      </c>
      <c r="M2919">
        <v>1820</v>
      </c>
      <c r="N2919" s="2">
        <v>99822</v>
      </c>
      <c r="O2919" s="2">
        <v>762</v>
      </c>
      <c r="P2919" s="2">
        <v>3429</v>
      </c>
      <c r="Q2919" s="2">
        <v>7280</v>
      </c>
      <c r="R2919" s="2">
        <v>4572</v>
      </c>
      <c r="S2919">
        <v>105.15600000000001</v>
      </c>
      <c r="T2919" s="2">
        <v>58293</v>
      </c>
      <c r="U2919" s="2">
        <v>41529</v>
      </c>
      <c r="V2919">
        <v>167.44</v>
      </c>
      <c r="W2919">
        <v>0</v>
      </c>
      <c r="X2919">
        <v>0</v>
      </c>
      <c r="Y2919">
        <v>0</v>
      </c>
      <c r="Z2919">
        <v>1</v>
      </c>
      <c r="AA2919">
        <v>5.9722890000000004E-3</v>
      </c>
      <c r="AB2919">
        <v>23.05</v>
      </c>
      <c r="AC2919">
        <v>11.65305556</v>
      </c>
      <c r="AD2919">
        <v>22.5</v>
      </c>
      <c r="AE2919" s="7"/>
      <c r="AF2919" s="7"/>
      <c r="AG2919" s="7"/>
      <c r="AH2919" s="7"/>
      <c r="AI2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919" s="7"/>
      <c r="AK2919" t="s">
        <v>214</v>
      </c>
      <c r="AN2919">
        <f>IFERROR(INT(Table13[[#This Row],[reject_prod]]/Table13[[#This Row],[part_weight]] * 1000), 0)</f>
        <v>43</v>
      </c>
    </row>
    <row r="2920" spans="1:40">
      <c r="A2920" s="1">
        <v>46109</v>
      </c>
      <c r="B2920">
        <v>1</v>
      </c>
      <c r="C2920">
        <v>3</v>
      </c>
      <c r="D2920" t="s">
        <v>1162</v>
      </c>
      <c r="E2920" t="s">
        <v>34</v>
      </c>
      <c r="F2920">
        <v>442034</v>
      </c>
      <c r="G2920" s="6">
        <v>0</v>
      </c>
      <c r="H2920" t="s">
        <v>37</v>
      </c>
      <c r="I2920">
        <v>10688497</v>
      </c>
      <c r="J2920">
        <v>4</v>
      </c>
      <c r="K2920">
        <v>23</v>
      </c>
      <c r="L2920">
        <v>23</v>
      </c>
      <c r="M2920">
        <v>1720</v>
      </c>
      <c r="N2920" s="2">
        <v>139776</v>
      </c>
      <c r="O2920" s="2">
        <v>384</v>
      </c>
      <c r="P2920" s="2">
        <v>2688</v>
      </c>
      <c r="Q2920" s="2">
        <v>6880</v>
      </c>
      <c r="R2920" s="2">
        <v>4608</v>
      </c>
      <c r="S2920">
        <v>105.98399999999999</v>
      </c>
      <c r="T2920" s="2">
        <v>81024</v>
      </c>
      <c r="U2920" s="2">
        <v>58752</v>
      </c>
      <c r="V2920">
        <v>158.24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26.6</v>
      </c>
      <c r="AC2920">
        <v>12</v>
      </c>
      <c r="AD2920">
        <v>22</v>
      </c>
      <c r="AE2920" s="7"/>
      <c r="AF2920" s="7"/>
      <c r="AG2920" s="7"/>
      <c r="AH2920" s="7"/>
      <c r="AI2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20" s="7"/>
      <c r="AK2920" t="s">
        <v>214</v>
      </c>
      <c r="AN2920">
        <f>IFERROR(INT(Table13[[#This Row],[reject_prod]]/Table13[[#This Row],[part_weight]] * 1000), 0)</f>
        <v>0</v>
      </c>
    </row>
    <row r="2921" spans="1:40">
      <c r="A2921" s="1">
        <v>46109</v>
      </c>
      <c r="B2921">
        <v>1</v>
      </c>
      <c r="C2921">
        <v>4</v>
      </c>
      <c r="D2921" t="s">
        <v>53</v>
      </c>
      <c r="E2921" t="s">
        <v>34</v>
      </c>
      <c r="F2921">
        <v>451191</v>
      </c>
      <c r="G2921" s="6">
        <v>0</v>
      </c>
      <c r="H2921" t="s">
        <v>946</v>
      </c>
      <c r="I2921">
        <v>10690450</v>
      </c>
      <c r="J2921">
        <v>4</v>
      </c>
      <c r="K2921">
        <v>29</v>
      </c>
      <c r="L2921">
        <v>29</v>
      </c>
      <c r="M2921">
        <v>385</v>
      </c>
      <c r="N2921" s="2">
        <v>110160</v>
      </c>
      <c r="O2921" s="2">
        <v>5814</v>
      </c>
      <c r="P2921" s="2">
        <v>0</v>
      </c>
      <c r="Q2921" s="2">
        <v>1540</v>
      </c>
      <c r="R2921" s="2">
        <v>7344</v>
      </c>
      <c r="S2921">
        <v>212.976</v>
      </c>
      <c r="T2921" s="2">
        <v>110160</v>
      </c>
      <c r="U2921" s="2">
        <v>0</v>
      </c>
      <c r="V2921">
        <v>44.66</v>
      </c>
      <c r="W2921">
        <v>0</v>
      </c>
      <c r="X2921">
        <v>0</v>
      </c>
      <c r="Y2921">
        <v>0</v>
      </c>
      <c r="Z2921">
        <v>1</v>
      </c>
      <c r="AA2921">
        <v>2.2391402000000001E-2</v>
      </c>
      <c r="AB2921">
        <v>25.2</v>
      </c>
      <c r="AC2921">
        <v>2.6949999999999998</v>
      </c>
      <c r="AD2921">
        <v>24</v>
      </c>
      <c r="AE2921" s="7"/>
      <c r="AF2921" s="7"/>
      <c r="AG2921" s="7"/>
      <c r="AH2921" s="7"/>
      <c r="AI2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9.3049999999999997</v>
      </c>
      <c r="AJ2921" s="7"/>
      <c r="AK2921" t="s">
        <v>1424</v>
      </c>
      <c r="AN2921">
        <f>IFERROR(INT(Table13[[#This Row],[reject_prod]]/Table13[[#This Row],[part_weight]] * 1000), 0)</f>
        <v>34</v>
      </c>
    </row>
    <row r="2922" spans="1:40">
      <c r="A2922" s="1">
        <v>46109</v>
      </c>
      <c r="B2922">
        <v>1</v>
      </c>
      <c r="C2922">
        <v>4</v>
      </c>
      <c r="D2922" t="s">
        <v>53</v>
      </c>
      <c r="E2922" t="s">
        <v>34</v>
      </c>
      <c r="F2922">
        <v>365091</v>
      </c>
      <c r="G2922" s="6">
        <v>0</v>
      </c>
      <c r="H2922" t="s">
        <v>189</v>
      </c>
      <c r="I2922">
        <v>10691257</v>
      </c>
      <c r="J2922">
        <v>4</v>
      </c>
      <c r="K2922">
        <v>44</v>
      </c>
      <c r="L2922">
        <v>44</v>
      </c>
      <c r="M2922">
        <v>0</v>
      </c>
      <c r="N2922" s="2">
        <v>50715</v>
      </c>
      <c r="O2922" s="2">
        <v>0</v>
      </c>
      <c r="P2922" s="2">
        <v>0</v>
      </c>
      <c r="Q2922" s="2">
        <v>0</v>
      </c>
      <c r="R2922" s="2">
        <v>0</v>
      </c>
      <c r="S2922">
        <v>0</v>
      </c>
      <c r="T2922" s="2">
        <v>0</v>
      </c>
      <c r="U2922" s="2">
        <v>50715</v>
      </c>
      <c r="V2922">
        <v>0</v>
      </c>
      <c r="W2922">
        <v>0</v>
      </c>
      <c r="X2922">
        <v>8.1999999999999993</v>
      </c>
      <c r="Y2922" t="e">
        <v>#DIV/0!</v>
      </c>
      <c r="Z2922">
        <v>0</v>
      </c>
      <c r="AA2922" t="e">
        <v>#DIV/0!</v>
      </c>
      <c r="AB2922">
        <v>25.2</v>
      </c>
      <c r="AC2922">
        <v>0</v>
      </c>
      <c r="AD2922">
        <v>28.64</v>
      </c>
      <c r="AE2922" s="7">
        <v>5.5</v>
      </c>
      <c r="AF2922" s="7"/>
      <c r="AG2922" s="7"/>
      <c r="AH2922" s="7"/>
      <c r="AI2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922" s="7"/>
      <c r="AK2922" t="s">
        <v>890</v>
      </c>
      <c r="AN2922">
        <f>IFERROR(INT(Table13[[#This Row],[reject_prod]]/Table13[[#This Row],[part_weight]] * 1000), 0)</f>
        <v>0</v>
      </c>
    </row>
    <row r="2923" spans="1:40">
      <c r="A2923" s="1">
        <v>46109</v>
      </c>
      <c r="B2923">
        <v>1</v>
      </c>
      <c r="C2923">
        <v>5</v>
      </c>
      <c r="D2923" t="s">
        <v>274</v>
      </c>
      <c r="E2923" t="s">
        <v>34</v>
      </c>
      <c r="F2923">
        <v>626029</v>
      </c>
      <c r="G2923" s="6">
        <v>0</v>
      </c>
      <c r="H2923" t="s">
        <v>478</v>
      </c>
      <c r="I2923">
        <v>10689832</v>
      </c>
      <c r="J2923">
        <v>4</v>
      </c>
      <c r="K2923">
        <v>48.39</v>
      </c>
      <c r="L2923">
        <v>48.39</v>
      </c>
      <c r="M2923">
        <v>1480</v>
      </c>
      <c r="N2923" s="2">
        <v>29952</v>
      </c>
      <c r="O2923" s="2">
        <v>468</v>
      </c>
      <c r="P2923" s="2">
        <v>468</v>
      </c>
      <c r="Q2923" s="2">
        <v>5920</v>
      </c>
      <c r="R2923" s="2">
        <v>6240</v>
      </c>
      <c r="S2923">
        <v>301.95359999999999</v>
      </c>
      <c r="T2923" s="2">
        <v>14820</v>
      </c>
      <c r="U2923" s="2">
        <v>15132</v>
      </c>
      <c r="V2923">
        <v>286.46879999999999</v>
      </c>
      <c r="W2923">
        <v>0</v>
      </c>
      <c r="X2923">
        <v>0</v>
      </c>
      <c r="Y2923">
        <v>0</v>
      </c>
      <c r="Z2923">
        <v>4</v>
      </c>
      <c r="AA2923">
        <v>1.3963125999999999E-2</v>
      </c>
      <c r="AB2923">
        <v>28.7</v>
      </c>
      <c r="AC2923">
        <v>11.798888890000001</v>
      </c>
      <c r="AD2923">
        <v>28</v>
      </c>
      <c r="AE2923" s="7"/>
      <c r="AF2923" s="7"/>
      <c r="AG2923" s="7"/>
      <c r="AH2923" s="7"/>
      <c r="AI2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0.20111110999999937</v>
      </c>
      <c r="AJ2923" s="7"/>
      <c r="AK2923" t="s">
        <v>75</v>
      </c>
      <c r="AN2923">
        <f>IFERROR(INT(Table13[[#This Row],[reject_prod]]/Table13[[#This Row],[part_weight]] * 1000), 0)</f>
        <v>82</v>
      </c>
    </row>
    <row r="2924" spans="1:40">
      <c r="A2924" s="1">
        <v>46109</v>
      </c>
      <c r="B2924">
        <v>1</v>
      </c>
      <c r="C2924">
        <v>6</v>
      </c>
      <c r="D2924" t="s">
        <v>33</v>
      </c>
      <c r="E2924" t="s">
        <v>34</v>
      </c>
      <c r="F2924">
        <v>322409</v>
      </c>
      <c r="G2924" s="6">
        <v>0</v>
      </c>
      <c r="H2924" t="s">
        <v>400</v>
      </c>
      <c r="I2924">
        <v>10690123</v>
      </c>
      <c r="J2924">
        <v>4</v>
      </c>
      <c r="K2924">
        <v>24</v>
      </c>
      <c r="L2924">
        <v>24</v>
      </c>
      <c r="M2924">
        <v>0</v>
      </c>
      <c r="N2924" s="2">
        <v>10368</v>
      </c>
      <c r="O2924" s="2">
        <v>0</v>
      </c>
      <c r="P2924" s="2">
        <v>0</v>
      </c>
      <c r="Q2924" s="2">
        <v>0</v>
      </c>
      <c r="R2924" s="2"/>
      <c r="S2924">
        <v>0</v>
      </c>
      <c r="T2924" s="2">
        <v>0</v>
      </c>
      <c r="U2924" s="2">
        <v>10368</v>
      </c>
      <c r="V2924">
        <v>0</v>
      </c>
      <c r="W2924">
        <v>0</v>
      </c>
      <c r="X2924">
        <v>58</v>
      </c>
      <c r="Y2924" t="e">
        <v>#DIV/0!</v>
      </c>
      <c r="Z2924">
        <v>0</v>
      </c>
      <c r="AA2924" t="e">
        <v>#DIV/0!</v>
      </c>
      <c r="AB2924">
        <v>22</v>
      </c>
      <c r="AC2924">
        <v>0</v>
      </c>
      <c r="AD2924">
        <v>20</v>
      </c>
      <c r="AE2924" s="7"/>
      <c r="AF2924" s="7"/>
      <c r="AG2924" s="7"/>
      <c r="AH2924" s="7"/>
      <c r="AI2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924" s="7"/>
      <c r="AK2924" t="s">
        <v>1425</v>
      </c>
      <c r="AN2924">
        <f>IFERROR(INT(Table13[[#This Row],[reject_prod]]/Table13[[#This Row],[part_weight]] * 1000), 0)</f>
        <v>0</v>
      </c>
    </row>
    <row r="2925" spans="1:40">
      <c r="A2925" s="1">
        <v>46109</v>
      </c>
      <c r="B2925">
        <v>1</v>
      </c>
      <c r="C2925">
        <v>7</v>
      </c>
      <c r="D2925" t="s">
        <v>53</v>
      </c>
      <c r="E2925" t="s">
        <v>34</v>
      </c>
      <c r="F2925">
        <v>597507</v>
      </c>
      <c r="G2925" s="6">
        <v>0</v>
      </c>
      <c r="H2925" t="s">
        <v>279</v>
      </c>
      <c r="I2925">
        <v>10690042</v>
      </c>
      <c r="J2925">
        <v>4</v>
      </c>
      <c r="K2925">
        <v>23</v>
      </c>
      <c r="L2925">
        <v>23</v>
      </c>
      <c r="M2925">
        <v>656</v>
      </c>
      <c r="N2925" s="2">
        <v>86240</v>
      </c>
      <c r="O2925" s="2">
        <v>770</v>
      </c>
      <c r="P2925" s="2">
        <v>488</v>
      </c>
      <c r="Q2925" s="2">
        <v>2624</v>
      </c>
      <c r="R2925" s="2">
        <v>2156</v>
      </c>
      <c r="S2925">
        <v>49.588000000000001</v>
      </c>
      <c r="T2925" s="2">
        <v>58700</v>
      </c>
      <c r="U2925" s="2">
        <v>27540</v>
      </c>
      <c r="V2925">
        <v>60.351999999999997</v>
      </c>
      <c r="W2925">
        <v>0</v>
      </c>
      <c r="X2925">
        <v>0</v>
      </c>
      <c r="Y2925">
        <v>0</v>
      </c>
      <c r="Z2925">
        <v>6</v>
      </c>
      <c r="AA2925">
        <v>9.9416754999999996E-2</v>
      </c>
      <c r="AB2925">
        <v>23.54</v>
      </c>
      <c r="AC2925">
        <v>4.2895111110000004</v>
      </c>
      <c r="AD2925">
        <v>22</v>
      </c>
      <c r="AE2925" s="7"/>
      <c r="AF2925" s="7"/>
      <c r="AG2925" s="7"/>
      <c r="AH2925" s="7"/>
      <c r="AI2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7.7104888889999996</v>
      </c>
      <c r="AJ2925" s="7"/>
      <c r="AK2925" t="s">
        <v>1426</v>
      </c>
      <c r="AN2925">
        <f>IFERROR(INT(Table13[[#This Row],[reject_prod]]/Table13[[#This Row],[part_weight]] * 1000), 0)</f>
        <v>260</v>
      </c>
    </row>
    <row r="2926" spans="1:40">
      <c r="A2926" s="1">
        <v>46109</v>
      </c>
      <c r="B2926">
        <v>1</v>
      </c>
      <c r="C2926">
        <v>8</v>
      </c>
      <c r="D2926" t="s">
        <v>58</v>
      </c>
      <c r="E2926" t="s">
        <v>41</v>
      </c>
      <c r="F2926">
        <v>593537</v>
      </c>
      <c r="G2926" s="6">
        <v>0</v>
      </c>
      <c r="H2926" t="s">
        <v>48</v>
      </c>
      <c r="I2926">
        <v>10689827</v>
      </c>
      <c r="J2926">
        <v>4</v>
      </c>
      <c r="K2926">
        <v>56.5</v>
      </c>
      <c r="L2926">
        <v>56.8</v>
      </c>
      <c r="M2926">
        <v>1440</v>
      </c>
      <c r="N2926" s="2">
        <v>69000</v>
      </c>
      <c r="O2926" s="2">
        <v>230</v>
      </c>
      <c r="P2926" s="2">
        <v>230</v>
      </c>
      <c r="Q2926" s="2">
        <v>5760</v>
      </c>
      <c r="R2926" s="2">
        <v>5750</v>
      </c>
      <c r="S2926">
        <v>326.60000000000002</v>
      </c>
      <c r="T2926" s="2">
        <v>39013</v>
      </c>
      <c r="U2926" s="2">
        <v>29987</v>
      </c>
      <c r="V2926">
        <v>327.16800000000001</v>
      </c>
      <c r="W2926">
        <v>-1.728</v>
      </c>
      <c r="X2926">
        <v>0</v>
      </c>
      <c r="Y2926">
        <v>0</v>
      </c>
      <c r="Z2926">
        <v>2.2999999999999998</v>
      </c>
      <c r="AA2926">
        <v>7.0300270000000003E-3</v>
      </c>
      <c r="AB2926">
        <v>29.9</v>
      </c>
      <c r="AC2926">
        <v>11.96</v>
      </c>
      <c r="AD2926">
        <v>28.5</v>
      </c>
      <c r="AE2926" s="7"/>
      <c r="AF2926" s="7"/>
      <c r="AG2926" s="7"/>
      <c r="AH2926" s="7"/>
      <c r="AI29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926" s="7"/>
      <c r="AK2926" t="s">
        <v>178</v>
      </c>
      <c r="AN2926">
        <f>IFERROR(INT(Table13[[#This Row],[reject_prod]]/Table13[[#This Row],[part_weight]] * 1000), 0)</f>
        <v>40</v>
      </c>
    </row>
    <row r="2927" spans="1:40">
      <c r="A2927" s="1">
        <v>46109</v>
      </c>
      <c r="B2927">
        <v>1</v>
      </c>
      <c r="C2927">
        <v>9</v>
      </c>
      <c r="D2927" t="s">
        <v>84</v>
      </c>
      <c r="E2927" t="s">
        <v>46</v>
      </c>
      <c r="F2927">
        <v>586276</v>
      </c>
      <c r="G2927" s="6">
        <v>1</v>
      </c>
      <c r="H2927" t="s">
        <v>47</v>
      </c>
      <c r="I2927">
        <v>10689112</v>
      </c>
      <c r="J2927">
        <v>6</v>
      </c>
      <c r="K2927">
        <v>12.3</v>
      </c>
      <c r="L2927">
        <v>12.3</v>
      </c>
      <c r="M2927">
        <v>1450</v>
      </c>
      <c r="N2927" s="2">
        <v>162000</v>
      </c>
      <c r="O2927" s="2">
        <v>6480</v>
      </c>
      <c r="P2927" s="2">
        <v>8910</v>
      </c>
      <c r="Q2927" s="2">
        <v>8700</v>
      </c>
      <c r="R2927" s="2">
        <v>8100</v>
      </c>
      <c r="S2927">
        <v>99.63</v>
      </c>
      <c r="T2927" s="2">
        <v>138510</v>
      </c>
      <c r="U2927" s="2">
        <v>23490</v>
      </c>
      <c r="V2927">
        <v>107.01</v>
      </c>
      <c r="W2927">
        <v>0</v>
      </c>
      <c r="X2927">
        <v>0</v>
      </c>
      <c r="Y2927">
        <v>0</v>
      </c>
      <c r="Z2927">
        <v>1.5</v>
      </c>
      <c r="AA2927">
        <v>1.4017382E-2</v>
      </c>
      <c r="AB2927">
        <v>29.6</v>
      </c>
      <c r="AC2927">
        <v>11.92222222</v>
      </c>
      <c r="AD2927">
        <v>26</v>
      </c>
      <c r="AE2927" s="7"/>
      <c r="AF2927" s="7"/>
      <c r="AG2927" s="7"/>
      <c r="AH2927" s="7"/>
      <c r="AI2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7.7777779999999908E-2</v>
      </c>
      <c r="AJ2927" s="7"/>
      <c r="AK2927" t="s">
        <v>51</v>
      </c>
      <c r="AN2927">
        <f>IFERROR(INT(Table13[[#This Row],[reject_prod]]/Table13[[#This Row],[part_weight]] * 1000), 0)</f>
        <v>121</v>
      </c>
    </row>
    <row r="2928" spans="1:40">
      <c r="A2928" s="1">
        <v>46109</v>
      </c>
      <c r="B2928">
        <v>1</v>
      </c>
      <c r="C2928">
        <v>10</v>
      </c>
      <c r="D2928" t="s">
        <v>117</v>
      </c>
      <c r="E2928" t="s">
        <v>34</v>
      </c>
      <c r="F2928">
        <v>324638</v>
      </c>
      <c r="G2928" s="6">
        <v>0</v>
      </c>
      <c r="H2928" t="s">
        <v>687</v>
      </c>
      <c r="I2928">
        <v>10689561</v>
      </c>
      <c r="J2928">
        <v>4</v>
      </c>
      <c r="K2928">
        <v>77.5</v>
      </c>
      <c r="L2928">
        <v>77.5</v>
      </c>
      <c r="M2928">
        <v>1105</v>
      </c>
      <c r="N2928" s="2">
        <v>26496</v>
      </c>
      <c r="O2928" s="2">
        <v>138</v>
      </c>
      <c r="P2928" s="2">
        <v>0</v>
      </c>
      <c r="Q2928" s="2">
        <v>4420</v>
      </c>
      <c r="R2928" s="2">
        <v>4416</v>
      </c>
      <c r="S2928">
        <v>342.24</v>
      </c>
      <c r="T2928" s="2">
        <v>8556</v>
      </c>
      <c r="U2928" s="2">
        <v>17940</v>
      </c>
      <c r="V2928">
        <v>342.55</v>
      </c>
      <c r="W2928">
        <v>0</v>
      </c>
      <c r="X2928">
        <v>0</v>
      </c>
      <c r="Y2928">
        <v>0</v>
      </c>
      <c r="Z2928">
        <v>12</v>
      </c>
      <c r="AA2928">
        <v>3.5031382E-2</v>
      </c>
      <c r="AB2928">
        <v>38.450000000000003</v>
      </c>
      <c r="AC2928">
        <v>11.80201389</v>
      </c>
      <c r="AD2928">
        <v>36</v>
      </c>
      <c r="AE2928" s="7"/>
      <c r="AF2928" s="7"/>
      <c r="AG2928" s="7"/>
      <c r="AH2928" s="7"/>
      <c r="AI2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0.19798611000000044</v>
      </c>
      <c r="AJ2928" s="7"/>
      <c r="AK2928" t="s">
        <v>227</v>
      </c>
      <c r="AN2928">
        <f>IFERROR(INT(Table13[[#This Row],[reject_prod]]/Table13[[#This Row],[part_weight]] * 1000), 0)</f>
        <v>154</v>
      </c>
    </row>
    <row r="2929" spans="1:40">
      <c r="A2929" s="1">
        <v>46109</v>
      </c>
      <c r="B2929">
        <v>1</v>
      </c>
      <c r="C2929">
        <v>11</v>
      </c>
      <c r="D2929" t="s">
        <v>59</v>
      </c>
      <c r="E2929" t="s">
        <v>46</v>
      </c>
      <c r="F2929">
        <v>552181</v>
      </c>
      <c r="G2929" s="6">
        <v>1</v>
      </c>
      <c r="H2929" t="s">
        <v>49</v>
      </c>
      <c r="I2929">
        <v>10689113</v>
      </c>
      <c r="J2929">
        <v>6</v>
      </c>
      <c r="K2929">
        <v>14.7</v>
      </c>
      <c r="L2929">
        <v>14.7</v>
      </c>
      <c r="M2929">
        <v>1420</v>
      </c>
      <c r="N2929" s="2">
        <v>108000</v>
      </c>
      <c r="O2929" s="2">
        <v>270</v>
      </c>
      <c r="P2929" s="2">
        <v>4050</v>
      </c>
      <c r="Q2929" s="2">
        <v>8520</v>
      </c>
      <c r="R2929" s="2">
        <v>5400</v>
      </c>
      <c r="S2929">
        <v>79.38</v>
      </c>
      <c r="T2929" s="2">
        <v>84120</v>
      </c>
      <c r="U2929" s="2">
        <v>23880</v>
      </c>
      <c r="V2929">
        <v>125.244</v>
      </c>
      <c r="W2929">
        <v>0</v>
      </c>
      <c r="X2929">
        <v>0</v>
      </c>
      <c r="Y2929">
        <v>0</v>
      </c>
      <c r="Z2929">
        <v>1</v>
      </c>
      <c r="AA2929">
        <v>7.9844140000000004E-3</v>
      </c>
      <c r="AB2929">
        <v>27.7</v>
      </c>
      <c r="AC2929">
        <v>10.926111110000001</v>
      </c>
      <c r="AD2929">
        <v>27</v>
      </c>
      <c r="AE2929" s="7"/>
      <c r="AF2929" s="7"/>
      <c r="AG2929" s="7"/>
      <c r="AH2929" s="7"/>
      <c r="AI2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1.0738888899999992</v>
      </c>
      <c r="AJ2929" s="7"/>
      <c r="AK2929" t="s">
        <v>51</v>
      </c>
      <c r="AN2929">
        <f>IFERROR(INT(Table13[[#This Row],[reject_prod]]/Table13[[#This Row],[part_weight]] * 1000), 0)</f>
        <v>68</v>
      </c>
    </row>
    <row r="2930" spans="1:40">
      <c r="A2930" s="1">
        <v>46109</v>
      </c>
      <c r="B2930">
        <v>1</v>
      </c>
      <c r="C2930">
        <v>12</v>
      </c>
      <c r="D2930" t="s">
        <v>134</v>
      </c>
      <c r="E2930" t="s">
        <v>46</v>
      </c>
      <c r="F2930">
        <v>555979</v>
      </c>
      <c r="G2930" s="6">
        <v>1</v>
      </c>
      <c r="H2930" t="s">
        <v>52</v>
      </c>
      <c r="I2930">
        <v>10689126</v>
      </c>
      <c r="J2930">
        <v>6</v>
      </c>
      <c r="K2930">
        <v>28</v>
      </c>
      <c r="L2930">
        <v>28</v>
      </c>
      <c r="M2930">
        <v>960</v>
      </c>
      <c r="N2930" s="2">
        <v>100800</v>
      </c>
      <c r="O2930" s="2">
        <v>2184</v>
      </c>
      <c r="P2930" s="2">
        <v>840</v>
      </c>
      <c r="Q2930" s="2">
        <v>5760</v>
      </c>
      <c r="R2930" s="2">
        <v>6720</v>
      </c>
      <c r="S2930">
        <v>188.16</v>
      </c>
      <c r="T2930" s="2">
        <v>27720</v>
      </c>
      <c r="U2930" s="2">
        <v>73080</v>
      </c>
      <c r="V2930">
        <v>161.28</v>
      </c>
      <c r="W2930">
        <v>0</v>
      </c>
      <c r="X2930">
        <v>0</v>
      </c>
      <c r="Y2930">
        <v>0</v>
      </c>
      <c r="Z2930">
        <v>4</v>
      </c>
      <c r="AA2930">
        <v>2.4801587E-2</v>
      </c>
      <c r="AB2930">
        <v>44</v>
      </c>
      <c r="AC2930">
        <v>11.733333330000001</v>
      </c>
      <c r="AD2930">
        <v>42</v>
      </c>
      <c r="AE2930" s="7"/>
      <c r="AF2930" s="7"/>
      <c r="AG2930" s="7"/>
      <c r="AH2930" s="7"/>
      <c r="AI2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0.26666666999999933</v>
      </c>
      <c r="AJ2930" s="7"/>
      <c r="AK2930" t="s">
        <v>51</v>
      </c>
      <c r="AN2930">
        <f>IFERROR(INT(Table13[[#This Row],[reject_prod]]/Table13[[#This Row],[part_weight]] * 1000), 0)</f>
        <v>142</v>
      </c>
    </row>
    <row r="2931" spans="1:40">
      <c r="A2931" s="1">
        <v>46109</v>
      </c>
      <c r="B2931">
        <v>1</v>
      </c>
      <c r="C2931">
        <v>13</v>
      </c>
      <c r="D2931" t="s">
        <v>1427</v>
      </c>
      <c r="E2931" t="s">
        <v>46</v>
      </c>
      <c r="F2931">
        <v>586276</v>
      </c>
      <c r="G2931" s="6">
        <v>2</v>
      </c>
      <c r="H2931" t="s">
        <v>47</v>
      </c>
      <c r="I2931">
        <v>10689119</v>
      </c>
      <c r="J2931">
        <v>6</v>
      </c>
      <c r="K2931">
        <v>12.3</v>
      </c>
      <c r="L2931">
        <v>12.3</v>
      </c>
      <c r="M2931">
        <v>1625</v>
      </c>
      <c r="N2931" s="2">
        <v>162000</v>
      </c>
      <c r="O2931" s="2">
        <v>2025</v>
      </c>
      <c r="P2931" s="2">
        <v>3645</v>
      </c>
      <c r="Q2931" s="2">
        <v>9750</v>
      </c>
      <c r="R2931" s="2">
        <v>8100</v>
      </c>
      <c r="S2931">
        <v>99.63</v>
      </c>
      <c r="T2931" s="2">
        <v>133245</v>
      </c>
      <c r="U2931" s="2">
        <v>28755</v>
      </c>
      <c r="V2931">
        <v>119.925</v>
      </c>
      <c r="W2931">
        <v>0</v>
      </c>
      <c r="X2931">
        <v>0</v>
      </c>
      <c r="Y2931">
        <v>0</v>
      </c>
      <c r="Z2931">
        <v>1</v>
      </c>
      <c r="AA2931">
        <v>8.3385449999999993E-3</v>
      </c>
      <c r="AB2931">
        <v>26.2</v>
      </c>
      <c r="AC2931">
        <v>11.82638889</v>
      </c>
      <c r="AD2931">
        <v>26</v>
      </c>
      <c r="AE2931" s="7"/>
      <c r="AF2931" s="7"/>
      <c r="AG2931" s="7"/>
      <c r="AH2931" s="7"/>
      <c r="AI2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931" s="7"/>
      <c r="AK2931" t="s">
        <v>51</v>
      </c>
      <c r="AN2931">
        <f>IFERROR(INT(Table13[[#This Row],[reject_prod]]/Table13[[#This Row],[part_weight]] * 1000), 0)</f>
        <v>81</v>
      </c>
    </row>
    <row r="2932" spans="1:40">
      <c r="A2932" s="1">
        <v>46109</v>
      </c>
      <c r="B2932">
        <v>1</v>
      </c>
      <c r="C2932">
        <v>14</v>
      </c>
      <c r="D2932" t="s">
        <v>54</v>
      </c>
      <c r="E2932" t="s">
        <v>34</v>
      </c>
      <c r="F2932">
        <v>541381</v>
      </c>
      <c r="G2932" s="6">
        <v>0</v>
      </c>
      <c r="H2932" t="s">
        <v>804</v>
      </c>
      <c r="I2932">
        <v>10689121</v>
      </c>
      <c r="J2932">
        <v>4</v>
      </c>
      <c r="K2932">
        <v>55</v>
      </c>
      <c r="L2932">
        <v>55</v>
      </c>
      <c r="M2932">
        <v>1580</v>
      </c>
      <c r="N2932" s="2">
        <v>84000</v>
      </c>
      <c r="O2932" s="2">
        <v>0</v>
      </c>
      <c r="P2932" s="2">
        <v>360</v>
      </c>
      <c r="Q2932" s="2">
        <v>6320</v>
      </c>
      <c r="R2932" s="2">
        <v>6300</v>
      </c>
      <c r="S2932">
        <v>346.5</v>
      </c>
      <c r="T2932" s="2">
        <v>65460</v>
      </c>
      <c r="U2932" s="2">
        <v>18540</v>
      </c>
      <c r="V2932">
        <v>347.6</v>
      </c>
      <c r="W2932">
        <v>0</v>
      </c>
      <c r="X2932">
        <v>0</v>
      </c>
      <c r="Y2932">
        <v>0</v>
      </c>
      <c r="Z2932">
        <v>2</v>
      </c>
      <c r="AA2932">
        <v>5.7537400000000002E-3</v>
      </c>
      <c r="AB2932">
        <v>26.78</v>
      </c>
      <c r="AC2932">
        <v>11.753444440000001</v>
      </c>
      <c r="AD2932">
        <v>30.08</v>
      </c>
      <c r="AE2932" s="7"/>
      <c r="AF2932" s="7"/>
      <c r="AG2932" s="7"/>
      <c r="AH2932" s="7"/>
      <c r="AI2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0.24655555999999912</v>
      </c>
      <c r="AJ2932" s="7"/>
      <c r="AK2932" t="s">
        <v>178</v>
      </c>
      <c r="AN2932">
        <f>IFERROR(INT(Table13[[#This Row],[reject_prod]]/Table13[[#This Row],[part_weight]] * 1000), 0)</f>
        <v>36</v>
      </c>
    </row>
    <row r="2933" spans="1:40">
      <c r="A2933" s="1">
        <v>46109</v>
      </c>
      <c r="B2933">
        <v>1</v>
      </c>
      <c r="C2933">
        <v>15</v>
      </c>
      <c r="D2933" t="s">
        <v>59</v>
      </c>
      <c r="E2933" t="s">
        <v>46</v>
      </c>
      <c r="F2933">
        <v>552181</v>
      </c>
      <c r="G2933" s="6">
        <v>2</v>
      </c>
      <c r="H2933" t="s">
        <v>49</v>
      </c>
      <c r="I2933">
        <v>10689124</v>
      </c>
      <c r="J2933">
        <v>6</v>
      </c>
      <c r="K2933">
        <v>14.7</v>
      </c>
      <c r="L2933">
        <v>14.7</v>
      </c>
      <c r="M2933">
        <v>1390</v>
      </c>
      <c r="N2933" s="2">
        <v>108000</v>
      </c>
      <c r="O2933" s="2">
        <v>3240</v>
      </c>
      <c r="P2933" s="2">
        <v>3240</v>
      </c>
      <c r="Q2933" s="2">
        <v>8340</v>
      </c>
      <c r="R2933" s="2">
        <v>10800</v>
      </c>
      <c r="S2933">
        <v>158.76</v>
      </c>
      <c r="T2933" s="2">
        <v>35640</v>
      </c>
      <c r="U2933" s="2">
        <v>72360</v>
      </c>
      <c r="V2933">
        <v>122.598</v>
      </c>
      <c r="W2933">
        <v>0</v>
      </c>
      <c r="X2933">
        <v>0</v>
      </c>
      <c r="Y2933">
        <v>0</v>
      </c>
      <c r="Z2933">
        <v>1</v>
      </c>
      <c r="AA2933">
        <v>8.1567400000000009E-3</v>
      </c>
      <c r="AB2933">
        <v>30.8</v>
      </c>
      <c r="AC2933">
        <v>11.892222220000001</v>
      </c>
      <c r="AD2933">
        <v>27</v>
      </c>
      <c r="AE2933" s="7"/>
      <c r="AF2933" s="7"/>
      <c r="AG2933" s="7"/>
      <c r="AH2933" s="7"/>
      <c r="AI2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0.10777777999999927</v>
      </c>
      <c r="AJ2933" s="7"/>
      <c r="AK2933" t="s">
        <v>1394</v>
      </c>
      <c r="AN2933">
        <f>IFERROR(INT(Table13[[#This Row],[reject_prod]]/Table13[[#This Row],[part_weight]] * 1000), 0)</f>
        <v>68</v>
      </c>
    </row>
    <row r="2934" spans="1:40">
      <c r="A2934" s="1">
        <v>46109</v>
      </c>
      <c r="B2934">
        <v>1</v>
      </c>
      <c r="C2934">
        <v>16</v>
      </c>
      <c r="D2934" t="s">
        <v>139</v>
      </c>
      <c r="E2934" t="s">
        <v>46</v>
      </c>
      <c r="F2934">
        <v>555979</v>
      </c>
      <c r="G2934" s="6">
        <v>2</v>
      </c>
      <c r="H2934" t="s">
        <v>52</v>
      </c>
      <c r="I2934">
        <v>10689125</v>
      </c>
      <c r="J2934">
        <v>6</v>
      </c>
      <c r="K2934">
        <v>28</v>
      </c>
      <c r="L2934">
        <v>28</v>
      </c>
      <c r="M2934">
        <v>1010</v>
      </c>
      <c r="N2934" s="2">
        <v>100800</v>
      </c>
      <c r="O2934" s="2">
        <v>1008</v>
      </c>
      <c r="P2934" s="2">
        <v>0</v>
      </c>
      <c r="Q2934" s="2">
        <v>6060</v>
      </c>
      <c r="R2934" s="2">
        <v>6720</v>
      </c>
      <c r="S2934">
        <v>188.16</v>
      </c>
      <c r="T2934" s="2">
        <v>10080</v>
      </c>
      <c r="U2934" s="2">
        <v>90720</v>
      </c>
      <c r="V2934">
        <v>169.68</v>
      </c>
      <c r="W2934">
        <v>0</v>
      </c>
      <c r="X2934">
        <v>0</v>
      </c>
      <c r="Y2934">
        <v>0</v>
      </c>
      <c r="Z2934">
        <v>1</v>
      </c>
      <c r="AA2934">
        <v>5.8934460000000001E-3</v>
      </c>
      <c r="AB2934">
        <v>42.58</v>
      </c>
      <c r="AC2934">
        <v>11.94605556</v>
      </c>
      <c r="AD2934">
        <v>42</v>
      </c>
      <c r="AE2934" s="7"/>
      <c r="AF2934" s="7"/>
      <c r="AG2934" s="7"/>
      <c r="AH2934" s="7"/>
      <c r="AI2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2934" s="7"/>
      <c r="AK2934" t="s">
        <v>51</v>
      </c>
      <c r="AN2934">
        <f>IFERROR(INT(Table13[[#This Row],[reject_prod]]/Table13[[#This Row],[part_weight]] * 1000), 0)</f>
        <v>35</v>
      </c>
    </row>
    <row r="2935" spans="1:40">
      <c r="A2935" s="1">
        <v>46109</v>
      </c>
      <c r="B2935">
        <v>2</v>
      </c>
      <c r="C2935">
        <v>1</v>
      </c>
      <c r="F2935">
        <v>123456</v>
      </c>
      <c r="G2935" s="6">
        <v>0</v>
      </c>
      <c r="M2935">
        <v>0</v>
      </c>
      <c r="N2935" s="2">
        <v>0</v>
      </c>
      <c r="O2935" s="2">
        <v>0</v>
      </c>
      <c r="P2935" s="2">
        <v>0</v>
      </c>
      <c r="Q2935" s="2"/>
      <c r="R2935" s="2">
        <v>0</v>
      </c>
      <c r="T2935" s="2">
        <v>0</v>
      </c>
      <c r="U2935" s="2"/>
      <c r="X2935">
        <v>0</v>
      </c>
      <c r="Z2935">
        <v>0</v>
      </c>
      <c r="AB2935">
        <v>0</v>
      </c>
      <c r="AC2935">
        <v>0</v>
      </c>
      <c r="AD2935">
        <v>0</v>
      </c>
      <c r="AE2935" s="7"/>
      <c r="AF2935" s="7"/>
      <c r="AG2935" s="7"/>
      <c r="AH2935" s="7"/>
      <c r="AI2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5" s="7">
        <v>12</v>
      </c>
      <c r="AK2935" t="s">
        <v>116</v>
      </c>
      <c r="AN2935">
        <f>IFERROR(INT(Table13[[#This Row],[reject_prod]]/Table13[[#This Row],[part_weight]] * 1000), 0)</f>
        <v>0</v>
      </c>
    </row>
    <row r="2936" spans="1:40">
      <c r="A2936" s="1">
        <v>46109</v>
      </c>
      <c r="B2936">
        <v>2</v>
      </c>
      <c r="C2936">
        <v>2</v>
      </c>
      <c r="D2936" t="s">
        <v>67</v>
      </c>
      <c r="E2936" t="s">
        <v>34</v>
      </c>
      <c r="F2936">
        <v>423213</v>
      </c>
      <c r="G2936" s="6">
        <v>0</v>
      </c>
      <c r="H2936" t="s">
        <v>70</v>
      </c>
      <c r="I2936">
        <v>10689499</v>
      </c>
      <c r="J2936">
        <v>4</v>
      </c>
      <c r="K2936">
        <v>23</v>
      </c>
      <c r="L2936">
        <v>23</v>
      </c>
      <c r="M2936">
        <v>1911</v>
      </c>
      <c r="N2936" s="2">
        <v>99822</v>
      </c>
      <c r="O2936" s="2">
        <v>3429</v>
      </c>
      <c r="P2936" s="2">
        <v>1905</v>
      </c>
      <c r="Q2936" s="2">
        <v>7644</v>
      </c>
      <c r="R2936" s="2">
        <v>9144</v>
      </c>
      <c r="S2936">
        <v>210.31200000000001</v>
      </c>
      <c r="T2936" s="2">
        <v>65913</v>
      </c>
      <c r="U2936" s="2">
        <v>33909</v>
      </c>
      <c r="V2936">
        <v>175.81200000000001</v>
      </c>
      <c r="W2936">
        <v>0</v>
      </c>
      <c r="X2936">
        <v>0</v>
      </c>
      <c r="Y2936">
        <v>0</v>
      </c>
      <c r="Z2936">
        <v>0.5</v>
      </c>
      <c r="AA2936">
        <v>2.8439469999999999E-3</v>
      </c>
      <c r="AB2936">
        <v>23.08</v>
      </c>
      <c r="AC2936">
        <v>12</v>
      </c>
      <c r="AD2936">
        <v>22.5</v>
      </c>
      <c r="AE2936" s="7"/>
      <c r="AF2936" s="7"/>
      <c r="AG2936" s="7"/>
      <c r="AH2936" s="7"/>
      <c r="AI2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6" s="7"/>
      <c r="AK2936" t="s">
        <v>214</v>
      </c>
      <c r="AN2936">
        <f>IFERROR(INT(Table13[[#This Row],[reject_prod]]/Table13[[#This Row],[part_weight]] * 1000), 0)</f>
        <v>21</v>
      </c>
    </row>
    <row r="2937" spans="1:40">
      <c r="A2937" s="1">
        <v>46109</v>
      </c>
      <c r="B2937">
        <v>2</v>
      </c>
      <c r="C2937">
        <v>3</v>
      </c>
      <c r="D2937" t="s">
        <v>141</v>
      </c>
      <c r="E2937" t="s">
        <v>34</v>
      </c>
      <c r="F2937">
        <v>442034</v>
      </c>
      <c r="G2937" s="6">
        <v>0</v>
      </c>
      <c r="H2937" t="s">
        <v>37</v>
      </c>
      <c r="I2937">
        <v>10688497</v>
      </c>
      <c r="J2937">
        <v>4</v>
      </c>
      <c r="K2937">
        <v>23</v>
      </c>
      <c r="L2937">
        <v>23</v>
      </c>
      <c r="M2937">
        <v>1607</v>
      </c>
      <c r="N2937" s="2">
        <v>139776</v>
      </c>
      <c r="O2937" s="2">
        <v>2688</v>
      </c>
      <c r="P2937" s="2">
        <v>4224</v>
      </c>
      <c r="Q2937" s="2">
        <v>6428</v>
      </c>
      <c r="R2937" s="2">
        <v>4608</v>
      </c>
      <c r="S2937">
        <v>105.98399999999999</v>
      </c>
      <c r="T2937" s="2">
        <v>87168</v>
      </c>
      <c r="U2937" s="2">
        <v>52608</v>
      </c>
      <c r="V2937">
        <v>147.84399999999999</v>
      </c>
      <c r="W2937">
        <v>0</v>
      </c>
      <c r="X2937">
        <v>0</v>
      </c>
      <c r="Y2937">
        <v>0</v>
      </c>
      <c r="Z2937">
        <v>1.5</v>
      </c>
      <c r="AA2937">
        <v>1.0145829E-2</v>
      </c>
      <c r="AB2937">
        <v>26.6</v>
      </c>
      <c r="AC2937">
        <v>11.873944440000001</v>
      </c>
      <c r="AD2937">
        <v>22</v>
      </c>
      <c r="AE2937" s="7"/>
      <c r="AF2937" s="7"/>
      <c r="AG2937" s="7"/>
      <c r="AH2937" s="7"/>
      <c r="AI2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0.12605555999999929</v>
      </c>
      <c r="AJ2937" s="7"/>
      <c r="AK2937" t="s">
        <v>214</v>
      </c>
      <c r="AN2937">
        <f>IFERROR(INT(Table13[[#This Row],[reject_prod]]/Table13[[#This Row],[part_weight]] * 1000), 0)</f>
        <v>65</v>
      </c>
    </row>
    <row r="2938" spans="1:40">
      <c r="A2938" s="1">
        <v>46109</v>
      </c>
      <c r="B2938">
        <v>2</v>
      </c>
      <c r="C2938">
        <v>4</v>
      </c>
      <c r="F2938">
        <v>123456</v>
      </c>
      <c r="G2938" s="6">
        <v>0</v>
      </c>
      <c r="M2938">
        <v>0</v>
      </c>
      <c r="N2938" s="2">
        <v>0</v>
      </c>
      <c r="O2938" s="2">
        <v>0</v>
      </c>
      <c r="P2938" s="2">
        <v>0</v>
      </c>
      <c r="Q2938" s="2"/>
      <c r="R2938" s="2">
        <v>0</v>
      </c>
      <c r="T2938" s="2">
        <v>0</v>
      </c>
      <c r="U2938" s="2"/>
      <c r="X2938">
        <v>0</v>
      </c>
      <c r="Z2938">
        <v>0</v>
      </c>
      <c r="AB2938">
        <v>0</v>
      </c>
      <c r="AC2938">
        <v>0</v>
      </c>
      <c r="AD2938">
        <v>0</v>
      </c>
      <c r="AE2938" s="7"/>
      <c r="AF2938" s="7"/>
      <c r="AG2938" s="7"/>
      <c r="AH2938" s="7"/>
      <c r="AI2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8" s="7">
        <v>12</v>
      </c>
      <c r="AK2938" t="s">
        <v>116</v>
      </c>
      <c r="AN2938">
        <f>IFERROR(INT(Table13[[#This Row],[reject_prod]]/Table13[[#This Row],[part_weight]] * 1000), 0)</f>
        <v>0</v>
      </c>
    </row>
    <row r="2939" spans="1:40">
      <c r="A2939" s="1">
        <v>46109</v>
      </c>
      <c r="B2939">
        <v>2</v>
      </c>
      <c r="C2939">
        <v>5</v>
      </c>
      <c r="D2939" t="s">
        <v>1428</v>
      </c>
      <c r="E2939" t="s">
        <v>34</v>
      </c>
      <c r="F2939">
        <v>626029</v>
      </c>
      <c r="G2939" s="6">
        <v>0</v>
      </c>
      <c r="H2939" t="s">
        <v>478</v>
      </c>
      <c r="I2939">
        <v>10689832</v>
      </c>
      <c r="J2939">
        <v>4</v>
      </c>
      <c r="K2939">
        <v>48.39</v>
      </c>
      <c r="L2939">
        <v>48.39</v>
      </c>
      <c r="M2939">
        <v>1481</v>
      </c>
      <c r="N2939" s="2">
        <v>29952</v>
      </c>
      <c r="O2939" s="2">
        <v>468</v>
      </c>
      <c r="P2939" s="2">
        <v>0</v>
      </c>
      <c r="Q2939" s="2">
        <v>5924</v>
      </c>
      <c r="R2939" s="2">
        <v>5616</v>
      </c>
      <c r="S2939">
        <v>271.75824</v>
      </c>
      <c r="T2939" s="2">
        <v>19968</v>
      </c>
      <c r="U2939" s="2">
        <v>9984</v>
      </c>
      <c r="V2939">
        <v>286.66235999999998</v>
      </c>
      <c r="W2939">
        <v>0</v>
      </c>
      <c r="X2939">
        <v>0</v>
      </c>
      <c r="Y2939">
        <v>0</v>
      </c>
      <c r="Z2939">
        <v>2.5</v>
      </c>
      <c r="AA2939">
        <v>8.7210610000000004E-3</v>
      </c>
      <c r="AB2939">
        <v>28.7</v>
      </c>
      <c r="AC2939">
        <v>11.80686111</v>
      </c>
      <c r="AD2939">
        <v>28</v>
      </c>
      <c r="AE2939" s="7"/>
      <c r="AF2939" s="7"/>
      <c r="AG2939" s="7"/>
      <c r="AH2939" s="7"/>
      <c r="AI2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0.19313889000000017</v>
      </c>
      <c r="AJ2939" s="7"/>
      <c r="AK2939" t="s">
        <v>75</v>
      </c>
      <c r="AN2939">
        <f>IFERROR(INT(Table13[[#This Row],[reject_prod]]/Table13[[#This Row],[part_weight]] * 1000), 0)</f>
        <v>51</v>
      </c>
    </row>
    <row r="2940" spans="1:40">
      <c r="A2940" s="1">
        <v>46109</v>
      </c>
      <c r="B2940">
        <v>2</v>
      </c>
      <c r="C2940">
        <v>6</v>
      </c>
      <c r="D2940" t="s">
        <v>1429</v>
      </c>
      <c r="E2940" t="s">
        <v>34</v>
      </c>
      <c r="F2940">
        <v>322409</v>
      </c>
      <c r="G2940" s="6">
        <v>0</v>
      </c>
      <c r="H2940" t="s">
        <v>400</v>
      </c>
      <c r="I2940">
        <v>10690123</v>
      </c>
      <c r="J2940">
        <v>4</v>
      </c>
      <c r="K2940">
        <v>24</v>
      </c>
      <c r="L2940">
        <v>24</v>
      </c>
      <c r="M2940">
        <v>361</v>
      </c>
      <c r="N2940" s="2">
        <v>10368</v>
      </c>
      <c r="O2940" s="2">
        <v>0</v>
      </c>
      <c r="P2940" s="2">
        <v>1296</v>
      </c>
      <c r="Q2940" s="2">
        <v>1444</v>
      </c>
      <c r="R2940" s="2">
        <v>0</v>
      </c>
      <c r="S2940">
        <v>0</v>
      </c>
      <c r="T2940" s="2">
        <v>1296</v>
      </c>
      <c r="U2940" s="2">
        <v>9072</v>
      </c>
      <c r="V2940">
        <v>34.655999999999999</v>
      </c>
      <c r="W2940">
        <v>0</v>
      </c>
      <c r="X2940">
        <v>3.5</v>
      </c>
      <c r="Y2940">
        <v>0.10099261299999999</v>
      </c>
      <c r="Z2940">
        <v>0</v>
      </c>
      <c r="AA2940">
        <v>0</v>
      </c>
      <c r="AB2940">
        <v>22.3</v>
      </c>
      <c r="AC2940">
        <v>2.2361944440000001</v>
      </c>
      <c r="AD2940">
        <v>20</v>
      </c>
      <c r="AE2940" s="7"/>
      <c r="AF2940" s="7"/>
      <c r="AG2940" s="7"/>
      <c r="AH2940" s="7"/>
      <c r="AI2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9.7638055559999994</v>
      </c>
      <c r="AJ2940" s="7"/>
      <c r="AK2940" t="s">
        <v>1430</v>
      </c>
      <c r="AN2940">
        <f>IFERROR(INT(Table13[[#This Row],[reject_prod]]/Table13[[#This Row],[part_weight]] * 1000), 0)</f>
        <v>0</v>
      </c>
    </row>
    <row r="2941" spans="1:40">
      <c r="A2941" s="1">
        <v>46109</v>
      </c>
      <c r="B2941">
        <v>2</v>
      </c>
      <c r="C2941">
        <v>7</v>
      </c>
      <c r="D2941" t="s">
        <v>1431</v>
      </c>
      <c r="E2941" t="s">
        <v>34</v>
      </c>
      <c r="F2941">
        <v>597507</v>
      </c>
      <c r="G2941" s="6">
        <v>0</v>
      </c>
      <c r="H2941" t="s">
        <v>279</v>
      </c>
      <c r="I2941">
        <v>10690042</v>
      </c>
      <c r="J2941">
        <v>4</v>
      </c>
      <c r="K2941">
        <v>23</v>
      </c>
      <c r="L2941">
        <v>23</v>
      </c>
      <c r="M2941">
        <v>1803</v>
      </c>
      <c r="N2941" s="2">
        <v>86240</v>
      </c>
      <c r="O2941" s="2">
        <v>488</v>
      </c>
      <c r="P2941" s="2">
        <v>616</v>
      </c>
      <c r="Q2941" s="2">
        <v>7212</v>
      </c>
      <c r="R2941" s="2">
        <v>6468</v>
      </c>
      <c r="S2941">
        <v>148.76400000000001</v>
      </c>
      <c r="T2941" s="2">
        <v>65296</v>
      </c>
      <c r="U2941" s="2">
        <v>20944</v>
      </c>
      <c r="V2941">
        <v>165.876</v>
      </c>
      <c r="W2941">
        <v>0</v>
      </c>
      <c r="X2941">
        <v>0</v>
      </c>
      <c r="Y2941">
        <v>0</v>
      </c>
      <c r="Z2941">
        <v>14.2</v>
      </c>
      <c r="AA2941">
        <v>8.5606114999999997E-2</v>
      </c>
      <c r="AB2941">
        <v>23.5</v>
      </c>
      <c r="AC2941">
        <v>11.76958333</v>
      </c>
      <c r="AD2941">
        <v>22</v>
      </c>
      <c r="AE2941" s="7"/>
      <c r="AF2941" s="7"/>
      <c r="AG2941" s="7"/>
      <c r="AH2941" s="7"/>
      <c r="AI2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0.23041667000000032</v>
      </c>
      <c r="AJ2941" s="7"/>
      <c r="AK2941" t="s">
        <v>1432</v>
      </c>
      <c r="AN2941">
        <f>IFERROR(INT(Table13[[#This Row],[reject_prod]]/Table13[[#This Row],[part_weight]] * 1000), 0)</f>
        <v>617</v>
      </c>
    </row>
    <row r="2942" spans="1:40">
      <c r="A2942" s="1">
        <v>46109</v>
      </c>
      <c r="B2942">
        <v>2</v>
      </c>
      <c r="C2942">
        <v>8</v>
      </c>
      <c r="D2942" t="s">
        <v>1429</v>
      </c>
      <c r="E2942" t="s">
        <v>41</v>
      </c>
      <c r="F2942">
        <v>593537</v>
      </c>
      <c r="G2942" s="6">
        <v>0</v>
      </c>
      <c r="H2942" t="s">
        <v>48</v>
      </c>
      <c r="I2942">
        <v>10689827</v>
      </c>
      <c r="J2942">
        <v>4</v>
      </c>
      <c r="K2942">
        <v>56.5</v>
      </c>
      <c r="L2942">
        <v>56.8</v>
      </c>
      <c r="M2942">
        <v>1441</v>
      </c>
      <c r="N2942" s="2">
        <v>69000</v>
      </c>
      <c r="O2942" s="2">
        <v>230</v>
      </c>
      <c r="P2942" s="2">
        <v>230</v>
      </c>
      <c r="Q2942" s="2">
        <v>5764</v>
      </c>
      <c r="R2942" s="2">
        <v>5750</v>
      </c>
      <c r="S2942">
        <v>326.60000000000002</v>
      </c>
      <c r="T2942" s="2">
        <v>44505</v>
      </c>
      <c r="U2942" s="2">
        <v>24495</v>
      </c>
      <c r="V2942">
        <v>327.39519999999999</v>
      </c>
      <c r="W2942">
        <v>0</v>
      </c>
      <c r="X2942">
        <v>0</v>
      </c>
      <c r="Y2942">
        <v>0</v>
      </c>
      <c r="Z2942">
        <v>0.5</v>
      </c>
      <c r="AA2942">
        <v>1.5272059999999999E-3</v>
      </c>
      <c r="AB2942">
        <v>29.9</v>
      </c>
      <c r="AC2942">
        <v>11.968305559999999</v>
      </c>
      <c r="AD2942">
        <v>28.5</v>
      </c>
      <c r="AE2942" s="7"/>
      <c r="AF2942" s="7"/>
      <c r="AG2942" s="7"/>
      <c r="AH2942" s="7"/>
      <c r="AI2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3.1694440000000768E-2</v>
      </c>
      <c r="AJ2942" s="7"/>
      <c r="AK2942" t="s">
        <v>51</v>
      </c>
      <c r="AN2942">
        <f>IFERROR(INT(Table13[[#This Row],[reject_prod]]/Table13[[#This Row],[part_weight]] * 1000), 0)</f>
        <v>8</v>
      </c>
    </row>
    <row r="2943" spans="1:40">
      <c r="A2943" s="1">
        <v>46109</v>
      </c>
      <c r="B2943">
        <v>2</v>
      </c>
      <c r="C2943">
        <v>9</v>
      </c>
      <c r="D2943" t="s">
        <v>143</v>
      </c>
      <c r="E2943" t="s">
        <v>46</v>
      </c>
      <c r="F2943">
        <v>586276</v>
      </c>
      <c r="G2943" s="6">
        <v>1</v>
      </c>
      <c r="H2943" t="s">
        <v>47</v>
      </c>
      <c r="I2943">
        <v>10689112</v>
      </c>
      <c r="J2943">
        <v>6</v>
      </c>
      <c r="K2943">
        <v>12.3</v>
      </c>
      <c r="L2943">
        <v>12.3</v>
      </c>
      <c r="M2943">
        <v>1435</v>
      </c>
      <c r="N2943" s="2">
        <v>162000</v>
      </c>
      <c r="O2943" s="2">
        <v>8910</v>
      </c>
      <c r="P2943" s="2">
        <v>5265</v>
      </c>
      <c r="Q2943" s="2">
        <v>8610</v>
      </c>
      <c r="R2943" s="2">
        <v>8100</v>
      </c>
      <c r="S2943">
        <v>99.63</v>
      </c>
      <c r="T2943" s="2">
        <v>142965</v>
      </c>
      <c r="U2943" s="2">
        <v>19035</v>
      </c>
      <c r="V2943">
        <v>105.90300000000001</v>
      </c>
      <c r="W2943">
        <v>0</v>
      </c>
      <c r="X2943">
        <v>0</v>
      </c>
      <c r="Y2943">
        <v>0</v>
      </c>
      <c r="Z2943">
        <v>0.6</v>
      </c>
      <c r="AA2943">
        <v>5.6655619999999999E-3</v>
      </c>
      <c r="AB2943">
        <v>29.8</v>
      </c>
      <c r="AC2943">
        <v>11.87861111</v>
      </c>
      <c r="AD2943">
        <v>26</v>
      </c>
      <c r="AE2943" s="7"/>
      <c r="AF2943" s="7"/>
      <c r="AG2943" s="7"/>
      <c r="AH2943" s="7"/>
      <c r="AI2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0.12138889000000042</v>
      </c>
      <c r="AJ2943" s="7"/>
      <c r="AK2943" t="s">
        <v>51</v>
      </c>
      <c r="AN2943">
        <f>IFERROR(INT(Table13[[#This Row],[reject_prod]]/Table13[[#This Row],[part_weight]] * 1000), 0)</f>
        <v>48</v>
      </c>
    </row>
    <row r="2944" spans="1:40">
      <c r="A2944" s="1">
        <v>46109</v>
      </c>
      <c r="B2944">
        <v>2</v>
      </c>
      <c r="C2944">
        <v>10</v>
      </c>
      <c r="D2944" t="s">
        <v>112</v>
      </c>
      <c r="E2944" t="s">
        <v>34</v>
      </c>
      <c r="F2944">
        <v>324638</v>
      </c>
      <c r="G2944" s="6">
        <v>0</v>
      </c>
      <c r="H2944" t="s">
        <v>687</v>
      </c>
      <c r="I2944">
        <v>10689561</v>
      </c>
      <c r="J2944">
        <v>4</v>
      </c>
      <c r="K2944">
        <v>77.5</v>
      </c>
      <c r="L2944">
        <v>77.5</v>
      </c>
      <c r="M2944">
        <v>1021</v>
      </c>
      <c r="N2944" s="2">
        <v>26496</v>
      </c>
      <c r="O2944" s="2">
        <v>0</v>
      </c>
      <c r="P2944" s="2">
        <v>0</v>
      </c>
      <c r="Q2944" s="2">
        <v>4084</v>
      </c>
      <c r="R2944" s="2">
        <v>3864</v>
      </c>
      <c r="S2944">
        <v>299.45999999999998</v>
      </c>
      <c r="T2944" s="2">
        <v>12420</v>
      </c>
      <c r="U2944" s="2">
        <v>14076</v>
      </c>
      <c r="V2944">
        <v>316.51</v>
      </c>
      <c r="W2944">
        <v>0</v>
      </c>
      <c r="X2944">
        <v>0</v>
      </c>
      <c r="Y2944">
        <v>0</v>
      </c>
      <c r="Z2944">
        <v>16.7</v>
      </c>
      <c r="AA2944">
        <v>5.2762945999999998E-2</v>
      </c>
      <c r="AB2944">
        <v>38.5</v>
      </c>
      <c r="AC2944">
        <v>10.91902778</v>
      </c>
      <c r="AD2944">
        <v>36</v>
      </c>
      <c r="AE2944" s="7"/>
      <c r="AF2944" s="7"/>
      <c r="AG2944" s="7"/>
      <c r="AH2944" s="7"/>
      <c r="AI2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1.0809722199999996</v>
      </c>
      <c r="AJ2944" s="7"/>
      <c r="AK2944" t="s">
        <v>1433</v>
      </c>
      <c r="AN2944">
        <f>IFERROR(INT(Table13[[#This Row],[reject_prod]]/Table13[[#This Row],[part_weight]] * 1000), 0)</f>
        <v>215</v>
      </c>
    </row>
    <row r="2945" spans="1:40">
      <c r="A2945" s="1">
        <v>46109</v>
      </c>
      <c r="B2945">
        <v>2</v>
      </c>
      <c r="C2945">
        <v>11</v>
      </c>
      <c r="D2945" t="s">
        <v>61</v>
      </c>
      <c r="E2945" t="s">
        <v>46</v>
      </c>
      <c r="F2945">
        <v>552181</v>
      </c>
      <c r="G2945" s="6">
        <v>1</v>
      </c>
      <c r="H2945" t="s">
        <v>49</v>
      </c>
      <c r="I2945">
        <v>10689113</v>
      </c>
      <c r="J2945">
        <v>6</v>
      </c>
      <c r="K2945">
        <v>14.7</v>
      </c>
      <c r="L2945">
        <v>14.7</v>
      </c>
      <c r="M2945">
        <v>1535</v>
      </c>
      <c r="N2945" s="2">
        <v>108000</v>
      </c>
      <c r="O2945" s="2">
        <v>4050</v>
      </c>
      <c r="P2945" s="2">
        <v>2430</v>
      </c>
      <c r="Q2945" s="2">
        <v>9210</v>
      </c>
      <c r="R2945" s="2">
        <v>10800</v>
      </c>
      <c r="S2945">
        <v>158.76</v>
      </c>
      <c r="T2945" s="2">
        <v>88830</v>
      </c>
      <c r="U2945" s="2">
        <v>3240</v>
      </c>
      <c r="V2945">
        <v>135.387</v>
      </c>
      <c r="W2945">
        <v>0</v>
      </c>
      <c r="X2945">
        <v>0</v>
      </c>
      <c r="Y2945">
        <v>0</v>
      </c>
      <c r="Z2945">
        <v>0.5</v>
      </c>
      <c r="AA2945">
        <v>3.6931170000000001E-3</v>
      </c>
      <c r="AB2945">
        <v>27.7</v>
      </c>
      <c r="AC2945">
        <v>11.81097222</v>
      </c>
      <c r="AD2945">
        <v>27</v>
      </c>
      <c r="AE2945" s="7"/>
      <c r="AF2945" s="7"/>
      <c r="AG2945" s="7"/>
      <c r="AH2945" s="7"/>
      <c r="AI2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0.18902777999999998</v>
      </c>
      <c r="AJ2945" s="7"/>
      <c r="AK2945" t="s">
        <v>51</v>
      </c>
      <c r="AN2945">
        <f>IFERROR(INT(Table13[[#This Row],[reject_prod]]/Table13[[#This Row],[part_weight]] * 1000), 0)</f>
        <v>34</v>
      </c>
    </row>
    <row r="2946" spans="1:40">
      <c r="A2946" s="1">
        <v>46109</v>
      </c>
      <c r="B2946">
        <v>2</v>
      </c>
      <c r="C2946">
        <v>12</v>
      </c>
      <c r="D2946" t="s">
        <v>69</v>
      </c>
      <c r="E2946" t="s">
        <v>46</v>
      </c>
      <c r="F2946">
        <v>555979</v>
      </c>
      <c r="G2946" s="6">
        <v>1</v>
      </c>
      <c r="H2946" t="s">
        <v>52</v>
      </c>
      <c r="I2946">
        <v>10689126</v>
      </c>
      <c r="J2946">
        <v>6</v>
      </c>
      <c r="K2946">
        <v>28</v>
      </c>
      <c r="L2946">
        <v>28</v>
      </c>
      <c r="M2946">
        <v>957</v>
      </c>
      <c r="N2946" s="2">
        <v>100800</v>
      </c>
      <c r="O2946" s="2">
        <v>840</v>
      </c>
      <c r="P2946" s="2">
        <v>3192</v>
      </c>
      <c r="Q2946" s="2">
        <v>5742</v>
      </c>
      <c r="R2946" s="2">
        <v>3360</v>
      </c>
      <c r="S2946">
        <v>94.08</v>
      </c>
      <c r="T2946" s="2">
        <v>33432</v>
      </c>
      <c r="U2946" s="2">
        <v>67368</v>
      </c>
      <c r="V2946">
        <v>160.77600000000001</v>
      </c>
      <c r="W2946">
        <v>0</v>
      </c>
      <c r="X2946">
        <v>0</v>
      </c>
      <c r="Y2946">
        <v>0</v>
      </c>
      <c r="Z2946">
        <v>0.8</v>
      </c>
      <c r="AA2946">
        <v>4.9758670000000001E-3</v>
      </c>
      <c r="AB2946">
        <v>44</v>
      </c>
      <c r="AC2946">
        <v>11.696666670000001</v>
      </c>
      <c r="AD2946">
        <v>42</v>
      </c>
      <c r="AE2946" s="7"/>
      <c r="AF2946" s="7"/>
      <c r="AG2946" s="7"/>
      <c r="AH2946" s="7"/>
      <c r="AI29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0.30333332999999918</v>
      </c>
      <c r="AJ2946" s="7"/>
      <c r="AK2946" t="s">
        <v>51</v>
      </c>
      <c r="AN2946">
        <f>IFERROR(INT(Table13[[#This Row],[reject_prod]]/Table13[[#This Row],[part_weight]] * 1000), 0)</f>
        <v>28</v>
      </c>
    </row>
    <row r="2947" spans="1:40">
      <c r="A2947" s="1">
        <v>46109</v>
      </c>
      <c r="B2947">
        <v>2</v>
      </c>
      <c r="C2947">
        <v>13</v>
      </c>
      <c r="D2947" t="s">
        <v>61</v>
      </c>
      <c r="E2947" t="s">
        <v>46</v>
      </c>
      <c r="F2947">
        <v>586276</v>
      </c>
      <c r="G2947" s="6">
        <v>2</v>
      </c>
      <c r="H2947" t="s">
        <v>47</v>
      </c>
      <c r="I2947">
        <v>10689119</v>
      </c>
      <c r="J2947">
        <v>6</v>
      </c>
      <c r="K2947">
        <v>12.3</v>
      </c>
      <c r="L2947">
        <v>12.3</v>
      </c>
      <c r="M2947">
        <v>1637</v>
      </c>
      <c r="N2947" s="2">
        <v>162000</v>
      </c>
      <c r="O2947" s="2">
        <v>3645</v>
      </c>
      <c r="P2947" s="2">
        <v>5265</v>
      </c>
      <c r="Q2947" s="2">
        <v>9822</v>
      </c>
      <c r="R2947" s="2">
        <v>8100</v>
      </c>
      <c r="S2947">
        <v>99.63</v>
      </c>
      <c r="T2947" s="2">
        <v>142965</v>
      </c>
      <c r="U2947" s="2">
        <v>19035</v>
      </c>
      <c r="V2947">
        <v>120.81059999999999</v>
      </c>
      <c r="W2947">
        <v>0</v>
      </c>
      <c r="X2947">
        <v>0</v>
      </c>
      <c r="Y2947">
        <v>0</v>
      </c>
      <c r="Z2947">
        <v>1.2</v>
      </c>
      <c r="AA2947">
        <v>9.9329029999999999E-3</v>
      </c>
      <c r="AB2947">
        <v>26.2</v>
      </c>
      <c r="AC2947">
        <v>11.91372222</v>
      </c>
      <c r="AD2947">
        <v>26</v>
      </c>
      <c r="AE2947" s="7"/>
      <c r="AF2947" s="7"/>
      <c r="AG2947" s="7"/>
      <c r="AH2947" s="7"/>
      <c r="AI2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47" s="7"/>
      <c r="AK2947" t="s">
        <v>51</v>
      </c>
      <c r="AN2947">
        <f>IFERROR(INT(Table13[[#This Row],[reject_prod]]/Table13[[#This Row],[part_weight]] * 1000), 0)</f>
        <v>97</v>
      </c>
    </row>
    <row r="2948" spans="1:40">
      <c r="A2948" s="1">
        <v>46109</v>
      </c>
      <c r="B2948">
        <v>2</v>
      </c>
      <c r="C2948">
        <v>14</v>
      </c>
      <c r="D2948" t="s">
        <v>1429</v>
      </c>
      <c r="E2948" t="s">
        <v>34</v>
      </c>
      <c r="F2948">
        <v>541381</v>
      </c>
      <c r="G2948" s="6">
        <v>0</v>
      </c>
      <c r="H2948" t="s">
        <v>804</v>
      </c>
      <c r="I2948">
        <v>10689121</v>
      </c>
      <c r="J2948">
        <v>4</v>
      </c>
      <c r="K2948">
        <v>55</v>
      </c>
      <c r="L2948">
        <v>55</v>
      </c>
      <c r="M2948">
        <v>1411</v>
      </c>
      <c r="N2948" s="2">
        <v>84000</v>
      </c>
      <c r="O2948" s="2">
        <v>360</v>
      </c>
      <c r="P2948" s="2">
        <v>350</v>
      </c>
      <c r="Q2948" s="2">
        <v>5644</v>
      </c>
      <c r="R2948" s="2">
        <v>5600</v>
      </c>
      <c r="S2948">
        <v>308</v>
      </c>
      <c r="T2948" s="2">
        <v>71050</v>
      </c>
      <c r="U2948" s="2">
        <v>12950</v>
      </c>
      <c r="V2948">
        <v>310.42</v>
      </c>
      <c r="W2948">
        <v>0</v>
      </c>
      <c r="X2948">
        <v>0</v>
      </c>
      <c r="Y2948">
        <v>0</v>
      </c>
      <c r="Z2948">
        <v>2.5</v>
      </c>
      <c r="AA2948">
        <v>8.0536050000000001E-3</v>
      </c>
      <c r="AB2948">
        <v>26.8</v>
      </c>
      <c r="AC2948">
        <v>10.50411111</v>
      </c>
      <c r="AD2948">
        <v>30.08</v>
      </c>
      <c r="AE2948" s="7"/>
      <c r="AF2948" s="7"/>
      <c r="AG2948" s="7"/>
      <c r="AH2948" s="7"/>
      <c r="AI2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1.4958888899999998</v>
      </c>
      <c r="AJ2948" s="7"/>
      <c r="AK2948" t="s">
        <v>1434</v>
      </c>
      <c r="AN2948">
        <f>IFERROR(INT(Table13[[#This Row],[reject_prod]]/Table13[[#This Row],[part_weight]] * 1000), 0)</f>
        <v>45</v>
      </c>
    </row>
    <row r="2949" spans="1:40">
      <c r="A2949" s="1">
        <v>46109</v>
      </c>
      <c r="B2949">
        <v>2</v>
      </c>
      <c r="C2949">
        <v>15</v>
      </c>
      <c r="D2949" t="s">
        <v>61</v>
      </c>
      <c r="E2949" t="s">
        <v>46</v>
      </c>
      <c r="F2949">
        <v>552181</v>
      </c>
      <c r="G2949" s="6">
        <v>2</v>
      </c>
      <c r="H2949" t="s">
        <v>49</v>
      </c>
      <c r="I2949">
        <v>10689124</v>
      </c>
      <c r="J2949">
        <v>6</v>
      </c>
      <c r="K2949">
        <v>14.7</v>
      </c>
      <c r="L2949">
        <v>14.7</v>
      </c>
      <c r="M2949">
        <v>1408</v>
      </c>
      <c r="N2949" s="2">
        <v>108000</v>
      </c>
      <c r="O2949" s="2">
        <v>3240</v>
      </c>
      <c r="P2949" s="2">
        <v>4050</v>
      </c>
      <c r="Q2949" s="2">
        <v>8448</v>
      </c>
      <c r="R2949" s="2">
        <v>5400</v>
      </c>
      <c r="S2949">
        <v>79.38</v>
      </c>
      <c r="T2949" s="2">
        <v>37800</v>
      </c>
      <c r="U2949" s="2">
        <v>70200</v>
      </c>
      <c r="V2949">
        <v>124.18559999999999</v>
      </c>
      <c r="W2949">
        <v>0</v>
      </c>
      <c r="X2949">
        <v>0</v>
      </c>
      <c r="Y2949">
        <v>0</v>
      </c>
      <c r="Z2949">
        <v>0.5</v>
      </c>
      <c r="AA2949">
        <v>4.0262320000000002E-3</v>
      </c>
      <c r="AB2949">
        <v>30.8</v>
      </c>
      <c r="AC2949">
        <v>12</v>
      </c>
      <c r="AD2949">
        <v>27</v>
      </c>
      <c r="AE2949" s="7"/>
      <c r="AF2949" s="7"/>
      <c r="AG2949" s="7"/>
      <c r="AH2949" s="7"/>
      <c r="AI2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49" s="7"/>
      <c r="AK2949" t="s">
        <v>51</v>
      </c>
      <c r="AN2949">
        <f>IFERROR(INT(Table13[[#This Row],[reject_prod]]/Table13[[#This Row],[part_weight]] * 1000), 0)</f>
        <v>34</v>
      </c>
    </row>
    <row r="2950" spans="1:40">
      <c r="A2950" s="1">
        <v>46109</v>
      </c>
      <c r="B2950">
        <v>2</v>
      </c>
      <c r="C2950">
        <v>16</v>
      </c>
      <c r="D2950" t="s">
        <v>149</v>
      </c>
      <c r="E2950" t="s">
        <v>46</v>
      </c>
      <c r="F2950">
        <v>555979</v>
      </c>
      <c r="G2950" s="6">
        <v>2</v>
      </c>
      <c r="H2950" t="s">
        <v>52</v>
      </c>
      <c r="I2950">
        <v>10689831</v>
      </c>
      <c r="J2950">
        <v>6</v>
      </c>
      <c r="K2950">
        <v>28</v>
      </c>
      <c r="L2950">
        <v>28</v>
      </c>
      <c r="M2950">
        <v>1017</v>
      </c>
      <c r="N2950" s="2">
        <v>100800</v>
      </c>
      <c r="O2950" s="2">
        <v>0</v>
      </c>
      <c r="P2950" s="2">
        <v>2688</v>
      </c>
      <c r="Q2950" s="2">
        <v>6102</v>
      </c>
      <c r="R2950" s="2">
        <v>3360</v>
      </c>
      <c r="S2950">
        <v>94.08</v>
      </c>
      <c r="T2950" s="2">
        <v>16128</v>
      </c>
      <c r="U2950" s="2">
        <v>84672</v>
      </c>
      <c r="V2950">
        <v>170.85599999999999</v>
      </c>
      <c r="W2950">
        <v>0</v>
      </c>
      <c r="X2950">
        <v>0</v>
      </c>
      <c r="Y2950">
        <v>0</v>
      </c>
      <c r="Z2950">
        <v>1.5</v>
      </c>
      <c r="AA2950">
        <v>8.7793230000000003E-3</v>
      </c>
      <c r="AB2950">
        <v>42.55</v>
      </c>
      <c r="AC2950">
        <v>12</v>
      </c>
      <c r="AD2950">
        <v>42</v>
      </c>
      <c r="AE2950" s="7"/>
      <c r="AF2950" s="7"/>
      <c r="AG2950" s="7"/>
      <c r="AH2950" s="7"/>
      <c r="AI2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0" s="7"/>
      <c r="AK2950" t="s">
        <v>51</v>
      </c>
      <c r="AN2950">
        <f>IFERROR(INT(Table13[[#This Row],[reject_prod]]/Table13[[#This Row],[part_weight]] * 1000), 0)</f>
        <v>53</v>
      </c>
    </row>
    <row r="2951" spans="1:40">
      <c r="A2951" s="1">
        <v>46110</v>
      </c>
      <c r="B2951">
        <v>1</v>
      </c>
      <c r="C2951">
        <v>1</v>
      </c>
      <c r="F2951">
        <v>123456</v>
      </c>
      <c r="G2951" s="6">
        <v>0</v>
      </c>
      <c r="M2951">
        <v>0</v>
      </c>
      <c r="N2951" s="2">
        <v>0</v>
      </c>
      <c r="O2951" s="2">
        <v>0</v>
      </c>
      <c r="P2951" s="2">
        <v>0</v>
      </c>
      <c r="Q2951" s="2"/>
      <c r="R2951" s="2">
        <v>0</v>
      </c>
      <c r="T2951" s="2">
        <v>0</v>
      </c>
      <c r="U2951" s="2"/>
      <c r="X2951">
        <v>0</v>
      </c>
      <c r="Z2951">
        <v>0</v>
      </c>
      <c r="AB2951">
        <v>0</v>
      </c>
      <c r="AC2951">
        <v>0</v>
      </c>
      <c r="AD2951">
        <v>0</v>
      </c>
      <c r="AE2951" s="7"/>
      <c r="AF2951" s="7"/>
      <c r="AG2951" s="7"/>
      <c r="AH2951" s="7"/>
      <c r="AI2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1" s="7">
        <v>12</v>
      </c>
      <c r="AK2951" t="s">
        <v>116</v>
      </c>
      <c r="AN2951">
        <f>IFERROR(INT(Table13[[#This Row],[reject_prod]]/Table13[[#This Row],[part_weight]] * 1000), 0)</f>
        <v>0</v>
      </c>
    </row>
    <row r="2952" spans="1:40">
      <c r="A2952" s="1">
        <v>46110</v>
      </c>
      <c r="B2952">
        <v>1</v>
      </c>
      <c r="C2952">
        <v>2</v>
      </c>
      <c r="D2952" t="s">
        <v>59</v>
      </c>
      <c r="E2952" t="s">
        <v>34</v>
      </c>
      <c r="F2952">
        <v>423213</v>
      </c>
      <c r="G2952" s="6">
        <v>0</v>
      </c>
      <c r="H2952" t="s">
        <v>70</v>
      </c>
      <c r="I2952">
        <v>10689499</v>
      </c>
      <c r="J2952">
        <v>4</v>
      </c>
      <c r="K2952">
        <v>23</v>
      </c>
      <c r="L2952">
        <v>23</v>
      </c>
      <c r="M2952">
        <v>1884</v>
      </c>
      <c r="N2952" s="2">
        <v>99822</v>
      </c>
      <c r="O2952" s="2">
        <v>1905</v>
      </c>
      <c r="P2952" s="2">
        <v>381</v>
      </c>
      <c r="Q2952" s="2">
        <v>7536</v>
      </c>
      <c r="R2952" s="2">
        <v>9144</v>
      </c>
      <c r="S2952">
        <v>210.31200000000001</v>
      </c>
      <c r="T2952" s="2">
        <v>73533</v>
      </c>
      <c r="U2952" s="2">
        <v>26289</v>
      </c>
      <c r="V2952">
        <v>173.328</v>
      </c>
      <c r="W2952">
        <v>0</v>
      </c>
      <c r="X2952">
        <v>0</v>
      </c>
      <c r="Y2952">
        <v>0</v>
      </c>
      <c r="Z2952">
        <v>1</v>
      </c>
      <c r="AA2952">
        <v>5.7694080000000002E-3</v>
      </c>
      <c r="AB2952">
        <v>23.05</v>
      </c>
      <c r="AC2952">
        <v>12</v>
      </c>
      <c r="AD2952">
        <v>22.5</v>
      </c>
      <c r="AE2952" s="7"/>
      <c r="AF2952" s="7"/>
      <c r="AG2952" s="7"/>
      <c r="AH2952" s="7"/>
      <c r="AI2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2" s="7"/>
      <c r="AK2952" t="s">
        <v>214</v>
      </c>
      <c r="AN2952">
        <f>IFERROR(INT(Table13[[#This Row],[reject_prod]]/Table13[[#This Row],[part_weight]] * 1000), 0)</f>
        <v>43</v>
      </c>
    </row>
    <row r="2953" spans="1:40">
      <c r="A2953" s="1">
        <v>46110</v>
      </c>
      <c r="B2953">
        <v>1</v>
      </c>
      <c r="C2953">
        <v>3</v>
      </c>
      <c r="D2953" t="s">
        <v>640</v>
      </c>
      <c r="E2953" t="s">
        <v>34</v>
      </c>
      <c r="F2953">
        <v>442034</v>
      </c>
      <c r="G2953" s="6">
        <v>0</v>
      </c>
      <c r="H2953" t="s">
        <v>37</v>
      </c>
      <c r="I2953">
        <v>10688497</v>
      </c>
      <c r="J2953">
        <v>4</v>
      </c>
      <c r="K2953">
        <v>23</v>
      </c>
      <c r="L2953">
        <v>23</v>
      </c>
      <c r="M2953">
        <v>1596</v>
      </c>
      <c r="N2953" s="2">
        <v>139776</v>
      </c>
      <c r="O2953" s="2">
        <v>4224</v>
      </c>
      <c r="P2953" s="2">
        <v>1152</v>
      </c>
      <c r="Q2953" s="2">
        <v>6384</v>
      </c>
      <c r="R2953" s="2">
        <v>9216</v>
      </c>
      <c r="S2953">
        <v>211.96799999999999</v>
      </c>
      <c r="T2953" s="2">
        <v>93312</v>
      </c>
      <c r="U2953" s="2">
        <v>46464</v>
      </c>
      <c r="V2953">
        <v>146.83199999999999</v>
      </c>
      <c r="W2953">
        <v>0</v>
      </c>
      <c r="X2953">
        <v>0</v>
      </c>
      <c r="Y2953">
        <v>0</v>
      </c>
      <c r="Z2953">
        <v>1</v>
      </c>
      <c r="AA2953">
        <v>6.8105049999999997E-3</v>
      </c>
      <c r="AB2953">
        <v>26.6</v>
      </c>
      <c r="AC2953">
        <v>11.792666669999999</v>
      </c>
      <c r="AD2953">
        <v>22</v>
      </c>
      <c r="AE2953" s="7"/>
      <c r="AF2953" s="7"/>
      <c r="AG2953" s="7"/>
      <c r="AH2953" s="7"/>
      <c r="AI2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0.20733333000000087</v>
      </c>
      <c r="AJ2953" s="7"/>
      <c r="AK2953" t="s">
        <v>1435</v>
      </c>
      <c r="AN2953">
        <f>IFERROR(INT(Table13[[#This Row],[reject_prod]]/Table13[[#This Row],[part_weight]] * 1000), 0)</f>
        <v>43</v>
      </c>
    </row>
    <row r="2954" spans="1:40">
      <c r="A2954" s="1">
        <v>46110</v>
      </c>
      <c r="B2954">
        <v>1</v>
      </c>
      <c r="C2954">
        <v>4</v>
      </c>
      <c r="F2954">
        <v>123456</v>
      </c>
      <c r="G2954" s="6">
        <v>0</v>
      </c>
      <c r="M2954">
        <v>0</v>
      </c>
      <c r="N2954" s="2">
        <v>0</v>
      </c>
      <c r="O2954" s="2">
        <v>0</v>
      </c>
      <c r="P2954" s="2">
        <v>0</v>
      </c>
      <c r="Q2954" s="2"/>
      <c r="R2954" s="2">
        <v>0</v>
      </c>
      <c r="T2954" s="2">
        <v>0</v>
      </c>
      <c r="U2954" s="2"/>
      <c r="X2954">
        <v>0</v>
      </c>
      <c r="Z2954">
        <v>0</v>
      </c>
      <c r="AB2954">
        <v>0</v>
      </c>
      <c r="AC2954">
        <v>0</v>
      </c>
      <c r="AD2954">
        <v>0</v>
      </c>
      <c r="AE2954" s="7"/>
      <c r="AF2954" s="7"/>
      <c r="AG2954" s="7"/>
      <c r="AH2954" s="7"/>
      <c r="AI2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4" s="7">
        <v>12</v>
      </c>
      <c r="AK2954" t="s">
        <v>116</v>
      </c>
      <c r="AN2954">
        <f>IFERROR(INT(Table13[[#This Row],[reject_prod]]/Table13[[#This Row],[part_weight]] * 1000), 0)</f>
        <v>0</v>
      </c>
    </row>
    <row r="2955" spans="1:40">
      <c r="A2955" s="1">
        <v>46110</v>
      </c>
      <c r="B2955">
        <v>1</v>
      </c>
      <c r="C2955">
        <v>5</v>
      </c>
      <c r="D2955" t="s">
        <v>1436</v>
      </c>
      <c r="E2955" t="s">
        <v>34</v>
      </c>
      <c r="F2955">
        <v>626029</v>
      </c>
      <c r="G2955" s="6">
        <v>0</v>
      </c>
      <c r="H2955" t="s">
        <v>478</v>
      </c>
      <c r="I2955">
        <v>10689832</v>
      </c>
      <c r="J2955">
        <v>4</v>
      </c>
      <c r="K2955">
        <v>48.39</v>
      </c>
      <c r="L2955">
        <v>48.39</v>
      </c>
      <c r="M2955">
        <v>1498</v>
      </c>
      <c r="N2955" s="2">
        <v>29952</v>
      </c>
      <c r="O2955" s="2"/>
      <c r="P2955" s="2"/>
      <c r="Q2955" s="2">
        <v>5992</v>
      </c>
      <c r="R2955" s="2">
        <v>4992</v>
      </c>
      <c r="S2955">
        <v>241.56288000000001</v>
      </c>
      <c r="T2955" s="2">
        <v>25584</v>
      </c>
      <c r="U2955" s="2">
        <v>4368</v>
      </c>
      <c r="V2955">
        <v>289.95287999999999</v>
      </c>
      <c r="W2955">
        <v>0</v>
      </c>
      <c r="X2955">
        <v>0</v>
      </c>
      <c r="Y2955">
        <v>0</v>
      </c>
      <c r="Z2955">
        <v>9</v>
      </c>
      <c r="AA2955">
        <v>3.1039526000000001E-2</v>
      </c>
      <c r="AB2955">
        <v>28.7</v>
      </c>
      <c r="AC2955">
        <v>11.94238889</v>
      </c>
      <c r="AD2955">
        <v>28</v>
      </c>
      <c r="AE2955" s="7"/>
      <c r="AF2955" s="7"/>
      <c r="AG2955" s="7"/>
      <c r="AH2955" s="7"/>
      <c r="AI2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5.7611109999999854E-2</v>
      </c>
      <c r="AJ2955" s="7"/>
      <c r="AK2955" t="s">
        <v>1437</v>
      </c>
      <c r="AN2955">
        <f>IFERROR(INT(Table13[[#This Row],[reject_prod]]/Table13[[#This Row],[part_weight]] * 1000), 0)</f>
        <v>185</v>
      </c>
    </row>
    <row r="2956" spans="1:40">
      <c r="A2956" s="1">
        <v>46110</v>
      </c>
      <c r="B2956">
        <v>1</v>
      </c>
      <c r="C2956">
        <v>6</v>
      </c>
      <c r="D2956" t="s">
        <v>1186</v>
      </c>
      <c r="E2956" t="s">
        <v>34</v>
      </c>
      <c r="F2956">
        <v>322409</v>
      </c>
      <c r="G2956" s="6">
        <v>0</v>
      </c>
      <c r="H2956" t="s">
        <v>400</v>
      </c>
      <c r="I2956">
        <v>10690123</v>
      </c>
      <c r="J2956">
        <v>4</v>
      </c>
      <c r="K2956">
        <v>24</v>
      </c>
      <c r="L2956">
        <v>24</v>
      </c>
      <c r="M2956">
        <v>1920</v>
      </c>
      <c r="N2956" s="2">
        <v>10368</v>
      </c>
      <c r="O2956" s="2">
        <v>1296</v>
      </c>
      <c r="P2956" s="2">
        <v>2592</v>
      </c>
      <c r="Q2956" s="2">
        <v>7680</v>
      </c>
      <c r="R2956" s="2">
        <v>5184</v>
      </c>
      <c r="S2956">
        <v>124.416</v>
      </c>
      <c r="T2956" s="2">
        <v>7776</v>
      </c>
      <c r="U2956" s="2">
        <v>2592</v>
      </c>
      <c r="V2956">
        <v>184.32</v>
      </c>
      <c r="W2956">
        <v>0</v>
      </c>
      <c r="Y2956">
        <v>0</v>
      </c>
      <c r="Z2956">
        <v>3</v>
      </c>
      <c r="AA2956">
        <v>1.6276042000000001E-2</v>
      </c>
      <c r="AB2956">
        <v>22</v>
      </c>
      <c r="AC2956">
        <v>11.733333330000001</v>
      </c>
      <c r="AD2956">
        <v>20</v>
      </c>
      <c r="AE2956" s="7"/>
      <c r="AF2956" s="7"/>
      <c r="AG2956" s="7"/>
      <c r="AH2956" s="7"/>
      <c r="AI2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0.26666666999999933</v>
      </c>
      <c r="AJ2956" s="7"/>
      <c r="AK2956" t="s">
        <v>1438</v>
      </c>
      <c r="AN2956">
        <f>IFERROR(INT(Table13[[#This Row],[reject_prod]]/Table13[[#This Row],[part_weight]] * 1000), 0)</f>
        <v>125</v>
      </c>
    </row>
    <row r="2957" spans="1:40">
      <c r="A2957" s="1">
        <v>46110</v>
      </c>
      <c r="B2957">
        <v>1</v>
      </c>
      <c r="C2957">
        <v>7</v>
      </c>
      <c r="D2957" t="s">
        <v>1439</v>
      </c>
      <c r="E2957" t="s">
        <v>34</v>
      </c>
      <c r="F2957">
        <v>597507</v>
      </c>
      <c r="G2957" s="6">
        <v>0</v>
      </c>
      <c r="H2957" t="s">
        <v>279</v>
      </c>
      <c r="I2957">
        <v>10690042</v>
      </c>
      <c r="J2957">
        <v>4</v>
      </c>
      <c r="K2957">
        <v>23</v>
      </c>
      <c r="L2957">
        <v>23</v>
      </c>
      <c r="M2957">
        <v>1825</v>
      </c>
      <c r="N2957" s="2">
        <v>86240</v>
      </c>
      <c r="O2957" s="2">
        <v>616</v>
      </c>
      <c r="P2957" s="2"/>
      <c r="Q2957" s="2">
        <v>7300</v>
      </c>
      <c r="R2957" s="2">
        <v>7546</v>
      </c>
      <c r="S2957">
        <v>173.55799999999999</v>
      </c>
      <c r="T2957" s="2">
        <v>73304</v>
      </c>
      <c r="U2957" s="2">
        <v>12936</v>
      </c>
      <c r="V2957">
        <v>167.9</v>
      </c>
      <c r="W2957">
        <v>0</v>
      </c>
      <c r="X2957">
        <v>0</v>
      </c>
      <c r="Y2957">
        <v>0</v>
      </c>
      <c r="Z2957">
        <v>7</v>
      </c>
      <c r="AA2957">
        <v>4.1691483000000001E-2</v>
      </c>
      <c r="AB2957">
        <v>23.54</v>
      </c>
      <c r="AC2957">
        <v>11.933472220000001</v>
      </c>
      <c r="AD2957">
        <v>22</v>
      </c>
      <c r="AE2957" s="7"/>
      <c r="AF2957" s="7"/>
      <c r="AG2957" s="7"/>
      <c r="AH2957" s="7"/>
      <c r="AI2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6.6527779999999481E-2</v>
      </c>
      <c r="AJ2957" s="7"/>
      <c r="AK2957" t="s">
        <v>1440</v>
      </c>
      <c r="AN2957">
        <f>IFERROR(INT(Table13[[#This Row],[reject_prod]]/Table13[[#This Row],[part_weight]] * 1000), 0)</f>
        <v>304</v>
      </c>
    </row>
    <row r="2958" spans="1:40">
      <c r="A2958" s="1">
        <v>46110</v>
      </c>
      <c r="B2958">
        <v>1</v>
      </c>
      <c r="C2958">
        <v>8</v>
      </c>
      <c r="D2958" t="s">
        <v>84</v>
      </c>
      <c r="E2958" t="s">
        <v>41</v>
      </c>
      <c r="F2958">
        <v>593537</v>
      </c>
      <c r="G2958" s="6">
        <v>0</v>
      </c>
      <c r="H2958" t="s">
        <v>48</v>
      </c>
      <c r="I2958">
        <v>10689827</v>
      </c>
      <c r="J2958">
        <v>4</v>
      </c>
      <c r="K2958">
        <v>56.5</v>
      </c>
      <c r="L2958">
        <v>56.8</v>
      </c>
      <c r="M2958">
        <v>1449</v>
      </c>
      <c r="N2958" s="2">
        <v>69000</v>
      </c>
      <c r="O2958" s="2">
        <v>230</v>
      </c>
      <c r="P2958" s="2">
        <v>120</v>
      </c>
      <c r="Q2958" s="2">
        <v>5796</v>
      </c>
      <c r="R2958" s="2">
        <v>5750</v>
      </c>
      <c r="S2958">
        <v>326.60000000000002</v>
      </c>
      <c r="T2958" s="2">
        <v>50145</v>
      </c>
      <c r="U2958" s="2">
        <v>18855</v>
      </c>
      <c r="V2958">
        <v>329.21280000000002</v>
      </c>
      <c r="W2958">
        <v>-1.7387999999999999</v>
      </c>
      <c r="X2958">
        <v>0</v>
      </c>
      <c r="Y2958">
        <v>0</v>
      </c>
      <c r="Z2958">
        <v>1</v>
      </c>
      <c r="AA2958">
        <v>3.0375490000000001E-3</v>
      </c>
      <c r="AB2958">
        <v>29.9</v>
      </c>
      <c r="AC2958">
        <v>12</v>
      </c>
      <c r="AD2958">
        <v>28.5</v>
      </c>
      <c r="AE2958" s="7"/>
      <c r="AF2958" s="7"/>
      <c r="AG2958" s="7"/>
      <c r="AH2958" s="7"/>
      <c r="AI2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8" s="7"/>
      <c r="AK2958" t="s">
        <v>178</v>
      </c>
      <c r="AN2958">
        <f>IFERROR(INT(Table13[[#This Row],[reject_prod]]/Table13[[#This Row],[part_weight]] * 1000), 0)</f>
        <v>17</v>
      </c>
    </row>
    <row r="2959" spans="1:40">
      <c r="A2959" s="1">
        <v>46110</v>
      </c>
      <c r="B2959">
        <v>1</v>
      </c>
      <c r="C2959">
        <v>9</v>
      </c>
      <c r="D2959" t="s">
        <v>1186</v>
      </c>
      <c r="E2959" t="s">
        <v>46</v>
      </c>
      <c r="F2959">
        <v>586276</v>
      </c>
      <c r="G2959" s="6">
        <v>1</v>
      </c>
      <c r="H2959" t="s">
        <v>47</v>
      </c>
      <c r="I2959">
        <v>10689112</v>
      </c>
      <c r="J2959">
        <v>6</v>
      </c>
      <c r="K2959">
        <v>12.3</v>
      </c>
      <c r="L2959">
        <v>12.3</v>
      </c>
      <c r="M2959">
        <v>1439</v>
      </c>
      <c r="N2959" s="2">
        <v>162000</v>
      </c>
      <c r="O2959" s="2">
        <v>5265</v>
      </c>
      <c r="P2959" s="2">
        <v>8100</v>
      </c>
      <c r="Q2959" s="2">
        <v>8634</v>
      </c>
      <c r="R2959" s="2">
        <v>8100</v>
      </c>
      <c r="S2959">
        <v>99.63</v>
      </c>
      <c r="T2959" s="2">
        <v>153900</v>
      </c>
      <c r="U2959" s="2">
        <v>8100</v>
      </c>
      <c r="V2959">
        <v>106.1982</v>
      </c>
      <c r="W2959">
        <v>0</v>
      </c>
      <c r="X2959">
        <v>0</v>
      </c>
      <c r="Y2959">
        <v>0</v>
      </c>
      <c r="Z2959">
        <v>2</v>
      </c>
      <c r="AA2959">
        <v>1.8832710999999999E-2</v>
      </c>
      <c r="AB2959">
        <v>29.6</v>
      </c>
      <c r="AC2959">
        <v>11.831777779999999</v>
      </c>
      <c r="AD2959">
        <v>26</v>
      </c>
      <c r="AE2959" s="7"/>
      <c r="AF2959" s="7"/>
      <c r="AG2959" s="7"/>
      <c r="AH2959" s="7"/>
      <c r="AI2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0.16822222000000053</v>
      </c>
      <c r="AJ2959" s="7"/>
      <c r="AK2959" t="s">
        <v>51</v>
      </c>
      <c r="AN2959">
        <f>IFERROR(INT(Table13[[#This Row],[reject_prod]]/Table13[[#This Row],[part_weight]] * 1000), 0)</f>
        <v>162</v>
      </c>
    </row>
    <row r="2960" spans="1:40">
      <c r="A2960" s="1">
        <v>46110</v>
      </c>
      <c r="B2960">
        <v>1</v>
      </c>
      <c r="C2960">
        <v>10</v>
      </c>
      <c r="D2960" t="s">
        <v>33</v>
      </c>
      <c r="E2960" t="s">
        <v>34</v>
      </c>
      <c r="F2960">
        <v>324638</v>
      </c>
      <c r="G2960" s="6">
        <v>0</v>
      </c>
      <c r="H2960" t="s">
        <v>687</v>
      </c>
      <c r="I2960">
        <v>10689561</v>
      </c>
      <c r="J2960">
        <v>4</v>
      </c>
      <c r="K2960">
        <v>77.5</v>
      </c>
      <c r="L2960">
        <v>77.5</v>
      </c>
      <c r="M2960">
        <v>18</v>
      </c>
      <c r="N2960" s="2">
        <v>26496</v>
      </c>
      <c r="O2960" s="2"/>
      <c r="P2960" s="2">
        <v>69</v>
      </c>
      <c r="Q2960" s="2">
        <v>72</v>
      </c>
      <c r="R2960" s="2"/>
      <c r="S2960">
        <v>0</v>
      </c>
      <c r="T2960" s="2">
        <v>12489</v>
      </c>
      <c r="U2960" s="2">
        <v>14007</v>
      </c>
      <c r="V2960">
        <v>5.58</v>
      </c>
      <c r="W2960">
        <v>0</v>
      </c>
      <c r="X2960">
        <v>2</v>
      </c>
      <c r="Y2960">
        <v>0.358422939</v>
      </c>
      <c r="AA2960">
        <v>0</v>
      </c>
      <c r="AB2960">
        <v>38.450000000000003</v>
      </c>
      <c r="AC2960">
        <v>0.19225</v>
      </c>
      <c r="AD2960">
        <v>36</v>
      </c>
      <c r="AE2960" s="7"/>
      <c r="AF2960" s="7"/>
      <c r="AG2960" s="7"/>
      <c r="AH2960" s="7"/>
      <c r="AI2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11.80775</v>
      </c>
      <c r="AJ2960" s="7"/>
      <c r="AK2960" t="s">
        <v>1441</v>
      </c>
      <c r="AN2960">
        <f>IFERROR(INT(Table13[[#This Row],[reject_prod]]/Table13[[#This Row],[part_weight]] * 1000), 0)</f>
        <v>0</v>
      </c>
    </row>
    <row r="2961" spans="1:40">
      <c r="A2961" s="1">
        <v>46110</v>
      </c>
      <c r="B2961">
        <v>1</v>
      </c>
      <c r="C2961">
        <v>11</v>
      </c>
      <c r="D2961" t="s">
        <v>59</v>
      </c>
      <c r="E2961" t="s">
        <v>46</v>
      </c>
      <c r="F2961">
        <v>552181</v>
      </c>
      <c r="G2961" s="6">
        <v>1</v>
      </c>
      <c r="H2961" t="s">
        <v>49</v>
      </c>
      <c r="I2961">
        <v>10689113</v>
      </c>
      <c r="J2961">
        <v>6</v>
      </c>
      <c r="K2961">
        <v>14.7</v>
      </c>
      <c r="L2961">
        <v>14.7</v>
      </c>
      <c r="M2961">
        <v>1556</v>
      </c>
      <c r="N2961" s="2">
        <v>108000</v>
      </c>
      <c r="O2961" s="2">
        <v>2430</v>
      </c>
      <c r="P2961" s="2">
        <v>270</v>
      </c>
      <c r="Q2961" s="2">
        <v>9336</v>
      </c>
      <c r="R2961" s="2">
        <v>10800</v>
      </c>
      <c r="S2961">
        <v>158.76</v>
      </c>
      <c r="T2961" s="2">
        <v>97470</v>
      </c>
      <c r="U2961" s="2">
        <v>10530</v>
      </c>
      <c r="V2961">
        <v>137.23920000000001</v>
      </c>
      <c r="W2961">
        <v>0</v>
      </c>
      <c r="X2961">
        <v>0</v>
      </c>
      <c r="Y2961">
        <v>0</v>
      </c>
      <c r="Z2961">
        <v>2</v>
      </c>
      <c r="AA2961">
        <v>1.4573096000000001E-2</v>
      </c>
      <c r="AB2961">
        <v>27.7</v>
      </c>
      <c r="AC2961">
        <v>11.97255556</v>
      </c>
      <c r="AD2961">
        <v>27</v>
      </c>
      <c r="AE2961" s="7"/>
      <c r="AF2961" s="7"/>
      <c r="AG2961" s="7"/>
      <c r="AH2961" s="7"/>
      <c r="AI2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2.7444440000000014E-2</v>
      </c>
      <c r="AJ2961" s="7"/>
      <c r="AK2961" t="s">
        <v>51</v>
      </c>
      <c r="AN2961">
        <f>IFERROR(INT(Table13[[#This Row],[reject_prod]]/Table13[[#This Row],[part_weight]] * 1000), 0)</f>
        <v>136</v>
      </c>
    </row>
    <row r="2962" spans="1:40">
      <c r="A2962" s="1">
        <v>46110</v>
      </c>
      <c r="B2962">
        <v>1</v>
      </c>
      <c r="C2962">
        <v>12</v>
      </c>
      <c r="D2962" t="s">
        <v>1186</v>
      </c>
      <c r="E2962" t="s">
        <v>46</v>
      </c>
      <c r="F2962">
        <v>555979</v>
      </c>
      <c r="G2962" s="6">
        <v>1</v>
      </c>
      <c r="H2962" t="s">
        <v>52</v>
      </c>
      <c r="I2962">
        <v>10689126</v>
      </c>
      <c r="J2962">
        <v>6</v>
      </c>
      <c r="K2962">
        <v>28</v>
      </c>
      <c r="L2962">
        <v>28</v>
      </c>
      <c r="M2962">
        <v>981</v>
      </c>
      <c r="N2962" s="2">
        <v>100800</v>
      </c>
      <c r="O2962" s="2">
        <v>3192</v>
      </c>
      <c r="P2962" s="2">
        <v>2016</v>
      </c>
      <c r="Q2962" s="2">
        <v>5886</v>
      </c>
      <c r="R2962" s="2">
        <v>6720</v>
      </c>
      <c r="S2962">
        <v>188.16</v>
      </c>
      <c r="T2962" s="2">
        <v>38976</v>
      </c>
      <c r="U2962" s="2">
        <v>61824</v>
      </c>
      <c r="V2962">
        <v>164.80799999999999</v>
      </c>
      <c r="W2962">
        <v>0</v>
      </c>
      <c r="X2962">
        <v>0</v>
      </c>
      <c r="Y2962">
        <v>0</v>
      </c>
      <c r="Z2962">
        <v>1</v>
      </c>
      <c r="AA2962">
        <v>6.0676669999999997E-3</v>
      </c>
      <c r="AB2962">
        <v>44</v>
      </c>
      <c r="AC2962">
        <v>11.99</v>
      </c>
      <c r="AD2962">
        <v>42</v>
      </c>
      <c r="AE2962" s="7"/>
      <c r="AF2962" s="7"/>
      <c r="AG2962" s="7"/>
      <c r="AH2962" s="7"/>
      <c r="AI29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9.9999999999997868E-3</v>
      </c>
      <c r="AJ2962" s="7"/>
      <c r="AK2962" t="s">
        <v>51</v>
      </c>
      <c r="AN2962">
        <f>IFERROR(INT(Table13[[#This Row],[reject_prod]]/Table13[[#This Row],[part_weight]] * 1000), 0)</f>
        <v>35</v>
      </c>
    </row>
    <row r="2963" spans="1:40">
      <c r="A2963" s="1">
        <v>46110</v>
      </c>
      <c r="B2963">
        <v>1</v>
      </c>
      <c r="C2963">
        <v>13</v>
      </c>
      <c r="D2963" t="s">
        <v>1186</v>
      </c>
      <c r="E2963" t="s">
        <v>46</v>
      </c>
      <c r="F2963">
        <v>586276</v>
      </c>
      <c r="G2963" s="6">
        <v>2</v>
      </c>
      <c r="H2963" t="s">
        <v>47</v>
      </c>
      <c r="I2963">
        <v>10689119</v>
      </c>
      <c r="J2963">
        <v>6</v>
      </c>
      <c r="K2963">
        <v>12.3</v>
      </c>
      <c r="L2963">
        <v>12.3</v>
      </c>
      <c r="M2963">
        <v>1625</v>
      </c>
      <c r="N2963" s="2">
        <v>162000</v>
      </c>
      <c r="O2963" s="2">
        <v>5265</v>
      </c>
      <c r="P2963" s="2">
        <v>5670</v>
      </c>
      <c r="Q2963" s="2">
        <v>9750</v>
      </c>
      <c r="R2963" s="2">
        <v>8100</v>
      </c>
      <c r="S2963">
        <v>99.63</v>
      </c>
      <c r="T2963" s="2">
        <v>151470</v>
      </c>
      <c r="U2963" s="2">
        <v>10530</v>
      </c>
      <c r="V2963">
        <v>119.925</v>
      </c>
      <c r="W2963">
        <v>0</v>
      </c>
      <c r="X2963">
        <v>0</v>
      </c>
      <c r="Y2963">
        <v>0</v>
      </c>
      <c r="Z2963">
        <v>1</v>
      </c>
      <c r="AA2963">
        <v>8.3385449999999993E-3</v>
      </c>
      <c r="AB2963">
        <v>26.2</v>
      </c>
      <c r="AC2963">
        <v>11.82638889</v>
      </c>
      <c r="AD2963">
        <v>26</v>
      </c>
      <c r="AE2963" s="7"/>
      <c r="AF2963" s="7"/>
      <c r="AG2963" s="7"/>
      <c r="AH2963" s="7"/>
      <c r="AI2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963" s="7"/>
      <c r="AK2963" t="s">
        <v>51</v>
      </c>
      <c r="AN2963">
        <f>IFERROR(INT(Table13[[#This Row],[reject_prod]]/Table13[[#This Row],[part_weight]] * 1000), 0)</f>
        <v>81</v>
      </c>
    </row>
    <row r="2964" spans="1:40">
      <c r="A2964" s="1">
        <v>46110</v>
      </c>
      <c r="B2964">
        <v>1</v>
      </c>
      <c r="C2964">
        <v>14</v>
      </c>
      <c r="F2964">
        <v>123456</v>
      </c>
      <c r="G2964" s="6">
        <v>0</v>
      </c>
      <c r="M2964">
        <v>0</v>
      </c>
      <c r="N2964" s="2">
        <v>0</v>
      </c>
      <c r="O2964" s="2">
        <v>0</v>
      </c>
      <c r="P2964" s="2">
        <v>0</v>
      </c>
      <c r="Q2964" s="2"/>
      <c r="R2964" s="2">
        <v>0</v>
      </c>
      <c r="T2964" s="2">
        <v>0</v>
      </c>
      <c r="U2964" s="2"/>
      <c r="X2964">
        <v>0</v>
      </c>
      <c r="Z2964">
        <v>0</v>
      </c>
      <c r="AB2964">
        <v>0</v>
      </c>
      <c r="AC2964">
        <v>0</v>
      </c>
      <c r="AD2964">
        <v>0</v>
      </c>
      <c r="AE2964" s="7"/>
      <c r="AF2964" s="7"/>
      <c r="AG2964" s="7"/>
      <c r="AH2964" s="7"/>
      <c r="AI2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4" s="7">
        <v>12</v>
      </c>
      <c r="AK2964" t="s">
        <v>116</v>
      </c>
      <c r="AN2964">
        <f>IFERROR(INT(Table13[[#This Row],[reject_prod]]/Table13[[#This Row],[part_weight]] * 1000), 0)</f>
        <v>0</v>
      </c>
    </row>
    <row r="2965" spans="1:40">
      <c r="A2965" s="1">
        <v>46110</v>
      </c>
      <c r="B2965">
        <v>1</v>
      </c>
      <c r="C2965">
        <v>15</v>
      </c>
      <c r="D2965" t="s">
        <v>59</v>
      </c>
      <c r="E2965" t="s">
        <v>46</v>
      </c>
      <c r="F2965">
        <v>552181</v>
      </c>
      <c r="G2965" s="6">
        <v>2</v>
      </c>
      <c r="H2965" t="s">
        <v>49</v>
      </c>
      <c r="I2965">
        <v>10689124</v>
      </c>
      <c r="J2965">
        <v>6</v>
      </c>
      <c r="K2965">
        <v>14.7</v>
      </c>
      <c r="L2965">
        <v>14.7</v>
      </c>
      <c r="M2965">
        <v>1548</v>
      </c>
      <c r="N2965" s="2">
        <v>108000</v>
      </c>
      <c r="O2965" s="2">
        <v>4050</v>
      </c>
      <c r="P2965" s="2">
        <v>4050</v>
      </c>
      <c r="Q2965" s="2">
        <v>9288</v>
      </c>
      <c r="R2965" s="2">
        <v>10800</v>
      </c>
      <c r="S2965">
        <v>158.76</v>
      </c>
      <c r="T2965" s="2">
        <v>57012</v>
      </c>
      <c r="U2965" s="2">
        <v>50988</v>
      </c>
      <c r="V2965">
        <v>136.53360000000001</v>
      </c>
      <c r="W2965">
        <v>0</v>
      </c>
      <c r="X2965">
        <v>0</v>
      </c>
      <c r="Y2965">
        <v>0</v>
      </c>
      <c r="Z2965">
        <v>1</v>
      </c>
      <c r="AA2965">
        <v>7.324204E-3</v>
      </c>
      <c r="AB2965">
        <v>30.8</v>
      </c>
      <c r="AC2965">
        <v>12</v>
      </c>
      <c r="AD2965">
        <v>27</v>
      </c>
      <c r="AE2965" s="7"/>
      <c r="AF2965" s="7"/>
      <c r="AG2965" s="7"/>
      <c r="AH2965" s="7"/>
      <c r="AI2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5" s="7"/>
      <c r="AK2965" t="s">
        <v>1394</v>
      </c>
      <c r="AN2965">
        <f>IFERROR(INT(Table13[[#This Row],[reject_prod]]/Table13[[#This Row],[part_weight]] * 1000), 0)</f>
        <v>68</v>
      </c>
    </row>
    <row r="2966" spans="1:40">
      <c r="A2966" s="1">
        <v>46110</v>
      </c>
      <c r="B2966">
        <v>1</v>
      </c>
      <c r="C2966">
        <v>16</v>
      </c>
      <c r="D2966" t="s">
        <v>208</v>
      </c>
      <c r="E2966" t="s">
        <v>46</v>
      </c>
      <c r="F2966">
        <v>555979</v>
      </c>
      <c r="G2966" s="6">
        <v>2</v>
      </c>
      <c r="H2966" t="s">
        <v>52</v>
      </c>
      <c r="I2966">
        <v>10689831</v>
      </c>
      <c r="J2966">
        <v>6</v>
      </c>
      <c r="K2966">
        <v>28</v>
      </c>
      <c r="L2966">
        <v>28</v>
      </c>
      <c r="M2966">
        <v>1002</v>
      </c>
      <c r="N2966" s="2">
        <v>100800</v>
      </c>
      <c r="O2966" s="2">
        <v>2688</v>
      </c>
      <c r="P2966" s="2">
        <v>1848</v>
      </c>
      <c r="Q2966" s="2">
        <v>6012</v>
      </c>
      <c r="R2966" s="2">
        <v>6720</v>
      </c>
      <c r="S2966">
        <v>188.16</v>
      </c>
      <c r="T2966" s="2">
        <v>22008</v>
      </c>
      <c r="U2966" s="2">
        <v>78792</v>
      </c>
      <c r="V2966">
        <v>168.33600000000001</v>
      </c>
      <c r="W2966">
        <v>0</v>
      </c>
      <c r="X2966">
        <v>0</v>
      </c>
      <c r="Y2966">
        <v>0</v>
      </c>
      <c r="Z2966">
        <v>1</v>
      </c>
      <c r="AA2966">
        <v>5.9404999999999996E-3</v>
      </c>
      <c r="AB2966">
        <v>42.58</v>
      </c>
      <c r="AC2966">
        <v>11.851433330000001</v>
      </c>
      <c r="AD2966">
        <v>42</v>
      </c>
      <c r="AE2966" s="7"/>
      <c r="AF2966" s="7"/>
      <c r="AG2966" s="7"/>
      <c r="AH2966" s="7"/>
      <c r="AI2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0.14856666999999923</v>
      </c>
      <c r="AJ2966" s="7"/>
      <c r="AK2966" t="s">
        <v>51</v>
      </c>
      <c r="AN2966">
        <f>IFERROR(INT(Table13[[#This Row],[reject_prod]]/Table13[[#This Row],[part_weight]] * 1000), 0)</f>
        <v>35</v>
      </c>
    </row>
    <row r="2967" spans="1:40">
      <c r="A2967" s="1">
        <v>46110</v>
      </c>
      <c r="B2967">
        <v>2</v>
      </c>
      <c r="C2967">
        <v>1</v>
      </c>
      <c r="F2967">
        <v>123456</v>
      </c>
      <c r="G2967" s="6">
        <v>0</v>
      </c>
      <c r="M2967">
        <v>0</v>
      </c>
      <c r="N2967" s="2">
        <v>0</v>
      </c>
      <c r="O2967" s="2">
        <v>0</v>
      </c>
      <c r="P2967" s="2">
        <v>0</v>
      </c>
      <c r="Q2967" s="2"/>
      <c r="R2967" s="2">
        <v>0</v>
      </c>
      <c r="T2967" s="2">
        <v>0</v>
      </c>
      <c r="U2967" s="2"/>
      <c r="X2967">
        <v>0</v>
      </c>
      <c r="Z2967">
        <v>0</v>
      </c>
      <c r="AB2967">
        <v>0</v>
      </c>
      <c r="AC2967">
        <v>0</v>
      </c>
      <c r="AD2967">
        <v>0</v>
      </c>
      <c r="AE2967" s="7"/>
      <c r="AF2967" s="7"/>
      <c r="AG2967" s="7"/>
      <c r="AH2967" s="7"/>
      <c r="AI2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7" s="7">
        <v>12</v>
      </c>
      <c r="AK2967" t="s">
        <v>116</v>
      </c>
      <c r="AN2967">
        <f>IFERROR(INT(Table13[[#This Row],[reject_prod]]/Table13[[#This Row],[part_weight]] * 1000), 0)</f>
        <v>0</v>
      </c>
    </row>
    <row r="2968" spans="1:40">
      <c r="A2968" s="1">
        <v>46110</v>
      </c>
      <c r="B2968">
        <v>2</v>
      </c>
      <c r="C2968">
        <v>2</v>
      </c>
      <c r="D2968" t="s">
        <v>61</v>
      </c>
      <c r="E2968" t="s">
        <v>34</v>
      </c>
      <c r="F2968">
        <v>423213</v>
      </c>
      <c r="G2968" s="6">
        <v>0</v>
      </c>
      <c r="H2968" t="s">
        <v>70</v>
      </c>
      <c r="I2968">
        <v>10689499</v>
      </c>
      <c r="J2968">
        <v>4</v>
      </c>
      <c r="K2968">
        <v>23</v>
      </c>
      <c r="L2968">
        <v>23</v>
      </c>
      <c r="M2968">
        <v>1827</v>
      </c>
      <c r="N2968" s="2">
        <v>99822</v>
      </c>
      <c r="O2968" s="2">
        <v>381</v>
      </c>
      <c r="P2968" s="2">
        <v>3048</v>
      </c>
      <c r="Q2968" s="2">
        <v>7308</v>
      </c>
      <c r="R2968" s="2">
        <v>4572</v>
      </c>
      <c r="S2968">
        <v>105.15600000000001</v>
      </c>
      <c r="T2968" s="2">
        <v>80772</v>
      </c>
      <c r="U2968" s="2">
        <v>19050</v>
      </c>
      <c r="V2968">
        <v>168.084</v>
      </c>
      <c r="W2968">
        <v>0</v>
      </c>
      <c r="X2968">
        <v>0</v>
      </c>
      <c r="Y2968">
        <v>0</v>
      </c>
      <c r="Z2968">
        <v>1.5</v>
      </c>
      <c r="AA2968">
        <v>8.9241089999999995E-3</v>
      </c>
      <c r="AB2968">
        <v>23.08</v>
      </c>
      <c r="AC2968">
        <v>11.713100000000001</v>
      </c>
      <c r="AD2968">
        <v>22.5</v>
      </c>
      <c r="AE2968" s="7"/>
      <c r="AF2968" s="7"/>
      <c r="AG2968" s="7"/>
      <c r="AH2968" s="7"/>
      <c r="AI2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0.28689999999999927</v>
      </c>
      <c r="AJ2968" s="7"/>
      <c r="AK2968" t="s">
        <v>214</v>
      </c>
      <c r="AN2968">
        <f>IFERROR(INT(Table13[[#This Row],[reject_prod]]/Table13[[#This Row],[part_weight]] * 1000), 0)</f>
        <v>65</v>
      </c>
    </row>
    <row r="2969" spans="1:40">
      <c r="A2969" s="1">
        <v>46110</v>
      </c>
      <c r="B2969">
        <v>2</v>
      </c>
      <c r="C2969">
        <v>3</v>
      </c>
      <c r="D2969" t="s">
        <v>141</v>
      </c>
      <c r="E2969" t="s">
        <v>34</v>
      </c>
      <c r="F2969">
        <v>442034</v>
      </c>
      <c r="G2969" s="6">
        <v>0</v>
      </c>
      <c r="H2969" t="s">
        <v>37</v>
      </c>
      <c r="I2969">
        <v>10688497</v>
      </c>
      <c r="J2969">
        <v>4</v>
      </c>
      <c r="K2969">
        <v>23</v>
      </c>
      <c r="L2969">
        <v>23</v>
      </c>
      <c r="M2969">
        <v>1637</v>
      </c>
      <c r="N2969" s="2">
        <v>139776</v>
      </c>
      <c r="O2969" s="2">
        <v>1152</v>
      </c>
      <c r="P2969" s="2">
        <v>3072</v>
      </c>
      <c r="Q2969" s="2">
        <v>6548</v>
      </c>
      <c r="R2969" s="2">
        <v>4608</v>
      </c>
      <c r="S2969">
        <v>105.98399999999999</v>
      </c>
      <c r="T2969" s="2">
        <v>99840</v>
      </c>
      <c r="U2969" s="2">
        <v>39936</v>
      </c>
      <c r="V2969">
        <v>150.60400000000001</v>
      </c>
      <c r="W2969">
        <v>0</v>
      </c>
      <c r="X2969">
        <v>0</v>
      </c>
      <c r="Y2969">
        <v>0</v>
      </c>
      <c r="Z2969">
        <v>0.5</v>
      </c>
      <c r="AA2969">
        <v>3.3199649999999998E-3</v>
      </c>
      <c r="AB2969">
        <v>26.2</v>
      </c>
      <c r="AC2969">
        <v>11.91372222</v>
      </c>
      <c r="AD2969">
        <v>22</v>
      </c>
      <c r="AE2969" s="7"/>
      <c r="AF2969" s="7"/>
      <c r="AG2969" s="7"/>
      <c r="AH2969" s="7"/>
      <c r="AI2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69" s="7"/>
      <c r="AK2969" t="s">
        <v>214</v>
      </c>
      <c r="AN2969">
        <f>IFERROR(INT(Table13[[#This Row],[reject_prod]]/Table13[[#This Row],[part_weight]] * 1000), 0)</f>
        <v>21</v>
      </c>
    </row>
    <row r="2970" spans="1:40">
      <c r="A2970" s="1">
        <v>46110</v>
      </c>
      <c r="B2970">
        <v>2</v>
      </c>
      <c r="C2970">
        <v>4</v>
      </c>
      <c r="F2970">
        <v>123456</v>
      </c>
      <c r="G2970" s="6">
        <v>0</v>
      </c>
      <c r="M2970">
        <v>0</v>
      </c>
      <c r="N2970" s="2">
        <v>0</v>
      </c>
      <c r="O2970" s="2">
        <v>0</v>
      </c>
      <c r="P2970" s="2">
        <v>0</v>
      </c>
      <c r="Q2970" s="2"/>
      <c r="R2970" s="2">
        <v>0</v>
      </c>
      <c r="T2970" s="2">
        <v>0</v>
      </c>
      <c r="U2970" s="2"/>
      <c r="X2970">
        <v>0</v>
      </c>
      <c r="Z2970">
        <v>0</v>
      </c>
      <c r="AB2970">
        <v>0</v>
      </c>
      <c r="AC2970">
        <v>0</v>
      </c>
      <c r="AD2970">
        <v>0</v>
      </c>
      <c r="AE2970" s="7"/>
      <c r="AF2970" s="7"/>
      <c r="AG2970" s="7"/>
      <c r="AH2970" s="7"/>
      <c r="AI2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70" s="7">
        <v>12</v>
      </c>
      <c r="AK2970" t="s">
        <v>116</v>
      </c>
      <c r="AN2970">
        <f>IFERROR(INT(Table13[[#This Row],[reject_prod]]/Table13[[#This Row],[part_weight]] * 1000), 0)</f>
        <v>0</v>
      </c>
    </row>
    <row r="2971" spans="1:40">
      <c r="A2971" s="1">
        <v>46110</v>
      </c>
      <c r="B2971">
        <v>2</v>
      </c>
      <c r="C2971">
        <v>5</v>
      </c>
      <c r="D2971" t="s">
        <v>1442</v>
      </c>
      <c r="E2971" t="s">
        <v>34</v>
      </c>
      <c r="F2971">
        <v>626029</v>
      </c>
      <c r="G2971" s="6">
        <v>0</v>
      </c>
      <c r="H2971" t="s">
        <v>478</v>
      </c>
      <c r="I2971">
        <v>10689832</v>
      </c>
      <c r="J2971">
        <v>4</v>
      </c>
      <c r="K2971">
        <v>48.39</v>
      </c>
      <c r="L2971">
        <v>48.39</v>
      </c>
      <c r="M2971">
        <v>1127</v>
      </c>
      <c r="N2971" s="2">
        <v>29952</v>
      </c>
      <c r="O2971" s="2">
        <v>0</v>
      </c>
      <c r="P2971" s="2">
        <v>0</v>
      </c>
      <c r="Q2971" s="2">
        <v>4508</v>
      </c>
      <c r="R2971" s="2">
        <v>4368</v>
      </c>
      <c r="S2971">
        <v>211.36752000000001</v>
      </c>
      <c r="T2971" s="2">
        <v>29952</v>
      </c>
      <c r="U2971" s="2">
        <v>0</v>
      </c>
      <c r="V2971">
        <v>218.14212000000001</v>
      </c>
      <c r="W2971">
        <v>0</v>
      </c>
      <c r="X2971">
        <v>0</v>
      </c>
      <c r="Y2971">
        <v>0</v>
      </c>
      <c r="Z2971">
        <v>6.6</v>
      </c>
      <c r="AA2971">
        <v>3.0255504999999999E-2</v>
      </c>
      <c r="AB2971">
        <v>28.7</v>
      </c>
      <c r="AC2971">
        <v>8.9846944440000005</v>
      </c>
      <c r="AD2971">
        <v>28</v>
      </c>
      <c r="AE2971" s="7"/>
      <c r="AF2971" s="7"/>
      <c r="AG2971" s="7"/>
      <c r="AH2971" s="7"/>
      <c r="AI2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3.0153055559999995</v>
      </c>
      <c r="AJ2971" s="7"/>
      <c r="AK2971" t="s">
        <v>1443</v>
      </c>
      <c r="AN2971">
        <f>IFERROR(INT(Table13[[#This Row],[reject_prod]]/Table13[[#This Row],[part_weight]] * 1000), 0)</f>
        <v>136</v>
      </c>
    </row>
    <row r="2972" spans="1:40">
      <c r="A2972" s="1">
        <v>46110</v>
      </c>
      <c r="B2972">
        <v>2</v>
      </c>
      <c r="C2972">
        <v>6</v>
      </c>
      <c r="D2972" t="s">
        <v>1444</v>
      </c>
      <c r="E2972" t="s">
        <v>34</v>
      </c>
      <c r="F2972">
        <v>322409</v>
      </c>
      <c r="G2972" s="6">
        <v>0</v>
      </c>
      <c r="H2972" t="s">
        <v>400</v>
      </c>
      <c r="I2972">
        <v>10690123</v>
      </c>
      <c r="J2972">
        <v>4</v>
      </c>
      <c r="K2972">
        <v>24</v>
      </c>
      <c r="L2972">
        <v>24</v>
      </c>
      <c r="M2972">
        <v>648</v>
      </c>
      <c r="N2972" s="2">
        <v>10368</v>
      </c>
      <c r="O2972" s="2">
        <v>2592</v>
      </c>
      <c r="P2972" s="2">
        <v>0</v>
      </c>
      <c r="Q2972" s="2">
        <v>2592</v>
      </c>
      <c r="R2972" s="2">
        <v>5184</v>
      </c>
      <c r="S2972">
        <v>124.416</v>
      </c>
      <c r="T2972" s="2">
        <v>10368</v>
      </c>
      <c r="U2972" s="2">
        <v>0</v>
      </c>
      <c r="V2972">
        <v>62.207999999999998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22.3</v>
      </c>
      <c r="AC2972">
        <v>4.0140000000000002</v>
      </c>
      <c r="AD2972">
        <v>20</v>
      </c>
      <c r="AE2972" s="7"/>
      <c r="AF2972" s="7"/>
      <c r="AG2972" s="7"/>
      <c r="AH2972" s="7"/>
      <c r="AI2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7.9859999999999998</v>
      </c>
      <c r="AJ2972" s="7"/>
      <c r="AK2972" t="s">
        <v>102</v>
      </c>
      <c r="AN2972">
        <f>IFERROR(INT(Table13[[#This Row],[reject_prod]]/Table13[[#This Row],[part_weight]] * 1000), 0)</f>
        <v>0</v>
      </c>
    </row>
    <row r="2973" spans="1:40">
      <c r="A2973" s="1">
        <v>46110</v>
      </c>
      <c r="B2973">
        <v>2</v>
      </c>
      <c r="C2973">
        <v>6</v>
      </c>
      <c r="D2973" t="s">
        <v>1444</v>
      </c>
      <c r="E2973" t="s">
        <v>34</v>
      </c>
      <c r="F2973">
        <v>322409</v>
      </c>
      <c r="G2973" s="6">
        <v>0</v>
      </c>
      <c r="H2973" t="s">
        <v>400</v>
      </c>
      <c r="I2973">
        <v>10690124</v>
      </c>
      <c r="J2973">
        <v>4</v>
      </c>
      <c r="K2973">
        <v>24</v>
      </c>
      <c r="L2973">
        <v>24</v>
      </c>
      <c r="M2973">
        <v>1294</v>
      </c>
      <c r="N2973" s="2">
        <v>93600</v>
      </c>
      <c r="O2973" s="2">
        <v>0</v>
      </c>
      <c r="P2973" s="2">
        <v>390</v>
      </c>
      <c r="Q2973" s="2">
        <v>5176</v>
      </c>
      <c r="R2973" s="2">
        <v>4680</v>
      </c>
      <c r="S2973">
        <v>112.32</v>
      </c>
      <c r="T2973" s="2">
        <v>5070</v>
      </c>
      <c r="U2973" s="2">
        <v>88530</v>
      </c>
      <c r="V2973">
        <v>124.224</v>
      </c>
      <c r="W2973">
        <v>0</v>
      </c>
      <c r="X2973">
        <v>0</v>
      </c>
      <c r="Y2973">
        <v>0</v>
      </c>
      <c r="Z2973">
        <v>2.5</v>
      </c>
      <c r="AA2973">
        <v>2.0124936E-2</v>
      </c>
      <c r="AB2973">
        <v>22.3</v>
      </c>
      <c r="AC2973">
        <v>8.0156111110000001</v>
      </c>
      <c r="AD2973">
        <v>20</v>
      </c>
      <c r="AE2973" s="7"/>
      <c r="AF2973" s="7"/>
      <c r="AG2973" s="7"/>
      <c r="AH2973" s="7"/>
      <c r="AI2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3.9843888889999999</v>
      </c>
      <c r="AJ2973" s="7"/>
      <c r="AK2973" t="s">
        <v>79</v>
      </c>
      <c r="AN2973">
        <f>IFERROR(INT(Table13[[#This Row],[reject_prod]]/Table13[[#This Row],[part_weight]] * 1000), 0)</f>
        <v>104</v>
      </c>
    </row>
    <row r="2974" spans="1:40">
      <c r="A2974" s="1">
        <v>46110</v>
      </c>
      <c r="B2974">
        <v>2</v>
      </c>
      <c r="C2974">
        <v>7</v>
      </c>
      <c r="D2974" t="s">
        <v>1445</v>
      </c>
      <c r="E2974" t="s">
        <v>34</v>
      </c>
      <c r="F2974">
        <v>597507</v>
      </c>
      <c r="G2974" s="6">
        <v>0</v>
      </c>
      <c r="H2974" t="s">
        <v>279</v>
      </c>
      <c r="I2974">
        <v>10690042</v>
      </c>
      <c r="J2974">
        <v>4</v>
      </c>
      <c r="K2974">
        <v>23</v>
      </c>
      <c r="L2974">
        <v>23</v>
      </c>
      <c r="M2974">
        <v>1818</v>
      </c>
      <c r="N2974" s="2">
        <v>86240</v>
      </c>
      <c r="O2974" s="2">
        <v>0</v>
      </c>
      <c r="P2974" s="2">
        <v>462</v>
      </c>
      <c r="Q2974" s="2">
        <v>7272</v>
      </c>
      <c r="R2974" s="2">
        <v>6468</v>
      </c>
      <c r="S2974">
        <v>148.76400000000001</v>
      </c>
      <c r="T2974" s="2">
        <v>79156</v>
      </c>
      <c r="U2974" s="2">
        <v>7084</v>
      </c>
      <c r="V2974">
        <v>167.256</v>
      </c>
      <c r="W2974">
        <v>0</v>
      </c>
      <c r="X2974">
        <v>0</v>
      </c>
      <c r="Y2974">
        <v>0</v>
      </c>
      <c r="Z2974">
        <v>7.8</v>
      </c>
      <c r="AA2974">
        <v>4.6635098E-2</v>
      </c>
      <c r="AB2974">
        <v>23.5</v>
      </c>
      <c r="AC2974">
        <v>11.8675</v>
      </c>
      <c r="AD2974">
        <v>22</v>
      </c>
      <c r="AE2974" s="7"/>
      <c r="AF2974" s="7"/>
      <c r="AG2974" s="7"/>
      <c r="AH2974" s="7"/>
      <c r="AI2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0.13250000000000028</v>
      </c>
      <c r="AJ2974" s="7"/>
      <c r="AK2974" t="s">
        <v>75</v>
      </c>
      <c r="AN2974">
        <f>IFERROR(INT(Table13[[#This Row],[reject_prod]]/Table13[[#This Row],[part_weight]] * 1000), 0)</f>
        <v>339</v>
      </c>
    </row>
    <row r="2975" spans="1:40">
      <c r="A2975" s="1">
        <v>46110</v>
      </c>
      <c r="B2975">
        <v>2</v>
      </c>
      <c r="C2975">
        <v>8</v>
      </c>
      <c r="D2975" t="s">
        <v>430</v>
      </c>
      <c r="E2975" t="s">
        <v>41</v>
      </c>
      <c r="F2975">
        <v>593537</v>
      </c>
      <c r="G2975" s="6">
        <v>0</v>
      </c>
      <c r="H2975" t="s">
        <v>48</v>
      </c>
      <c r="I2975">
        <v>10689827</v>
      </c>
      <c r="J2975">
        <v>4</v>
      </c>
      <c r="K2975">
        <v>56.5</v>
      </c>
      <c r="L2975">
        <v>56.8</v>
      </c>
      <c r="M2975">
        <v>1441</v>
      </c>
      <c r="N2975" s="2">
        <v>69000</v>
      </c>
      <c r="O2975" s="2">
        <v>115</v>
      </c>
      <c r="P2975" s="2">
        <v>115</v>
      </c>
      <c r="Q2975" s="2">
        <v>5764</v>
      </c>
      <c r="R2975" s="2">
        <v>5750</v>
      </c>
      <c r="S2975">
        <v>326.60000000000002</v>
      </c>
      <c r="T2975" s="2">
        <v>55890</v>
      </c>
      <c r="U2975" s="2">
        <v>13110</v>
      </c>
      <c r="V2975">
        <v>327.39519999999999</v>
      </c>
      <c r="W2975">
        <v>0</v>
      </c>
      <c r="X2975">
        <v>0</v>
      </c>
      <c r="Y2975">
        <v>0</v>
      </c>
      <c r="Z2975">
        <v>0.7</v>
      </c>
      <c r="AA2975">
        <v>2.1380890000000001E-3</v>
      </c>
      <c r="AB2975">
        <v>29.9</v>
      </c>
      <c r="AC2975">
        <v>11.968305559999999</v>
      </c>
      <c r="AD2975">
        <v>28.5</v>
      </c>
      <c r="AE2975" s="7"/>
      <c r="AF2975" s="7"/>
      <c r="AG2975" s="7"/>
      <c r="AH2975" s="7"/>
      <c r="AI2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3.1694440000000768E-2</v>
      </c>
      <c r="AJ2975" s="7"/>
      <c r="AK2975" t="s">
        <v>51</v>
      </c>
      <c r="AN2975">
        <f>IFERROR(INT(Table13[[#This Row],[reject_prod]]/Table13[[#This Row],[part_weight]] * 1000), 0)</f>
        <v>12</v>
      </c>
    </row>
    <row r="2976" spans="1:40">
      <c r="A2976" s="1">
        <v>46110</v>
      </c>
      <c r="B2976">
        <v>2</v>
      </c>
      <c r="C2976">
        <v>9</v>
      </c>
      <c r="D2976" t="s">
        <v>143</v>
      </c>
      <c r="E2976" t="s">
        <v>46</v>
      </c>
      <c r="F2976">
        <v>586276</v>
      </c>
      <c r="G2976" s="6">
        <v>1</v>
      </c>
      <c r="H2976" t="s">
        <v>47</v>
      </c>
      <c r="I2976">
        <v>10689112</v>
      </c>
      <c r="J2976">
        <v>6</v>
      </c>
      <c r="K2976">
        <v>12.3</v>
      </c>
      <c r="L2976">
        <v>12.3</v>
      </c>
      <c r="M2976">
        <v>1361</v>
      </c>
      <c r="N2976" s="2">
        <v>162000</v>
      </c>
      <c r="O2976" s="2">
        <v>8100</v>
      </c>
      <c r="P2976" s="2">
        <v>0</v>
      </c>
      <c r="Q2976" s="2">
        <v>8166</v>
      </c>
      <c r="R2976" s="2">
        <v>16200</v>
      </c>
      <c r="S2976">
        <v>199.26</v>
      </c>
      <c r="T2976" s="2">
        <v>162000</v>
      </c>
      <c r="U2976" s="2">
        <v>0</v>
      </c>
      <c r="V2976">
        <v>100.4418</v>
      </c>
      <c r="W2976">
        <v>0</v>
      </c>
      <c r="X2976">
        <v>0</v>
      </c>
      <c r="Y2976">
        <v>0</v>
      </c>
      <c r="Z2976">
        <v>0.8</v>
      </c>
      <c r="AA2976">
        <v>7.9648110000000005E-3</v>
      </c>
      <c r="AB2976">
        <v>29.8</v>
      </c>
      <c r="AC2976">
        <v>11.26605556</v>
      </c>
      <c r="AD2976">
        <v>26</v>
      </c>
      <c r="AE2976" s="7"/>
      <c r="AF2976" s="7"/>
      <c r="AG2976" s="7"/>
      <c r="AH2976" s="7"/>
      <c r="AI2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0.73394444000000014</v>
      </c>
      <c r="AJ2976" s="7"/>
      <c r="AK2976" t="s">
        <v>102</v>
      </c>
      <c r="AN2976">
        <f>IFERROR(INT(Table13[[#This Row],[reject_prod]]/Table13[[#This Row],[part_weight]] * 1000), 0)</f>
        <v>65</v>
      </c>
    </row>
    <row r="2977" spans="1:40">
      <c r="A2977" s="1">
        <v>46110</v>
      </c>
      <c r="B2977">
        <v>2</v>
      </c>
      <c r="C2977">
        <v>9</v>
      </c>
      <c r="D2977" t="s">
        <v>143</v>
      </c>
      <c r="E2977" t="s">
        <v>46</v>
      </c>
      <c r="F2977">
        <v>586276</v>
      </c>
      <c r="G2977" s="6">
        <v>1</v>
      </c>
      <c r="H2977" t="s">
        <v>47</v>
      </c>
      <c r="I2977">
        <v>10689828</v>
      </c>
      <c r="J2977">
        <v>6</v>
      </c>
      <c r="K2977">
        <v>12.3</v>
      </c>
      <c r="L2977">
        <v>12.3</v>
      </c>
      <c r="M2977">
        <v>68</v>
      </c>
      <c r="N2977" s="2">
        <v>162000</v>
      </c>
      <c r="O2977" s="2">
        <v>0</v>
      </c>
      <c r="P2977" s="2">
        <v>405</v>
      </c>
      <c r="Q2977" s="2">
        <v>408</v>
      </c>
      <c r="R2977" s="2">
        <v>0</v>
      </c>
      <c r="S2977">
        <v>0</v>
      </c>
      <c r="T2977" s="2">
        <v>405</v>
      </c>
      <c r="U2977" s="2">
        <v>161595</v>
      </c>
      <c r="V2977">
        <v>5.0183999999999997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29.8</v>
      </c>
      <c r="AC2977">
        <v>0.562888889</v>
      </c>
      <c r="AD2977">
        <v>26</v>
      </c>
      <c r="AE2977" s="7"/>
      <c r="AF2977" s="7"/>
      <c r="AG2977" s="7"/>
      <c r="AH2977" s="7"/>
      <c r="AI2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11.437111111</v>
      </c>
      <c r="AJ2977" s="7"/>
      <c r="AK2977" t="s">
        <v>51</v>
      </c>
      <c r="AN2977">
        <f>IFERROR(INT(Table13[[#This Row],[reject_prod]]/Table13[[#This Row],[part_weight]] * 1000), 0)</f>
        <v>0</v>
      </c>
    </row>
    <row r="2978" spans="1:40">
      <c r="A2978" s="1">
        <v>46110</v>
      </c>
      <c r="B2978">
        <v>2</v>
      </c>
      <c r="C2978">
        <v>10</v>
      </c>
      <c r="D2978" t="s">
        <v>43</v>
      </c>
      <c r="E2978" t="s">
        <v>34</v>
      </c>
      <c r="F2978">
        <v>324638</v>
      </c>
      <c r="G2978" s="6">
        <v>0</v>
      </c>
      <c r="H2978" t="s">
        <v>687</v>
      </c>
      <c r="I2978">
        <v>10689561</v>
      </c>
      <c r="J2978">
        <v>4</v>
      </c>
      <c r="K2978">
        <v>77.5</v>
      </c>
      <c r="L2978">
        <v>77.5</v>
      </c>
      <c r="M2978">
        <v>1025</v>
      </c>
      <c r="N2978" s="2">
        <v>26496</v>
      </c>
      <c r="O2978" s="2">
        <v>69</v>
      </c>
      <c r="P2978" s="2">
        <v>138</v>
      </c>
      <c r="Q2978" s="2">
        <v>4100</v>
      </c>
      <c r="R2978" s="2">
        <v>3864</v>
      </c>
      <c r="S2978">
        <v>299.45999999999998</v>
      </c>
      <c r="T2978" s="2">
        <v>16422</v>
      </c>
      <c r="U2978" s="2">
        <v>10074</v>
      </c>
      <c r="V2978">
        <v>317.75</v>
      </c>
      <c r="W2978">
        <v>0</v>
      </c>
      <c r="X2978">
        <v>0</v>
      </c>
      <c r="Y2978">
        <v>0</v>
      </c>
      <c r="Z2978">
        <v>12.5</v>
      </c>
      <c r="AA2978">
        <v>3.9339103E-2</v>
      </c>
      <c r="AB2978">
        <v>39.1</v>
      </c>
      <c r="AC2978">
        <v>11.132638890000001</v>
      </c>
      <c r="AD2978">
        <v>36</v>
      </c>
      <c r="AE2978" s="7"/>
      <c r="AF2978" s="7"/>
      <c r="AG2978" s="7"/>
      <c r="AH2978" s="7"/>
      <c r="AI2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0.86736110999999916</v>
      </c>
      <c r="AJ2978" s="7"/>
      <c r="AK2978" t="s">
        <v>1095</v>
      </c>
      <c r="AN2978">
        <f>IFERROR(INT(Table13[[#This Row],[reject_prod]]/Table13[[#This Row],[part_weight]] * 1000), 0)</f>
        <v>161</v>
      </c>
    </row>
    <row r="2979" spans="1:40">
      <c r="A2979" s="1">
        <v>46110</v>
      </c>
      <c r="B2979">
        <v>2</v>
      </c>
      <c r="C2979">
        <v>11</v>
      </c>
      <c r="D2979" t="s">
        <v>149</v>
      </c>
      <c r="E2979" t="s">
        <v>46</v>
      </c>
      <c r="F2979">
        <v>552181</v>
      </c>
      <c r="G2979" s="6">
        <v>1</v>
      </c>
      <c r="H2979" t="s">
        <v>49</v>
      </c>
      <c r="I2979">
        <v>10689113</v>
      </c>
      <c r="J2979">
        <v>6</v>
      </c>
      <c r="K2979">
        <v>14.7</v>
      </c>
      <c r="L2979">
        <v>14.7</v>
      </c>
      <c r="M2979">
        <v>1535</v>
      </c>
      <c r="N2979" s="2">
        <v>108000</v>
      </c>
      <c r="O2979" s="2">
        <v>270</v>
      </c>
      <c r="P2979" s="2">
        <v>4050</v>
      </c>
      <c r="Q2979" s="2">
        <v>9210</v>
      </c>
      <c r="R2979" s="2">
        <v>5400</v>
      </c>
      <c r="S2979">
        <v>79.38</v>
      </c>
      <c r="T2979" s="2">
        <v>106650</v>
      </c>
      <c r="U2979" s="2">
        <v>1350</v>
      </c>
      <c r="V2979">
        <v>135.387</v>
      </c>
      <c r="W2979">
        <v>0</v>
      </c>
      <c r="X2979">
        <v>0</v>
      </c>
      <c r="Y2979">
        <v>0</v>
      </c>
      <c r="Z2979">
        <v>0.5</v>
      </c>
      <c r="AA2979">
        <v>3.6931170000000001E-3</v>
      </c>
      <c r="AB2979">
        <v>27.7</v>
      </c>
      <c r="AC2979">
        <v>11.81097222</v>
      </c>
      <c r="AD2979">
        <v>27</v>
      </c>
      <c r="AE2979" s="7"/>
      <c r="AF2979" s="7"/>
      <c r="AG2979" s="7"/>
      <c r="AH2979" s="7"/>
      <c r="AI29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0.18902777999999998</v>
      </c>
      <c r="AJ2979" s="7"/>
      <c r="AK2979" t="s">
        <v>51</v>
      </c>
      <c r="AN2979">
        <f>IFERROR(INT(Table13[[#This Row],[reject_prod]]/Table13[[#This Row],[part_weight]] * 1000), 0)</f>
        <v>34</v>
      </c>
    </row>
    <row r="2980" spans="1:40">
      <c r="A2980" s="1">
        <v>46110</v>
      </c>
      <c r="B2980">
        <v>2</v>
      </c>
      <c r="C2980">
        <v>12</v>
      </c>
      <c r="D2980" t="s">
        <v>1446</v>
      </c>
      <c r="E2980" t="s">
        <v>46</v>
      </c>
      <c r="F2980">
        <v>555979</v>
      </c>
      <c r="G2980" s="6">
        <v>1</v>
      </c>
      <c r="H2980" t="s">
        <v>52</v>
      </c>
      <c r="I2980">
        <v>10689126</v>
      </c>
      <c r="J2980">
        <v>6</v>
      </c>
      <c r="K2980">
        <v>28</v>
      </c>
      <c r="L2980">
        <v>28</v>
      </c>
      <c r="M2980">
        <v>977</v>
      </c>
      <c r="N2980" s="2">
        <v>100800</v>
      </c>
      <c r="O2980" s="2">
        <v>2016</v>
      </c>
      <c r="P2980" s="2">
        <v>1344</v>
      </c>
      <c r="Q2980" s="2">
        <v>5862</v>
      </c>
      <c r="R2980" s="2">
        <v>6720</v>
      </c>
      <c r="S2980">
        <v>188.16</v>
      </c>
      <c r="T2980" s="2">
        <v>45024</v>
      </c>
      <c r="U2980" s="2">
        <v>55776</v>
      </c>
      <c r="V2980">
        <v>164.136</v>
      </c>
      <c r="W2980">
        <v>0</v>
      </c>
      <c r="X2980">
        <v>0</v>
      </c>
      <c r="Y2980">
        <v>0</v>
      </c>
      <c r="Z2980">
        <v>0.7</v>
      </c>
      <c r="AA2980">
        <v>4.2647559999999998E-3</v>
      </c>
      <c r="AB2980">
        <v>44</v>
      </c>
      <c r="AC2980">
        <v>11.94111111</v>
      </c>
      <c r="AD2980">
        <v>42</v>
      </c>
      <c r="AE2980" s="7"/>
      <c r="AF2980" s="7"/>
      <c r="AG2980" s="7"/>
      <c r="AH2980" s="7"/>
      <c r="AI2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5.8888890000000416E-2</v>
      </c>
      <c r="AJ2980" s="7"/>
      <c r="AK2980" t="s">
        <v>51</v>
      </c>
      <c r="AN2980">
        <f>IFERROR(INT(Table13[[#This Row],[reject_prod]]/Table13[[#This Row],[part_weight]] * 1000), 0)</f>
        <v>25</v>
      </c>
    </row>
    <row r="2981" spans="1:40">
      <c r="A2981" s="1">
        <v>46110</v>
      </c>
      <c r="B2981">
        <v>2</v>
      </c>
      <c r="C2981">
        <v>13</v>
      </c>
      <c r="D2981" t="s">
        <v>149</v>
      </c>
      <c r="E2981" t="s">
        <v>46</v>
      </c>
      <c r="F2981">
        <v>586276</v>
      </c>
      <c r="G2981" s="6">
        <v>2</v>
      </c>
      <c r="H2981" t="s">
        <v>47</v>
      </c>
      <c r="I2981">
        <v>10689119</v>
      </c>
      <c r="J2981">
        <v>6</v>
      </c>
      <c r="K2981">
        <v>12.3</v>
      </c>
      <c r="L2981">
        <v>12.3</v>
      </c>
      <c r="M2981">
        <v>1637</v>
      </c>
      <c r="N2981" s="2">
        <v>162000</v>
      </c>
      <c r="O2981" s="2">
        <v>5670</v>
      </c>
      <c r="P2981" s="2">
        <v>0</v>
      </c>
      <c r="Q2981" s="2">
        <v>9822</v>
      </c>
      <c r="R2981" s="2">
        <v>16200</v>
      </c>
      <c r="S2981">
        <v>199.26</v>
      </c>
      <c r="T2981" s="2">
        <v>162000</v>
      </c>
      <c r="U2981" s="2">
        <v>0</v>
      </c>
      <c r="V2981">
        <v>120.81059999999999</v>
      </c>
      <c r="W2981">
        <v>0</v>
      </c>
      <c r="X2981">
        <v>0</v>
      </c>
      <c r="Y2981">
        <v>0</v>
      </c>
      <c r="Z2981">
        <v>1.5</v>
      </c>
      <c r="AA2981">
        <v>1.2416129E-2</v>
      </c>
      <c r="AB2981">
        <v>26.2</v>
      </c>
      <c r="AC2981">
        <v>11.91372222</v>
      </c>
      <c r="AD2981">
        <v>26</v>
      </c>
      <c r="AE2981" s="7"/>
      <c r="AF2981" s="7"/>
      <c r="AG2981" s="7"/>
      <c r="AH2981" s="7"/>
      <c r="AI2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81" s="7"/>
      <c r="AK2981" t="s">
        <v>102</v>
      </c>
      <c r="AN2981">
        <f>IFERROR(INT(Table13[[#This Row],[reject_prod]]/Table13[[#This Row],[part_weight]] * 1000), 0)</f>
        <v>121</v>
      </c>
    </row>
    <row r="2982" spans="1:40">
      <c r="A2982" s="1">
        <v>46110</v>
      </c>
      <c r="B2982">
        <v>2</v>
      </c>
      <c r="C2982">
        <v>14</v>
      </c>
      <c r="F2982">
        <v>123456</v>
      </c>
      <c r="G2982" s="6">
        <v>0</v>
      </c>
      <c r="M2982">
        <v>0</v>
      </c>
      <c r="N2982" s="2">
        <v>0</v>
      </c>
      <c r="O2982" s="2">
        <v>0</v>
      </c>
      <c r="P2982" s="2">
        <v>0</v>
      </c>
      <c r="Q2982" s="2"/>
      <c r="R2982" s="2">
        <v>0</v>
      </c>
      <c r="T2982" s="2">
        <v>0</v>
      </c>
      <c r="U2982" s="2"/>
      <c r="X2982">
        <v>0</v>
      </c>
      <c r="Z2982">
        <v>0</v>
      </c>
      <c r="AB2982">
        <v>0</v>
      </c>
      <c r="AC2982">
        <v>0</v>
      </c>
      <c r="AD2982">
        <v>0</v>
      </c>
      <c r="AE2982" s="7"/>
      <c r="AF2982" s="7"/>
      <c r="AG2982" s="7"/>
      <c r="AH2982" s="7"/>
      <c r="AI2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2" s="7">
        <v>12</v>
      </c>
      <c r="AK2982" t="s">
        <v>116</v>
      </c>
      <c r="AN2982">
        <f>IFERROR(INT(Table13[[#This Row],[reject_prod]]/Table13[[#This Row],[part_weight]] * 1000), 0)</f>
        <v>0</v>
      </c>
    </row>
    <row r="2983" spans="1:40">
      <c r="A2983" s="1">
        <v>46110</v>
      </c>
      <c r="B2983">
        <v>2</v>
      </c>
      <c r="C2983">
        <v>15</v>
      </c>
      <c r="D2983" t="s">
        <v>149</v>
      </c>
      <c r="E2983" t="s">
        <v>46</v>
      </c>
      <c r="F2983">
        <v>552181</v>
      </c>
      <c r="G2983" s="6">
        <v>2</v>
      </c>
      <c r="H2983" t="s">
        <v>49</v>
      </c>
      <c r="I2983">
        <v>10689124</v>
      </c>
      <c r="J2983">
        <v>6</v>
      </c>
      <c r="K2983">
        <v>14.7</v>
      </c>
      <c r="L2983">
        <v>14.7</v>
      </c>
      <c r="M2983">
        <v>1406</v>
      </c>
      <c r="N2983" s="2">
        <v>108000</v>
      </c>
      <c r="O2983" s="2">
        <v>4050</v>
      </c>
      <c r="P2983" s="2">
        <v>4860</v>
      </c>
      <c r="Q2983" s="2">
        <v>8436</v>
      </c>
      <c r="R2983" s="2">
        <v>5400</v>
      </c>
      <c r="S2983">
        <v>79.38</v>
      </c>
      <c r="T2983" s="2">
        <v>58860</v>
      </c>
      <c r="U2983" s="2">
        <v>49140</v>
      </c>
      <c r="V2983">
        <v>124.00920000000001</v>
      </c>
      <c r="W2983">
        <v>0</v>
      </c>
      <c r="X2983">
        <v>0</v>
      </c>
      <c r="Y2983">
        <v>0</v>
      </c>
      <c r="Z2983">
        <v>0.6</v>
      </c>
      <c r="AA2983">
        <v>4.8383510000000003E-3</v>
      </c>
      <c r="AB2983">
        <v>30.8</v>
      </c>
      <c r="AC2983">
        <v>12</v>
      </c>
      <c r="AD2983">
        <v>27</v>
      </c>
      <c r="AE2983" s="7"/>
      <c r="AF2983" s="7"/>
      <c r="AG2983" s="7"/>
      <c r="AH2983" s="7"/>
      <c r="AI2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3" s="7"/>
      <c r="AK2983" t="s">
        <v>51</v>
      </c>
      <c r="AN2983">
        <f>IFERROR(INT(Table13[[#This Row],[reject_prod]]/Table13[[#This Row],[part_weight]] * 1000), 0)</f>
        <v>40</v>
      </c>
    </row>
    <row r="2984" spans="1:40">
      <c r="A2984" s="1">
        <v>46110</v>
      </c>
      <c r="B2984">
        <v>2</v>
      </c>
      <c r="C2984">
        <v>16</v>
      </c>
      <c r="D2984" t="s">
        <v>115</v>
      </c>
      <c r="E2984" t="s">
        <v>46</v>
      </c>
      <c r="F2984">
        <v>555979</v>
      </c>
      <c r="G2984" s="6">
        <v>2</v>
      </c>
      <c r="H2984" t="s">
        <v>52</v>
      </c>
      <c r="I2984">
        <v>10689831</v>
      </c>
      <c r="J2984">
        <v>6</v>
      </c>
      <c r="K2984">
        <v>28</v>
      </c>
      <c r="L2984">
        <v>28</v>
      </c>
      <c r="M2984">
        <v>1012</v>
      </c>
      <c r="N2984" s="2">
        <v>100800</v>
      </c>
      <c r="O2984" s="2">
        <v>1848</v>
      </c>
      <c r="P2984" s="2">
        <v>1344</v>
      </c>
      <c r="Q2984" s="2">
        <v>6072</v>
      </c>
      <c r="R2984" s="2">
        <v>6720</v>
      </c>
      <c r="S2984">
        <v>188.16</v>
      </c>
      <c r="T2984" s="2">
        <v>45024</v>
      </c>
      <c r="U2984" s="2">
        <v>55776</v>
      </c>
      <c r="V2984">
        <v>170.01599999999999</v>
      </c>
      <c r="W2984">
        <v>0</v>
      </c>
      <c r="X2984">
        <v>0</v>
      </c>
      <c r="Y2984">
        <v>0</v>
      </c>
      <c r="Z2984">
        <v>0.7</v>
      </c>
      <c r="AA2984">
        <v>4.1172600000000002E-3</v>
      </c>
      <c r="AB2984">
        <v>42.55</v>
      </c>
      <c r="AC2984">
        <v>11.96127778</v>
      </c>
      <c r="AD2984">
        <v>42</v>
      </c>
      <c r="AE2984" s="7"/>
      <c r="AF2984" s="7"/>
      <c r="AG2984" s="7"/>
      <c r="AH2984" s="7"/>
      <c r="AI2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3.8722220000000362E-2</v>
      </c>
      <c r="AJ2984" s="7"/>
      <c r="AK2984" t="s">
        <v>51</v>
      </c>
      <c r="AN2984">
        <f>IFERROR(INT(Table13[[#This Row],[reject_prod]]/Table13[[#This Row],[part_weight]] * 1000), 0)</f>
        <v>25</v>
      </c>
    </row>
    <row r="2985" spans="1:40">
      <c r="A2985" s="1">
        <v>46111</v>
      </c>
      <c r="B2985">
        <v>1</v>
      </c>
      <c r="C2985">
        <v>1</v>
      </c>
      <c r="D2985" t="s">
        <v>88</v>
      </c>
      <c r="E2985" t="s">
        <v>34</v>
      </c>
      <c r="F2985">
        <v>340460</v>
      </c>
      <c r="G2985" s="6">
        <v>0</v>
      </c>
      <c r="H2985" t="s">
        <v>1177</v>
      </c>
      <c r="I2985">
        <v>10691250</v>
      </c>
      <c r="J2985">
        <v>4</v>
      </c>
      <c r="K2985">
        <v>15.05</v>
      </c>
      <c r="L2985">
        <v>15.05</v>
      </c>
      <c r="M2985">
        <v>1320</v>
      </c>
      <c r="N2985" s="2">
        <v>20300</v>
      </c>
      <c r="O2985" s="2">
        <v>1160</v>
      </c>
      <c r="P2985" s="2">
        <v>0</v>
      </c>
      <c r="Q2985" s="2">
        <v>5280</v>
      </c>
      <c r="R2985" s="2">
        <v>6380</v>
      </c>
      <c r="S2985">
        <v>96.019000000000005</v>
      </c>
      <c r="T2985" s="2">
        <v>20300</v>
      </c>
      <c r="U2985" s="2">
        <v>0</v>
      </c>
      <c r="V2985">
        <v>79.463999999999999</v>
      </c>
      <c r="W2985">
        <v>0</v>
      </c>
      <c r="X2985">
        <v>2</v>
      </c>
      <c r="Y2985">
        <v>2.5168630000000001E-2</v>
      </c>
      <c r="Z2985">
        <v>0.3</v>
      </c>
      <c r="AA2985">
        <v>3.7752939999999998E-3</v>
      </c>
      <c r="AB2985">
        <v>21.7</v>
      </c>
      <c r="AC2985">
        <v>7.9566666670000004</v>
      </c>
      <c r="AD2985">
        <v>20</v>
      </c>
      <c r="AE2985" s="7"/>
      <c r="AF2985" s="7"/>
      <c r="AG2985" s="7"/>
      <c r="AH2985" s="7"/>
      <c r="AI2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4.0433333329999996</v>
      </c>
      <c r="AJ2985" s="7"/>
      <c r="AK2985" t="s">
        <v>214</v>
      </c>
      <c r="AL2985">
        <v>31</v>
      </c>
      <c r="AN2985">
        <f>IFERROR(INT(Table13[[#This Row],[reject_prod]]/Table13[[#This Row],[part_weight]] * 1000), 0)</f>
        <v>19</v>
      </c>
    </row>
    <row r="2986" spans="1:40">
      <c r="A2986" s="1">
        <v>46111</v>
      </c>
      <c r="B2986">
        <v>1</v>
      </c>
      <c r="C2986">
        <v>1</v>
      </c>
      <c r="D2986" t="s">
        <v>813</v>
      </c>
      <c r="E2986" t="s">
        <v>34</v>
      </c>
      <c r="F2986">
        <v>324682</v>
      </c>
      <c r="G2986" s="6">
        <v>0</v>
      </c>
      <c r="H2986" t="s">
        <v>889</v>
      </c>
      <c r="I2986">
        <v>10691254</v>
      </c>
      <c r="J2986">
        <v>4</v>
      </c>
      <c r="K2986">
        <v>33</v>
      </c>
      <c r="L2986">
        <v>33</v>
      </c>
      <c r="M2986">
        <v>0</v>
      </c>
      <c r="N2986" s="2">
        <v>18480</v>
      </c>
      <c r="O2986" s="2">
        <v>0</v>
      </c>
      <c r="P2986" s="2">
        <v>0</v>
      </c>
      <c r="Q2986" s="2">
        <v>0</v>
      </c>
      <c r="R2986" s="2">
        <v>0</v>
      </c>
      <c r="S2986">
        <v>0</v>
      </c>
      <c r="T2986" s="2">
        <v>0</v>
      </c>
      <c r="U2986" s="2">
        <v>18480</v>
      </c>
      <c r="V2986">
        <v>0</v>
      </c>
      <c r="W2986">
        <v>0</v>
      </c>
      <c r="X2986">
        <v>0</v>
      </c>
      <c r="Y2986" t="e">
        <v>#DIV/0!</v>
      </c>
      <c r="Z2986">
        <v>0</v>
      </c>
      <c r="AA2986" t="e">
        <v>#DIV/0!</v>
      </c>
      <c r="AB2986">
        <v>23.05</v>
      </c>
      <c r="AC2986">
        <v>0</v>
      </c>
      <c r="AD2986">
        <v>23.972000000000001</v>
      </c>
      <c r="AE2986" s="7">
        <v>2</v>
      </c>
      <c r="AF2986" s="7"/>
      <c r="AG2986" s="7"/>
      <c r="AH2986" s="7"/>
      <c r="AI2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2986" s="7"/>
      <c r="AK2986" t="s">
        <v>381</v>
      </c>
      <c r="AN2986">
        <f>IFERROR(INT(Table13[[#This Row],[reject_prod]]/Table13[[#This Row],[part_weight]] * 1000), 0)</f>
        <v>0</v>
      </c>
    </row>
    <row r="2987" spans="1:40">
      <c r="A2987" s="1">
        <v>46111</v>
      </c>
      <c r="B2987">
        <v>1</v>
      </c>
      <c r="C2987">
        <v>2</v>
      </c>
      <c r="D2987" t="s">
        <v>1447</v>
      </c>
      <c r="E2987" t="s">
        <v>34</v>
      </c>
      <c r="F2987">
        <v>423213</v>
      </c>
      <c r="G2987" s="6">
        <v>0</v>
      </c>
      <c r="H2987" t="s">
        <v>70</v>
      </c>
      <c r="I2987">
        <v>10689499</v>
      </c>
      <c r="J2987">
        <v>4</v>
      </c>
      <c r="K2987">
        <v>23</v>
      </c>
      <c r="L2987">
        <v>23</v>
      </c>
      <c r="M2987">
        <v>1820</v>
      </c>
      <c r="N2987" s="2">
        <v>99822</v>
      </c>
      <c r="O2987" s="2">
        <v>3048</v>
      </c>
      <c r="P2987" s="2">
        <v>1143</v>
      </c>
      <c r="Q2987" s="2">
        <v>7280</v>
      </c>
      <c r="R2987" s="2">
        <v>9144</v>
      </c>
      <c r="S2987">
        <v>210.31200000000001</v>
      </c>
      <c r="T2987" s="2">
        <v>88011</v>
      </c>
      <c r="U2987" s="2">
        <v>11811</v>
      </c>
      <c r="V2987">
        <v>167.44</v>
      </c>
      <c r="W2987">
        <v>0</v>
      </c>
      <c r="X2987">
        <v>0</v>
      </c>
      <c r="Y2987">
        <v>0</v>
      </c>
      <c r="Z2987">
        <v>1</v>
      </c>
      <c r="AA2987">
        <v>5.9722890000000004E-3</v>
      </c>
      <c r="AB2987">
        <v>23.05</v>
      </c>
      <c r="AC2987">
        <v>11.65305556</v>
      </c>
      <c r="AD2987">
        <v>22.5</v>
      </c>
      <c r="AE2987" s="7"/>
      <c r="AF2987" s="7"/>
      <c r="AG2987" s="7"/>
      <c r="AH2987" s="7"/>
      <c r="AI2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987" s="7"/>
      <c r="AK2987" t="s">
        <v>214</v>
      </c>
      <c r="AL2987">
        <v>1</v>
      </c>
      <c r="AN2987">
        <f>IFERROR(INT(Table13[[#This Row],[reject_prod]]/Table13[[#This Row],[part_weight]] * 1000), 0)</f>
        <v>43</v>
      </c>
    </row>
    <row r="2988" spans="1:40">
      <c r="A2988" s="1">
        <v>46111</v>
      </c>
      <c r="B2988">
        <v>1</v>
      </c>
      <c r="C2988">
        <v>3</v>
      </c>
      <c r="D2988" t="s">
        <v>53</v>
      </c>
      <c r="E2988" t="s">
        <v>34</v>
      </c>
      <c r="F2988">
        <v>442034</v>
      </c>
      <c r="G2988" s="6">
        <v>0</v>
      </c>
      <c r="H2988" t="s">
        <v>37</v>
      </c>
      <c r="I2988">
        <v>10688497</v>
      </c>
      <c r="J2988">
        <v>4</v>
      </c>
      <c r="K2988">
        <v>23</v>
      </c>
      <c r="L2988">
        <v>23</v>
      </c>
      <c r="M2988">
        <v>1632</v>
      </c>
      <c r="N2988" s="2">
        <v>139776</v>
      </c>
      <c r="O2988" s="2">
        <v>3072</v>
      </c>
      <c r="P2988" s="2">
        <v>384</v>
      </c>
      <c r="Q2988" s="2">
        <v>6528</v>
      </c>
      <c r="R2988" s="2">
        <v>9216</v>
      </c>
      <c r="S2988">
        <v>211.96799999999999</v>
      </c>
      <c r="T2988" s="2">
        <v>106368</v>
      </c>
      <c r="U2988" s="2">
        <v>33408</v>
      </c>
      <c r="V2988">
        <v>150.14400000000001</v>
      </c>
      <c r="W2988">
        <v>0</v>
      </c>
      <c r="X2988">
        <v>0</v>
      </c>
      <c r="Y2988">
        <v>0</v>
      </c>
      <c r="Z2988">
        <v>0.5</v>
      </c>
      <c r="AA2988">
        <v>3.330136E-3</v>
      </c>
      <c r="AB2988">
        <v>26.6</v>
      </c>
      <c r="AC2988">
        <v>12</v>
      </c>
      <c r="AD2988">
        <v>22</v>
      </c>
      <c r="AE2988" s="7"/>
      <c r="AF2988" s="7"/>
      <c r="AG2988" s="7"/>
      <c r="AH2988" s="7"/>
      <c r="AI2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8" s="7"/>
      <c r="AK2988" t="s">
        <v>214</v>
      </c>
      <c r="AL2988">
        <v>3</v>
      </c>
      <c r="AM2988">
        <v>5</v>
      </c>
      <c r="AN2988">
        <f>IFERROR(INT(Table13[[#This Row],[reject_prod]]/Table13[[#This Row],[part_weight]] * 1000), 0)</f>
        <v>21</v>
      </c>
    </row>
    <row r="2989" spans="1:40">
      <c r="A2989" s="1">
        <v>46111</v>
      </c>
      <c r="B2989">
        <v>1</v>
      </c>
      <c r="C2989">
        <v>4</v>
      </c>
      <c r="D2989" t="s">
        <v>54</v>
      </c>
      <c r="E2989" t="s">
        <v>34</v>
      </c>
      <c r="F2989">
        <v>365091</v>
      </c>
      <c r="G2989" s="6">
        <v>0</v>
      </c>
      <c r="H2989" t="s">
        <v>189</v>
      </c>
      <c r="I2989">
        <v>10691257</v>
      </c>
      <c r="J2989">
        <v>4</v>
      </c>
      <c r="K2989">
        <v>44</v>
      </c>
      <c r="L2989">
        <v>44</v>
      </c>
      <c r="M2989">
        <v>925</v>
      </c>
      <c r="N2989" s="2">
        <v>50715</v>
      </c>
      <c r="O2989" s="2">
        <v>0</v>
      </c>
      <c r="P2989" s="2">
        <v>1155</v>
      </c>
      <c r="Q2989" s="2">
        <v>3700</v>
      </c>
      <c r="R2989" s="2">
        <v>2520</v>
      </c>
      <c r="S2989">
        <v>110.88</v>
      </c>
      <c r="T2989" s="2">
        <v>3675</v>
      </c>
      <c r="U2989" s="2">
        <v>47040</v>
      </c>
      <c r="V2989">
        <v>162.80000000000001</v>
      </c>
      <c r="W2989">
        <v>0</v>
      </c>
      <c r="X2989">
        <v>12</v>
      </c>
      <c r="Y2989">
        <v>7.3710074E-2</v>
      </c>
      <c r="Z2989">
        <v>0.6</v>
      </c>
      <c r="AA2989">
        <v>3.685504E-3</v>
      </c>
      <c r="AB2989">
        <v>26</v>
      </c>
      <c r="AC2989">
        <v>6.6805555559999998</v>
      </c>
      <c r="AD2989">
        <v>28.64</v>
      </c>
      <c r="AE2989" s="7"/>
      <c r="AF2989" s="7"/>
      <c r="AG2989" s="7"/>
      <c r="AH2989" s="7"/>
      <c r="AI2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5.3194444440000002</v>
      </c>
      <c r="AJ2989" s="7"/>
      <c r="AK2989" t="s">
        <v>1448</v>
      </c>
      <c r="AL2989">
        <v>6</v>
      </c>
      <c r="AM2989">
        <v>5.4</v>
      </c>
      <c r="AN2989">
        <f>IFERROR(INT(Table13[[#This Row],[reject_prod]]/Table13[[#This Row],[part_weight]] * 1000), 0)</f>
        <v>13</v>
      </c>
    </row>
    <row r="2990" spans="1:40">
      <c r="A2990" s="1">
        <v>46111</v>
      </c>
      <c r="B2990">
        <v>1</v>
      </c>
      <c r="C2990">
        <v>5</v>
      </c>
      <c r="D2990" t="s">
        <v>88</v>
      </c>
      <c r="E2990" t="s">
        <v>34</v>
      </c>
      <c r="F2990">
        <v>323092</v>
      </c>
      <c r="G2990" s="6">
        <v>0</v>
      </c>
      <c r="H2990" t="s">
        <v>377</v>
      </c>
      <c r="I2990">
        <v>10689564</v>
      </c>
      <c r="J2990">
        <v>4</v>
      </c>
      <c r="K2990">
        <v>48.9</v>
      </c>
      <c r="L2990">
        <v>48.9</v>
      </c>
      <c r="M2990">
        <v>80</v>
      </c>
      <c r="N2990" s="2">
        <v>12600</v>
      </c>
      <c r="O2990" s="2">
        <v>0</v>
      </c>
      <c r="P2990" s="2">
        <v>315</v>
      </c>
      <c r="Q2990" s="2">
        <v>320</v>
      </c>
      <c r="R2990" s="2">
        <v>0</v>
      </c>
      <c r="S2990">
        <v>0</v>
      </c>
      <c r="T2990" s="2">
        <v>315</v>
      </c>
      <c r="U2990" s="2">
        <v>12285</v>
      </c>
      <c r="V2990">
        <v>15.648</v>
      </c>
      <c r="W2990">
        <v>0</v>
      </c>
      <c r="X2990">
        <v>7</v>
      </c>
      <c r="Y2990">
        <v>0.44734151300000002</v>
      </c>
      <c r="Z2990">
        <v>0.6</v>
      </c>
      <c r="AA2990">
        <v>3.8343558E-2</v>
      </c>
      <c r="AB2990">
        <v>25.96</v>
      </c>
      <c r="AC2990">
        <v>0.57688888900000002</v>
      </c>
      <c r="AD2990">
        <v>27.6</v>
      </c>
      <c r="AE2990" s="7"/>
      <c r="AF2990" s="7"/>
      <c r="AG2990" s="7"/>
      <c r="AH2990" s="7"/>
      <c r="AI2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3.9231111110000008</v>
      </c>
      <c r="AJ2990" s="7">
        <v>7.5</v>
      </c>
      <c r="AK2990" t="s">
        <v>1449</v>
      </c>
      <c r="AL2990">
        <v>9.5</v>
      </c>
      <c r="AM2990">
        <v>33</v>
      </c>
      <c r="AN2990">
        <f>IFERROR(INT(Table13[[#This Row],[reject_prod]]/Table13[[#This Row],[part_weight]] * 1000), 0)</f>
        <v>12</v>
      </c>
    </row>
    <row r="2991" spans="1:40">
      <c r="A2991" s="1">
        <v>46111</v>
      </c>
      <c r="B2991">
        <v>1</v>
      </c>
      <c r="C2991">
        <v>6</v>
      </c>
      <c r="D2991" t="s">
        <v>56</v>
      </c>
      <c r="E2991" t="s">
        <v>34</v>
      </c>
      <c r="F2991">
        <v>322409</v>
      </c>
      <c r="G2991" s="6">
        <v>0</v>
      </c>
      <c r="H2991" t="s">
        <v>400</v>
      </c>
      <c r="I2991">
        <v>10690124</v>
      </c>
      <c r="J2991">
        <v>4</v>
      </c>
      <c r="K2991">
        <v>24</v>
      </c>
      <c r="L2991">
        <v>24</v>
      </c>
      <c r="M2991">
        <v>1950</v>
      </c>
      <c r="N2991" s="2">
        <v>93600</v>
      </c>
      <c r="O2991" s="2">
        <v>390</v>
      </c>
      <c r="P2991" s="2">
        <v>195</v>
      </c>
      <c r="Q2991" s="2">
        <v>7800</v>
      </c>
      <c r="R2991" s="2">
        <v>8190</v>
      </c>
      <c r="S2991">
        <v>196.56</v>
      </c>
      <c r="T2991" s="2">
        <v>13065</v>
      </c>
      <c r="U2991" s="2">
        <v>80535</v>
      </c>
      <c r="V2991">
        <v>187.2</v>
      </c>
      <c r="W2991">
        <v>0</v>
      </c>
      <c r="Y2991">
        <v>0</v>
      </c>
      <c r="Z2991">
        <v>5</v>
      </c>
      <c r="AA2991">
        <v>2.6709402E-2</v>
      </c>
      <c r="AB2991">
        <v>22.3</v>
      </c>
      <c r="AC2991">
        <v>12</v>
      </c>
      <c r="AD2991">
        <v>20</v>
      </c>
      <c r="AE2991" s="7"/>
      <c r="AF2991" s="7"/>
      <c r="AG2991" s="7"/>
      <c r="AH2991" s="7"/>
      <c r="AI2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91" s="7"/>
      <c r="AK2991" t="s">
        <v>103</v>
      </c>
      <c r="AL2991">
        <v>3</v>
      </c>
      <c r="AM2991">
        <v>13.5</v>
      </c>
      <c r="AN2991">
        <f>IFERROR(INT(Table13[[#This Row],[reject_prod]]/Table13[[#This Row],[part_weight]] * 1000), 0)</f>
        <v>208</v>
      </c>
    </row>
    <row r="2992" spans="1:40">
      <c r="A2992" s="1">
        <v>46111</v>
      </c>
      <c r="B2992">
        <v>1</v>
      </c>
      <c r="C2992">
        <v>7</v>
      </c>
      <c r="D2992" t="s">
        <v>289</v>
      </c>
      <c r="E2992" t="s">
        <v>34</v>
      </c>
      <c r="F2992">
        <v>597507</v>
      </c>
      <c r="G2992" s="6">
        <v>0</v>
      </c>
      <c r="H2992" t="s">
        <v>279</v>
      </c>
      <c r="I2992">
        <v>10690042</v>
      </c>
      <c r="J2992">
        <v>4</v>
      </c>
      <c r="K2992">
        <v>23</v>
      </c>
      <c r="L2992">
        <v>23</v>
      </c>
      <c r="M2992">
        <v>1620</v>
      </c>
      <c r="N2992" s="2">
        <v>86240</v>
      </c>
      <c r="O2992" s="2">
        <v>462</v>
      </c>
      <c r="P2992" s="2">
        <v>462</v>
      </c>
      <c r="Q2992" s="2">
        <v>6480</v>
      </c>
      <c r="R2992" s="2">
        <v>6468</v>
      </c>
      <c r="S2992">
        <v>148.76400000000001</v>
      </c>
      <c r="T2992" s="2">
        <v>85624</v>
      </c>
      <c r="U2992" s="2">
        <v>616</v>
      </c>
      <c r="V2992">
        <v>149.04</v>
      </c>
      <c r="W2992">
        <v>0</v>
      </c>
      <c r="X2992">
        <v>5</v>
      </c>
      <c r="Y2992">
        <v>3.3548041000000001E-2</v>
      </c>
      <c r="Z2992">
        <v>12.3</v>
      </c>
      <c r="AA2992">
        <v>8.2528180000000007E-2</v>
      </c>
      <c r="AB2992">
        <v>23.54</v>
      </c>
      <c r="AC2992">
        <v>10.593</v>
      </c>
      <c r="AD2992">
        <v>22</v>
      </c>
      <c r="AE2992" s="7"/>
      <c r="AF2992" s="7"/>
      <c r="AG2992" s="7"/>
      <c r="AH2992" s="7"/>
      <c r="AI2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1.407</v>
      </c>
      <c r="AJ2992" s="7"/>
      <c r="AK2992" t="s">
        <v>608</v>
      </c>
      <c r="AL2992">
        <v>2</v>
      </c>
      <c r="AM2992">
        <v>5</v>
      </c>
      <c r="AN2992">
        <f>IFERROR(INT(Table13[[#This Row],[reject_prod]]/Table13[[#This Row],[part_weight]] * 1000), 0)</f>
        <v>534</v>
      </c>
    </row>
    <row r="2993" spans="1:40">
      <c r="A2993" s="1">
        <v>46111</v>
      </c>
      <c r="B2993">
        <v>1</v>
      </c>
      <c r="C2993">
        <v>8</v>
      </c>
      <c r="D2993" t="s">
        <v>1450</v>
      </c>
      <c r="E2993" t="s">
        <v>41</v>
      </c>
      <c r="F2993">
        <v>593537</v>
      </c>
      <c r="G2993" s="6">
        <v>0</v>
      </c>
      <c r="H2993" t="s">
        <v>48</v>
      </c>
      <c r="I2993">
        <v>10689827</v>
      </c>
      <c r="J2993">
        <v>4</v>
      </c>
      <c r="K2993">
        <v>56.5</v>
      </c>
      <c r="L2993">
        <v>56.8</v>
      </c>
      <c r="M2993">
        <v>1460</v>
      </c>
      <c r="N2993" s="2">
        <v>69000</v>
      </c>
      <c r="O2993" s="2">
        <v>115</v>
      </c>
      <c r="P2993" s="2">
        <v>230</v>
      </c>
      <c r="Q2993" s="2">
        <v>5840</v>
      </c>
      <c r="R2993" s="2">
        <v>5750</v>
      </c>
      <c r="S2993">
        <v>326.60000000000002</v>
      </c>
      <c r="T2993" s="2">
        <v>61755</v>
      </c>
      <c r="U2993" s="2">
        <v>7245</v>
      </c>
      <c r="V2993">
        <v>331.71199999999999</v>
      </c>
      <c r="W2993">
        <v>-1.752</v>
      </c>
      <c r="X2993">
        <v>0</v>
      </c>
      <c r="Y2993">
        <v>0</v>
      </c>
      <c r="Z2993">
        <v>2.2000000000000002</v>
      </c>
      <c r="AA2993">
        <v>6.6322589999999997E-3</v>
      </c>
      <c r="AB2993">
        <v>29.9</v>
      </c>
      <c r="AC2993">
        <v>12</v>
      </c>
      <c r="AD2993">
        <v>28.5</v>
      </c>
      <c r="AE2993" s="7"/>
      <c r="AF2993" s="7"/>
      <c r="AG2993" s="7"/>
      <c r="AH2993" s="7"/>
      <c r="AI2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93" s="7"/>
      <c r="AK2993" t="s">
        <v>51</v>
      </c>
      <c r="AL2993">
        <v>2</v>
      </c>
      <c r="AM2993">
        <v>5</v>
      </c>
      <c r="AN2993">
        <f>IFERROR(INT(Table13[[#This Row],[reject_prod]]/Table13[[#This Row],[part_weight]] * 1000), 0)</f>
        <v>38</v>
      </c>
    </row>
    <row r="2994" spans="1:40">
      <c r="A2994" s="1">
        <v>46111</v>
      </c>
      <c r="B2994">
        <v>1</v>
      </c>
      <c r="C2994">
        <v>9</v>
      </c>
      <c r="D2994" t="s">
        <v>58</v>
      </c>
      <c r="E2994" t="s">
        <v>46</v>
      </c>
      <c r="F2994">
        <v>586276</v>
      </c>
      <c r="G2994" s="6">
        <v>1</v>
      </c>
      <c r="H2994" t="s">
        <v>47</v>
      </c>
      <c r="I2994">
        <v>10689828</v>
      </c>
      <c r="J2994">
        <v>6</v>
      </c>
      <c r="K2994">
        <v>12.3</v>
      </c>
      <c r="L2994">
        <v>12.3</v>
      </c>
      <c r="M2994">
        <v>810</v>
      </c>
      <c r="N2994" s="2">
        <v>162000</v>
      </c>
      <c r="O2994" s="2">
        <v>405</v>
      </c>
      <c r="P2994" s="2">
        <v>5265</v>
      </c>
      <c r="Q2994" s="2">
        <v>4860</v>
      </c>
      <c r="R2994" s="2">
        <v>0</v>
      </c>
      <c r="S2994">
        <v>0</v>
      </c>
      <c r="T2994" s="2">
        <v>5265</v>
      </c>
      <c r="U2994" s="2">
        <v>156735</v>
      </c>
      <c r="V2994">
        <v>59.777999999999999</v>
      </c>
      <c r="W2994">
        <v>0</v>
      </c>
      <c r="X2994">
        <v>0</v>
      </c>
      <c r="Y2994">
        <v>0</v>
      </c>
      <c r="Z2994">
        <v>2</v>
      </c>
      <c r="AA2994">
        <v>3.3457124999999997E-2</v>
      </c>
      <c r="AB2994">
        <v>29.6</v>
      </c>
      <c r="AC2994">
        <v>6.66</v>
      </c>
      <c r="AD2994">
        <v>26</v>
      </c>
      <c r="AE2994" s="7"/>
      <c r="AF2994" s="7"/>
      <c r="AG2994" s="7"/>
      <c r="AH2994" s="7"/>
      <c r="AI2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5.34</v>
      </c>
      <c r="AJ2994" s="7"/>
      <c r="AK2994" t="s">
        <v>1451</v>
      </c>
      <c r="AL2994">
        <v>1</v>
      </c>
      <c r="AM2994">
        <v>4</v>
      </c>
      <c r="AN2994">
        <f>IFERROR(INT(Table13[[#This Row],[reject_prod]]/Table13[[#This Row],[part_weight]] * 1000), 0)</f>
        <v>162</v>
      </c>
    </row>
    <row r="2995" spans="1:40">
      <c r="A2995" s="1">
        <v>46111</v>
      </c>
      <c r="B2995">
        <v>1</v>
      </c>
      <c r="C2995">
        <v>10</v>
      </c>
      <c r="D2995" t="s">
        <v>208</v>
      </c>
      <c r="E2995" t="s">
        <v>34</v>
      </c>
      <c r="F2995">
        <v>324638</v>
      </c>
      <c r="G2995" s="6">
        <v>0</v>
      </c>
      <c r="H2995" t="s">
        <v>687</v>
      </c>
      <c r="I2995">
        <v>10689561</v>
      </c>
      <c r="J2995">
        <v>4</v>
      </c>
      <c r="K2995">
        <v>77.5</v>
      </c>
      <c r="L2995">
        <v>77.5</v>
      </c>
      <c r="M2995">
        <v>1000</v>
      </c>
      <c r="N2995" s="2">
        <v>33120</v>
      </c>
      <c r="O2995" s="2">
        <v>138</v>
      </c>
      <c r="P2995" s="2">
        <v>0</v>
      </c>
      <c r="Q2995" s="2">
        <v>4000</v>
      </c>
      <c r="R2995" s="2">
        <v>4140</v>
      </c>
      <c r="S2995">
        <v>320.85000000000002</v>
      </c>
      <c r="T2995" s="2">
        <v>20424</v>
      </c>
      <c r="U2995" s="2">
        <v>12696</v>
      </c>
      <c r="V2995">
        <v>310</v>
      </c>
      <c r="W2995">
        <v>0</v>
      </c>
      <c r="X2995">
        <v>0</v>
      </c>
      <c r="Y2995">
        <v>0</v>
      </c>
      <c r="Z2995">
        <v>14.2</v>
      </c>
      <c r="AA2995">
        <v>4.5806451999999998E-2</v>
      </c>
      <c r="AB2995">
        <v>39.1</v>
      </c>
      <c r="AC2995">
        <v>10.86111111</v>
      </c>
      <c r="AD2995">
        <v>36</v>
      </c>
      <c r="AE2995" s="7"/>
      <c r="AF2995" s="7"/>
      <c r="AG2995" s="7"/>
      <c r="AH2995" s="7"/>
      <c r="AI2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1.1388888900000005</v>
      </c>
      <c r="AJ2995" s="7"/>
      <c r="AK2995" t="s">
        <v>1095</v>
      </c>
      <c r="AL2995">
        <v>5.5</v>
      </c>
      <c r="AM2995">
        <v>12.4</v>
      </c>
      <c r="AN2995">
        <f>IFERROR(INT(Table13[[#This Row],[reject_prod]]/Table13[[#This Row],[part_weight]] * 1000), 0)</f>
        <v>183</v>
      </c>
    </row>
    <row r="2996" spans="1:40">
      <c r="A2996" s="1">
        <v>46111</v>
      </c>
      <c r="B2996">
        <v>1</v>
      </c>
      <c r="C2996">
        <v>11</v>
      </c>
      <c r="D2996" t="s">
        <v>59</v>
      </c>
      <c r="E2996" t="s">
        <v>46</v>
      </c>
      <c r="F2996">
        <v>552181</v>
      </c>
      <c r="G2996" s="6">
        <v>1</v>
      </c>
      <c r="H2996" t="s">
        <v>49</v>
      </c>
      <c r="I2996">
        <v>10689113</v>
      </c>
      <c r="J2996">
        <v>6</v>
      </c>
      <c r="K2996">
        <v>14.7</v>
      </c>
      <c r="L2996">
        <v>14.7</v>
      </c>
      <c r="M2996">
        <v>235</v>
      </c>
      <c r="N2996" s="2">
        <v>108000</v>
      </c>
      <c r="O2996" s="2">
        <v>4050</v>
      </c>
      <c r="P2996" s="2">
        <v>0</v>
      </c>
      <c r="Q2996" s="2">
        <v>1410</v>
      </c>
      <c r="R2996" s="2">
        <v>5400</v>
      </c>
      <c r="S2996">
        <v>79.38</v>
      </c>
      <c r="T2996" s="2">
        <v>108000</v>
      </c>
      <c r="U2996" s="2">
        <v>0</v>
      </c>
      <c r="V2996">
        <v>20.727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27.7</v>
      </c>
      <c r="AC2996">
        <v>1.808194444</v>
      </c>
      <c r="AD2996">
        <v>27</v>
      </c>
      <c r="AE2996" s="7"/>
      <c r="AF2996" s="7"/>
      <c r="AG2996" s="7"/>
      <c r="AH2996" s="7"/>
      <c r="AI2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10.191805556</v>
      </c>
      <c r="AJ2996" s="7"/>
      <c r="AK2996" t="s">
        <v>51</v>
      </c>
      <c r="AN2996">
        <f>IFERROR(INT(Table13[[#This Row],[reject_prod]]/Table13[[#This Row],[part_weight]] * 1000), 0)</f>
        <v>0</v>
      </c>
    </row>
    <row r="2997" spans="1:40">
      <c r="A2997" s="1">
        <v>46111</v>
      </c>
      <c r="B2997">
        <v>1</v>
      </c>
      <c r="C2997">
        <v>11</v>
      </c>
      <c r="D2997" t="s">
        <v>59</v>
      </c>
      <c r="E2997" t="s">
        <v>46</v>
      </c>
      <c r="F2997">
        <v>552181</v>
      </c>
      <c r="G2997" s="6">
        <v>1</v>
      </c>
      <c r="H2997" t="s">
        <v>49</v>
      </c>
      <c r="I2997">
        <v>10689144</v>
      </c>
      <c r="J2997">
        <v>6</v>
      </c>
      <c r="K2997">
        <v>14.7</v>
      </c>
      <c r="L2997">
        <v>14.7</v>
      </c>
      <c r="M2997">
        <v>1305</v>
      </c>
      <c r="N2997" s="2">
        <v>108000</v>
      </c>
      <c r="O2997" s="2">
        <v>0</v>
      </c>
      <c r="P2997" s="2">
        <v>2430</v>
      </c>
      <c r="Q2997" s="2">
        <v>7830</v>
      </c>
      <c r="R2997" s="2">
        <v>5400</v>
      </c>
      <c r="S2997">
        <v>79.38</v>
      </c>
      <c r="T2997" s="2">
        <v>7830</v>
      </c>
      <c r="U2997" s="2">
        <v>100170</v>
      </c>
      <c r="V2997">
        <v>115.101</v>
      </c>
      <c r="W2997">
        <v>0</v>
      </c>
      <c r="X2997">
        <v>0</v>
      </c>
      <c r="Y2997">
        <v>0</v>
      </c>
      <c r="Z2997">
        <v>1</v>
      </c>
      <c r="AA2997">
        <v>8.6880220000000001E-3</v>
      </c>
      <c r="AB2997">
        <v>27.7</v>
      </c>
      <c r="AC2997">
        <v>10.04125</v>
      </c>
      <c r="AD2997">
        <v>27</v>
      </c>
      <c r="AE2997" s="7"/>
      <c r="AF2997" s="7"/>
      <c r="AG2997" s="7"/>
      <c r="AH2997" s="7"/>
      <c r="AI2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1.9587500000000002</v>
      </c>
      <c r="AJ2997" s="7"/>
      <c r="AK2997" t="s">
        <v>51</v>
      </c>
      <c r="AN2997">
        <f>IFERROR(INT(Table13[[#This Row],[reject_prod]]/Table13[[#This Row],[part_weight]] * 1000), 0)</f>
        <v>68</v>
      </c>
    </row>
    <row r="2998" spans="1:40">
      <c r="A2998" s="1">
        <v>46111</v>
      </c>
      <c r="B2998">
        <v>1</v>
      </c>
      <c r="C2998">
        <v>12</v>
      </c>
      <c r="D2998" t="s">
        <v>1452</v>
      </c>
      <c r="E2998" t="s">
        <v>46</v>
      </c>
      <c r="F2998">
        <v>555979</v>
      </c>
      <c r="G2998" s="6">
        <v>1</v>
      </c>
      <c r="H2998" t="s">
        <v>52</v>
      </c>
      <c r="I2998">
        <v>10689126</v>
      </c>
      <c r="J2998">
        <v>6</v>
      </c>
      <c r="K2998">
        <v>28</v>
      </c>
      <c r="L2998">
        <v>28</v>
      </c>
      <c r="M2998">
        <v>840</v>
      </c>
      <c r="N2998" s="2">
        <v>100800</v>
      </c>
      <c r="O2998" s="2">
        <v>1344</v>
      </c>
      <c r="P2998" s="2">
        <v>3024</v>
      </c>
      <c r="Q2998" s="2">
        <v>5040</v>
      </c>
      <c r="R2998" s="2">
        <v>3360</v>
      </c>
      <c r="S2998">
        <v>94.08</v>
      </c>
      <c r="T2998" s="2">
        <v>60064</v>
      </c>
      <c r="U2998" s="2">
        <v>40736</v>
      </c>
      <c r="V2998">
        <v>141.12</v>
      </c>
      <c r="W2998">
        <v>0</v>
      </c>
      <c r="X2998">
        <v>12.3</v>
      </c>
      <c r="Y2998">
        <v>8.7159864000000004E-2</v>
      </c>
      <c r="Z2998">
        <v>94</v>
      </c>
      <c r="AA2998">
        <v>0.66609977300000001</v>
      </c>
      <c r="AB2998">
        <v>44</v>
      </c>
      <c r="AC2998">
        <v>10.266666669999999</v>
      </c>
      <c r="AD2998">
        <v>42</v>
      </c>
      <c r="AE2998" s="7"/>
      <c r="AF2998" s="7"/>
      <c r="AG2998" s="7"/>
      <c r="AH2998" s="7"/>
      <c r="AI2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1.7333333300000007</v>
      </c>
      <c r="AJ2998" s="7"/>
      <c r="AK2998" t="s">
        <v>1453</v>
      </c>
      <c r="AL2998">
        <v>2</v>
      </c>
      <c r="AM2998">
        <v>4</v>
      </c>
      <c r="AN2998">
        <f>IFERROR(INT(Table13[[#This Row],[reject_prod]]/Table13[[#This Row],[part_weight]] * 1000), 0)</f>
        <v>3357</v>
      </c>
    </row>
    <row r="2999" spans="1:40">
      <c r="A2999" s="1">
        <v>46111</v>
      </c>
      <c r="B2999">
        <v>1</v>
      </c>
      <c r="C2999">
        <v>13</v>
      </c>
      <c r="D2999" t="s">
        <v>552</v>
      </c>
      <c r="E2999" t="s">
        <v>46</v>
      </c>
      <c r="F2999">
        <v>586276</v>
      </c>
      <c r="G2999" s="6">
        <v>2</v>
      </c>
      <c r="H2999" t="s">
        <v>47</v>
      </c>
      <c r="I2999">
        <v>10689829</v>
      </c>
      <c r="J2999">
        <v>6</v>
      </c>
      <c r="K2999">
        <v>12.3</v>
      </c>
      <c r="L2999">
        <v>12.3</v>
      </c>
      <c r="M2999">
        <v>1620</v>
      </c>
      <c r="N2999" s="2">
        <v>162000</v>
      </c>
      <c r="O2999" s="2">
        <v>0</v>
      </c>
      <c r="P2999" s="2">
        <v>1620</v>
      </c>
      <c r="Q2999" s="2">
        <v>9720</v>
      </c>
      <c r="R2999" s="2">
        <v>8100</v>
      </c>
      <c r="S2999">
        <v>99.63</v>
      </c>
      <c r="T2999" s="2">
        <v>9720</v>
      </c>
      <c r="U2999" s="2">
        <v>152280</v>
      </c>
      <c r="V2999">
        <v>119.556</v>
      </c>
      <c r="W2999">
        <v>0</v>
      </c>
      <c r="X2999">
        <v>0</v>
      </c>
      <c r="Y2999">
        <v>0</v>
      </c>
      <c r="Z2999">
        <v>2</v>
      </c>
      <c r="AA2999">
        <v>1.6728561999999999E-2</v>
      </c>
      <c r="AB2999">
        <v>26.2</v>
      </c>
      <c r="AC2999">
        <v>11.79</v>
      </c>
      <c r="AD2999">
        <v>26</v>
      </c>
      <c r="AE2999" s="7"/>
      <c r="AF2999" s="7"/>
      <c r="AG2999" s="7"/>
      <c r="AH2999" s="7"/>
      <c r="AI2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999" s="7"/>
      <c r="AK2999" t="s">
        <v>51</v>
      </c>
      <c r="AN2999">
        <f>IFERROR(INT(Table13[[#This Row],[reject_prod]]/Table13[[#This Row],[part_weight]] * 1000), 0)</f>
        <v>162</v>
      </c>
    </row>
    <row r="3000" spans="1:40">
      <c r="A3000" s="1">
        <v>46111</v>
      </c>
      <c r="B3000">
        <v>1</v>
      </c>
      <c r="C3000">
        <v>14</v>
      </c>
      <c r="D3000" t="s">
        <v>84</v>
      </c>
      <c r="E3000" t="s">
        <v>34</v>
      </c>
      <c r="F3000">
        <v>541381</v>
      </c>
      <c r="G3000" s="6">
        <v>0</v>
      </c>
      <c r="H3000" t="s">
        <v>804</v>
      </c>
      <c r="I3000">
        <v>10689121</v>
      </c>
      <c r="J3000">
        <v>4</v>
      </c>
      <c r="K3000">
        <v>55</v>
      </c>
      <c r="L3000">
        <v>55</v>
      </c>
      <c r="M3000">
        <v>1230</v>
      </c>
      <c r="N3000" s="2">
        <v>84000</v>
      </c>
      <c r="O3000" s="2">
        <v>0</v>
      </c>
      <c r="P3000" s="2">
        <v>0</v>
      </c>
      <c r="Q3000" s="2">
        <v>4920</v>
      </c>
      <c r="R3000" s="2">
        <v>4900</v>
      </c>
      <c r="S3000">
        <v>269.5</v>
      </c>
      <c r="T3000" s="2">
        <v>75600</v>
      </c>
      <c r="U3000" s="2">
        <v>8400</v>
      </c>
      <c r="V3000">
        <v>270.60000000000002</v>
      </c>
      <c r="W3000">
        <v>0</v>
      </c>
      <c r="X3000">
        <v>4.5</v>
      </c>
      <c r="Y3000">
        <v>1.6629712000000001E-2</v>
      </c>
      <c r="Z3000">
        <v>1.7</v>
      </c>
      <c r="AA3000">
        <v>6.2823360000000003E-3</v>
      </c>
      <c r="AB3000">
        <v>26.8</v>
      </c>
      <c r="AC3000">
        <v>9.1566666669999996</v>
      </c>
      <c r="AD3000">
        <v>30.08</v>
      </c>
      <c r="AE3000" s="7"/>
      <c r="AF3000" s="7"/>
      <c r="AG3000" s="7"/>
      <c r="AH3000" s="7"/>
      <c r="AI3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2.8433333330000004</v>
      </c>
      <c r="AJ3000" s="7"/>
      <c r="AK3000" t="s">
        <v>1454</v>
      </c>
      <c r="AL3000">
        <v>6</v>
      </c>
      <c r="AM3000">
        <v>2</v>
      </c>
      <c r="AN3000">
        <f>IFERROR(INT(Table13[[#This Row],[reject_prod]]/Table13[[#This Row],[part_weight]] * 1000), 0)</f>
        <v>30</v>
      </c>
    </row>
    <row r="3001" spans="1:40">
      <c r="A3001" s="1">
        <v>46111</v>
      </c>
      <c r="B3001">
        <v>1</v>
      </c>
      <c r="C3001">
        <v>15</v>
      </c>
      <c r="D3001" t="s">
        <v>59</v>
      </c>
      <c r="E3001" t="s">
        <v>46</v>
      </c>
      <c r="F3001">
        <v>552181</v>
      </c>
      <c r="G3001" s="6">
        <v>2</v>
      </c>
      <c r="H3001" t="s">
        <v>49</v>
      </c>
      <c r="I3001">
        <v>10689124</v>
      </c>
      <c r="J3001">
        <v>6</v>
      </c>
      <c r="K3001">
        <v>14.7</v>
      </c>
      <c r="L3001">
        <v>14.7</v>
      </c>
      <c r="M3001">
        <v>1395</v>
      </c>
      <c r="N3001" s="2">
        <v>108000</v>
      </c>
      <c r="O3001" s="2">
        <v>4860</v>
      </c>
      <c r="P3001" s="2">
        <v>2430</v>
      </c>
      <c r="Q3001" s="2">
        <v>8370</v>
      </c>
      <c r="R3001" s="2">
        <v>10800</v>
      </c>
      <c r="S3001">
        <v>158.76</v>
      </c>
      <c r="T3001" s="2">
        <v>67230</v>
      </c>
      <c r="U3001" s="2">
        <v>40770</v>
      </c>
      <c r="V3001">
        <v>123.039</v>
      </c>
      <c r="W3001">
        <v>0</v>
      </c>
      <c r="X3001">
        <v>0</v>
      </c>
      <c r="Y3001">
        <v>0</v>
      </c>
      <c r="Z3001">
        <v>1</v>
      </c>
      <c r="AA3001">
        <v>8.1275040000000007E-3</v>
      </c>
      <c r="AB3001">
        <v>30.8</v>
      </c>
      <c r="AC3001">
        <v>11.935</v>
      </c>
      <c r="AD3001">
        <v>27</v>
      </c>
      <c r="AE3001" s="7"/>
      <c r="AF3001" s="7"/>
      <c r="AG3001" s="7"/>
      <c r="AH3001" s="7"/>
      <c r="AI3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001" s="7"/>
      <c r="AK3001" t="s">
        <v>51</v>
      </c>
      <c r="AN3001">
        <f>IFERROR(INT(Table13[[#This Row],[reject_prod]]/Table13[[#This Row],[part_weight]] * 1000), 0)</f>
        <v>68</v>
      </c>
    </row>
    <row r="3002" spans="1:40">
      <c r="A3002" s="1">
        <v>46111</v>
      </c>
      <c r="B3002">
        <v>1</v>
      </c>
      <c r="C3002">
        <v>16</v>
      </c>
      <c r="D3002" t="s">
        <v>134</v>
      </c>
      <c r="E3002" t="s">
        <v>46</v>
      </c>
      <c r="F3002">
        <v>555979</v>
      </c>
      <c r="G3002" s="6">
        <v>2</v>
      </c>
      <c r="H3002" t="s">
        <v>52</v>
      </c>
      <c r="I3002">
        <v>10689831</v>
      </c>
      <c r="J3002">
        <v>6</v>
      </c>
      <c r="K3002">
        <v>28</v>
      </c>
      <c r="L3002">
        <v>28</v>
      </c>
      <c r="M3002">
        <v>1010</v>
      </c>
      <c r="N3002" s="2">
        <v>100800</v>
      </c>
      <c r="O3002" s="2">
        <v>1344</v>
      </c>
      <c r="P3002" s="2">
        <v>672</v>
      </c>
      <c r="Q3002" s="2">
        <v>6060</v>
      </c>
      <c r="R3002" s="2">
        <v>6720</v>
      </c>
      <c r="S3002">
        <v>188.16</v>
      </c>
      <c r="T3002" s="2">
        <v>34272</v>
      </c>
      <c r="U3002" s="2">
        <v>66528</v>
      </c>
      <c r="V3002">
        <v>169.68</v>
      </c>
      <c r="W3002">
        <v>0</v>
      </c>
      <c r="X3002">
        <v>0</v>
      </c>
      <c r="Y3002">
        <v>0</v>
      </c>
      <c r="Z3002">
        <v>1</v>
      </c>
      <c r="AA3002">
        <v>5.8934460000000001E-3</v>
      </c>
      <c r="AB3002">
        <v>42.58</v>
      </c>
      <c r="AC3002">
        <v>11.94605556</v>
      </c>
      <c r="AD3002">
        <v>42</v>
      </c>
      <c r="AE3002" s="7"/>
      <c r="AF3002" s="7"/>
      <c r="AG3002" s="7"/>
      <c r="AH3002" s="7"/>
      <c r="AI3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3002" s="7"/>
      <c r="AK3002" t="s">
        <v>51</v>
      </c>
      <c r="AN3002">
        <f>IFERROR(INT(Table13[[#This Row],[reject_prod]]/Table13[[#This Row],[part_weight]] * 1000), 0)</f>
        <v>35</v>
      </c>
    </row>
    <row r="3003" spans="1:40">
      <c r="A3003" s="1">
        <v>46111</v>
      </c>
      <c r="B3003">
        <v>2</v>
      </c>
      <c r="C3003">
        <v>1</v>
      </c>
      <c r="D3003" t="s">
        <v>511</v>
      </c>
      <c r="E3003" t="s">
        <v>34</v>
      </c>
      <c r="F3003">
        <v>324682</v>
      </c>
      <c r="G3003" s="6">
        <v>0</v>
      </c>
      <c r="H3003" t="s">
        <v>889</v>
      </c>
      <c r="I3003">
        <v>10691254</v>
      </c>
      <c r="J3003">
        <v>4</v>
      </c>
      <c r="K3003">
        <v>33</v>
      </c>
      <c r="L3003">
        <v>33</v>
      </c>
      <c r="M3003">
        <v>544</v>
      </c>
      <c r="N3003" s="2">
        <v>18480</v>
      </c>
      <c r="O3003" s="2">
        <v>0</v>
      </c>
      <c r="P3003" s="2">
        <v>0</v>
      </c>
      <c r="Q3003" s="2">
        <v>2176</v>
      </c>
      <c r="R3003" s="2">
        <v>1848</v>
      </c>
      <c r="S3003">
        <v>60.984000000000002</v>
      </c>
      <c r="T3003" s="2">
        <v>1848</v>
      </c>
      <c r="U3003" s="2">
        <v>16632</v>
      </c>
      <c r="V3003">
        <v>71.808000000000007</v>
      </c>
      <c r="W3003">
        <v>0</v>
      </c>
      <c r="X3003">
        <v>11</v>
      </c>
      <c r="Y3003">
        <v>0.15318627500000001</v>
      </c>
      <c r="Z3003">
        <v>0</v>
      </c>
      <c r="AA3003">
        <v>0</v>
      </c>
      <c r="AB3003">
        <v>30.5</v>
      </c>
      <c r="AC3003">
        <v>4.6088888890000002</v>
      </c>
      <c r="AD3003">
        <v>23.972000000000001</v>
      </c>
      <c r="AE3003" s="7">
        <v>4</v>
      </c>
      <c r="AF3003" s="7"/>
      <c r="AG3003" s="7"/>
      <c r="AH3003" s="7"/>
      <c r="AI3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3.3911111109999998</v>
      </c>
      <c r="AJ3003" s="7"/>
      <c r="AK3003" t="s">
        <v>1455</v>
      </c>
      <c r="AN3003">
        <f>IFERROR(INT(Table13[[#This Row],[reject_prod]]/Table13[[#This Row],[part_weight]] * 1000), 0)</f>
        <v>0</v>
      </c>
    </row>
    <row r="3004" spans="1:40">
      <c r="A3004" s="1">
        <v>46111</v>
      </c>
      <c r="B3004">
        <v>2</v>
      </c>
      <c r="C3004">
        <v>2</v>
      </c>
      <c r="D3004" t="s">
        <v>1456</v>
      </c>
      <c r="E3004" t="s">
        <v>34</v>
      </c>
      <c r="F3004">
        <v>423213</v>
      </c>
      <c r="G3004" s="6">
        <v>0</v>
      </c>
      <c r="H3004" t="s">
        <v>70</v>
      </c>
      <c r="I3004">
        <v>10689499</v>
      </c>
      <c r="J3004">
        <v>4</v>
      </c>
      <c r="K3004">
        <v>23</v>
      </c>
      <c r="L3004">
        <v>23</v>
      </c>
      <c r="M3004">
        <v>1821</v>
      </c>
      <c r="N3004" s="2">
        <v>99822</v>
      </c>
      <c r="O3004" s="2">
        <v>1143</v>
      </c>
      <c r="P3004" s="2">
        <v>3810</v>
      </c>
      <c r="Q3004" s="2">
        <v>7284</v>
      </c>
      <c r="R3004" s="2">
        <v>4572</v>
      </c>
      <c r="S3004">
        <v>105.15600000000001</v>
      </c>
      <c r="T3004" s="2">
        <v>95250</v>
      </c>
      <c r="U3004" s="2">
        <v>4572</v>
      </c>
      <c r="V3004">
        <v>167.53200000000001</v>
      </c>
      <c r="W3004">
        <v>0</v>
      </c>
      <c r="X3004">
        <v>0</v>
      </c>
      <c r="Y3004">
        <v>0</v>
      </c>
      <c r="Z3004">
        <v>1</v>
      </c>
      <c r="AA3004">
        <v>5.9690089999999999E-3</v>
      </c>
      <c r="AB3004">
        <v>23.08</v>
      </c>
      <c r="AC3004">
        <v>11.674633330000001</v>
      </c>
      <c r="AD3004">
        <v>22.5</v>
      </c>
      <c r="AE3004" s="7"/>
      <c r="AF3004" s="7"/>
      <c r="AG3004" s="7"/>
      <c r="AH3004" s="7"/>
      <c r="AI3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0.3253666699999993</v>
      </c>
      <c r="AJ3004" s="7"/>
      <c r="AK3004" t="s">
        <v>214</v>
      </c>
      <c r="AN3004">
        <f>IFERROR(INT(Table13[[#This Row],[reject_prod]]/Table13[[#This Row],[part_weight]] * 1000), 0)</f>
        <v>43</v>
      </c>
    </row>
    <row r="3005" spans="1:40">
      <c r="A3005" s="1">
        <v>46111</v>
      </c>
      <c r="B3005">
        <v>2</v>
      </c>
      <c r="C3005">
        <v>3</v>
      </c>
      <c r="D3005" t="s">
        <v>141</v>
      </c>
      <c r="E3005" t="s">
        <v>34</v>
      </c>
      <c r="F3005">
        <v>442034</v>
      </c>
      <c r="G3005" s="6">
        <v>0</v>
      </c>
      <c r="H3005" t="s">
        <v>37</v>
      </c>
      <c r="I3005">
        <v>10688497</v>
      </c>
      <c r="J3005">
        <v>4</v>
      </c>
      <c r="K3005">
        <v>23</v>
      </c>
      <c r="L3005">
        <v>23</v>
      </c>
      <c r="M3005">
        <v>1636</v>
      </c>
      <c r="N3005" s="2">
        <v>139776</v>
      </c>
      <c r="O3005" s="2">
        <v>384</v>
      </c>
      <c r="P3005" s="2">
        <v>2308</v>
      </c>
      <c r="Q3005" s="2">
        <v>6544</v>
      </c>
      <c r="R3005" s="2">
        <v>4608</v>
      </c>
      <c r="S3005">
        <v>105.98399999999999</v>
      </c>
      <c r="T3005" s="2">
        <v>112900</v>
      </c>
      <c r="U3005" s="2">
        <v>26876</v>
      </c>
      <c r="V3005">
        <v>150.512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26.2</v>
      </c>
      <c r="AC3005">
        <v>11.90644444</v>
      </c>
      <c r="AD3005">
        <v>22</v>
      </c>
      <c r="AE3005" s="7"/>
      <c r="AF3005" s="7"/>
      <c r="AG3005" s="7"/>
      <c r="AH3005" s="7"/>
      <c r="AI3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9.3555560000000426E-2</v>
      </c>
      <c r="AJ3005" s="7"/>
      <c r="AK3005" t="s">
        <v>214</v>
      </c>
      <c r="AN3005">
        <f>IFERROR(INT(Table13[[#This Row],[reject_prod]]/Table13[[#This Row],[part_weight]] * 1000), 0)</f>
        <v>0</v>
      </c>
    </row>
    <row r="3006" spans="1:40">
      <c r="A3006" s="1">
        <v>46111</v>
      </c>
      <c r="B3006">
        <v>2</v>
      </c>
      <c r="C3006">
        <v>4</v>
      </c>
      <c r="D3006" t="s">
        <v>1457</v>
      </c>
      <c r="E3006" t="s">
        <v>34</v>
      </c>
      <c r="F3006">
        <v>365091</v>
      </c>
      <c r="G3006" s="6">
        <v>0</v>
      </c>
      <c r="H3006" t="s">
        <v>189</v>
      </c>
      <c r="I3006">
        <v>10691257</v>
      </c>
      <c r="J3006">
        <v>4</v>
      </c>
      <c r="K3006">
        <v>44</v>
      </c>
      <c r="L3006">
        <v>44</v>
      </c>
      <c r="M3006">
        <v>1134</v>
      </c>
      <c r="N3006" s="2">
        <v>50715</v>
      </c>
      <c r="O3006" s="2">
        <v>1155</v>
      </c>
      <c r="P3006" s="2">
        <v>420</v>
      </c>
      <c r="Q3006" s="2">
        <v>4536</v>
      </c>
      <c r="R3006" s="2">
        <v>5040</v>
      </c>
      <c r="S3006">
        <v>221.76</v>
      </c>
      <c r="T3006" s="2">
        <v>7980</v>
      </c>
      <c r="U3006" s="2">
        <v>42735</v>
      </c>
      <c r="V3006">
        <v>199.584</v>
      </c>
      <c r="W3006">
        <v>0</v>
      </c>
      <c r="X3006">
        <v>0</v>
      </c>
      <c r="Y3006">
        <v>0</v>
      </c>
      <c r="Z3006">
        <v>13.6</v>
      </c>
      <c r="AA3006">
        <v>6.8141734999999995E-2</v>
      </c>
      <c r="AB3006">
        <v>26.1</v>
      </c>
      <c r="AC3006">
        <v>8.2215000000000007</v>
      </c>
      <c r="AD3006">
        <v>28.64</v>
      </c>
      <c r="AE3006" s="7"/>
      <c r="AF3006" s="7"/>
      <c r="AG3006" s="7"/>
      <c r="AH3006" s="7"/>
      <c r="AI3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3.7784999999999993</v>
      </c>
      <c r="AJ3006" s="7"/>
      <c r="AK3006" t="s">
        <v>1458</v>
      </c>
      <c r="AN3006">
        <f>IFERROR(INT(Table13[[#This Row],[reject_prod]]/Table13[[#This Row],[part_weight]] * 1000), 0)</f>
        <v>309</v>
      </c>
    </row>
    <row r="3007" spans="1:40">
      <c r="A3007" s="1">
        <v>46111</v>
      </c>
      <c r="B3007">
        <v>2</v>
      </c>
      <c r="C3007">
        <v>5</v>
      </c>
      <c r="D3007" t="s">
        <v>40</v>
      </c>
      <c r="E3007" t="s">
        <v>34</v>
      </c>
      <c r="F3007">
        <v>323092</v>
      </c>
      <c r="G3007" s="6">
        <v>0</v>
      </c>
      <c r="H3007" t="s">
        <v>377</v>
      </c>
      <c r="I3007">
        <v>10689564</v>
      </c>
      <c r="J3007">
        <v>4</v>
      </c>
      <c r="K3007">
        <v>48.9</v>
      </c>
      <c r="L3007">
        <v>48.9</v>
      </c>
      <c r="M3007">
        <v>1516</v>
      </c>
      <c r="N3007" s="2">
        <v>12600</v>
      </c>
      <c r="O3007" s="2">
        <v>315</v>
      </c>
      <c r="P3007" s="2">
        <v>420</v>
      </c>
      <c r="Q3007" s="2">
        <v>6064</v>
      </c>
      <c r="R3007" s="2">
        <v>5775</v>
      </c>
      <c r="S3007">
        <v>282.39749999999998</v>
      </c>
      <c r="T3007" s="2">
        <v>5775</v>
      </c>
      <c r="U3007" s="2">
        <v>6825</v>
      </c>
      <c r="V3007">
        <v>296.52960000000002</v>
      </c>
      <c r="W3007">
        <v>0</v>
      </c>
      <c r="X3007">
        <v>0</v>
      </c>
      <c r="Y3007">
        <v>0</v>
      </c>
      <c r="Z3007">
        <v>9</v>
      </c>
      <c r="AA3007">
        <v>3.0351102000000001E-2</v>
      </c>
      <c r="AB3007">
        <v>26</v>
      </c>
      <c r="AC3007">
        <v>10.948888889999999</v>
      </c>
      <c r="AD3007">
        <v>27.6</v>
      </c>
      <c r="AE3007" s="7"/>
      <c r="AF3007" s="7"/>
      <c r="AG3007" s="7"/>
      <c r="AH3007" s="7"/>
      <c r="AI3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1.0511111100000008</v>
      </c>
      <c r="AJ3007" s="7"/>
      <c r="AK3007" t="s">
        <v>1459</v>
      </c>
      <c r="AN3007">
        <f>IFERROR(INT(Table13[[#This Row],[reject_prod]]/Table13[[#This Row],[part_weight]] * 1000), 0)</f>
        <v>184</v>
      </c>
    </row>
    <row r="3008" spans="1:40">
      <c r="A3008" s="1">
        <v>46111</v>
      </c>
      <c r="B3008">
        <v>2</v>
      </c>
      <c r="C3008">
        <v>6</v>
      </c>
      <c r="D3008" t="s">
        <v>511</v>
      </c>
      <c r="E3008" t="s">
        <v>34</v>
      </c>
      <c r="F3008">
        <v>322409</v>
      </c>
      <c r="G3008" s="6">
        <v>0</v>
      </c>
      <c r="H3008" t="s">
        <v>400</v>
      </c>
      <c r="I3008">
        <v>10690124</v>
      </c>
      <c r="J3008">
        <v>4</v>
      </c>
      <c r="K3008">
        <v>24</v>
      </c>
      <c r="L3008">
        <v>24</v>
      </c>
      <c r="M3008">
        <v>1928</v>
      </c>
      <c r="N3008" s="2">
        <v>93600</v>
      </c>
      <c r="O3008" s="2">
        <v>195</v>
      </c>
      <c r="P3008" s="2">
        <v>0</v>
      </c>
      <c r="Q3008" s="2">
        <v>7712</v>
      </c>
      <c r="R3008" s="2">
        <v>8190</v>
      </c>
      <c r="S3008">
        <v>196.56</v>
      </c>
      <c r="T3008" s="2">
        <v>21060</v>
      </c>
      <c r="U3008" s="2">
        <v>72540</v>
      </c>
      <c r="V3008">
        <v>185.08799999999999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22.3</v>
      </c>
      <c r="AC3008">
        <v>11.942888890000001</v>
      </c>
      <c r="AD3008">
        <v>20</v>
      </c>
      <c r="AE3008" s="7"/>
      <c r="AF3008" s="7"/>
      <c r="AG3008" s="7"/>
      <c r="AH3008" s="7"/>
      <c r="AI3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5.7111109999999243E-2</v>
      </c>
      <c r="AJ3008" s="7"/>
      <c r="AK3008" t="s">
        <v>214</v>
      </c>
      <c r="AN3008">
        <f>IFERROR(INT(Table13[[#This Row],[reject_prod]]/Table13[[#This Row],[part_weight]] * 1000), 0)</f>
        <v>0</v>
      </c>
    </row>
    <row r="3009" spans="1:40">
      <c r="A3009" s="1">
        <v>46111</v>
      </c>
      <c r="B3009">
        <v>2</v>
      </c>
      <c r="C3009">
        <v>7</v>
      </c>
      <c r="D3009" t="s">
        <v>33</v>
      </c>
      <c r="E3009" t="s">
        <v>34</v>
      </c>
      <c r="F3009">
        <v>597507</v>
      </c>
      <c r="G3009" s="6">
        <v>0</v>
      </c>
      <c r="H3009" t="s">
        <v>279</v>
      </c>
      <c r="I3009">
        <v>10690042</v>
      </c>
      <c r="J3009">
        <v>4</v>
      </c>
      <c r="K3009">
        <v>23</v>
      </c>
      <c r="L3009">
        <v>23</v>
      </c>
      <c r="M3009">
        <v>159</v>
      </c>
      <c r="N3009" s="2">
        <v>86240</v>
      </c>
      <c r="O3009" s="2">
        <v>462</v>
      </c>
      <c r="P3009" s="2">
        <v>0</v>
      </c>
      <c r="Q3009" s="2">
        <v>636</v>
      </c>
      <c r="R3009" s="2">
        <v>1078</v>
      </c>
      <c r="S3009">
        <v>24.794</v>
      </c>
      <c r="T3009" s="2">
        <v>86240</v>
      </c>
      <c r="U3009" s="2">
        <v>0</v>
      </c>
      <c r="V3009">
        <v>14.628</v>
      </c>
      <c r="W3009">
        <v>0</v>
      </c>
      <c r="X3009">
        <v>0</v>
      </c>
      <c r="Y3009">
        <v>0</v>
      </c>
      <c r="Z3009">
        <v>0.5</v>
      </c>
      <c r="AA3009">
        <v>3.4181022999999998E-2</v>
      </c>
      <c r="AB3009">
        <v>23.5</v>
      </c>
      <c r="AC3009">
        <v>1.037916667</v>
      </c>
      <c r="AD3009">
        <v>22</v>
      </c>
      <c r="AE3009" s="7"/>
      <c r="AF3009" s="7"/>
      <c r="AG3009" s="7"/>
      <c r="AH3009" s="7"/>
      <c r="AI3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10.962083333000001</v>
      </c>
      <c r="AJ3009" s="7"/>
      <c r="AK3009" t="s">
        <v>102</v>
      </c>
      <c r="AN3009">
        <f>IFERROR(INT(Table13[[#This Row],[reject_prod]]/Table13[[#This Row],[part_weight]] * 1000), 0)</f>
        <v>21</v>
      </c>
    </row>
    <row r="3010" spans="1:40">
      <c r="A3010" s="1">
        <v>46111</v>
      </c>
      <c r="B3010">
        <v>2</v>
      </c>
      <c r="C3010">
        <v>7</v>
      </c>
      <c r="D3010" t="s">
        <v>33</v>
      </c>
      <c r="E3010" t="s">
        <v>34</v>
      </c>
      <c r="F3010">
        <v>322435</v>
      </c>
      <c r="G3010" s="6">
        <v>0</v>
      </c>
      <c r="H3010" t="s">
        <v>216</v>
      </c>
      <c r="I3010">
        <v>10690041</v>
      </c>
      <c r="J3010">
        <v>4</v>
      </c>
      <c r="K3010">
        <v>34.5</v>
      </c>
      <c r="L3010">
        <v>34.5</v>
      </c>
      <c r="M3010">
        <v>0</v>
      </c>
      <c r="N3010" s="2">
        <v>16380</v>
      </c>
      <c r="O3010" s="2">
        <v>0</v>
      </c>
      <c r="P3010" s="2">
        <v>0</v>
      </c>
      <c r="Q3010" s="2">
        <v>0</v>
      </c>
      <c r="R3010" s="2">
        <v>0</v>
      </c>
      <c r="S3010">
        <v>0</v>
      </c>
      <c r="T3010" s="2">
        <v>0</v>
      </c>
      <c r="U3010" s="2">
        <v>16380</v>
      </c>
      <c r="V3010">
        <v>0</v>
      </c>
      <c r="W3010">
        <v>0</v>
      </c>
      <c r="X3010">
        <v>0</v>
      </c>
      <c r="Y3010" t="e">
        <v>#DIV/0!</v>
      </c>
      <c r="Z3010">
        <v>0</v>
      </c>
      <c r="AA3010" t="e">
        <v>#DIV/0!</v>
      </c>
      <c r="AB3010">
        <v>23.5</v>
      </c>
      <c r="AC3010">
        <v>0</v>
      </c>
      <c r="AD3010">
        <v>22</v>
      </c>
      <c r="AE3010" s="7"/>
      <c r="AF3010" s="7"/>
      <c r="AG3010" s="7"/>
      <c r="AH3010" s="7"/>
      <c r="AI3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0" s="7"/>
      <c r="AK3010" t="s">
        <v>1460</v>
      </c>
      <c r="AN3010">
        <f>IFERROR(INT(Table13[[#This Row],[reject_prod]]/Table13[[#This Row],[part_weight]] * 1000), 0)</f>
        <v>0</v>
      </c>
    </row>
    <row r="3011" spans="1:40">
      <c r="A3011" s="1">
        <v>46111</v>
      </c>
      <c r="B3011">
        <v>2</v>
      </c>
      <c r="C3011">
        <v>8</v>
      </c>
      <c r="D3011" t="s">
        <v>698</v>
      </c>
      <c r="E3011" t="s">
        <v>41</v>
      </c>
      <c r="F3011">
        <v>593537</v>
      </c>
      <c r="G3011" s="6">
        <v>0</v>
      </c>
      <c r="H3011" t="s">
        <v>48</v>
      </c>
      <c r="I3011">
        <v>10689827</v>
      </c>
      <c r="J3011">
        <v>4</v>
      </c>
      <c r="K3011">
        <v>56.5</v>
      </c>
      <c r="L3011">
        <v>56.8</v>
      </c>
      <c r="M3011">
        <v>1445</v>
      </c>
      <c r="N3011" s="2">
        <v>69000</v>
      </c>
      <c r="O3011" s="2">
        <v>230</v>
      </c>
      <c r="P3011" s="2">
        <v>230</v>
      </c>
      <c r="Q3011" s="2">
        <v>5780</v>
      </c>
      <c r="R3011" s="2">
        <v>5750</v>
      </c>
      <c r="S3011">
        <v>326.60000000000002</v>
      </c>
      <c r="T3011" s="2">
        <v>67275</v>
      </c>
      <c r="U3011" s="2">
        <v>1725</v>
      </c>
      <c r="V3011">
        <v>328.30399999999997</v>
      </c>
      <c r="W3011">
        <v>0</v>
      </c>
      <c r="X3011">
        <v>0</v>
      </c>
      <c r="Y3011">
        <v>0</v>
      </c>
      <c r="Z3011">
        <v>1.5</v>
      </c>
      <c r="AA3011">
        <v>4.568936E-3</v>
      </c>
      <c r="AB3011">
        <v>29.9</v>
      </c>
      <c r="AC3011">
        <v>12</v>
      </c>
      <c r="AD3011">
        <v>28.5</v>
      </c>
      <c r="AE3011" s="7"/>
      <c r="AF3011" s="7"/>
      <c r="AG3011" s="7"/>
      <c r="AH3011" s="7"/>
      <c r="AI3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1" s="7"/>
      <c r="AK3011" t="s">
        <v>51</v>
      </c>
      <c r="AN3011">
        <f>IFERROR(INT(Table13[[#This Row],[reject_prod]]/Table13[[#This Row],[part_weight]] * 1000), 0)</f>
        <v>26</v>
      </c>
    </row>
    <row r="3012" spans="1:40">
      <c r="A3012" s="1">
        <v>46111</v>
      </c>
      <c r="B3012">
        <v>2</v>
      </c>
      <c r="C3012">
        <v>9</v>
      </c>
      <c r="D3012" t="s">
        <v>33</v>
      </c>
      <c r="E3012" t="s">
        <v>46</v>
      </c>
      <c r="F3012">
        <v>586276</v>
      </c>
      <c r="G3012" s="6">
        <v>1</v>
      </c>
      <c r="H3012" t="s">
        <v>47</v>
      </c>
      <c r="I3012">
        <v>10689828</v>
      </c>
      <c r="J3012">
        <v>6</v>
      </c>
      <c r="K3012">
        <v>12.3</v>
      </c>
      <c r="L3012">
        <v>12.3</v>
      </c>
      <c r="M3012">
        <v>0</v>
      </c>
      <c r="N3012" s="2">
        <v>162000</v>
      </c>
      <c r="O3012" s="2">
        <v>5265</v>
      </c>
      <c r="P3012" s="2">
        <v>5265</v>
      </c>
      <c r="Q3012" s="2">
        <v>0</v>
      </c>
      <c r="R3012" s="2">
        <v>0</v>
      </c>
      <c r="S3012">
        <v>0</v>
      </c>
      <c r="T3012" s="2">
        <v>5265</v>
      </c>
      <c r="U3012" s="2">
        <v>156735</v>
      </c>
      <c r="V3012">
        <v>0</v>
      </c>
      <c r="W3012">
        <v>0</v>
      </c>
      <c r="X3012">
        <v>0</v>
      </c>
      <c r="Y3012" t="e">
        <v>#DIV/0!</v>
      </c>
      <c r="Z3012">
        <v>0</v>
      </c>
      <c r="AA3012" t="e">
        <v>#DIV/0!</v>
      </c>
      <c r="AB3012">
        <v>29.8</v>
      </c>
      <c r="AC3012">
        <v>0</v>
      </c>
      <c r="AD3012">
        <v>26</v>
      </c>
      <c r="AE3012" s="7"/>
      <c r="AF3012" s="7"/>
      <c r="AG3012" s="7"/>
      <c r="AH3012" s="7"/>
      <c r="AI3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2" s="7"/>
      <c r="AK3012" t="s">
        <v>407</v>
      </c>
      <c r="AN3012">
        <f>IFERROR(INT(Table13[[#This Row],[reject_prod]]/Table13[[#This Row],[part_weight]] * 1000), 0)</f>
        <v>0</v>
      </c>
    </row>
    <row r="3013" spans="1:40">
      <c r="A3013" s="1">
        <v>46111</v>
      </c>
      <c r="B3013">
        <v>2</v>
      </c>
      <c r="C3013">
        <v>10</v>
      </c>
      <c r="D3013" t="s">
        <v>33</v>
      </c>
      <c r="E3013" t="s">
        <v>34</v>
      </c>
      <c r="F3013">
        <v>324638</v>
      </c>
      <c r="G3013" s="6">
        <v>0</v>
      </c>
      <c r="H3013" t="s">
        <v>687</v>
      </c>
      <c r="I3013">
        <v>10689561</v>
      </c>
      <c r="J3013">
        <v>4</v>
      </c>
      <c r="K3013">
        <v>77.5</v>
      </c>
      <c r="L3013">
        <v>77.5</v>
      </c>
      <c r="M3013">
        <v>0</v>
      </c>
      <c r="N3013" s="2">
        <v>33120</v>
      </c>
      <c r="O3013" s="2">
        <v>0</v>
      </c>
      <c r="P3013" s="2">
        <v>0</v>
      </c>
      <c r="Q3013" s="2">
        <v>0</v>
      </c>
      <c r="R3013" s="2">
        <v>0</v>
      </c>
      <c r="S3013">
        <v>0</v>
      </c>
      <c r="T3013" s="2">
        <v>20424</v>
      </c>
      <c r="U3013" s="2">
        <v>12696</v>
      </c>
      <c r="V3013">
        <v>0</v>
      </c>
      <c r="W3013">
        <v>0</v>
      </c>
      <c r="X3013">
        <v>0</v>
      </c>
      <c r="Y3013" t="e">
        <v>#DIV/0!</v>
      </c>
      <c r="Z3013">
        <v>0</v>
      </c>
      <c r="AA3013" t="e">
        <v>#DIV/0!</v>
      </c>
      <c r="AB3013">
        <v>39.1</v>
      </c>
      <c r="AC3013">
        <v>0</v>
      </c>
      <c r="AD3013">
        <v>36</v>
      </c>
      <c r="AE3013" s="7"/>
      <c r="AF3013" s="7"/>
      <c r="AG3013" s="7"/>
      <c r="AH3013" s="7"/>
      <c r="AI3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3" s="7"/>
      <c r="AK3013" t="s">
        <v>407</v>
      </c>
      <c r="AN3013">
        <f>IFERROR(INT(Table13[[#This Row],[reject_prod]]/Table13[[#This Row],[part_weight]] * 1000), 0)</f>
        <v>0</v>
      </c>
    </row>
    <row r="3014" spans="1:40">
      <c r="A3014" s="1">
        <v>46111</v>
      </c>
      <c r="B3014">
        <v>2</v>
      </c>
      <c r="C3014">
        <v>11</v>
      </c>
      <c r="D3014" t="s">
        <v>149</v>
      </c>
      <c r="E3014" t="s">
        <v>46</v>
      </c>
      <c r="F3014">
        <v>552181</v>
      </c>
      <c r="G3014" s="6">
        <v>1</v>
      </c>
      <c r="H3014" t="s">
        <v>49</v>
      </c>
      <c r="I3014">
        <v>10689114</v>
      </c>
      <c r="J3014">
        <v>6</v>
      </c>
      <c r="K3014">
        <v>14.7</v>
      </c>
      <c r="L3014">
        <v>14.7</v>
      </c>
      <c r="M3014">
        <v>1539</v>
      </c>
      <c r="N3014" s="2">
        <v>108000</v>
      </c>
      <c r="O3014" s="2">
        <v>2430</v>
      </c>
      <c r="P3014" s="2">
        <v>810</v>
      </c>
      <c r="Q3014" s="2">
        <v>9234</v>
      </c>
      <c r="R3014" s="2">
        <v>10800</v>
      </c>
      <c r="S3014">
        <v>158.76</v>
      </c>
      <c r="T3014" s="2">
        <v>17010</v>
      </c>
      <c r="U3014" s="2">
        <v>90990</v>
      </c>
      <c r="V3014">
        <v>135.7398</v>
      </c>
      <c r="W3014">
        <v>0</v>
      </c>
      <c r="X3014">
        <v>0</v>
      </c>
      <c r="Y3014">
        <v>0</v>
      </c>
      <c r="Z3014">
        <v>1</v>
      </c>
      <c r="AA3014">
        <v>7.3670360000000004E-3</v>
      </c>
      <c r="AB3014">
        <v>27.7</v>
      </c>
      <c r="AC3014">
        <v>11.841749999999999</v>
      </c>
      <c r="AD3014">
        <v>27</v>
      </c>
      <c r="AE3014" s="7"/>
      <c r="AF3014" s="7"/>
      <c r="AG3014" s="7"/>
      <c r="AH3014" s="7"/>
      <c r="AI3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0.15825000000000067</v>
      </c>
      <c r="AJ3014" s="7"/>
      <c r="AK3014" t="s">
        <v>51</v>
      </c>
      <c r="AN3014">
        <f>IFERROR(INT(Table13[[#This Row],[reject_prod]]/Table13[[#This Row],[part_weight]] * 1000), 0)</f>
        <v>68</v>
      </c>
    </row>
    <row r="3015" spans="1:40">
      <c r="A3015" s="1">
        <v>46111</v>
      </c>
      <c r="B3015">
        <v>2</v>
      </c>
      <c r="C3015">
        <v>12</v>
      </c>
      <c r="D3015" t="s">
        <v>43</v>
      </c>
      <c r="E3015" t="s">
        <v>46</v>
      </c>
      <c r="F3015">
        <v>555979</v>
      </c>
      <c r="G3015" s="6">
        <v>1</v>
      </c>
      <c r="H3015" t="s">
        <v>52</v>
      </c>
      <c r="I3015">
        <v>10689126</v>
      </c>
      <c r="J3015">
        <v>6</v>
      </c>
      <c r="K3015">
        <v>28</v>
      </c>
      <c r="L3015">
        <v>28</v>
      </c>
      <c r="M3015">
        <v>964</v>
      </c>
      <c r="N3015" s="2">
        <v>100800</v>
      </c>
      <c r="O3015" s="2">
        <v>3024</v>
      </c>
      <c r="P3015" s="2">
        <v>0</v>
      </c>
      <c r="Q3015" s="2">
        <v>5784</v>
      </c>
      <c r="R3015" s="2">
        <v>6720</v>
      </c>
      <c r="S3015">
        <v>188.16</v>
      </c>
      <c r="T3015" s="2">
        <v>53760</v>
      </c>
      <c r="U3015" s="2">
        <v>47040</v>
      </c>
      <c r="V3015">
        <v>161.952</v>
      </c>
      <c r="W3015">
        <v>0</v>
      </c>
      <c r="X3015">
        <v>0</v>
      </c>
      <c r="Y3015">
        <v>0</v>
      </c>
      <c r="Z3015">
        <v>0.3</v>
      </c>
      <c r="AA3015">
        <v>1.852401E-3</v>
      </c>
      <c r="AB3015">
        <v>44</v>
      </c>
      <c r="AC3015">
        <v>11.78222222</v>
      </c>
      <c r="AD3015">
        <v>42</v>
      </c>
      <c r="AE3015" s="7"/>
      <c r="AF3015" s="7"/>
      <c r="AG3015" s="7"/>
      <c r="AH3015" s="7"/>
      <c r="AI3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0.21777778000000048</v>
      </c>
      <c r="AJ3015" s="7"/>
      <c r="AK3015" t="s">
        <v>51</v>
      </c>
      <c r="AN3015">
        <f>IFERROR(INT(Table13[[#This Row],[reject_prod]]/Table13[[#This Row],[part_weight]] * 1000), 0)</f>
        <v>10</v>
      </c>
    </row>
    <row r="3016" spans="1:40">
      <c r="A3016" s="1">
        <v>46111</v>
      </c>
      <c r="B3016">
        <v>2</v>
      </c>
      <c r="C3016">
        <v>13</v>
      </c>
      <c r="D3016" t="s">
        <v>149</v>
      </c>
      <c r="E3016" t="s">
        <v>46</v>
      </c>
      <c r="F3016">
        <v>586276</v>
      </c>
      <c r="G3016" s="6">
        <v>2</v>
      </c>
      <c r="H3016" t="s">
        <v>47</v>
      </c>
      <c r="I3016">
        <v>10689119</v>
      </c>
      <c r="J3016">
        <v>6</v>
      </c>
      <c r="K3016">
        <v>12.3</v>
      </c>
      <c r="L3016">
        <v>12.3</v>
      </c>
      <c r="M3016">
        <v>1626</v>
      </c>
      <c r="N3016" s="2">
        <v>162000</v>
      </c>
      <c r="O3016" s="2">
        <v>1620</v>
      </c>
      <c r="P3016" s="2">
        <v>3240</v>
      </c>
      <c r="Q3016" s="2">
        <v>9756</v>
      </c>
      <c r="R3016" s="2">
        <v>8100</v>
      </c>
      <c r="S3016">
        <v>99.63</v>
      </c>
      <c r="T3016" s="2">
        <v>19440</v>
      </c>
      <c r="U3016" s="2">
        <v>142560</v>
      </c>
      <c r="V3016">
        <v>119.9988</v>
      </c>
      <c r="W3016">
        <v>0</v>
      </c>
      <c r="X3016">
        <v>0</v>
      </c>
      <c r="Y3016">
        <v>0</v>
      </c>
      <c r="Z3016">
        <v>1</v>
      </c>
      <c r="AA3016">
        <v>8.3334169999999992E-3</v>
      </c>
      <c r="AB3016">
        <v>26.2</v>
      </c>
      <c r="AC3016">
        <v>11.833666669999999</v>
      </c>
      <c r="AD3016">
        <v>26</v>
      </c>
      <c r="AE3016" s="7"/>
      <c r="AF3016" s="7"/>
      <c r="AG3016" s="7"/>
      <c r="AH3016" s="7"/>
      <c r="AI3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0.1663333300000005</v>
      </c>
      <c r="AJ3016" s="7"/>
      <c r="AK3016" t="s">
        <v>51</v>
      </c>
      <c r="AN3016">
        <f>IFERROR(INT(Table13[[#This Row],[reject_prod]]/Table13[[#This Row],[part_weight]] * 1000), 0)</f>
        <v>81</v>
      </c>
    </row>
    <row r="3017" spans="1:40">
      <c r="A3017" s="1">
        <v>46111</v>
      </c>
      <c r="B3017">
        <v>2</v>
      </c>
      <c r="C3017">
        <v>14</v>
      </c>
      <c r="D3017" t="s">
        <v>67</v>
      </c>
      <c r="E3017" t="s">
        <v>34</v>
      </c>
      <c r="F3017">
        <v>541381</v>
      </c>
      <c r="G3017" s="6">
        <v>0</v>
      </c>
      <c r="H3017" t="s">
        <v>804</v>
      </c>
      <c r="I3017">
        <v>10689121</v>
      </c>
      <c r="J3017">
        <v>4</v>
      </c>
      <c r="K3017">
        <v>55</v>
      </c>
      <c r="L3017">
        <v>55</v>
      </c>
      <c r="M3017">
        <v>1591</v>
      </c>
      <c r="N3017" s="2">
        <v>84000</v>
      </c>
      <c r="O3017" s="2">
        <v>0</v>
      </c>
      <c r="P3017" s="2">
        <v>0</v>
      </c>
      <c r="Q3017" s="2">
        <v>6364</v>
      </c>
      <c r="R3017" s="2">
        <v>6300</v>
      </c>
      <c r="S3017">
        <v>346.5</v>
      </c>
      <c r="T3017" s="2">
        <v>81900</v>
      </c>
      <c r="U3017" s="2">
        <v>2100</v>
      </c>
      <c r="V3017">
        <v>350.02</v>
      </c>
      <c r="W3017">
        <v>0</v>
      </c>
      <c r="X3017">
        <v>0</v>
      </c>
      <c r="Y3017">
        <v>0</v>
      </c>
      <c r="Z3017">
        <v>3.5</v>
      </c>
      <c r="AA3017">
        <v>9.9994290000000007E-3</v>
      </c>
      <c r="AB3017">
        <v>26.8</v>
      </c>
      <c r="AC3017">
        <v>11.84411111</v>
      </c>
      <c r="AD3017">
        <v>30.08</v>
      </c>
      <c r="AE3017" s="7"/>
      <c r="AF3017" s="7"/>
      <c r="AG3017" s="7"/>
      <c r="AH3017" s="7"/>
      <c r="AI3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0.15588888999999995</v>
      </c>
      <c r="AJ3017" s="7"/>
      <c r="AK3017" t="s">
        <v>178</v>
      </c>
      <c r="AN3017">
        <f>IFERROR(INT(Table13[[#This Row],[reject_prod]]/Table13[[#This Row],[part_weight]] * 1000), 0)</f>
        <v>63</v>
      </c>
    </row>
    <row r="3018" spans="1:40">
      <c r="A3018" s="1">
        <v>46111</v>
      </c>
      <c r="B3018">
        <v>2</v>
      </c>
      <c r="C3018">
        <v>15</v>
      </c>
      <c r="D3018" t="s">
        <v>149</v>
      </c>
      <c r="E3018" t="s">
        <v>46</v>
      </c>
      <c r="F3018">
        <v>552181</v>
      </c>
      <c r="G3018" s="6">
        <v>2</v>
      </c>
      <c r="H3018" t="s">
        <v>49</v>
      </c>
      <c r="I3018">
        <v>10689124</v>
      </c>
      <c r="J3018">
        <v>6</v>
      </c>
      <c r="K3018">
        <v>14.7</v>
      </c>
      <c r="L3018">
        <v>14.7</v>
      </c>
      <c r="M3018">
        <v>1404</v>
      </c>
      <c r="N3018" s="2">
        <v>108000</v>
      </c>
      <c r="O3018" s="2">
        <v>2430</v>
      </c>
      <c r="P3018" s="2">
        <v>0</v>
      </c>
      <c r="Q3018" s="2">
        <v>8424</v>
      </c>
      <c r="R3018" s="2">
        <v>10800</v>
      </c>
      <c r="S3018">
        <v>158.76</v>
      </c>
      <c r="T3018" s="2">
        <v>75600</v>
      </c>
      <c r="U3018" s="2">
        <v>32400</v>
      </c>
      <c r="V3018">
        <v>123.83280000000001</v>
      </c>
      <c r="W3018">
        <v>0</v>
      </c>
      <c r="X3018">
        <v>0</v>
      </c>
      <c r="Y3018">
        <v>0</v>
      </c>
      <c r="Z3018">
        <v>1</v>
      </c>
      <c r="AA3018">
        <v>8.0754050000000008E-3</v>
      </c>
      <c r="AB3018">
        <v>30.8</v>
      </c>
      <c r="AC3018">
        <v>12</v>
      </c>
      <c r="AD3018">
        <v>27</v>
      </c>
      <c r="AE3018" s="7"/>
      <c r="AF3018" s="7"/>
      <c r="AG3018" s="7"/>
      <c r="AH3018" s="7"/>
      <c r="AI3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8" s="7"/>
      <c r="AK3018" t="s">
        <v>51</v>
      </c>
      <c r="AN3018">
        <f>IFERROR(INT(Table13[[#This Row],[reject_prod]]/Table13[[#This Row],[part_weight]] * 1000), 0)</f>
        <v>68</v>
      </c>
    </row>
    <row r="3019" spans="1:40">
      <c r="A3019" s="1">
        <v>46111</v>
      </c>
      <c r="B3019">
        <v>2</v>
      </c>
      <c r="C3019">
        <v>16</v>
      </c>
      <c r="D3019" t="s">
        <v>221</v>
      </c>
      <c r="E3019" t="s">
        <v>46</v>
      </c>
      <c r="F3019">
        <v>555979</v>
      </c>
      <c r="G3019" s="6">
        <v>2</v>
      </c>
      <c r="H3019" t="s">
        <v>52</v>
      </c>
      <c r="I3019">
        <v>10689831</v>
      </c>
      <c r="J3019">
        <v>6</v>
      </c>
      <c r="K3019">
        <v>28</v>
      </c>
      <c r="L3019">
        <v>28</v>
      </c>
      <c r="M3019">
        <v>994</v>
      </c>
      <c r="N3019" s="2">
        <v>100800</v>
      </c>
      <c r="O3019" s="2">
        <v>672</v>
      </c>
      <c r="P3019" s="2">
        <v>3192</v>
      </c>
      <c r="Q3019" s="2">
        <v>5964</v>
      </c>
      <c r="R3019" s="2">
        <v>3360</v>
      </c>
      <c r="S3019">
        <v>94.08</v>
      </c>
      <c r="T3019" s="2">
        <v>40152</v>
      </c>
      <c r="U3019" s="2">
        <v>60648</v>
      </c>
      <c r="V3019">
        <v>166.99199999999999</v>
      </c>
      <c r="W3019">
        <v>0</v>
      </c>
      <c r="X3019">
        <v>0</v>
      </c>
      <c r="Y3019">
        <v>0</v>
      </c>
      <c r="Z3019">
        <v>2.5</v>
      </c>
      <c r="AA3019">
        <v>1.4970776999999999E-2</v>
      </c>
      <c r="AB3019">
        <v>42.55</v>
      </c>
      <c r="AC3019">
        <v>11.74852778</v>
      </c>
      <c r="AD3019">
        <v>42</v>
      </c>
      <c r="AE3019" s="7"/>
      <c r="AF3019" s="7"/>
      <c r="AG3019" s="7"/>
      <c r="AH3019" s="7"/>
      <c r="AI3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0.25147222000000014</v>
      </c>
      <c r="AJ3019" s="7"/>
      <c r="AK3019" t="s">
        <v>51</v>
      </c>
      <c r="AN3019">
        <f>IFERROR(INT(Table13[[#This Row],[reject_prod]]/Table13[[#This Row],[part_weight]] * 1000), 0)</f>
        <v>89</v>
      </c>
    </row>
    <row r="3020" spans="1:40">
      <c r="A3020" s="1">
        <v>46112</v>
      </c>
      <c r="B3020">
        <v>1</v>
      </c>
      <c r="C3020">
        <v>1</v>
      </c>
      <c r="D3020" t="s">
        <v>289</v>
      </c>
      <c r="E3020" t="s">
        <v>34</v>
      </c>
      <c r="F3020">
        <v>324682</v>
      </c>
      <c r="G3020" s="6">
        <v>0</v>
      </c>
      <c r="H3020" t="s">
        <v>889</v>
      </c>
      <c r="I3020">
        <v>10691254</v>
      </c>
      <c r="J3020">
        <v>4</v>
      </c>
      <c r="K3020">
        <v>33</v>
      </c>
      <c r="L3020">
        <v>33</v>
      </c>
      <c r="M3020">
        <v>1386</v>
      </c>
      <c r="N3020" s="2">
        <v>18480</v>
      </c>
      <c r="O3020" s="2">
        <v>0</v>
      </c>
      <c r="P3020" s="2">
        <v>0</v>
      </c>
      <c r="Q3020" s="2">
        <v>5544</v>
      </c>
      <c r="R3020" s="2">
        <v>5544</v>
      </c>
      <c r="S3020">
        <v>182.952</v>
      </c>
      <c r="T3020" s="2">
        <v>7392</v>
      </c>
      <c r="U3020" s="2">
        <v>11088</v>
      </c>
      <c r="V3020">
        <v>182.952</v>
      </c>
      <c r="W3020">
        <v>0</v>
      </c>
      <c r="X3020">
        <v>0</v>
      </c>
      <c r="Y3020">
        <v>0</v>
      </c>
      <c r="Z3020">
        <v>1.3</v>
      </c>
      <c r="AA3020">
        <v>7.1056890000000001E-3</v>
      </c>
      <c r="AB3020">
        <v>30.5</v>
      </c>
      <c r="AC3020">
        <v>11.7425</v>
      </c>
      <c r="AD3020">
        <v>23.972000000000001</v>
      </c>
      <c r="AE3020" s="7"/>
      <c r="AF3020" s="7"/>
      <c r="AG3020" s="7"/>
      <c r="AH3020" s="7"/>
      <c r="AI3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0.25750000000000028</v>
      </c>
      <c r="AJ3020" s="7"/>
      <c r="AK3020" t="s">
        <v>214</v>
      </c>
      <c r="AL3020">
        <v>7</v>
      </c>
      <c r="AM3020">
        <v>19.3</v>
      </c>
      <c r="AN3020">
        <f>IFERROR(INT(Table13[[#This Row],[reject_prod]]/Table13[[#This Row],[part_weight]] * 1000), 0)</f>
        <v>39</v>
      </c>
    </row>
    <row r="3021" spans="1:40">
      <c r="A3021" s="1">
        <v>46112</v>
      </c>
      <c r="B3021">
        <v>1</v>
      </c>
      <c r="C3021">
        <v>2</v>
      </c>
      <c r="D3021" t="s">
        <v>1243</v>
      </c>
      <c r="E3021" t="s">
        <v>34</v>
      </c>
      <c r="F3021">
        <v>423213</v>
      </c>
      <c r="G3021" s="6">
        <v>0</v>
      </c>
      <c r="H3021" t="s">
        <v>70</v>
      </c>
      <c r="I3021">
        <v>10689499</v>
      </c>
      <c r="J3021">
        <v>4</v>
      </c>
      <c r="K3021">
        <v>23</v>
      </c>
      <c r="L3021">
        <v>23</v>
      </c>
      <c r="M3021">
        <v>1140</v>
      </c>
      <c r="N3021" s="2">
        <v>99822</v>
      </c>
      <c r="O3021" s="2">
        <v>3810</v>
      </c>
      <c r="P3021" s="2">
        <v>0</v>
      </c>
      <c r="Q3021" s="2">
        <v>4560</v>
      </c>
      <c r="R3021" s="2">
        <v>8382</v>
      </c>
      <c r="S3021">
        <v>192.786</v>
      </c>
      <c r="T3021" s="2">
        <v>99822</v>
      </c>
      <c r="U3021" s="2">
        <v>0</v>
      </c>
      <c r="V3021">
        <v>104.88</v>
      </c>
      <c r="W3021">
        <v>0</v>
      </c>
      <c r="X3021">
        <v>0</v>
      </c>
      <c r="Y3021">
        <v>0</v>
      </c>
      <c r="Z3021">
        <v>0.8</v>
      </c>
      <c r="AA3021">
        <v>7.6277649999999999E-3</v>
      </c>
      <c r="AB3021">
        <v>23.08</v>
      </c>
      <c r="AC3021">
        <v>7.3086666669999998</v>
      </c>
      <c r="AD3021">
        <v>22.5</v>
      </c>
      <c r="AE3021" s="7"/>
      <c r="AF3021" s="7"/>
      <c r="AG3021" s="7"/>
      <c r="AH3021" s="7"/>
      <c r="AI3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4.6913333330000002</v>
      </c>
      <c r="AJ3021" s="7"/>
      <c r="AK3021" t="s">
        <v>1461</v>
      </c>
      <c r="AL3021">
        <v>4</v>
      </c>
      <c r="AM3021">
        <v>3</v>
      </c>
      <c r="AN3021">
        <f>IFERROR(INT(Table13[[#This Row],[reject_prod]]/Table13[[#This Row],[part_weight]] * 1000), 0)</f>
        <v>34</v>
      </c>
    </row>
    <row r="3022" spans="1:40">
      <c r="A3022" s="1">
        <v>46112</v>
      </c>
      <c r="B3022">
        <v>1</v>
      </c>
      <c r="C3022">
        <v>2</v>
      </c>
      <c r="D3022" t="s">
        <v>1462</v>
      </c>
      <c r="E3022" t="s">
        <v>34</v>
      </c>
      <c r="F3022">
        <v>423215</v>
      </c>
      <c r="G3022" s="6">
        <v>0</v>
      </c>
      <c r="H3022" t="s">
        <v>156</v>
      </c>
      <c r="I3022">
        <v>10689500</v>
      </c>
      <c r="J3022">
        <v>4</v>
      </c>
      <c r="K3022">
        <v>24</v>
      </c>
      <c r="L3022">
        <v>24</v>
      </c>
      <c r="M3022">
        <v>360</v>
      </c>
      <c r="N3022" s="2">
        <v>129720</v>
      </c>
      <c r="O3022" s="2">
        <v>0</v>
      </c>
      <c r="P3022" s="2">
        <v>1410</v>
      </c>
      <c r="Q3022" s="2">
        <v>1440</v>
      </c>
      <c r="R3022" s="2">
        <v>0</v>
      </c>
      <c r="S3022">
        <v>0</v>
      </c>
      <c r="T3022" s="2">
        <v>1410</v>
      </c>
      <c r="U3022" s="2">
        <v>128310</v>
      </c>
      <c r="V3022">
        <v>34.56</v>
      </c>
      <c r="W3022">
        <v>0</v>
      </c>
      <c r="X3022">
        <v>4</v>
      </c>
      <c r="Y3022">
        <v>0.11574074099999999</v>
      </c>
      <c r="Z3022">
        <v>0</v>
      </c>
      <c r="AA3022">
        <v>0</v>
      </c>
      <c r="AB3022">
        <v>23.08</v>
      </c>
      <c r="AC3022">
        <v>2.3079999999999998</v>
      </c>
      <c r="AD3022">
        <v>22</v>
      </c>
      <c r="AE3022" s="7"/>
      <c r="AF3022" s="7"/>
      <c r="AG3022" s="7">
        <v>0.5</v>
      </c>
      <c r="AH3022" s="7"/>
      <c r="AI3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9.1920000000000002</v>
      </c>
      <c r="AJ3022" s="7"/>
      <c r="AK3022" t="s">
        <v>1463</v>
      </c>
      <c r="AN3022">
        <f>IFERROR(INT(Table13[[#This Row],[reject_prod]]/Table13[[#This Row],[part_weight]] * 1000), 0)</f>
        <v>0</v>
      </c>
    </row>
    <row r="3023" spans="1:40">
      <c r="A3023" s="1">
        <v>46112</v>
      </c>
      <c r="B3023">
        <v>1</v>
      </c>
      <c r="C3023">
        <v>3</v>
      </c>
      <c r="D3023" t="s">
        <v>1464</v>
      </c>
      <c r="E3023" t="s">
        <v>34</v>
      </c>
      <c r="F3023">
        <v>442034</v>
      </c>
      <c r="G3023" s="6">
        <v>0</v>
      </c>
      <c r="H3023" t="s">
        <v>37</v>
      </c>
      <c r="I3023">
        <v>10688497</v>
      </c>
      <c r="J3023">
        <v>4</v>
      </c>
      <c r="K3023">
        <v>23</v>
      </c>
      <c r="L3023">
        <v>23</v>
      </c>
      <c r="M3023">
        <v>1660</v>
      </c>
      <c r="N3023" s="2">
        <v>139776</v>
      </c>
      <c r="O3023" s="2">
        <v>2308</v>
      </c>
      <c r="P3023" s="2">
        <v>0</v>
      </c>
      <c r="Q3023" s="2">
        <v>6640</v>
      </c>
      <c r="R3023" s="2">
        <v>9216</v>
      </c>
      <c r="S3023">
        <v>211.96799999999999</v>
      </c>
      <c r="T3023" s="2">
        <v>119808</v>
      </c>
      <c r="U3023" s="2">
        <v>19968</v>
      </c>
      <c r="V3023">
        <v>152.72</v>
      </c>
      <c r="W3023">
        <v>0</v>
      </c>
      <c r="X3023">
        <v>0</v>
      </c>
      <c r="Y3023">
        <v>0</v>
      </c>
      <c r="Z3023">
        <v>3.3</v>
      </c>
      <c r="AA3023">
        <v>2.1608171999999998E-2</v>
      </c>
      <c r="AB3023">
        <v>26.2</v>
      </c>
      <c r="AC3023">
        <v>12</v>
      </c>
      <c r="AD3023">
        <v>22</v>
      </c>
      <c r="AE3023" s="7"/>
      <c r="AF3023" s="7"/>
      <c r="AG3023" s="7"/>
      <c r="AH3023" s="7"/>
      <c r="AI3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23" s="7"/>
      <c r="AK3023" t="s">
        <v>168</v>
      </c>
      <c r="AL3023">
        <v>3</v>
      </c>
      <c r="AM3023">
        <v>4</v>
      </c>
      <c r="AN3023">
        <f>IFERROR(INT(Table13[[#This Row],[reject_prod]]/Table13[[#This Row],[part_weight]] * 1000), 0)</f>
        <v>143</v>
      </c>
    </row>
    <row r="3024" spans="1:40">
      <c r="A3024" s="1">
        <v>46112</v>
      </c>
      <c r="B3024">
        <v>1</v>
      </c>
      <c r="C3024">
        <v>4</v>
      </c>
      <c r="D3024" t="s">
        <v>56</v>
      </c>
      <c r="E3024" t="s">
        <v>34</v>
      </c>
      <c r="F3024">
        <v>365091</v>
      </c>
      <c r="G3024" s="6">
        <v>0</v>
      </c>
      <c r="H3024" t="s">
        <v>189</v>
      </c>
      <c r="I3024">
        <v>10691257</v>
      </c>
      <c r="J3024">
        <v>4</v>
      </c>
      <c r="K3024">
        <v>44</v>
      </c>
      <c r="L3024">
        <v>44</v>
      </c>
      <c r="M3024">
        <v>740</v>
      </c>
      <c r="N3024" s="2">
        <v>50715</v>
      </c>
      <c r="O3024" s="2">
        <v>420</v>
      </c>
      <c r="P3024" s="2">
        <v>840</v>
      </c>
      <c r="Q3024" s="2">
        <v>2960</v>
      </c>
      <c r="R3024" s="2">
        <v>2520</v>
      </c>
      <c r="S3024">
        <v>110.88</v>
      </c>
      <c r="T3024" s="2">
        <v>10920</v>
      </c>
      <c r="U3024" s="2">
        <v>39795</v>
      </c>
      <c r="V3024">
        <v>130.24</v>
      </c>
      <c r="W3024">
        <v>0</v>
      </c>
      <c r="X3024">
        <v>0</v>
      </c>
      <c r="Y3024">
        <v>0</v>
      </c>
      <c r="Z3024">
        <v>4.5999999999999996</v>
      </c>
      <c r="AA3024">
        <v>3.5319410000000002E-2</v>
      </c>
      <c r="AB3024">
        <v>26.1</v>
      </c>
      <c r="AC3024">
        <v>5.3650000000000002</v>
      </c>
      <c r="AD3024">
        <v>28.64</v>
      </c>
      <c r="AE3024" s="7"/>
      <c r="AF3024" s="7"/>
      <c r="AG3024" s="7"/>
      <c r="AH3024" s="7">
        <v>5.0999999999999996</v>
      </c>
      <c r="AI3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1.5350000000000001</v>
      </c>
      <c r="AJ3024" s="7"/>
      <c r="AK3024" t="s">
        <v>1465</v>
      </c>
      <c r="AL3024">
        <v>3</v>
      </c>
      <c r="AM3024">
        <v>22.3</v>
      </c>
      <c r="AN3024">
        <f>IFERROR(INT(Table13[[#This Row],[reject_prod]]/Table13[[#This Row],[part_weight]] * 1000), 0)</f>
        <v>104</v>
      </c>
    </row>
    <row r="3025" spans="1:40">
      <c r="A3025" s="1">
        <v>46112</v>
      </c>
      <c r="B3025">
        <v>1</v>
      </c>
      <c r="C3025">
        <v>5</v>
      </c>
      <c r="D3025" t="s">
        <v>139</v>
      </c>
      <c r="E3025" t="s">
        <v>34</v>
      </c>
      <c r="F3025">
        <v>323092</v>
      </c>
      <c r="G3025" s="6">
        <v>0</v>
      </c>
      <c r="H3025" t="s">
        <v>377</v>
      </c>
      <c r="I3025">
        <v>10689564</v>
      </c>
      <c r="J3025">
        <v>4</v>
      </c>
      <c r="K3025">
        <v>48.9</v>
      </c>
      <c r="L3025">
        <v>48.9</v>
      </c>
      <c r="M3025">
        <v>1680</v>
      </c>
      <c r="N3025" s="2">
        <v>12600</v>
      </c>
      <c r="O3025" s="2">
        <v>420</v>
      </c>
      <c r="P3025" s="2">
        <v>0</v>
      </c>
      <c r="Q3025" s="2">
        <v>6720</v>
      </c>
      <c r="R3025" s="2">
        <v>6825</v>
      </c>
      <c r="S3025">
        <v>333.74250000000001</v>
      </c>
      <c r="T3025" s="2">
        <v>12600</v>
      </c>
      <c r="U3025" s="2">
        <v>0</v>
      </c>
      <c r="V3025">
        <v>328.608</v>
      </c>
      <c r="W3025">
        <v>0</v>
      </c>
      <c r="X3025">
        <v>0</v>
      </c>
      <c r="Y3025">
        <v>0</v>
      </c>
      <c r="Z3025">
        <v>3.5</v>
      </c>
      <c r="AA3025">
        <v>1.0650988E-2</v>
      </c>
      <c r="AB3025">
        <v>25.5</v>
      </c>
      <c r="AC3025">
        <v>11.9</v>
      </c>
      <c r="AD3025">
        <v>27.6</v>
      </c>
      <c r="AE3025" s="7"/>
      <c r="AF3025" s="7"/>
      <c r="AG3025" s="7"/>
      <c r="AH3025" s="7"/>
      <c r="AI3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3025" s="7"/>
      <c r="AK3025" t="s">
        <v>214</v>
      </c>
      <c r="AL3025">
        <v>8</v>
      </c>
      <c r="AM3025">
        <v>10</v>
      </c>
      <c r="AN3025">
        <f>IFERROR(INT(Table13[[#This Row],[reject_prod]]/Table13[[#This Row],[part_weight]] * 1000), 0)</f>
        <v>71</v>
      </c>
    </row>
    <row r="3026" spans="1:40">
      <c r="A3026" s="1">
        <v>46112</v>
      </c>
      <c r="B3026">
        <v>1</v>
      </c>
      <c r="C3026">
        <v>6</v>
      </c>
      <c r="D3026" t="s">
        <v>1466</v>
      </c>
      <c r="E3026" t="s">
        <v>34</v>
      </c>
      <c r="F3026">
        <v>322409</v>
      </c>
      <c r="G3026" s="6">
        <v>0</v>
      </c>
      <c r="H3026" t="s">
        <v>400</v>
      </c>
      <c r="I3026">
        <v>10690124</v>
      </c>
      <c r="J3026">
        <v>4</v>
      </c>
      <c r="K3026">
        <v>24</v>
      </c>
      <c r="L3026">
        <v>24</v>
      </c>
      <c r="M3026">
        <v>1950</v>
      </c>
      <c r="N3026" s="2">
        <v>93600</v>
      </c>
      <c r="O3026" s="2">
        <v>0</v>
      </c>
      <c r="P3026" s="2">
        <v>780</v>
      </c>
      <c r="Q3026" s="2">
        <v>7800</v>
      </c>
      <c r="R3026" s="2">
        <v>7020</v>
      </c>
      <c r="S3026">
        <v>168.48</v>
      </c>
      <c r="T3026" s="2">
        <v>28860</v>
      </c>
      <c r="U3026" s="2">
        <v>64740</v>
      </c>
      <c r="V3026">
        <v>187.2</v>
      </c>
      <c r="W3026">
        <v>0</v>
      </c>
      <c r="X3026">
        <v>0</v>
      </c>
      <c r="Y3026">
        <v>0</v>
      </c>
      <c r="Z3026">
        <v>1.3</v>
      </c>
      <c r="AA3026">
        <v>6.9444440000000001E-3</v>
      </c>
      <c r="AB3026">
        <v>22.3</v>
      </c>
      <c r="AC3026">
        <v>12</v>
      </c>
      <c r="AD3026">
        <v>20</v>
      </c>
      <c r="AE3026" s="7"/>
      <c r="AF3026" s="7"/>
      <c r="AG3026" s="7"/>
      <c r="AH3026" s="7"/>
      <c r="AI3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26" s="7"/>
      <c r="AK3026" t="s">
        <v>168</v>
      </c>
      <c r="AN3026">
        <f>IFERROR(INT(Table13[[#This Row],[reject_prod]]/Table13[[#This Row],[part_weight]] * 1000), 0)</f>
        <v>54</v>
      </c>
    </row>
    <row r="3027" spans="1:40">
      <c r="A3027" s="1">
        <v>46112</v>
      </c>
      <c r="B3027">
        <v>1</v>
      </c>
      <c r="C3027">
        <v>7</v>
      </c>
      <c r="D3027" t="s">
        <v>33</v>
      </c>
      <c r="E3027" t="s">
        <v>34</v>
      </c>
      <c r="F3027">
        <v>322435</v>
      </c>
      <c r="G3027" s="6">
        <v>0</v>
      </c>
      <c r="H3027" t="s">
        <v>216</v>
      </c>
      <c r="I3027">
        <v>10690041</v>
      </c>
      <c r="J3027">
        <v>4</v>
      </c>
      <c r="K3027">
        <v>34.5</v>
      </c>
      <c r="L3027">
        <v>34.5</v>
      </c>
      <c r="M3027">
        <v>0</v>
      </c>
      <c r="N3027" s="2">
        <v>16380</v>
      </c>
      <c r="O3027" s="2">
        <v>0</v>
      </c>
      <c r="P3027" s="2">
        <v>0</v>
      </c>
      <c r="Q3027" s="2">
        <v>0</v>
      </c>
      <c r="R3027" s="2">
        <v>0</v>
      </c>
      <c r="S3027">
        <v>0</v>
      </c>
      <c r="T3027" s="2">
        <v>0</v>
      </c>
      <c r="U3027" s="2">
        <v>16380</v>
      </c>
      <c r="V3027">
        <v>0</v>
      </c>
      <c r="W3027">
        <v>0</v>
      </c>
      <c r="X3027">
        <v>4.7</v>
      </c>
      <c r="Y3027" t="e">
        <v>#DIV/0!</v>
      </c>
      <c r="Z3027">
        <v>0</v>
      </c>
      <c r="AA3027" t="e">
        <v>#DIV/0!</v>
      </c>
      <c r="AB3027">
        <v>23.5</v>
      </c>
      <c r="AC3027">
        <v>0</v>
      </c>
      <c r="AD3027">
        <v>22</v>
      </c>
      <c r="AE3027" s="7"/>
      <c r="AF3027" s="7"/>
      <c r="AG3027" s="7"/>
      <c r="AH3027" s="7"/>
      <c r="AI3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27" s="7"/>
      <c r="AK3027" t="s">
        <v>1467</v>
      </c>
      <c r="AL3027">
        <v>13</v>
      </c>
      <c r="AM3027">
        <v>6.8</v>
      </c>
      <c r="AN3027">
        <f>IFERROR(INT(Table13[[#This Row],[reject_prod]]/Table13[[#This Row],[part_weight]] * 1000), 0)</f>
        <v>0</v>
      </c>
    </row>
    <row r="3028" spans="1:40">
      <c r="A3028" s="1">
        <v>46112</v>
      </c>
      <c r="B3028">
        <v>1</v>
      </c>
      <c r="C3028">
        <v>8</v>
      </c>
      <c r="D3028" t="s">
        <v>1468</v>
      </c>
      <c r="E3028" t="s">
        <v>41</v>
      </c>
      <c r="F3028">
        <v>593537</v>
      </c>
      <c r="G3028" s="6">
        <v>0</v>
      </c>
      <c r="H3028" t="s">
        <v>48</v>
      </c>
      <c r="I3028">
        <v>10689827</v>
      </c>
      <c r="J3028">
        <v>4</v>
      </c>
      <c r="K3028">
        <v>56.5</v>
      </c>
      <c r="L3028">
        <v>56.8</v>
      </c>
      <c r="M3028">
        <v>370</v>
      </c>
      <c r="N3028" s="2">
        <v>69000</v>
      </c>
      <c r="O3028" s="2">
        <v>230</v>
      </c>
      <c r="P3028" s="2">
        <v>0</v>
      </c>
      <c r="Q3028" s="2">
        <v>1480</v>
      </c>
      <c r="R3028" s="2">
        <v>1725</v>
      </c>
      <c r="S3028">
        <v>97.98</v>
      </c>
      <c r="T3028" s="2">
        <v>69000</v>
      </c>
      <c r="U3028" s="2">
        <v>0</v>
      </c>
      <c r="V3028">
        <v>84.063999999999993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29.9</v>
      </c>
      <c r="AC3028">
        <v>3.0730555559999999</v>
      </c>
      <c r="AD3028">
        <v>28.5</v>
      </c>
      <c r="AE3028" s="7"/>
      <c r="AF3028" s="7"/>
      <c r="AG3028" s="7"/>
      <c r="AH3028" s="7"/>
      <c r="AI3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8.9269444440000001</v>
      </c>
      <c r="AJ3028" s="7"/>
      <c r="AK3028" t="s">
        <v>102</v>
      </c>
      <c r="AN3028">
        <f>IFERROR(INT(Table13[[#This Row],[reject_prod]]/Table13[[#This Row],[part_weight]] * 1000), 0)</f>
        <v>0</v>
      </c>
    </row>
    <row r="3029" spans="1:40">
      <c r="A3029" s="1">
        <v>46112</v>
      </c>
      <c r="B3029">
        <v>1</v>
      </c>
      <c r="C3029">
        <v>8</v>
      </c>
      <c r="D3029" t="s">
        <v>1468</v>
      </c>
      <c r="E3029" t="s">
        <v>41</v>
      </c>
      <c r="F3029">
        <v>593537</v>
      </c>
      <c r="G3029" s="6">
        <v>0</v>
      </c>
      <c r="H3029" t="s">
        <v>48</v>
      </c>
      <c r="I3029">
        <v>10691260</v>
      </c>
      <c r="J3029">
        <v>4</v>
      </c>
      <c r="K3029">
        <v>56.5</v>
      </c>
      <c r="L3029">
        <v>56.8</v>
      </c>
      <c r="M3029">
        <v>1092</v>
      </c>
      <c r="N3029" s="2">
        <v>69000</v>
      </c>
      <c r="O3029" s="2">
        <v>0</v>
      </c>
      <c r="P3029" s="2">
        <v>345</v>
      </c>
      <c r="Q3029" s="2">
        <v>4368</v>
      </c>
      <c r="R3029" s="2">
        <v>4025</v>
      </c>
      <c r="S3029">
        <v>228.62</v>
      </c>
      <c r="T3029" s="2">
        <v>4370</v>
      </c>
      <c r="U3029" s="2">
        <v>64630</v>
      </c>
      <c r="V3029">
        <v>248.10239999999999</v>
      </c>
      <c r="W3029">
        <v>0</v>
      </c>
      <c r="X3029">
        <v>0</v>
      </c>
      <c r="Y3029">
        <v>0</v>
      </c>
      <c r="Z3029">
        <v>1.3</v>
      </c>
      <c r="AA3029">
        <v>5.2397720000000002E-3</v>
      </c>
      <c r="AB3029">
        <v>29.9</v>
      </c>
      <c r="AC3029">
        <v>9.0696666669999999</v>
      </c>
      <c r="AD3029">
        <v>28.5</v>
      </c>
      <c r="AE3029" s="7"/>
      <c r="AF3029" s="7"/>
      <c r="AG3029" s="7"/>
      <c r="AH3029" s="7"/>
      <c r="AI3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2.9303333330000001</v>
      </c>
      <c r="AJ3029" s="7"/>
      <c r="AK3029" t="s">
        <v>178</v>
      </c>
      <c r="AN3029">
        <f>IFERROR(INT(Table13[[#This Row],[reject_prod]]/Table13[[#This Row],[part_weight]] * 1000), 0)</f>
        <v>22</v>
      </c>
    </row>
    <row r="3030" spans="1:40">
      <c r="A3030" s="1">
        <v>46112</v>
      </c>
      <c r="B3030">
        <v>1</v>
      </c>
      <c r="C3030">
        <v>9</v>
      </c>
      <c r="D3030" t="s">
        <v>33</v>
      </c>
      <c r="E3030" t="s">
        <v>46</v>
      </c>
      <c r="F3030">
        <v>586276</v>
      </c>
      <c r="G3030" s="6">
        <v>1</v>
      </c>
      <c r="H3030" t="s">
        <v>47</v>
      </c>
      <c r="I3030">
        <v>10689828</v>
      </c>
      <c r="J3030">
        <v>6</v>
      </c>
      <c r="K3030">
        <v>12.3</v>
      </c>
      <c r="L3030">
        <v>12.3</v>
      </c>
      <c r="M3030">
        <v>0</v>
      </c>
      <c r="N3030" s="2">
        <v>162000</v>
      </c>
      <c r="O3030" s="2">
        <v>5265</v>
      </c>
      <c r="P3030" s="2">
        <v>5265</v>
      </c>
      <c r="Q3030" s="2">
        <v>0</v>
      </c>
      <c r="R3030" s="2">
        <v>0</v>
      </c>
      <c r="S3030">
        <v>0</v>
      </c>
      <c r="T3030" s="2">
        <v>5265</v>
      </c>
      <c r="U3030" s="2">
        <v>156735</v>
      </c>
      <c r="V3030">
        <v>0</v>
      </c>
      <c r="W3030">
        <v>0</v>
      </c>
      <c r="X3030">
        <v>0</v>
      </c>
      <c r="Y3030" t="e">
        <v>#DIV/0!</v>
      </c>
      <c r="Z3030">
        <v>0</v>
      </c>
      <c r="AA3030" t="e">
        <v>#DIV/0!</v>
      </c>
      <c r="AB3030">
        <v>29.8</v>
      </c>
      <c r="AC3030">
        <v>0</v>
      </c>
      <c r="AD3030">
        <v>26</v>
      </c>
      <c r="AE3030" s="7"/>
      <c r="AF3030" s="7"/>
      <c r="AG3030" s="7"/>
      <c r="AH3030" s="7"/>
      <c r="AI3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30" s="7"/>
      <c r="AK3030" t="s">
        <v>1469</v>
      </c>
      <c r="AN3030">
        <f>IFERROR(INT(Table13[[#This Row],[reject_prod]]/Table13[[#This Row],[part_weight]] * 1000), 0)</f>
        <v>0</v>
      </c>
    </row>
    <row r="3031" spans="1:40">
      <c r="A3031" s="1">
        <v>46112</v>
      </c>
      <c r="B3031">
        <v>1</v>
      </c>
      <c r="C3031">
        <v>10</v>
      </c>
      <c r="D3031" t="s">
        <v>134</v>
      </c>
      <c r="E3031" t="s">
        <v>34</v>
      </c>
      <c r="F3031">
        <v>324638</v>
      </c>
      <c r="G3031" s="6">
        <v>0</v>
      </c>
      <c r="H3031" t="s">
        <v>687</v>
      </c>
      <c r="I3031">
        <v>10689561</v>
      </c>
      <c r="J3031">
        <v>4</v>
      </c>
      <c r="K3031">
        <v>77.5</v>
      </c>
      <c r="L3031">
        <v>77.5</v>
      </c>
      <c r="M3031">
        <v>440</v>
      </c>
      <c r="N3031" s="2">
        <v>33120</v>
      </c>
      <c r="O3031" s="2">
        <v>0</v>
      </c>
      <c r="P3031" s="2">
        <v>69</v>
      </c>
      <c r="Q3031" s="2">
        <v>1760</v>
      </c>
      <c r="R3031" s="2">
        <v>1656</v>
      </c>
      <c r="S3031">
        <v>128.34</v>
      </c>
      <c r="T3031" s="2">
        <v>22149</v>
      </c>
      <c r="U3031" s="2">
        <v>10971</v>
      </c>
      <c r="V3031">
        <v>136.4</v>
      </c>
      <c r="W3031">
        <v>0</v>
      </c>
      <c r="X3031">
        <v>18</v>
      </c>
      <c r="Y3031">
        <v>0.13196480899999999</v>
      </c>
      <c r="Z3031">
        <v>0.6</v>
      </c>
      <c r="AA3031">
        <v>4.3988270000000001E-3</v>
      </c>
      <c r="AB3031">
        <v>39.1</v>
      </c>
      <c r="AC3031">
        <v>4.7788888890000001</v>
      </c>
      <c r="AD3031">
        <v>36</v>
      </c>
      <c r="AE3031" s="7"/>
      <c r="AF3031" s="7"/>
      <c r="AG3031" s="7"/>
      <c r="AH3031" s="7"/>
      <c r="AI3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7.2211111109999999</v>
      </c>
      <c r="AJ3031" s="7"/>
      <c r="AK3031" t="s">
        <v>1470</v>
      </c>
      <c r="AL3031">
        <v>12</v>
      </c>
      <c r="AM3031">
        <v>7</v>
      </c>
      <c r="AN3031">
        <f>IFERROR(INT(Table13[[#This Row],[reject_prod]]/Table13[[#This Row],[part_weight]] * 1000), 0)</f>
        <v>7</v>
      </c>
    </row>
    <row r="3032" spans="1:40">
      <c r="A3032" s="1">
        <v>46112</v>
      </c>
      <c r="B3032">
        <v>1</v>
      </c>
      <c r="C3032">
        <v>11</v>
      </c>
      <c r="D3032" t="s">
        <v>59</v>
      </c>
      <c r="E3032" t="s">
        <v>46</v>
      </c>
      <c r="F3032">
        <v>552181</v>
      </c>
      <c r="G3032" s="6">
        <v>1</v>
      </c>
      <c r="H3032" t="s">
        <v>49</v>
      </c>
      <c r="I3032">
        <v>10689114</v>
      </c>
      <c r="J3032">
        <v>6</v>
      </c>
      <c r="K3032">
        <v>14.7</v>
      </c>
      <c r="L3032">
        <v>14.7</v>
      </c>
      <c r="M3032">
        <v>1510</v>
      </c>
      <c r="N3032" s="2">
        <v>108000</v>
      </c>
      <c r="O3032" s="2">
        <v>810</v>
      </c>
      <c r="P3032" s="2">
        <v>4320</v>
      </c>
      <c r="Q3032" s="2">
        <v>9060</v>
      </c>
      <c r="R3032" s="2">
        <v>5400</v>
      </c>
      <c r="S3032">
        <v>79.38</v>
      </c>
      <c r="T3032" s="2">
        <v>25920</v>
      </c>
      <c r="U3032" s="2">
        <v>82080</v>
      </c>
      <c r="V3032">
        <v>133.18199999999999</v>
      </c>
      <c r="W3032">
        <v>0</v>
      </c>
      <c r="X3032">
        <v>0</v>
      </c>
      <c r="Y3032">
        <v>0</v>
      </c>
      <c r="Z3032">
        <v>1</v>
      </c>
      <c r="AA3032">
        <v>7.5085220000000001E-3</v>
      </c>
      <c r="AB3032">
        <v>27.7</v>
      </c>
      <c r="AC3032">
        <v>11.61861111</v>
      </c>
      <c r="AD3032">
        <v>27</v>
      </c>
      <c r="AE3032" s="7"/>
      <c r="AF3032" s="7"/>
      <c r="AG3032" s="7"/>
      <c r="AH3032" s="7"/>
      <c r="AI3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0.3813888900000002</v>
      </c>
      <c r="AJ3032" s="7"/>
      <c r="AK3032" t="s">
        <v>51</v>
      </c>
      <c r="AN3032">
        <f>IFERROR(INT(Table13[[#This Row],[reject_prod]]/Table13[[#This Row],[part_weight]] * 1000), 0)</f>
        <v>68</v>
      </c>
    </row>
    <row r="3033" spans="1:40">
      <c r="A3033" s="1">
        <v>46112</v>
      </c>
      <c r="B3033">
        <v>1</v>
      </c>
      <c r="C3033">
        <v>12</v>
      </c>
      <c r="D3033" t="s">
        <v>117</v>
      </c>
      <c r="E3033" t="s">
        <v>46</v>
      </c>
      <c r="F3033">
        <v>555979</v>
      </c>
      <c r="G3033" s="6">
        <v>1</v>
      </c>
      <c r="H3033" t="s">
        <v>52</v>
      </c>
      <c r="I3033">
        <v>10689126</v>
      </c>
      <c r="J3033">
        <v>6</v>
      </c>
      <c r="K3033">
        <v>28</v>
      </c>
      <c r="L3033">
        <v>28</v>
      </c>
      <c r="M3033">
        <v>900</v>
      </c>
      <c r="N3033" s="2">
        <v>100800</v>
      </c>
      <c r="O3033" s="2">
        <v>0</v>
      </c>
      <c r="P3033" s="2">
        <v>2352</v>
      </c>
      <c r="Q3033" s="2">
        <v>5400</v>
      </c>
      <c r="R3033" s="2">
        <v>3360</v>
      </c>
      <c r="S3033">
        <v>94.08</v>
      </c>
      <c r="T3033" s="2">
        <v>59472</v>
      </c>
      <c r="U3033" s="2">
        <v>41328</v>
      </c>
      <c r="V3033">
        <v>151.19999999999999</v>
      </c>
      <c r="W3033">
        <v>0</v>
      </c>
      <c r="X3033">
        <v>0</v>
      </c>
      <c r="Y3033">
        <v>0</v>
      </c>
      <c r="Z3033">
        <v>7.2</v>
      </c>
      <c r="AA3033">
        <v>4.7619047999999997E-2</v>
      </c>
      <c r="AB3033">
        <v>44</v>
      </c>
      <c r="AC3033">
        <v>11</v>
      </c>
      <c r="AD3033">
        <v>42</v>
      </c>
      <c r="AE3033" s="7"/>
      <c r="AF3033" s="7"/>
      <c r="AG3033" s="7"/>
      <c r="AH3033" s="7"/>
      <c r="AI3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</v>
      </c>
      <c r="AJ3033" s="7"/>
      <c r="AK3033" t="s">
        <v>1471</v>
      </c>
      <c r="AN3033">
        <f>IFERROR(INT(Table13[[#This Row],[reject_prod]]/Table13[[#This Row],[part_weight]] * 1000), 0)</f>
        <v>257</v>
      </c>
    </row>
    <row r="3034" spans="1:40">
      <c r="A3034" s="1">
        <v>46112</v>
      </c>
      <c r="B3034">
        <v>1</v>
      </c>
      <c r="C3034">
        <v>13</v>
      </c>
      <c r="D3034" t="s">
        <v>58</v>
      </c>
      <c r="E3034" t="s">
        <v>46</v>
      </c>
      <c r="F3034">
        <v>586276</v>
      </c>
      <c r="G3034" s="6">
        <v>2</v>
      </c>
      <c r="H3034" t="s">
        <v>47</v>
      </c>
      <c r="I3034">
        <v>10689829</v>
      </c>
      <c r="J3034">
        <v>6</v>
      </c>
      <c r="K3034">
        <v>12.3</v>
      </c>
      <c r="L3034">
        <v>12.3</v>
      </c>
      <c r="M3034">
        <v>1620</v>
      </c>
      <c r="N3034" s="2">
        <v>162000</v>
      </c>
      <c r="O3034" s="2">
        <v>3240</v>
      </c>
      <c r="P3034" s="2">
        <v>4860</v>
      </c>
      <c r="Q3034" s="2">
        <v>9720</v>
      </c>
      <c r="R3034" s="2">
        <v>8100</v>
      </c>
      <c r="S3034">
        <v>99.63</v>
      </c>
      <c r="T3034" s="2">
        <v>29160</v>
      </c>
      <c r="U3034" s="2">
        <v>132840</v>
      </c>
      <c r="V3034">
        <v>119.556</v>
      </c>
      <c r="W3034">
        <v>0</v>
      </c>
      <c r="X3034">
        <v>0</v>
      </c>
      <c r="Y3034">
        <v>0</v>
      </c>
      <c r="Z3034">
        <v>1</v>
      </c>
      <c r="AA3034">
        <v>8.3642809999999995E-3</v>
      </c>
      <c r="AB3034">
        <v>26.2</v>
      </c>
      <c r="AC3034">
        <v>11.79</v>
      </c>
      <c r="AD3034">
        <v>26</v>
      </c>
      <c r="AE3034" s="7"/>
      <c r="AF3034" s="7"/>
      <c r="AG3034" s="7"/>
      <c r="AH3034" s="7"/>
      <c r="AI3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034" s="7"/>
      <c r="AK3034" t="s">
        <v>51</v>
      </c>
      <c r="AN3034">
        <f>IFERROR(INT(Table13[[#This Row],[reject_prod]]/Table13[[#This Row],[part_weight]] * 1000), 0)</f>
        <v>81</v>
      </c>
    </row>
    <row r="3035" spans="1:40">
      <c r="A3035" s="1">
        <v>46112</v>
      </c>
      <c r="B3035">
        <v>1</v>
      </c>
      <c r="C3035">
        <v>14</v>
      </c>
      <c r="D3035" t="s">
        <v>54</v>
      </c>
      <c r="E3035" t="s">
        <v>34</v>
      </c>
      <c r="F3035">
        <v>541381</v>
      </c>
      <c r="G3035" s="6">
        <v>0</v>
      </c>
      <c r="H3035" t="s">
        <v>804</v>
      </c>
      <c r="I3035">
        <v>10689121</v>
      </c>
      <c r="J3035">
        <v>4</v>
      </c>
      <c r="K3035">
        <v>55</v>
      </c>
      <c r="L3035">
        <v>55</v>
      </c>
      <c r="M3035">
        <v>525</v>
      </c>
      <c r="N3035" s="2">
        <v>84000</v>
      </c>
      <c r="O3035" s="2">
        <v>0</v>
      </c>
      <c r="P3035" s="2">
        <v>0</v>
      </c>
      <c r="Q3035" s="2">
        <v>2100</v>
      </c>
      <c r="R3035" s="2">
        <v>2100</v>
      </c>
      <c r="S3035">
        <v>115.5</v>
      </c>
      <c r="T3035" s="2">
        <v>84000</v>
      </c>
      <c r="U3035" s="2">
        <v>0</v>
      </c>
      <c r="V3035">
        <v>115.5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26.8</v>
      </c>
      <c r="AC3035">
        <v>3.9083333329999999</v>
      </c>
      <c r="AD3035">
        <v>30.08</v>
      </c>
      <c r="AE3035" s="7"/>
      <c r="AF3035" s="7"/>
      <c r="AG3035" s="7"/>
      <c r="AH3035" s="7"/>
      <c r="AI3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8.0916666670000001</v>
      </c>
      <c r="AJ3035" s="7"/>
      <c r="AK3035" t="s">
        <v>102</v>
      </c>
      <c r="AN3035">
        <f>IFERROR(INT(Table13[[#This Row],[reject_prod]]/Table13[[#This Row],[part_weight]] * 1000), 0)</f>
        <v>0</v>
      </c>
    </row>
    <row r="3036" spans="1:40">
      <c r="A3036" s="1">
        <v>46112</v>
      </c>
      <c r="B3036">
        <v>1</v>
      </c>
      <c r="C3036">
        <v>14</v>
      </c>
      <c r="D3036" t="s">
        <v>54</v>
      </c>
      <c r="E3036" t="s">
        <v>34</v>
      </c>
      <c r="F3036">
        <v>541381</v>
      </c>
      <c r="G3036" s="6">
        <v>0</v>
      </c>
      <c r="H3036" t="s">
        <v>804</v>
      </c>
      <c r="I3036">
        <v>10689830</v>
      </c>
      <c r="J3036">
        <v>4</v>
      </c>
      <c r="K3036">
        <v>55</v>
      </c>
      <c r="L3036">
        <v>55</v>
      </c>
      <c r="M3036">
        <v>1090</v>
      </c>
      <c r="N3036" s="2">
        <v>84000</v>
      </c>
      <c r="O3036" s="2">
        <v>0</v>
      </c>
      <c r="P3036" s="2">
        <v>175</v>
      </c>
      <c r="Q3036" s="2">
        <v>4360</v>
      </c>
      <c r="R3036" s="2">
        <v>4200</v>
      </c>
      <c r="S3036">
        <v>231</v>
      </c>
      <c r="T3036" s="2">
        <v>4375</v>
      </c>
      <c r="U3036" s="2">
        <v>79625</v>
      </c>
      <c r="V3036">
        <v>239.8</v>
      </c>
      <c r="W3036">
        <v>0</v>
      </c>
      <c r="X3036">
        <v>0</v>
      </c>
      <c r="Y3036">
        <v>0</v>
      </c>
      <c r="Z3036">
        <v>3.3</v>
      </c>
      <c r="AA3036">
        <v>1.3761468000000001E-2</v>
      </c>
      <c r="AB3036">
        <v>26.8</v>
      </c>
      <c r="AC3036">
        <v>8.1144444440000001</v>
      </c>
      <c r="AD3036">
        <v>30.08</v>
      </c>
      <c r="AE3036" s="7"/>
      <c r="AF3036" s="7"/>
      <c r="AG3036" s="7"/>
      <c r="AH3036" s="7"/>
      <c r="AI3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3.8855555559999999</v>
      </c>
      <c r="AJ3036" s="7"/>
      <c r="AK3036" t="s">
        <v>178</v>
      </c>
      <c r="AN3036">
        <f>IFERROR(INT(Table13[[#This Row],[reject_prod]]/Table13[[#This Row],[part_weight]] * 1000), 0)</f>
        <v>60</v>
      </c>
    </row>
    <row r="3037" spans="1:40">
      <c r="A3037" s="1">
        <v>46112</v>
      </c>
      <c r="B3037">
        <v>1</v>
      </c>
      <c r="C3037">
        <v>15</v>
      </c>
      <c r="D3037" t="s">
        <v>59</v>
      </c>
      <c r="E3037" t="s">
        <v>46</v>
      </c>
      <c r="F3037">
        <v>552181</v>
      </c>
      <c r="G3037" s="6">
        <v>2</v>
      </c>
      <c r="H3037" t="s">
        <v>49</v>
      </c>
      <c r="I3037">
        <v>10689124</v>
      </c>
      <c r="J3037">
        <v>6</v>
      </c>
      <c r="K3037">
        <v>14.7</v>
      </c>
      <c r="L3037">
        <v>14.7</v>
      </c>
      <c r="M3037">
        <v>1350</v>
      </c>
      <c r="N3037" s="2">
        <v>108000</v>
      </c>
      <c r="O3037" s="2">
        <v>0</v>
      </c>
      <c r="P3037" s="2">
        <v>2700</v>
      </c>
      <c r="Q3037" s="2">
        <v>8100</v>
      </c>
      <c r="R3037" s="2">
        <v>5400</v>
      </c>
      <c r="S3037">
        <v>79.38</v>
      </c>
      <c r="T3037" s="2">
        <v>83700</v>
      </c>
      <c r="U3037" s="2">
        <v>24300</v>
      </c>
      <c r="V3037">
        <v>119.07</v>
      </c>
      <c r="W3037">
        <v>0</v>
      </c>
      <c r="X3037">
        <v>0</v>
      </c>
      <c r="Y3037">
        <v>0</v>
      </c>
      <c r="Z3037">
        <v>1</v>
      </c>
      <c r="AA3037">
        <v>8.3984209999999997E-3</v>
      </c>
      <c r="AB3037">
        <v>30.8</v>
      </c>
      <c r="AC3037">
        <v>11.55</v>
      </c>
      <c r="AD3037">
        <v>27</v>
      </c>
      <c r="AE3037" s="7"/>
      <c r="AF3037" s="7"/>
      <c r="AG3037" s="7"/>
      <c r="AH3037" s="7"/>
      <c r="AI3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3037" s="7"/>
      <c r="AK3037" t="s">
        <v>51</v>
      </c>
      <c r="AN3037">
        <f>IFERROR(INT(Table13[[#This Row],[reject_prod]]/Table13[[#This Row],[part_weight]] * 1000), 0)</f>
        <v>68</v>
      </c>
    </row>
    <row r="3038" spans="1:40">
      <c r="A3038" s="1">
        <v>46112</v>
      </c>
      <c r="B3038">
        <v>1</v>
      </c>
      <c r="C3038">
        <v>16</v>
      </c>
      <c r="D3038" t="s">
        <v>134</v>
      </c>
      <c r="E3038" t="s">
        <v>46</v>
      </c>
      <c r="F3038">
        <v>555979</v>
      </c>
      <c r="G3038" s="6">
        <v>2</v>
      </c>
      <c r="H3038" t="s">
        <v>52</v>
      </c>
      <c r="I3038">
        <v>10689831</v>
      </c>
      <c r="J3038">
        <v>6</v>
      </c>
      <c r="K3038">
        <v>28</v>
      </c>
      <c r="L3038">
        <v>28</v>
      </c>
      <c r="M3038">
        <v>1010</v>
      </c>
      <c r="N3038" s="2">
        <v>100800</v>
      </c>
      <c r="O3038" s="2">
        <v>3192</v>
      </c>
      <c r="P3038" s="2">
        <v>2520</v>
      </c>
      <c r="Q3038" s="2">
        <v>6060</v>
      </c>
      <c r="R3038" s="2">
        <v>6720</v>
      </c>
      <c r="S3038">
        <v>188.16</v>
      </c>
      <c r="T3038" s="2">
        <v>46200</v>
      </c>
      <c r="U3038" s="2">
        <v>54600</v>
      </c>
      <c r="V3038">
        <v>169.68</v>
      </c>
      <c r="W3038">
        <v>0</v>
      </c>
      <c r="X3038">
        <v>0</v>
      </c>
      <c r="Y3038">
        <v>0</v>
      </c>
      <c r="Z3038">
        <v>1.6</v>
      </c>
      <c r="AA3038">
        <v>9.429514E-3</v>
      </c>
      <c r="AB3038">
        <v>42.55</v>
      </c>
      <c r="AC3038">
        <v>11.937638890000001</v>
      </c>
      <c r="AD3038">
        <v>42</v>
      </c>
      <c r="AE3038" s="7"/>
      <c r="AF3038" s="7"/>
      <c r="AG3038" s="7"/>
      <c r="AH3038" s="7"/>
      <c r="AI3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6.2361109999999442E-2</v>
      </c>
      <c r="AJ3038" s="7"/>
      <c r="AK3038" t="s">
        <v>51</v>
      </c>
      <c r="AN3038">
        <f>IFERROR(INT(Table13[[#This Row],[reject_prod]]/Table13[[#This Row],[part_weight]] * 1000), 0)</f>
        <v>57</v>
      </c>
    </row>
    <row r="3039" spans="1:40">
      <c r="A3039" s="1">
        <v>46112</v>
      </c>
      <c r="B3039">
        <v>2</v>
      </c>
      <c r="C3039">
        <v>1</v>
      </c>
      <c r="D3039" t="s">
        <v>141</v>
      </c>
      <c r="E3039" t="s">
        <v>34</v>
      </c>
      <c r="F3039">
        <v>324682</v>
      </c>
      <c r="G3039" s="6">
        <v>0</v>
      </c>
      <c r="H3039" t="s">
        <v>889</v>
      </c>
      <c r="I3039">
        <v>10691254</v>
      </c>
      <c r="J3039">
        <v>4</v>
      </c>
      <c r="K3039">
        <v>33</v>
      </c>
      <c r="L3039">
        <v>33</v>
      </c>
      <c r="M3039">
        <v>1322</v>
      </c>
      <c r="N3039" s="2">
        <v>18480</v>
      </c>
      <c r="O3039" s="2">
        <v>0</v>
      </c>
      <c r="P3039" s="2">
        <v>616</v>
      </c>
      <c r="Q3039" s="2">
        <v>5288</v>
      </c>
      <c r="R3039" s="2">
        <v>4620</v>
      </c>
      <c r="S3039">
        <v>152.46</v>
      </c>
      <c r="T3039" s="2">
        <v>12474</v>
      </c>
      <c r="U3039" s="2">
        <v>6006</v>
      </c>
      <c r="V3039">
        <v>174.50399999999999</v>
      </c>
      <c r="W3039">
        <v>0</v>
      </c>
      <c r="X3039">
        <v>0</v>
      </c>
      <c r="Y3039">
        <v>0</v>
      </c>
      <c r="Z3039">
        <v>1.5</v>
      </c>
      <c r="AA3039">
        <v>8.5957919999999997E-3</v>
      </c>
      <c r="AB3039">
        <v>30.5</v>
      </c>
      <c r="AC3039">
        <v>11.20027778</v>
      </c>
      <c r="AD3039">
        <v>23.972000000000001</v>
      </c>
      <c r="AE3039" s="7"/>
      <c r="AF3039" s="7"/>
      <c r="AG3039" s="7"/>
      <c r="AH3039" s="7"/>
      <c r="AI3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0.7997222199999996</v>
      </c>
      <c r="AJ3039" s="7"/>
      <c r="AK3039" t="s">
        <v>1472</v>
      </c>
      <c r="AN3039">
        <f>IFERROR(INT(Table13[[#This Row],[reject_prod]]/Table13[[#This Row],[part_weight]] * 1000), 0)</f>
        <v>45</v>
      </c>
    </row>
    <row r="3040" spans="1:40">
      <c r="A3040" s="1">
        <v>46112</v>
      </c>
      <c r="B3040">
        <v>2</v>
      </c>
      <c r="C3040">
        <v>2</v>
      </c>
      <c r="D3040" t="s">
        <v>1236</v>
      </c>
      <c r="E3040" t="s">
        <v>34</v>
      </c>
      <c r="F3040">
        <v>423215</v>
      </c>
      <c r="G3040" s="6">
        <v>0</v>
      </c>
      <c r="H3040" t="s">
        <v>156</v>
      </c>
      <c r="I3040">
        <v>10689500</v>
      </c>
      <c r="J3040">
        <v>4</v>
      </c>
      <c r="K3040">
        <v>24</v>
      </c>
      <c r="L3040">
        <v>24</v>
      </c>
      <c r="M3040">
        <v>1839</v>
      </c>
      <c r="N3040" s="2">
        <v>129720</v>
      </c>
      <c r="O3040" s="2">
        <v>1410</v>
      </c>
      <c r="P3040" s="2">
        <v>1974</v>
      </c>
      <c r="Q3040" s="2">
        <v>7356</v>
      </c>
      <c r="R3040" s="2">
        <v>6768</v>
      </c>
      <c r="S3040">
        <v>162.43199999999999</v>
      </c>
      <c r="T3040" s="2">
        <v>5742</v>
      </c>
      <c r="U3040" s="2">
        <v>123978</v>
      </c>
      <c r="V3040">
        <v>176.54400000000001</v>
      </c>
      <c r="W3040">
        <v>0</v>
      </c>
      <c r="X3040">
        <v>0</v>
      </c>
      <c r="Y3040">
        <v>0</v>
      </c>
      <c r="Z3040">
        <v>0.5</v>
      </c>
      <c r="AA3040">
        <v>2.8321549999999998E-3</v>
      </c>
      <c r="AB3040">
        <v>23.08</v>
      </c>
      <c r="AC3040">
        <v>11.79003333</v>
      </c>
      <c r="AD3040">
        <v>22</v>
      </c>
      <c r="AE3040" s="7"/>
      <c r="AF3040" s="7"/>
      <c r="AG3040" s="7"/>
      <c r="AH3040" s="7"/>
      <c r="AI3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0.20996667000000002</v>
      </c>
      <c r="AJ3040" s="7"/>
      <c r="AK3040" t="s">
        <v>214</v>
      </c>
      <c r="AN3040">
        <f>IFERROR(INT(Table13[[#This Row],[reject_prod]]/Table13[[#This Row],[part_weight]] * 1000), 0)</f>
        <v>20</v>
      </c>
    </row>
    <row r="3041" spans="1:40">
      <c r="A3041" s="1">
        <v>46112</v>
      </c>
      <c r="B3041">
        <v>2</v>
      </c>
      <c r="C3041">
        <v>3</v>
      </c>
      <c r="D3041" t="s">
        <v>67</v>
      </c>
      <c r="E3041" t="s">
        <v>34</v>
      </c>
      <c r="F3041">
        <v>442034</v>
      </c>
      <c r="G3041" s="6">
        <v>0</v>
      </c>
      <c r="H3041" t="s">
        <v>37</v>
      </c>
      <c r="I3041">
        <v>10688497</v>
      </c>
      <c r="J3041">
        <v>4</v>
      </c>
      <c r="K3041">
        <v>23</v>
      </c>
      <c r="L3041">
        <v>23</v>
      </c>
      <c r="M3041">
        <v>1247</v>
      </c>
      <c r="N3041" s="2">
        <v>139776</v>
      </c>
      <c r="O3041" s="2">
        <v>0</v>
      </c>
      <c r="P3041" s="2">
        <v>0</v>
      </c>
      <c r="Q3041" s="2">
        <v>4988</v>
      </c>
      <c r="R3041" s="2">
        <v>4608</v>
      </c>
      <c r="S3041">
        <v>105.98399999999999</v>
      </c>
      <c r="T3041" s="2">
        <v>124416</v>
      </c>
      <c r="U3041" s="2">
        <v>15360</v>
      </c>
      <c r="V3041">
        <v>114.724</v>
      </c>
      <c r="W3041">
        <v>0</v>
      </c>
      <c r="X3041">
        <v>0</v>
      </c>
      <c r="Y3041">
        <v>0</v>
      </c>
      <c r="Z3041">
        <v>8.6999999999999993</v>
      </c>
      <c r="AA3041">
        <v>7.5834176000000003E-2</v>
      </c>
      <c r="AB3041">
        <v>26.5</v>
      </c>
      <c r="AC3041">
        <v>9.1793055559999992</v>
      </c>
      <c r="AD3041">
        <v>22</v>
      </c>
      <c r="AE3041" s="7"/>
      <c r="AF3041" s="7"/>
      <c r="AG3041" s="7"/>
      <c r="AH3041" s="7"/>
      <c r="AI3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2.8206944440000008</v>
      </c>
      <c r="AJ3041" s="7"/>
      <c r="AK3041" t="s">
        <v>1473</v>
      </c>
      <c r="AN3041">
        <f>IFERROR(INT(Table13[[#This Row],[reject_prod]]/Table13[[#This Row],[part_weight]] * 1000), 0)</f>
        <v>378</v>
      </c>
    </row>
    <row r="3042" spans="1:40">
      <c r="A3042" s="1">
        <v>46112</v>
      </c>
      <c r="B3042">
        <v>2</v>
      </c>
      <c r="C3042">
        <v>4</v>
      </c>
      <c r="D3042" t="s">
        <v>110</v>
      </c>
      <c r="E3042" t="s">
        <v>34</v>
      </c>
      <c r="F3042">
        <v>365091</v>
      </c>
      <c r="G3042" s="6">
        <v>0</v>
      </c>
      <c r="H3042" t="s">
        <v>189</v>
      </c>
      <c r="I3042">
        <v>10691257</v>
      </c>
      <c r="J3042">
        <v>4</v>
      </c>
      <c r="K3042">
        <v>44</v>
      </c>
      <c r="L3042">
        <v>44</v>
      </c>
      <c r="M3042">
        <v>1227</v>
      </c>
      <c r="N3042" s="2">
        <v>50715</v>
      </c>
      <c r="O3042" s="2">
        <v>840</v>
      </c>
      <c r="P3042" s="2">
        <v>420</v>
      </c>
      <c r="Q3042" s="2">
        <v>4908</v>
      </c>
      <c r="R3042" s="2">
        <v>5040</v>
      </c>
      <c r="S3042">
        <v>221.76</v>
      </c>
      <c r="T3042" s="2">
        <v>15540</v>
      </c>
      <c r="U3042" s="2">
        <v>35175</v>
      </c>
      <c r="V3042">
        <v>215.952</v>
      </c>
      <c r="W3042">
        <v>0</v>
      </c>
      <c r="X3042">
        <v>0</v>
      </c>
      <c r="Y3042">
        <v>0</v>
      </c>
      <c r="Z3042">
        <v>12.6</v>
      </c>
      <c r="AA3042">
        <v>5.8346298999999997E-2</v>
      </c>
      <c r="AB3042">
        <v>26.1</v>
      </c>
      <c r="AC3042">
        <v>8.8957499999999996</v>
      </c>
      <c r="AD3042">
        <v>28.64</v>
      </c>
      <c r="AE3042" s="7"/>
      <c r="AF3042" s="7"/>
      <c r="AG3042" s="7"/>
      <c r="AH3042" s="7"/>
      <c r="AI3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3.1042500000000004</v>
      </c>
      <c r="AJ3042" s="7"/>
      <c r="AK3042" t="s">
        <v>1474</v>
      </c>
      <c r="AN3042">
        <f>IFERROR(INT(Table13[[#This Row],[reject_prod]]/Table13[[#This Row],[part_weight]] * 1000), 0)</f>
        <v>286</v>
      </c>
    </row>
    <row r="3043" spans="1:40">
      <c r="A3043" s="1">
        <v>46112</v>
      </c>
      <c r="B3043">
        <v>2</v>
      </c>
      <c r="C3043">
        <v>5</v>
      </c>
      <c r="D3043" t="s">
        <v>112</v>
      </c>
      <c r="E3043" t="s">
        <v>34</v>
      </c>
      <c r="F3043">
        <v>323092</v>
      </c>
      <c r="G3043" s="6">
        <v>0</v>
      </c>
      <c r="H3043" t="s">
        <v>377</v>
      </c>
      <c r="I3043">
        <v>10691239</v>
      </c>
      <c r="J3043">
        <v>4</v>
      </c>
      <c r="K3043">
        <v>48.9</v>
      </c>
      <c r="L3043">
        <v>48.9</v>
      </c>
      <c r="M3043">
        <v>1698</v>
      </c>
      <c r="N3043" s="2">
        <v>18900</v>
      </c>
      <c r="O3043" s="2">
        <v>0</v>
      </c>
      <c r="P3043" s="2">
        <v>420</v>
      </c>
      <c r="Q3043" s="2">
        <v>6792</v>
      </c>
      <c r="R3043" s="2">
        <v>6300</v>
      </c>
      <c r="S3043">
        <v>308.07</v>
      </c>
      <c r="T3043" s="2">
        <v>6720</v>
      </c>
      <c r="U3043" s="2">
        <v>12180</v>
      </c>
      <c r="V3043">
        <v>332.12880000000001</v>
      </c>
      <c r="W3043">
        <v>0</v>
      </c>
      <c r="X3043">
        <v>0</v>
      </c>
      <c r="Y3043">
        <v>0</v>
      </c>
      <c r="Z3043">
        <v>3.5</v>
      </c>
      <c r="AA3043">
        <v>1.053808E-2</v>
      </c>
      <c r="AB3043">
        <v>25.5</v>
      </c>
      <c r="AC3043">
        <v>12</v>
      </c>
      <c r="AD3043">
        <v>27.6</v>
      </c>
      <c r="AE3043" s="7"/>
      <c r="AF3043" s="7"/>
      <c r="AG3043" s="7"/>
      <c r="AH3043" s="7"/>
      <c r="AI3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43" s="7"/>
      <c r="AK3043" t="s">
        <v>214</v>
      </c>
      <c r="AN3043">
        <f>IFERROR(INT(Table13[[#This Row],[reject_prod]]/Table13[[#This Row],[part_weight]] * 1000), 0)</f>
        <v>71</v>
      </c>
    </row>
    <row r="3044" spans="1:40">
      <c r="A3044" s="1">
        <v>46112</v>
      </c>
      <c r="B3044">
        <v>2</v>
      </c>
      <c r="C3044">
        <v>6</v>
      </c>
      <c r="D3044" t="s">
        <v>1475</v>
      </c>
      <c r="E3044" t="s">
        <v>34</v>
      </c>
      <c r="F3044">
        <v>322409</v>
      </c>
      <c r="G3044" s="6">
        <v>0</v>
      </c>
      <c r="H3044" t="s">
        <v>400</v>
      </c>
      <c r="I3044">
        <v>10690124</v>
      </c>
      <c r="J3044">
        <v>4</v>
      </c>
      <c r="K3044">
        <v>24</v>
      </c>
      <c r="L3044">
        <v>24</v>
      </c>
      <c r="M3044">
        <v>1771</v>
      </c>
      <c r="N3044" s="2">
        <v>93600</v>
      </c>
      <c r="O3044" s="2">
        <v>780</v>
      </c>
      <c r="P3044" s="2">
        <v>780</v>
      </c>
      <c r="Q3044" s="2">
        <v>7084</v>
      </c>
      <c r="R3044" s="2">
        <v>7020</v>
      </c>
      <c r="S3044">
        <v>168.48</v>
      </c>
      <c r="T3044" s="2">
        <v>35880</v>
      </c>
      <c r="U3044" s="2">
        <v>57720</v>
      </c>
      <c r="V3044">
        <v>170.01599999999999</v>
      </c>
      <c r="W3044">
        <v>0</v>
      </c>
      <c r="X3044">
        <v>0</v>
      </c>
      <c r="Y3044">
        <v>0</v>
      </c>
      <c r="Z3044">
        <v>1.5</v>
      </c>
      <c r="AA3044">
        <v>8.8226989999999998E-3</v>
      </c>
      <c r="AB3044">
        <v>22.3</v>
      </c>
      <c r="AC3044">
        <v>10.970361110000001</v>
      </c>
      <c r="AD3044">
        <v>20</v>
      </c>
      <c r="AE3044" s="7"/>
      <c r="AF3044" s="7"/>
      <c r="AG3044" s="7"/>
      <c r="AH3044" s="7"/>
      <c r="AI3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1.0296388899999993</v>
      </c>
      <c r="AJ3044" s="7"/>
      <c r="AK3044" t="s">
        <v>1476</v>
      </c>
      <c r="AN3044">
        <f>IFERROR(INT(Table13[[#This Row],[reject_prod]]/Table13[[#This Row],[part_weight]] * 1000), 0)</f>
        <v>62</v>
      </c>
    </row>
    <row r="3045" spans="1:40">
      <c r="A3045" s="1">
        <v>46112</v>
      </c>
      <c r="B3045">
        <v>2</v>
      </c>
      <c r="C3045">
        <v>7</v>
      </c>
      <c r="D3045" t="s">
        <v>1477</v>
      </c>
      <c r="E3045" t="s">
        <v>34</v>
      </c>
      <c r="F3045">
        <v>322435</v>
      </c>
      <c r="G3045" s="6">
        <v>0</v>
      </c>
      <c r="H3045" t="s">
        <v>216</v>
      </c>
      <c r="I3045">
        <v>10690041</v>
      </c>
      <c r="J3045">
        <v>4</v>
      </c>
      <c r="K3045">
        <v>34.5</v>
      </c>
      <c r="L3045">
        <v>34.5</v>
      </c>
      <c r="M3045">
        <v>454</v>
      </c>
      <c r="N3045" s="2">
        <v>16380</v>
      </c>
      <c r="O3045" s="2">
        <v>0</v>
      </c>
      <c r="P3045" s="2">
        <v>1365</v>
      </c>
      <c r="Q3045" s="2">
        <v>1816</v>
      </c>
      <c r="R3045" s="2">
        <v>0</v>
      </c>
      <c r="S3045">
        <v>0</v>
      </c>
      <c r="T3045" s="2">
        <v>1365</v>
      </c>
      <c r="U3045" s="2">
        <v>15015</v>
      </c>
      <c r="V3045">
        <v>62.652000000000001</v>
      </c>
      <c r="W3045">
        <v>0</v>
      </c>
      <c r="X3045">
        <v>10</v>
      </c>
      <c r="Y3045">
        <v>0.15961182400000001</v>
      </c>
      <c r="Z3045">
        <v>4.8</v>
      </c>
      <c r="AA3045">
        <v>7.6613676000000006E-2</v>
      </c>
      <c r="AB3045">
        <v>22.3</v>
      </c>
      <c r="AC3045">
        <v>2.8122777779999999</v>
      </c>
      <c r="AD3045">
        <v>22</v>
      </c>
      <c r="AE3045" s="7"/>
      <c r="AF3045" s="7"/>
      <c r="AG3045" s="7"/>
      <c r="AH3045" s="7"/>
      <c r="AI3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9.1877222219999997</v>
      </c>
      <c r="AJ3045" s="7"/>
      <c r="AK3045" t="s">
        <v>1478</v>
      </c>
      <c r="AN3045">
        <f>IFERROR(INT(Table13[[#This Row],[reject_prod]]/Table13[[#This Row],[part_weight]] * 1000), 0)</f>
        <v>139</v>
      </c>
    </row>
    <row r="3046" spans="1:40">
      <c r="A3046" s="1">
        <v>46112</v>
      </c>
      <c r="B3046">
        <v>2</v>
      </c>
      <c r="C3046">
        <v>8</v>
      </c>
      <c r="D3046" t="s">
        <v>1479</v>
      </c>
      <c r="E3046" t="s">
        <v>41</v>
      </c>
      <c r="F3046">
        <v>593537</v>
      </c>
      <c r="G3046" s="6">
        <v>0</v>
      </c>
      <c r="H3046" t="s">
        <v>48</v>
      </c>
      <c r="I3046">
        <v>10689827</v>
      </c>
      <c r="J3046">
        <v>4</v>
      </c>
      <c r="K3046">
        <v>56.5</v>
      </c>
      <c r="L3046">
        <v>56.8</v>
      </c>
      <c r="M3046">
        <v>1416</v>
      </c>
      <c r="N3046" s="2">
        <v>69000</v>
      </c>
      <c r="O3046" s="2">
        <v>345</v>
      </c>
      <c r="P3046" s="2">
        <v>230</v>
      </c>
      <c r="Q3046" s="2">
        <v>5664</v>
      </c>
      <c r="R3046" s="2">
        <v>5750</v>
      </c>
      <c r="S3046">
        <v>326.60000000000002</v>
      </c>
      <c r="T3046" s="2">
        <v>10005</v>
      </c>
      <c r="U3046" s="2">
        <v>58995</v>
      </c>
      <c r="V3046">
        <v>321.71519999999998</v>
      </c>
      <c r="W3046">
        <v>0</v>
      </c>
      <c r="X3046">
        <v>0</v>
      </c>
      <c r="Y3046">
        <v>0</v>
      </c>
      <c r="Z3046">
        <v>1.6</v>
      </c>
      <c r="AA3046">
        <v>4.9733429999999999E-3</v>
      </c>
      <c r="AB3046">
        <v>29.9</v>
      </c>
      <c r="AC3046">
        <v>11.760666670000001</v>
      </c>
      <c r="AD3046">
        <v>28.5</v>
      </c>
      <c r="AE3046" s="7"/>
      <c r="AF3046" s="7"/>
      <c r="AG3046" s="7"/>
      <c r="AH3046" s="7"/>
      <c r="AI3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0.23933332999999912</v>
      </c>
      <c r="AJ3046" s="7"/>
      <c r="AK3046" t="s">
        <v>178</v>
      </c>
      <c r="AN3046">
        <f>IFERROR(INT(Table13[[#This Row],[reject_prod]]/Table13[[#This Row],[part_weight]] * 1000), 0)</f>
        <v>28</v>
      </c>
    </row>
    <row r="3047" spans="1:40">
      <c r="A3047" s="1">
        <v>46112</v>
      </c>
      <c r="B3047">
        <v>2</v>
      </c>
      <c r="C3047">
        <v>9</v>
      </c>
      <c r="D3047" t="s">
        <v>33</v>
      </c>
      <c r="E3047" t="s">
        <v>46</v>
      </c>
      <c r="F3047">
        <v>586276</v>
      </c>
      <c r="G3047" s="6">
        <v>1</v>
      </c>
      <c r="H3047" t="s">
        <v>47</v>
      </c>
      <c r="I3047">
        <v>10689828</v>
      </c>
      <c r="J3047">
        <v>6</v>
      </c>
      <c r="K3047">
        <v>12.3</v>
      </c>
      <c r="L3047">
        <v>12.3</v>
      </c>
      <c r="M3047">
        <v>0</v>
      </c>
      <c r="N3047" s="2">
        <v>162000</v>
      </c>
      <c r="O3047" s="2">
        <v>5265</v>
      </c>
      <c r="P3047" s="2">
        <v>5265</v>
      </c>
      <c r="Q3047" s="2">
        <v>0</v>
      </c>
      <c r="R3047" s="2">
        <v>0</v>
      </c>
      <c r="S3047">
        <v>0</v>
      </c>
      <c r="T3047" s="2">
        <v>5265</v>
      </c>
      <c r="U3047" s="2">
        <v>156735</v>
      </c>
      <c r="V3047">
        <v>0</v>
      </c>
      <c r="W3047">
        <v>0</v>
      </c>
      <c r="X3047">
        <v>0</v>
      </c>
      <c r="Y3047" t="e">
        <v>#DIV/0!</v>
      </c>
      <c r="Z3047">
        <v>0</v>
      </c>
      <c r="AA3047" t="e">
        <v>#DIV/0!</v>
      </c>
      <c r="AB3047">
        <v>29.8</v>
      </c>
      <c r="AC3047">
        <v>0</v>
      </c>
      <c r="AD3047">
        <v>26</v>
      </c>
      <c r="AE3047" s="7"/>
      <c r="AF3047" s="7"/>
      <c r="AG3047" s="7"/>
      <c r="AH3047" s="7"/>
      <c r="AI3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47" s="7"/>
      <c r="AK3047" t="s">
        <v>407</v>
      </c>
      <c r="AN3047">
        <f>IFERROR(INT(Table13[[#This Row],[reject_prod]]/Table13[[#This Row],[part_weight]] * 1000), 0)</f>
        <v>0</v>
      </c>
    </row>
    <row r="3048" spans="1:40">
      <c r="A3048" s="1">
        <v>46112</v>
      </c>
      <c r="B3048">
        <v>2</v>
      </c>
      <c r="C3048">
        <v>10</v>
      </c>
      <c r="D3048" t="s">
        <v>143</v>
      </c>
      <c r="E3048" t="s">
        <v>34</v>
      </c>
      <c r="F3048">
        <v>324638</v>
      </c>
      <c r="G3048" s="6">
        <v>0</v>
      </c>
      <c r="H3048" t="s">
        <v>687</v>
      </c>
      <c r="I3048">
        <v>10689561</v>
      </c>
      <c r="J3048">
        <v>4</v>
      </c>
      <c r="K3048">
        <v>77.5</v>
      </c>
      <c r="L3048">
        <v>77.5</v>
      </c>
      <c r="M3048">
        <v>1095</v>
      </c>
      <c r="N3048" s="2">
        <v>33120</v>
      </c>
      <c r="O3048" s="2">
        <v>69</v>
      </c>
      <c r="P3048" s="2">
        <v>207</v>
      </c>
      <c r="Q3048" s="2">
        <v>4380</v>
      </c>
      <c r="R3048" s="2">
        <v>4140</v>
      </c>
      <c r="S3048">
        <v>320.85000000000002</v>
      </c>
      <c r="T3048" s="2">
        <v>26427</v>
      </c>
      <c r="U3048" s="2">
        <v>6693</v>
      </c>
      <c r="V3048">
        <v>339.45</v>
      </c>
      <c r="W3048">
        <v>0</v>
      </c>
      <c r="X3048">
        <v>0</v>
      </c>
      <c r="Y3048">
        <v>0</v>
      </c>
      <c r="Z3048">
        <v>7.8</v>
      </c>
      <c r="AA3048">
        <v>2.2978347E-2</v>
      </c>
      <c r="AB3048">
        <v>39.1</v>
      </c>
      <c r="AC3048">
        <v>11.89291667</v>
      </c>
      <c r="AD3048">
        <v>36</v>
      </c>
      <c r="AE3048" s="7"/>
      <c r="AF3048" s="7"/>
      <c r="AG3048" s="7"/>
      <c r="AH3048" s="7"/>
      <c r="AI3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0.10708333000000003</v>
      </c>
      <c r="AJ3048" s="7"/>
      <c r="AK3048" t="s">
        <v>1095</v>
      </c>
      <c r="AN3048">
        <f>IFERROR(INT(Table13[[#This Row],[reject_prod]]/Table13[[#This Row],[part_weight]] * 1000), 0)</f>
        <v>100</v>
      </c>
    </row>
    <row r="3049" spans="1:40">
      <c r="A3049" s="1">
        <v>46112</v>
      </c>
      <c r="B3049">
        <v>2</v>
      </c>
      <c r="C3049">
        <v>11</v>
      </c>
      <c r="D3049" t="s">
        <v>149</v>
      </c>
      <c r="E3049" t="s">
        <v>46</v>
      </c>
      <c r="F3049">
        <v>552181</v>
      </c>
      <c r="G3049" s="6">
        <v>1</v>
      </c>
      <c r="H3049" t="s">
        <v>49</v>
      </c>
      <c r="I3049">
        <v>10689114</v>
      </c>
      <c r="J3049">
        <v>6</v>
      </c>
      <c r="K3049">
        <v>14.7</v>
      </c>
      <c r="L3049">
        <v>14.7</v>
      </c>
      <c r="M3049">
        <v>1467</v>
      </c>
      <c r="N3049" s="2">
        <v>108000</v>
      </c>
      <c r="O3049" s="2">
        <v>4320</v>
      </c>
      <c r="P3049" s="2">
        <v>1890</v>
      </c>
      <c r="Q3049" s="2">
        <v>8802</v>
      </c>
      <c r="R3049" s="2">
        <v>10800</v>
      </c>
      <c r="S3049">
        <v>158.76</v>
      </c>
      <c r="T3049" s="2">
        <v>34290</v>
      </c>
      <c r="U3049" s="2">
        <v>73710</v>
      </c>
      <c r="V3049">
        <v>129.38939999999999</v>
      </c>
      <c r="W3049">
        <v>0</v>
      </c>
      <c r="X3049">
        <v>0</v>
      </c>
      <c r="Y3049">
        <v>0</v>
      </c>
      <c r="Z3049">
        <v>8.6999999999999993</v>
      </c>
      <c r="AA3049">
        <v>6.7238892999999994E-2</v>
      </c>
      <c r="AB3049">
        <v>28.1</v>
      </c>
      <c r="AC3049">
        <v>11.450749999999999</v>
      </c>
      <c r="AD3049">
        <v>27</v>
      </c>
      <c r="AE3049" s="7"/>
      <c r="AF3049" s="7"/>
      <c r="AG3049" s="7"/>
      <c r="AH3049" s="7"/>
      <c r="AI3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0.54925000000000068</v>
      </c>
      <c r="AJ3049" s="7"/>
      <c r="AK3049" t="s">
        <v>1480</v>
      </c>
      <c r="AN3049">
        <f>IFERROR(INT(Table13[[#This Row],[reject_prod]]/Table13[[#This Row],[part_weight]] * 1000), 0)</f>
        <v>591</v>
      </c>
    </row>
    <row r="3050" spans="1:40">
      <c r="A3050" s="1">
        <v>46112</v>
      </c>
      <c r="B3050">
        <v>2</v>
      </c>
      <c r="C3050">
        <v>12</v>
      </c>
      <c r="D3050" t="s">
        <v>141</v>
      </c>
      <c r="E3050" t="s">
        <v>46</v>
      </c>
      <c r="F3050">
        <v>555979</v>
      </c>
      <c r="G3050" s="6">
        <v>1</v>
      </c>
      <c r="H3050" t="s">
        <v>52</v>
      </c>
      <c r="I3050">
        <v>10689126</v>
      </c>
      <c r="J3050">
        <v>6</v>
      </c>
      <c r="K3050">
        <v>28</v>
      </c>
      <c r="L3050">
        <v>28</v>
      </c>
      <c r="M3050">
        <v>979</v>
      </c>
      <c r="N3050" s="2">
        <v>100800</v>
      </c>
      <c r="O3050" s="2">
        <v>2352</v>
      </c>
      <c r="P3050" s="2">
        <v>1344</v>
      </c>
      <c r="Q3050" s="2">
        <v>5874</v>
      </c>
      <c r="R3050" s="2">
        <v>6720</v>
      </c>
      <c r="S3050">
        <v>188.16</v>
      </c>
      <c r="T3050" s="2">
        <v>65184</v>
      </c>
      <c r="U3050" s="2">
        <v>35616</v>
      </c>
      <c r="V3050">
        <v>164.47200000000001</v>
      </c>
      <c r="W3050">
        <v>0</v>
      </c>
      <c r="X3050">
        <v>0</v>
      </c>
      <c r="Y3050">
        <v>0</v>
      </c>
      <c r="Z3050">
        <v>4.5</v>
      </c>
      <c r="AA3050">
        <v>2.7360280000000001E-2</v>
      </c>
      <c r="AB3050">
        <v>44</v>
      </c>
      <c r="AC3050">
        <v>11.96555556</v>
      </c>
      <c r="AD3050">
        <v>42</v>
      </c>
      <c r="AE3050" s="7"/>
      <c r="AF3050" s="7"/>
      <c r="AG3050" s="7"/>
      <c r="AH3050" s="7"/>
      <c r="AI3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3.4444439999999688E-2</v>
      </c>
      <c r="AJ3050" s="7"/>
      <c r="AK3050" t="s">
        <v>1481</v>
      </c>
      <c r="AN3050">
        <f>IFERROR(INT(Table13[[#This Row],[reject_prod]]/Table13[[#This Row],[part_weight]] * 1000), 0)</f>
        <v>160</v>
      </c>
    </row>
    <row r="3051" spans="1:40">
      <c r="A3051" s="1">
        <v>46112</v>
      </c>
      <c r="B3051">
        <v>2</v>
      </c>
      <c r="C3051">
        <v>13</v>
      </c>
      <c r="D3051" t="s">
        <v>1477</v>
      </c>
      <c r="E3051" t="s">
        <v>46</v>
      </c>
      <c r="F3051">
        <v>586276</v>
      </c>
      <c r="G3051" s="6">
        <v>2</v>
      </c>
      <c r="H3051" t="s">
        <v>47</v>
      </c>
      <c r="I3051">
        <v>10689829</v>
      </c>
      <c r="J3051">
        <v>6</v>
      </c>
      <c r="K3051">
        <v>12.3</v>
      </c>
      <c r="L3051">
        <v>12.3</v>
      </c>
      <c r="M3051">
        <v>1627</v>
      </c>
      <c r="N3051" s="2">
        <v>162000</v>
      </c>
      <c r="O3051" s="2">
        <v>4860</v>
      </c>
      <c r="P3051" s="2">
        <v>6480</v>
      </c>
      <c r="Q3051" s="2">
        <v>9762</v>
      </c>
      <c r="R3051" s="2">
        <v>8100</v>
      </c>
      <c r="S3051">
        <v>99.63</v>
      </c>
      <c r="T3051" s="2">
        <v>38880</v>
      </c>
      <c r="U3051" s="2">
        <v>123120</v>
      </c>
      <c r="V3051">
        <v>120.07259999999999</v>
      </c>
      <c r="W3051">
        <v>0</v>
      </c>
      <c r="X3051">
        <v>0</v>
      </c>
      <c r="Y3051">
        <v>0</v>
      </c>
      <c r="Z3051">
        <v>0.5</v>
      </c>
      <c r="AA3051">
        <v>4.164147E-3</v>
      </c>
      <c r="AB3051">
        <v>26.2</v>
      </c>
      <c r="AC3051">
        <v>11.840944439999999</v>
      </c>
      <c r="AD3051">
        <v>26</v>
      </c>
      <c r="AE3051" s="7"/>
      <c r="AF3051" s="7"/>
      <c r="AG3051" s="7"/>
      <c r="AH3051" s="7"/>
      <c r="AI3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3051" s="7"/>
      <c r="AK3051" t="s">
        <v>51</v>
      </c>
      <c r="AN3051">
        <f>IFERROR(INT(Table13[[#This Row],[reject_prod]]/Table13[[#This Row],[part_weight]] * 1000), 0)</f>
        <v>40</v>
      </c>
    </row>
    <row r="3052" spans="1:40">
      <c r="A3052" s="1">
        <v>46112</v>
      </c>
      <c r="B3052">
        <v>2</v>
      </c>
      <c r="C3052">
        <v>14</v>
      </c>
      <c r="D3052" t="s">
        <v>65</v>
      </c>
      <c r="E3052" t="s">
        <v>34</v>
      </c>
      <c r="F3052">
        <v>541381</v>
      </c>
      <c r="G3052" s="6">
        <v>0</v>
      </c>
      <c r="H3052" t="s">
        <v>804</v>
      </c>
      <c r="I3052">
        <v>10689830</v>
      </c>
      <c r="J3052">
        <v>4</v>
      </c>
      <c r="K3052">
        <v>55</v>
      </c>
      <c r="L3052">
        <v>55</v>
      </c>
      <c r="M3052">
        <v>1583</v>
      </c>
      <c r="N3052" s="2">
        <v>84000</v>
      </c>
      <c r="O3052" s="2">
        <v>175</v>
      </c>
      <c r="P3052" s="2">
        <v>175</v>
      </c>
      <c r="Q3052" s="2">
        <v>6332</v>
      </c>
      <c r="R3052" s="2">
        <v>6300</v>
      </c>
      <c r="S3052">
        <v>346.5</v>
      </c>
      <c r="T3052" s="2">
        <v>10675</v>
      </c>
      <c r="U3052" s="2">
        <v>73325</v>
      </c>
      <c r="V3052">
        <v>348.26</v>
      </c>
      <c r="W3052">
        <v>0</v>
      </c>
      <c r="X3052">
        <v>0</v>
      </c>
      <c r="Y3052">
        <v>0</v>
      </c>
      <c r="Z3052">
        <v>1.7</v>
      </c>
      <c r="AA3052">
        <v>4.8814100000000001E-3</v>
      </c>
      <c r="AB3052">
        <v>26.8</v>
      </c>
      <c r="AC3052">
        <v>11.784555559999999</v>
      </c>
      <c r="AD3052">
        <v>30.08</v>
      </c>
      <c r="AE3052" s="7"/>
      <c r="AF3052" s="7"/>
      <c r="AG3052" s="7"/>
      <c r="AH3052" s="7"/>
      <c r="AI3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0.21544444000000063</v>
      </c>
      <c r="AJ3052" s="7"/>
      <c r="AK3052" t="s">
        <v>178</v>
      </c>
      <c r="AN3052">
        <f>IFERROR(INT(Table13[[#This Row],[reject_prod]]/Table13[[#This Row],[part_weight]] * 1000), 0)</f>
        <v>30</v>
      </c>
    </row>
    <row r="3053" spans="1:40">
      <c r="A3053" s="1">
        <v>46112</v>
      </c>
      <c r="B3053">
        <v>2</v>
      </c>
      <c r="C3053">
        <v>15</v>
      </c>
      <c r="D3053" t="s">
        <v>149</v>
      </c>
      <c r="E3053" t="s">
        <v>46</v>
      </c>
      <c r="F3053">
        <v>552181</v>
      </c>
      <c r="G3053" s="6">
        <v>2</v>
      </c>
      <c r="H3053" t="s">
        <v>49</v>
      </c>
      <c r="I3053">
        <v>10689124</v>
      </c>
      <c r="J3053">
        <v>6</v>
      </c>
      <c r="K3053">
        <v>14.7</v>
      </c>
      <c r="L3053">
        <v>14.7</v>
      </c>
      <c r="M3053">
        <v>1396</v>
      </c>
      <c r="N3053" s="2">
        <v>108000</v>
      </c>
      <c r="O3053" s="2">
        <v>2700</v>
      </c>
      <c r="P3053" s="2">
        <v>270</v>
      </c>
      <c r="Q3053" s="2">
        <v>8376</v>
      </c>
      <c r="R3053" s="2">
        <v>10800</v>
      </c>
      <c r="S3053">
        <v>158.76</v>
      </c>
      <c r="T3053" s="2">
        <v>92070</v>
      </c>
      <c r="U3053" s="2">
        <v>15930</v>
      </c>
      <c r="V3053">
        <v>123.1272</v>
      </c>
      <c r="W3053">
        <v>0</v>
      </c>
      <c r="X3053">
        <v>0</v>
      </c>
      <c r="Y3053">
        <v>0</v>
      </c>
      <c r="Z3053">
        <v>0.6</v>
      </c>
      <c r="AA3053">
        <v>4.8730090000000002E-3</v>
      </c>
      <c r="AB3053">
        <v>30.8</v>
      </c>
      <c r="AC3053">
        <v>11.94355556</v>
      </c>
      <c r="AD3053">
        <v>27</v>
      </c>
      <c r="AE3053" s="7"/>
      <c r="AF3053" s="7"/>
      <c r="AG3053" s="7"/>
      <c r="AH3053" s="7"/>
      <c r="AI3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5.6444439999999929E-2</v>
      </c>
      <c r="AJ3053" s="7"/>
      <c r="AK3053" t="s">
        <v>1482</v>
      </c>
      <c r="AN3053">
        <f>IFERROR(INT(Table13[[#This Row],[reject_prod]]/Table13[[#This Row],[part_weight]] * 1000), 0)</f>
        <v>40</v>
      </c>
    </row>
    <row r="3054" spans="1:40">
      <c r="A3054" s="1">
        <v>46112</v>
      </c>
      <c r="B3054">
        <v>2</v>
      </c>
      <c r="C3054">
        <v>16</v>
      </c>
      <c r="D3054" t="s">
        <v>1231</v>
      </c>
      <c r="E3054" t="s">
        <v>46</v>
      </c>
      <c r="F3054">
        <v>555979</v>
      </c>
      <c r="G3054" s="6">
        <v>2</v>
      </c>
      <c r="H3054" t="s">
        <v>52</v>
      </c>
      <c r="I3054">
        <v>10689831</v>
      </c>
      <c r="J3054">
        <v>6</v>
      </c>
      <c r="K3054">
        <v>28</v>
      </c>
      <c r="L3054">
        <v>28</v>
      </c>
      <c r="M3054">
        <v>973</v>
      </c>
      <c r="N3054" s="2">
        <v>100800</v>
      </c>
      <c r="O3054" s="2">
        <v>2520</v>
      </c>
      <c r="P3054" s="2">
        <v>1512</v>
      </c>
      <c r="Q3054" s="2">
        <v>5838</v>
      </c>
      <c r="R3054" s="2">
        <v>6720</v>
      </c>
      <c r="S3054">
        <v>188.16</v>
      </c>
      <c r="T3054" s="2">
        <v>51912</v>
      </c>
      <c r="U3054" s="2">
        <v>48888</v>
      </c>
      <c r="V3054">
        <v>163.464</v>
      </c>
      <c r="W3054">
        <v>0</v>
      </c>
      <c r="X3054">
        <v>0</v>
      </c>
      <c r="Y3054">
        <v>0</v>
      </c>
      <c r="Z3054">
        <v>3.5</v>
      </c>
      <c r="AA3054">
        <v>2.1411441999999999E-2</v>
      </c>
      <c r="AB3054">
        <v>42.55</v>
      </c>
      <c r="AC3054">
        <v>11.50031944</v>
      </c>
      <c r="AD3054">
        <v>42</v>
      </c>
      <c r="AE3054" s="7"/>
      <c r="AF3054" s="7"/>
      <c r="AG3054" s="7"/>
      <c r="AH3054" s="7"/>
      <c r="AI3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0.49968055999999983</v>
      </c>
      <c r="AJ3054" s="7"/>
      <c r="AK3054" t="s">
        <v>1483</v>
      </c>
      <c r="AN3054">
        <f>IFERROR(INT(Table13[[#This Row],[reject_prod]]/Table13[[#This Row],[part_weight]] * 1000), 0)</f>
        <v>125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2026-02-24T06:41:57Z</dcterms:created>
  <dcterms:modified xsi:type="dcterms:W3CDTF">2026-04-16T03:51:34Z</dcterms:modified>
</cp:coreProperties>
</file>