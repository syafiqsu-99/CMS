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yafiq_suhaimi\VSC projects\CMS\Data\"/>
    </mc:Choice>
  </mc:AlternateContent>
  <xr:revisionPtr revIDLastSave="0" documentId="13_ncr:1_{D3DB9333-A927-4AEC-916A-96B30432CAF1}" xr6:coauthVersionLast="47" xr6:coauthVersionMax="47" xr10:uidLastSave="{00000000-0000-0000-0000-000000000000}"/>
  <bookViews>
    <workbookView xWindow="-110" yWindow="-110" windowWidth="19420" windowHeight="10300" tabRatio="571" xr2:uid="{00000000-000D-0000-FFFF-FFFF00000000}"/>
  </bookViews>
  <sheets>
    <sheet name="Daily Report" sheetId="64" r:id="rId1"/>
    <sheet name="Reference Card " sheetId="46" r:id="rId2"/>
  </sheets>
  <externalReferences>
    <externalReference r:id="rId3"/>
    <externalReference r:id="rId4"/>
  </externalReferences>
  <definedNames>
    <definedName name="_xlnm._FilterDatabase" localSheetId="0" hidden="1">'Daily Report'!$A$5:$EE$70</definedName>
    <definedName name="_xlnm._FilterDatabase" localSheetId="1" hidden="1">'Reference Card '!$A$6:$L$1183</definedName>
    <definedName name="DATA10">#REF!</definedName>
    <definedName name="DATA11">#REF!</definedName>
    <definedName name="DATA12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Print_Area" localSheetId="0">'Daily Report'!$A$1:$CA$820</definedName>
    <definedName name="_xlnm.Print_Titles" localSheetId="0">'Daily Report'!$1:$2</definedName>
    <definedName name="SAPBEXrevision" hidden="1">9</definedName>
    <definedName name="SAPBEXsysID" hidden="1">"B02"</definedName>
    <definedName name="SAPBEXwbID" hidden="1">"4HMBZILWGVKR7328UQ3Z0URZX"</definedName>
    <definedName name="TEST1">#REF!</definedName>
    <definedName name="TESTHKEY">#REF!</definedName>
    <definedName name="TESTKEYS">#REF!</definedName>
    <definedName name="TESTVKE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64" l="1"/>
  <c r="CQ70" i="64"/>
  <c r="CP70" i="64"/>
  <c r="CO70" i="64"/>
  <c r="CN70" i="64"/>
  <c r="CL70" i="64"/>
  <c r="CJ70" i="64"/>
  <c r="BL70" i="64"/>
  <c r="BK70" i="64"/>
  <c r="BJ70" i="64"/>
  <c r="BI70" i="64"/>
  <c r="BG70" i="64"/>
  <c r="BE70" i="64"/>
  <c r="AZ70" i="64"/>
  <c r="CR70" i="64" s="1"/>
  <c r="AY70" i="64"/>
  <c r="CQ69" i="64"/>
  <c r="CP69" i="64"/>
  <c r="CO69" i="64"/>
  <c r="CN69" i="64"/>
  <c r="CL69" i="64"/>
  <c r="CJ69" i="64"/>
  <c r="BL69" i="64"/>
  <c r="BK69" i="64"/>
  <c r="BJ69" i="64"/>
  <c r="BI69" i="64"/>
  <c r="BG69" i="64"/>
  <c r="BE69" i="64"/>
  <c r="AZ69" i="64"/>
  <c r="CR69" i="64" s="1"/>
  <c r="AY69" i="64"/>
  <c r="AW69" i="64"/>
  <c r="AU69" i="64"/>
  <c r="CQ68" i="64"/>
  <c r="CP68" i="64"/>
  <c r="CO68" i="64"/>
  <c r="CN68" i="64"/>
  <c r="CL68" i="64"/>
  <c r="CJ68" i="64"/>
  <c r="BL68" i="64"/>
  <c r="BK68" i="64"/>
  <c r="BJ68" i="64"/>
  <c r="BI68" i="64"/>
  <c r="BG68" i="64"/>
  <c r="BE68" i="64"/>
  <c r="AZ68" i="64"/>
  <c r="CR68" i="64" s="1"/>
  <c r="AY68" i="64"/>
  <c r="AW68" i="64"/>
  <c r="AU68" i="64"/>
  <c r="BA68" i="64" s="1"/>
  <c r="CQ67" i="64"/>
  <c r="CP67" i="64"/>
  <c r="CO67" i="64"/>
  <c r="CN67" i="64"/>
  <c r="CM67" i="64"/>
  <c r="CL67" i="64"/>
  <c r="CJ67" i="64"/>
  <c r="BL67" i="64"/>
  <c r="BK67" i="64"/>
  <c r="BJ67" i="64"/>
  <c r="BI67" i="64"/>
  <c r="BH67" i="64"/>
  <c r="BG67" i="64"/>
  <c r="BE67" i="64"/>
  <c r="AZ67" i="64"/>
  <c r="CR67" i="64" s="1"/>
  <c r="AY67" i="64"/>
  <c r="AW67" i="64"/>
  <c r="AU67" i="64"/>
  <c r="BM67" i="64" s="1"/>
  <c r="CQ66" i="64"/>
  <c r="CP66" i="64"/>
  <c r="CO66" i="64"/>
  <c r="CN66" i="64"/>
  <c r="CL66" i="64"/>
  <c r="CJ66" i="64"/>
  <c r="BL66" i="64"/>
  <c r="BK66" i="64"/>
  <c r="BJ66" i="64"/>
  <c r="BI66" i="64"/>
  <c r="BG66" i="64"/>
  <c r="BE66" i="64"/>
  <c r="AZ66" i="64"/>
  <c r="CR66" i="64" s="1"/>
  <c r="AY66" i="64"/>
  <c r="CQ65" i="64"/>
  <c r="CP65" i="64"/>
  <c r="CO65" i="64"/>
  <c r="CN65" i="64"/>
  <c r="CL65" i="64"/>
  <c r="CJ65" i="64"/>
  <c r="BL65" i="64"/>
  <c r="BK65" i="64"/>
  <c r="BJ65" i="64"/>
  <c r="BI65" i="64"/>
  <c r="BG65" i="64"/>
  <c r="BE65" i="64"/>
  <c r="AZ65" i="64"/>
  <c r="CR65" i="64" s="1"/>
  <c r="AY65" i="64"/>
  <c r="CQ64" i="64"/>
  <c r="CP64" i="64"/>
  <c r="CO64" i="64"/>
  <c r="CN64" i="64"/>
  <c r="CM64" i="64"/>
  <c r="CL64" i="64"/>
  <c r="CJ64" i="64"/>
  <c r="BL64" i="64"/>
  <c r="BK64" i="64"/>
  <c r="BJ64" i="64"/>
  <c r="BI64" i="64"/>
  <c r="BH64" i="64"/>
  <c r="BG64" i="64"/>
  <c r="BE64" i="64"/>
  <c r="AZ64" i="64"/>
  <c r="CR64" i="64" s="1"/>
  <c r="AY64" i="64"/>
  <c r="CQ63" i="64"/>
  <c r="CP63" i="64"/>
  <c r="CO63" i="64"/>
  <c r="CN63" i="64"/>
  <c r="CL63" i="64"/>
  <c r="CJ63" i="64"/>
  <c r="BL63" i="64"/>
  <c r="BK63" i="64"/>
  <c r="BJ63" i="64"/>
  <c r="BI63" i="64"/>
  <c r="BG63" i="64"/>
  <c r="BE63" i="64"/>
  <c r="AZ63" i="64"/>
  <c r="CR63" i="64" s="1"/>
  <c r="AY63" i="64"/>
  <c r="AW63" i="64"/>
  <c r="CQ62" i="64"/>
  <c r="CP62" i="64"/>
  <c r="CO62" i="64"/>
  <c r="CN62" i="64"/>
  <c r="CL62" i="64"/>
  <c r="CJ62" i="64"/>
  <c r="BL62" i="64"/>
  <c r="BK62" i="64"/>
  <c r="BJ62" i="64"/>
  <c r="BI62" i="64"/>
  <c r="BG62" i="64"/>
  <c r="BE62" i="64"/>
  <c r="AZ62" i="64"/>
  <c r="CR62" i="64" s="1"/>
  <c r="AY62" i="64"/>
  <c r="CQ61" i="64"/>
  <c r="CP61" i="64"/>
  <c r="CO61" i="64"/>
  <c r="CN61" i="64"/>
  <c r="CL61" i="64"/>
  <c r="CJ61" i="64"/>
  <c r="BL61" i="64"/>
  <c r="BK61" i="64"/>
  <c r="BJ61" i="64"/>
  <c r="BI61" i="64"/>
  <c r="BG61" i="64"/>
  <c r="BE61" i="64"/>
  <c r="AZ61" i="64"/>
  <c r="CR61" i="64" s="1"/>
  <c r="AY61" i="64"/>
  <c r="CQ60" i="64"/>
  <c r="CP60" i="64"/>
  <c r="CO60" i="64"/>
  <c r="CN60" i="64"/>
  <c r="CL60" i="64"/>
  <c r="CJ60" i="64"/>
  <c r="BL60" i="64"/>
  <c r="BK60" i="64"/>
  <c r="BJ60" i="64"/>
  <c r="BI60" i="64"/>
  <c r="BG60" i="64"/>
  <c r="BE60" i="64"/>
  <c r="CR60" i="64"/>
  <c r="AY60" i="64"/>
  <c r="CQ59" i="64"/>
  <c r="CP59" i="64"/>
  <c r="CO59" i="64"/>
  <c r="CN59" i="64"/>
  <c r="CL59" i="64"/>
  <c r="CJ59" i="64"/>
  <c r="BL59" i="64"/>
  <c r="BK59" i="64"/>
  <c r="BJ59" i="64"/>
  <c r="BI59" i="64"/>
  <c r="BG59" i="64"/>
  <c r="BE59" i="64"/>
  <c r="AZ59" i="64"/>
  <c r="CR59" i="64" s="1"/>
  <c r="AY59" i="64"/>
  <c r="CQ58" i="64"/>
  <c r="CP58" i="64"/>
  <c r="CO58" i="64"/>
  <c r="CN58" i="64"/>
  <c r="CL58" i="64"/>
  <c r="CJ58" i="64"/>
  <c r="BL58" i="64"/>
  <c r="BK58" i="64"/>
  <c r="BJ58" i="64"/>
  <c r="BI58" i="64"/>
  <c r="BG58" i="64"/>
  <c r="BE58" i="64"/>
  <c r="AZ58" i="64"/>
  <c r="CR58" i="64" s="1"/>
  <c r="AY58" i="64"/>
  <c r="CQ57" i="64"/>
  <c r="CP57" i="64"/>
  <c r="CO57" i="64"/>
  <c r="CN57" i="64"/>
  <c r="CL57" i="64"/>
  <c r="CJ57" i="64"/>
  <c r="BL57" i="64"/>
  <c r="BK57" i="64"/>
  <c r="BJ57" i="64"/>
  <c r="BI57" i="64"/>
  <c r="BG57" i="64"/>
  <c r="BE57" i="64"/>
  <c r="AZ57" i="64"/>
  <c r="CR57" i="64" s="1"/>
  <c r="AY57" i="64"/>
  <c r="CQ56" i="64"/>
  <c r="CP56" i="64"/>
  <c r="CO56" i="64"/>
  <c r="CN56" i="64"/>
  <c r="CL56" i="64"/>
  <c r="CJ56" i="64"/>
  <c r="BL56" i="64"/>
  <c r="BK56" i="64"/>
  <c r="BJ56" i="64"/>
  <c r="BI56" i="64"/>
  <c r="BG56" i="64"/>
  <c r="BE56" i="64"/>
  <c r="AZ56" i="64"/>
  <c r="CR56" i="64" s="1"/>
  <c r="AY56" i="64"/>
  <c r="AU56" i="64"/>
  <c r="BA56" i="64" s="1"/>
  <c r="CS56" i="64" s="1"/>
  <c r="CQ55" i="64"/>
  <c r="CP55" i="64"/>
  <c r="CO55" i="64"/>
  <c r="CN55" i="64"/>
  <c r="CL55" i="64"/>
  <c r="CJ55" i="64"/>
  <c r="BL55" i="64"/>
  <c r="BK55" i="64"/>
  <c r="BJ55" i="64"/>
  <c r="BI55" i="64"/>
  <c r="BG55" i="64"/>
  <c r="BE55" i="64"/>
  <c r="AZ55" i="64"/>
  <c r="CR55" i="64" s="1"/>
  <c r="AY55" i="64"/>
  <c r="CQ54" i="64"/>
  <c r="CP54" i="64"/>
  <c r="CO54" i="64"/>
  <c r="CN54" i="64"/>
  <c r="CL54" i="64"/>
  <c r="CJ54" i="64"/>
  <c r="BL54" i="64"/>
  <c r="BK54" i="64"/>
  <c r="BJ54" i="64"/>
  <c r="BI54" i="64"/>
  <c r="BG54" i="64"/>
  <c r="BE54" i="64"/>
  <c r="AZ54" i="64"/>
  <c r="CR54" i="64" s="1"/>
  <c r="AY54" i="64"/>
  <c r="CQ53" i="64"/>
  <c r="CP53" i="64"/>
  <c r="CO53" i="64"/>
  <c r="CN53" i="64"/>
  <c r="CL53" i="64"/>
  <c r="CJ53" i="64"/>
  <c r="BL53" i="64"/>
  <c r="BK53" i="64"/>
  <c r="BJ53" i="64"/>
  <c r="BI53" i="64"/>
  <c r="BG53" i="64"/>
  <c r="BE53" i="64"/>
  <c r="AZ53" i="64"/>
  <c r="CR53" i="64" s="1"/>
  <c r="AY53" i="64"/>
  <c r="AU53" i="64"/>
  <c r="BA53" i="64" s="1"/>
  <c r="CQ52" i="64"/>
  <c r="CP52" i="64"/>
  <c r="CO52" i="64"/>
  <c r="CN52" i="64"/>
  <c r="CL52" i="64"/>
  <c r="CJ52" i="64"/>
  <c r="BL52" i="64"/>
  <c r="BK52" i="64"/>
  <c r="BJ52" i="64"/>
  <c r="BI52" i="64"/>
  <c r="BG52" i="64"/>
  <c r="BE52" i="64"/>
  <c r="AZ52" i="64"/>
  <c r="CR52" i="64" s="1"/>
  <c r="AY52" i="64"/>
  <c r="CQ51" i="64"/>
  <c r="CP51" i="64"/>
  <c r="CO51" i="64"/>
  <c r="CN51" i="64"/>
  <c r="CL51" i="64"/>
  <c r="CJ51" i="64"/>
  <c r="BL51" i="64"/>
  <c r="BK51" i="64"/>
  <c r="BJ51" i="64"/>
  <c r="BI51" i="64"/>
  <c r="BG51" i="64"/>
  <c r="BE51" i="64"/>
  <c r="AZ51" i="64"/>
  <c r="CR51" i="64" s="1"/>
  <c r="AY51" i="64"/>
  <c r="CQ50" i="64"/>
  <c r="CP50" i="64"/>
  <c r="CO50" i="64"/>
  <c r="CN50" i="64"/>
  <c r="CL50" i="64"/>
  <c r="CJ50" i="64"/>
  <c r="BL50" i="64"/>
  <c r="BK50" i="64"/>
  <c r="BJ50" i="64"/>
  <c r="BI50" i="64"/>
  <c r="BG50" i="64"/>
  <c r="BE50" i="64"/>
  <c r="AZ50" i="64"/>
  <c r="CR50" i="64" s="1"/>
  <c r="AY50" i="64"/>
  <c r="CQ49" i="64"/>
  <c r="CP49" i="64"/>
  <c r="CO49" i="64"/>
  <c r="CN49" i="64"/>
  <c r="CL49" i="64"/>
  <c r="CJ49" i="64"/>
  <c r="BL49" i="64"/>
  <c r="BK49" i="64"/>
  <c r="BJ49" i="64"/>
  <c r="BI49" i="64"/>
  <c r="BG49" i="64"/>
  <c r="BE49" i="64"/>
  <c r="AZ49" i="64"/>
  <c r="CR49" i="64" s="1"/>
  <c r="AY49" i="64"/>
  <c r="CQ48" i="64"/>
  <c r="CP48" i="64"/>
  <c r="CO48" i="64"/>
  <c r="CN48" i="64"/>
  <c r="CM48" i="64"/>
  <c r="CL48" i="64"/>
  <c r="CJ48" i="64"/>
  <c r="BL48" i="64"/>
  <c r="BK48" i="64"/>
  <c r="BJ48" i="64"/>
  <c r="BI48" i="64"/>
  <c r="BH48" i="64"/>
  <c r="BG48" i="64"/>
  <c r="BE48" i="64"/>
  <c r="AZ48" i="64"/>
  <c r="CR48" i="64" s="1"/>
  <c r="AY48" i="64"/>
  <c r="AU48" i="64"/>
  <c r="CQ47" i="64"/>
  <c r="CP47" i="64"/>
  <c r="CO47" i="64"/>
  <c r="CN47" i="64"/>
  <c r="CL47" i="64"/>
  <c r="CJ47" i="64"/>
  <c r="BL47" i="64"/>
  <c r="BK47" i="64"/>
  <c r="BJ47" i="64"/>
  <c r="BI47" i="64"/>
  <c r="BG47" i="64"/>
  <c r="BE47" i="64"/>
  <c r="AZ47" i="64"/>
  <c r="CR47" i="64" s="1"/>
  <c r="AY47" i="64"/>
  <c r="CQ46" i="64"/>
  <c r="CP46" i="64"/>
  <c r="CO46" i="64"/>
  <c r="CN46" i="64"/>
  <c r="CL46" i="64"/>
  <c r="CJ46" i="64"/>
  <c r="BL46" i="64"/>
  <c r="BK46" i="64"/>
  <c r="BJ46" i="64"/>
  <c r="BI46" i="64"/>
  <c r="BG46" i="64"/>
  <c r="BE46" i="64"/>
  <c r="AZ46" i="64"/>
  <c r="CR46" i="64" s="1"/>
  <c r="AY46" i="64"/>
  <c r="CQ45" i="64"/>
  <c r="CP45" i="64"/>
  <c r="CO45" i="64"/>
  <c r="CN45" i="64"/>
  <c r="CL45" i="64"/>
  <c r="CJ45" i="64"/>
  <c r="BL45" i="64"/>
  <c r="BK45" i="64"/>
  <c r="BJ45" i="64"/>
  <c r="BI45" i="64"/>
  <c r="BG45" i="64"/>
  <c r="BE45" i="64"/>
  <c r="AZ45" i="64"/>
  <c r="CR45" i="64" s="1"/>
  <c r="AY45" i="64"/>
  <c r="CQ44" i="64"/>
  <c r="CP44" i="64"/>
  <c r="CO44" i="64"/>
  <c r="CN44" i="64"/>
  <c r="CL44" i="64"/>
  <c r="CJ44" i="64"/>
  <c r="BL44" i="64"/>
  <c r="BK44" i="64"/>
  <c r="BJ44" i="64"/>
  <c r="BI44" i="64"/>
  <c r="BG44" i="64"/>
  <c r="BE44" i="64"/>
  <c r="AZ44" i="64"/>
  <c r="CR44" i="64" s="1"/>
  <c r="AY44" i="64"/>
  <c r="CQ43" i="64"/>
  <c r="CP43" i="64"/>
  <c r="CO43" i="64"/>
  <c r="CN43" i="64"/>
  <c r="CL43" i="64"/>
  <c r="CJ43" i="64"/>
  <c r="BL43" i="64"/>
  <c r="BK43" i="64"/>
  <c r="BJ43" i="64"/>
  <c r="BI43" i="64"/>
  <c r="BG43" i="64"/>
  <c r="BE43" i="64"/>
  <c r="AZ43" i="64"/>
  <c r="CR43" i="64" s="1"/>
  <c r="AY43" i="64"/>
  <c r="CQ42" i="64"/>
  <c r="CP42" i="64"/>
  <c r="CO42" i="64"/>
  <c r="CN42" i="64"/>
  <c r="CL42" i="64"/>
  <c r="CJ42" i="64"/>
  <c r="BL42" i="64"/>
  <c r="BK42" i="64"/>
  <c r="BJ42" i="64"/>
  <c r="BI42" i="64"/>
  <c r="BG42" i="64"/>
  <c r="BE42" i="64"/>
  <c r="AZ42" i="64"/>
  <c r="CR42" i="64" s="1"/>
  <c r="AY42" i="64"/>
  <c r="CQ41" i="64"/>
  <c r="CP41" i="64"/>
  <c r="CO41" i="64"/>
  <c r="CN41" i="64"/>
  <c r="CL41" i="64"/>
  <c r="CJ41" i="64"/>
  <c r="BL41" i="64"/>
  <c r="BK41" i="64"/>
  <c r="BJ41" i="64"/>
  <c r="BI41" i="64"/>
  <c r="BG41" i="64"/>
  <c r="BE41" i="64"/>
  <c r="AZ41" i="64"/>
  <c r="CR41" i="64" s="1"/>
  <c r="AY41" i="64"/>
  <c r="CQ40" i="64"/>
  <c r="CP40" i="64"/>
  <c r="CO40" i="64"/>
  <c r="CN40" i="64"/>
  <c r="CL40" i="64"/>
  <c r="CJ40" i="64"/>
  <c r="BL40" i="64"/>
  <c r="BK40" i="64"/>
  <c r="BJ40" i="64"/>
  <c r="BI40" i="64"/>
  <c r="BG40" i="64"/>
  <c r="BE40" i="64"/>
  <c r="AZ40" i="64"/>
  <c r="CR40" i="64" s="1"/>
  <c r="AY40" i="64"/>
  <c r="CQ39" i="64"/>
  <c r="CP39" i="64"/>
  <c r="CO39" i="64"/>
  <c r="CN39" i="64"/>
  <c r="CL39" i="64"/>
  <c r="CJ39" i="64"/>
  <c r="BL39" i="64"/>
  <c r="BK39" i="64"/>
  <c r="BJ39" i="64"/>
  <c r="BI39" i="64"/>
  <c r="BG39" i="64"/>
  <c r="BE39" i="64"/>
  <c r="AZ39" i="64"/>
  <c r="CR39" i="64" s="1"/>
  <c r="AY39" i="64"/>
  <c r="CQ37" i="64"/>
  <c r="CP37" i="64"/>
  <c r="CO37" i="64"/>
  <c r="CN37" i="64"/>
  <c r="CL37" i="64"/>
  <c r="CJ37" i="64"/>
  <c r="BL37" i="64"/>
  <c r="BK37" i="64"/>
  <c r="BJ37" i="64"/>
  <c r="BI37" i="64"/>
  <c r="BG37" i="64"/>
  <c r="BE37" i="64"/>
  <c r="AZ37" i="64"/>
  <c r="CR37" i="64" s="1"/>
  <c r="AY37" i="64"/>
  <c r="CQ36" i="64"/>
  <c r="CP36" i="64"/>
  <c r="CO36" i="64"/>
  <c r="CN36" i="64"/>
  <c r="CL36" i="64"/>
  <c r="CJ36" i="64"/>
  <c r="BL36" i="64"/>
  <c r="BK36" i="64"/>
  <c r="BJ36" i="64"/>
  <c r="BI36" i="64"/>
  <c r="BG36" i="64"/>
  <c r="BE36" i="64"/>
  <c r="AZ36" i="64"/>
  <c r="CR36" i="64" s="1"/>
  <c r="AY36" i="64"/>
  <c r="CQ35" i="64"/>
  <c r="CP35" i="64"/>
  <c r="CO35" i="64"/>
  <c r="CN35" i="64"/>
  <c r="CL35" i="64"/>
  <c r="CJ35" i="64"/>
  <c r="BL35" i="64"/>
  <c r="BK35" i="64"/>
  <c r="BJ35" i="64"/>
  <c r="BI35" i="64"/>
  <c r="BG35" i="64"/>
  <c r="BE35" i="64"/>
  <c r="AZ35" i="64"/>
  <c r="CR35" i="64" s="1"/>
  <c r="AY35" i="64"/>
  <c r="CQ34" i="64"/>
  <c r="CP34" i="64"/>
  <c r="CO34" i="64"/>
  <c r="CN34" i="64"/>
  <c r="CM34" i="64"/>
  <c r="CL34" i="64"/>
  <c r="CJ34" i="64"/>
  <c r="BL34" i="64"/>
  <c r="BK34" i="64"/>
  <c r="BJ34" i="64"/>
  <c r="BI34" i="64"/>
  <c r="BH34" i="64"/>
  <c r="BG34" i="64"/>
  <c r="BE34" i="64"/>
  <c r="AZ34" i="64"/>
  <c r="CR34" i="64" s="1"/>
  <c r="AY34" i="64"/>
  <c r="AW34" i="64"/>
  <c r="AU34" i="64"/>
  <c r="BA34" i="64" s="1"/>
  <c r="CS34" i="64" s="1"/>
  <c r="CQ33" i="64"/>
  <c r="CP33" i="64"/>
  <c r="CO33" i="64"/>
  <c r="CN33" i="64"/>
  <c r="CL33" i="64"/>
  <c r="CJ33" i="64"/>
  <c r="BL33" i="64"/>
  <c r="BK33" i="64"/>
  <c r="BJ33" i="64"/>
  <c r="BI33" i="64"/>
  <c r="BG33" i="64"/>
  <c r="BE33" i="64"/>
  <c r="AZ33" i="64"/>
  <c r="CR33" i="64" s="1"/>
  <c r="AY33" i="64"/>
  <c r="CQ32" i="64"/>
  <c r="CP32" i="64"/>
  <c r="CO32" i="64"/>
  <c r="CN32" i="64"/>
  <c r="CL32" i="64"/>
  <c r="CJ32" i="64"/>
  <c r="BL32" i="64"/>
  <c r="BK32" i="64"/>
  <c r="BJ32" i="64"/>
  <c r="BI32" i="64"/>
  <c r="BG32" i="64"/>
  <c r="BE32" i="64"/>
  <c r="AZ32" i="64"/>
  <c r="CR32" i="64" s="1"/>
  <c r="AY32" i="64"/>
  <c r="CQ31" i="64"/>
  <c r="CP31" i="64"/>
  <c r="CO31" i="64"/>
  <c r="CN31" i="64"/>
  <c r="CM31" i="64"/>
  <c r="CL31" i="64"/>
  <c r="CJ31" i="64"/>
  <c r="BL31" i="64"/>
  <c r="BK31" i="64"/>
  <c r="BJ31" i="64"/>
  <c r="BI31" i="64"/>
  <c r="BH31" i="64"/>
  <c r="BG31" i="64"/>
  <c r="BE31" i="64"/>
  <c r="AZ31" i="64"/>
  <c r="CR31" i="64" s="1"/>
  <c r="AY31" i="64"/>
  <c r="CQ30" i="64"/>
  <c r="CP30" i="64"/>
  <c r="CO30" i="64"/>
  <c r="CN30" i="64"/>
  <c r="CL30" i="64"/>
  <c r="CJ30" i="64"/>
  <c r="BL30" i="64"/>
  <c r="BK30" i="64"/>
  <c r="BJ30" i="64"/>
  <c r="BI30" i="64"/>
  <c r="BG30" i="64"/>
  <c r="BE30" i="64"/>
  <c r="AZ30" i="64"/>
  <c r="CR30" i="64" s="1"/>
  <c r="AY30" i="64"/>
  <c r="AW30" i="64"/>
  <c r="CQ29" i="64"/>
  <c r="CP29" i="64"/>
  <c r="CO29" i="64"/>
  <c r="CN29" i="64"/>
  <c r="CL29" i="64"/>
  <c r="CJ29" i="64"/>
  <c r="BL29" i="64"/>
  <c r="BK29" i="64"/>
  <c r="BJ29" i="64"/>
  <c r="BI29" i="64"/>
  <c r="BG29" i="64"/>
  <c r="BE29" i="64"/>
  <c r="AZ29" i="64"/>
  <c r="CR29" i="64" s="1"/>
  <c r="AY29" i="64"/>
  <c r="CQ28" i="64"/>
  <c r="CP28" i="64"/>
  <c r="CO28" i="64"/>
  <c r="CN28" i="64"/>
  <c r="CL28" i="64"/>
  <c r="CJ28" i="64"/>
  <c r="BL28" i="64"/>
  <c r="BK28" i="64"/>
  <c r="BJ28" i="64"/>
  <c r="BI28" i="64"/>
  <c r="BG28" i="64"/>
  <c r="BE28" i="64"/>
  <c r="AZ28" i="64"/>
  <c r="CR28" i="64" s="1"/>
  <c r="AY28" i="64"/>
  <c r="CQ27" i="64"/>
  <c r="CP27" i="64"/>
  <c r="CO27" i="64"/>
  <c r="CN27" i="64"/>
  <c r="CL27" i="64"/>
  <c r="CJ27" i="64"/>
  <c r="BL27" i="64"/>
  <c r="BK27" i="64"/>
  <c r="BJ27" i="64"/>
  <c r="BI27" i="64"/>
  <c r="BG27" i="64"/>
  <c r="BE27" i="64"/>
  <c r="AZ27" i="64"/>
  <c r="CR27" i="64" s="1"/>
  <c r="AY27" i="64"/>
  <c r="CQ26" i="64"/>
  <c r="CP26" i="64"/>
  <c r="CO26" i="64"/>
  <c r="CN26" i="64"/>
  <c r="CL26" i="64"/>
  <c r="CJ26" i="64"/>
  <c r="BL26" i="64"/>
  <c r="BK26" i="64"/>
  <c r="BJ26" i="64"/>
  <c r="BI26" i="64"/>
  <c r="BG26" i="64"/>
  <c r="BE26" i="64"/>
  <c r="AZ26" i="64"/>
  <c r="CR26" i="64" s="1"/>
  <c r="AY26" i="64"/>
  <c r="CQ25" i="64"/>
  <c r="CP25" i="64"/>
  <c r="CO25" i="64"/>
  <c r="CN25" i="64"/>
  <c r="CL25" i="64"/>
  <c r="CJ25" i="64"/>
  <c r="BL25" i="64"/>
  <c r="BK25" i="64"/>
  <c r="BJ25" i="64"/>
  <c r="BI25" i="64"/>
  <c r="BG25" i="64"/>
  <c r="BE25" i="64"/>
  <c r="AZ25" i="64"/>
  <c r="CR25" i="64" s="1"/>
  <c r="AY25" i="64"/>
  <c r="CQ24" i="64"/>
  <c r="CP24" i="64"/>
  <c r="CO24" i="64"/>
  <c r="CN24" i="64"/>
  <c r="CL24" i="64"/>
  <c r="CJ24" i="64"/>
  <c r="BL24" i="64"/>
  <c r="BK24" i="64"/>
  <c r="BJ24" i="64"/>
  <c r="BI24" i="64"/>
  <c r="BG24" i="64"/>
  <c r="BE24" i="64"/>
  <c r="AZ24" i="64"/>
  <c r="CR24" i="64" s="1"/>
  <c r="AY24" i="64"/>
  <c r="CQ23" i="64"/>
  <c r="CP23" i="64"/>
  <c r="CO23" i="64"/>
  <c r="CN23" i="64"/>
  <c r="CL23" i="64"/>
  <c r="CJ23" i="64"/>
  <c r="BL23" i="64"/>
  <c r="BK23" i="64"/>
  <c r="BJ23" i="64"/>
  <c r="BI23" i="64"/>
  <c r="BG23" i="64"/>
  <c r="BE23" i="64"/>
  <c r="AZ23" i="64"/>
  <c r="CR23" i="64" s="1"/>
  <c r="AY23" i="64"/>
  <c r="AU23" i="64"/>
  <c r="AV23" i="64" s="1"/>
  <c r="CQ22" i="64"/>
  <c r="CP22" i="64"/>
  <c r="CO22" i="64"/>
  <c r="CN22" i="64"/>
  <c r="CL22" i="64"/>
  <c r="CJ22" i="64"/>
  <c r="BL22" i="64"/>
  <c r="BK22" i="64"/>
  <c r="BJ22" i="64"/>
  <c r="BI22" i="64"/>
  <c r="BG22" i="64"/>
  <c r="BE22" i="64"/>
  <c r="AZ22" i="64"/>
  <c r="CR22" i="64" s="1"/>
  <c r="AY22" i="64"/>
  <c r="CQ21" i="64"/>
  <c r="CP21" i="64"/>
  <c r="CO21" i="64"/>
  <c r="CN21" i="64"/>
  <c r="CL21" i="64"/>
  <c r="CJ21" i="64"/>
  <c r="BL21" i="64"/>
  <c r="BK21" i="64"/>
  <c r="BJ21" i="64"/>
  <c r="BI21" i="64"/>
  <c r="BG21" i="64"/>
  <c r="BE21" i="64"/>
  <c r="AZ21" i="64"/>
  <c r="CR21" i="64" s="1"/>
  <c r="AY21" i="64"/>
  <c r="CQ20" i="64"/>
  <c r="CP20" i="64"/>
  <c r="CO20" i="64"/>
  <c r="CN20" i="64"/>
  <c r="CL20" i="64"/>
  <c r="CJ20" i="64"/>
  <c r="BL20" i="64"/>
  <c r="BK20" i="64"/>
  <c r="BJ20" i="64"/>
  <c r="BI20" i="64"/>
  <c r="BG20" i="64"/>
  <c r="BE20" i="64"/>
  <c r="AZ20" i="64"/>
  <c r="CR20" i="64" s="1"/>
  <c r="AY20" i="64"/>
  <c r="AU20" i="64"/>
  <c r="BM20" i="64" s="1"/>
  <c r="CQ19" i="64"/>
  <c r="CP19" i="64"/>
  <c r="CO19" i="64"/>
  <c r="CN19" i="64"/>
  <c r="CL19" i="64"/>
  <c r="CJ19" i="64"/>
  <c r="BL19" i="64"/>
  <c r="BK19" i="64"/>
  <c r="BJ19" i="64"/>
  <c r="BI19" i="64"/>
  <c r="BG19" i="64"/>
  <c r="BE19" i="64"/>
  <c r="AZ19" i="64"/>
  <c r="CR19" i="64" s="1"/>
  <c r="AY19" i="64"/>
  <c r="CQ18" i="64"/>
  <c r="CP18" i="64"/>
  <c r="CO18" i="64"/>
  <c r="CN18" i="64"/>
  <c r="CL18" i="64"/>
  <c r="CJ18" i="64"/>
  <c r="BL18" i="64"/>
  <c r="BK18" i="64"/>
  <c r="BJ18" i="64"/>
  <c r="BI18" i="64"/>
  <c r="BG18" i="64"/>
  <c r="BE18" i="64"/>
  <c r="AZ18" i="64"/>
  <c r="CR18" i="64" s="1"/>
  <c r="AY18" i="64"/>
  <c r="CQ17" i="64"/>
  <c r="CP17" i="64"/>
  <c r="CO17" i="64"/>
  <c r="CN17" i="64"/>
  <c r="CL17" i="64"/>
  <c r="CJ17" i="64"/>
  <c r="BL17" i="64"/>
  <c r="BK17" i="64"/>
  <c r="BJ17" i="64"/>
  <c r="BI17" i="64"/>
  <c r="BG17" i="64"/>
  <c r="BE17" i="64"/>
  <c r="AZ17" i="64"/>
  <c r="CR17" i="64" s="1"/>
  <c r="AY17" i="64"/>
  <c r="CQ16" i="64"/>
  <c r="CP16" i="64"/>
  <c r="CO16" i="64"/>
  <c r="CN16" i="64"/>
  <c r="CL16" i="64"/>
  <c r="CJ16" i="64"/>
  <c r="BL16" i="64"/>
  <c r="BK16" i="64"/>
  <c r="BJ16" i="64"/>
  <c r="BI16" i="64"/>
  <c r="BG16" i="64"/>
  <c r="BE16" i="64"/>
  <c r="AZ16" i="64"/>
  <c r="CR16" i="64" s="1"/>
  <c r="AY16" i="64"/>
  <c r="CQ15" i="64"/>
  <c r="CP15" i="64"/>
  <c r="CO15" i="64"/>
  <c r="CN15" i="64"/>
  <c r="CL15" i="64"/>
  <c r="CJ15" i="64"/>
  <c r="BL15" i="64"/>
  <c r="BK15" i="64"/>
  <c r="BJ15" i="64"/>
  <c r="BI15" i="64"/>
  <c r="BG15" i="64"/>
  <c r="BE15" i="64"/>
  <c r="AZ15" i="64"/>
  <c r="CR15" i="64" s="1"/>
  <c r="AY15" i="64"/>
  <c r="CQ14" i="64"/>
  <c r="CP14" i="64"/>
  <c r="CO14" i="64"/>
  <c r="CN14" i="64"/>
  <c r="CM14" i="64"/>
  <c r="CL14" i="64"/>
  <c r="CJ14" i="64"/>
  <c r="BL14" i="64"/>
  <c r="BK14" i="64"/>
  <c r="BJ14" i="64"/>
  <c r="BI14" i="64"/>
  <c r="BH14" i="64"/>
  <c r="BG14" i="64"/>
  <c r="BE14" i="64"/>
  <c r="AZ14" i="64"/>
  <c r="CR14" i="64" s="1"/>
  <c r="AY14" i="64"/>
  <c r="AU14" i="64"/>
  <c r="BM14" i="64" s="1"/>
  <c r="CQ13" i="64"/>
  <c r="CP13" i="64"/>
  <c r="CO13" i="64"/>
  <c r="CN13" i="64"/>
  <c r="CL13" i="64"/>
  <c r="CJ13" i="64"/>
  <c r="BL13" i="64"/>
  <c r="BK13" i="64"/>
  <c r="BJ13" i="64"/>
  <c r="BI13" i="64"/>
  <c r="BG13" i="64"/>
  <c r="BE13" i="64"/>
  <c r="AZ13" i="64"/>
  <c r="CR13" i="64" s="1"/>
  <c r="AY13" i="64"/>
  <c r="CQ12" i="64"/>
  <c r="CP12" i="64"/>
  <c r="CO12" i="64"/>
  <c r="CN12" i="64"/>
  <c r="CL12" i="64"/>
  <c r="CJ12" i="64"/>
  <c r="BL12" i="64"/>
  <c r="BK12" i="64"/>
  <c r="BJ12" i="64"/>
  <c r="BI12" i="64"/>
  <c r="BG12" i="64"/>
  <c r="BE12" i="64"/>
  <c r="AZ12" i="64"/>
  <c r="CR12" i="64" s="1"/>
  <c r="AY12" i="64"/>
  <c r="CQ11" i="64"/>
  <c r="CP11" i="64"/>
  <c r="CO11" i="64"/>
  <c r="CN11" i="64"/>
  <c r="CL11" i="64"/>
  <c r="CJ11" i="64"/>
  <c r="BL11" i="64"/>
  <c r="BK11" i="64"/>
  <c r="BJ11" i="64"/>
  <c r="BI11" i="64"/>
  <c r="BG11" i="64"/>
  <c r="BE11" i="64"/>
  <c r="AZ11" i="64"/>
  <c r="CR11" i="64" s="1"/>
  <c r="AY11" i="64"/>
  <c r="CQ10" i="64"/>
  <c r="CP10" i="64"/>
  <c r="CO10" i="64"/>
  <c r="CN10" i="64"/>
  <c r="CL10" i="64"/>
  <c r="CJ10" i="64"/>
  <c r="BL10" i="64"/>
  <c r="BK10" i="64"/>
  <c r="BJ10" i="64"/>
  <c r="BI10" i="64"/>
  <c r="BG10" i="64"/>
  <c r="BE10" i="64"/>
  <c r="AZ10" i="64"/>
  <c r="CR10" i="64" s="1"/>
  <c r="AY10" i="64"/>
  <c r="CQ9" i="64"/>
  <c r="CP9" i="64"/>
  <c r="CO9" i="64"/>
  <c r="CN9" i="64"/>
  <c r="CL9" i="64"/>
  <c r="CJ9" i="64"/>
  <c r="BL9" i="64"/>
  <c r="BK9" i="64"/>
  <c r="BJ9" i="64"/>
  <c r="BI9" i="64"/>
  <c r="BG9" i="64"/>
  <c r="BE9" i="64"/>
  <c r="AZ9" i="64"/>
  <c r="CR9" i="64" s="1"/>
  <c r="AY9" i="64"/>
  <c r="CQ8" i="64"/>
  <c r="CP8" i="64"/>
  <c r="CO8" i="64"/>
  <c r="CN8" i="64"/>
  <c r="CL8" i="64"/>
  <c r="CJ8" i="64"/>
  <c r="BL8" i="64"/>
  <c r="BK8" i="64"/>
  <c r="BJ8" i="64"/>
  <c r="BI8" i="64"/>
  <c r="BG8" i="64"/>
  <c r="BE8" i="64"/>
  <c r="AZ8" i="64"/>
  <c r="CR8" i="64" s="1"/>
  <c r="AY8" i="64"/>
  <c r="CQ7" i="64"/>
  <c r="CP7" i="64"/>
  <c r="CO7" i="64"/>
  <c r="CN7" i="64"/>
  <c r="CL7" i="64"/>
  <c r="CJ7" i="64"/>
  <c r="BL7" i="64"/>
  <c r="BK7" i="64"/>
  <c r="BJ7" i="64"/>
  <c r="BI7" i="64"/>
  <c r="BG7" i="64"/>
  <c r="BE7" i="64"/>
  <c r="AZ7" i="64"/>
  <c r="CR7" i="64" s="1"/>
  <c r="AY7" i="64"/>
  <c r="I62" i="64"/>
  <c r="AW62" i="64" s="1"/>
  <c r="I65" i="64"/>
  <c r="AW65" i="64" s="1"/>
  <c r="I29" i="64"/>
  <c r="AW29" i="64" s="1"/>
  <c r="BM34" i="64" l="1"/>
  <c r="AV34" i="64"/>
  <c r="AX34" i="64" s="1"/>
  <c r="BB68" i="64"/>
  <c r="CS68" i="64"/>
  <c r="BB56" i="64"/>
  <c r="BA67" i="64"/>
  <c r="BB53" i="64"/>
  <c r="BM53" i="64"/>
  <c r="BM69" i="64"/>
  <c r="AV69" i="64"/>
  <c r="BA69" i="64"/>
  <c r="AV56" i="64"/>
  <c r="BM56" i="64"/>
  <c r="AV68" i="64"/>
  <c r="BM68" i="64"/>
  <c r="BM48" i="64"/>
  <c r="BA48" i="64"/>
  <c r="AV48" i="64"/>
  <c r="AV53" i="64"/>
  <c r="CS53" i="64"/>
  <c r="AV67" i="64"/>
  <c r="BM23" i="64"/>
  <c r="BA14" i="64"/>
  <c r="BA20" i="64"/>
  <c r="BA23" i="64"/>
  <c r="AV14" i="64"/>
  <c r="AV20" i="64"/>
  <c r="BB34" i="64"/>
  <c r="BV34" i="64"/>
  <c r="BT34" i="64" l="1"/>
  <c r="BR34" i="64"/>
  <c r="CS67" i="64"/>
  <c r="BB67" i="64"/>
  <c r="BB69" i="64"/>
  <c r="CS69" i="64"/>
  <c r="BV68" i="64"/>
  <c r="BT68" i="64"/>
  <c r="AX68" i="64"/>
  <c r="BR68" i="64"/>
  <c r="AX67" i="64"/>
  <c r="BV67" i="64"/>
  <c r="BT67" i="64"/>
  <c r="BR67" i="64"/>
  <c r="BB48" i="64"/>
  <c r="CS48" i="64"/>
  <c r="AX69" i="64"/>
  <c r="BV69" i="64"/>
  <c r="BT69" i="64"/>
  <c r="BR69" i="64"/>
  <c r="CS14" i="64"/>
  <c r="BB14" i="64"/>
  <c r="BB23" i="64"/>
  <c r="CS23" i="64"/>
  <c r="CS20" i="64"/>
  <c r="BB20" i="64"/>
  <c r="AC42" i="64" l="1"/>
  <c r="AB42" i="64"/>
  <c r="T42" i="64"/>
  <c r="K42" i="64"/>
  <c r="J42" i="64"/>
  <c r="I42" i="64"/>
  <c r="F42" i="64"/>
  <c r="D42" i="64"/>
  <c r="DY42" i="64"/>
  <c r="DV42" i="64"/>
  <c r="DU42" i="64"/>
  <c r="DS42" i="64"/>
  <c r="DN42" i="64"/>
  <c r="D41" i="64"/>
  <c r="F41" i="64"/>
  <c r="I41" i="64"/>
  <c r="J41" i="64"/>
  <c r="K41" i="64"/>
  <c r="T41" i="64"/>
  <c r="AB41" i="64"/>
  <c r="AC41" i="64"/>
  <c r="DN41" i="64"/>
  <c r="DS41" i="64"/>
  <c r="DU41" i="64"/>
  <c r="DV41" i="64"/>
  <c r="DY41" i="64"/>
  <c r="K39" i="64"/>
  <c r="AU39" i="64" s="1"/>
  <c r="J39" i="64"/>
  <c r="I39" i="64"/>
  <c r="AW39" i="64" s="1"/>
  <c r="F39" i="64"/>
  <c r="DY40" i="64"/>
  <c r="DV40" i="64"/>
  <c r="DU40" i="64"/>
  <c r="DS40" i="64"/>
  <c r="DN40" i="64"/>
  <c r="AC40" i="64"/>
  <c r="AB40" i="64"/>
  <c r="T40" i="64"/>
  <c r="K40" i="64"/>
  <c r="AU40" i="64" s="1"/>
  <c r="J40" i="64"/>
  <c r="I40" i="64"/>
  <c r="AW40" i="64" s="1"/>
  <c r="F40" i="64"/>
  <c r="D40" i="64"/>
  <c r="AC67" i="64"/>
  <c r="DP67" i="64" s="1"/>
  <c r="AB67" i="64"/>
  <c r="T67" i="64"/>
  <c r="R67" i="64"/>
  <c r="P67" i="64"/>
  <c r="DY67" i="64"/>
  <c r="DV67" i="64"/>
  <c r="DU67" i="64"/>
  <c r="DS67" i="64"/>
  <c r="DN67" i="64"/>
  <c r="DY44" i="64"/>
  <c r="DV44" i="64"/>
  <c r="DU44" i="64"/>
  <c r="DS44" i="64"/>
  <c r="DN44" i="64"/>
  <c r="AC44" i="64"/>
  <c r="AB44" i="64"/>
  <c r="T44" i="64"/>
  <c r="K44" i="64"/>
  <c r="AU44" i="64" s="1"/>
  <c r="J44" i="64"/>
  <c r="I44" i="64"/>
  <c r="AW44" i="64" s="1"/>
  <c r="F44" i="64"/>
  <c r="D44" i="64"/>
  <c r="DY68" i="64"/>
  <c r="DV68" i="64"/>
  <c r="DU68" i="64"/>
  <c r="DS68" i="64"/>
  <c r="DN68" i="64"/>
  <c r="AC68" i="64"/>
  <c r="DP68" i="64" s="1"/>
  <c r="AB68" i="64"/>
  <c r="T68" i="64"/>
  <c r="R68" i="64"/>
  <c r="P68" i="64"/>
  <c r="F68" i="64"/>
  <c r="D68" i="64"/>
  <c r="DY49" i="64"/>
  <c r="DV49" i="64"/>
  <c r="DU49" i="64"/>
  <c r="DS49" i="64"/>
  <c r="DN49" i="64"/>
  <c r="AC49" i="64"/>
  <c r="AB49" i="64"/>
  <c r="T49" i="64"/>
  <c r="K49" i="64"/>
  <c r="AU49" i="64" s="1"/>
  <c r="J49" i="64"/>
  <c r="I49" i="64"/>
  <c r="AW49" i="64" s="1"/>
  <c r="F49" i="64"/>
  <c r="D49" i="64"/>
  <c r="K51" i="64"/>
  <c r="AU51" i="64" s="1"/>
  <c r="J51" i="64"/>
  <c r="I51" i="64"/>
  <c r="AW51" i="64" s="1"/>
  <c r="F51" i="64"/>
  <c r="DY36" i="64"/>
  <c r="DV36" i="64"/>
  <c r="DU36" i="64"/>
  <c r="DS36" i="64"/>
  <c r="DN36" i="64"/>
  <c r="AC36" i="64"/>
  <c r="AB36" i="64"/>
  <c r="T36" i="64"/>
  <c r="K36" i="64"/>
  <c r="AU36" i="64" s="1"/>
  <c r="J36" i="64"/>
  <c r="I36" i="64"/>
  <c r="AW36" i="64" s="1"/>
  <c r="F36" i="64"/>
  <c r="D36" i="64"/>
  <c r="DY16" i="64"/>
  <c r="DV16" i="64"/>
  <c r="DU16" i="64"/>
  <c r="DS16" i="64"/>
  <c r="DN16" i="64"/>
  <c r="AC16" i="64"/>
  <c r="AB16" i="64"/>
  <c r="T16" i="64"/>
  <c r="K16" i="64"/>
  <c r="AU16" i="64" s="1"/>
  <c r="J16" i="64"/>
  <c r="I16" i="64"/>
  <c r="AW16" i="64" s="1"/>
  <c r="F16" i="64"/>
  <c r="D16" i="64"/>
  <c r="DY7" i="64"/>
  <c r="DV7" i="64"/>
  <c r="DU7" i="64"/>
  <c r="DS7" i="64"/>
  <c r="DN7" i="64"/>
  <c r="AC7" i="64"/>
  <c r="AB7" i="64"/>
  <c r="T7" i="64"/>
  <c r="K7" i="64"/>
  <c r="AU7" i="64" s="1"/>
  <c r="J7" i="64"/>
  <c r="I7" i="64"/>
  <c r="AW7" i="64" s="1"/>
  <c r="F7" i="64"/>
  <c r="D7" i="64"/>
  <c r="DY9" i="64"/>
  <c r="DV9" i="64"/>
  <c r="DU9" i="64"/>
  <c r="DS9" i="64"/>
  <c r="DN9" i="64"/>
  <c r="AC9" i="64"/>
  <c r="AB9" i="64"/>
  <c r="T9" i="64"/>
  <c r="K9" i="64"/>
  <c r="AU9" i="64" s="1"/>
  <c r="J9" i="64"/>
  <c r="I9" i="64"/>
  <c r="AW9" i="64" s="1"/>
  <c r="F9" i="64"/>
  <c r="D9" i="64"/>
  <c r="DY18" i="64"/>
  <c r="DV18" i="64"/>
  <c r="DU18" i="64"/>
  <c r="DS18" i="64"/>
  <c r="DN18" i="64"/>
  <c r="AC18" i="64"/>
  <c r="AB18" i="64"/>
  <c r="T18" i="64"/>
  <c r="K18" i="64"/>
  <c r="AU18" i="64" s="1"/>
  <c r="J18" i="64"/>
  <c r="I18" i="64"/>
  <c r="AW18" i="64" s="1"/>
  <c r="F18" i="64"/>
  <c r="D18" i="64"/>
  <c r="DP41" i="64" l="1"/>
  <c r="BH42" i="64"/>
  <c r="CM42" i="64"/>
  <c r="CM49" i="64"/>
  <c r="BH49" i="64"/>
  <c r="BA7" i="64"/>
  <c r="AV7" i="64"/>
  <c r="BM7" i="64"/>
  <c r="BM16" i="64"/>
  <c r="AV16" i="64"/>
  <c r="BA16" i="64"/>
  <c r="BA36" i="64"/>
  <c r="BM36" i="64"/>
  <c r="AV36" i="64"/>
  <c r="BA51" i="64"/>
  <c r="AV51" i="64"/>
  <c r="BM51" i="64"/>
  <c r="BH40" i="64"/>
  <c r="CM40" i="64"/>
  <c r="BH44" i="64"/>
  <c r="CM44" i="64"/>
  <c r="P41" i="64"/>
  <c r="V41" i="64" s="1"/>
  <c r="AW41" i="64"/>
  <c r="R42" i="64"/>
  <c r="AU42" i="64"/>
  <c r="BA39" i="64"/>
  <c r="BM39" i="64"/>
  <c r="AV39" i="64"/>
  <c r="CM9" i="64"/>
  <c r="BH9" i="64"/>
  <c r="BA44" i="64"/>
  <c r="AV44" i="64"/>
  <c r="BM44" i="64"/>
  <c r="BA18" i="64"/>
  <c r="BM18" i="64"/>
  <c r="AV18" i="64"/>
  <c r="BH16" i="64"/>
  <c r="CM16" i="64"/>
  <c r="BA9" i="64"/>
  <c r="AV9" i="64"/>
  <c r="BM9" i="64"/>
  <c r="BH36" i="64"/>
  <c r="CM36" i="64"/>
  <c r="CM51" i="64"/>
  <c r="BH51" i="64"/>
  <c r="BH39" i="64"/>
  <c r="CM39" i="64"/>
  <c r="R41" i="64"/>
  <c r="AU41" i="64"/>
  <c r="P42" i="64"/>
  <c r="U42" i="64" s="1"/>
  <c r="X42" i="64" s="1"/>
  <c r="AW42" i="64"/>
  <c r="BH68" i="64"/>
  <c r="CM68" i="64"/>
  <c r="BH18" i="64"/>
  <c r="CM18" i="64"/>
  <c r="BM49" i="64"/>
  <c r="BA49" i="64"/>
  <c r="AV49" i="64"/>
  <c r="BM40" i="64"/>
  <c r="BA40" i="64"/>
  <c r="AV40" i="64"/>
  <c r="CM41" i="64"/>
  <c r="BH41" i="64"/>
  <c r="BH7" i="64"/>
  <c r="CM7" i="64"/>
  <c r="DO41" i="64"/>
  <c r="DP42" i="64"/>
  <c r="DO42" i="64"/>
  <c r="DP40" i="64"/>
  <c r="R40" i="64"/>
  <c r="P40" i="64"/>
  <c r="DO40" i="64"/>
  <c r="V67" i="64"/>
  <c r="U67" i="64"/>
  <c r="DP44" i="64"/>
  <c r="DQ67" i="64"/>
  <c r="DR67" i="64" s="1"/>
  <c r="DO67" i="64"/>
  <c r="R44" i="64"/>
  <c r="P44" i="64"/>
  <c r="DO44" i="64"/>
  <c r="DQ68" i="64"/>
  <c r="DR68" i="64" s="1"/>
  <c r="V68" i="64"/>
  <c r="U68" i="64"/>
  <c r="DO68" i="64"/>
  <c r="DP49" i="64"/>
  <c r="R49" i="64"/>
  <c r="P49" i="64"/>
  <c r="DO49" i="64"/>
  <c r="P36" i="64"/>
  <c r="U36" i="64" s="1"/>
  <c r="DP36" i="64"/>
  <c r="R36" i="64"/>
  <c r="DO36" i="64"/>
  <c r="DP16" i="64"/>
  <c r="R16" i="64"/>
  <c r="P16" i="64"/>
  <c r="DO16" i="64"/>
  <c r="DP7" i="64"/>
  <c r="R7" i="64"/>
  <c r="P7" i="64"/>
  <c r="DO7" i="64"/>
  <c r="DP18" i="64"/>
  <c r="R9" i="64"/>
  <c r="DP9" i="64"/>
  <c r="DO9" i="64"/>
  <c r="P9" i="64"/>
  <c r="DO18" i="64"/>
  <c r="R18" i="64"/>
  <c r="P18" i="64"/>
  <c r="U41" i="64" l="1"/>
  <c r="Z41" i="64" s="1"/>
  <c r="DT41" i="64" s="1"/>
  <c r="DQ41" i="64"/>
  <c r="DR41" i="64" s="1"/>
  <c r="BB39" i="64"/>
  <c r="CS39" i="64"/>
  <c r="AX40" i="64"/>
  <c r="BV40" i="64"/>
  <c r="BT40" i="64"/>
  <c r="BR40" i="64"/>
  <c r="CS16" i="64"/>
  <c r="BB16" i="64"/>
  <c r="V42" i="64"/>
  <c r="AX49" i="64"/>
  <c r="BV49" i="64"/>
  <c r="BT49" i="64"/>
  <c r="BR49" i="64"/>
  <c r="CS49" i="64"/>
  <c r="BB49" i="64"/>
  <c r="BV44" i="64"/>
  <c r="AX44" i="64"/>
  <c r="BR44" i="64"/>
  <c r="BT44" i="64"/>
  <c r="BB44" i="64"/>
  <c r="CS44" i="64"/>
  <c r="BR7" i="64"/>
  <c r="BT7" i="64"/>
  <c r="BV7" i="64"/>
  <c r="AX7" i="64"/>
  <c r="CS7" i="64"/>
  <c r="BB7" i="64"/>
  <c r="BT9" i="64"/>
  <c r="BR9" i="64"/>
  <c r="BV9" i="64"/>
  <c r="AX9" i="64"/>
  <c r="AX39" i="64"/>
  <c r="BT39" i="64"/>
  <c r="BR39" i="64"/>
  <c r="BV39" i="64"/>
  <c r="BT51" i="64"/>
  <c r="BV51" i="64"/>
  <c r="AX51" i="64"/>
  <c r="BR51" i="64"/>
  <c r="BV36" i="64"/>
  <c r="BT36" i="64"/>
  <c r="BR36" i="64"/>
  <c r="AX36" i="64"/>
  <c r="BA41" i="64"/>
  <c r="AV41" i="64"/>
  <c r="BM41" i="64"/>
  <c r="BM42" i="64"/>
  <c r="BA42" i="64"/>
  <c r="AV42" i="64"/>
  <c r="CS40" i="64"/>
  <c r="BB40" i="64"/>
  <c r="BV18" i="64"/>
  <c r="BT18" i="64"/>
  <c r="BR18" i="64"/>
  <c r="AX18" i="64"/>
  <c r="BB36" i="64"/>
  <c r="CS36" i="64"/>
  <c r="BB18" i="64"/>
  <c r="CS18" i="64"/>
  <c r="BR16" i="64"/>
  <c r="AX16" i="64"/>
  <c r="BT16" i="64"/>
  <c r="BV16" i="64"/>
  <c r="Z42" i="64"/>
  <c r="BB9" i="64"/>
  <c r="CS9" i="64"/>
  <c r="CS51" i="64"/>
  <c r="BB51" i="64"/>
  <c r="DQ42" i="64"/>
  <c r="DR42" i="64" s="1"/>
  <c r="AO41" i="64"/>
  <c r="V40" i="64"/>
  <c r="U40" i="64"/>
  <c r="DQ40" i="64"/>
  <c r="DR40" i="64" s="1"/>
  <c r="X67" i="64"/>
  <c r="Z67" i="64"/>
  <c r="DT67" i="64" s="1"/>
  <c r="DW67" i="64"/>
  <c r="AO67" i="64"/>
  <c r="U44" i="64"/>
  <c r="DQ44" i="64"/>
  <c r="DR44" i="64" s="1"/>
  <c r="Z68" i="64"/>
  <c r="DT68" i="64" s="1"/>
  <c r="X68" i="64"/>
  <c r="AO68" i="64"/>
  <c r="DW68" i="64"/>
  <c r="V49" i="64"/>
  <c r="U49" i="64"/>
  <c r="DQ49" i="64"/>
  <c r="DR49" i="64" s="1"/>
  <c r="DQ36" i="64"/>
  <c r="DR36" i="64" s="1"/>
  <c r="V36" i="64"/>
  <c r="DW36" i="64"/>
  <c r="X36" i="64"/>
  <c r="Z36" i="64"/>
  <c r="DT36" i="64" s="1"/>
  <c r="AO36" i="64"/>
  <c r="V16" i="64"/>
  <c r="U16" i="64"/>
  <c r="DQ16" i="64"/>
  <c r="DR16" i="64" s="1"/>
  <c r="DQ7" i="64"/>
  <c r="DR7" i="64" s="1"/>
  <c r="U7" i="64"/>
  <c r="DQ9" i="64"/>
  <c r="DR9" i="64" s="1"/>
  <c r="U9" i="64"/>
  <c r="V9" i="64"/>
  <c r="DQ18" i="64"/>
  <c r="DR18" i="64" s="1"/>
  <c r="U18" i="64"/>
  <c r="V18" i="64"/>
  <c r="DW41" i="64" l="1"/>
  <c r="X41" i="64"/>
  <c r="BV42" i="64"/>
  <c r="BT42" i="64"/>
  <c r="BR42" i="64"/>
  <c r="AX42" i="64"/>
  <c r="BB42" i="64"/>
  <c r="CS42" i="64"/>
  <c r="BV41" i="64"/>
  <c r="BT41" i="64"/>
  <c r="BR41" i="64"/>
  <c r="AX41" i="64"/>
  <c r="BB41" i="64"/>
  <c r="CS41" i="64"/>
  <c r="DT42" i="64"/>
  <c r="AO42" i="64"/>
  <c r="DW42" i="64"/>
  <c r="X40" i="64"/>
  <c r="Z40" i="64"/>
  <c r="DT40" i="64" s="1"/>
  <c r="DW40" i="64"/>
  <c r="AO40" i="64"/>
  <c r="AO44" i="64"/>
  <c r="DW44" i="64"/>
  <c r="X44" i="64"/>
  <c r="Z44" i="64"/>
  <c r="DT44" i="64" s="1"/>
  <c r="X49" i="64"/>
  <c r="Z49" i="64"/>
  <c r="DT49" i="64" s="1"/>
  <c r="AO49" i="64"/>
  <c r="DW49" i="64"/>
  <c r="X16" i="64"/>
  <c r="Z16" i="64"/>
  <c r="DT16" i="64" s="1"/>
  <c r="AO16" i="64"/>
  <c r="DW16" i="64"/>
  <c r="X7" i="64"/>
  <c r="Z7" i="64"/>
  <c r="DT7" i="64" s="1"/>
  <c r="AO7" i="64"/>
  <c r="DW7" i="64"/>
  <c r="DW9" i="64"/>
  <c r="AO9" i="64"/>
  <c r="Z9" i="64"/>
  <c r="DT9" i="64" s="1"/>
  <c r="X9" i="64"/>
  <c r="DW18" i="64"/>
  <c r="AO18" i="64"/>
  <c r="Z18" i="64"/>
  <c r="DT18" i="64" s="1"/>
  <c r="X18" i="64"/>
  <c r="DY51" i="64"/>
  <c r="DV51" i="64"/>
  <c r="DU51" i="64"/>
  <c r="DS51" i="64"/>
  <c r="DN51" i="64"/>
  <c r="AC51" i="64"/>
  <c r="AB51" i="64"/>
  <c r="T51" i="64"/>
  <c r="D51" i="64"/>
  <c r="K43" i="64"/>
  <c r="AU43" i="64" s="1"/>
  <c r="J43" i="64"/>
  <c r="I43" i="64"/>
  <c r="AW43" i="64" s="1"/>
  <c r="F43" i="64"/>
  <c r="D62" i="64"/>
  <c r="F62" i="64"/>
  <c r="J62" i="64"/>
  <c r="K62" i="64"/>
  <c r="AU62" i="64" s="1"/>
  <c r="P62" i="64"/>
  <c r="DQ62" i="64" s="1"/>
  <c r="T62" i="64"/>
  <c r="AB62" i="64"/>
  <c r="AC62" i="64"/>
  <c r="DP62" i="64" s="1"/>
  <c r="DN62" i="64"/>
  <c r="DS62" i="64"/>
  <c r="DU62" i="64"/>
  <c r="DV62" i="64"/>
  <c r="DY62" i="64"/>
  <c r="DY22" i="64"/>
  <c r="DV22" i="64"/>
  <c r="DU22" i="64"/>
  <c r="DS22" i="64"/>
  <c r="DN22" i="64"/>
  <c r="AC22" i="64"/>
  <c r="AB22" i="64"/>
  <c r="T22" i="64"/>
  <c r="K22" i="64"/>
  <c r="AU22" i="64" s="1"/>
  <c r="J22" i="64"/>
  <c r="I22" i="64"/>
  <c r="AW22" i="64" s="1"/>
  <c r="F22" i="64"/>
  <c r="D22" i="64"/>
  <c r="K35" i="64"/>
  <c r="AU35" i="64" s="1"/>
  <c r="J35" i="64"/>
  <c r="I35" i="64"/>
  <c r="AW35" i="64" s="1"/>
  <c r="DY10" i="64"/>
  <c r="DV10" i="64"/>
  <c r="DU10" i="64"/>
  <c r="DS10" i="64"/>
  <c r="DN10" i="64"/>
  <c r="AC10" i="64"/>
  <c r="AB10" i="64"/>
  <c r="T10" i="64"/>
  <c r="K10" i="64"/>
  <c r="AU10" i="64" s="1"/>
  <c r="J10" i="64"/>
  <c r="I10" i="64"/>
  <c r="AW10" i="64" s="1"/>
  <c r="F10" i="64"/>
  <c r="D10" i="64"/>
  <c r="F35" i="64"/>
  <c r="CM22" i="64" l="1"/>
  <c r="BH22" i="64"/>
  <c r="BM43" i="64"/>
  <c r="BA43" i="64"/>
  <c r="AV43" i="64"/>
  <c r="BA62" i="64"/>
  <c r="AV62" i="64"/>
  <c r="BM62" i="64"/>
  <c r="BH62" i="64"/>
  <c r="CM62" i="64"/>
  <c r="BA22" i="64"/>
  <c r="BM22" i="64"/>
  <c r="AV22" i="64"/>
  <c r="CM35" i="64"/>
  <c r="BH35" i="64"/>
  <c r="BM35" i="64"/>
  <c r="AV35" i="64"/>
  <c r="BA35" i="64"/>
  <c r="BA10" i="64"/>
  <c r="AV10" i="64"/>
  <c r="BM10" i="64"/>
  <c r="BH43" i="64"/>
  <c r="CM43" i="64"/>
  <c r="BH10" i="64"/>
  <c r="CM10" i="64"/>
  <c r="P35" i="64"/>
  <c r="DP51" i="64"/>
  <c r="R51" i="64"/>
  <c r="P51" i="64"/>
  <c r="DO51" i="64"/>
  <c r="V62" i="64"/>
  <c r="DO62" i="64"/>
  <c r="R62" i="64"/>
  <c r="U62" i="64"/>
  <c r="DR62" i="64"/>
  <c r="DP22" i="64"/>
  <c r="R22" i="64"/>
  <c r="P22" i="64"/>
  <c r="DO22" i="64"/>
  <c r="DP10" i="64"/>
  <c r="R10" i="64"/>
  <c r="P10" i="64"/>
  <c r="DO10" i="64"/>
  <c r="F69" i="64"/>
  <c r="AC69" i="64"/>
  <c r="AB69" i="64"/>
  <c r="T69" i="64"/>
  <c r="R69" i="64"/>
  <c r="P69" i="64"/>
  <c r="D69" i="64"/>
  <c r="AC66" i="64"/>
  <c r="AB66" i="64"/>
  <c r="T66" i="64"/>
  <c r="K66" i="64"/>
  <c r="AU66" i="64" s="1"/>
  <c r="J66" i="64"/>
  <c r="I66" i="64"/>
  <c r="AW66" i="64" s="1"/>
  <c r="F66" i="64"/>
  <c r="D66" i="64"/>
  <c r="AC65" i="64"/>
  <c r="AB65" i="64"/>
  <c r="T65" i="64"/>
  <c r="K65" i="64"/>
  <c r="AU65" i="64" s="1"/>
  <c r="J65" i="64"/>
  <c r="F65" i="64"/>
  <c r="D65" i="64"/>
  <c r="AB64" i="64"/>
  <c r="T64" i="64"/>
  <c r="K64" i="64"/>
  <c r="AU64" i="64" s="1"/>
  <c r="J64" i="64"/>
  <c r="I64" i="64"/>
  <c r="AW64" i="64" s="1"/>
  <c r="D64" i="64"/>
  <c r="AC63" i="64"/>
  <c r="AB63" i="64"/>
  <c r="P63" i="64"/>
  <c r="K63" i="64"/>
  <c r="AU63" i="64" s="1"/>
  <c r="J63" i="64"/>
  <c r="F63" i="64"/>
  <c r="D63" i="64"/>
  <c r="AC61" i="64"/>
  <c r="AB61" i="64"/>
  <c r="T61" i="64"/>
  <c r="K61" i="64"/>
  <c r="AU61" i="64" s="1"/>
  <c r="J61" i="64"/>
  <c r="I61" i="64"/>
  <c r="AW61" i="64" s="1"/>
  <c r="F61" i="64"/>
  <c r="D61" i="64"/>
  <c r="AC60" i="64"/>
  <c r="AB60" i="64"/>
  <c r="T60" i="64"/>
  <c r="K60" i="64"/>
  <c r="AU60" i="64" s="1"/>
  <c r="J60" i="64"/>
  <c r="I60" i="64"/>
  <c r="AW60" i="64" s="1"/>
  <c r="F60" i="64"/>
  <c r="D60" i="64"/>
  <c r="AC59" i="64"/>
  <c r="AB59" i="64"/>
  <c r="T59" i="64"/>
  <c r="K59" i="64"/>
  <c r="AU59" i="64" s="1"/>
  <c r="J59" i="64"/>
  <c r="I59" i="64"/>
  <c r="AW59" i="64" s="1"/>
  <c r="F59" i="64"/>
  <c r="D59" i="64"/>
  <c r="AB58" i="64"/>
  <c r="T58" i="64"/>
  <c r="K58" i="64"/>
  <c r="AU58" i="64" s="1"/>
  <c r="J58" i="64"/>
  <c r="I58" i="64"/>
  <c r="AW58" i="64" s="1"/>
  <c r="F58" i="64"/>
  <c r="D58" i="64"/>
  <c r="AC57" i="64"/>
  <c r="AB57" i="64"/>
  <c r="T57" i="64"/>
  <c r="K57" i="64"/>
  <c r="AU57" i="64" s="1"/>
  <c r="J57" i="64"/>
  <c r="I57" i="64"/>
  <c r="AW57" i="64" s="1"/>
  <c r="F57" i="64"/>
  <c r="D57" i="64"/>
  <c r="AC56" i="64"/>
  <c r="AB56" i="64"/>
  <c r="T56" i="64"/>
  <c r="R56" i="64"/>
  <c r="I56" i="64"/>
  <c r="AW56" i="64" s="1"/>
  <c r="F56" i="64"/>
  <c r="D56" i="64"/>
  <c r="AC55" i="64"/>
  <c r="AB55" i="64"/>
  <c r="T55" i="64"/>
  <c r="K55" i="64"/>
  <c r="AU55" i="64" s="1"/>
  <c r="J55" i="64"/>
  <c r="I55" i="64"/>
  <c r="AW55" i="64" s="1"/>
  <c r="F55" i="64"/>
  <c r="D55" i="64"/>
  <c r="AC54" i="64"/>
  <c r="AB54" i="64"/>
  <c r="T54" i="64"/>
  <c r="K54" i="64"/>
  <c r="AU54" i="64" s="1"/>
  <c r="J54" i="64"/>
  <c r="I54" i="64"/>
  <c r="AW54" i="64" s="1"/>
  <c r="F54" i="64"/>
  <c r="D54" i="64"/>
  <c r="AC53" i="64"/>
  <c r="AB53" i="64"/>
  <c r="T53" i="64"/>
  <c r="R53" i="64"/>
  <c r="I53" i="64"/>
  <c r="AW53" i="64" s="1"/>
  <c r="F53" i="64"/>
  <c r="D53" i="64"/>
  <c r="AC52" i="64"/>
  <c r="AB52" i="64"/>
  <c r="T52" i="64"/>
  <c r="K52" i="64"/>
  <c r="AU52" i="64" s="1"/>
  <c r="J52" i="64"/>
  <c r="I52" i="64"/>
  <c r="AW52" i="64" s="1"/>
  <c r="F52" i="64"/>
  <c r="D52" i="64"/>
  <c r="AC50" i="64"/>
  <c r="AB50" i="64"/>
  <c r="T50" i="64"/>
  <c r="K50" i="64"/>
  <c r="AU50" i="64" s="1"/>
  <c r="J50" i="64"/>
  <c r="I50" i="64"/>
  <c r="AW50" i="64" s="1"/>
  <c r="F50" i="64"/>
  <c r="D50" i="64"/>
  <c r="AC48" i="64"/>
  <c r="AB48" i="64"/>
  <c r="T48" i="64"/>
  <c r="R48" i="64"/>
  <c r="I48" i="64"/>
  <c r="AW48" i="64" s="1"/>
  <c r="D48" i="64"/>
  <c r="AC47" i="64"/>
  <c r="AB47" i="64"/>
  <c r="T47" i="64"/>
  <c r="K47" i="64"/>
  <c r="AU47" i="64" s="1"/>
  <c r="J47" i="64"/>
  <c r="I47" i="64"/>
  <c r="AW47" i="64" s="1"/>
  <c r="F47" i="64"/>
  <c r="D47" i="64"/>
  <c r="AC46" i="64"/>
  <c r="AB46" i="64"/>
  <c r="T46" i="64"/>
  <c r="K46" i="64"/>
  <c r="AU46" i="64" s="1"/>
  <c r="J46" i="64"/>
  <c r="I46" i="64"/>
  <c r="AW46" i="64" s="1"/>
  <c r="F46" i="64"/>
  <c r="D46" i="64"/>
  <c r="AC45" i="64"/>
  <c r="AB45" i="64"/>
  <c r="T45" i="64"/>
  <c r="K45" i="64"/>
  <c r="AU45" i="64" s="1"/>
  <c r="J45" i="64"/>
  <c r="I45" i="64"/>
  <c r="AW45" i="64" s="1"/>
  <c r="F45" i="64"/>
  <c r="D45" i="64"/>
  <c r="AC43" i="64"/>
  <c r="AB43" i="64"/>
  <c r="T43" i="64"/>
  <c r="R43" i="64"/>
  <c r="P43" i="64"/>
  <c r="D43" i="64"/>
  <c r="AC39" i="64"/>
  <c r="AB39" i="64"/>
  <c r="T39" i="64"/>
  <c r="D39" i="64"/>
  <c r="J25" i="64"/>
  <c r="DY24" i="64"/>
  <c r="DV24" i="64"/>
  <c r="DU24" i="64"/>
  <c r="DS24" i="64"/>
  <c r="DN24" i="64"/>
  <c r="AC24" i="64"/>
  <c r="AB24" i="64"/>
  <c r="T24" i="64"/>
  <c r="K24" i="64"/>
  <c r="AU24" i="64" s="1"/>
  <c r="J24" i="64"/>
  <c r="I24" i="64"/>
  <c r="AW24" i="64" s="1"/>
  <c r="F24" i="64"/>
  <c r="D24" i="64"/>
  <c r="H1009" i="46"/>
  <c r="K8" i="64"/>
  <c r="AU8" i="64" s="1"/>
  <c r="J8" i="64"/>
  <c r="I8" i="64"/>
  <c r="AW8" i="64" s="1"/>
  <c r="F8" i="64"/>
  <c r="BM57" i="64" l="1"/>
  <c r="BA57" i="64"/>
  <c r="AV57" i="64"/>
  <c r="BM8" i="64"/>
  <c r="BA8" i="64"/>
  <c r="AV8" i="64"/>
  <c r="BA50" i="64"/>
  <c r="AV50" i="64"/>
  <c r="BM50" i="64"/>
  <c r="CM56" i="64"/>
  <c r="BH56" i="64"/>
  <c r="BA63" i="64"/>
  <c r="BM63" i="64"/>
  <c r="AV63" i="64"/>
  <c r="BM58" i="64"/>
  <c r="BA58" i="64"/>
  <c r="AV58" i="64"/>
  <c r="BH47" i="64"/>
  <c r="CM47" i="64"/>
  <c r="BV10" i="64"/>
  <c r="BR10" i="64"/>
  <c r="AX10" i="64"/>
  <c r="BT10" i="64"/>
  <c r="BH8" i="64"/>
  <c r="CM8" i="64"/>
  <c r="BB35" i="64"/>
  <c r="CS35" i="64"/>
  <c r="BA47" i="64"/>
  <c r="AV47" i="64"/>
  <c r="BM47" i="64"/>
  <c r="CM59" i="64"/>
  <c r="BH59" i="64"/>
  <c r="BH63" i="64"/>
  <c r="CM63" i="64"/>
  <c r="AV54" i="64"/>
  <c r="BA54" i="64"/>
  <c r="BM54" i="64"/>
  <c r="BH65" i="64"/>
  <c r="CM65" i="64"/>
  <c r="CS43" i="64"/>
  <c r="BB43" i="64"/>
  <c r="BH53" i="64"/>
  <c r="CM53" i="64"/>
  <c r="AX56" i="64"/>
  <c r="BR56" i="64"/>
  <c r="BT56" i="64"/>
  <c r="BV56" i="64"/>
  <c r="BA59" i="64"/>
  <c r="AV59" i="64"/>
  <c r="BM59" i="64"/>
  <c r="BA65" i="64"/>
  <c r="AV65" i="64"/>
  <c r="BM65" i="64"/>
  <c r="CM24" i="64"/>
  <c r="BH24" i="64"/>
  <c r="BH45" i="64"/>
  <c r="CM45" i="64"/>
  <c r="BR48" i="64"/>
  <c r="BV48" i="64"/>
  <c r="BT48" i="64"/>
  <c r="AX48" i="64"/>
  <c r="BH58" i="64"/>
  <c r="CM58" i="64"/>
  <c r="BH55" i="64"/>
  <c r="CM55" i="64"/>
  <c r="CS22" i="64"/>
  <c r="BB22" i="64"/>
  <c r="BH52" i="64"/>
  <c r="CM52" i="64"/>
  <c r="BM61" i="64"/>
  <c r="BA61" i="64"/>
  <c r="AV61" i="64"/>
  <c r="BA24" i="64"/>
  <c r="AV24" i="64"/>
  <c r="BM24" i="64"/>
  <c r="AV45" i="64"/>
  <c r="BM45" i="64"/>
  <c r="BA45" i="64"/>
  <c r="BH60" i="64"/>
  <c r="CM60" i="64"/>
  <c r="CM66" i="64"/>
  <c r="BH66" i="64"/>
  <c r="BM55" i="64"/>
  <c r="BA55" i="64"/>
  <c r="AV55" i="64"/>
  <c r="BH57" i="64"/>
  <c r="CM57" i="64"/>
  <c r="BM64" i="64"/>
  <c r="BA64" i="64"/>
  <c r="AV64" i="64"/>
  <c r="CM69" i="64"/>
  <c r="BH69" i="64"/>
  <c r="BM52" i="64"/>
  <c r="BA52" i="64"/>
  <c r="AV52" i="64"/>
  <c r="CM54" i="64"/>
  <c r="BH54" i="64"/>
  <c r="CS10" i="64"/>
  <c r="BB10" i="64"/>
  <c r="AX62" i="64"/>
  <c r="BT62" i="64"/>
  <c r="BR62" i="64"/>
  <c r="BV62" i="64"/>
  <c r="BH50" i="64"/>
  <c r="CM50" i="64"/>
  <c r="BA60" i="64"/>
  <c r="BM60" i="64"/>
  <c r="AV60" i="64"/>
  <c r="BM66" i="64"/>
  <c r="BA66" i="64"/>
  <c r="AV66" i="64"/>
  <c r="BB62" i="64"/>
  <c r="CS62" i="64"/>
  <c r="AX35" i="64"/>
  <c r="BR35" i="64"/>
  <c r="BT35" i="64"/>
  <c r="BV35" i="64"/>
  <c r="BV43" i="64"/>
  <c r="BR43" i="64"/>
  <c r="AX43" i="64"/>
  <c r="BT43" i="64"/>
  <c r="CM46" i="64"/>
  <c r="BH46" i="64"/>
  <c r="BM46" i="64"/>
  <c r="BA46" i="64"/>
  <c r="AV46" i="64"/>
  <c r="AX53" i="64"/>
  <c r="BR53" i="64"/>
  <c r="BT53" i="64"/>
  <c r="BV53" i="64"/>
  <c r="BH61" i="64"/>
  <c r="CM61" i="64"/>
  <c r="BR22" i="64"/>
  <c r="BV22" i="64"/>
  <c r="AX22" i="64"/>
  <c r="BT22" i="64"/>
  <c r="R39" i="64"/>
  <c r="P46" i="64"/>
  <c r="R50" i="64"/>
  <c r="P58" i="64"/>
  <c r="V58" i="64" s="1"/>
  <c r="P55" i="64"/>
  <c r="R61" i="64"/>
  <c r="R46" i="64"/>
  <c r="P52" i="64"/>
  <c r="R58" i="64"/>
  <c r="P48" i="64"/>
  <c r="P60" i="64"/>
  <c r="V60" i="64" s="1"/>
  <c r="R64" i="64"/>
  <c r="P45" i="64"/>
  <c r="U45" i="64" s="1"/>
  <c r="R52" i="64"/>
  <c r="P57" i="64"/>
  <c r="V57" i="64" s="1"/>
  <c r="P66" i="64"/>
  <c r="V66" i="64" s="1"/>
  <c r="P54" i="64"/>
  <c r="V54" i="64" s="1"/>
  <c r="R60" i="64"/>
  <c r="R45" i="64"/>
  <c r="R66" i="64"/>
  <c r="P59" i="64"/>
  <c r="U59" i="64" s="1"/>
  <c r="P47" i="64"/>
  <c r="U47" i="64" s="1"/>
  <c r="R63" i="64"/>
  <c r="P56" i="64"/>
  <c r="V56" i="64" s="1"/>
  <c r="R59" i="64"/>
  <c r="P39" i="64"/>
  <c r="U39" i="64" s="1"/>
  <c r="X39" i="64" s="1"/>
  <c r="R47" i="64"/>
  <c r="P50" i="64"/>
  <c r="U50" i="64" s="1"/>
  <c r="X50" i="64" s="1"/>
  <c r="P53" i="64"/>
  <c r="U53" i="64" s="1"/>
  <c r="R65" i="64"/>
  <c r="P61" i="64"/>
  <c r="U61" i="64" s="1"/>
  <c r="V51" i="64"/>
  <c r="U51" i="64"/>
  <c r="DQ51" i="64"/>
  <c r="DR51" i="64" s="1"/>
  <c r="DW62" i="64"/>
  <c r="AO62" i="64"/>
  <c r="Z62" i="64"/>
  <c r="DT62" i="64" s="1"/>
  <c r="X62" i="64"/>
  <c r="V22" i="64"/>
  <c r="U22" i="64"/>
  <c r="DQ22" i="64"/>
  <c r="DR22" i="64" s="1"/>
  <c r="V10" i="64"/>
  <c r="U10" i="64"/>
  <c r="DQ10" i="64"/>
  <c r="DR10" i="64" s="1"/>
  <c r="V63" i="64"/>
  <c r="U43" i="64"/>
  <c r="Z43" i="64" s="1"/>
  <c r="R57" i="64"/>
  <c r="U63" i="64"/>
  <c r="X63" i="64" s="1"/>
  <c r="V69" i="64"/>
  <c r="U69" i="64"/>
  <c r="AO69" i="64" s="1"/>
  <c r="P65" i="64"/>
  <c r="P64" i="64"/>
  <c r="R55" i="64"/>
  <c r="R54" i="64"/>
  <c r="V43" i="64"/>
  <c r="DP24" i="64"/>
  <c r="R24" i="64"/>
  <c r="P24" i="64"/>
  <c r="DO24" i="64"/>
  <c r="AX55" i="64" l="1"/>
  <c r="BV55" i="64"/>
  <c r="BT55" i="64"/>
  <c r="BR55" i="64"/>
  <c r="BT61" i="64"/>
  <c r="BR61" i="64"/>
  <c r="BV61" i="64"/>
  <c r="AX61" i="64"/>
  <c r="BB59" i="64"/>
  <c r="CS59" i="64"/>
  <c r="AX52" i="64"/>
  <c r="BT52" i="64"/>
  <c r="BV52" i="64"/>
  <c r="BR52" i="64"/>
  <c r="CS61" i="64"/>
  <c r="BB61" i="64"/>
  <c r="BB50" i="64"/>
  <c r="CS50" i="64"/>
  <c r="AX64" i="64"/>
  <c r="BV64" i="64"/>
  <c r="BR64" i="64"/>
  <c r="BT64" i="64"/>
  <c r="CS45" i="64"/>
  <c r="BB45" i="64"/>
  <c r="BB8" i="64"/>
  <c r="CS8" i="64"/>
  <c r="BV45" i="64"/>
  <c r="AX45" i="64"/>
  <c r="BR45" i="64"/>
  <c r="BT45" i="64"/>
  <c r="BV65" i="64"/>
  <c r="BT65" i="64"/>
  <c r="AX65" i="64"/>
  <c r="BR65" i="64"/>
  <c r="BR66" i="64"/>
  <c r="BV66" i="64"/>
  <c r="BT66" i="64"/>
  <c r="AX66" i="64"/>
  <c r="BB65" i="64"/>
  <c r="CS65" i="64"/>
  <c r="BR57" i="64"/>
  <c r="BT57" i="64"/>
  <c r="AX57" i="64"/>
  <c r="BV57" i="64"/>
  <c r="BB24" i="64"/>
  <c r="CS24" i="64"/>
  <c r="BV59" i="64"/>
  <c r="BR59" i="64"/>
  <c r="BT59" i="64"/>
  <c r="AX59" i="64"/>
  <c r="AX60" i="64"/>
  <c r="BR60" i="64"/>
  <c r="BV60" i="64"/>
  <c r="BT60" i="64"/>
  <c r="CS55" i="64"/>
  <c r="BB55" i="64"/>
  <c r="BB54" i="64"/>
  <c r="CS54" i="64"/>
  <c r="BB63" i="64"/>
  <c r="CS63" i="64"/>
  <c r="BV54" i="64"/>
  <c r="BR54" i="64"/>
  <c r="BT54" i="64"/>
  <c r="AX54" i="64"/>
  <c r="BB60" i="64"/>
  <c r="CS60" i="64"/>
  <c r="CS52" i="64"/>
  <c r="BB52" i="64"/>
  <c r="BT50" i="64"/>
  <c r="BR50" i="64"/>
  <c r="BV50" i="64"/>
  <c r="AX50" i="64"/>
  <c r="AX46" i="64"/>
  <c r="BR46" i="64"/>
  <c r="BV46" i="64"/>
  <c r="BT46" i="64"/>
  <c r="BR8" i="64"/>
  <c r="BV8" i="64"/>
  <c r="AX8" i="64"/>
  <c r="BT8" i="64"/>
  <c r="CS46" i="64"/>
  <c r="BB46" i="64"/>
  <c r="CS64" i="64"/>
  <c r="BB64" i="64"/>
  <c r="BV47" i="64"/>
  <c r="BT47" i="64"/>
  <c r="AX47" i="64"/>
  <c r="BR47" i="64"/>
  <c r="AX58" i="64"/>
  <c r="BT58" i="64"/>
  <c r="BV58" i="64"/>
  <c r="BR58" i="64"/>
  <c r="BB47" i="64"/>
  <c r="CS47" i="64"/>
  <c r="CS58" i="64"/>
  <c r="BB58" i="64"/>
  <c r="BB66" i="64"/>
  <c r="CS66" i="64"/>
  <c r="BV24" i="64"/>
  <c r="BT24" i="64"/>
  <c r="BR24" i="64"/>
  <c r="AX24" i="64"/>
  <c r="BT63" i="64"/>
  <c r="BV63" i="64"/>
  <c r="AX63" i="64"/>
  <c r="BR63" i="64"/>
  <c r="CS57" i="64"/>
  <c r="BB57" i="64"/>
  <c r="V61" i="64"/>
  <c r="U46" i="64"/>
  <c r="V46" i="64"/>
  <c r="U55" i="64"/>
  <c r="V55" i="64"/>
  <c r="U52" i="64"/>
  <c r="V52" i="64"/>
  <c r="U48" i="64"/>
  <c r="V48" i="64"/>
  <c r="AO59" i="64"/>
  <c r="V53" i="64"/>
  <c r="U56" i="64"/>
  <c r="U60" i="64"/>
  <c r="AO61" i="64"/>
  <c r="U58" i="64"/>
  <c r="U66" i="64"/>
  <c r="AO66" i="64" s="1"/>
  <c r="U57" i="64"/>
  <c r="X57" i="64" s="1"/>
  <c r="U54" i="64"/>
  <c r="X54" i="64" s="1"/>
  <c r="V59" i="64"/>
  <c r="V50" i="64"/>
  <c r="X51" i="64"/>
  <c r="Z51" i="64"/>
  <c r="DT51" i="64" s="1"/>
  <c r="AO51" i="64"/>
  <c r="DW51" i="64"/>
  <c r="AO22" i="64"/>
  <c r="DW22" i="64"/>
  <c r="X22" i="64"/>
  <c r="Z22" i="64"/>
  <c r="DT22" i="64" s="1"/>
  <c r="X10" i="64"/>
  <c r="Z10" i="64"/>
  <c r="DT10" i="64" s="1"/>
  <c r="DW10" i="64"/>
  <c r="AO10" i="64"/>
  <c r="Z50" i="64"/>
  <c r="Z59" i="64"/>
  <c r="X59" i="64"/>
  <c r="Z61" i="64"/>
  <c r="Z39" i="64"/>
  <c r="X61" i="64"/>
  <c r="X43" i="64"/>
  <c r="X47" i="64"/>
  <c r="Z47" i="64"/>
  <c r="X45" i="64"/>
  <c r="Z45" i="64"/>
  <c r="Z63" i="64"/>
  <c r="AO63" i="64"/>
  <c r="X69" i="64"/>
  <c r="Z69" i="64"/>
  <c r="V65" i="64"/>
  <c r="U65" i="64"/>
  <c r="AO65" i="64" s="1"/>
  <c r="V64" i="64"/>
  <c r="U64" i="64"/>
  <c r="AO64" i="64" s="1"/>
  <c r="X53" i="64"/>
  <c r="Z53" i="64"/>
  <c r="U24" i="64"/>
  <c r="DQ24" i="64"/>
  <c r="DR24" i="64" s="1"/>
  <c r="Z48" i="64" l="1"/>
  <c r="X48" i="64"/>
  <c r="X46" i="64"/>
  <c r="Z46" i="64"/>
  <c r="X52" i="64"/>
  <c r="Z52" i="64"/>
  <c r="AO56" i="64"/>
  <c r="X56" i="64"/>
  <c r="Z56" i="64"/>
  <c r="AO60" i="64"/>
  <c r="Z60" i="64"/>
  <c r="X60" i="64"/>
  <c r="X55" i="64"/>
  <c r="Z55" i="64"/>
  <c r="Z58" i="64"/>
  <c r="X58" i="64"/>
  <c r="AO58" i="64"/>
  <c r="X66" i="64"/>
  <c r="AO57" i="64"/>
  <c r="Z66" i="64"/>
  <c r="Z57" i="64"/>
  <c r="Z54" i="64"/>
  <c r="X65" i="64"/>
  <c r="Z65" i="64"/>
  <c r="X64" i="64"/>
  <c r="Z64" i="64"/>
  <c r="X24" i="64"/>
  <c r="Z24" i="64"/>
  <c r="DT24" i="64" s="1"/>
  <c r="AO24" i="64"/>
  <c r="DW24" i="64"/>
  <c r="DY43" i="64"/>
  <c r="DV43" i="64"/>
  <c r="DU43" i="64"/>
  <c r="DS43" i="64"/>
  <c r="DN43" i="64"/>
  <c r="DY52" i="64"/>
  <c r="DV52" i="64"/>
  <c r="DU52" i="64"/>
  <c r="DS52" i="64"/>
  <c r="DN52" i="64"/>
  <c r="AB13" i="64"/>
  <c r="AB12" i="64"/>
  <c r="AB11" i="64"/>
  <c r="DY46" i="64"/>
  <c r="DV46" i="64"/>
  <c r="DU46" i="64"/>
  <c r="DS46" i="64"/>
  <c r="DN46" i="64"/>
  <c r="DY34" i="64"/>
  <c r="DV34" i="64"/>
  <c r="DU34" i="64"/>
  <c r="DS34" i="64"/>
  <c r="DN34" i="64"/>
  <c r="AC34" i="64"/>
  <c r="AB34" i="64"/>
  <c r="T34" i="64"/>
  <c r="DY12" i="64"/>
  <c r="DV12" i="64"/>
  <c r="DU12" i="64"/>
  <c r="DS12" i="64"/>
  <c r="DN12" i="64"/>
  <c r="AC12" i="64"/>
  <c r="T12" i="64"/>
  <c r="K12" i="64"/>
  <c r="AU12" i="64" s="1"/>
  <c r="J12" i="64"/>
  <c r="I12" i="64"/>
  <c r="AW12" i="64" s="1"/>
  <c r="F12" i="64"/>
  <c r="D12" i="64"/>
  <c r="CQ6" i="64"/>
  <c r="CP6" i="64"/>
  <c r="CO6" i="64"/>
  <c r="CN6" i="64"/>
  <c r="CL6" i="64"/>
  <c r="CJ6" i="64"/>
  <c r="BL6" i="64"/>
  <c r="BK6" i="64"/>
  <c r="BJ6" i="64"/>
  <c r="BI6" i="64"/>
  <c r="BG6" i="64"/>
  <c r="BE6" i="64"/>
  <c r="AZ6" i="64"/>
  <c r="CR6" i="64" s="1"/>
  <c r="AY6" i="64"/>
  <c r="BA12" i="64" l="1"/>
  <c r="AV12" i="64"/>
  <c r="BM12" i="64"/>
  <c r="BH12" i="64"/>
  <c r="CM12" i="64"/>
  <c r="DP43" i="64"/>
  <c r="DO43" i="64"/>
  <c r="DP52" i="64"/>
  <c r="DO52" i="64"/>
  <c r="DP46" i="64"/>
  <c r="DO46" i="64"/>
  <c r="DP34" i="64"/>
  <c r="R34" i="64"/>
  <c r="P34" i="64"/>
  <c r="DO34" i="64"/>
  <c r="DP12" i="64"/>
  <c r="R12" i="64"/>
  <c r="P12" i="64"/>
  <c r="DO12" i="64"/>
  <c r="AB70" i="64"/>
  <c r="BV12" i="64" l="1"/>
  <c r="BT12" i="64"/>
  <c r="AX12" i="64"/>
  <c r="BR12" i="64"/>
  <c r="BB12" i="64"/>
  <c r="CS12" i="64"/>
  <c r="DQ43" i="64"/>
  <c r="DR43" i="64" s="1"/>
  <c r="DQ52" i="64"/>
  <c r="DR52" i="64" s="1"/>
  <c r="DQ46" i="64"/>
  <c r="DR46" i="64" s="1"/>
  <c r="V34" i="64"/>
  <c r="U34" i="64"/>
  <c r="AO34" i="64" s="1"/>
  <c r="DQ34" i="64"/>
  <c r="DR34" i="64" s="1"/>
  <c r="V12" i="64"/>
  <c r="U12" i="64"/>
  <c r="DQ12" i="64"/>
  <c r="DR12" i="64" s="1"/>
  <c r="DT43" i="64" l="1"/>
  <c r="DW43" i="64"/>
  <c r="AO43" i="64"/>
  <c r="DT52" i="64"/>
  <c r="AO52" i="64"/>
  <c r="DW52" i="64"/>
  <c r="DT46" i="64"/>
  <c r="AO46" i="64"/>
  <c r="DW46" i="64"/>
  <c r="X34" i="64"/>
  <c r="Z34" i="64"/>
  <c r="DT34" i="64" s="1"/>
  <c r="DW34" i="64"/>
  <c r="X12" i="64"/>
  <c r="DW12" i="64"/>
  <c r="Z12" i="64"/>
  <c r="DT12" i="64" s="1"/>
  <c r="AO12" i="64"/>
  <c r="DY70" i="64"/>
  <c r="DV70" i="64"/>
  <c r="DU70" i="64"/>
  <c r="DS70" i="64"/>
  <c r="DN70" i="64"/>
  <c r="AC70" i="64"/>
  <c r="T70" i="64"/>
  <c r="K70" i="64"/>
  <c r="AU70" i="64" s="1"/>
  <c r="J70" i="64"/>
  <c r="I70" i="64"/>
  <c r="AW70" i="64" s="1"/>
  <c r="F70" i="64"/>
  <c r="D70" i="64"/>
  <c r="DY55" i="64"/>
  <c r="DV55" i="64"/>
  <c r="DU55" i="64"/>
  <c r="DS55" i="64"/>
  <c r="DN55" i="64"/>
  <c r="DY30" i="64"/>
  <c r="DV30" i="64"/>
  <c r="DU30" i="64"/>
  <c r="DS30" i="64"/>
  <c r="DN30" i="64"/>
  <c r="AC30" i="64"/>
  <c r="DP30" i="64" s="1"/>
  <c r="AB30" i="64"/>
  <c r="P30" i="64"/>
  <c r="K30" i="64"/>
  <c r="AU30" i="64" s="1"/>
  <c r="J30" i="64"/>
  <c r="F30" i="64"/>
  <c r="D30" i="64"/>
  <c r="DY17" i="64"/>
  <c r="DV17" i="64"/>
  <c r="DU17" i="64"/>
  <c r="DS17" i="64"/>
  <c r="DN17" i="64"/>
  <c r="AC17" i="64"/>
  <c r="AB17" i="64"/>
  <c r="T17" i="64"/>
  <c r="K17" i="64"/>
  <c r="AU17" i="64" s="1"/>
  <c r="J17" i="64"/>
  <c r="I17" i="64"/>
  <c r="AW17" i="64" s="1"/>
  <c r="F17" i="64"/>
  <c r="D17" i="64"/>
  <c r="DY15" i="64"/>
  <c r="DV15" i="64"/>
  <c r="DU15" i="64"/>
  <c r="DS15" i="64"/>
  <c r="DN15" i="64"/>
  <c r="AC15" i="64"/>
  <c r="AB15" i="64"/>
  <c r="T15" i="64"/>
  <c r="K15" i="64"/>
  <c r="AU15" i="64" s="1"/>
  <c r="J15" i="64"/>
  <c r="I15" i="64"/>
  <c r="AW15" i="64" s="1"/>
  <c r="F15" i="64"/>
  <c r="D15" i="64"/>
  <c r="DY11" i="64"/>
  <c r="DV11" i="64"/>
  <c r="DU11" i="64"/>
  <c r="DS11" i="64"/>
  <c r="DN11" i="64"/>
  <c r="AC11" i="64"/>
  <c r="T11" i="64"/>
  <c r="K11" i="64"/>
  <c r="AU11" i="64" s="1"/>
  <c r="J11" i="64"/>
  <c r="I11" i="64"/>
  <c r="AW11" i="64" s="1"/>
  <c r="F11" i="64"/>
  <c r="D11" i="64"/>
  <c r="BH15" i="64" l="1"/>
  <c r="CM15" i="64"/>
  <c r="AV11" i="64"/>
  <c r="BM11" i="64"/>
  <c r="BA11" i="64"/>
  <c r="BH70" i="64"/>
  <c r="CM70" i="64"/>
  <c r="CM11" i="64"/>
  <c r="BH11" i="64"/>
  <c r="BM17" i="64"/>
  <c r="BA17" i="64"/>
  <c r="AV17" i="64"/>
  <c r="BM70" i="64"/>
  <c r="BA70" i="64"/>
  <c r="AV70" i="64"/>
  <c r="CM17" i="64"/>
  <c r="BH17" i="64"/>
  <c r="CM30" i="64"/>
  <c r="BH30" i="64"/>
  <c r="BA15" i="64"/>
  <c r="AV15" i="64"/>
  <c r="BM15" i="64"/>
  <c r="BA30" i="64"/>
  <c r="AV30" i="64"/>
  <c r="BM30" i="64"/>
  <c r="V30" i="64"/>
  <c r="DP55" i="64"/>
  <c r="DP70" i="64"/>
  <c r="R70" i="64"/>
  <c r="DO70" i="64"/>
  <c r="P70" i="64"/>
  <c r="DO55" i="64"/>
  <c r="U30" i="64"/>
  <c r="DQ30" i="64"/>
  <c r="DR30" i="64" s="1"/>
  <c r="R30" i="64"/>
  <c r="DO30" i="64"/>
  <c r="DP17" i="64"/>
  <c r="R17" i="64"/>
  <c r="P17" i="64"/>
  <c r="DO17" i="64"/>
  <c r="DP15" i="64"/>
  <c r="R15" i="64"/>
  <c r="P15" i="64"/>
  <c r="DO15" i="64"/>
  <c r="DP11" i="64"/>
  <c r="R11" i="64"/>
  <c r="P11" i="64"/>
  <c r="DO11" i="64"/>
  <c r="BR17" i="64" l="1"/>
  <c r="BV17" i="64"/>
  <c r="BT17" i="64"/>
  <c r="AX17" i="64"/>
  <c r="BB30" i="64"/>
  <c r="CS30" i="64"/>
  <c r="CS11" i="64"/>
  <c r="BB11" i="64"/>
  <c r="BT70" i="64"/>
  <c r="BV70" i="64"/>
  <c r="BR70" i="64"/>
  <c r="AX70" i="64"/>
  <c r="BT11" i="64"/>
  <c r="AX11" i="64"/>
  <c r="BR11" i="64"/>
  <c r="BV11" i="64"/>
  <c r="CS70" i="64"/>
  <c r="BB70" i="64"/>
  <c r="BV30" i="64"/>
  <c r="BR30" i="64"/>
  <c r="AX30" i="64"/>
  <c r="BT30" i="64"/>
  <c r="CS17" i="64"/>
  <c r="BB17" i="64"/>
  <c r="BV15" i="64"/>
  <c r="BT15" i="64"/>
  <c r="BR15" i="64"/>
  <c r="AX15" i="64"/>
  <c r="CS15" i="64"/>
  <c r="BB15" i="64"/>
  <c r="DQ70" i="64"/>
  <c r="DR70" i="64" s="1"/>
  <c r="U70" i="64"/>
  <c r="AO70" i="64" s="1"/>
  <c r="V70" i="64"/>
  <c r="DQ55" i="64"/>
  <c r="DR55" i="64" s="1"/>
  <c r="Z30" i="64"/>
  <c r="DT30" i="64" s="1"/>
  <c r="AO30" i="64"/>
  <c r="DW30" i="64"/>
  <c r="V17" i="64"/>
  <c r="U17" i="64"/>
  <c r="DQ17" i="64"/>
  <c r="DR17" i="64" s="1"/>
  <c r="V15" i="64"/>
  <c r="U15" i="64"/>
  <c r="DQ15" i="64"/>
  <c r="DR15" i="64" s="1"/>
  <c r="U11" i="64"/>
  <c r="DQ11" i="64"/>
  <c r="DR11" i="64" s="1"/>
  <c r="DW70" i="64" l="1"/>
  <c r="Z70" i="64"/>
  <c r="DT70" i="64" s="1"/>
  <c r="X70" i="64"/>
  <c r="DT55" i="64"/>
  <c r="DW55" i="64"/>
  <c r="AO55" i="64"/>
  <c r="X17" i="64"/>
  <c r="Z17" i="64"/>
  <c r="DT17" i="64" s="1"/>
  <c r="AO17" i="64"/>
  <c r="DW17" i="64"/>
  <c r="X15" i="64"/>
  <c r="Z15" i="64"/>
  <c r="DT15" i="64" s="1"/>
  <c r="AO15" i="64"/>
  <c r="DW15" i="64"/>
  <c r="AO11" i="64"/>
  <c r="X11" i="64"/>
  <c r="DW11" i="64"/>
  <c r="Z11" i="64"/>
  <c r="DT11" i="64" s="1"/>
  <c r="DY47" i="64"/>
  <c r="DV47" i="64"/>
  <c r="DU47" i="64"/>
  <c r="DS47" i="64"/>
  <c r="DN47" i="64"/>
  <c r="DY54" i="64"/>
  <c r="DV54" i="64"/>
  <c r="DU54" i="64"/>
  <c r="DS54" i="64"/>
  <c r="DN54" i="64"/>
  <c r="DY53" i="64"/>
  <c r="DV53" i="64"/>
  <c r="DU53" i="64"/>
  <c r="DS53" i="64"/>
  <c r="DN53" i="64"/>
  <c r="DY59" i="64"/>
  <c r="DV59" i="64"/>
  <c r="DU59" i="64"/>
  <c r="DS59" i="64"/>
  <c r="DN59" i="64"/>
  <c r="DY69" i="64"/>
  <c r="DV69" i="64"/>
  <c r="DU69" i="64"/>
  <c r="DS69" i="64"/>
  <c r="DN69" i="64"/>
  <c r="DY66" i="64"/>
  <c r="DV66" i="64"/>
  <c r="DU66" i="64"/>
  <c r="DS66" i="64"/>
  <c r="DN66" i="64"/>
  <c r="DY50" i="64"/>
  <c r="DV50" i="64"/>
  <c r="DU50" i="64"/>
  <c r="DS50" i="64"/>
  <c r="DN50" i="64"/>
  <c r="F19" i="64"/>
  <c r="F20" i="64"/>
  <c r="F21" i="64"/>
  <c r="I27" i="64"/>
  <c r="AW27" i="64" s="1"/>
  <c r="I28" i="64"/>
  <c r="AW28" i="64" s="1"/>
  <c r="F29" i="64"/>
  <c r="D29" i="64"/>
  <c r="J29" i="64"/>
  <c r="K29" i="64"/>
  <c r="AU29" i="64" s="1"/>
  <c r="T29" i="64"/>
  <c r="AB29" i="64"/>
  <c r="AC29" i="64"/>
  <c r="DN29" i="64"/>
  <c r="DS29" i="64"/>
  <c r="DU29" i="64"/>
  <c r="DV29" i="64"/>
  <c r="DY29" i="64"/>
  <c r="K6" i="64"/>
  <c r="AU6" i="64" s="1"/>
  <c r="J6" i="64"/>
  <c r="I6" i="64"/>
  <c r="AW6" i="64" s="1"/>
  <c r="F6" i="64"/>
  <c r="F23" i="64"/>
  <c r="F25" i="64"/>
  <c r="I31" i="64"/>
  <c r="AW31" i="64" s="1"/>
  <c r="I32" i="64"/>
  <c r="AW32" i="64" s="1"/>
  <c r="I33" i="64"/>
  <c r="AW33" i="64" s="1"/>
  <c r="K32" i="64"/>
  <c r="AU32" i="64" s="1"/>
  <c r="J32" i="64"/>
  <c r="DY23" i="64"/>
  <c r="DV23" i="64"/>
  <c r="DU23" i="64"/>
  <c r="DS23" i="64"/>
  <c r="DN23" i="64"/>
  <c r="AC23" i="64"/>
  <c r="AB23" i="64"/>
  <c r="T23" i="64"/>
  <c r="R23" i="64"/>
  <c r="I23" i="64"/>
  <c r="AW23" i="64" s="1"/>
  <c r="D23" i="64"/>
  <c r="H1160" i="46"/>
  <c r="H1145" i="46"/>
  <c r="H1127" i="46"/>
  <c r="H1124" i="46"/>
  <c r="H1122" i="46"/>
  <c r="H1120" i="46"/>
  <c r="H1116" i="46"/>
  <c r="H1076" i="46"/>
  <c r="H1054" i="46"/>
  <c r="H1053" i="46"/>
  <c r="H1052" i="46"/>
  <c r="H1051" i="46"/>
  <c r="H1050" i="46"/>
  <c r="H1049" i="46"/>
  <c r="H1048" i="46"/>
  <c r="H1047" i="46"/>
  <c r="H1046" i="46"/>
  <c r="H1045" i="46"/>
  <c r="H1044" i="46"/>
  <c r="H1030" i="46"/>
  <c r="H1027" i="46"/>
  <c r="H1014" i="46"/>
  <c r="H1011" i="46"/>
  <c r="H1010" i="46"/>
  <c r="H998" i="46"/>
  <c r="H972" i="46"/>
  <c r="H971" i="46"/>
  <c r="H970" i="46"/>
  <c r="H969" i="46"/>
  <c r="H967" i="46"/>
  <c r="H958" i="46"/>
  <c r="H956" i="46"/>
  <c r="H954" i="46"/>
  <c r="H939" i="46"/>
  <c r="H934" i="46"/>
  <c r="H930" i="46"/>
  <c r="H926" i="46"/>
  <c r="H925" i="46"/>
  <c r="H922" i="46"/>
  <c r="H919" i="46"/>
  <c r="H916" i="46"/>
  <c r="H914" i="46"/>
  <c r="H913" i="46"/>
  <c r="H909" i="46"/>
  <c r="H907" i="46"/>
  <c r="H905" i="46"/>
  <c r="H904" i="46"/>
  <c r="H902" i="46"/>
  <c r="H899" i="46"/>
  <c r="H897" i="46"/>
  <c r="H896" i="46"/>
  <c r="H895" i="46"/>
  <c r="H894" i="46"/>
  <c r="H889" i="46"/>
  <c r="H888" i="46"/>
  <c r="H887" i="46"/>
  <c r="H884" i="46"/>
  <c r="H883" i="46"/>
  <c r="H882" i="46"/>
  <c r="H874" i="46"/>
  <c r="H873" i="46"/>
  <c r="H866" i="46"/>
  <c r="H860" i="46"/>
  <c r="H854" i="46"/>
  <c r="H853" i="46"/>
  <c r="H850" i="46"/>
  <c r="H849" i="46"/>
  <c r="H845" i="46"/>
  <c r="H844" i="46"/>
  <c r="H843" i="46"/>
  <c r="H842" i="46"/>
  <c r="H841" i="46"/>
  <c r="H837" i="46"/>
  <c r="H834" i="46"/>
  <c r="H831" i="46"/>
  <c r="H829" i="46"/>
  <c r="H828" i="46"/>
  <c r="H824" i="46"/>
  <c r="H823" i="46"/>
  <c r="H820" i="46"/>
  <c r="H815" i="46"/>
  <c r="H814" i="46"/>
  <c r="H807" i="46"/>
  <c r="H802" i="46"/>
  <c r="H795" i="46"/>
  <c r="H788" i="46"/>
  <c r="H784" i="46"/>
  <c r="H783" i="46"/>
  <c r="H782" i="46"/>
  <c r="H774" i="46"/>
  <c r="H772" i="46"/>
  <c r="H768" i="46"/>
  <c r="H759" i="46"/>
  <c r="H755" i="46"/>
  <c r="H752" i="46"/>
  <c r="H751" i="46"/>
  <c r="H746" i="46"/>
  <c r="H745" i="46"/>
  <c r="H739" i="46"/>
  <c r="H737" i="46"/>
  <c r="H736" i="46"/>
  <c r="H734" i="46"/>
  <c r="H730" i="46"/>
  <c r="H727" i="46"/>
  <c r="H725" i="46"/>
  <c r="H723" i="46"/>
  <c r="H716" i="46"/>
  <c r="H713" i="46"/>
  <c r="H705" i="46"/>
  <c r="H702" i="46"/>
  <c r="H698" i="46"/>
  <c r="H696" i="46"/>
  <c r="H695" i="46"/>
  <c r="H694" i="46"/>
  <c r="H693" i="46"/>
  <c r="H689" i="46"/>
  <c r="H686" i="46"/>
  <c r="H684" i="46"/>
  <c r="H679" i="46"/>
  <c r="H673" i="46"/>
  <c r="H672" i="46"/>
  <c r="H668" i="46"/>
  <c r="H666" i="46"/>
  <c r="H665" i="46"/>
  <c r="H663" i="46"/>
  <c r="H662" i="46"/>
  <c r="H661" i="46"/>
  <c r="H660" i="46"/>
  <c r="H659" i="46"/>
  <c r="H658" i="46"/>
  <c r="H657" i="46"/>
  <c r="H655" i="46"/>
  <c r="H653" i="46"/>
  <c r="H645" i="46"/>
  <c r="H641" i="46"/>
  <c r="H611" i="46"/>
  <c r="H610" i="46"/>
  <c r="H609" i="46"/>
  <c r="H608" i="46"/>
  <c r="H603" i="46"/>
  <c r="H598" i="46"/>
  <c r="H597" i="46"/>
  <c r="H595" i="46"/>
  <c r="H593" i="46"/>
  <c r="H592" i="46"/>
  <c r="H579" i="46"/>
  <c r="H578" i="46"/>
  <c r="H573" i="46"/>
  <c r="H566" i="46"/>
  <c r="H564" i="46"/>
  <c r="H563" i="46"/>
  <c r="H561" i="46"/>
  <c r="H559" i="46"/>
  <c r="H550" i="46"/>
  <c r="H545" i="46"/>
  <c r="H544" i="46"/>
  <c r="H542" i="46"/>
  <c r="H540" i="46"/>
  <c r="H539" i="46"/>
  <c r="H537" i="46"/>
  <c r="H535" i="46"/>
  <c r="H530" i="46"/>
  <c r="H529" i="46"/>
  <c r="H524" i="46"/>
  <c r="H521" i="46"/>
  <c r="H511" i="46"/>
  <c r="H509" i="46"/>
  <c r="H508" i="46"/>
  <c r="H506" i="46"/>
  <c r="H499" i="46"/>
  <c r="H497" i="46"/>
  <c r="H496" i="46"/>
  <c r="H495" i="46"/>
  <c r="H494" i="46"/>
  <c r="H492" i="46"/>
  <c r="H491" i="46"/>
  <c r="H489" i="46"/>
  <c r="H488" i="46"/>
  <c r="H484" i="46"/>
  <c r="H482" i="46"/>
  <c r="H468" i="46"/>
  <c r="H467" i="46"/>
  <c r="H462" i="46"/>
  <c r="H461" i="46"/>
  <c r="H446" i="46"/>
  <c r="H445" i="46"/>
  <c r="H439" i="46"/>
  <c r="H437" i="46"/>
  <c r="H436" i="46"/>
  <c r="H434" i="46"/>
  <c r="H415" i="46"/>
  <c r="H414" i="46"/>
  <c r="H413" i="46"/>
  <c r="H412" i="46"/>
  <c r="H411" i="46"/>
  <c r="H410" i="46"/>
  <c r="H408" i="46"/>
  <c r="H407" i="46"/>
  <c r="H405" i="46"/>
  <c r="H403" i="46"/>
  <c r="H398" i="46"/>
  <c r="H397" i="46"/>
  <c r="H395" i="46"/>
  <c r="H387" i="46"/>
  <c r="H371" i="46"/>
  <c r="H349" i="46"/>
  <c r="H347" i="46"/>
  <c r="H338" i="46"/>
  <c r="H334" i="46"/>
  <c r="H332" i="46"/>
  <c r="H325" i="46"/>
  <c r="H324" i="46"/>
  <c r="H323" i="46"/>
  <c r="H315" i="46"/>
  <c r="H311" i="46"/>
  <c r="H310" i="46"/>
  <c r="H307" i="46"/>
  <c r="H304" i="46"/>
  <c r="H297" i="46"/>
  <c r="H295" i="46"/>
  <c r="H292" i="46"/>
  <c r="H290" i="46"/>
  <c r="H289" i="46"/>
  <c r="H282" i="46"/>
  <c r="H281" i="46"/>
  <c r="H278" i="46"/>
  <c r="H277" i="46"/>
  <c r="H274" i="46"/>
  <c r="H272" i="46"/>
  <c r="H271" i="46"/>
  <c r="H268" i="46"/>
  <c r="H267" i="46"/>
  <c r="H249" i="46"/>
  <c r="H248" i="46"/>
  <c r="H247" i="46"/>
  <c r="H246" i="46"/>
  <c r="H245" i="46"/>
  <c r="H244" i="46"/>
  <c r="H243" i="46"/>
  <c r="H242" i="46"/>
  <c r="H237" i="46"/>
  <c r="H232" i="46"/>
  <c r="H231" i="46"/>
  <c r="H228" i="46"/>
  <c r="H227" i="46"/>
  <c r="H226" i="46"/>
  <c r="H224" i="46"/>
  <c r="H222" i="46"/>
  <c r="H214" i="46"/>
  <c r="H213" i="46"/>
  <c r="H212" i="46"/>
  <c r="H211" i="46"/>
  <c r="H210" i="46"/>
  <c r="H208" i="46"/>
  <c r="H204" i="46"/>
  <c r="H203" i="46"/>
  <c r="H202" i="46"/>
  <c r="H201" i="46"/>
  <c r="H200" i="46"/>
  <c r="H197" i="46"/>
  <c r="H196" i="46"/>
  <c r="H194" i="46"/>
  <c r="H193" i="46"/>
  <c r="H192" i="46"/>
  <c r="H190" i="46"/>
  <c r="H189" i="46"/>
  <c r="H188" i="46"/>
  <c r="H187" i="46"/>
  <c r="H186" i="46"/>
  <c r="H185" i="46"/>
  <c r="H183" i="46"/>
  <c r="H182" i="46"/>
  <c r="H181" i="46"/>
  <c r="H180" i="46"/>
  <c r="H179" i="46"/>
  <c r="H178" i="46"/>
  <c r="H176" i="46"/>
  <c r="H175" i="46"/>
  <c r="H174" i="46"/>
  <c r="H173" i="46"/>
  <c r="H172" i="46"/>
  <c r="H170" i="46"/>
  <c r="H169" i="46"/>
  <c r="H153" i="46"/>
  <c r="H152" i="46"/>
  <c r="H151" i="46"/>
  <c r="H150" i="46"/>
  <c r="H149" i="46"/>
  <c r="H148" i="46"/>
  <c r="H147" i="46"/>
  <c r="H146" i="46"/>
  <c r="H145" i="46"/>
  <c r="H144" i="46"/>
  <c r="H143" i="46"/>
  <c r="H142" i="46"/>
  <c r="H137" i="46"/>
  <c r="H136" i="46"/>
  <c r="H135" i="46"/>
  <c r="H134" i="46"/>
  <c r="H133" i="46"/>
  <c r="H132" i="46"/>
  <c r="H128" i="46"/>
  <c r="H125" i="46"/>
  <c r="H124" i="46"/>
  <c r="H123" i="46"/>
  <c r="H121" i="46"/>
  <c r="H119" i="46"/>
  <c r="H118" i="46"/>
  <c r="H116" i="46"/>
  <c r="H115" i="46"/>
  <c r="H114" i="46"/>
  <c r="H112" i="46"/>
  <c r="H102" i="46"/>
  <c r="H101" i="46"/>
  <c r="H100" i="46"/>
  <c r="H97" i="46"/>
  <c r="H96" i="46"/>
  <c r="H94" i="46"/>
  <c r="H93" i="46"/>
  <c r="H91" i="46"/>
  <c r="H90" i="46"/>
  <c r="H89" i="46"/>
  <c r="H88" i="46"/>
  <c r="H84" i="46"/>
  <c r="H81" i="46"/>
  <c r="H80" i="46"/>
  <c r="H77" i="46"/>
  <c r="H76" i="46"/>
  <c r="H75" i="46"/>
  <c r="H74" i="46"/>
  <c r="H73" i="46"/>
  <c r="H71" i="46"/>
  <c r="H70" i="46"/>
  <c r="H69" i="46"/>
  <c r="H68" i="46"/>
  <c r="H67" i="46"/>
  <c r="H66" i="46"/>
  <c r="H65" i="46"/>
  <c r="H64" i="46"/>
  <c r="H63" i="46"/>
  <c r="H62" i="46"/>
  <c r="H61" i="46"/>
  <c r="H60" i="46"/>
  <c r="H59" i="46"/>
  <c r="H58" i="46"/>
  <c r="H56" i="46"/>
  <c r="H55" i="46"/>
  <c r="H51" i="46"/>
  <c r="H49" i="46"/>
  <c r="H47" i="46"/>
  <c r="H44" i="46"/>
  <c r="H42" i="46"/>
  <c r="H38" i="46"/>
  <c r="H37" i="46"/>
  <c r="H36" i="46"/>
  <c r="H31" i="46"/>
  <c r="H30" i="46"/>
  <c r="H29" i="46"/>
  <c r="H27" i="46"/>
  <c r="H26" i="46"/>
  <c r="H25" i="46"/>
  <c r="H23" i="46"/>
  <c r="H22" i="46"/>
  <c r="H21" i="46"/>
  <c r="H20" i="46"/>
  <c r="H18" i="46"/>
  <c r="H17" i="46"/>
  <c r="H16" i="46"/>
  <c r="H15" i="46"/>
  <c r="H14" i="46"/>
  <c r="H13" i="46"/>
  <c r="D8" i="64"/>
  <c r="D13" i="64"/>
  <c r="D14" i="64"/>
  <c r="D19" i="64"/>
  <c r="D20" i="64"/>
  <c r="D21" i="64"/>
  <c r="D25" i="64"/>
  <c r="D26" i="64"/>
  <c r="D27" i="64"/>
  <c r="D28" i="64"/>
  <c r="D31" i="64"/>
  <c r="D32" i="64"/>
  <c r="D33" i="64"/>
  <c r="D35" i="64"/>
  <c r="D37" i="64"/>
  <c r="D6" i="64"/>
  <c r="DY6" i="64"/>
  <c r="DV6" i="64"/>
  <c r="DU6" i="64"/>
  <c r="DS6" i="64"/>
  <c r="DN6" i="64"/>
  <c r="AC6" i="64"/>
  <c r="AB6" i="64"/>
  <c r="T6" i="64"/>
  <c r="BH29" i="64" l="1"/>
  <c r="CM29" i="64"/>
  <c r="BH23" i="64"/>
  <c r="CM23" i="64"/>
  <c r="AV32" i="64"/>
  <c r="BM32" i="64"/>
  <c r="BA32" i="64"/>
  <c r="BH21" i="64"/>
  <c r="CM21" i="64"/>
  <c r="BV23" i="64"/>
  <c r="BT23" i="64"/>
  <c r="BR23" i="64"/>
  <c r="AX23" i="64"/>
  <c r="BH20" i="64"/>
  <c r="CM20" i="64"/>
  <c r="BH19" i="64"/>
  <c r="CM19" i="64"/>
  <c r="BM29" i="64"/>
  <c r="AV29" i="64"/>
  <c r="BA29" i="64"/>
  <c r="CM25" i="64"/>
  <c r="BH25" i="64"/>
  <c r="BM6" i="64"/>
  <c r="AV6" i="64"/>
  <c r="BA6" i="64"/>
  <c r="CM6" i="64"/>
  <c r="BH6" i="64"/>
  <c r="DP47" i="64"/>
  <c r="DO47" i="64"/>
  <c r="DP54" i="64"/>
  <c r="DO54" i="64"/>
  <c r="DP53" i="64"/>
  <c r="DO53" i="64"/>
  <c r="DP59" i="64"/>
  <c r="DO59" i="64"/>
  <c r="DP69" i="64"/>
  <c r="DP66" i="64"/>
  <c r="DO69" i="64"/>
  <c r="DO66" i="64"/>
  <c r="DP50" i="64"/>
  <c r="DO50" i="64"/>
  <c r="DP29" i="64"/>
  <c r="P29" i="64"/>
  <c r="U29" i="64" s="1"/>
  <c r="DO29" i="64"/>
  <c r="R29" i="64"/>
  <c r="DO23" i="64"/>
  <c r="DP23" i="64"/>
  <c r="P23" i="64"/>
  <c r="DP6" i="64"/>
  <c r="R6" i="64"/>
  <c r="P6" i="64"/>
  <c r="DO6" i="64"/>
  <c r="CS29" i="64" l="1"/>
  <c r="BB29" i="64"/>
  <c r="BV29" i="64"/>
  <c r="BT29" i="64"/>
  <c r="BR29" i="64"/>
  <c r="AX29" i="64"/>
  <c r="BB32" i="64"/>
  <c r="CS32" i="64"/>
  <c r="BT32" i="64"/>
  <c r="BR32" i="64"/>
  <c r="BV32" i="64"/>
  <c r="AX32" i="64"/>
  <c r="BR6" i="64"/>
  <c r="BV6" i="64"/>
  <c r="AX6" i="64"/>
  <c r="BT6" i="64"/>
  <c r="CS6" i="64"/>
  <c r="BB6" i="64"/>
  <c r="DQ47" i="64"/>
  <c r="DR47" i="64" s="1"/>
  <c r="DQ54" i="64"/>
  <c r="DR54" i="64" s="1"/>
  <c r="DQ53" i="64"/>
  <c r="DR53" i="64" s="1"/>
  <c r="DQ59" i="64"/>
  <c r="DR59" i="64" s="1"/>
  <c r="DQ69" i="64"/>
  <c r="DR69" i="64" s="1"/>
  <c r="DQ66" i="64"/>
  <c r="DR66" i="64" s="1"/>
  <c r="DQ50" i="64"/>
  <c r="DR50" i="64" s="1"/>
  <c r="V29" i="64"/>
  <c r="DQ29" i="64"/>
  <c r="DR29" i="64" s="1"/>
  <c r="DW29" i="64"/>
  <c r="AO29" i="64"/>
  <c r="Z29" i="64"/>
  <c r="DT29" i="64" s="1"/>
  <c r="X29" i="64"/>
  <c r="U23" i="64"/>
  <c r="V23" i="64"/>
  <c r="DQ23" i="64"/>
  <c r="DR23" i="64" s="1"/>
  <c r="U6" i="64"/>
  <c r="DQ6" i="64"/>
  <c r="DR6" i="64" s="1"/>
  <c r="DT47" i="64" l="1"/>
  <c r="AO47" i="64"/>
  <c r="DW47" i="64"/>
  <c r="DW54" i="64"/>
  <c r="DT54" i="64"/>
  <c r="AO54" i="64"/>
  <c r="DT53" i="64"/>
  <c r="AO53" i="64"/>
  <c r="DW53" i="64"/>
  <c r="DT59" i="64"/>
  <c r="DW59" i="64"/>
  <c r="DT69" i="64"/>
  <c r="DW69" i="64"/>
  <c r="DT66" i="64"/>
  <c r="DW66" i="64"/>
  <c r="DW50" i="64"/>
  <c r="DT50" i="64"/>
  <c r="AO50" i="64"/>
  <c r="X23" i="64"/>
  <c r="Z23" i="64"/>
  <c r="DT23" i="64" s="1"/>
  <c r="AO23" i="64"/>
  <c r="DW23" i="64"/>
  <c r="AO6" i="64"/>
  <c r="DW6" i="64"/>
  <c r="X6" i="64"/>
  <c r="Z6" i="64"/>
  <c r="DT6" i="64" s="1"/>
  <c r="DY57" i="64" l="1"/>
  <c r="DV57" i="64"/>
  <c r="DU57" i="64"/>
  <c r="DS57" i="64"/>
  <c r="DO57" i="64"/>
  <c r="DN57" i="64"/>
  <c r="K33" i="64"/>
  <c r="AU33" i="64" s="1"/>
  <c r="J33" i="64"/>
  <c r="DY65" i="64"/>
  <c r="DV65" i="64"/>
  <c r="DU65" i="64"/>
  <c r="DS65" i="64"/>
  <c r="DP65" i="64"/>
  <c r="DO65" i="64"/>
  <c r="DN65" i="64"/>
  <c r="DY61" i="64"/>
  <c r="DV61" i="64"/>
  <c r="DU61" i="64"/>
  <c r="DS61" i="64"/>
  <c r="DN61" i="64"/>
  <c r="DY58" i="64"/>
  <c r="DV58" i="64"/>
  <c r="DU58" i="64"/>
  <c r="DS58" i="64"/>
  <c r="DN58" i="64"/>
  <c r="DY8" i="64"/>
  <c r="DV8" i="64"/>
  <c r="DU8" i="64"/>
  <c r="DS8" i="64"/>
  <c r="DN8" i="64"/>
  <c r="AC8" i="64"/>
  <c r="AB8" i="64"/>
  <c r="T8" i="64"/>
  <c r="DY25" i="64"/>
  <c r="DV25" i="64"/>
  <c r="DU25" i="64"/>
  <c r="DS25" i="64"/>
  <c r="DN25" i="64"/>
  <c r="AB25" i="64"/>
  <c r="T25" i="64"/>
  <c r="K25" i="64"/>
  <c r="AU25" i="64" s="1"/>
  <c r="I25" i="64"/>
  <c r="AW25" i="64" s="1"/>
  <c r="BA33" i="64" l="1"/>
  <c r="AV33" i="64"/>
  <c r="BM33" i="64"/>
  <c r="BA25" i="64"/>
  <c r="AV25" i="64"/>
  <c r="BM25" i="64"/>
  <c r="DP57" i="64"/>
  <c r="DQ65" i="64"/>
  <c r="DR65" i="64" s="1"/>
  <c r="DP61" i="64"/>
  <c r="DO61" i="64"/>
  <c r="DP58" i="64"/>
  <c r="DO58" i="64"/>
  <c r="DP8" i="64"/>
  <c r="R8" i="64"/>
  <c r="P8" i="64"/>
  <c r="V8" i="64" s="1"/>
  <c r="DO8" i="64"/>
  <c r="R25" i="64"/>
  <c r="DP25" i="64"/>
  <c r="P25" i="64"/>
  <c r="V25" i="64" s="1"/>
  <c r="DO25" i="64"/>
  <c r="BV25" i="64" l="1"/>
  <c r="BT25" i="64"/>
  <c r="AX25" i="64"/>
  <c r="BR25" i="64"/>
  <c r="CS25" i="64"/>
  <c r="BB25" i="64"/>
  <c r="BV33" i="64"/>
  <c r="BT33" i="64"/>
  <c r="BR33" i="64"/>
  <c r="AX33" i="64"/>
  <c r="BB33" i="64"/>
  <c r="CS33" i="64"/>
  <c r="DQ57" i="64"/>
  <c r="DR57" i="64" s="1"/>
  <c r="DW65" i="64"/>
  <c r="DT65" i="64"/>
  <c r="DQ61" i="64"/>
  <c r="DR61" i="64" s="1"/>
  <c r="DQ58" i="64"/>
  <c r="DR58" i="64" s="1"/>
  <c r="U8" i="64"/>
  <c r="AO8" i="64" s="1"/>
  <c r="DQ8" i="64"/>
  <c r="DR8" i="64" s="1"/>
  <c r="U25" i="64"/>
  <c r="AO25" i="64" s="1"/>
  <c r="DQ25" i="64"/>
  <c r="DR25" i="64" s="1"/>
  <c r="DW57" i="64" l="1"/>
  <c r="DT57" i="64"/>
  <c r="DT61" i="64"/>
  <c r="DW61" i="64"/>
  <c r="DW58" i="64"/>
  <c r="DT58" i="64"/>
  <c r="X8" i="64"/>
  <c r="DW8" i="64"/>
  <c r="Z8" i="64"/>
  <c r="DT8" i="64" s="1"/>
  <c r="X25" i="64"/>
  <c r="Z25" i="64"/>
  <c r="DT25" i="64" s="1"/>
  <c r="DW25" i="64"/>
  <c r="DY13" i="64"/>
  <c r="DV13" i="64"/>
  <c r="DU13" i="64"/>
  <c r="DS13" i="64"/>
  <c r="DN13" i="64"/>
  <c r="AC13" i="64"/>
  <c r="T13" i="64"/>
  <c r="K13" i="64"/>
  <c r="AU13" i="64" s="1"/>
  <c r="J13" i="64"/>
  <c r="I13" i="64"/>
  <c r="AW13" i="64" s="1"/>
  <c r="F13" i="64"/>
  <c r="AV13" i="64" l="1"/>
  <c r="BM13" i="64"/>
  <c r="BA13" i="64"/>
  <c r="BH13" i="64"/>
  <c r="CM13" i="64"/>
  <c r="DP13" i="64"/>
  <c r="R13" i="64"/>
  <c r="P13" i="64"/>
  <c r="DO13" i="64"/>
  <c r="CS13" i="64" l="1"/>
  <c r="BB13" i="64"/>
  <c r="BR13" i="64"/>
  <c r="AX13" i="64"/>
  <c r="BT13" i="64"/>
  <c r="BV13" i="64"/>
  <c r="U13" i="64"/>
  <c r="AO13" i="64" s="1"/>
  <c r="DQ13" i="64"/>
  <c r="DR13" i="64" s="1"/>
  <c r="Z13" i="64" l="1"/>
  <c r="DT13" i="64" s="1"/>
  <c r="DW13" i="64"/>
  <c r="X13" i="64"/>
  <c r="DY63" i="64"/>
  <c r="DV63" i="64"/>
  <c r="DU63" i="64"/>
  <c r="DS63" i="64"/>
  <c r="DN63" i="64"/>
  <c r="DY45" i="64"/>
  <c r="DV45" i="64"/>
  <c r="DU45" i="64"/>
  <c r="DS45" i="64"/>
  <c r="DN45" i="64"/>
  <c r="DY48" i="64"/>
  <c r="DV48" i="64"/>
  <c r="DU48" i="64"/>
  <c r="DS48" i="64"/>
  <c r="DN48" i="64"/>
  <c r="DY28" i="64"/>
  <c r="DV28" i="64"/>
  <c r="DU28" i="64"/>
  <c r="DS28" i="64"/>
  <c r="DN28" i="64"/>
  <c r="AC28" i="64"/>
  <c r="AB28" i="64"/>
  <c r="T28" i="64"/>
  <c r="K28" i="64"/>
  <c r="AU28" i="64" s="1"/>
  <c r="J28" i="64"/>
  <c r="F28" i="64"/>
  <c r="AZ38" i="64"/>
  <c r="CR38" i="64" s="1"/>
  <c r="DY60" i="64"/>
  <c r="DV60" i="64"/>
  <c r="DU60" i="64"/>
  <c r="DS60" i="64"/>
  <c r="DN60" i="64"/>
  <c r="I21" i="64"/>
  <c r="AW21" i="64" s="1"/>
  <c r="I19" i="64"/>
  <c r="AW19" i="64" s="1"/>
  <c r="DY32" i="64"/>
  <c r="DV32" i="64"/>
  <c r="DU32" i="64"/>
  <c r="DS32" i="64"/>
  <c r="DN32" i="64"/>
  <c r="AC32" i="64"/>
  <c r="AB32" i="64"/>
  <c r="T32" i="64"/>
  <c r="F32" i="64"/>
  <c r="T31" i="64"/>
  <c r="AC33" i="64"/>
  <c r="AC35" i="64"/>
  <c r="AC19" i="64"/>
  <c r="AC21" i="64"/>
  <c r="DY33" i="64"/>
  <c r="DV33" i="64"/>
  <c r="DU33" i="64"/>
  <c r="DS33" i="64"/>
  <c r="DN33" i="64"/>
  <c r="AB33" i="64"/>
  <c r="T33" i="64"/>
  <c r="F33" i="64"/>
  <c r="DY21" i="64"/>
  <c r="DV21" i="64"/>
  <c r="DU21" i="64"/>
  <c r="DS21" i="64"/>
  <c r="DN21" i="64"/>
  <c r="AB21" i="64"/>
  <c r="T21" i="64"/>
  <c r="K21" i="64"/>
  <c r="AU21" i="64" s="1"/>
  <c r="J21" i="64"/>
  <c r="DY19" i="64"/>
  <c r="DV19" i="64"/>
  <c r="DU19" i="64"/>
  <c r="DS19" i="64"/>
  <c r="DN19" i="64"/>
  <c r="AB19" i="64"/>
  <c r="T19" i="64"/>
  <c r="K19" i="64"/>
  <c r="AU19" i="64" s="1"/>
  <c r="J19" i="64"/>
  <c r="DY35" i="64"/>
  <c r="DV35" i="64"/>
  <c r="DU35" i="64"/>
  <c r="DS35" i="64"/>
  <c r="DN35" i="64"/>
  <c r="AB35" i="64"/>
  <c r="T35" i="64"/>
  <c r="I20" i="64"/>
  <c r="AW20" i="64" s="1"/>
  <c r="R20" i="64"/>
  <c r="T20" i="64"/>
  <c r="AB20" i="64"/>
  <c r="AC20" i="64"/>
  <c r="DN20" i="64"/>
  <c r="DO20" i="64"/>
  <c r="DS20" i="64"/>
  <c r="DU20" i="64"/>
  <c r="DV20" i="64"/>
  <c r="DY20" i="64"/>
  <c r="DY37" i="64"/>
  <c r="DV37" i="64"/>
  <c r="DU37" i="64"/>
  <c r="DS37" i="64"/>
  <c r="DN37" i="64"/>
  <c r="AC37" i="64"/>
  <c r="AB37" i="64"/>
  <c r="T37" i="64"/>
  <c r="K37" i="64"/>
  <c r="AU37" i="64" s="1"/>
  <c r="J37" i="64"/>
  <c r="I37" i="64"/>
  <c r="AW37" i="64" s="1"/>
  <c r="F37" i="64"/>
  <c r="BA28" i="64" l="1"/>
  <c r="BM28" i="64"/>
  <c r="AV28" i="64"/>
  <c r="BH33" i="64"/>
  <c r="CM33" i="64"/>
  <c r="BM37" i="64"/>
  <c r="AV37" i="64"/>
  <c r="BA37" i="64"/>
  <c r="BA21" i="64"/>
  <c r="BM21" i="64"/>
  <c r="AV21" i="64"/>
  <c r="BH37" i="64"/>
  <c r="CM37" i="64"/>
  <c r="CM32" i="64"/>
  <c r="BH32" i="64"/>
  <c r="BH28" i="64"/>
  <c r="CM28" i="64"/>
  <c r="BM19" i="64"/>
  <c r="AV19" i="64"/>
  <c r="BA19" i="64"/>
  <c r="BT20" i="64"/>
  <c r="BV20" i="64"/>
  <c r="AX20" i="64"/>
  <c r="BR20" i="64"/>
  <c r="V35" i="64"/>
  <c r="DP63" i="64"/>
  <c r="DO63" i="64"/>
  <c r="DP45" i="64"/>
  <c r="DO45" i="64"/>
  <c r="DP48" i="64"/>
  <c r="DO48" i="64"/>
  <c r="DP28" i="64"/>
  <c r="R28" i="64"/>
  <c r="P28" i="64"/>
  <c r="V28" i="64" s="1"/>
  <c r="DO28" i="64"/>
  <c r="DP60" i="64"/>
  <c r="DO60" i="64"/>
  <c r="DP32" i="64"/>
  <c r="DP21" i="64"/>
  <c r="P21" i="64"/>
  <c r="DP19" i="64"/>
  <c r="P19" i="64"/>
  <c r="DP35" i="64"/>
  <c r="DP33" i="64"/>
  <c r="P33" i="64"/>
  <c r="R32" i="64"/>
  <c r="P32" i="64"/>
  <c r="V32" i="64" s="1"/>
  <c r="DO32" i="64"/>
  <c r="R33" i="64"/>
  <c r="DO33" i="64"/>
  <c r="R21" i="64"/>
  <c r="DO21" i="64"/>
  <c r="R19" i="64"/>
  <c r="DO19" i="64"/>
  <c r="R35" i="64"/>
  <c r="DO35" i="64"/>
  <c r="DP20" i="64"/>
  <c r="P20" i="64"/>
  <c r="V20" i="64" s="1"/>
  <c r="DP37" i="64"/>
  <c r="R37" i="64"/>
  <c r="DO37" i="64"/>
  <c r="BB21" i="64" l="1"/>
  <c r="CS21" i="64"/>
  <c r="CS19" i="64"/>
  <c r="BB19" i="64"/>
  <c r="CS37" i="64"/>
  <c r="BB37" i="64"/>
  <c r="AX19" i="64"/>
  <c r="BT19" i="64"/>
  <c r="BR19" i="64"/>
  <c r="BV19" i="64"/>
  <c r="AX37" i="64"/>
  <c r="BV37" i="64"/>
  <c r="BT37" i="64"/>
  <c r="BR37" i="64"/>
  <c r="AX28" i="64"/>
  <c r="BT28" i="64"/>
  <c r="BR28" i="64"/>
  <c r="BV28" i="64"/>
  <c r="BV21" i="64"/>
  <c r="BR21" i="64"/>
  <c r="BT21" i="64"/>
  <c r="AX21" i="64"/>
  <c r="CS28" i="64"/>
  <c r="BB28" i="64"/>
  <c r="U21" i="64"/>
  <c r="V21" i="64"/>
  <c r="U19" i="64"/>
  <c r="AO19" i="64" s="1"/>
  <c r="V19" i="64"/>
  <c r="U33" i="64"/>
  <c r="V33" i="64"/>
  <c r="DQ37" i="64"/>
  <c r="DR37" i="64" s="1"/>
  <c r="V37" i="64"/>
  <c r="DQ63" i="64"/>
  <c r="DR63" i="64" s="1"/>
  <c r="DQ45" i="64"/>
  <c r="DR45" i="64" s="1"/>
  <c r="DQ48" i="64"/>
  <c r="DR48" i="64" s="1"/>
  <c r="DQ28" i="64"/>
  <c r="DR28" i="64" s="1"/>
  <c r="U28" i="64"/>
  <c r="AO28" i="64" s="1"/>
  <c r="DQ33" i="64"/>
  <c r="DR33" i="64" s="1"/>
  <c r="DQ19" i="64"/>
  <c r="DR19" i="64" s="1"/>
  <c r="DQ21" i="64"/>
  <c r="DR21" i="64" s="1"/>
  <c r="DQ60" i="64"/>
  <c r="DR60" i="64" s="1"/>
  <c r="DQ35" i="64"/>
  <c r="DR35" i="64" s="1"/>
  <c r="U35" i="64"/>
  <c r="AO35" i="64" s="1"/>
  <c r="U32" i="64"/>
  <c r="AO32" i="64" s="1"/>
  <c r="DQ32" i="64"/>
  <c r="DR32" i="64" s="1"/>
  <c r="U37" i="64"/>
  <c r="U20" i="64"/>
  <c r="DQ20" i="64"/>
  <c r="DR20" i="64" s="1"/>
  <c r="AO21" i="64" l="1"/>
  <c r="X21" i="64"/>
  <c r="AO20" i="64"/>
  <c r="X20" i="64"/>
  <c r="AO33" i="64"/>
  <c r="Z33" i="64"/>
  <c r="DT33" i="64" s="1"/>
  <c r="DW37" i="64"/>
  <c r="AO37" i="64"/>
  <c r="Z21" i="64"/>
  <c r="DT21" i="64" s="1"/>
  <c r="DW21" i="64"/>
  <c r="Z19" i="64"/>
  <c r="DT19" i="64" s="1"/>
  <c r="X19" i="64"/>
  <c r="DW19" i="64"/>
  <c r="X33" i="64"/>
  <c r="DW33" i="64"/>
  <c r="DT60" i="64"/>
  <c r="DT63" i="64"/>
  <c r="DW63" i="64"/>
  <c r="DT45" i="64"/>
  <c r="AO45" i="64"/>
  <c r="DW45" i="64"/>
  <c r="DT48" i="64"/>
  <c r="AO48" i="64"/>
  <c r="DW48" i="64"/>
  <c r="X28" i="64"/>
  <c r="Z28" i="64"/>
  <c r="DT28" i="64" s="1"/>
  <c r="DW28" i="64"/>
  <c r="DW60" i="64"/>
  <c r="X35" i="64"/>
  <c r="Z35" i="64"/>
  <c r="DT35" i="64" s="1"/>
  <c r="DW35" i="64"/>
  <c r="X32" i="64"/>
  <c r="Z32" i="64"/>
  <c r="DT32" i="64" s="1"/>
  <c r="DW32" i="64"/>
  <c r="X37" i="64"/>
  <c r="Z37" i="64"/>
  <c r="DT37" i="64" s="1"/>
  <c r="Z20" i="64"/>
  <c r="DT20" i="64" s="1"/>
  <c r="DW20" i="64"/>
  <c r="DY27" i="64" l="1"/>
  <c r="DV27" i="64"/>
  <c r="DU27" i="64"/>
  <c r="DS27" i="64"/>
  <c r="DN27" i="64"/>
  <c r="AC27" i="64"/>
  <c r="AB27" i="64"/>
  <c r="T27" i="64"/>
  <c r="K27" i="64"/>
  <c r="AU27" i="64" s="1"/>
  <c r="J27" i="64"/>
  <c r="F27" i="64"/>
  <c r="CM27" i="64" l="1"/>
  <c r="BH27" i="64"/>
  <c r="BA27" i="64"/>
  <c r="AV27" i="64"/>
  <c r="BM27" i="64"/>
  <c r="DP27" i="64"/>
  <c r="R27" i="64"/>
  <c r="P27" i="64"/>
  <c r="V27" i="64" s="1"/>
  <c r="DO27" i="64"/>
  <c r="BR27" i="64" l="1"/>
  <c r="BT27" i="64"/>
  <c r="BV27" i="64"/>
  <c r="AX27" i="64"/>
  <c r="BB27" i="64"/>
  <c r="CS27" i="64"/>
  <c r="U27" i="64"/>
  <c r="AO27" i="64" s="1"/>
  <c r="DQ27" i="64"/>
  <c r="DR27" i="64" s="1"/>
  <c r="X27" i="64" l="1"/>
  <c r="Z27" i="64"/>
  <c r="DT27" i="64" s="1"/>
  <c r="DW27" i="64"/>
  <c r="DY26" i="64"/>
  <c r="DV26" i="64"/>
  <c r="DU26" i="64"/>
  <c r="DS26" i="64"/>
  <c r="DN26" i="64"/>
  <c r="AC26" i="64"/>
  <c r="AB26" i="64"/>
  <c r="T26" i="64"/>
  <c r="K26" i="64"/>
  <c r="AU26" i="64" s="1"/>
  <c r="J26" i="64"/>
  <c r="I26" i="64"/>
  <c r="AW26" i="64" s="1"/>
  <c r="F26" i="64"/>
  <c r="DY64" i="64"/>
  <c r="DV64" i="64"/>
  <c r="DU64" i="64"/>
  <c r="DS64" i="64"/>
  <c r="DN64" i="64"/>
  <c r="I14" i="64"/>
  <c r="AW14" i="64" s="1"/>
  <c r="BH26" i="64" l="1"/>
  <c r="CM26" i="64"/>
  <c r="BM26" i="64"/>
  <c r="AV26" i="64"/>
  <c r="BA26" i="64"/>
  <c r="BT14" i="64"/>
  <c r="AX14" i="64"/>
  <c r="BR14" i="64"/>
  <c r="BV14" i="64"/>
  <c r="DP26" i="64"/>
  <c r="R26" i="64"/>
  <c r="P26" i="64"/>
  <c r="V26" i="64" s="1"/>
  <c r="DO26" i="64"/>
  <c r="DP64" i="64"/>
  <c r="DO64" i="64"/>
  <c r="CS26" i="64" l="1"/>
  <c r="BB26" i="64"/>
  <c r="BT26" i="64"/>
  <c r="BR26" i="64"/>
  <c r="BV26" i="64"/>
  <c r="AX26" i="64"/>
  <c r="U26" i="64"/>
  <c r="AO26" i="64" s="1"/>
  <c r="DQ26" i="64"/>
  <c r="DR26" i="64" s="1"/>
  <c r="DQ64" i="64"/>
  <c r="DR64" i="64" s="1"/>
  <c r="X26" i="64" l="1"/>
  <c r="Z26" i="64"/>
  <c r="DT26" i="64" s="1"/>
  <c r="DW26" i="64"/>
  <c r="DT64" i="64"/>
  <c r="DW64" i="64"/>
  <c r="DY14" i="64"/>
  <c r="DV14" i="64"/>
  <c r="DU14" i="64"/>
  <c r="DS14" i="64"/>
  <c r="DO14" i="64"/>
  <c r="DN14" i="64"/>
  <c r="AC14" i="64"/>
  <c r="DP14" i="64" s="1"/>
  <c r="AB14" i="64"/>
  <c r="T14" i="64"/>
  <c r="R14" i="64"/>
  <c r="P14" i="64"/>
  <c r="V14" i="64" s="1"/>
  <c r="DQ14" i="64" l="1"/>
  <c r="DR14" i="64" s="1"/>
  <c r="U14" i="64"/>
  <c r="AO14" i="64" s="1"/>
  <c r="DW14" i="64" l="1"/>
  <c r="X14" i="64"/>
  <c r="Z14" i="64"/>
  <c r="DT14" i="64" s="1"/>
  <c r="DY39" i="64" l="1"/>
  <c r="DV39" i="64"/>
  <c r="DU39" i="64"/>
  <c r="DS39" i="64"/>
  <c r="DN39" i="64"/>
  <c r="DY56" i="64"/>
  <c r="DV56" i="64"/>
  <c r="DU56" i="64"/>
  <c r="DS56" i="64"/>
  <c r="DO56" i="64"/>
  <c r="DN56" i="64"/>
  <c r="DP56" i="64"/>
  <c r="DP39" i="64" l="1"/>
  <c r="DO39" i="64"/>
  <c r="DQ56" i="64"/>
  <c r="DR56" i="64" s="1"/>
  <c r="DT56" i="64"/>
  <c r="DQ39" i="64" l="1"/>
  <c r="DR39" i="64" s="1"/>
  <c r="DW56" i="64"/>
  <c r="DT39" i="64" l="1"/>
  <c r="DW39" i="64"/>
  <c r="AO39" i="64"/>
  <c r="DY31" i="64" l="1"/>
  <c r="DV31" i="64"/>
  <c r="DU31" i="64"/>
  <c r="DS31" i="64"/>
  <c r="DO31" i="64"/>
  <c r="DN31" i="64"/>
  <c r="AB31" i="64"/>
  <c r="K31" i="64"/>
  <c r="AU31" i="64" s="1"/>
  <c r="J31" i="64"/>
  <c r="AV31" i="64" l="1"/>
  <c r="BA31" i="64"/>
  <c r="BM31" i="64"/>
  <c r="P31" i="64"/>
  <c r="V31" i="64" s="1"/>
  <c r="R31" i="64"/>
  <c r="DP31" i="64"/>
  <c r="CS31" i="64" l="1"/>
  <c r="BB31" i="64"/>
  <c r="BT31" i="64"/>
  <c r="AX31" i="64"/>
  <c r="BV31" i="64"/>
  <c r="BR31" i="64"/>
  <c r="DQ31" i="64"/>
  <c r="DR31" i="64" s="1"/>
  <c r="U31" i="64"/>
  <c r="X31" i="64" l="1"/>
  <c r="AO31" i="64"/>
  <c r="DW31" i="64"/>
  <c r="Z31" i="64"/>
  <c r="DT31" i="64" s="1"/>
  <c r="DN2" i="6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vengkat_rao</author>
  </authors>
  <commentList>
    <comment ref="N4" authorId="0" shapeId="0" xr:uid="{4E8E5E70-D7D8-40BF-929F-AFEEFCC363D6}">
      <text>
        <r>
          <rPr>
            <b/>
            <sz val="9"/>
            <color indexed="81"/>
            <rFont val="Tahoma"/>
            <family val="2"/>
          </rPr>
          <t>vengkat_rao:</t>
        </r>
        <r>
          <rPr>
            <sz val="9"/>
            <color indexed="81"/>
            <rFont val="Tahoma"/>
            <family val="2"/>
          </rPr>
          <t xml:space="preserve">
WIP-machine wip , FG in transit no PT scan, Waiting wrapping</t>
        </r>
      </text>
    </comment>
    <comment ref="O4" authorId="0" shapeId="0" xr:uid="{6FDF47F0-E316-44EB-B18D-41CE6A1F536B}">
      <text>
        <r>
          <rPr>
            <b/>
            <sz val="9"/>
            <color indexed="81"/>
            <rFont val="Tahoma"/>
            <family val="2"/>
          </rPr>
          <t>vengkat_rao:</t>
        </r>
        <r>
          <rPr>
            <sz val="9"/>
            <color indexed="81"/>
            <rFont val="Tahoma"/>
            <family val="2"/>
          </rPr>
          <t xml:space="preserve">
WIP-machine wip , FG in transit no PT scan, Waiting wrapping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Kelvin CHIAR</author>
  </authors>
  <commentList>
    <comment ref="D6" authorId="0" shapeId="0" xr:uid="{CF221211-B08D-43F1-95D6-92A8E7EE9DDA}">
      <text>
        <r>
          <rPr>
            <b/>
            <sz val="9"/>
            <color indexed="81"/>
            <rFont val="Tahoma"/>
            <family val="2"/>
          </rPr>
          <t>ISBM / EBM / IM</t>
        </r>
      </text>
    </comment>
  </commentList>
</comments>
</file>

<file path=xl/sharedStrings.xml><?xml version="1.0" encoding="utf-8"?>
<sst xmlns="http://schemas.openxmlformats.org/spreadsheetml/2006/main" count="5371" uniqueCount="1466">
  <si>
    <t>Z-COMM CUP</t>
  </si>
  <si>
    <t>Z-28-EZY CAP COVER</t>
  </si>
  <si>
    <t>JX63-1000-E-R-CL</t>
  </si>
  <si>
    <t>JX63-0531-RN-R-CL</t>
  </si>
  <si>
    <t>JX63-0400-S-S-AM</t>
  </si>
  <si>
    <t>JX63-0320-A-S-AM</t>
  </si>
  <si>
    <t>JX63-0240-RSN-R-CL</t>
  </si>
  <si>
    <t>JW110-4100-R-R-AM</t>
  </si>
  <si>
    <t>JJ63-1000-E-R-CL</t>
  </si>
  <si>
    <t>JJ63-0850-RH-R-CL</t>
  </si>
  <si>
    <t>JJ63-0813-FC-R-CL</t>
  </si>
  <si>
    <t>JJ63-0750-DH-H-CL</t>
  </si>
  <si>
    <t>JJ63-0750-BR-R-CL</t>
  </si>
  <si>
    <t>JJ63-0724-K-R-CL</t>
  </si>
  <si>
    <t>JJ63-0681-BR-R-CL</t>
  </si>
  <si>
    <t>JJ63-0650-CB-R-CL</t>
  </si>
  <si>
    <t>JJ63-0600-RH-R-CL</t>
  </si>
  <si>
    <t>JJ63-0550-HX-H-CL</t>
  </si>
  <si>
    <t>JJ63-0500-S-Q-CL</t>
  </si>
  <si>
    <t>JJ63-0500-RH-R-CL</t>
  </si>
  <si>
    <t>JJ63-0500-M-R-AM</t>
  </si>
  <si>
    <t>JJ63-0425-E-R-CL</t>
  </si>
  <si>
    <t>JJ63-0400-SH-S-WH</t>
  </si>
  <si>
    <t>JJ63-0400-SH-S-AM</t>
  </si>
  <si>
    <t>JJ63-0400-RH-R-CL</t>
  </si>
  <si>
    <t>JJ63-0400-HX-H-CL</t>
  </si>
  <si>
    <t>JJ63-0400-EH-R-CL</t>
  </si>
  <si>
    <t>JJ63-0350-R-R-CL</t>
  </si>
  <si>
    <t>JJ63-0350-NH-R-CL</t>
  </si>
  <si>
    <t>JJ63-0350-EH-R-CL</t>
  </si>
  <si>
    <t>JJ63-0336-K-R-CL</t>
  </si>
  <si>
    <t>JJ63-0320-S-Q-CL</t>
  </si>
  <si>
    <t>JJ63-0320-R-R-CL</t>
  </si>
  <si>
    <t>JJ63-0310-R-R-CL</t>
  </si>
  <si>
    <t>JJ63-0300-R-R-CL</t>
  </si>
  <si>
    <t>JJ63-0275-FB-R-CL</t>
  </si>
  <si>
    <t>JJ63-0270-E-Q-CL</t>
  </si>
  <si>
    <t>JJ63-0250-R-R-CL</t>
  </si>
  <si>
    <t>JJ63-0240-R-R-CL</t>
  </si>
  <si>
    <t>JJ63-0235-R-R-CL</t>
  </si>
  <si>
    <t>JJ63-0200-S-Q-CL</t>
  </si>
  <si>
    <t>JJ63-0200-R-R-CL</t>
  </si>
  <si>
    <t>C90-T/E-I/L-R/S-A-GREEN</t>
  </si>
  <si>
    <t>C90-T/E-I/L-R/S-A-BLUE</t>
  </si>
  <si>
    <t>C63-T/E-R/S-YELLOW WITH P.E WAD (ASEM)</t>
  </si>
  <si>
    <t>C63-T/E-R/S-YELLOW</t>
  </si>
  <si>
    <t>C63-T/E-R/S-WHITE</t>
  </si>
  <si>
    <t>C63-T/E-R/S-VIOLET</t>
  </si>
  <si>
    <t>C63-T/E-R/S-RED</t>
  </si>
  <si>
    <t>C63-T/E-R/S-PINK</t>
  </si>
  <si>
    <t>C63-T/E-R/S-ORANGE</t>
  </si>
  <si>
    <t>C63-T/E-R/S-GREEN</t>
  </si>
  <si>
    <t>C63-T/E-R/S-GOLD</t>
  </si>
  <si>
    <t>C63-T/E-R/S-D.GREEN</t>
  </si>
  <si>
    <t>C63-T/E-R/S-BROWN</t>
  </si>
  <si>
    <t>C63-T/E-R/S-BRONZE</t>
  </si>
  <si>
    <t>C63-T/E-R/S-BLUE</t>
  </si>
  <si>
    <t>C63-T/E-R/S-BLACK</t>
  </si>
  <si>
    <t>C63-T/E-R/S PRO.BLUE WITH P.E WAD (ASEM)</t>
  </si>
  <si>
    <t>C63-T/E-R/S BLACK WITH P.E WAD (ASEM)</t>
  </si>
  <si>
    <t>C63-T/E-R/S BERYLS GOLD</t>
  </si>
  <si>
    <t>C63-T/E-R/S BERYLS BRONZE</t>
  </si>
  <si>
    <t>C63-D/C 7H YELLOW</t>
  </si>
  <si>
    <t>C63-D/C 7H WHITE W IND SEAL W/EAR (ASEM)</t>
  </si>
  <si>
    <t>C63-D/C 7H WHITE</t>
  </si>
  <si>
    <t>C63-D/C 7H SILVER W IND SEAL W/EAR(ASEM)</t>
  </si>
  <si>
    <t>C63-D/C 7H RED W IND SEAL W/EAR (ASEM)</t>
  </si>
  <si>
    <t>C63-D/C 7H RED MAGGI WITH UNI-GARD (ASEM</t>
  </si>
  <si>
    <t>C63-D/C 7H RED</t>
  </si>
  <si>
    <t>C63-D/C 7H GREEN</t>
  </si>
  <si>
    <t>C63-D/C 7H BLUE W ACT SEAL (ASEM)</t>
  </si>
  <si>
    <t>C63-D/C 7H BLACK</t>
  </si>
  <si>
    <t>C63-D/C 6H BLACK W IND SEAL W/EAR (ASEM)</t>
  </si>
  <si>
    <t>C63-D/C 3H WHITE</t>
  </si>
  <si>
    <t>C63-BUNG WHITE</t>
  </si>
  <si>
    <t>C63-BUNG CLEAR</t>
  </si>
  <si>
    <t>C38-T/E-R/S-YELLOW</t>
  </si>
  <si>
    <t>C38-T/E-R/S-WHITE</t>
  </si>
  <si>
    <t>C38-T/E-R/S-RED</t>
  </si>
  <si>
    <t>C38-T/E-R/S-ORANGE</t>
  </si>
  <si>
    <t>C38-T/E-R/S-GREEN WITH P.E WAD (ASEM)</t>
  </si>
  <si>
    <t>C38-T/E-R/S-BLUE WITH P.E WAD (ASEM)</t>
  </si>
  <si>
    <t>C38-T/E-R/S-BLUE</t>
  </si>
  <si>
    <t>C38-T/E-R/S-BLACK</t>
  </si>
  <si>
    <t>C38-T/E-R/S RED WITH P.E WAD (ASEM)</t>
  </si>
  <si>
    <t>C38-T/E-I/L-R/S-WHITE</t>
  </si>
  <si>
    <t>C38-T/E-I/L-R/S-RED</t>
  </si>
  <si>
    <t>C38-T/E-I/L-R/S-BLACK</t>
  </si>
  <si>
    <t>C38-T/E-I/L-C/S-WHITE</t>
  </si>
  <si>
    <t>C38-T/E-I/L-C/S-VIOLET</t>
  </si>
  <si>
    <t>C38-T/E-I/L-C/S-BRONZE</t>
  </si>
  <si>
    <t>C38-T/E-I/L-C/S-BLUE</t>
  </si>
  <si>
    <t>C38-T/E-C/S-WHITE</t>
  </si>
  <si>
    <t>C38-T/E-C/S-VIOLET</t>
  </si>
  <si>
    <t>C38-T/E-C/S-ORANGE</t>
  </si>
  <si>
    <t>C38-T/E-C/S-GREEN</t>
  </si>
  <si>
    <t>C38-T/E-C/S-BRONZE</t>
  </si>
  <si>
    <t>C38-T/E-C/S-BLUE</t>
  </si>
  <si>
    <t>C38-T/E-C/S ORANGE (LOOSE PACKING)</t>
  </si>
  <si>
    <t>C28-R/S-FLIP TOP ORANGE</t>
  </si>
  <si>
    <t>C28-EZY CAP YELLOW</t>
  </si>
  <si>
    <t>C28-EZY CAP BLACK</t>
  </si>
  <si>
    <t>C28-C/S-FLIP TOP WHITE</t>
  </si>
  <si>
    <t>C28-C/S-FLIP TOP ORANGE</t>
  </si>
  <si>
    <t>C28-C/S-FLIP TOP GREEN</t>
  </si>
  <si>
    <t>C28-C/S-FLIP TOP GOLD</t>
  </si>
  <si>
    <t>C28-C/S-FLIP TOP D.GREEN</t>
  </si>
  <si>
    <t>C28-C/S-FLIP TOP BROWN</t>
  </si>
  <si>
    <t>C28-C/S-FLIP TOP BLUE</t>
  </si>
  <si>
    <t>C28-C/S-FLIP TOP BLACK</t>
  </si>
  <si>
    <t>C110-HANDLE CAP PINK</t>
  </si>
  <si>
    <t>C110-HANDLE CAP GREY</t>
  </si>
  <si>
    <t>BX38-2200-BL-H-R-CL (WHITE) ASEM</t>
  </si>
  <si>
    <t>BX38-2200-BL-H-R-CL (GREEN) ASEM</t>
  </si>
  <si>
    <t>BX38-2000-GH-R-CL (GREEN) (ASEM)</t>
  </si>
  <si>
    <t>BX38-1083-RN-R-CL</t>
  </si>
  <si>
    <t>BX38-1000-RM-R-CL</t>
  </si>
  <si>
    <t>BX38-1000-GH-R-CL(GREEN) (ASEM)</t>
  </si>
  <si>
    <t>BX38-0320-KR-R-CL</t>
  </si>
  <si>
    <t>BX38-0300-C-R-CL</t>
  </si>
  <si>
    <t>BX38-0300-C-R-AM</t>
  </si>
  <si>
    <t>BX38-0250-RM-R-CL</t>
  </si>
  <si>
    <t>BX38-0150-C-R-WH</t>
  </si>
  <si>
    <t>BX38-0150-C-R-AM</t>
  </si>
  <si>
    <t>BX38-0100-S-S-CL</t>
  </si>
  <si>
    <t>BX38-0100-C-R-CL</t>
  </si>
  <si>
    <t>BX38-0100-C-R-AM</t>
  </si>
  <si>
    <t>BX38-0100C-B WHITE</t>
  </si>
  <si>
    <t>BX38-0075-R-R-CL</t>
  </si>
  <si>
    <t>BW38-0500-LS-R-RED</t>
  </si>
  <si>
    <t>BW38-0500-KT-Q-CL</t>
  </si>
  <si>
    <t>BW38-0500-K-Q-CL</t>
  </si>
  <si>
    <t>BW38-0375-K-Q-CL</t>
  </si>
  <si>
    <t>BW38-0280-LS-R-RED</t>
  </si>
  <si>
    <t>BW38-0250-K-Q-CL</t>
  </si>
  <si>
    <t>BS38-0250-RJ-R-CL</t>
  </si>
  <si>
    <t>BD24-0240-R-R-CL</t>
  </si>
  <si>
    <t>BD24-0240-R-R-AM</t>
  </si>
  <si>
    <t>BD24-0150-C-R-WH</t>
  </si>
  <si>
    <t>BD24-0150-C-R-VL</t>
  </si>
  <si>
    <t>BD24-0150-C-R-DBL</t>
  </si>
  <si>
    <t>BD24-0150-C-R-AM</t>
  </si>
  <si>
    <t>BCY28-0750-W-R-CL</t>
  </si>
  <si>
    <t>BCY28-0500-W-R-CL</t>
  </si>
  <si>
    <t>BCY28-0500-TR-R-CL</t>
  </si>
  <si>
    <t>BCY28-0500-T-R-CL</t>
  </si>
  <si>
    <t>BC28-1000-S-S-CL</t>
  </si>
  <si>
    <t>BC28-1000-K-R-CL</t>
  </si>
  <si>
    <t>BC28-0750-K-R-CL</t>
  </si>
  <si>
    <t>BC28-0500-WNHP-R-BR</t>
  </si>
  <si>
    <t>BC28-0500-CSD-R-CL</t>
  </si>
  <si>
    <t>BC28-0375-K-R-CL</t>
  </si>
  <si>
    <t>BC28-0355-A-Q-CL</t>
  </si>
  <si>
    <t>BC28-0350-GE-R-BL</t>
  </si>
  <si>
    <t>BC28-0350-GE-R-AM</t>
  </si>
  <si>
    <t>BC28-0300-PC-R-CL</t>
  </si>
  <si>
    <t>BC28-0280-HD-Q-AM</t>
  </si>
  <si>
    <t>BC28-0270-CW-R-W (ASEM)</t>
  </si>
  <si>
    <t>BC28-0265-RB-Q-CL</t>
  </si>
  <si>
    <t>BC28-0265-A-Q-CL</t>
  </si>
  <si>
    <t>BC28-0250-S-S-CL</t>
  </si>
  <si>
    <t>BC28-0250-M-R-AM</t>
  </si>
  <si>
    <t>BC28-0200-SB-R-OPAQUE BROWN</t>
  </si>
  <si>
    <t>BC28-0155-M-R-CL</t>
  </si>
  <si>
    <t>BC28-0155-M-R-AM</t>
  </si>
  <si>
    <t>BC28-0150-M-R-CL</t>
  </si>
  <si>
    <t>BC28-0150-A3-Q-CL</t>
  </si>
  <si>
    <t>BC28-0100-M-R-BR</t>
  </si>
  <si>
    <t>BB38-2000-K2-S-CL</t>
  </si>
  <si>
    <t>BB38-2000-HR-R-CL(RED) (ASEM)</t>
  </si>
  <si>
    <t>BB38-2000-H-R-CL(YELLOW) (ASEM)</t>
  </si>
  <si>
    <t>BB38-2000-H-R-CL(WHITE) (ASEM)</t>
  </si>
  <si>
    <t>BB38-2000-H-R-CL(RED) (ASEM)</t>
  </si>
  <si>
    <t>BB38-2000-H-R-CL(GREEN) (ASEM)</t>
  </si>
  <si>
    <t>BB38-1000-S-S-CL</t>
  </si>
  <si>
    <t>BB38-1000-R-R-CL</t>
  </si>
  <si>
    <t>BB38-1000-H-R-CL(YELLOW) (ASEM)</t>
  </si>
  <si>
    <t>BB38-1000-H-R-CL(GREEN) (ASEM)</t>
  </si>
  <si>
    <t>BB38-1000-HC-S-CL</t>
  </si>
  <si>
    <t>BB38-1000-C-R-CL</t>
  </si>
  <si>
    <t>BB38-1000-CN-R-CL</t>
  </si>
  <si>
    <t>BB38-0500-S-S-CL</t>
  </si>
  <si>
    <t>BB38-0500-R-R-WH</t>
  </si>
  <si>
    <t>BB38-0500-R-R-CL</t>
  </si>
  <si>
    <t>BB38-0500-RC-R-CL</t>
  </si>
  <si>
    <t>BB38-0500-PM-R-CL</t>
  </si>
  <si>
    <t>BB38-0250-S-S-CL</t>
  </si>
  <si>
    <t>BB38-0250-R-R-WH</t>
  </si>
  <si>
    <t>BB38-0250-R-R-CL</t>
  </si>
  <si>
    <t>BB38-0165-RH-R-CL</t>
  </si>
  <si>
    <t>BB38-0165-RH-R-AM</t>
  </si>
  <si>
    <t>BB38-0090-R-R-AM</t>
  </si>
  <si>
    <t>BB38-0060-R-R-CL</t>
  </si>
  <si>
    <t>BB38-0060-R-R-AM</t>
  </si>
  <si>
    <t>BAA28-0355-FFN-Q-CL</t>
  </si>
  <si>
    <t>BAA28-0355-AR-Q-CL</t>
  </si>
  <si>
    <t>BAA28-0355-A-Q-CL</t>
  </si>
  <si>
    <t>Material Description</t>
  </si>
  <si>
    <t>Material</t>
  </si>
  <si>
    <t>BAA28-0355-FFN3-Q-CL</t>
  </si>
  <si>
    <t>BB38-0300-C-R-CL</t>
  </si>
  <si>
    <t>BB38-0350-SB-Q-CL</t>
  </si>
  <si>
    <t>BB38-0750-H-R-CL</t>
  </si>
  <si>
    <t>BB38-1000-H-S-CL</t>
  </si>
  <si>
    <t>BB38-1500-H-R-CL</t>
  </si>
  <si>
    <t>BB38-2000-H-R-CL</t>
  </si>
  <si>
    <t>BB38-2000-HR-R-CL (GREEN) (ASEM)</t>
  </si>
  <si>
    <t>BC28-0150-M-R-BR</t>
  </si>
  <si>
    <t>BC28-0330-P-R-AM</t>
  </si>
  <si>
    <t>BC28-0430-A-Q-CL</t>
  </si>
  <si>
    <t>BC28-0450-FB-R-CL</t>
  </si>
  <si>
    <t>BC28-1000-S-S-COBALT BLUE</t>
  </si>
  <si>
    <t>BW38-0300-K-Q-CL</t>
  </si>
  <si>
    <t>BW38-0510-K-Q-CL</t>
  </si>
  <si>
    <t>BX38-0100-BM-R-AM</t>
  </si>
  <si>
    <t>BX38-0150-C-R-CL</t>
  </si>
  <si>
    <t>BX38-0250-FM-R-CL</t>
  </si>
  <si>
    <t>BX38-0250-FS-R-CL</t>
  </si>
  <si>
    <t>BX38-0250-SM-R-CL</t>
  </si>
  <si>
    <t>BX38-0500-RC-R-CL</t>
  </si>
  <si>
    <t>BX38-1000-CN-R-CL</t>
  </si>
  <si>
    <t>BX38-1000-HC-S-CL</t>
  </si>
  <si>
    <t>C28-C/S-FLIP TOP VIOLET</t>
  </si>
  <si>
    <t>C28-CHILD PROFF CAP NATURAL (INNER)</t>
  </si>
  <si>
    <t>C28-CHILD PROFF CAP WHITE (ASEM)</t>
  </si>
  <si>
    <t>C28-EZY CAP GREEN</t>
  </si>
  <si>
    <t>C28-EZY CAP RED</t>
  </si>
  <si>
    <t>C32-2PIECE-YELLOW</t>
  </si>
  <si>
    <t>C38-EZY CAP YELLOW</t>
  </si>
  <si>
    <t>C38-T/E-I/L-R/S-ORANGE</t>
  </si>
  <si>
    <t>C38-T/E-R/S-SILVER</t>
  </si>
  <si>
    <t>C38-TEAR SEAL WHITE CAP</t>
  </si>
  <si>
    <t>C63-BUNG GOLD</t>
  </si>
  <si>
    <t>C63-D/C 3H RED</t>
  </si>
  <si>
    <t>C63-D/C 6H ORANGE (BOTTOM)</t>
  </si>
  <si>
    <t>C63-D/C 6H YELLOW (BOTTOM)</t>
  </si>
  <si>
    <t>C63-D/C 6H YELLOW (NEMAR) (TOP)</t>
  </si>
  <si>
    <t>C63-D/C 7H BLUE</t>
  </si>
  <si>
    <t>C63-D/C 7H SILVER</t>
  </si>
  <si>
    <t>C63-T/E-R/S-APPLE GREEN</t>
  </si>
  <si>
    <t>JJ63-0250-S-Q-BR</t>
  </si>
  <si>
    <t>JJ63-0400-EH-R-AM</t>
  </si>
  <si>
    <t>JJ63-0475-FFN-R-CL</t>
  </si>
  <si>
    <t>JJ63-0600-HX-H-CL</t>
  </si>
  <si>
    <t>JN90-2480-R-R-CL</t>
  </si>
  <si>
    <t>JX63-0200-R-R-CL</t>
  </si>
  <si>
    <t>JX63-0235-RN-R-BR</t>
  </si>
  <si>
    <t>JX63-0235-R-R-CL</t>
  </si>
  <si>
    <t>JX63-0475-FFN-R-CL</t>
  </si>
  <si>
    <t>Z-HANDLE - BLUE</t>
  </si>
  <si>
    <t>Z-HANDLE - GREEN</t>
  </si>
  <si>
    <t>Z-HANDLE - RED</t>
  </si>
  <si>
    <t>Z-HANDLE - WHITE</t>
  </si>
  <si>
    <t>Z-HANDLE - YELLOW</t>
  </si>
  <si>
    <t>C63-D/C 7H GREY</t>
  </si>
  <si>
    <t>BB38-1000-H-R-CL(WHITE) (ASEM)</t>
  </si>
  <si>
    <t>BAA28-0355-FFN4-Q-CL</t>
  </si>
  <si>
    <t>BC28-0500-W-R-VL</t>
  </si>
  <si>
    <t>BX38-2250-BL-R-CL</t>
  </si>
  <si>
    <t>BA32-1000-S-S-CL</t>
  </si>
  <si>
    <t>JJ63-0400-SH-S-CL (KIWI LOGO)</t>
  </si>
  <si>
    <t>JJ63-0400-SH-S-AM (KIWI LOGO)</t>
  </si>
  <si>
    <t>BC28-0120-M-R-CL</t>
  </si>
  <si>
    <t>BX38-0100-R-R-CL</t>
  </si>
  <si>
    <t>C38-T/E-I/L-R/S-WHITE WITH P.E WAD (ASEM</t>
  </si>
  <si>
    <t>BC28-0270-CW-R-W</t>
  </si>
  <si>
    <t>JJ63-0600-RH-R-WH</t>
  </si>
  <si>
    <t>C63-T/E-R/S-WHITE WITH ACT SEAL (ASEM)</t>
  </si>
  <si>
    <t>C38-T/E-R/S-YELLOW WITH P.E. WAD (ASEM)</t>
  </si>
  <si>
    <t>BA32-1000-R-R-CL</t>
  </si>
  <si>
    <t>C32-2PIECE-WHITE</t>
  </si>
  <si>
    <t>JJ63-1000-SR-S-CL (648)</t>
  </si>
  <si>
    <t>C28-EZY R/S CAP YELLOW</t>
  </si>
  <si>
    <t>C38 EZY CAP -T.RED &amp; B.YELLOW (LPM)</t>
  </si>
  <si>
    <t>C28-EZY R/S CAP YEL W PP IND SEAL (ASEM)</t>
  </si>
  <si>
    <t>JJ63-0300-DH-R-CL</t>
  </si>
  <si>
    <t>C28-EZY CAP GOLD</t>
  </si>
  <si>
    <t>BX38-1500-H-R-CL-LW(GREEN) (ASEM)</t>
  </si>
  <si>
    <t>BX38-1500-H-R-CL-LW(YELLOW) (ASEM)</t>
  </si>
  <si>
    <t>BC28-0060-M-CL-HW</t>
  </si>
  <si>
    <t>C38-EZY CAP-T.R &amp; B.YEL W PE WAD (ASEM</t>
  </si>
  <si>
    <t>BB38-1500-S-S-CL-LW</t>
  </si>
  <si>
    <t>BC28-0120-M-R-BR</t>
  </si>
  <si>
    <t>C63-D/C 7H D.BLUE</t>
  </si>
  <si>
    <t>BB38-1500-S-S-CL-HW</t>
  </si>
  <si>
    <t>BD24-0150-C-R-CL (HIGH NECK)</t>
  </si>
  <si>
    <t>Material Type</t>
  </si>
  <si>
    <t>PET</t>
  </si>
  <si>
    <t>Inward to W/H (kg)</t>
  </si>
  <si>
    <t>Z-HANDLE-ORANGE</t>
  </si>
  <si>
    <t>SM398</t>
  </si>
  <si>
    <t>SM240</t>
  </si>
  <si>
    <t>MARLEX6007</t>
  </si>
  <si>
    <t>SM6331</t>
  </si>
  <si>
    <t>SM198</t>
  </si>
  <si>
    <t>PP855</t>
  </si>
  <si>
    <t>LDPEG812</t>
  </si>
  <si>
    <t>Balance Qty      (pcs)</t>
  </si>
  <si>
    <t>BS1015-NA 1LTR PE BTL (NATURAL)</t>
  </si>
  <si>
    <t>SM6331+SM240</t>
  </si>
  <si>
    <t>BS0256-NA 250ML PE BTL (NATURAL)</t>
  </si>
  <si>
    <t>BS0336-WH 300ML PP BTL (WHITE)</t>
  </si>
  <si>
    <t>PP2300K</t>
  </si>
  <si>
    <t>LLDPE6201</t>
  </si>
  <si>
    <t>Start up   (%)</t>
  </si>
  <si>
    <t>Net  Weight   (gm)</t>
  </si>
  <si>
    <t xml:space="preserve">M/C  No </t>
  </si>
  <si>
    <t>FS</t>
  </si>
  <si>
    <t>HS</t>
  </si>
  <si>
    <t>BM</t>
  </si>
  <si>
    <t>TECH</t>
  </si>
  <si>
    <t>Remark</t>
  </si>
  <si>
    <t>Labelling Reject</t>
  </si>
  <si>
    <t>AL0512-RD 36MM CAP (RED)</t>
  </si>
  <si>
    <t>Purging</t>
  </si>
  <si>
    <t>PPSB520Y</t>
  </si>
  <si>
    <t>Shift Output</t>
  </si>
  <si>
    <t>Material Used (kg)</t>
  </si>
  <si>
    <t>Run Hours</t>
  </si>
  <si>
    <t>Gross Weight    (gm)</t>
  </si>
  <si>
    <t>BC28-1200-K-R-CL</t>
  </si>
  <si>
    <t>C38-T/E-C/S-BLACK-ITA</t>
  </si>
  <si>
    <t>BW38-0350-SB-R-CL</t>
  </si>
  <si>
    <t xml:space="preserve">Finish Good (Inward-pcs)                To Warehouse         </t>
  </si>
  <si>
    <t>Preform</t>
  </si>
  <si>
    <t>Before Yields</t>
  </si>
  <si>
    <t>1 hours Tgt</t>
  </si>
  <si>
    <t>FG Inwards</t>
  </si>
  <si>
    <t>(PCS)</t>
  </si>
  <si>
    <t>FG</t>
  </si>
  <si>
    <t>D'TIME Hrs</t>
  </si>
  <si>
    <t>PT560</t>
  </si>
  <si>
    <t>HHM5202</t>
  </si>
  <si>
    <t>MARLEXTR144</t>
  </si>
  <si>
    <t>PROD REJECT</t>
  </si>
  <si>
    <t>JJ63-0400-SH-S-CL</t>
  </si>
  <si>
    <t>JJ63-0155-TH-R-CL</t>
  </si>
  <si>
    <t>Reference Card for Production Report</t>
  </si>
  <si>
    <t xml:space="preserve">Last Updated: </t>
  </si>
  <si>
    <t xml:space="preserve">Next Update by: </t>
  </si>
  <si>
    <t>Cavity, pc/shot</t>
  </si>
  <si>
    <t>Part Weight, g/pc</t>
  </si>
  <si>
    <t>Gross Weight, g/pc</t>
  </si>
  <si>
    <t>SAP Routing</t>
  </si>
  <si>
    <t>Process</t>
  </si>
  <si>
    <t>Material (Resin)</t>
  </si>
  <si>
    <t>SAP BOM</t>
  </si>
  <si>
    <t>QAQC w/ tolerance</t>
  </si>
  <si>
    <t>Engineering Flow Chart</t>
  </si>
  <si>
    <t>BC28-0060-M-R-WH-LW</t>
  </si>
  <si>
    <t>BC28-0060-M-R-CL-LW</t>
  </si>
  <si>
    <t>BX38-0075-R-R-AM</t>
  </si>
  <si>
    <t>BX38-0075-R-R-WH</t>
  </si>
  <si>
    <t>BC28-0080-M-R-BR</t>
  </si>
  <si>
    <t>BX38-0100-BM-R-CL</t>
  </si>
  <si>
    <t>BX38-0100-BM-R-BR</t>
  </si>
  <si>
    <t>BX38-2000-H-S-CL</t>
  </si>
  <si>
    <t>BC28-0100-M-R-CL-HW</t>
  </si>
  <si>
    <t>BX38-0100-S-R-WH</t>
  </si>
  <si>
    <t>BB38-0145-C-R-CL</t>
  </si>
  <si>
    <t>BB38-0150-C-R-CL</t>
  </si>
  <si>
    <t>JJ63-0190-E-Q-CL-LW</t>
  </si>
  <si>
    <t>BC28-0200-M-R-CL</t>
  </si>
  <si>
    <t>BX38-0200-S-R-CL</t>
  </si>
  <si>
    <t>BX38-0225-C-R-AM</t>
  </si>
  <si>
    <t>JJ63-0235-RN-R-CL</t>
  </si>
  <si>
    <t>BC28-0250-M-R-CL LW</t>
  </si>
  <si>
    <t>JJ63-0250-S-Q-CL-HW</t>
  </si>
  <si>
    <t>JJ63-0275-R-R-CL</t>
  </si>
  <si>
    <t>JJ63-0300-RH-R-CL</t>
  </si>
  <si>
    <t>BX38-0350-SB-R-CL</t>
  </si>
  <si>
    <t>BA28-0355-A-Q-CL</t>
  </si>
  <si>
    <t>JJ63-0375-SH-Q-CL</t>
  </si>
  <si>
    <t>BC28-0500-W-R-CL</t>
  </si>
  <si>
    <t>BC28-0500-WHF-R-CL</t>
  </si>
  <si>
    <t>JJ63-0500-M-R-CL</t>
  </si>
  <si>
    <t>BC28-0500-RF-R-TB</t>
  </si>
  <si>
    <t>BA28-0500-S-Q-CL</t>
  </si>
  <si>
    <t>BC28-0500-TT-R-CL</t>
  </si>
  <si>
    <t>JJ63-0550-R-R-CL</t>
  </si>
  <si>
    <t>BA28-0550-UP-S-CL</t>
  </si>
  <si>
    <t>BA28-0600-R-R-CL</t>
  </si>
  <si>
    <t>BA28-0640-R-R-CL</t>
  </si>
  <si>
    <t>JJ63-0650-S-S-CL</t>
  </si>
  <si>
    <t>BCX32-0750-W-R-CL</t>
  </si>
  <si>
    <t>JJ63-0750-HX-H-CL-LW</t>
  </si>
  <si>
    <t>BCX32-1000-E-R-CL</t>
  </si>
  <si>
    <t>BA28-1100-UP-S-CL</t>
  </si>
  <si>
    <t>JW110-5000-S-S-CL</t>
  </si>
  <si>
    <t>BB38-0250-RM-R-CL</t>
  </si>
  <si>
    <t>BB38-0250-FS-R-CL</t>
  </si>
  <si>
    <t>BB38-0250-SS-R-CL</t>
  </si>
  <si>
    <t>BB38-0250-RJ-R-CL</t>
  </si>
  <si>
    <t>BB38-0250-FN-R-CL</t>
  </si>
  <si>
    <t>BC28-0280-HD-R-CL-LW</t>
  </si>
  <si>
    <t>BB38-0300-RJ-R-CL</t>
  </si>
  <si>
    <t>BC28-0330-CSD-R-CL-LW</t>
  </si>
  <si>
    <t>BC28-0330-HF-S-CL</t>
  </si>
  <si>
    <t>BC28-0330-HD-Q-CL-LW</t>
  </si>
  <si>
    <t>BC28-0330-P-R-CL</t>
  </si>
  <si>
    <t>BC28-0350-AB-R-CL</t>
  </si>
  <si>
    <t>BC28-0350-P-R-CL</t>
  </si>
  <si>
    <t>BX38-0375-S-R-CL-LW</t>
  </si>
  <si>
    <t>BC28-0500-P-R-CL</t>
  </si>
  <si>
    <t>BC28-0500-KE-S-CL-LW</t>
  </si>
  <si>
    <t>BB38-0750-RJ-R-CL</t>
  </si>
  <si>
    <t>BB38-0810-SV-R-CL</t>
  </si>
  <si>
    <t>BB38-03000-RB3-S-CL</t>
  </si>
  <si>
    <t>BX38-1000-RR-R-CL</t>
  </si>
  <si>
    <t>BB38-1000-N-R-CL</t>
  </si>
  <si>
    <t>BB38-1000-GH-S-CL</t>
  </si>
  <si>
    <t>BC28-1000-SQ-S-CL</t>
  </si>
  <si>
    <t>BC28-1000-SS-S-CL</t>
  </si>
  <si>
    <t>BB38-1500-S-S-CL (DEL)</t>
  </si>
  <si>
    <t>BB38-2000-H-S-CL(RED) (ASEM)</t>
  </si>
  <si>
    <t>BX38-2000-H-S-CL(GREEN) (ASEM)</t>
  </si>
  <si>
    <t>BX38-2000-GH-S-CL</t>
  </si>
  <si>
    <t>BX28-2000-RH-S-CL</t>
  </si>
  <si>
    <t>BX38-1000-GH-R-CL</t>
  </si>
  <si>
    <t>BB38-2000-HR-R-CL</t>
  </si>
  <si>
    <t>C38-T/E-R/S-WHITE WITH PE WAD (ASEM)</t>
  </si>
  <si>
    <t>C38-T/E-I/L-C/S-YELLOW(24433374)NESTLE V</t>
  </si>
  <si>
    <t>C38-T/E-I/L-R/S-GOLD</t>
  </si>
  <si>
    <t>C28-R/S-FLIP TOP RED</t>
  </si>
  <si>
    <t>C28-R/S-FLIP TOP YELLOW</t>
  </si>
  <si>
    <t>C28-R/S-FLIP TOP WHITE</t>
  </si>
  <si>
    <t>C28-R/S-FLIP TOP GREEN (C287185058)</t>
  </si>
  <si>
    <t>C28-R/S-FLIP TOP BLUE</t>
  </si>
  <si>
    <t>C28-R/S-FLIP TOP VIOLET</t>
  </si>
  <si>
    <t>C28-R/S-FLIP TOP D.GREEN</t>
  </si>
  <si>
    <t>C28-CHILD PROFF CAP WHITE (INNER)</t>
  </si>
  <si>
    <t>C110-HANDLE CAP RED</t>
  </si>
  <si>
    <t>C38-T/E-I/L-C/S-RED</t>
  </si>
  <si>
    <t>C38-T/E-R/S-VIOLET</t>
  </si>
  <si>
    <t>C38-T/E-I/L-R/S-BLUE</t>
  </si>
  <si>
    <t>C38-T/E-I/L-R/S-GREEN</t>
  </si>
  <si>
    <t>C38-T/E-I/L-C/S-GREEN</t>
  </si>
  <si>
    <t>C38-T/E-R/S-GREEN - V</t>
  </si>
  <si>
    <t>C63-D/C 7H RED MAGGI</t>
  </si>
  <si>
    <t>C63-D/C 3H YELLOW</t>
  </si>
  <si>
    <t>C63-D/C 3H ORANGE</t>
  </si>
  <si>
    <t>C63-D/C 3H BLUE</t>
  </si>
  <si>
    <t>C38-T/E-C/S-BROWN</t>
  </si>
  <si>
    <t>C38-T/E-C/S-SILVER</t>
  </si>
  <si>
    <t>C38-T/E-I/L-R/S-SP GOLD</t>
  </si>
  <si>
    <t>BB38-1000-RH-R-CL</t>
  </si>
  <si>
    <t>BX38-1000-RH-R-CL</t>
  </si>
  <si>
    <t>BX38-1500-H-R-CL-LW</t>
  </si>
  <si>
    <t>BX38-2000-H-R-CL-LW</t>
  </si>
  <si>
    <t>BC28-0330-POJ-R-CL</t>
  </si>
  <si>
    <t>BCY28-0400-T-R-WH</t>
  </si>
  <si>
    <t>BX38-0750-H-R-CL(WHITE) (ASEM)</t>
  </si>
  <si>
    <t>BB38-1000-H-R-CL(RED) (ASEM)</t>
  </si>
  <si>
    <t>BB38-1000-RH-R-CL(YELLOW) (ASEM)</t>
  </si>
  <si>
    <t>BB38-1000-RH-R-CL(GREEN) (ASEM)</t>
  </si>
  <si>
    <t>BX38-1000-RH-R-CL(GREEN) (ASEM)</t>
  </si>
  <si>
    <t>BB38-1500-H-R-CL(GREEN) (ASEM)</t>
  </si>
  <si>
    <t>BB38-2000-HR-R-CL(YELLOW) (ASEM)</t>
  </si>
  <si>
    <t>BX38-2000-H-R-CL-LW (YELLOW) (ASEM)</t>
  </si>
  <si>
    <t>BX38-2000-RH-R-CL</t>
  </si>
  <si>
    <t>BX38-2000-RH-R-CL(GREEN) (ASEM)</t>
  </si>
  <si>
    <t>BX38-2000-RH-R-CL(YELLOW) (ASEM)</t>
  </si>
  <si>
    <t>BC28-0350-P-R-AM</t>
  </si>
  <si>
    <t>BX38-1000-RN-R-CL</t>
  </si>
  <si>
    <t>C28-CHILD PROFF CAP RED (TOP)</t>
  </si>
  <si>
    <t>C28-CONICAL CAP YELLOW</t>
  </si>
  <si>
    <t>JJ63-0235-RN-R-BR</t>
  </si>
  <si>
    <t>JJ63-0660-S-S-CL</t>
  </si>
  <si>
    <t>BD24-0240-R-R-WH</t>
  </si>
  <si>
    <t>BD24-0150-C-R-CL (LOW NECK)</t>
  </si>
  <si>
    <t>BC28-0150-A-Q-CL-LW</t>
  </si>
  <si>
    <t>BC28-0100-M-R-CL-LW</t>
  </si>
  <si>
    <t>BC28-0100-M-R-WH-HW</t>
  </si>
  <si>
    <t>BC28-0100-M-R-WH-LW</t>
  </si>
  <si>
    <t>BC28-0250-M-R-BR-HW</t>
  </si>
  <si>
    <t>BX38-1000-C-R-WH</t>
  </si>
  <si>
    <t>BX38-1000-C-R-CL-LW</t>
  </si>
  <si>
    <t>BX38-0250-RJ-R-CL-LW</t>
  </si>
  <si>
    <t>BX38-2000-K2-S-CL</t>
  </si>
  <si>
    <t>BB38-2000-RH-R-CL(GREEN) (ASEM)</t>
  </si>
  <si>
    <t>C28-CHILD PROFF CAP YELLOW (TOP)</t>
  </si>
  <si>
    <t>C63-D/C 6H L.BLUE (BOTTOM)</t>
  </si>
  <si>
    <t>BCY28-0500-T2-R-CL</t>
  </si>
  <si>
    <t>C28-SPOUT CAP YELLOW (WIP)</t>
  </si>
  <si>
    <t>BX38-2000-GH-R-CL (WIP)</t>
  </si>
  <si>
    <t>JJ63-0190-EH-Q-CL-HW</t>
  </si>
  <si>
    <t>C63-D/C 7H WH W/O LOGO I/S WIV EAR(ASEM)</t>
  </si>
  <si>
    <t>BC28-0330-CSD-R-BR</t>
  </si>
  <si>
    <t>BC28-0500-WHF-R-AM</t>
  </si>
  <si>
    <t>C63-D/C 7H BLACK W IND SEAL W/EAR (ASEM)</t>
  </si>
  <si>
    <t>BX38-0250-R-R-CL-LW</t>
  </si>
  <si>
    <t>BB38-1000-R-R-WH-HW</t>
  </si>
  <si>
    <t>BC28-0150-A-Q-CL-HW</t>
  </si>
  <si>
    <t>JJ63-0375-S-S-BR-HW</t>
  </si>
  <si>
    <t>BX38-1000-N-R-CL</t>
  </si>
  <si>
    <t>C28-CONICAL CAP RED WIP</t>
  </si>
  <si>
    <t>C28-SPOUT CAP RED (WIP)</t>
  </si>
  <si>
    <t>C90-T/E-I/L-R/S-A-ORANGE</t>
  </si>
  <si>
    <t>JN90-2480-N-R-CL MILO LABEL</t>
  </si>
  <si>
    <t>JN90-2480-N-R-CL POLO LABEL</t>
  </si>
  <si>
    <t>JN90-2480-N-R-CL FOX LABEL</t>
  </si>
  <si>
    <t>JX63-0500-S-S-CL</t>
  </si>
  <si>
    <t>JL63-1000-E-R-CL</t>
  </si>
  <si>
    <t>C63-D/C 7H MAROON W ACT SEAL (ASEM)</t>
  </si>
  <si>
    <t>C63-D/C 7H BLACK W ACT SEAL (ASEM)</t>
  </si>
  <si>
    <t>C63-D/C 7H MAROON</t>
  </si>
  <si>
    <t>C63-T/E-R/S-RED (BERYLS)</t>
  </si>
  <si>
    <t>C28-CHILD PROFF CAP WHITE (TOP)</t>
  </si>
  <si>
    <t>BX38-0640-R-R-CL</t>
  </si>
  <si>
    <t>BX38-2200-BL-R-CL</t>
  </si>
  <si>
    <t>JN90-2480-N-R-CL MILO LABEL NEW</t>
  </si>
  <si>
    <t>BC28-0500-KE-S-CL-HW</t>
  </si>
  <si>
    <t>C63-D/C 6H L.BLUE (NEMAR) (TOP)</t>
  </si>
  <si>
    <t>C63-D/C 7H BLUE (NEMAR) (TOP)</t>
  </si>
  <si>
    <t>C63-D/C 6H D.BLUE (BOTTOM)</t>
  </si>
  <si>
    <t>C38-T/E-I/L-R/S-GREEN W IND SEAL (ASEM)</t>
  </si>
  <si>
    <t>JN90-2480-N-R-CL MILO LB + GRN CAP</t>
  </si>
  <si>
    <t>JN90-2480-N-R-CL POLO LB + BL CAP</t>
  </si>
  <si>
    <t>JN90-2480-N-R-CL FOX LB + ORG CAP</t>
  </si>
  <si>
    <t>BX38-0850-GH-R-CL-LW</t>
  </si>
  <si>
    <t>JJ63-0750-R-R-CL-HW</t>
  </si>
  <si>
    <t>BC28-0250-M-R-CL HW</t>
  </si>
  <si>
    <t>JJ63-0750-R-R-BR-HW</t>
  </si>
  <si>
    <t>C28-R/S-FLIP TOP YELLOW (ASEM)</t>
  </si>
  <si>
    <t>BC28-0750-K2-R-CL-LW</t>
  </si>
  <si>
    <t>BX38-1000-H-R-CL</t>
  </si>
  <si>
    <t>BX38-1000-H-R-CL(YELLOW) ASEM</t>
  </si>
  <si>
    <t>JJ63-0750-HX-H-CL-HW</t>
  </si>
  <si>
    <t>C63-T/E-R/S PRO.BLUE</t>
  </si>
  <si>
    <t>JJ63-0250-S-Q-BR-HW</t>
  </si>
  <si>
    <t>BC28-0750-K2-R-CL-HW</t>
  </si>
  <si>
    <t>BC28-0300-RS-R-OM</t>
  </si>
  <si>
    <t>C63-D/C 6H ORANGE (TOP)</t>
  </si>
  <si>
    <t>C63-D/C 6H YELLOW (TOP)</t>
  </si>
  <si>
    <t>C63-D/C 6H D.BLUE (TOP)</t>
  </si>
  <si>
    <t>C38-EZY CAP-T.R &amp; B.YEL W/ IND SEAL</t>
  </si>
  <si>
    <t>BB38-1000-R-R-WH-LW</t>
  </si>
  <si>
    <t>C38-SPOUT CAP YELLOW WIP</t>
  </si>
  <si>
    <t>C28-SPOUT CAP R/S YELLOW (WIP)</t>
  </si>
  <si>
    <t>C28-SPOUT CAP GOLD (WIP)</t>
  </si>
  <si>
    <t>C28-CONICAL CAP GOLD</t>
  </si>
  <si>
    <t>C63-D/C 6H D.GREEN</t>
  </si>
  <si>
    <t>C63-D/C 6H D.GREEN (BOTTOM)</t>
  </si>
  <si>
    <t>C63-D/C 6H D.GREEN (TOP)</t>
  </si>
  <si>
    <t>BC28-0500-WNHP-R-CL</t>
  </si>
  <si>
    <t>BX38-1000-C-R-CL-HW</t>
  </si>
  <si>
    <t>BX38-0250-R-R-CL-HW</t>
  </si>
  <si>
    <t>BX38-1000-RH-R-CL (YELLOW) (ASEM)</t>
  </si>
  <si>
    <t>BX38-0250-RJ-R-CL-HW</t>
  </si>
  <si>
    <t>BC28-0280-HD-R-CL-HW</t>
  </si>
  <si>
    <t>C28-CONICAL CAP BLUE</t>
  </si>
  <si>
    <t>C28-EZY CAP BLUE</t>
  </si>
  <si>
    <t>C28-R/S-FLIP TOP CLEAR</t>
  </si>
  <si>
    <t>BX38-0500-S-S-CL-LW</t>
  </si>
  <si>
    <t>BX38-0500-S-S-CL-HW</t>
  </si>
  <si>
    <t>BC28-0280-N-CL</t>
  </si>
  <si>
    <t>BC28-0270-KPD-Q-CL</t>
  </si>
  <si>
    <t>BC28-0360-KPD-Q-CL</t>
  </si>
  <si>
    <t>BC28-0280-N-BR</t>
  </si>
  <si>
    <t>BC28-0500-GS-R-GOLD</t>
  </si>
  <si>
    <t>BC28-0750-GS-R-BR</t>
  </si>
  <si>
    <t>BX38-0330-LJ-R-CL</t>
  </si>
  <si>
    <t>JJ63-0500-HX-H-CL</t>
  </si>
  <si>
    <t>BX38-1000-RH-R-CL-WHT-ASEM</t>
  </si>
  <si>
    <t>BX38-0330-R-CL-MTB</t>
  </si>
  <si>
    <t>JX63-0350-R-R-CL</t>
  </si>
  <si>
    <t>C63-D/C 3H BROWN W ACT SEAL (ASEM)</t>
  </si>
  <si>
    <t>BX38-1500-H-R-CL-BLK-ASEM</t>
  </si>
  <si>
    <t>Z-38MM-PP-HANDLE-BLK</t>
  </si>
  <si>
    <t>C63-D/C-3H-BROWN</t>
  </si>
  <si>
    <t>C38-T/E-I/L-C/S-APPLE GREEN</t>
  </si>
  <si>
    <t>JJ63-0330-EH-E-CL</t>
  </si>
  <si>
    <t>BX38-2000-RH-R-CL-ORG-ASEM</t>
  </si>
  <si>
    <t>BC28-0150-A1-Q-CL</t>
  </si>
  <si>
    <t>Z-HANDLE-VIOLET</t>
  </si>
  <si>
    <t>C38-T/E-I/L-C/S-PEARL VIOLET</t>
  </si>
  <si>
    <t>C28-CHILD PROFF CAP-NATURAL-YELLOW-ASEM</t>
  </si>
  <si>
    <t>BC28-0200-M-R-BR</t>
  </si>
  <si>
    <t>BC28-0250-M-R-BR LW</t>
  </si>
  <si>
    <t>BC28-0265-SCC-A-Q-CL</t>
  </si>
  <si>
    <t>BC28-0355-SCC-A-Q-CL</t>
  </si>
  <si>
    <t>BX38-2000-HR-R-CL(RED)(ASEM)</t>
  </si>
  <si>
    <t>BX38-2000-HR-R-CL</t>
  </si>
  <si>
    <t>C38-T/E-I/L-C/S-LIGHT RED</t>
  </si>
  <si>
    <t>BX38-1000-S-S-CL</t>
  </si>
  <si>
    <t>C63-D/C 7H ORANGE</t>
  </si>
  <si>
    <t>BX38-0330-Z-S-CL-HW</t>
  </si>
  <si>
    <t>BC28-0500-S-S-CL</t>
  </si>
  <si>
    <t>JJ63-0500-E-R-CL</t>
  </si>
  <si>
    <t>BX38-0500-S1-S-CL</t>
  </si>
  <si>
    <t>BX38-0330-RJ2-R-CL</t>
  </si>
  <si>
    <t>BC28-0330-CSD-R-CL-HW</t>
  </si>
  <si>
    <t>JJ63-0750-OT-H-CL</t>
  </si>
  <si>
    <t>BC28-0500-R-R-CL</t>
  </si>
  <si>
    <t>C63-T/E-R/S-YELLOW TAMIN W PPR WAD-ASEM</t>
  </si>
  <si>
    <t>C63-T/E-R/S-YELLOW TAMIN</t>
  </si>
  <si>
    <t>BC28-0030-M-CL</t>
  </si>
  <si>
    <t>BX38-0375-S-R-CL-HW</t>
  </si>
  <si>
    <t>BX38-0850-GH-R-CL HW</t>
  </si>
  <si>
    <t>BC28-0850-SQ-R-CL</t>
  </si>
  <si>
    <t>JJ63-1000-E-E-WH</t>
  </si>
  <si>
    <t>BW38-0150-Z-Z-CL-CJA</t>
  </si>
  <si>
    <t>C63-T/E-R/S-WHT W IND SEAL W/EAR (ASEM)</t>
  </si>
  <si>
    <t>BX38-2000-RH-R-CL (WHITE) (ASEM)</t>
  </si>
  <si>
    <t>JJ63-0550-S-Q-CL</t>
  </si>
  <si>
    <t>BC28-0250-Z-S-CL</t>
  </si>
  <si>
    <t>C28-EZY CAP BLUE - PT.ATGN</t>
  </si>
  <si>
    <t>BC28-0750-GS-R-CL</t>
  </si>
  <si>
    <t>JJ63-0700-HX-H-CL</t>
  </si>
  <si>
    <t>C38-T/E-I/L-C/S-L.GOLD</t>
  </si>
  <si>
    <t>BX38-0350-RJ-R-CL</t>
  </si>
  <si>
    <t>C38-T/E-I/L-R/S-BLACK W P.E WAD (ASEM)</t>
  </si>
  <si>
    <t>BX38-0350-Z-R-CL-J3</t>
  </si>
  <si>
    <t>BX38-0350-Z-C-CL</t>
  </si>
  <si>
    <t>C63-D/C 7H BLUE W IND SEAL W/EAR (ASEM)</t>
  </si>
  <si>
    <t>AL0316-BR 28MM NO LOGO CAP (BROWN)</t>
  </si>
  <si>
    <t>AL0316-DBL 28MM NO LOGO CAP (D.BLUE)</t>
  </si>
  <si>
    <t>AL0316-WH 28MM NO LOGO CAP (WHITE)</t>
  </si>
  <si>
    <t>AL0316-YL 28MM NO LOGO CAP (YELLOW)</t>
  </si>
  <si>
    <t>AL0323-BR 37MM COVER (BROWN)</t>
  </si>
  <si>
    <t>AL0323-NA 37MM COVER (NATURAL)</t>
  </si>
  <si>
    <t>AL0323-RD 37MM COVER (RED)</t>
  </si>
  <si>
    <t>AL0386-WH HERBAL JELLY LID (WHITE)</t>
  </si>
  <si>
    <t>AL0391-NA 15ML MEASURING CAP (NATURAL)</t>
  </si>
  <si>
    <t>AL0507-BL 500ML I/C LID (BLUE)</t>
  </si>
  <si>
    <t>AL0507-GR 500ML I/C LID (GREEN)</t>
  </si>
  <si>
    <t>AL0507-PK 500ML I/C LID (PINK)</t>
  </si>
  <si>
    <t>AL0507-WH 500ML I/C LID (WHITE)</t>
  </si>
  <si>
    <t>AL0512-BL 36MM CAP (BLUE)</t>
  </si>
  <si>
    <t>AL0512-DBE 36MM CAP (DARK BEIGE)</t>
  </si>
  <si>
    <t>AL0512-GD 36MM CAP (GOLD)</t>
  </si>
  <si>
    <t>AL0512-GR 36MM CAP (GREEN)</t>
  </si>
  <si>
    <t>AL0512-OR 36MM CAP (ORANGE)</t>
  </si>
  <si>
    <t>AL0512-PK 36MM CAP (PINK)</t>
  </si>
  <si>
    <t>AL0512-VL 36MM CAP (VIOLET)</t>
  </si>
  <si>
    <t>AL0512-WH 36MM CAP (WHITE)</t>
  </si>
  <si>
    <t>AL0512-YL 36MM CAP (YELLOW)</t>
  </si>
  <si>
    <t>AL0556-WH-L 500ML I/C LID (WHITE)</t>
  </si>
  <si>
    <t>AL0597-BE 473ML/500ML I/C LID (BEIGE)</t>
  </si>
  <si>
    <t>AL0597-BK 473ML/500ML I/C LID (BLACK)</t>
  </si>
  <si>
    <t>AL0597-GD 473ML/500ML I/C LID (GOLD)</t>
  </si>
  <si>
    <t>AL0597-GR 473ML/500ML I/C LID (GREEN)</t>
  </si>
  <si>
    <t>AL0597-NA 473ML/500ML I/C LID (NATURAL)</t>
  </si>
  <si>
    <t>AL0597-OR 473ML/500ML I/C LID (ORANGE)</t>
  </si>
  <si>
    <t>AL0597-WH 473ML/500ML I/C LID (WHITE)</t>
  </si>
  <si>
    <t>AL0712-GD 800ML I/C LID (GOLD)</t>
  </si>
  <si>
    <t>AL0712-VL 800ML I/C LID (VIOLET)</t>
  </si>
  <si>
    <t>AL0715-BR 1KG HONEY COVER (BROWN)</t>
  </si>
  <si>
    <t>AL0751-YL 1KG HONEY COVER (YELLOW) HD+LD</t>
  </si>
  <si>
    <t>AL1019-GR 38MM NOZZLE CAP (GREEN)</t>
  </si>
  <si>
    <t>AL1163-BK INSTANT NOODLE BOWL LID(BLACK)</t>
  </si>
  <si>
    <t>AL1203-WH 1.25LTR I/C LID (WHITE)</t>
  </si>
  <si>
    <t>AL1501-VL 1.25LTR I/C LID (VIOLET)</t>
  </si>
  <si>
    <t>AL1501-WH 1.5LTR I/C LID (WHITE)</t>
  </si>
  <si>
    <t>AL1509-WH 1.25/1.5LTR I/C LID (WHITE)</t>
  </si>
  <si>
    <t>AL1511-BL 1.2/1.5LTR I/C LID (BLUE)</t>
  </si>
  <si>
    <t>AL1511-BR 1.5LTR I/C LID (BROWN)</t>
  </si>
  <si>
    <t>AL1511-GR 1.5LTR I/C LID (GREEN)</t>
  </si>
  <si>
    <t>AL1511-WH 1.25/1.5LTR I/C LID (WHITE)</t>
  </si>
  <si>
    <t>AL1526-GR 1.3KG NDC COVER (GREEN)</t>
  </si>
  <si>
    <t>AL1526-GR-2 1.3KG NDC HOLDER (GREEN)</t>
  </si>
  <si>
    <t>AL1526-OR 1.3KG NDC COVER (ORANGE)</t>
  </si>
  <si>
    <t>AL1526-OR-2 1.3KG NDC HOLDER (ORANGE)</t>
  </si>
  <si>
    <t>AL1526-PK 1.3KG NDC COVER (PINK)</t>
  </si>
  <si>
    <t>AL1526-PK-2 1.3KG NDC HOLDER (PINK)</t>
  </si>
  <si>
    <t>AL1526-YL 1.3KG NDC COVER (YELLOW)</t>
  </si>
  <si>
    <t>AL1526-YL-2 1.3KG NDC HOLDER (YELLOW)</t>
  </si>
  <si>
    <t>AL1537-BK 1/1.5/2LTR I/C LID (BLACK)</t>
  </si>
  <si>
    <t>AL1537-BK-L 1/1.5/2LTR I/C LID (BLACK)</t>
  </si>
  <si>
    <t>AL1537-BL 1/1.5/2LTR I/C LID (BLUE)</t>
  </si>
  <si>
    <t>AL1537-GD 1/1.5/2LTR I/C LID (GOLD)</t>
  </si>
  <si>
    <t>AL1537-GR 1/1.5/2LTR I/C LID (GREEN)</t>
  </si>
  <si>
    <t>AL1586-VL 1.5LTR I/C LID (VIOLET)</t>
  </si>
  <si>
    <t>AL1586-YL 1.5LTR I/C LID (YELLOW)</t>
  </si>
  <si>
    <t>AL2012-BK 38MM CAP (BLACK) W/O SEAL</t>
  </si>
  <si>
    <t>AL2013-BL 2LTR I/C LID (BLUE)</t>
  </si>
  <si>
    <t>AL2016-WH 2LTR I/C LID (WHITE)</t>
  </si>
  <si>
    <t>AL3016-BL 3KG COVER (BLUE)</t>
  </si>
  <si>
    <t>AL3016-SL 3KG COVER (SILVER)</t>
  </si>
  <si>
    <t>AL3016-YL 3KG COVER (YELLOW)</t>
  </si>
  <si>
    <t>AL4507-BL 38MM CAP (BLUE)</t>
  </si>
  <si>
    <t>AL4507-GR 38MM CAP (GREEN)</t>
  </si>
  <si>
    <t>AL4507-RD 38MM CAP (RED)</t>
  </si>
  <si>
    <t>AL4507-WH 38MM CAP (WHITE)</t>
  </si>
  <si>
    <t>AL6017-WH 6LTR I/C LID (WHITE)</t>
  </si>
  <si>
    <t>AL6021-NA 6LTR RECT I/C LID (NATURAL)</t>
  </si>
  <si>
    <t>BS0300-NA GBB0300 HDPE BTL (NATURAL)</t>
  </si>
  <si>
    <t>AT0137-WH 100GM NAZRI CONTAINER (WHITE)</t>
  </si>
  <si>
    <t>AT0151-NA 150ML I/C CUP (NATURAL)</t>
  </si>
  <si>
    <t>AT0161-BK 160ML I/C CUP (BLACK)</t>
  </si>
  <si>
    <t>AT0161-NA 160ML I/C CUP (NATURAL)</t>
  </si>
  <si>
    <t>AT0161-NA MINI SUNDAE CUP (NATURAL)</t>
  </si>
  <si>
    <t>AT0215-NA 200ML PP CUP (NATURAL)</t>
  </si>
  <si>
    <t>AT0386-WH HERBAL JELLY TUB (WHITE)</t>
  </si>
  <si>
    <t>AT0473-BK 473ML I/C TUB (BLACK)</t>
  </si>
  <si>
    <t>AT0473-WH 473ML I/C TUB (WHITE)</t>
  </si>
  <si>
    <t>AT0473-YL 473ML I/C TUB (YELLOW)</t>
  </si>
  <si>
    <t>AT0507-BL 500ML I/C TUB (BLUE)</t>
  </si>
  <si>
    <t>AT0507-GR 500ML I/C TUB (GREEN)</t>
  </si>
  <si>
    <t>AT0507-PK 500ML I/C TUB (PINK)</t>
  </si>
  <si>
    <t>AT0507-WH 500ML I/C TUB (WHITE)</t>
  </si>
  <si>
    <t>AT0507-YL 500ML I/C TUB (YELLOW)</t>
  </si>
  <si>
    <t>AT0556-GR 500ML I/C TUB (GREEN)</t>
  </si>
  <si>
    <t>AT0597-NA 500ML I/C TUB (NATURAL)</t>
  </si>
  <si>
    <t>AT0597-WH 500ML I/C TUB (WHITE)</t>
  </si>
  <si>
    <t>AT0712-NA 800ML I/C TUB (NATURAL)</t>
  </si>
  <si>
    <t>AT0926-BK 1LTR I/C TUB (BLACK)</t>
  </si>
  <si>
    <t>AT0926-GR 1LTR I/C TUB (GREEN)</t>
  </si>
  <si>
    <t>AT0926-NA 1LTR I/C TUB (NATURAL)</t>
  </si>
  <si>
    <t>AT1163-BK INSTANT NOODLE BOWL (BLACK)</t>
  </si>
  <si>
    <t>AT1203-WH 1.25LTR I/C TUB (WHITE)</t>
  </si>
  <si>
    <t>AT1255-VL 1.25LTR I/C TUB (VIOLET)</t>
  </si>
  <si>
    <t>AT1255-YL 1.25LTR I/C TUB (YELLOW)</t>
  </si>
  <si>
    <t>AT1257-OR 1.25LTR I/C TUB (ORANGE)</t>
  </si>
  <si>
    <t>AT1257-WH 1.25LTR I/C TUB (WHITE)</t>
  </si>
  <si>
    <t>AT1512-WH 1.5LTR I/C TUB (WHITE)</t>
  </si>
  <si>
    <t>AT1521-BR 1.5LTR I/C TUB (BROWN)</t>
  </si>
  <si>
    <t>AT1521-YL 1.5LTR I/C TUB (YELLOW)</t>
  </si>
  <si>
    <t>AT1537-BK 1.5LTR I/C TUB (BLACK)</t>
  </si>
  <si>
    <t>AT1537-GR 1.5LTR I/C TUB (GREEN)</t>
  </si>
  <si>
    <t>AT1556-GD 1.5LTR CREMO I/C TUB (GOLD)</t>
  </si>
  <si>
    <t>AT1586-VL 1.5LTR I/C TUB (VIOLET)</t>
  </si>
  <si>
    <t>AT1586-YL 1.5LTR I/C TUB (YELLOW)</t>
  </si>
  <si>
    <t>AT2012-BL 2LTR I/C TUB (BLUE)</t>
  </si>
  <si>
    <t>AT2016-WH 2LTR I/C TUB (WHITE)</t>
  </si>
  <si>
    <t>AT2017-BK 2LTR I/C TUB (BLACK)</t>
  </si>
  <si>
    <t>AT2017-BL 2LTR I/C TUB (BLUE)</t>
  </si>
  <si>
    <t>AT2017-GR 2LTR I/C TUB (GREEN)</t>
  </si>
  <si>
    <t>AT2017-NA 2LTR I/C TUB (NATURAL)</t>
  </si>
  <si>
    <t>AT3016-BL 3KG CONTAINER (BLUE)</t>
  </si>
  <si>
    <t>AT3016-YL 3KG CONTAINER (YELLOW)</t>
  </si>
  <si>
    <t>AY0715-BR 1KG HONEY HANDLE (BROWN)</t>
  </si>
  <si>
    <t>AY0751-YL 1KG HONEY HANDLE (YELLOW)</t>
  </si>
  <si>
    <t>BS0045-WH 45ML PE BTL (WHITE)</t>
  </si>
  <si>
    <t>BS0112-DBR 60ML HDPE BTL (D.BROWN)</t>
  </si>
  <si>
    <t>BS0112-WH 60ML HDPE BTL (WHITE)</t>
  </si>
  <si>
    <t>BS0121-NA 120ML PE BTL (NATURAL)</t>
  </si>
  <si>
    <t>BS0182-NA 180ML PP BTL (NATURAL)</t>
  </si>
  <si>
    <t>BS0207-NA 200ML PE BTL (NATURAL)</t>
  </si>
  <si>
    <t>BS0209-NA 200ML PE BTL (NATURAL)</t>
  </si>
  <si>
    <t>BS0213-NA 200ML PE BTL (NATURAL)</t>
  </si>
  <si>
    <t>BS0213-NA 200ML PP BTL (NATURAL)</t>
  </si>
  <si>
    <t>BS0215-NA 180ML PP BTL (NATURAL)</t>
  </si>
  <si>
    <t>BS0217-NA 200ML PE BTL (NATURAL)</t>
  </si>
  <si>
    <t>BS0239-NA 250ML PP BTL (NATURAL)</t>
  </si>
  <si>
    <t>BS0252-NA 250ML PE BTL (NATURAL)</t>
  </si>
  <si>
    <t>BS0255-NA 250ML PE BTL (NATURAL)</t>
  </si>
  <si>
    <t>BS0259-NA 250ML PE BTL (NATURAL)</t>
  </si>
  <si>
    <t>BS0267-BR 250ML PP BTL (BROWN)</t>
  </si>
  <si>
    <t>BS0267-NA 250ML PP BTL (NATURAL)</t>
  </si>
  <si>
    <t>BS0302-NA 300ML HDPE BTL (NATURAL)</t>
  </si>
  <si>
    <t>BS0302-NA 300ML PP BTL (NATURAL)</t>
  </si>
  <si>
    <t>BS0307-NA 300ML PP BTL (NATURAL)</t>
  </si>
  <si>
    <t>BS0308-NA 300ML PP BTL (NATURAL)</t>
  </si>
  <si>
    <t>BS0311-NA 300ML PP BTL (NATURAL)</t>
  </si>
  <si>
    <t>BS0312-NA 300ML PP BTL (NATURAL)</t>
  </si>
  <si>
    <t>BS0313-NA 250ML PP BTL (NATURAL)</t>
  </si>
  <si>
    <t>BS0315-NA 310ML PP BTL (NATURAL)</t>
  </si>
  <si>
    <t>BS0319-NA 310ML PP BTL (NATURAL)</t>
  </si>
  <si>
    <t>BS0323-BR 300ML PP BTL (BROWN)</t>
  </si>
  <si>
    <t>BS0323-NA 300ML PP BTL (NATURAL)</t>
  </si>
  <si>
    <t>BS0323-RD 300ML PP BTL (RED)</t>
  </si>
  <si>
    <t>BS0327-NA 350ML PP BTL (NATURAL)</t>
  </si>
  <si>
    <t>BS0332-NA 300ML PP BTL LW (NATURAL)</t>
  </si>
  <si>
    <t>BS0332-NA 300ML PP BTL HW (NATURAL)</t>
  </si>
  <si>
    <t>BS0332-NA 300ML PP BTL PRESS-ON(NATURAL)</t>
  </si>
  <si>
    <t>BS0336-NA 300ML PP BTL (NATURAL)</t>
  </si>
  <si>
    <t>BS0337-NA 300ML PP BTL (NATURAL)</t>
  </si>
  <si>
    <t>BS0339-NA 300ML PP BTL (NATURAL)</t>
  </si>
  <si>
    <t>BS0347-DBR 350ML PP BTL (D.BROWN)</t>
  </si>
  <si>
    <t>BS0352-NA 300ML PP BTL (NATURAL)</t>
  </si>
  <si>
    <t>BS0361-NA 350ML PP BTL (NATURAL)</t>
  </si>
  <si>
    <t>BS0362-NA 300ML PP BTL (NATURAL)</t>
  </si>
  <si>
    <t>BS0391-NA 300ML PP BTL (NATURAL)</t>
  </si>
  <si>
    <t>BS0507-NA 500ML PP BTL (NATURAL)</t>
  </si>
  <si>
    <t>BS0513-NA 500ML PP BTL (NATURAL)</t>
  </si>
  <si>
    <t>BS0521-NA 500ML PP BTL (NATURAL)</t>
  </si>
  <si>
    <t>BS0571-NA 500ML PP BTL (NATURAL)</t>
  </si>
  <si>
    <t>EBK38-0500-K-Q-BE-PE(S0576)</t>
  </si>
  <si>
    <t>EBK38-0500-K-Q-BR-PE(S0576)</t>
  </si>
  <si>
    <t>EBK38-0500-K-Q-NA-PE(S0576)</t>
  </si>
  <si>
    <t>EBK38-0500-K-Q-YL-PE(S0576)</t>
  </si>
  <si>
    <t>BS0591-NA 500ML PP BTL (NATURAL)</t>
  </si>
  <si>
    <t>BS0751-NA 750ML PP BTL (NATURAL)</t>
  </si>
  <si>
    <t>BS0875-NA 750ML PP BTL (NATURAL)</t>
  </si>
  <si>
    <t>BS0921-RD 1KG PP BTL (RED)</t>
  </si>
  <si>
    <t>BS1012-BR 1LTR PP BTL (BROWN)</t>
  </si>
  <si>
    <t>BS1012-NA 1LTR PP BTL (NATURAL)</t>
  </si>
  <si>
    <t>BS1013-NA 1LTR PP BTL (NATURAL)</t>
  </si>
  <si>
    <t>BS1013-WH 1LTR PP BTL (WHITE)</t>
  </si>
  <si>
    <t>BS1016-NA 1LTR PP BTL (NATURAL)</t>
  </si>
  <si>
    <t>BS1017-NA 1LTR HDPE BTL (NATURAL)</t>
  </si>
  <si>
    <t>BS1017-WH 1LTR HDPE BTL (WHITE)</t>
  </si>
  <si>
    <t>BS1019-NA 1LTR PP BTL (NATURAL)</t>
  </si>
  <si>
    <t>BS1019-RD 1LTR PP BTL (RED)</t>
  </si>
  <si>
    <t>BS1019-YL 1LTR PP BTL (YELLOW)</t>
  </si>
  <si>
    <t>BS1526-NA 1.3KG NDC PP BTL (NATURAL)</t>
  </si>
  <si>
    <t>BS2019-NA 2LTR HDPE BTL (NATURAL)</t>
  </si>
  <si>
    <t>AL2016-BK 1.5L I/C CHOC CHIP MS (ASEM)</t>
  </si>
  <si>
    <t>AL2016-BK 1.5L I/C CHOCOLATE MS (ASEM)</t>
  </si>
  <si>
    <t>AL2016-BK 1.5L I/C NEAPOLITAN MS (ASEM)</t>
  </si>
  <si>
    <t>AL2016-BK 1.5L I/C STRAWBERRY MS (ASEM)</t>
  </si>
  <si>
    <t>AL2016-BK 1.5L I/C SWEET CORN MS (ASEM)</t>
  </si>
  <si>
    <t>AL2016-BK 1.5L I/C VANILLA MS (ASEM)</t>
  </si>
  <si>
    <t>AL2016-BK 1.5L I/C YAM MS (ASEM)</t>
  </si>
  <si>
    <t>AL6018-WH 6LTR I/C LID (WHITE)</t>
  </si>
  <si>
    <t>AT6018-WH 6LTR BUDS I/C TUB (WHITE)</t>
  </si>
  <si>
    <t>AL6020-WH 6LTR/1.5GAL I/C LID (WHITE)</t>
  </si>
  <si>
    <t>AL0501-WH 500ML I/C LID (WHITE)</t>
  </si>
  <si>
    <t>AT0151-NA 150ML I/C CUP (RASAMEWA)</t>
  </si>
  <si>
    <t>AT0151-NA 150ML I/C CUP (SUNTOLIA)</t>
  </si>
  <si>
    <t>AL2016-BK 1.5LTR I/C LID (BLACK) W/O LBL</t>
  </si>
  <si>
    <t>AL1019-RD 38MM NOZZLE CAP (RED)</t>
  </si>
  <si>
    <t>AL0921-RD 38MM CAP (RED)</t>
  </si>
  <si>
    <t>AL0921-GR 38MM CAP (GREEN)</t>
  </si>
  <si>
    <t>AL1537-NA 1/1.5/2LTR I/C LID (NATURAL)</t>
  </si>
  <si>
    <t>AT1026-NA 1LTR I/C TUB (NATURAL)</t>
  </si>
  <si>
    <t>AT0597-BK 500ML I/C TUB (BLACK)</t>
  </si>
  <si>
    <t>AL0597-PK 473ML/500ML I/C LID (PINK)</t>
  </si>
  <si>
    <t>AL0512-DBL 36MM CAP (DARK BLUE)</t>
  </si>
  <si>
    <t>BS0157-NA 150ML PP BTL (NATURAL)</t>
  </si>
  <si>
    <t>AT0129-NA 120ML I/C TUB (NATURAL)</t>
  </si>
  <si>
    <t>AL0132-YL 120ML I/C LID (YELLOW)</t>
  </si>
  <si>
    <t>AL0473-GD 473ML I/C LID (GOLD)</t>
  </si>
  <si>
    <t>BS0478-BR 475ML PP BTL (BROWN)</t>
  </si>
  <si>
    <t>BS0478-YL 475ML PP BTL (YELLOW)</t>
  </si>
  <si>
    <t>AL0478-BR 38MM FLIP CAP (BROWN)</t>
  </si>
  <si>
    <t>AL0478-YL 38MM FLIP CAP (YELLOW)</t>
  </si>
  <si>
    <t>AT1510-WH 1.5LTR I/C TUB (WHITE)</t>
  </si>
  <si>
    <t>BS1019-NA 1LTR PP BTL C/W NOZZLE CAP RED</t>
  </si>
  <si>
    <t>BS0757-NA 750ML HDPE BTL (NATURAL)</t>
  </si>
  <si>
    <t>AT0473-NA 473ml I/C TUB (NATURAL)</t>
  </si>
  <si>
    <t>AL0473-GR 473ML I/C LID (GREEN)</t>
  </si>
  <si>
    <t>AT0597-BL 500ML I/C TUB (BLUE)</t>
  </si>
  <si>
    <t>AY0921-NA INSERT (NATURAL)</t>
  </si>
  <si>
    <t>AL0473-WH 473ML I/C LID (WHITE)</t>
  </si>
  <si>
    <t>AT1537-WH 1.5LTR BIG VALUE I/C TUB</t>
  </si>
  <si>
    <t>AT1521-RD 1.5LTR I/C TUB (RED)</t>
  </si>
  <si>
    <t>AL1537-OR 1.5L I/C NEAPOLITAN BV (ASEM)</t>
  </si>
  <si>
    <t>AL1537-OR 1.5L I/C VANILLA BV (ASEM)</t>
  </si>
  <si>
    <t>AL1537-OR 1.5L I/C CHOCOLATE BV (ASEM)</t>
  </si>
  <si>
    <t>AL3021-NA 3LTR LID (NATURAL)</t>
  </si>
  <si>
    <t>AT3021-RD 3LTR TUB (RED)</t>
  </si>
  <si>
    <t>AT3021-WH 3LTR TUB (WHITE)</t>
  </si>
  <si>
    <t>BS0551-NA 520ML PP BTL (NATURAL)</t>
  </si>
  <si>
    <t>AT0823-NA 750ML I/C TUB (NATURAL)</t>
  </si>
  <si>
    <t>AL0823-PK 750ML I/C LID (PINK)</t>
  </si>
  <si>
    <t>BS0921-BR 1KG PP BTL (BROWN)</t>
  </si>
  <si>
    <t>AL1537-OR 1/1.5/2LTR I/C LID (ORANGE)</t>
  </si>
  <si>
    <t>BS0269-NA 250ML PP BTL (NATURAL)</t>
  </si>
  <si>
    <t>AT4021-WH 4LTR REC I/C TUB (WHITE)</t>
  </si>
  <si>
    <t>AL4021-WH 4LTR RECT I/C LID (WHITE)</t>
  </si>
  <si>
    <t>EBK38-0375-K-Q-YL-PE(S0376)</t>
  </si>
  <si>
    <t>BS0333-NA 300ML PP BTL (NATURAL)</t>
  </si>
  <si>
    <t>AL0597-YL 473ML/500ML I/C LID (YELLOW)</t>
  </si>
  <si>
    <t>AL0512-GY 36MM CAP (GREY)</t>
  </si>
  <si>
    <t>BS0468-NA 400ML PP BTL (NATURAL)</t>
  </si>
  <si>
    <t>BS2021-NA 2LTR HDPE BTL (NATURAL)</t>
  </si>
  <si>
    <t>AL0921-BK 38MM CAP (BLACK)</t>
  </si>
  <si>
    <t>AL0921-YL 38MM CAP (YELLOW)</t>
  </si>
  <si>
    <t>AL0921-BL 38MM CAP (BLUE)</t>
  </si>
  <si>
    <t>AL0715-YL 1KG HONEY COVER (YELLOW) HD</t>
  </si>
  <si>
    <t>AL0715-YL 1KG HONEY COVER (YELLOW) LD</t>
  </si>
  <si>
    <t>AT1015-NA HARWANY PLASTIC BOX (NATURAL)</t>
  </si>
  <si>
    <t>AL1015-GR HARWANY PLASTIC COVER (GREEN)</t>
  </si>
  <si>
    <t>AL1015-BL HARWANY PLASTIC COVER (BLUE)</t>
  </si>
  <si>
    <t>BS1021-NA 1LTR PP BTL (NATURAL)</t>
  </si>
  <si>
    <t>AT0030-OR 20ML CUP (ORANGE)</t>
  </si>
  <si>
    <t>AT0030-GR 20ML CUP (GREEN)</t>
  </si>
  <si>
    <t>AT0257-WH 250ML TUB (WHITE)</t>
  </si>
  <si>
    <t>BS0255-NA 250ML PP BTL (NATURAL)</t>
  </si>
  <si>
    <t>C63-T/E-R/S YLW W IND SEAL W/EAR (ASEM)</t>
  </si>
  <si>
    <t>AT0129-BK 120ML I/C TUB (BLACK)</t>
  </si>
  <si>
    <t>AT1537-GD 1.5LTR I/C TUB (GOLD)</t>
  </si>
  <si>
    <t>AL1537-GD-L 1/1.5/2LTR I/C LID (GOLD)</t>
  </si>
  <si>
    <t>BX38-0330-Z-S-CL-LW</t>
  </si>
  <si>
    <t>C63-D/C 7H PROCESS YELLOW</t>
  </si>
  <si>
    <t>BS0310 NA 310ML PP BTL (NATURAL)</t>
  </si>
  <si>
    <t>AL0473-BK 473ML I/C LID (BLACK)</t>
  </si>
  <si>
    <t>BS0223-NA 200ML PP BTL (NATURAL)</t>
  </si>
  <si>
    <t>BS0316-NA 310ML PP BTL (NATURAL)</t>
  </si>
  <si>
    <t>BC28-0200-SB-R-CL</t>
  </si>
  <si>
    <t>BC28-0375-K-R-BLACK</t>
  </si>
  <si>
    <t>AL0921-BR 38MM CAP (BROWN)</t>
  </si>
  <si>
    <t>AL0512-BR 36MM CAP (BROWN)</t>
  </si>
  <si>
    <t>BS0308-WH 300ML PP BTL (WHITE)</t>
  </si>
  <si>
    <t>BC28-0100-M-R-AM</t>
  </si>
  <si>
    <t>BS0281-NA 280ML PP BTL (NATURAL)</t>
  </si>
  <si>
    <t>AL0473-NA 473ML I/C LID (NATURAL)</t>
  </si>
  <si>
    <t>AL1509-GR 1.25/1.5LTR I/C LID (GREEN)</t>
  </si>
  <si>
    <t>C38-T/E-I/L-C/S-GREEN (C) - V</t>
  </si>
  <si>
    <t>BC28-0090-D-5040-0054</t>
  </si>
  <si>
    <t>C63-T/E-R/S-D.GREEN W IND SEAL (ASEM)</t>
  </si>
  <si>
    <t>BS0353-NA 300ML PP BTL (NATURAL)</t>
  </si>
  <si>
    <t>C28-EZY R/S CAP BLUE W PET IND SEAL-ASEM</t>
  </si>
  <si>
    <t>C28-EZY R/S CAP BLUE</t>
  </si>
  <si>
    <t>JJ63-1000-S-S-CL</t>
  </si>
  <si>
    <t>C63-T/E-R/S-BLACK W/ IND SEAL W/ EAR</t>
  </si>
  <si>
    <t>BC28-0500-GS-R-AM</t>
  </si>
  <si>
    <t>AY0067-NA 60ML PLASTIC SCOOP</t>
  </si>
  <si>
    <t>C38-T/E-I/L-R/S-BRONZE</t>
  </si>
  <si>
    <t>C63-D/C 7H PRO.YELLOW W ACT SEAL (ASEM)</t>
  </si>
  <si>
    <t>C63-T/E-R/S-GOLD 9048</t>
  </si>
  <si>
    <t>C63-T/E-R/S-GOLD 9048 W ACT SEAL (ASEM)</t>
  </si>
  <si>
    <t>BC28-0750-D-R-CL (LOGO)</t>
  </si>
  <si>
    <t>BS0102 100ML INK BTL (NATURAL)</t>
  </si>
  <si>
    <t>AL0102-CY CAP (CYAN)</t>
  </si>
  <si>
    <t>AL0102-MG CAP (MAGENTA)</t>
  </si>
  <si>
    <t>AL0102-YL CAP (YELLOW)</t>
  </si>
  <si>
    <t>BC28-0350-SB-R-CL</t>
  </si>
  <si>
    <t>AL0102-LCY CAP (L.CYAN)</t>
  </si>
  <si>
    <t>AL0102-LMG CAP (L.MAGENTA)</t>
  </si>
  <si>
    <t>AL0102-BK CAP (BLACK)</t>
  </si>
  <si>
    <t>BC28-0170-D-5040-0066</t>
  </si>
  <si>
    <t>AL1537-GR- 1LTR CHOC I/C LID (GREEN)</t>
  </si>
  <si>
    <t>AL1537-GR- 1LTR STRAW I/C LID (GREEN)</t>
  </si>
  <si>
    <t>AL1537-GR- 1LTR VAN I/C LID (GREEN)</t>
  </si>
  <si>
    <t>AL1537-GR- 2LTR CHOC I/C LID (GREEN)</t>
  </si>
  <si>
    <t>AL1537-GR- 2LTR STRAW I/C LID (GREEN)</t>
  </si>
  <si>
    <t>AL1537-GR- 2LTR SWT-CORN I/C LID (GREEN)</t>
  </si>
  <si>
    <t>C35-R/S-F.TOP D.CHOC W IND SEAL (ASEM)</t>
  </si>
  <si>
    <t>C35-R/S-F.TOP STRAW W IND SEAL (ASEM)</t>
  </si>
  <si>
    <t>C35-R/S-F.TOP CARAMEL W IND SEAL (ASEM)</t>
  </si>
  <si>
    <t>C35-R/S-F.TOP D.CHOC</t>
  </si>
  <si>
    <t>C35-R/S-F.TOP STRAWBERRY</t>
  </si>
  <si>
    <t>C35-R/S-F.TOP CARAMEL</t>
  </si>
  <si>
    <t>AL1537-GR- 2LTR DURIAN I/C LID (GREEN)</t>
  </si>
  <si>
    <t>AL1537-GR- 2LTR VANILLA I/C LID (GREEN)</t>
  </si>
  <si>
    <t>AL1537-GR- 2LTR YAM I/C LID (GREEN)</t>
  </si>
  <si>
    <t>BX38-0300-R-R-CL</t>
  </si>
  <si>
    <t>AL1537-BK-2 LTR PECAN I/C LID (BLACK)</t>
  </si>
  <si>
    <t>AL1537-BK-2 LTR PISTA I/C LID (BLACK)</t>
  </si>
  <si>
    <t>AL1537-BK-1 LTR MANGO I/C LID (BLACK)</t>
  </si>
  <si>
    <t>AL1537-BK-1 LTR CHO/CHIP I/C LID (BLACK)</t>
  </si>
  <si>
    <t>AL1537-BK-2 LTR F/CAKE I/C LID (BLACK)</t>
  </si>
  <si>
    <t>BS0320-NA 320ML HOUSSY PP BTL (NATURAL)</t>
  </si>
  <si>
    <t>BC28-0170-D-5040-0530 NON-HP LOGO</t>
  </si>
  <si>
    <t>BC28-0090-D-5040-0529 NON-HP LOGO</t>
  </si>
  <si>
    <t>AL0512-DGR 36MM CAP (DARK GREEN)</t>
  </si>
  <si>
    <t>BC28-0100-R-HV-R-AM</t>
  </si>
  <si>
    <t>BS0215-WH 200ML PP BTL (WHITE)</t>
  </si>
  <si>
    <t>AL0556-0500-I/C-S-WH-L CHOC (ASEM)</t>
  </si>
  <si>
    <t>AL0556-0500-I/C-S-WH-L VANILLA (ASEM)</t>
  </si>
  <si>
    <t>AL0556-WH-L 500ML I/C LID S.BERRY (ASEM)</t>
  </si>
  <si>
    <t>AL0556-WH-L 500ML I/C LID YAM (ASEM)</t>
  </si>
  <si>
    <t>BAA28-0265-AA-SCC-CL</t>
  </si>
  <si>
    <t>BC28-0750-D-R-CL-NO LOGO</t>
  </si>
  <si>
    <t>BX38-0350-R-R-CL</t>
  </si>
  <si>
    <t>AL0556-WH-L 500ML I/C LID DURIAN (ASEM)</t>
  </si>
  <si>
    <t>AL0556-WH-L 500ML I/C LID S/CORN (ASEM)</t>
  </si>
  <si>
    <t>C63-D/C 6H BLACK (BOTTOM)</t>
  </si>
  <si>
    <t>C63-D/C 6H BLACK (TOP)</t>
  </si>
  <si>
    <t>C54-SNAP ON CAP - WHITE (LJ)</t>
  </si>
  <si>
    <t>BCX32-0750-W1-R-CL</t>
  </si>
  <si>
    <t>JJ63-0250-S-Q-BR-HW (KIWI LOGO)</t>
  </si>
  <si>
    <t>BS0045- 45ML PE BTL (NATURAL)</t>
  </si>
  <si>
    <t>BA32-0750-W-R-CL</t>
  </si>
  <si>
    <t>AL4507-BL 38MM CAP (L.BLUE)</t>
  </si>
  <si>
    <t>JJ63-0350-EH-R-CL ASEM ORIGINAL 350G</t>
  </si>
  <si>
    <t>BS0350-NA 350ML PP BTL (NATURAL) KEKO</t>
  </si>
  <si>
    <t>C28-EZY R/S CAP YLW WITH IND. SEAL-ASSEM</t>
  </si>
  <si>
    <t>BC28-0200-R-R-CL</t>
  </si>
  <si>
    <t>BC28-0400-R-R-CL</t>
  </si>
  <si>
    <t>JJ63-0175-R-R-CL</t>
  </si>
  <si>
    <t>BS0350-WH 350ML PP BTL (WHITE) KEKO</t>
  </si>
  <si>
    <t>C28-C/S-FLIP TOP ORANGE 139148-18</t>
  </si>
  <si>
    <t>AL0512-RD 36MM CAP WITH IND. SEAL (RED)</t>
  </si>
  <si>
    <t>AL1537-BK-2 LTR MOCCA I/C LID (BLACK)</t>
  </si>
  <si>
    <t>BA32-1000-R1-R-CL</t>
  </si>
  <si>
    <t>JG63-0175-R-R-AM</t>
  </si>
  <si>
    <t>BC28-0750-D-R1-CL-NO LOGO</t>
  </si>
  <si>
    <t>C63-D/C 7H RED-ACTIVATED SEAL (ASSEM)</t>
  </si>
  <si>
    <t>BS0045- 45ML PP BTL (NATURAL)</t>
  </si>
  <si>
    <t>EBK38-0375-K-Q-B.YL-PE(S0376)</t>
  </si>
  <si>
    <t>AL0323-YL 37MM COVER (YELLOW)</t>
  </si>
  <si>
    <t>BC28-0130-R-R-AM</t>
  </si>
  <si>
    <t>C63-D/C 7H TEAL GREEN PMS3262C</t>
  </si>
  <si>
    <t>AL0512-BL 36MM CAP WITH IND.SEAL (BLUE)</t>
  </si>
  <si>
    <t>BC28-0270-CW-R-CL</t>
  </si>
  <si>
    <t>BC28-0350-GE-R-CL</t>
  </si>
  <si>
    <t>C63-T/E-R/S-VIOLET 2.0</t>
  </si>
  <si>
    <t>C56-Gold Screw Cap with Paper Wad</t>
  </si>
  <si>
    <t>C56-Gold Screw Cap</t>
  </si>
  <si>
    <t>C28-C/S-FLIP TOP NATURAL</t>
  </si>
  <si>
    <t>BX38-0500-S-S-WH-HW</t>
  </si>
  <si>
    <t>BX38-1000-S-S-WH</t>
  </si>
  <si>
    <t>C28-C/S-FLIP TOP WHITE - PKG CENTRE</t>
  </si>
  <si>
    <t>BC28-0060-M-R-WH-HW</t>
  </si>
  <si>
    <t>Z- 35G PET PREFORM</t>
  </si>
  <si>
    <t>BC28-0090-D-APH-5180-3538-PP-6 NOTCHES</t>
  </si>
  <si>
    <t>BS0367-NA 360ML PP BTL (NATURAL)</t>
  </si>
  <si>
    <t>EBK38-0375-K-Q-BL-PE(S0376)</t>
  </si>
  <si>
    <t>AL0556-GR-L 500ML I/C LID DURIAN (ASEM)</t>
  </si>
  <si>
    <t>AT0473-VL 473ML I/C TUB (VIOLET)</t>
  </si>
  <si>
    <t>BX38-0330-Z-C-CL</t>
  </si>
  <si>
    <t>C63-T/E-R/S-BROWN WITH ACT SEAL (ASEM)</t>
  </si>
  <si>
    <t>BB38-1000-ST-R-CL-ITA</t>
  </si>
  <si>
    <t>BC28-0330-HD-Q-CL-HW</t>
  </si>
  <si>
    <t>JJ63-0250-S-Q-CL-LW</t>
  </si>
  <si>
    <t>AL0312-YL 28MM CAP (YELLOW)</t>
  </si>
  <si>
    <t>BC28-0170-D-APH-5180-3539-PP-6 NOTCHES</t>
  </si>
  <si>
    <t>BC28-0750-K4-R-CL-JAPAN</t>
  </si>
  <si>
    <t>JN90-2480-R-R-CL CRUNCH 16G LABEL</t>
  </si>
  <si>
    <t>JJ63-0500-RH-R-AM</t>
  </si>
  <si>
    <t>BC28-0500-D-APH-621005-TR-144S</t>
  </si>
  <si>
    <t>BC28-0500-D-APH-621B05-HDPE5502</t>
  </si>
  <si>
    <t>BX38-0330-Z-S-WH-LW</t>
  </si>
  <si>
    <t>JJ63-0650-HX-H-CL</t>
  </si>
  <si>
    <t>C38-T/E-I/L-C/S-BLACK (C) - V</t>
  </si>
  <si>
    <t>C38-AL0478-R/S FTP BROWN W/ IND SEAL</t>
  </si>
  <si>
    <t>C56-Gold Screw Cap with Aluminium Wad</t>
  </si>
  <si>
    <t>AT0416-NA 400ml I/C TUB (NATURAL)</t>
  </si>
  <si>
    <t>AL0416-BR 400ML I/C LID (BROWN)</t>
  </si>
  <si>
    <t>AL0416-BR 400ML I/C LID (BROWN)CHOC CHIP</t>
  </si>
  <si>
    <t>EBK38-2000-K-S-WH-PE(S2012)</t>
  </si>
  <si>
    <t>BX38-2000-H-S-CL(YELLOW) (ASEM)</t>
  </si>
  <si>
    <t>C36-AL0512-PUNC-BEIGE C/W 3TAB (DELETE)</t>
  </si>
  <si>
    <t>C36-AL0512-PUNC-BLUE C/W 3TAB (DELETE)</t>
  </si>
  <si>
    <t>EBK38-0450-S-S-NA-PP</t>
  </si>
  <si>
    <t>JJ63-0500-M-R-CL-HW</t>
  </si>
  <si>
    <t>C36-AL0512-PUNC-BEIGE C/W 3TAB IND SEAL</t>
  </si>
  <si>
    <t>C36-AL0512-PUNC-BLUE C/W 3TAB IND SEAL</t>
  </si>
  <si>
    <t>BC28-0375-K-R-Tinted Brown</t>
  </si>
  <si>
    <t>C38-T/E-R/S-ORANGE-S</t>
  </si>
  <si>
    <t>C38-T/E-I/L-C/S-GREEN - S</t>
  </si>
  <si>
    <t>ECT28-0360-KF-S-NA-PP</t>
  </si>
  <si>
    <t>BC28-0750-GS-R-BR H/W</t>
  </si>
  <si>
    <t>C38-T/E-I/L-C/S-BLACK (C) - S</t>
  </si>
  <si>
    <t>C38-T/E-I/L-C/S-GREEN (C) – S</t>
  </si>
  <si>
    <t>C38-T/E-R/S-GREEN - S</t>
  </si>
  <si>
    <t>HDPE1010J</t>
  </si>
  <si>
    <t>HDPE1010J/LDPEG812</t>
  </si>
  <si>
    <t>HDPE1010J+LLDPE6201</t>
  </si>
  <si>
    <t>Accumulate    Qty Build(pcs)</t>
  </si>
  <si>
    <t>EBK38-2017-K-S-WHITE-PE(S2017)</t>
  </si>
  <si>
    <t>BC28-0060-M-R-AM-LW</t>
  </si>
  <si>
    <t>Cycle Time, s/shot</t>
  </si>
  <si>
    <t>ISBM</t>
  </si>
  <si>
    <t>INJ</t>
  </si>
  <si>
    <t>EBM</t>
  </si>
  <si>
    <t>C38-T/E-C/S-YELLOW - V</t>
  </si>
  <si>
    <t>C38-T/E-I/L-R/S-YELLOW – V</t>
  </si>
  <si>
    <t>C38-T/E-I/L-R/S-VIOLET</t>
  </si>
  <si>
    <t>C38-T/E-I/L-C/S-YELLOW (C) - V</t>
  </si>
  <si>
    <t>AL0921-BL 38MM CAP (L.BLUE) - S</t>
  </si>
  <si>
    <t>BC28-0056-D-APH-LEB-604001-T</t>
  </si>
  <si>
    <t>C38-T/E-I/L-C/S-ORANGE (C) - V</t>
  </si>
  <si>
    <t>C38-T/E-C/S-BLACK - S</t>
  </si>
  <si>
    <t>BC28-0750-W-R-CL</t>
  </si>
  <si>
    <t>C38-T/E-I/L-C/S-ORANGE (C) - S</t>
  </si>
  <si>
    <t>C38-T/E-I/L-C/S-YELLOW (C) - S</t>
  </si>
  <si>
    <t>C38-T/E-I/L-C/S-GOLD (C) - S</t>
  </si>
  <si>
    <t>BC28-0500-CSD-R-AM</t>
  </si>
  <si>
    <t>C38-T/E-I/L-C/S-WHITE (C) - S</t>
  </si>
  <si>
    <t>C38-FILTER CLEAR SMALL HOLE - S</t>
  </si>
  <si>
    <t>EBK38-1000-K-S-WH-PE(S1017)</t>
  </si>
  <si>
    <t>C38-T/E-I/L-R/S-YELLOW – S</t>
  </si>
  <si>
    <t>C38-T/E-C/S-YELLOW –S</t>
  </si>
  <si>
    <t>C38-T/E-C/S-RED-S</t>
  </si>
  <si>
    <t>C28-C/S-FLIP TOP RED-S</t>
  </si>
  <si>
    <t>Plant</t>
  </si>
  <si>
    <t>Posting Date</t>
  </si>
  <si>
    <t>Prod Order</t>
  </si>
  <si>
    <t>Operation</t>
  </si>
  <si>
    <t>Mat Description</t>
  </si>
  <si>
    <t>Start Date</t>
  </si>
  <si>
    <t>Start time</t>
  </si>
  <si>
    <t>Finish Date</t>
  </si>
  <si>
    <t>Finish time</t>
  </si>
  <si>
    <t>Yield Qty</t>
  </si>
  <si>
    <t>Scrap Qty</t>
  </si>
  <si>
    <t>Un</t>
  </si>
  <si>
    <t>Setup</t>
  </si>
  <si>
    <t>Unit</t>
  </si>
  <si>
    <t>Machine</t>
  </si>
  <si>
    <t>Labor</t>
  </si>
  <si>
    <t>UOM</t>
  </si>
  <si>
    <t>Water/Elect</t>
  </si>
  <si>
    <t>Fuel(H)/Packing(UN)</t>
  </si>
  <si>
    <t>Downtime</t>
  </si>
  <si>
    <t>Reason for Variance</t>
  </si>
  <si>
    <t>Personnel No.</t>
  </si>
  <si>
    <t>Confirmation text</t>
  </si>
  <si>
    <t>Final Confirmation checkbox</t>
  </si>
  <si>
    <t>Clear open reservation checkbox</t>
  </si>
  <si>
    <t>Expiry Date (only for ITA plant)</t>
  </si>
  <si>
    <t>PCE</t>
  </si>
  <si>
    <t>H</t>
  </si>
  <si>
    <t>For YPP34 0010</t>
  </si>
  <si>
    <t>06:00:00</t>
  </si>
  <si>
    <t>18:00:00</t>
  </si>
  <si>
    <t>Shift</t>
  </si>
  <si>
    <t>Shift Date Start</t>
  </si>
  <si>
    <t>Shift Time Start</t>
  </si>
  <si>
    <t>Shift Date End</t>
  </si>
  <si>
    <t>Shift Time End</t>
  </si>
  <si>
    <t>0010</t>
  </si>
  <si>
    <t>0010 (PCS)</t>
  </si>
  <si>
    <t>0020(PCS)</t>
  </si>
  <si>
    <t>Sap No.</t>
  </si>
  <si>
    <t>JO No.
(Prod. Order No.)</t>
  </si>
  <si>
    <t>Cav</t>
  </si>
  <si>
    <t>Actual CT (s)</t>
  </si>
  <si>
    <t>SAP
Target CT (s)</t>
  </si>
  <si>
    <t>Mold Set Up Time (hrs)</t>
  </si>
  <si>
    <t>M/C DT (hrs)</t>
  </si>
  <si>
    <t>0020</t>
  </si>
  <si>
    <t>AL0512-DB36MM CAP W IND.SEAL(D.BEIGE)-V</t>
  </si>
  <si>
    <t>AY0102 RUBBER INSERT (NATURAL) (S)</t>
  </si>
  <si>
    <t>BC28-0056-D-APH-LEB-604001</t>
  </si>
  <si>
    <t>BC28-0056-D-PET-LEB-605001</t>
  </si>
  <si>
    <t>AL0478-BL 38MM FLIP CAP (BLUE)</t>
  </si>
  <si>
    <t>AY0102 RUBBER INSERT (NATURAL) (V)</t>
  </si>
  <si>
    <t>C28-C/S-FLIP TOP RED</t>
  </si>
  <si>
    <t>C38-FILTER CLEAR SMALL HOLE - V</t>
  </si>
  <si>
    <t>C38-T/E-C/S-BLACK - V</t>
  </si>
  <si>
    <t>C38-T/E-C/S-RED</t>
  </si>
  <si>
    <t>C38-T/E-I/L-C/S-BLACK</t>
  </si>
  <si>
    <t>C38-T/E-I/L-C/S-GOLD - V</t>
  </si>
  <si>
    <t>C38-T/E-I/L-C/S-ORANGE</t>
  </si>
  <si>
    <t>C38-T/E-I/L-C/S-YELLOW</t>
  </si>
  <si>
    <t>AT6018-WH 6LTR BUDS I/C TUB (WHITE) 2.0</t>
  </si>
  <si>
    <t>BB38-0060-R-R-WH</t>
  </si>
  <si>
    <t>BC28-0170-D-APH-5180-3539-6N-5mm Pitch</t>
  </si>
  <si>
    <t>BS2017-NA 2LTR HDPE BTL (NATURAL)</t>
  </si>
  <si>
    <t>EBK38-2000-K-R-WH-PE-M&amp;G</t>
  </si>
  <si>
    <t>C63-T/E-R/S-BLACK W ACT SEAL (ASEM) - V</t>
  </si>
  <si>
    <t>C63-T/E-R/S-WHITE WITH P.E WAD (ASEM) -V</t>
  </si>
  <si>
    <t>EBK38-0375-K-Q-BR-PP(S0376)</t>
  </si>
  <si>
    <t>OUJI</t>
  </si>
  <si>
    <t>C28-C/S-FLIP TOP YELLOW (S)</t>
  </si>
  <si>
    <t>C28-C/S-FLIP TOP YELLOW (V)</t>
  </si>
  <si>
    <t>JJ63-0200-R-R-CL FANCY FONDANT (ASEM)</t>
  </si>
  <si>
    <t>AL2012-BK 38MM CAP (BLACK) C/W SEAL ASEM</t>
  </si>
  <si>
    <t>JK57-0350-R-CL-KEKO</t>
  </si>
  <si>
    <t>PF-JK57-24-82-KEKO</t>
  </si>
  <si>
    <t xml:space="preserve">BX38-0750-RJ-R-CL </t>
  </si>
  <si>
    <t>JO97-2200-R-G.BL-PET-SIZE3-OUJI</t>
  </si>
  <si>
    <t>Prod Reject</t>
  </si>
  <si>
    <t>JJ63-0350EH-R-R-CL-S &amp; P COCONUT SPREAD</t>
  </si>
  <si>
    <t>JJ63-0350EH-R-R-CL-SALTED CARAMEL</t>
  </si>
  <si>
    <t>PET CAN</t>
  </si>
  <si>
    <t>BD24-D150-C-R-AM</t>
  </si>
  <si>
    <t>JJ63-0750-SHX-S-CL</t>
  </si>
  <si>
    <t>JJ63-0350-R-R-AM</t>
  </si>
  <si>
    <t>JJ63-0500-RH-R-CL-MAGGI MARIDOR</t>
  </si>
  <si>
    <t>JO97-2200-R-WHITE-PET-SIZE3-OUJI</t>
  </si>
  <si>
    <t>J550S HAZELNUTS</t>
  </si>
  <si>
    <t>30.06.2022</t>
  </si>
  <si>
    <t>PET PF CAN</t>
  </si>
  <si>
    <t>JG63-0175-R-R-AM KNR PED CHIC MYSG(BVI)</t>
  </si>
  <si>
    <t>J550S FRUIT &amp; NUTS</t>
  </si>
  <si>
    <t>31.07.2022</t>
  </si>
  <si>
    <t>BS2200-NA 2.2LTR HDPE BTL (NATURAL)</t>
  </si>
  <si>
    <t>JG63-0175-R-R-AM KNR I.BILIS MYSG (BVI)</t>
  </si>
  <si>
    <t>EBK38-2200-K-S-NA-PE(S2200)</t>
  </si>
  <si>
    <t>BC28-0500-GS2-R-GR</t>
  </si>
  <si>
    <t>JG63-0175-R-R-AM KNR PWD I.BILIS MYSG 120G(BVI)</t>
  </si>
  <si>
    <t>JG63-0175-R-R-AM KNR PED TOM YAM(BVI)</t>
  </si>
  <si>
    <t>JO97-1700-R-G.BL-PET-SIZE 1-OUJI</t>
  </si>
  <si>
    <t>JO97-1700-R-WHITE-PET-SIZE 1-OUJI</t>
  </si>
  <si>
    <t>JG63-0175-R-R-AM KNR PED CHIC NAMSG(BVI)</t>
  </si>
  <si>
    <t>JG63-0175-R-R-AM KNR PED CHIC NAMSG 120G (BVI)</t>
  </si>
  <si>
    <t xml:space="preserve"> </t>
  </si>
  <si>
    <t>BC28-0100-SK-Q-CL-LW</t>
  </si>
  <si>
    <t>JJ63-0750-R-R-CL-LW CK 2.0 A-ALMD (ASEM)</t>
  </si>
  <si>
    <t>BC28-0100-SK2-Q-CL-LW</t>
  </si>
  <si>
    <t>BC28-0130-R-R-CL</t>
  </si>
  <si>
    <t>JG63-0175-R-R-AM KNR PWD I.BILIS NAMSG(BVI)</t>
  </si>
  <si>
    <t>SM399</t>
  </si>
  <si>
    <t>BX38-0250-SM-R-WH</t>
  </si>
  <si>
    <t>JJ63-0310-R-R-WH</t>
  </si>
  <si>
    <t>JJ63-0310-R-R-WH (ASEM)</t>
  </si>
  <si>
    <t>BX38-0250-SM-R-WH  STW BERRY(ASEM)</t>
  </si>
  <si>
    <t>BX38-0250-SM-R-WH  MIX BERRY(ASEM)</t>
  </si>
  <si>
    <t>BX38-0250-SM-R-WH MANGO (ASEM)</t>
  </si>
  <si>
    <t>C35-R/S-F.TOP D.CHOC WITH PP SEAL (ASEM)</t>
  </si>
  <si>
    <t>rPET</t>
  </si>
  <si>
    <t>Date</t>
  </si>
  <si>
    <t>BX38-0175-R-R-AM</t>
  </si>
  <si>
    <t>JJ63-0475-FFN-R-CL-PEACH MENGKUDU (ASEM)</t>
  </si>
  <si>
    <t>BA32-0640-R2-R-CL</t>
  </si>
  <si>
    <t>BC28-0250-M-R-AM-LW</t>
  </si>
  <si>
    <t>SM199</t>
  </si>
  <si>
    <t>PP6331</t>
  </si>
  <si>
    <t>PP6332</t>
  </si>
  <si>
    <t>PP6333</t>
  </si>
  <si>
    <t>PP6334</t>
  </si>
  <si>
    <t>SM241</t>
  </si>
  <si>
    <t>Runner-Kg</t>
  </si>
  <si>
    <t>BX38-0200-R-CL-DM</t>
  </si>
  <si>
    <t>Plan Output</t>
  </si>
  <si>
    <t>Eff%</t>
  </si>
  <si>
    <t>Product</t>
  </si>
  <si>
    <t>Summary Production Machine Efficiency</t>
  </si>
  <si>
    <t>Process
Wastages-kg</t>
  </si>
  <si>
    <t>Process
Wastages %</t>
  </si>
  <si>
    <t>Total Mold Set-Up- Hours</t>
  </si>
  <si>
    <t>Total D'time
Hours</t>
  </si>
  <si>
    <t xml:space="preserve">Supvs Morning </t>
  </si>
  <si>
    <t xml:space="preserve">Supvs Night </t>
  </si>
  <si>
    <t>EBK38-0375-K-Q-NA-PP(S0376)</t>
  </si>
  <si>
    <t>JJ63-0320-S-Q-AM</t>
  </si>
  <si>
    <t>PF-BX38-0056-0130-CL-PET</t>
  </si>
  <si>
    <t>BC28-0170-D-APH-5040-0736-PP-6NOTCHES(NO LOGO)</t>
  </si>
  <si>
    <t>Morning</t>
  </si>
  <si>
    <t>BX38-0200-R-CL-DM-GOLDEN KIWI-STRAWBERRY</t>
  </si>
  <si>
    <t xml:space="preserve">PET </t>
  </si>
  <si>
    <t>C35-R/S-F.TOP GOLD PNCK W  SEAL (ASEM)</t>
  </si>
  <si>
    <t>A18</t>
  </si>
  <si>
    <t>A16</t>
  </si>
  <si>
    <t>C35-R/S-F.TOP D.CHOC W SEAL 2.0 (ASEM)</t>
  </si>
  <si>
    <t>C35-R/S-F.TOP CARAMEL W SEAL 2.0 (ASEM)</t>
  </si>
  <si>
    <t>JJ63-0550-S-Q-CL ALMOND MSI (ASEM)</t>
  </si>
  <si>
    <t>JJ63-0550-S-Q-CL HAZELNUTS MSI (ASEM)</t>
  </si>
  <si>
    <t>BRAVAN</t>
  </si>
  <si>
    <t>A21</t>
  </si>
  <si>
    <t>HDPE5403A</t>
  </si>
  <si>
    <t>BS0155-NA-KEFIR-M.KISAH</t>
  </si>
  <si>
    <t>BS0155-NA-KEFIR-BERRIES</t>
  </si>
  <si>
    <t>BS0155-NA-KEFIR-MANGGA PIC</t>
  </si>
  <si>
    <t>AL0512-BK-36MM CAP (BLACK) W/IND SEAL</t>
  </si>
  <si>
    <t>B54-5000-S-CL-HDPE</t>
  </si>
  <si>
    <t>C35-R/S-F.TOP STRAW W IND SEAL 2.0 (ASEM)</t>
  </si>
  <si>
    <t>BS0155-NA 150ML PE BTL (NATURAL)</t>
  </si>
  <si>
    <t>BC28-0200-R-R-CL HW</t>
  </si>
  <si>
    <t>REJECTION %</t>
  </si>
  <si>
    <t>JJ63-0750-R-R-CL-LW</t>
  </si>
  <si>
    <t>BX38-0250-SM-R-WH-ORI (ASEM)</t>
  </si>
  <si>
    <t>AL4507-BLK 38MM CAP (BLACK)</t>
  </si>
  <si>
    <t>JJ63-0190-Q-CL-LW-CRISPY(ASEM)V2</t>
  </si>
  <si>
    <t>BC28-0500-GS2-R-AM</t>
  </si>
  <si>
    <t>JJ63-0240-R-R-CL-ANTILEAK WF (ASEM)</t>
  </si>
  <si>
    <t>AL0921-PK 38MM CAP (PINK) S</t>
  </si>
  <si>
    <t>JJ63-0240-R-R-CL GOLD PAINT (ASEM)</t>
  </si>
  <si>
    <t>EBK38-2017-K-S-BEIGE-HDPE</t>
  </si>
  <si>
    <t>BX38-0150-R-R-AM</t>
  </si>
  <si>
    <t>BX38-2000-HR-R-CL(GREEN)(ASEM)</t>
  </si>
  <si>
    <t>A23</t>
  </si>
  <si>
    <t>EBK38-2000-K-R-WH-PE-R2-M&amp;G</t>
  </si>
  <si>
    <t>A9</t>
  </si>
  <si>
    <t>JJ63-0750-R-R-CL-LW CK 2.0 C-ALMD (ASEM)</t>
  </si>
  <si>
    <t>JJ63-0750-R-R-CL-LW CK 3.0 C-ALMD (ASEM)</t>
  </si>
  <si>
    <t>BCY28-0400-T-R-WH-POWER MAX</t>
  </si>
  <si>
    <t>Prod / QC /Other</t>
  </si>
  <si>
    <t>Idle DT</t>
  </si>
  <si>
    <t>-</t>
  </si>
  <si>
    <t>WIP Opening
(pcs)</t>
  </si>
  <si>
    <t>Qty Order
(pcs)</t>
  </si>
  <si>
    <t>Start up(kg)</t>
  </si>
  <si>
    <t>Part
 Scrap</t>
  </si>
  <si>
    <t xml:space="preserve">                                   For YPP34 0020</t>
  </si>
  <si>
    <t>WIP Closing
(pcs)</t>
  </si>
  <si>
    <t>JJ63-0190-E-Q-CL-LW CRISPY (ASEM)V3</t>
  </si>
  <si>
    <t>MTC</t>
  </si>
  <si>
    <t>JJ63-0400-SH-S-CL-rPET</t>
  </si>
  <si>
    <t>JJ63-0336-K-R-CL-HW</t>
  </si>
  <si>
    <t>SHORT</t>
  </si>
  <si>
    <t>BC28-0750-K4-R-CL-JAPAN (55g)</t>
  </si>
  <si>
    <t>A14</t>
  </si>
  <si>
    <t>Nagin</t>
  </si>
  <si>
    <t>BX38-1000-RN-R-CL-rPET 0.2</t>
  </si>
  <si>
    <t>JJ63-0550-S-Q-CL ALMOND D24 (ASEM)</t>
  </si>
  <si>
    <t>JJ63-0550-S-Q-CL FRUIT&amp;NUTS D24 (ASEM)</t>
  </si>
  <si>
    <t>JJ63-0550-S-Q-CL HAZELNUTS D24 (ASEM)</t>
  </si>
  <si>
    <t>EBK38-2000-K-R-BE-PE-M&amp;G</t>
  </si>
  <si>
    <t>EBK38-2000-K-S-CREAM-PE DVG</t>
  </si>
  <si>
    <t xml:space="preserve">BC28-0750-K4-R-CL (55g)  </t>
  </si>
  <si>
    <t>JJ63-0310-R-R-CL-HW</t>
  </si>
  <si>
    <t>BX38-1000-RN-R-CL-rPET 1.0</t>
  </si>
  <si>
    <t>BC28-1000--R-CL</t>
  </si>
  <si>
    <t>JJ63-0190-E-Q-CL-LW CRISPY (ASEM)V4</t>
  </si>
  <si>
    <t>JJ63-0190-E-Q-CL-LW HAZEL NUT (ASEM)</t>
  </si>
  <si>
    <t>JJ63-0190-E-Q-CL-LW SALT CML  (ASEM)</t>
  </si>
  <si>
    <t>JJ63-0350EH-R-R-CL-CRISPY(ASEM)</t>
  </si>
  <si>
    <t>JJ63-0350EH-R-R-CL-HAZEL NUT(ASEM)</t>
  </si>
  <si>
    <t>JJ63-0350EH-R-R-CL-SALT CML</t>
  </si>
  <si>
    <t>EBK38-2012-K-S-CREAM-HDPE-DVG</t>
  </si>
  <si>
    <t>C38-T/E-I/L-C/S-WHITE (E) - V</t>
  </si>
  <si>
    <t>BA32-1000-R2-R-CL-KKM</t>
  </si>
  <si>
    <t>SM840</t>
  </si>
  <si>
    <t>T-0226-BR-HERS-PP</t>
  </si>
  <si>
    <t>L-0226-BR-HERS-PP</t>
  </si>
  <si>
    <t>PACKER  NAME</t>
  </si>
  <si>
    <t>BC28-0090-D-APH-5040-0735-PP-6 NOTCHES(NON LOGO)</t>
  </si>
  <si>
    <t>BC28-0056-D-APH-5081-1368-PP NO LOGO</t>
  </si>
  <si>
    <t>Taufik</t>
  </si>
  <si>
    <t>Prod.     Reject    (%)</t>
  </si>
  <si>
    <t xml:space="preserve">E22-0150-R-GY-HDPE </t>
  </si>
  <si>
    <t>E44-7800-S-NA-FMC-HDPE</t>
  </si>
  <si>
    <t>MARLEX5502</t>
  </si>
  <si>
    <t>E44-3900-S-NA-FMC-HDPE</t>
  </si>
  <si>
    <t>JJ63-0750-R-R-CL-LW CK 3.0 C MOCHA (ASEM)</t>
  </si>
  <si>
    <t>C25-FLIP TOP SNAP ON ROUND-RED</t>
  </si>
  <si>
    <t>JJ63-0240-RS-R-CL-HW-HIGH DOME</t>
  </si>
  <si>
    <t xml:space="preserve">BC28-0035-D-LEO-601001-PP </t>
  </si>
  <si>
    <t>BC28-0500-D-APH-5040-0758-rHDPE</t>
  </si>
  <si>
    <t>MARLEXTR144+rHDPE GH6100(R75)</t>
  </si>
  <si>
    <t>CF54-0050-R-YL WITH PE LINER RING (ASEM)</t>
  </si>
  <si>
    <t>JK57-0300-R-CL-JJ-PET</t>
  </si>
  <si>
    <t>JJ63-0310-R-R-WH CHEESE(ASEM)</t>
  </si>
  <si>
    <t>JJ63-0600OT-CL-HCSB-PET</t>
  </si>
  <si>
    <t>Material
Descrepancy Inward vs 
Material Used</t>
  </si>
  <si>
    <t>593537-M2</t>
  </si>
  <si>
    <t>BX38-1000-RN-R-CL-rPET 0.2-M2</t>
  </si>
  <si>
    <t>JJ63-0650-HD-CL</t>
  </si>
  <si>
    <t>JJ63-0650HD-CL-PET</t>
  </si>
  <si>
    <t xml:space="preserve"> JJ63-0200-R-R-CL 2.0 FANCY FONDANT (ASEM) </t>
  </si>
  <si>
    <t>JJ63-0240-RS-R-CL</t>
  </si>
  <si>
    <t xml:space="preserve">BX38-0750-R-WH </t>
  </si>
  <si>
    <t>BX38-1500-H-R-CL-LW(WHITE) (ASEM)</t>
  </si>
  <si>
    <t>BX38-0750-R-WH -MIX BERRY(ASEM)</t>
  </si>
  <si>
    <t>BX38-0750-R-WH -MANGO(ASEM)</t>
  </si>
  <si>
    <t>BX38-0750-R-WH -STRAW BERRY(ASEM)</t>
  </si>
  <si>
    <t>Night</t>
  </si>
  <si>
    <t>Product Code</t>
  </si>
  <si>
    <t>PET CZ333</t>
  </si>
  <si>
    <t>PFA32-0410-CL-PET-HF</t>
  </si>
  <si>
    <t>PF-A250-HF</t>
  </si>
  <si>
    <t>BX38-0250-SM-R-WH-AYRAN (ASEM)</t>
  </si>
  <si>
    <t>BX38-0250-SM-R-WH-MIXBERRY V2 (ASEM)</t>
  </si>
  <si>
    <t>BX38-0250-SM-R-WH-MANGO V2 (ASEM)</t>
  </si>
  <si>
    <t>BX38-0250-SM-R-WH-STWBERRY V2 (ASEM)</t>
  </si>
  <si>
    <t>A13</t>
  </si>
  <si>
    <t>BX38-1000-RN-R-CL rPET 0.2-M2</t>
  </si>
  <si>
    <t>BB38-0090-R-R-CL</t>
  </si>
  <si>
    <t>JJ63-0310-R-R-BR</t>
  </si>
  <si>
    <t>Reject
(PCS)</t>
  </si>
  <si>
    <t>Reject
(%)</t>
  </si>
  <si>
    <t>KM17</t>
  </si>
  <si>
    <t>R-HDPE ASTERENE HXM 50100S</t>
  </si>
  <si>
    <t>HDPE5403A+LDPE265YZ</t>
  </si>
  <si>
    <t>C32-BOTTOM CAP-RED-KKM</t>
  </si>
  <si>
    <t>A10</t>
  </si>
  <si>
    <t>A6</t>
  </si>
  <si>
    <t>SM5</t>
  </si>
  <si>
    <t>Y1</t>
  </si>
  <si>
    <t>A5</t>
  </si>
  <si>
    <t>BC28-0056-D-APH-5040-0756-PP</t>
  </si>
  <si>
    <t>KM26</t>
  </si>
  <si>
    <t>B3</t>
  </si>
  <si>
    <t>KM25</t>
  </si>
  <si>
    <t>H2</t>
  </si>
  <si>
    <t>H1</t>
  </si>
  <si>
    <t>A15</t>
  </si>
  <si>
    <t>A17</t>
  </si>
  <si>
    <t>A19</t>
  </si>
  <si>
    <t>JWELL</t>
  </si>
  <si>
    <t>R-PET1</t>
  </si>
  <si>
    <t>Run well.L.test.</t>
  </si>
  <si>
    <t>BA32-0410R-CL-LKK-PET-HF</t>
  </si>
  <si>
    <t>BA32-0250R-CL-LKK-PET-HF</t>
  </si>
  <si>
    <t>BA32-0130R-CL-LKK-PET-HF</t>
  </si>
  <si>
    <t>KingFa NC050</t>
  </si>
  <si>
    <t>BC28-0170-D-APH-5180-3539-PP</t>
  </si>
  <si>
    <t>PET RECRON</t>
  </si>
  <si>
    <t>C38-T/E-I/L-C/S-YELLOW(24433374)NESTLE-S</t>
  </si>
  <si>
    <t>C32- TOP CAP-RED-KKM</t>
  </si>
  <si>
    <t>C32- BOTTOM CAP-RED-KKM</t>
  </si>
  <si>
    <t>LLDPE6101 / HDPE6178</t>
  </si>
  <si>
    <t>C32-2 PIECE-T.RED &amp;.B.RED-KKM (ASEM)-S</t>
  </si>
  <si>
    <t>AEM</t>
  </si>
  <si>
    <t>SM398 / LLDPE6101 / HDPE6178</t>
  </si>
  <si>
    <t>PET CZ333 PF</t>
  </si>
  <si>
    <t>PFA32-0250-CL-PET-HF</t>
  </si>
  <si>
    <t>PFA32-0130-CL-PET-HF</t>
  </si>
  <si>
    <t>BC28-0090-D-APH-5180-3538-PP-PCR</t>
  </si>
  <si>
    <t>A12</t>
  </si>
  <si>
    <t>JG63-0175-R-R-AM KNR PED TOM YAM TITAN(VT)</t>
  </si>
  <si>
    <t>Line mark &amp; black dot.l.test</t>
  </si>
  <si>
    <t xml:space="preserve"> JG63-0175-R-R-AM KNR TOMYAM TITAN(VT) </t>
  </si>
  <si>
    <t>Under tech.Thickness.</t>
  </si>
  <si>
    <t>Oily mark &amp; pull ring broken</t>
  </si>
  <si>
    <t>KM16</t>
  </si>
  <si>
    <t>Labelling.</t>
  </si>
  <si>
    <t>R-HDPE ESTERENE HXM 50100S</t>
  </si>
  <si>
    <t>PPG 10LTR</t>
  </si>
  <si>
    <t>SAMPLE</t>
  </si>
  <si>
    <t>NA</t>
  </si>
  <si>
    <t>SOJIB</t>
  </si>
  <si>
    <t>Sample.</t>
  </si>
  <si>
    <t>Black dot.L.test.</t>
  </si>
  <si>
    <t>HABIRAMI</t>
  </si>
  <si>
    <t>RAIS</t>
  </si>
  <si>
    <t>MOGANA</t>
  </si>
  <si>
    <t>JEGA</t>
  </si>
  <si>
    <t>NIKHIL</t>
  </si>
  <si>
    <t>BHOLA</t>
  </si>
  <si>
    <t>AISHAH</t>
  </si>
  <si>
    <t>NIRAJAN</t>
  </si>
  <si>
    <t>HAS</t>
  </si>
  <si>
    <t>RAHI</t>
  </si>
  <si>
    <t>KALAI/BINOD</t>
  </si>
  <si>
    <t>Line mark &amp; black dot.L.test</t>
  </si>
  <si>
    <t>Run well.</t>
  </si>
  <si>
    <t>KKM</t>
  </si>
  <si>
    <t>RAZAD/SAMAD</t>
  </si>
  <si>
    <t>Assy output</t>
  </si>
  <si>
    <t>TARLAK</t>
  </si>
  <si>
    <t>THURGA/GVETHA</t>
  </si>
  <si>
    <t>Assy output.</t>
  </si>
  <si>
    <t>Base deform.L.test.</t>
  </si>
  <si>
    <t>RIDOY</t>
  </si>
  <si>
    <t>IRSAD</t>
  </si>
  <si>
    <t>JALALUDIN</t>
  </si>
  <si>
    <t>KAVITHA</t>
  </si>
  <si>
    <t>05.08.2026</t>
  </si>
  <si>
    <t>Under tech.Mould repair.</t>
  </si>
  <si>
    <t>under tech.Top load out spec.</t>
  </si>
  <si>
    <t>A7</t>
  </si>
  <si>
    <t>5M</t>
  </si>
  <si>
    <t>DIPAK</t>
  </si>
  <si>
    <t>PUNES</t>
  </si>
  <si>
    <t>ZAM</t>
  </si>
  <si>
    <t>RASHIDI</t>
  </si>
  <si>
    <t>KALAMUDIN</t>
  </si>
  <si>
    <t>KALAMUDIN/PUNES</t>
  </si>
  <si>
    <t>ZAM/SHAHID</t>
  </si>
  <si>
    <t>SHAHID</t>
  </si>
  <si>
    <t>WIYAH</t>
  </si>
  <si>
    <t>RAM</t>
  </si>
  <si>
    <t>MOHID</t>
  </si>
  <si>
    <t>KAIMULLAH</t>
  </si>
  <si>
    <t>NITESH</t>
  </si>
  <si>
    <t>SHESHNATH</t>
  </si>
  <si>
    <t>ASMULLAH</t>
  </si>
  <si>
    <t>ASMULLAH/KAIMULLAH</t>
  </si>
  <si>
    <t>SHESHNATH/NITESH</t>
  </si>
  <si>
    <t>WIYAH/SHAHID</t>
  </si>
  <si>
    <t>Under tech.Thickness.Start 5.30pm.</t>
  </si>
  <si>
    <t>Uncapping &amp; Shot moulding.</t>
  </si>
  <si>
    <t>Oily mark.</t>
  </si>
  <si>
    <t>Run well.l.test.</t>
  </si>
  <si>
    <t>Inward.</t>
  </si>
  <si>
    <t>Stop 1pm.Change mtrl PCR.</t>
  </si>
  <si>
    <t>Base scratches.L.test.</t>
  </si>
  <si>
    <t>Line mark &amp; b.dot.L.test.</t>
  </si>
  <si>
    <t>Black dot.L.test</t>
  </si>
  <si>
    <t>Run well.Stop 4.15pm.c/order.</t>
  </si>
  <si>
    <t>Charging problem.Stop 9am-4pm.Under mntc.</t>
  </si>
  <si>
    <t>Oily mark at lip area.</t>
  </si>
  <si>
    <t>Often mc stop sometimes bottle stuck &amp; dented.L.test.</t>
  </si>
  <si>
    <t>Lip white mark.L.test.</t>
  </si>
  <si>
    <t>mntc service mc oil.Under tech start up.</t>
  </si>
  <si>
    <t>Drooling..L.test.</t>
  </si>
  <si>
    <t>Start 7.30pm.</t>
  </si>
  <si>
    <t>NIPU</t>
  </si>
  <si>
    <t>NIPU/HAS</t>
  </si>
  <si>
    <t>KAVITHA/MOGANA</t>
  </si>
  <si>
    <t>JEGA/HABIRAMI</t>
  </si>
  <si>
    <t>JALALUDIN/AISHAH</t>
  </si>
  <si>
    <t>5N</t>
  </si>
  <si>
    <t>Under tech.Top load out spec.Start 12am.</t>
  </si>
  <si>
    <t xml:space="preserve">Stop 12am.Change material. </t>
  </si>
  <si>
    <t>HAS/NIPU/NIRAJAN</t>
  </si>
  <si>
    <t>Under tech quality iisue thickness out.Start 2.40am.L.test.</t>
  </si>
  <si>
    <t>C/order.Stop 3.30am.</t>
  </si>
  <si>
    <t>Start 7.30pm.tech adjsut wvay.</t>
  </si>
  <si>
    <t>Run well.L.test.Leak test pusher problem.</t>
  </si>
  <si>
    <t>Material loading 3.20am</t>
  </si>
  <si>
    <t>C/order.Stop 3.20am.</t>
  </si>
  <si>
    <t>Under tech quality issue thickness out.</t>
  </si>
  <si>
    <t>Uncapping &amp; Screathes.inside reject 2.3kg.</t>
  </si>
  <si>
    <t>Under tech start 6.40am</t>
  </si>
  <si>
    <t>Under tech blockage water leaking.</t>
  </si>
  <si>
    <t>06.08.2026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</si>
</sst>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dd\.mm\.yy;@"/>
    <numFmt numFmtId="168" formatCode="_(* #,##0.0_);_(* \(#,##0.0\);_(* &quot;-&quot;?_);_(@_)"/>
    <numFmt numFmtId="169" formatCode="0.000"/>
    <numFmt numFmtId="170" formatCode="#,##0.000"/>
    <numFmt numFmtId="171" formatCode="[$-F400]h:mm:ss\ AM/PM"/>
    <numFmt numFmtId="172" formatCode="0.0"/>
    <numFmt numFmtId="173" formatCode="0.0%"/>
    <numFmt numFmtId="174" formatCode="_-* #,##0.0_-;\-* #,##0.0_-;_-* &quot;-&quot;??_-;_-@_-"/>
  </numFmts>
  <fonts count="4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9"/>
      <color indexed="8"/>
      <name val="Gill Sans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12"/>
      <color indexed="8"/>
      <name val="Verdana"/>
      <family val="2"/>
    </font>
    <font>
      <sz val="14"/>
      <color indexed="8"/>
      <name val="Verdana"/>
      <family val="2"/>
    </font>
    <font>
      <sz val="12"/>
      <name val="Verdana"/>
      <family val="2"/>
    </font>
    <font>
      <b/>
      <sz val="12"/>
      <color indexed="8"/>
      <name val="Verdana"/>
      <family val="2"/>
    </font>
    <font>
      <u/>
      <sz val="8.8000000000000007"/>
      <color theme="10"/>
      <name val="Calibri"/>
      <family val="2"/>
    </font>
    <font>
      <sz val="9"/>
      <color theme="1"/>
      <name val="Arial"/>
      <family val="2"/>
    </font>
    <font>
      <i/>
      <u/>
      <sz val="10"/>
      <color theme="10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12"/>
      <color theme="0"/>
      <name val="Verdana"/>
      <family val="2"/>
    </font>
    <font>
      <sz val="11"/>
      <color theme="1"/>
      <name val="Verdan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indexed="8"/>
      <name val="Calibri"/>
      <family val="2"/>
      <scheme val="minor"/>
    </font>
    <font>
      <sz val="20"/>
      <color indexed="8"/>
      <name val="Calibri"/>
      <family val="2"/>
      <scheme val="minor"/>
    </font>
    <font>
      <b/>
      <sz val="24"/>
      <color indexed="8"/>
      <name val="Verdana"/>
      <family val="2"/>
    </font>
    <font>
      <sz val="14"/>
      <name val="Verdana"/>
      <family val="2"/>
    </font>
    <font>
      <b/>
      <sz val="14"/>
      <color indexed="8"/>
      <name val="Verdana"/>
      <family val="2"/>
    </font>
    <font>
      <b/>
      <sz val="14"/>
      <name val="Verdana"/>
      <family val="2"/>
    </font>
    <font>
      <b/>
      <sz val="14"/>
      <color theme="0"/>
      <name val="Verdana"/>
      <family val="2"/>
    </font>
    <font>
      <sz val="14"/>
      <color theme="0"/>
      <name val="Verdana"/>
      <family val="2"/>
    </font>
    <font>
      <sz val="14"/>
      <color theme="1"/>
      <name val="Verdana"/>
      <family val="2"/>
    </font>
    <font>
      <sz val="14"/>
      <color rgb="FF000000"/>
      <name val="Verdana"/>
      <family val="2"/>
    </font>
    <font>
      <sz val="14"/>
      <color rgb="FFFF0000"/>
      <name val="Verdan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E4A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DE6D3"/>
        <bgColor indexed="64"/>
      </patternFill>
    </fill>
    <fill>
      <patternFill patternType="gray0625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rgb="FFFFFF00"/>
      </patternFill>
    </fill>
  </fills>
  <borders count="4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9" fillId="0" borderId="0"/>
    <xf numFmtId="9" fontId="2" fillId="0" borderId="0" applyFont="0" applyFill="0" applyBorder="0" applyAlignment="0" applyProtection="0"/>
    <xf numFmtId="4" fontId="5" fillId="2" borderId="1" applyNumberFormat="0" applyProtection="0">
      <alignment vertical="center"/>
    </xf>
    <xf numFmtId="4" fontId="6" fillId="2" borderId="1" applyNumberFormat="0" applyProtection="0">
      <alignment vertical="center"/>
    </xf>
    <xf numFmtId="4" fontId="5" fillId="2" borderId="1" applyNumberFormat="0" applyProtection="0">
      <alignment horizontal="left" vertical="center" indent="1"/>
    </xf>
    <xf numFmtId="4" fontId="5" fillId="2" borderId="1" applyNumberFormat="0" applyProtection="0">
      <alignment horizontal="left" vertical="center" indent="1"/>
    </xf>
    <xf numFmtId="0" fontId="4" fillId="3" borderId="1" applyNumberFormat="0" applyProtection="0">
      <alignment horizontal="left" vertical="center" indent="1"/>
    </xf>
    <xf numFmtId="4" fontId="5" fillId="4" borderId="1" applyNumberFormat="0" applyProtection="0">
      <alignment horizontal="right" vertical="center"/>
    </xf>
    <xf numFmtId="4" fontId="5" fillId="5" borderId="1" applyNumberFormat="0" applyProtection="0">
      <alignment horizontal="right" vertical="center"/>
    </xf>
    <xf numFmtId="4" fontId="5" fillId="6" borderId="1" applyNumberFormat="0" applyProtection="0">
      <alignment horizontal="right" vertical="center"/>
    </xf>
    <xf numFmtId="4" fontId="5" fillId="7" borderId="1" applyNumberFormat="0" applyProtection="0">
      <alignment horizontal="right" vertical="center"/>
    </xf>
    <xf numFmtId="4" fontId="5" fillId="8" borderId="1" applyNumberFormat="0" applyProtection="0">
      <alignment horizontal="right" vertical="center"/>
    </xf>
    <xf numFmtId="4" fontId="5" fillId="9" borderId="1" applyNumberFormat="0" applyProtection="0">
      <alignment horizontal="right" vertical="center"/>
    </xf>
    <xf numFmtId="4" fontId="5" fillId="10" borderId="1" applyNumberFormat="0" applyProtection="0">
      <alignment horizontal="right" vertical="center"/>
    </xf>
    <xf numFmtId="4" fontId="5" fillId="11" borderId="1" applyNumberFormat="0" applyProtection="0">
      <alignment horizontal="right" vertical="center"/>
    </xf>
    <xf numFmtId="4" fontId="5" fillId="12" borderId="1" applyNumberFormat="0" applyProtection="0">
      <alignment horizontal="right" vertical="center"/>
    </xf>
    <xf numFmtId="4" fontId="7" fillId="13" borderId="1" applyNumberFormat="0" applyProtection="0">
      <alignment horizontal="left" vertical="center" indent="1"/>
    </xf>
    <xf numFmtId="4" fontId="5" fillId="14" borderId="2" applyNumberFormat="0" applyProtection="0">
      <alignment horizontal="left" vertical="center" indent="1"/>
    </xf>
    <xf numFmtId="4" fontId="8" fillId="15" borderId="0" applyNumberFormat="0" applyProtection="0">
      <alignment horizontal="left" vertical="center" indent="1"/>
    </xf>
    <xf numFmtId="0" fontId="4" fillId="3" borderId="1" applyNumberFormat="0" applyProtection="0">
      <alignment horizontal="left" vertical="center" indent="1"/>
    </xf>
    <xf numFmtId="4" fontId="5" fillId="14" borderId="1" applyNumberFormat="0" applyProtection="0">
      <alignment horizontal="left" vertical="center" indent="1"/>
    </xf>
    <xf numFmtId="4" fontId="5" fillId="16" borderId="1" applyNumberFormat="0" applyProtection="0">
      <alignment horizontal="left" vertical="center" indent="1"/>
    </xf>
    <xf numFmtId="0" fontId="4" fillId="16" borderId="1" applyNumberFormat="0" applyProtection="0">
      <alignment horizontal="left" vertical="center" indent="1"/>
    </xf>
    <xf numFmtId="0" fontId="4" fillId="16" borderId="1" applyNumberFormat="0" applyProtection="0">
      <alignment horizontal="left" vertical="center" indent="1"/>
    </xf>
    <xf numFmtId="0" fontId="4" fillId="17" borderId="1" applyNumberFormat="0" applyProtection="0">
      <alignment horizontal="left" vertical="center" indent="1"/>
    </xf>
    <xf numFmtId="0" fontId="4" fillId="17" borderId="1" applyNumberFormat="0" applyProtection="0">
      <alignment horizontal="left" vertical="center" indent="1"/>
    </xf>
    <xf numFmtId="0" fontId="4" fillId="18" borderId="1" applyNumberFormat="0" applyProtection="0">
      <alignment horizontal="left" vertical="center" indent="1"/>
    </xf>
    <xf numFmtId="0" fontId="4" fillId="18" borderId="1" applyNumberFormat="0" applyProtection="0">
      <alignment horizontal="left" vertical="center" indent="1"/>
    </xf>
    <xf numFmtId="0" fontId="4" fillId="3" borderId="1" applyNumberFormat="0" applyProtection="0">
      <alignment horizontal="left" vertical="center" indent="1"/>
    </xf>
    <xf numFmtId="0" fontId="4" fillId="3" borderId="1" applyNumberFormat="0" applyProtection="0">
      <alignment horizontal="left" vertical="center" indent="1"/>
    </xf>
    <xf numFmtId="4" fontId="5" fillId="19" borderId="1" applyNumberFormat="0" applyProtection="0">
      <alignment vertical="center"/>
    </xf>
    <xf numFmtId="4" fontId="6" fillId="19" borderId="1" applyNumberFormat="0" applyProtection="0">
      <alignment vertical="center"/>
    </xf>
    <xf numFmtId="4" fontId="5" fillId="19" borderId="1" applyNumberFormat="0" applyProtection="0">
      <alignment horizontal="left" vertical="center" indent="1"/>
    </xf>
    <xf numFmtId="4" fontId="5" fillId="19" borderId="1" applyNumberFormat="0" applyProtection="0">
      <alignment horizontal="left" vertical="center" indent="1"/>
    </xf>
    <xf numFmtId="4" fontId="5" fillId="14" borderId="1" applyNumberFormat="0" applyProtection="0">
      <alignment horizontal="right" vertical="center"/>
    </xf>
    <xf numFmtId="4" fontId="6" fillId="14" borderId="1" applyNumberFormat="0" applyProtection="0">
      <alignment horizontal="right" vertical="center"/>
    </xf>
    <xf numFmtId="0" fontId="4" fillId="3" borderId="1" applyNumberFormat="0" applyProtection="0">
      <alignment horizontal="left" vertical="center" indent="1"/>
    </xf>
    <xf numFmtId="0" fontId="4" fillId="3" borderId="1" applyNumberFormat="0" applyProtection="0">
      <alignment horizontal="left" vertical="center" indent="1"/>
    </xf>
    <xf numFmtId="0" fontId="9" fillId="0" borderId="0"/>
    <xf numFmtId="4" fontId="10" fillId="14" borderId="1" applyNumberFormat="0" applyProtection="0">
      <alignment horizontal="right" vertical="center"/>
    </xf>
    <xf numFmtId="0" fontId="28" fillId="0" borderId="0"/>
    <xf numFmtId="9" fontId="27" fillId="0" borderId="0" applyFont="0" applyFill="0" applyBorder="0" applyAlignment="0" applyProtection="0"/>
    <xf numFmtId="0" fontId="40" fillId="0" borderId="0"/>
    <xf numFmtId="9" fontId="4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3">
    <xf numFmtId="0" fontId="0" fillId="0" borderId="0" xfId="0"/>
    <xf numFmtId="0" fontId="20" fillId="0" borderId="0" xfId="3" applyFont="1" applyAlignment="1" applyProtection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170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0" fontId="14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14" fontId="19" fillId="0" borderId="0" xfId="0" applyNumberFormat="1" applyFont="1" applyAlignment="1">
      <alignment horizontal="left" vertical="center" indent="1"/>
    </xf>
    <xf numFmtId="0" fontId="25" fillId="0" borderId="0" xfId="0" applyFont="1"/>
    <xf numFmtId="0" fontId="25" fillId="0" borderId="0" xfId="0" applyFont="1" applyAlignment="1">
      <alignment horizontal="center"/>
    </xf>
    <xf numFmtId="0" fontId="25" fillId="0" borderId="0" xfId="0" applyFont="1" applyAlignment="1">
      <alignment wrapText="1"/>
    </xf>
    <xf numFmtId="14" fontId="14" fillId="0" borderId="0" xfId="0" applyNumberFormat="1" applyFont="1" applyAlignment="1" applyProtection="1">
      <alignment horizontal="center" vertical="center"/>
      <protection locked="0"/>
    </xf>
    <xf numFmtId="49" fontId="14" fillId="0" borderId="0" xfId="0" applyNumberFormat="1" applyFont="1" applyAlignment="1" applyProtection="1">
      <alignment horizontal="center" vertical="center"/>
      <protection locked="0"/>
    </xf>
    <xf numFmtId="0" fontId="14" fillId="0" borderId="4" xfId="0" applyFont="1" applyBorder="1" applyAlignment="1" applyProtection="1">
      <alignment horizontal="center" vertical="center"/>
      <protection locked="0"/>
    </xf>
    <xf numFmtId="14" fontId="14" fillId="0" borderId="4" xfId="0" applyNumberFormat="1" applyFont="1" applyBorder="1" applyAlignment="1" applyProtection="1">
      <alignment horizontal="center" vertical="center"/>
      <protection locked="0"/>
    </xf>
    <xf numFmtId="49" fontId="14" fillId="0" borderId="4" xfId="0" applyNumberFormat="1" applyFont="1" applyBorder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left" vertical="center" indent="1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0" borderId="0" xfId="0" applyFont="1" applyAlignment="1" applyProtection="1">
      <alignment horizontal="left" vertical="center" indent="1"/>
      <protection locked="0"/>
    </xf>
    <xf numFmtId="0" fontId="30" fillId="0" borderId="0" xfId="0" applyFont="1" applyAlignment="1">
      <alignment horizontal="left" vertical="center" indent="1"/>
    </xf>
    <xf numFmtId="167" fontId="30" fillId="0" borderId="0" xfId="0" applyNumberFormat="1" applyFont="1" applyAlignment="1">
      <alignment horizontal="left" vertical="center" indent="1"/>
    </xf>
    <xf numFmtId="167" fontId="30" fillId="0" borderId="0" xfId="0" applyNumberFormat="1" applyFont="1" applyAlignment="1" applyProtection="1">
      <alignment horizontal="left" vertical="center" indent="1"/>
      <protection locked="0"/>
    </xf>
    <xf numFmtId="0" fontId="29" fillId="0" borderId="0" xfId="0" applyFont="1" applyAlignment="1">
      <alignment horizontal="left" vertical="center" indent="1"/>
    </xf>
    <xf numFmtId="9" fontId="30" fillId="0" borderId="0" xfId="0" applyNumberFormat="1" applyFont="1" applyAlignment="1">
      <alignment horizontal="left" vertical="center" inden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left" vertical="center"/>
      <protection locked="0"/>
    </xf>
    <xf numFmtId="0" fontId="30" fillId="0" borderId="0" xfId="0" applyFont="1" applyAlignment="1" applyProtection="1">
      <alignment vertical="center" wrapText="1"/>
      <protection locked="0"/>
    </xf>
    <xf numFmtId="0" fontId="17" fillId="0" borderId="0" xfId="0" applyFont="1" applyAlignment="1" applyProtection="1">
      <alignment horizontal="left" vertical="center" indent="1"/>
      <protection locked="0"/>
    </xf>
    <xf numFmtId="0" fontId="14" fillId="0" borderId="0" xfId="0" applyFont="1" applyAlignment="1" applyProtection="1">
      <alignment horizontal="left" vertical="center" indent="1"/>
      <protection locked="0"/>
    </xf>
    <xf numFmtId="1" fontId="14" fillId="0" borderId="0" xfId="0" applyNumberFormat="1" applyFont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vertical="center" indent="1"/>
    </xf>
    <xf numFmtId="167" fontId="14" fillId="0" borderId="0" xfId="0" applyNumberFormat="1" applyFont="1" applyAlignment="1" applyProtection="1">
      <alignment horizontal="left" vertical="center" indent="1"/>
      <protection locked="0"/>
    </xf>
    <xf numFmtId="165" fontId="14" fillId="0" borderId="0" xfId="0" applyNumberFormat="1" applyFont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169" fontId="14" fillId="0" borderId="0" xfId="0" applyNumberFormat="1" applyFont="1" applyAlignment="1">
      <alignment horizontal="left" vertical="center" indent="1"/>
    </xf>
    <xf numFmtId="0" fontId="14" fillId="0" borderId="0" xfId="0" applyFont="1" applyAlignment="1" applyProtection="1">
      <alignment horizontal="left" vertical="center"/>
      <protection locked="0"/>
    </xf>
    <xf numFmtId="169" fontId="14" fillId="0" borderId="0" xfId="0" applyNumberFormat="1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vertical="center" wrapText="1"/>
      <protection locked="0"/>
    </xf>
    <xf numFmtId="0" fontId="14" fillId="0" borderId="0" xfId="0" applyFont="1" applyAlignment="1" applyProtection="1">
      <alignment horizontal="right" vertical="center" indent="1"/>
      <protection locked="0"/>
    </xf>
    <xf numFmtId="0" fontId="14" fillId="0" borderId="0" xfId="0" applyFont="1" applyAlignment="1" applyProtection="1">
      <alignment horizontal="left" vertical="center" wrapText="1" indent="1"/>
      <protection locked="0"/>
    </xf>
    <xf numFmtId="0" fontId="14" fillId="0" borderId="0" xfId="0" applyFont="1" applyAlignment="1">
      <alignment horizontal="left" vertical="center" wrapText="1" indent="1"/>
    </xf>
    <xf numFmtId="0" fontId="14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indent="1"/>
    </xf>
    <xf numFmtId="0" fontId="24" fillId="0" borderId="0" xfId="0" applyFont="1" applyAlignment="1" applyProtection="1">
      <alignment horizontal="left" vertical="center" wrapText="1"/>
      <protection locked="0"/>
    </xf>
    <xf numFmtId="1" fontId="16" fillId="0" borderId="0" xfId="0" applyNumberFormat="1" applyFont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vertical="center"/>
      <protection locked="0"/>
    </xf>
    <xf numFmtId="0" fontId="31" fillId="0" borderId="0" xfId="0" applyFont="1" applyAlignment="1" applyProtection="1">
      <alignment horizontal="left" vertical="center" indent="1"/>
      <protection locked="0"/>
    </xf>
    <xf numFmtId="0" fontId="15" fillId="2" borderId="3" xfId="0" applyFont="1" applyFill="1" applyBorder="1" applyAlignment="1" applyProtection="1">
      <alignment horizontal="center" vertical="center"/>
      <protection locked="0"/>
    </xf>
    <xf numFmtId="0" fontId="15" fillId="27" borderId="0" xfId="0" applyFont="1" applyFill="1" applyAlignment="1" applyProtection="1">
      <alignment horizontal="center" vertical="center"/>
      <protection locked="0"/>
    </xf>
    <xf numFmtId="0" fontId="35" fillId="28" borderId="0" xfId="0" applyFont="1" applyFill="1" applyAlignment="1" applyProtection="1">
      <alignment horizontal="center" vertical="center"/>
      <protection locked="0"/>
    </xf>
    <xf numFmtId="0" fontId="36" fillId="28" borderId="0" xfId="0" applyFont="1" applyFill="1" applyAlignment="1" applyProtection="1">
      <alignment horizontal="center" vertical="center" wrapText="1"/>
      <protection locked="0"/>
    </xf>
    <xf numFmtId="0" fontId="15" fillId="28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25" borderId="4" xfId="0" applyFont="1" applyFill="1" applyBorder="1" applyAlignment="1" applyProtection="1">
      <alignment horizontal="center" vertical="center" wrapText="1"/>
      <protection locked="0"/>
    </xf>
    <xf numFmtId="0" fontId="15" fillId="2" borderId="5" xfId="0" applyFont="1" applyFill="1" applyBorder="1" applyAlignment="1" applyProtection="1">
      <alignment horizontal="center" vertical="center"/>
      <protection locked="0"/>
    </xf>
    <xf numFmtId="0" fontId="34" fillId="29" borderId="7" xfId="0" applyFont="1" applyFill="1" applyBorder="1" applyAlignment="1">
      <alignment horizontal="center" vertical="top" wrapText="1"/>
    </xf>
    <xf numFmtId="0" fontId="34" fillId="29" borderId="8" xfId="0" applyFont="1" applyFill="1" applyBorder="1" applyAlignment="1">
      <alignment horizontal="center" vertical="top" wrapText="1"/>
    </xf>
    <xf numFmtId="0" fontId="34" fillId="29" borderId="9" xfId="0" applyFont="1" applyFill="1" applyBorder="1" applyAlignment="1">
      <alignment horizontal="center" vertical="top" wrapText="1"/>
    </xf>
    <xf numFmtId="0" fontId="34" fillId="29" borderId="10" xfId="0" applyFont="1" applyFill="1" applyBorder="1" applyAlignment="1">
      <alignment horizontal="center" vertical="top" wrapText="1"/>
    </xf>
    <xf numFmtId="0" fontId="34" fillId="29" borderId="11" xfId="0" applyFont="1" applyFill="1" applyBorder="1" applyAlignment="1">
      <alignment horizontal="center" vertical="top" wrapText="1"/>
    </xf>
    <xf numFmtId="0" fontId="34" fillId="30" borderId="8" xfId="0" applyFont="1" applyFill="1" applyBorder="1" applyAlignment="1">
      <alignment horizontal="center" vertical="top" wrapText="1"/>
    </xf>
    <xf numFmtId="0" fontId="34" fillId="30" borderId="9" xfId="0" applyFont="1" applyFill="1" applyBorder="1" applyAlignment="1">
      <alignment horizontal="center" vertical="top" wrapText="1"/>
    </xf>
    <xf numFmtId="0" fontId="34" fillId="30" borderId="10" xfId="0" applyFont="1" applyFill="1" applyBorder="1" applyAlignment="1">
      <alignment horizontal="center" vertical="top" wrapText="1"/>
    </xf>
    <xf numFmtId="1" fontId="15" fillId="33" borderId="4" xfId="0" applyNumberFormat="1" applyFont="1" applyFill="1" applyBorder="1" applyAlignment="1">
      <alignment horizontal="center" vertical="center"/>
    </xf>
    <xf numFmtId="0" fontId="15" fillId="24" borderId="0" xfId="0" applyFont="1" applyFill="1" applyAlignment="1" applyProtection="1">
      <alignment horizontal="center" vertical="center"/>
      <protection locked="0"/>
    </xf>
    <xf numFmtId="0" fontId="15" fillId="0" borderId="16" xfId="0" applyFont="1" applyBorder="1" applyAlignment="1" applyProtection="1">
      <alignment horizontal="left" vertical="center"/>
      <protection locked="0"/>
    </xf>
    <xf numFmtId="0" fontId="15" fillId="0" borderId="15" xfId="0" applyFont="1" applyBorder="1" applyAlignment="1" applyProtection="1">
      <alignment horizontal="left" vertical="center"/>
      <protection locked="0"/>
    </xf>
    <xf numFmtId="0" fontId="15" fillId="2" borderId="4" xfId="0" applyFont="1" applyFill="1" applyBorder="1" applyAlignment="1" applyProtection="1">
      <alignment horizontal="center" vertical="center" wrapText="1"/>
      <protection locked="0"/>
    </xf>
    <xf numFmtId="0" fontId="38" fillId="2" borderId="12" xfId="0" applyFont="1" applyFill="1" applyBorder="1" applyAlignment="1" applyProtection="1">
      <alignment horizontal="center" vertical="center"/>
      <protection locked="0"/>
    </xf>
    <xf numFmtId="0" fontId="15" fillId="0" borderId="4" xfId="0" applyFont="1" applyBorder="1" applyAlignment="1" applyProtection="1">
      <alignment horizontal="center" vertical="center"/>
      <protection locked="0"/>
    </xf>
    <xf numFmtId="0" fontId="15" fillId="25" borderId="5" xfId="0" applyFont="1" applyFill="1" applyBorder="1" applyAlignment="1" applyProtection="1">
      <alignment horizontal="center" vertical="center" wrapText="1"/>
      <protection locked="0"/>
    </xf>
    <xf numFmtId="0" fontId="15" fillId="25" borderId="4" xfId="0" applyFont="1" applyFill="1" applyBorder="1" applyAlignment="1" applyProtection="1">
      <alignment horizontal="center" vertical="center"/>
      <protection locked="0"/>
    </xf>
    <xf numFmtId="0" fontId="15" fillId="25" borderId="3" xfId="0" applyFont="1" applyFill="1" applyBorder="1" applyAlignment="1" applyProtection="1">
      <alignment horizontal="center" vertical="center"/>
      <protection locked="0"/>
    </xf>
    <xf numFmtId="0" fontId="13" fillId="21" borderId="4" xfId="0" applyFont="1" applyFill="1" applyBorder="1" applyAlignment="1">
      <alignment horizontal="center" vertical="center"/>
    </xf>
    <xf numFmtId="0" fontId="23" fillId="22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65" fontId="15" fillId="31" borderId="4" xfId="0" applyNumberFormat="1" applyFont="1" applyFill="1" applyBorder="1" applyAlignment="1">
      <alignment horizontal="center" vertical="center"/>
    </xf>
    <xf numFmtId="165" fontId="39" fillId="31" borderId="4" xfId="0" applyNumberFormat="1" applyFont="1" applyFill="1" applyBorder="1" applyAlignment="1">
      <alignment horizontal="center" vertical="center"/>
    </xf>
    <xf numFmtId="0" fontId="15" fillId="38" borderId="22" xfId="0" applyFont="1" applyFill="1" applyBorder="1" applyAlignment="1" applyProtection="1">
      <alignment horizontal="center" vertical="center"/>
      <protection locked="0"/>
    </xf>
    <xf numFmtId="0" fontId="38" fillId="38" borderId="12" xfId="0" applyFont="1" applyFill="1" applyBorder="1" applyAlignment="1" applyProtection="1">
      <alignment horizontal="center" vertical="center" wrapText="1"/>
      <protection locked="0"/>
    </xf>
    <xf numFmtId="0" fontId="15" fillId="0" borderId="25" xfId="0" applyFont="1" applyBorder="1" applyAlignment="1" applyProtection="1">
      <alignment horizontal="center" vertical="center"/>
      <protection locked="0"/>
    </xf>
    <xf numFmtId="0" fontId="15" fillId="24" borderId="4" xfId="0" applyFont="1" applyFill="1" applyBorder="1" applyAlignment="1" applyProtection="1">
      <alignment horizontal="center" vertical="center"/>
      <protection locked="0"/>
    </xf>
    <xf numFmtId="0" fontId="15" fillId="25" borderId="25" xfId="0" applyFont="1" applyFill="1" applyBorder="1" applyAlignment="1" applyProtection="1">
      <alignment horizontal="center" vertical="center" wrapText="1"/>
      <protection locked="0"/>
    </xf>
    <xf numFmtId="0" fontId="15" fillId="2" borderId="21" xfId="0" applyFont="1" applyFill="1" applyBorder="1" applyAlignment="1" applyProtection="1">
      <alignment horizontal="center" vertical="center"/>
      <protection locked="0"/>
    </xf>
    <xf numFmtId="0" fontId="15" fillId="2" borderId="22" xfId="0" applyFont="1" applyFill="1" applyBorder="1" applyAlignment="1" applyProtection="1">
      <alignment horizontal="center" vertical="center"/>
      <protection locked="0"/>
    </xf>
    <xf numFmtId="0" fontId="15" fillId="25" borderId="21" xfId="0" applyFont="1" applyFill="1" applyBorder="1" applyAlignment="1" applyProtection="1">
      <alignment horizontal="center" vertical="center"/>
      <protection locked="0"/>
    </xf>
    <xf numFmtId="0" fontId="34" fillId="24" borderId="25" xfId="0" applyFont="1" applyFill="1" applyBorder="1" applyAlignment="1">
      <alignment horizontal="center" vertical="center" wrapText="1"/>
    </xf>
    <xf numFmtId="0" fontId="34" fillId="24" borderId="25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 vertical="center"/>
    </xf>
    <xf numFmtId="168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37" fillId="0" borderId="25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1" fontId="15" fillId="0" borderId="25" xfId="1" applyNumberFormat="1" applyFont="1" applyFill="1" applyBorder="1" applyAlignment="1" applyProtection="1">
      <alignment horizontal="center" vertical="center"/>
      <protection locked="0"/>
    </xf>
    <xf numFmtId="0" fontId="15" fillId="0" borderId="25" xfId="0" applyFont="1" applyBorder="1" applyAlignment="1">
      <alignment horizontal="left" vertical="center"/>
    </xf>
    <xf numFmtId="0" fontId="39" fillId="0" borderId="25" xfId="0" applyFont="1" applyBorder="1" applyAlignment="1">
      <alignment horizontal="center" vertical="center"/>
    </xf>
    <xf numFmtId="0" fontId="15" fillId="0" borderId="25" xfId="0" quotePrefix="1" applyFont="1" applyBorder="1" applyAlignment="1">
      <alignment horizontal="center" vertical="center"/>
    </xf>
    <xf numFmtId="1" fontId="15" fillId="0" borderId="25" xfId="0" applyNumberFormat="1" applyFont="1" applyBorder="1" applyAlignment="1">
      <alignment horizontal="center" vertical="center"/>
    </xf>
    <xf numFmtId="165" fontId="15" fillId="31" borderId="25" xfId="2" applyNumberFormat="1" applyFont="1" applyFill="1" applyBorder="1" applyAlignment="1" applyProtection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166" fontId="15" fillId="31" borderId="25" xfId="0" applyNumberFormat="1" applyFont="1" applyFill="1" applyBorder="1" applyAlignment="1">
      <alignment horizontal="center" vertical="center"/>
    </xf>
    <xf numFmtId="173" fontId="15" fillId="0" borderId="25" xfId="46" applyNumberFormat="1" applyFont="1" applyBorder="1" applyAlignment="1">
      <alignment horizontal="center" vertical="center"/>
    </xf>
    <xf numFmtId="173" fontId="32" fillId="31" borderId="25" xfId="46" applyNumberFormat="1" applyFont="1" applyFill="1" applyBorder="1" applyAlignment="1">
      <alignment horizontal="center" vertical="center"/>
    </xf>
    <xf numFmtId="166" fontId="32" fillId="31" borderId="25" xfId="0" applyNumberFormat="1" applyFont="1" applyFill="1" applyBorder="1" applyAlignment="1">
      <alignment horizontal="center" vertical="center"/>
    </xf>
    <xf numFmtId="168" fontId="15" fillId="32" borderId="25" xfId="0" applyNumberFormat="1" applyFont="1" applyFill="1" applyBorder="1" applyAlignment="1" applyProtection="1">
      <alignment horizontal="center" vertical="center"/>
      <protection locked="0"/>
    </xf>
    <xf numFmtId="0" fontId="37" fillId="32" borderId="25" xfId="0" applyFont="1" applyFill="1" applyBorder="1" applyAlignment="1" applyProtection="1">
      <alignment horizontal="left" vertical="center"/>
      <protection locked="0"/>
    </xf>
    <xf numFmtId="168" fontId="15" fillId="38" borderId="25" xfId="0" applyNumberFormat="1" applyFont="1" applyFill="1" applyBorder="1" applyAlignment="1" applyProtection="1">
      <alignment horizontal="center" vertical="center"/>
      <protection locked="0"/>
    </xf>
    <xf numFmtId="165" fontId="15" fillId="33" borderId="25" xfId="0" applyNumberFormat="1" applyFont="1" applyFill="1" applyBorder="1" applyAlignment="1">
      <alignment horizontal="center" vertical="center"/>
    </xf>
    <xf numFmtId="9" fontId="15" fillId="0" borderId="25" xfId="46" applyFont="1" applyFill="1" applyBorder="1" applyAlignment="1">
      <alignment horizontal="center" vertical="center"/>
    </xf>
    <xf numFmtId="0" fontId="15" fillId="31" borderId="25" xfId="0" applyFont="1" applyFill="1" applyBorder="1" applyAlignment="1" applyProtection="1">
      <alignment horizontal="center" vertical="center"/>
      <protection locked="0"/>
    </xf>
    <xf numFmtId="49" fontId="15" fillId="31" borderId="25" xfId="0" applyNumberFormat="1" applyFont="1" applyFill="1" applyBorder="1" applyAlignment="1" applyProtection="1">
      <alignment horizontal="center" vertical="center"/>
      <protection locked="0"/>
    </xf>
    <xf numFmtId="1" fontId="15" fillId="34" borderId="25" xfId="0" applyNumberFormat="1" applyFont="1" applyFill="1" applyBorder="1" applyAlignment="1" applyProtection="1">
      <alignment horizontal="center" vertical="center"/>
      <protection locked="0"/>
    </xf>
    <xf numFmtId="0" fontId="15" fillId="34" borderId="25" xfId="0" applyFont="1" applyFill="1" applyBorder="1" applyAlignment="1" applyProtection="1">
      <alignment horizontal="center" vertical="center"/>
      <protection locked="0"/>
    </xf>
    <xf numFmtId="14" fontId="15" fillId="31" borderId="25" xfId="0" applyNumberFormat="1" applyFont="1" applyFill="1" applyBorder="1" applyAlignment="1" applyProtection="1">
      <alignment horizontal="center" vertical="center"/>
      <protection locked="0"/>
    </xf>
    <xf numFmtId="3" fontId="15" fillId="31" borderId="25" xfId="0" applyNumberFormat="1" applyFont="1" applyFill="1" applyBorder="1" applyAlignment="1" applyProtection="1">
      <alignment horizontal="center" vertical="center"/>
      <protection locked="0"/>
    </xf>
    <xf numFmtId="172" fontId="15" fillId="31" borderId="25" xfId="0" applyNumberFormat="1" applyFont="1" applyFill="1" applyBorder="1" applyAlignment="1" applyProtection="1">
      <alignment horizontal="center" vertical="center"/>
      <protection locked="0"/>
    </xf>
    <xf numFmtId="171" fontId="15" fillId="31" borderId="25" xfId="0" applyNumberFormat="1" applyFont="1" applyFill="1" applyBorder="1" applyAlignment="1" applyProtection="1">
      <alignment horizontal="center" vertical="center"/>
      <protection locked="0"/>
    </xf>
    <xf numFmtId="165" fontId="15" fillId="31" borderId="25" xfId="0" applyNumberFormat="1" applyFont="1" applyFill="1" applyBorder="1" applyAlignment="1" applyProtection="1">
      <alignment horizontal="center" vertical="center"/>
      <protection locked="0"/>
    </xf>
    <xf numFmtId="169" fontId="15" fillId="31" borderId="25" xfId="0" applyNumberFormat="1" applyFont="1" applyFill="1" applyBorder="1" applyAlignment="1" applyProtection="1">
      <alignment horizontal="center" vertical="center"/>
      <protection locked="0"/>
    </xf>
    <xf numFmtId="165" fontId="15" fillId="0" borderId="25" xfId="0" applyNumberFormat="1" applyFont="1" applyBorder="1" applyAlignment="1" applyProtection="1">
      <alignment horizontal="center" vertical="center"/>
      <protection locked="0"/>
    </xf>
    <xf numFmtId="165" fontId="15" fillId="0" borderId="25" xfId="0" applyNumberFormat="1" applyFont="1" applyBorder="1" applyAlignment="1" applyProtection="1">
      <alignment vertical="center"/>
      <protection locked="0"/>
    </xf>
    <xf numFmtId="1" fontId="15" fillId="0" borderId="25" xfId="0" applyNumberFormat="1" applyFont="1" applyBorder="1" applyAlignment="1" applyProtection="1">
      <alignment vertical="center" wrapText="1"/>
      <protection locked="0"/>
    </xf>
    <xf numFmtId="165" fontId="15" fillId="0" borderId="25" xfId="0" applyNumberFormat="1" applyFont="1" applyBorder="1" applyAlignment="1" applyProtection="1">
      <alignment vertical="center" wrapText="1"/>
      <protection locked="0"/>
    </xf>
    <xf numFmtId="168" fontId="15" fillId="0" borderId="25" xfId="0" applyNumberFormat="1" applyFont="1" applyBorder="1" applyAlignment="1" applyProtection="1">
      <alignment vertical="center" wrapText="1"/>
      <protection locked="0"/>
    </xf>
    <xf numFmtId="168" fontId="15" fillId="0" borderId="25" xfId="0" applyNumberFormat="1" applyFont="1" applyBorder="1" applyAlignment="1" applyProtection="1">
      <alignment vertical="center"/>
      <protection locked="0"/>
    </xf>
    <xf numFmtId="0" fontId="15" fillId="0" borderId="25" xfId="0" applyFont="1" applyBorder="1" applyAlignment="1" applyProtection="1">
      <alignment vertical="center"/>
      <protection locked="0"/>
    </xf>
    <xf numFmtId="166" fontId="32" fillId="32" borderId="25" xfId="0" applyNumberFormat="1" applyFont="1" applyFill="1" applyBorder="1" applyAlignment="1" applyProtection="1">
      <alignment horizontal="center" vertical="center"/>
      <protection locked="0"/>
    </xf>
    <xf numFmtId="165" fontId="15" fillId="24" borderId="4" xfId="0" applyNumberFormat="1" applyFont="1" applyFill="1" applyBorder="1" applyAlignment="1">
      <alignment horizontal="center" vertical="center"/>
    </xf>
    <xf numFmtId="1" fontId="15" fillId="24" borderId="4" xfId="0" applyNumberFormat="1" applyFont="1" applyFill="1" applyBorder="1" applyAlignment="1">
      <alignment horizontal="center" vertical="center"/>
    </xf>
    <xf numFmtId="0" fontId="15" fillId="24" borderId="0" xfId="0" applyFont="1" applyFill="1" applyAlignment="1" applyProtection="1">
      <alignment vertical="center"/>
      <protection locked="0"/>
    </xf>
    <xf numFmtId="0" fontId="25" fillId="0" borderId="25" xfId="0" applyFont="1" applyBorder="1" applyAlignment="1">
      <alignment horizontal="center" vertical="center"/>
    </xf>
    <xf numFmtId="0" fontId="14" fillId="0" borderId="25" xfId="0" applyFont="1" applyBorder="1" applyAlignment="1" applyProtection="1">
      <alignment horizontal="center" vertical="center"/>
      <protection locked="0"/>
    </xf>
    <xf numFmtId="14" fontId="14" fillId="0" borderId="25" xfId="0" applyNumberFormat="1" applyFont="1" applyBorder="1" applyAlignment="1" applyProtection="1">
      <alignment horizontal="center" vertical="center"/>
      <protection locked="0"/>
    </xf>
    <xf numFmtId="49" fontId="14" fillId="0" borderId="25" xfId="0" applyNumberFormat="1" applyFont="1" applyBorder="1" applyAlignment="1" applyProtection="1">
      <alignment horizontal="center" vertical="center"/>
      <protection locked="0"/>
    </xf>
    <xf numFmtId="0" fontId="33" fillId="0" borderId="17" xfId="0" applyFont="1" applyBorder="1" applyAlignment="1">
      <alignment horizontal="center" vertical="center"/>
    </xf>
    <xf numFmtId="0" fontId="15" fillId="24" borderId="4" xfId="0" applyFont="1" applyFill="1" applyBorder="1" applyAlignment="1">
      <alignment horizontal="center" vertical="center"/>
    </xf>
    <xf numFmtId="1" fontId="15" fillId="0" borderId="26" xfId="1" applyNumberFormat="1" applyFont="1" applyFill="1" applyBorder="1" applyAlignment="1" applyProtection="1">
      <alignment horizontal="center" vertical="center"/>
      <protection locked="0"/>
    </xf>
    <xf numFmtId="1" fontId="15" fillId="0" borderId="4" xfId="1" applyNumberFormat="1" applyFont="1" applyFill="1" applyBorder="1" applyAlignment="1" applyProtection="1">
      <alignment horizontal="center" vertical="center"/>
      <protection locked="0"/>
    </xf>
    <xf numFmtId="0" fontId="39" fillId="0" borderId="4" xfId="0" applyFont="1" applyBorder="1" applyAlignment="1">
      <alignment horizontal="center" vertical="center"/>
    </xf>
    <xf numFmtId="0" fontId="15" fillId="0" borderId="4" xfId="0" quotePrefix="1" applyFont="1" applyBorder="1" applyAlignment="1">
      <alignment horizontal="center" vertical="center"/>
    </xf>
    <xf numFmtId="165" fontId="15" fillId="31" borderId="4" xfId="2" applyNumberFormat="1" applyFont="1" applyFill="1" applyBorder="1" applyAlignment="1" applyProtection="1">
      <alignment horizontal="center" vertical="center"/>
    </xf>
    <xf numFmtId="165" fontId="15" fillId="0" borderId="4" xfId="0" applyNumberFormat="1" applyFont="1" applyBorder="1" applyAlignment="1">
      <alignment horizontal="center" vertical="center"/>
    </xf>
    <xf numFmtId="166" fontId="15" fillId="31" borderId="4" xfId="0" applyNumberFormat="1" applyFont="1" applyFill="1" applyBorder="1" applyAlignment="1">
      <alignment horizontal="center" vertical="center"/>
    </xf>
    <xf numFmtId="173" fontId="15" fillId="0" borderId="4" xfId="46" applyNumberFormat="1" applyFont="1" applyBorder="1" applyAlignment="1">
      <alignment horizontal="center" vertical="center"/>
    </xf>
    <xf numFmtId="173" fontId="32" fillId="31" borderId="4" xfId="46" applyNumberFormat="1" applyFont="1" applyFill="1" applyBorder="1" applyAlignment="1">
      <alignment horizontal="center" vertical="center"/>
    </xf>
    <xf numFmtId="166" fontId="32" fillId="31" borderId="4" xfId="0" applyNumberFormat="1" applyFont="1" applyFill="1" applyBorder="1" applyAlignment="1">
      <alignment horizontal="center" vertical="center"/>
    </xf>
    <xf numFmtId="168" fontId="15" fillId="32" borderId="4" xfId="0" applyNumberFormat="1" applyFont="1" applyFill="1" applyBorder="1" applyAlignment="1" applyProtection="1">
      <alignment horizontal="center" vertical="center"/>
      <protection locked="0"/>
    </xf>
    <xf numFmtId="165" fontId="15" fillId="0" borderId="4" xfId="0" applyNumberFormat="1" applyFont="1" applyBorder="1" applyAlignment="1" applyProtection="1">
      <alignment horizontal="center" vertical="center"/>
      <protection locked="0"/>
    </xf>
    <xf numFmtId="165" fontId="15" fillId="0" borderId="4" xfId="0" applyNumberFormat="1" applyFont="1" applyBorder="1" applyAlignment="1" applyProtection="1">
      <alignment vertical="center"/>
      <protection locked="0"/>
    </xf>
    <xf numFmtId="1" fontId="15" fillId="0" borderId="4" xfId="0" applyNumberFormat="1" applyFont="1" applyBorder="1" applyAlignment="1" applyProtection="1">
      <alignment vertical="center" wrapText="1"/>
      <protection locked="0"/>
    </xf>
    <xf numFmtId="165" fontId="15" fillId="0" borderId="4" xfId="0" applyNumberFormat="1" applyFont="1" applyBorder="1" applyAlignment="1" applyProtection="1">
      <alignment vertical="center" wrapText="1"/>
      <protection locked="0"/>
    </xf>
    <xf numFmtId="168" fontId="15" fillId="0" borderId="4" xfId="0" applyNumberFormat="1" applyFont="1" applyBorder="1" applyAlignment="1" applyProtection="1">
      <alignment vertical="center" wrapText="1"/>
      <protection locked="0"/>
    </xf>
    <xf numFmtId="168" fontId="15" fillId="0" borderId="4" xfId="0" applyNumberFormat="1" applyFont="1" applyBorder="1" applyAlignment="1" applyProtection="1">
      <alignment vertical="center"/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37" fillId="0" borderId="27" xfId="0" applyFont="1" applyBorder="1" applyAlignment="1">
      <alignment horizontal="center" vertical="center"/>
    </xf>
    <xf numFmtId="0" fontId="15" fillId="0" borderId="27" xfId="0" applyFont="1" applyBorder="1" applyAlignment="1" applyProtection="1">
      <alignment horizontal="center" vertical="center"/>
      <protection locked="0"/>
    </xf>
    <xf numFmtId="1" fontId="15" fillId="0" borderId="27" xfId="1" applyNumberFormat="1" applyFont="1" applyFill="1" applyBorder="1" applyAlignment="1" applyProtection="1">
      <alignment horizontal="center" vertical="center"/>
      <protection locked="0"/>
    </xf>
    <xf numFmtId="0" fontId="15" fillId="0" borderId="27" xfId="0" applyFont="1" applyBorder="1" applyAlignment="1">
      <alignment horizontal="left" vertical="center"/>
    </xf>
    <xf numFmtId="0" fontId="15" fillId="0" borderId="27" xfId="0" quotePrefix="1" applyFont="1" applyBorder="1" applyAlignment="1">
      <alignment horizontal="center" vertical="center"/>
    </xf>
    <xf numFmtId="1" fontId="15" fillId="0" borderId="27" xfId="0" applyNumberFormat="1" applyFont="1" applyBorder="1" applyAlignment="1">
      <alignment horizontal="center" vertical="center"/>
    </xf>
    <xf numFmtId="165" fontId="15" fillId="31" borderId="27" xfId="2" applyNumberFormat="1" applyFont="1" applyFill="1" applyBorder="1" applyAlignment="1" applyProtection="1">
      <alignment horizontal="center" vertical="center"/>
    </xf>
    <xf numFmtId="165" fontId="15" fillId="0" borderId="27" xfId="0" applyNumberFormat="1" applyFont="1" applyBorder="1" applyAlignment="1">
      <alignment horizontal="center" vertical="center"/>
    </xf>
    <xf numFmtId="166" fontId="15" fillId="31" borderId="27" xfId="0" applyNumberFormat="1" applyFont="1" applyFill="1" applyBorder="1" applyAlignment="1">
      <alignment horizontal="center" vertical="center"/>
    </xf>
    <xf numFmtId="173" fontId="15" fillId="0" borderId="27" xfId="46" applyNumberFormat="1" applyFont="1" applyBorder="1" applyAlignment="1">
      <alignment horizontal="center" vertical="center"/>
    </xf>
    <xf numFmtId="173" fontId="32" fillId="31" borderId="27" xfId="46" applyNumberFormat="1" applyFont="1" applyFill="1" applyBorder="1" applyAlignment="1">
      <alignment horizontal="center" vertical="center"/>
    </xf>
    <xf numFmtId="166" fontId="32" fillId="31" borderId="27" xfId="0" applyNumberFormat="1" applyFont="1" applyFill="1" applyBorder="1" applyAlignment="1">
      <alignment horizontal="center" vertical="center"/>
    </xf>
    <xf numFmtId="168" fontId="15" fillId="32" borderId="27" xfId="0" applyNumberFormat="1" applyFont="1" applyFill="1" applyBorder="1" applyAlignment="1" applyProtection="1">
      <alignment horizontal="center" vertical="center"/>
      <protection locked="0"/>
    </xf>
    <xf numFmtId="166" fontId="32" fillId="32" borderId="27" xfId="0" applyNumberFormat="1" applyFont="1" applyFill="1" applyBorder="1" applyAlignment="1" applyProtection="1">
      <alignment horizontal="center" vertical="center"/>
      <protection locked="0"/>
    </xf>
    <xf numFmtId="0" fontId="37" fillId="32" borderId="27" xfId="0" applyFont="1" applyFill="1" applyBorder="1" applyAlignment="1" applyProtection="1">
      <alignment horizontal="left" vertical="center"/>
      <protection locked="0"/>
    </xf>
    <xf numFmtId="165" fontId="15" fillId="0" borderId="27" xfId="0" applyNumberFormat="1" applyFont="1" applyBorder="1" applyAlignment="1" applyProtection="1">
      <alignment horizontal="center" vertical="center"/>
      <protection locked="0"/>
    </xf>
    <xf numFmtId="165" fontId="15" fillId="0" borderId="27" xfId="0" applyNumberFormat="1" applyFont="1" applyBorder="1" applyAlignment="1" applyProtection="1">
      <alignment vertical="center"/>
      <protection locked="0"/>
    </xf>
    <xf numFmtId="1" fontId="15" fillId="0" borderId="27" xfId="0" applyNumberFormat="1" applyFont="1" applyBorder="1" applyAlignment="1" applyProtection="1">
      <alignment vertical="center" wrapText="1"/>
      <protection locked="0"/>
    </xf>
    <xf numFmtId="165" fontId="15" fillId="0" borderId="27" xfId="0" applyNumberFormat="1" applyFont="1" applyBorder="1" applyAlignment="1" applyProtection="1">
      <alignment vertical="center" wrapText="1"/>
      <protection locked="0"/>
    </xf>
    <xf numFmtId="168" fontId="15" fillId="0" borderId="27" xfId="0" applyNumberFormat="1" applyFont="1" applyBorder="1" applyAlignment="1" applyProtection="1">
      <alignment vertical="center" wrapText="1"/>
      <protection locked="0"/>
    </xf>
    <xf numFmtId="168" fontId="15" fillId="0" borderId="27" xfId="0" applyNumberFormat="1" applyFont="1" applyBorder="1" applyAlignment="1" applyProtection="1">
      <alignment vertical="center"/>
      <protection locked="0"/>
    </xf>
    <xf numFmtId="0" fontId="15" fillId="0" borderId="27" xfId="0" applyFont="1" applyBorder="1" applyAlignment="1" applyProtection="1">
      <alignment vertical="center"/>
      <protection locked="0"/>
    </xf>
    <xf numFmtId="1" fontId="15" fillId="0" borderId="30" xfId="0" applyNumberFormat="1" applyFont="1" applyBorder="1" applyAlignment="1">
      <alignment horizontal="center" vertical="center"/>
    </xf>
    <xf numFmtId="174" fontId="15" fillId="0" borderId="23" xfId="0" applyNumberFormat="1" applyFont="1" applyBorder="1" applyAlignment="1" applyProtection="1">
      <alignment horizontal="center" vertical="center"/>
      <protection locked="0"/>
    </xf>
    <xf numFmtId="174" fontId="15" fillId="0" borderId="24" xfId="0" applyNumberFormat="1" applyFont="1" applyBorder="1" applyAlignment="1" applyProtection="1">
      <alignment horizontal="center" vertical="center"/>
      <protection locked="0"/>
    </xf>
    <xf numFmtId="0" fontId="37" fillId="0" borderId="31" xfId="0" applyFont="1" applyBorder="1" applyAlignment="1">
      <alignment horizontal="center" vertical="center"/>
    </xf>
    <xf numFmtId="49" fontId="15" fillId="0" borderId="31" xfId="0" applyNumberFormat="1" applyFont="1" applyBorder="1" applyAlignment="1" applyProtection="1">
      <alignment horizontal="center" vertical="center"/>
      <protection locked="0"/>
    </xf>
    <xf numFmtId="165" fontId="15" fillId="31" borderId="32" xfId="0" applyNumberFormat="1" applyFont="1" applyFill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0" fontId="37" fillId="24" borderId="36" xfId="0" applyFont="1" applyFill="1" applyBorder="1" applyAlignment="1">
      <alignment horizontal="center" vertical="center"/>
    </xf>
    <xf numFmtId="0" fontId="15" fillId="24" borderId="36" xfId="0" applyFont="1" applyFill="1" applyBorder="1" applyAlignment="1" applyProtection="1">
      <alignment horizontal="center" vertical="center"/>
      <protection locked="0"/>
    </xf>
    <xf numFmtId="0" fontId="15" fillId="24" borderId="36" xfId="0" applyFont="1" applyFill="1" applyBorder="1" applyAlignment="1">
      <alignment horizontal="center" vertical="center"/>
    </xf>
    <xf numFmtId="1" fontId="15" fillId="24" borderId="36" xfId="1" applyNumberFormat="1" applyFont="1" applyFill="1" applyBorder="1" applyAlignment="1" applyProtection="1">
      <alignment horizontal="center" vertical="center"/>
      <protection locked="0"/>
    </xf>
    <xf numFmtId="0" fontId="15" fillId="24" borderId="36" xfId="0" applyFont="1" applyFill="1" applyBorder="1" applyAlignment="1">
      <alignment horizontal="left" vertical="center"/>
    </xf>
    <xf numFmtId="0" fontId="39" fillId="24" borderId="36" xfId="0" applyFont="1" applyFill="1" applyBorder="1" applyAlignment="1">
      <alignment horizontal="center" vertical="center"/>
    </xf>
    <xf numFmtId="0" fontId="15" fillId="24" borderId="36" xfId="0" quotePrefix="1" applyFont="1" applyFill="1" applyBorder="1" applyAlignment="1">
      <alignment horizontal="center" vertical="center"/>
    </xf>
    <xf numFmtId="1" fontId="15" fillId="24" borderId="36" xfId="0" applyNumberFormat="1" applyFont="1" applyFill="1" applyBorder="1" applyAlignment="1">
      <alignment horizontal="center" vertical="center"/>
    </xf>
    <xf numFmtId="165" fontId="15" fillId="24" borderId="36" xfId="2" applyNumberFormat="1" applyFont="1" applyFill="1" applyBorder="1" applyAlignment="1" applyProtection="1">
      <alignment horizontal="center" vertical="center"/>
    </xf>
    <xf numFmtId="165" fontId="15" fillId="24" borderId="36" xfId="0" applyNumberFormat="1" applyFont="1" applyFill="1" applyBorder="1" applyAlignment="1">
      <alignment horizontal="center" vertical="center"/>
    </xf>
    <xf numFmtId="166" fontId="15" fillId="24" borderId="36" xfId="0" applyNumberFormat="1" applyFont="1" applyFill="1" applyBorder="1" applyAlignment="1">
      <alignment horizontal="center" vertical="center"/>
    </xf>
    <xf numFmtId="173" fontId="15" fillId="24" borderId="36" xfId="46" applyNumberFormat="1" applyFont="1" applyFill="1" applyBorder="1" applyAlignment="1">
      <alignment horizontal="center" vertical="center"/>
    </xf>
    <xf numFmtId="173" fontId="32" fillId="24" borderId="36" xfId="46" applyNumberFormat="1" applyFont="1" applyFill="1" applyBorder="1" applyAlignment="1">
      <alignment horizontal="center" vertical="center"/>
    </xf>
    <xf numFmtId="166" fontId="32" fillId="24" borderId="36" xfId="0" applyNumberFormat="1" applyFont="1" applyFill="1" applyBorder="1" applyAlignment="1">
      <alignment horizontal="center" vertical="center"/>
    </xf>
    <xf numFmtId="168" fontId="15" fillId="24" borderId="36" xfId="0" applyNumberFormat="1" applyFont="1" applyFill="1" applyBorder="1" applyAlignment="1" applyProtection="1">
      <alignment horizontal="center" vertical="center"/>
      <protection locked="0"/>
    </xf>
    <xf numFmtId="166" fontId="32" fillId="24" borderId="36" xfId="0" applyNumberFormat="1" applyFont="1" applyFill="1" applyBorder="1" applyAlignment="1" applyProtection="1">
      <alignment horizontal="center" vertical="center"/>
      <protection locked="0"/>
    </xf>
    <xf numFmtId="0" fontId="37" fillId="24" borderId="36" xfId="0" applyFont="1" applyFill="1" applyBorder="1" applyAlignment="1" applyProtection="1">
      <alignment horizontal="left" vertical="center"/>
      <protection locked="0"/>
    </xf>
    <xf numFmtId="49" fontId="15" fillId="24" borderId="36" xfId="0" applyNumberFormat="1" applyFont="1" applyFill="1" applyBorder="1" applyAlignment="1" applyProtection="1">
      <alignment horizontal="center" vertical="center"/>
      <protection locked="0"/>
    </xf>
    <xf numFmtId="9" fontId="15" fillId="24" borderId="36" xfId="46" applyFont="1" applyFill="1" applyBorder="1" applyAlignment="1">
      <alignment horizontal="center" vertical="center"/>
    </xf>
    <xf numFmtId="1" fontId="15" fillId="40" borderId="36" xfId="0" applyNumberFormat="1" applyFont="1" applyFill="1" applyBorder="1" applyAlignment="1" applyProtection="1">
      <alignment horizontal="center" vertical="center"/>
      <protection locked="0"/>
    </xf>
    <xf numFmtId="0" fontId="15" fillId="40" borderId="36" xfId="0" applyFont="1" applyFill="1" applyBorder="1" applyAlignment="1" applyProtection="1">
      <alignment horizontal="center" vertical="center"/>
      <protection locked="0"/>
    </xf>
    <xf numFmtId="14" fontId="15" fillId="24" borderId="36" xfId="0" applyNumberFormat="1" applyFont="1" applyFill="1" applyBorder="1" applyAlignment="1" applyProtection="1">
      <alignment horizontal="center" vertical="center"/>
      <protection locked="0"/>
    </xf>
    <xf numFmtId="3" fontId="15" fillId="24" borderId="36" xfId="0" applyNumberFormat="1" applyFont="1" applyFill="1" applyBorder="1" applyAlignment="1" applyProtection="1">
      <alignment horizontal="center" vertical="center"/>
      <protection locked="0"/>
    </xf>
    <xf numFmtId="172" fontId="15" fillId="24" borderId="36" xfId="0" applyNumberFormat="1" applyFont="1" applyFill="1" applyBorder="1" applyAlignment="1" applyProtection="1">
      <alignment horizontal="center" vertical="center"/>
      <protection locked="0"/>
    </xf>
    <xf numFmtId="171" fontId="15" fillId="24" borderId="36" xfId="0" applyNumberFormat="1" applyFont="1" applyFill="1" applyBorder="1" applyAlignment="1" applyProtection="1">
      <alignment horizontal="center" vertical="center"/>
      <protection locked="0"/>
    </xf>
    <xf numFmtId="165" fontId="15" fillId="24" borderId="36" xfId="0" applyNumberFormat="1" applyFont="1" applyFill="1" applyBorder="1" applyAlignment="1" applyProtection="1">
      <alignment horizontal="center" vertical="center"/>
      <protection locked="0"/>
    </xf>
    <xf numFmtId="169" fontId="15" fillId="24" borderId="36" xfId="0" applyNumberFormat="1" applyFont="1" applyFill="1" applyBorder="1" applyAlignment="1" applyProtection="1">
      <alignment horizontal="center" vertical="center"/>
      <protection locked="0"/>
    </xf>
    <xf numFmtId="165" fontId="15" fillId="24" borderId="36" xfId="0" applyNumberFormat="1" applyFont="1" applyFill="1" applyBorder="1" applyAlignment="1" applyProtection="1">
      <alignment vertical="center"/>
      <protection locked="0"/>
    </xf>
    <xf numFmtId="1" fontId="15" fillId="24" borderId="36" xfId="0" applyNumberFormat="1" applyFont="1" applyFill="1" applyBorder="1" applyAlignment="1" applyProtection="1">
      <alignment vertical="center" wrapText="1"/>
      <protection locked="0"/>
    </xf>
    <xf numFmtId="165" fontId="15" fillId="24" borderId="36" xfId="0" applyNumberFormat="1" applyFont="1" applyFill="1" applyBorder="1" applyAlignment="1" applyProtection="1">
      <alignment vertical="center" wrapText="1"/>
      <protection locked="0"/>
    </xf>
    <xf numFmtId="168" fontId="15" fillId="24" borderId="36" xfId="0" applyNumberFormat="1" applyFont="1" applyFill="1" applyBorder="1" applyAlignment="1" applyProtection="1">
      <alignment vertical="center" wrapText="1"/>
      <protection locked="0"/>
    </xf>
    <xf numFmtId="168" fontId="15" fillId="24" borderId="36" xfId="0" applyNumberFormat="1" applyFont="1" applyFill="1" applyBorder="1" applyAlignment="1" applyProtection="1">
      <alignment vertical="center"/>
      <protection locked="0"/>
    </xf>
    <xf numFmtId="174" fontId="15" fillId="24" borderId="37" xfId="0" applyNumberFormat="1" applyFont="1" applyFill="1" applyBorder="1" applyAlignment="1" applyProtection="1">
      <alignment horizontal="center" vertical="center"/>
      <protection locked="0"/>
    </xf>
    <xf numFmtId="174" fontId="15" fillId="24" borderId="38" xfId="0" applyNumberFormat="1" applyFont="1" applyFill="1" applyBorder="1" applyAlignment="1" applyProtection="1">
      <alignment horizontal="center" vertical="center"/>
      <protection locked="0"/>
    </xf>
    <xf numFmtId="0" fontId="15" fillId="24" borderId="36" xfId="0" applyFont="1" applyFill="1" applyBorder="1" applyAlignment="1" applyProtection="1">
      <alignment vertical="center"/>
      <protection locked="0"/>
    </xf>
    <xf numFmtId="0" fontId="15" fillId="0" borderId="31" xfId="0" applyFont="1" applyBorder="1" applyAlignment="1" applyProtection="1">
      <alignment horizontal="center" vertical="center"/>
      <protection locked="0"/>
    </xf>
    <xf numFmtId="0" fontId="37" fillId="32" borderId="4" xfId="0" applyFont="1" applyFill="1" applyBorder="1" applyAlignment="1" applyProtection="1">
      <alignment horizontal="left" vertical="center"/>
      <protection locked="0"/>
    </xf>
    <xf numFmtId="0" fontId="37" fillId="32" borderId="41" xfId="0" applyFont="1" applyFill="1" applyBorder="1" applyAlignment="1" applyProtection="1">
      <alignment horizontal="left" vertical="center"/>
      <protection locked="0"/>
    </xf>
    <xf numFmtId="0" fontId="13" fillId="35" borderId="41" xfId="0" applyFont="1" applyFill="1" applyBorder="1" applyAlignment="1">
      <alignment horizontal="center" vertical="center"/>
    </xf>
    <xf numFmtId="0" fontId="13" fillId="35" borderId="39" xfId="0" applyFont="1" applyFill="1" applyBorder="1" applyAlignment="1">
      <alignment vertical="center"/>
    </xf>
    <xf numFmtId="0" fontId="13" fillId="35" borderId="40" xfId="0" applyFont="1" applyFill="1" applyBorder="1" applyAlignment="1">
      <alignment vertical="center"/>
    </xf>
    <xf numFmtId="0" fontId="13" fillId="35" borderId="40" xfId="0" applyFont="1" applyFill="1" applyBorder="1" applyAlignment="1">
      <alignment horizontal="center" vertical="center"/>
    </xf>
    <xf numFmtId="0" fontId="13" fillId="20" borderId="41" xfId="0" applyFont="1" applyFill="1" applyBorder="1" applyAlignment="1">
      <alignment horizontal="center" vertical="center"/>
    </xf>
    <xf numFmtId="0" fontId="13" fillId="21" borderId="41" xfId="0" applyFont="1" applyFill="1" applyBorder="1" applyAlignment="1">
      <alignment horizontal="center" vertical="center"/>
    </xf>
    <xf numFmtId="0" fontId="23" fillId="22" borderId="41" xfId="0" applyFont="1" applyFill="1" applyBorder="1" applyAlignment="1">
      <alignment horizontal="center" vertical="center"/>
    </xf>
    <xf numFmtId="0" fontId="23" fillId="23" borderId="41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/>
    </xf>
    <xf numFmtId="0" fontId="19" fillId="0" borderId="41" xfId="0" applyFont="1" applyBorder="1" applyAlignment="1">
      <alignment horizontal="left" indent="1"/>
    </xf>
    <xf numFmtId="0" fontId="19" fillId="0" borderId="41" xfId="0" applyFont="1" applyBorder="1" applyAlignment="1">
      <alignment horizontal="left" vertical="center"/>
    </xf>
    <xf numFmtId="0" fontId="19" fillId="0" borderId="41" xfId="0" applyFont="1" applyBorder="1" applyAlignment="1">
      <alignment horizontal="center" vertical="center"/>
    </xf>
    <xf numFmtId="0" fontId="19" fillId="0" borderId="41" xfId="0" applyFont="1" applyBorder="1" applyAlignment="1">
      <alignment horizontal="left" vertical="center" indent="1"/>
    </xf>
    <xf numFmtId="172" fontId="19" fillId="0" borderId="41" xfId="0" applyNumberFormat="1" applyFont="1" applyBorder="1" applyAlignment="1">
      <alignment horizontal="left" indent="1"/>
    </xf>
    <xf numFmtId="0" fontId="19" fillId="37" borderId="41" xfId="0" applyFont="1" applyFill="1" applyBorder="1" applyAlignment="1">
      <alignment horizontal="center"/>
    </xf>
    <xf numFmtId="0" fontId="19" fillId="24" borderId="41" xfId="0" applyFont="1" applyFill="1" applyBorder="1" applyAlignment="1">
      <alignment horizontal="center"/>
    </xf>
    <xf numFmtId="1" fontId="19" fillId="0" borderId="41" xfId="0" applyNumberFormat="1" applyFont="1" applyBorder="1" applyAlignment="1">
      <alignment horizontal="left" indent="1"/>
    </xf>
    <xf numFmtId="0" fontId="19" fillId="26" borderId="41" xfId="0" applyFont="1" applyFill="1" applyBorder="1" applyAlignment="1">
      <alignment horizontal="center"/>
    </xf>
    <xf numFmtId="0" fontId="19" fillId="39" borderId="41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41" fillId="24" borderId="41" xfId="0" applyFont="1" applyFill="1" applyBorder="1" applyAlignment="1">
      <alignment horizontal="center"/>
    </xf>
    <xf numFmtId="0" fontId="19" fillId="23" borderId="41" xfId="0" applyFont="1" applyFill="1" applyBorder="1" applyAlignment="1">
      <alignment horizontal="center"/>
    </xf>
    <xf numFmtId="0" fontId="19" fillId="31" borderId="41" xfId="0" applyFont="1" applyFill="1" applyBorder="1" applyAlignment="1">
      <alignment horizontal="center"/>
    </xf>
    <xf numFmtId="0" fontId="0" fillId="0" borderId="41" xfId="0" applyBorder="1" applyAlignment="1">
      <alignment horizontal="left" indent="1"/>
    </xf>
    <xf numFmtId="0" fontId="0" fillId="0" borderId="41" xfId="0" applyBorder="1"/>
    <xf numFmtId="0" fontId="42" fillId="24" borderId="41" xfId="0" applyFont="1" applyFill="1" applyBorder="1" applyAlignment="1">
      <alignment horizontal="center"/>
    </xf>
    <xf numFmtId="0" fontId="0" fillId="24" borderId="41" xfId="0" applyFill="1" applyBorder="1" applyAlignment="1">
      <alignment horizontal="center"/>
    </xf>
    <xf numFmtId="0" fontId="0" fillId="0" borderId="41" xfId="0" applyBorder="1" applyAlignment="1">
      <alignment horizontal="left"/>
    </xf>
    <xf numFmtId="0" fontId="19" fillId="0" borderId="41" xfId="0" applyFont="1" applyBorder="1" applyAlignment="1">
      <alignment vertical="center"/>
    </xf>
    <xf numFmtId="0" fontId="19" fillId="0" borderId="41" xfId="0" applyFont="1" applyBorder="1" applyAlignment="1">
      <alignment horizontal="left"/>
    </xf>
    <xf numFmtId="0" fontId="15" fillId="0" borderId="41" xfId="0" applyFont="1" applyBorder="1" applyAlignment="1">
      <alignment horizontal="left" vertical="center"/>
    </xf>
    <xf numFmtId="174" fontId="15" fillId="0" borderId="23" xfId="0" applyNumberFormat="1" applyFont="1" applyBorder="1" applyAlignment="1" applyProtection="1">
      <alignment horizontal="center" vertical="center"/>
      <protection locked="0"/>
    </xf>
    <xf numFmtId="174" fontId="15" fillId="0" borderId="24" xfId="0" applyNumberFormat="1" applyFont="1" applyBorder="1" applyAlignment="1" applyProtection="1">
      <alignment horizontal="center" vertical="center"/>
      <protection locked="0"/>
    </xf>
    <xf numFmtId="0" fontId="15" fillId="24" borderId="25" xfId="0" applyFont="1" applyFill="1" applyBorder="1" applyAlignment="1" applyProtection="1">
      <alignment horizontal="center" vertical="center" wrapText="1"/>
      <protection locked="0"/>
    </xf>
    <xf numFmtId="174" fontId="15" fillId="0" borderId="39" xfId="0" applyNumberFormat="1" applyFont="1" applyBorder="1" applyAlignment="1" applyProtection="1">
      <alignment horizontal="center" vertical="center"/>
      <protection locked="0"/>
    </xf>
    <xf numFmtId="174" fontId="15" fillId="0" borderId="40" xfId="0" applyNumberFormat="1" applyFont="1" applyBorder="1" applyAlignment="1" applyProtection="1">
      <alignment horizontal="center" vertical="center"/>
      <protection locked="0"/>
    </xf>
    <xf numFmtId="174" fontId="15" fillId="0" borderId="28" xfId="0" applyNumberFormat="1" applyFont="1" applyBorder="1" applyAlignment="1" applyProtection="1">
      <alignment horizontal="center" vertical="center"/>
      <protection locked="0"/>
    </xf>
    <xf numFmtId="174" fontId="15" fillId="0" borderId="29" xfId="0" applyNumberFormat="1" applyFont="1" applyBorder="1" applyAlignment="1" applyProtection="1">
      <alignment horizontal="center" vertical="center"/>
      <protection locked="0"/>
    </xf>
    <xf numFmtId="174" fontId="15" fillId="0" borderId="34" xfId="0" applyNumberFormat="1" applyFont="1" applyBorder="1" applyAlignment="1" applyProtection="1">
      <alignment horizontal="center" vertical="center"/>
      <protection locked="0"/>
    </xf>
    <xf numFmtId="174" fontId="15" fillId="0" borderId="35" xfId="0" applyNumberFormat="1" applyFont="1" applyBorder="1" applyAlignment="1" applyProtection="1">
      <alignment horizontal="center" vertical="center"/>
      <protection locked="0"/>
    </xf>
    <xf numFmtId="0" fontId="15" fillId="25" borderId="25" xfId="0" applyFont="1" applyFill="1" applyBorder="1" applyAlignment="1" applyProtection="1">
      <alignment horizontal="center" vertical="center" wrapText="1"/>
      <protection locked="0"/>
    </xf>
    <xf numFmtId="0" fontId="32" fillId="25" borderId="24" xfId="0" applyFont="1" applyFill="1" applyBorder="1" applyAlignment="1" applyProtection="1">
      <alignment horizontal="center" vertical="center" wrapText="1"/>
      <protection locked="0"/>
    </xf>
    <xf numFmtId="0" fontId="32" fillId="2" borderId="14" xfId="0" applyFont="1" applyFill="1" applyBorder="1" applyAlignment="1" applyProtection="1">
      <alignment horizontal="center" vertical="center" wrapText="1"/>
      <protection locked="0"/>
    </xf>
    <xf numFmtId="0" fontId="32" fillId="2" borderId="4" xfId="0" applyFont="1" applyFill="1" applyBorder="1" applyAlignment="1" applyProtection="1">
      <alignment horizontal="center" vertical="center" wrapText="1"/>
      <protection locked="0"/>
    </xf>
    <xf numFmtId="0" fontId="15" fillId="21" borderId="4" xfId="0" applyFont="1" applyFill="1" applyBorder="1" applyAlignment="1">
      <alignment horizontal="center" vertical="center" wrapText="1"/>
    </xf>
    <xf numFmtId="0" fontId="15" fillId="21" borderId="25" xfId="0" applyFont="1" applyFill="1" applyBorder="1" applyAlignment="1">
      <alignment horizontal="center" vertical="center" wrapText="1"/>
    </xf>
    <xf numFmtId="0" fontId="32" fillId="2" borderId="25" xfId="0" applyFont="1" applyFill="1" applyBorder="1" applyAlignment="1" applyProtection="1">
      <alignment horizontal="center" vertical="center" wrapText="1"/>
      <protection locked="0"/>
    </xf>
    <xf numFmtId="0" fontId="15" fillId="24" borderId="21" xfId="0" applyFont="1" applyFill="1" applyBorder="1" applyAlignment="1" applyProtection="1">
      <alignment horizontal="center" vertical="center"/>
      <protection locked="0"/>
    </xf>
    <xf numFmtId="0" fontId="15" fillId="24" borderId="4" xfId="0" applyFont="1" applyFill="1" applyBorder="1" applyAlignment="1" applyProtection="1">
      <alignment horizontal="center" vertical="center"/>
      <protection locked="0"/>
    </xf>
    <xf numFmtId="0" fontId="15" fillId="36" borderId="25" xfId="0" applyFont="1" applyFill="1" applyBorder="1" applyAlignment="1">
      <alignment horizontal="center" vertical="center" wrapText="1"/>
    </xf>
    <xf numFmtId="0" fontId="34" fillId="24" borderId="23" xfId="0" applyFont="1" applyFill="1" applyBorder="1" applyAlignment="1">
      <alignment horizontal="center" vertical="center"/>
    </xf>
    <xf numFmtId="0" fontId="34" fillId="24" borderId="13" xfId="0" applyFont="1" applyFill="1" applyBorder="1" applyAlignment="1">
      <alignment horizontal="center" vertical="center"/>
    </xf>
    <xf numFmtId="0" fontId="34" fillId="24" borderId="24" xfId="0" applyFont="1" applyFill="1" applyBorder="1" applyAlignment="1">
      <alignment horizontal="center" vertical="center"/>
    </xf>
    <xf numFmtId="0" fontId="15" fillId="2" borderId="21" xfId="0" applyFont="1" applyFill="1" applyBorder="1" applyAlignment="1" applyProtection="1">
      <alignment horizontal="center" vertical="center"/>
      <protection locked="0"/>
    </xf>
    <xf numFmtId="0" fontId="15" fillId="2" borderId="4" xfId="0" applyFont="1" applyFill="1" applyBorder="1" applyAlignment="1" applyProtection="1">
      <alignment horizontal="center" vertical="center"/>
      <protection locked="0"/>
    </xf>
    <xf numFmtId="0" fontId="35" fillId="27" borderId="18" xfId="0" applyFont="1" applyFill="1" applyBorder="1" applyAlignment="1" applyProtection="1">
      <alignment horizontal="center" vertical="center"/>
      <protection locked="0"/>
    </xf>
    <xf numFmtId="0" fontId="35" fillId="27" borderId="19" xfId="0" applyFont="1" applyFill="1" applyBorder="1" applyAlignment="1" applyProtection="1">
      <alignment horizontal="center" vertical="center"/>
      <protection locked="0"/>
    </xf>
    <xf numFmtId="0" fontId="15" fillId="25" borderId="24" xfId="0" applyFont="1" applyFill="1" applyBorder="1" applyAlignment="1" applyProtection="1">
      <alignment horizontal="center" vertical="center" wrapText="1"/>
      <protection locked="0"/>
    </xf>
    <xf numFmtId="0" fontId="32" fillId="2" borderId="22" xfId="0" applyFont="1" applyFill="1" applyBorder="1" applyAlignment="1" applyProtection="1">
      <alignment horizontal="center" vertical="center" wrapText="1"/>
      <protection locked="0"/>
    </xf>
    <xf numFmtId="0" fontId="32" fillId="2" borderId="20" xfId="0" applyFont="1" applyFill="1" applyBorder="1" applyAlignment="1" applyProtection="1">
      <alignment horizontal="center" vertical="center" wrapText="1"/>
      <protection locked="0"/>
    </xf>
    <xf numFmtId="0" fontId="32" fillId="2" borderId="12" xfId="0" applyFont="1" applyFill="1" applyBorder="1" applyAlignment="1" applyProtection="1">
      <alignment horizontal="center" vertical="center" wrapText="1"/>
      <protection locked="0"/>
    </xf>
    <xf numFmtId="0" fontId="32" fillId="2" borderId="6" xfId="0" applyFont="1" applyFill="1" applyBorder="1" applyAlignment="1" applyProtection="1">
      <alignment horizontal="center" vertical="center" wrapText="1"/>
      <protection locked="0"/>
    </xf>
    <xf numFmtId="0" fontId="15" fillId="21" borderId="23" xfId="0" applyFont="1" applyFill="1" applyBorder="1" applyAlignment="1">
      <alignment horizontal="center" vertical="center" wrapText="1"/>
    </xf>
    <xf numFmtId="0" fontId="15" fillId="21" borderId="24" xfId="0" applyFont="1" applyFill="1" applyBorder="1" applyAlignment="1">
      <alignment horizontal="center" vertical="center" wrapText="1"/>
    </xf>
    <xf numFmtId="0" fontId="15" fillId="21" borderId="21" xfId="0" applyFont="1" applyFill="1" applyBorder="1" applyAlignment="1">
      <alignment horizontal="center" vertical="center" wrapText="1"/>
    </xf>
    <xf numFmtId="0" fontId="15" fillId="25" borderId="21" xfId="0" applyFont="1" applyFill="1" applyBorder="1" applyAlignment="1" applyProtection="1">
      <alignment horizontal="center" vertical="center" wrapText="1"/>
      <protection locked="0"/>
    </xf>
    <xf numFmtId="0" fontId="15" fillId="25" borderId="4" xfId="0" applyFont="1" applyFill="1" applyBorder="1" applyAlignment="1" applyProtection="1">
      <alignment horizontal="center" vertical="center" wrapText="1"/>
      <protection locked="0"/>
    </xf>
    <xf numFmtId="0" fontId="15" fillId="24" borderId="21" xfId="0" applyFont="1" applyFill="1" applyBorder="1" applyAlignment="1" applyProtection="1">
      <alignment horizontal="center" vertical="center" wrapText="1"/>
      <protection locked="0"/>
    </xf>
    <xf numFmtId="0" fontId="15" fillId="36" borderId="21" xfId="0" applyFont="1" applyFill="1" applyBorder="1" applyAlignment="1" applyProtection="1">
      <alignment horizontal="center" vertical="center" wrapText="1"/>
      <protection locked="0"/>
    </xf>
    <xf numFmtId="0" fontId="15" fillId="36" borderId="4" xfId="0" applyFont="1" applyFill="1" applyBorder="1" applyAlignment="1" applyProtection="1">
      <alignment horizontal="center" vertical="center" wrapText="1"/>
      <protection locked="0"/>
    </xf>
    <xf numFmtId="0" fontId="39" fillId="25" borderId="25" xfId="0" applyFont="1" applyFill="1" applyBorder="1" applyAlignment="1" applyProtection="1">
      <alignment horizontal="center" vertical="center" wrapText="1"/>
      <protection locked="0"/>
    </xf>
    <xf numFmtId="0" fontId="15" fillId="36" borderId="25" xfId="0" applyFont="1" applyFill="1" applyBorder="1" applyAlignment="1" applyProtection="1">
      <alignment horizontal="center" vertical="center" wrapText="1"/>
      <protection locked="0"/>
    </xf>
    <xf numFmtId="0" fontId="15" fillId="25" borderId="25" xfId="0" applyFont="1" applyFill="1" applyBorder="1" applyAlignment="1">
      <alignment horizontal="center" vertical="center" wrapText="1"/>
    </xf>
  </cellXfs>
  <cellStyles count="52">
    <cellStyle name="Comma 2" xfId="1" xr:uid="{00000000-0005-0000-0000-000001000000}"/>
    <cellStyle name="Comma 3" xfId="2" xr:uid="{00000000-0005-0000-0000-000002000000}"/>
    <cellStyle name="Comma 4" xfId="50" xr:uid="{A266CA9A-AE7E-4558-80C1-7316615693B5}"/>
    <cellStyle name="Hyperlink" xfId="3" builtinId="8"/>
    <cellStyle name="Normal" xfId="0" builtinId="0"/>
    <cellStyle name="Normal 2" xfId="4" xr:uid="{00000000-0005-0000-0000-000005000000}"/>
    <cellStyle name="Normal 3" xfId="5" xr:uid="{00000000-0005-0000-0000-000006000000}"/>
    <cellStyle name="Normal 4" xfId="45" xr:uid="{00000000-0005-0000-0000-000007000000}"/>
    <cellStyle name="Normal 5" xfId="47" xr:uid="{98EC5597-24AF-4361-A55F-DA118CA1DF3B}"/>
    <cellStyle name="Normal 6" xfId="49" xr:uid="{724DF715-AB30-4618-BA5F-0240093D699E}"/>
    <cellStyle name="Percent" xfId="46" builtinId="5"/>
    <cellStyle name="Percent 2" xfId="6" xr:uid="{00000000-0005-0000-0000-000009000000}"/>
    <cellStyle name="Percent 3" xfId="48" xr:uid="{946309CC-63D8-4627-8FFF-512160DFF505}"/>
    <cellStyle name="Percent 4" xfId="51" xr:uid="{98E0FADC-60AA-43E8-ADD8-03FB867C8C01}"/>
    <cellStyle name="SAPBEXaggData" xfId="7" xr:uid="{00000000-0005-0000-0000-00000A000000}"/>
    <cellStyle name="SAPBEXaggDataEmph" xfId="8" xr:uid="{00000000-0005-0000-0000-00000B000000}"/>
    <cellStyle name="SAPBEXaggItem" xfId="9" xr:uid="{00000000-0005-0000-0000-00000C000000}"/>
    <cellStyle name="SAPBEXaggItemX" xfId="10" xr:uid="{00000000-0005-0000-0000-00000D000000}"/>
    <cellStyle name="SAPBEXchaText" xfId="11" xr:uid="{00000000-0005-0000-0000-00000E000000}"/>
    <cellStyle name="SAPBEXexcBad7" xfId="12" xr:uid="{00000000-0005-0000-0000-00000F000000}"/>
    <cellStyle name="SAPBEXexcBad8" xfId="13" xr:uid="{00000000-0005-0000-0000-000010000000}"/>
    <cellStyle name="SAPBEXexcBad9" xfId="14" xr:uid="{00000000-0005-0000-0000-000011000000}"/>
    <cellStyle name="SAPBEXexcCritical4" xfId="15" xr:uid="{00000000-0005-0000-0000-000012000000}"/>
    <cellStyle name="SAPBEXexcCritical5" xfId="16" xr:uid="{00000000-0005-0000-0000-000013000000}"/>
    <cellStyle name="SAPBEXexcCritical6" xfId="17" xr:uid="{00000000-0005-0000-0000-000014000000}"/>
    <cellStyle name="SAPBEXexcGood1" xfId="18" xr:uid="{00000000-0005-0000-0000-000015000000}"/>
    <cellStyle name="SAPBEXexcGood2" xfId="19" xr:uid="{00000000-0005-0000-0000-000016000000}"/>
    <cellStyle name="SAPBEXexcGood3" xfId="20" xr:uid="{00000000-0005-0000-0000-000017000000}"/>
    <cellStyle name="SAPBEXfilterDrill" xfId="21" xr:uid="{00000000-0005-0000-0000-000018000000}"/>
    <cellStyle name="SAPBEXfilterItem" xfId="22" xr:uid="{00000000-0005-0000-0000-000019000000}"/>
    <cellStyle name="SAPBEXfilterText" xfId="23" xr:uid="{00000000-0005-0000-0000-00001A000000}"/>
    <cellStyle name="SAPBEXformats" xfId="24" xr:uid="{00000000-0005-0000-0000-00001B000000}"/>
    <cellStyle name="SAPBEXheaderItem" xfId="25" xr:uid="{00000000-0005-0000-0000-00001C000000}"/>
    <cellStyle name="SAPBEXheaderText" xfId="26" xr:uid="{00000000-0005-0000-0000-00001D000000}"/>
    <cellStyle name="SAPBEXHLevel0" xfId="27" xr:uid="{00000000-0005-0000-0000-00001E000000}"/>
    <cellStyle name="SAPBEXHLevel0X" xfId="28" xr:uid="{00000000-0005-0000-0000-00001F000000}"/>
    <cellStyle name="SAPBEXHLevel1" xfId="29" xr:uid="{00000000-0005-0000-0000-000020000000}"/>
    <cellStyle name="SAPBEXHLevel1X" xfId="30" xr:uid="{00000000-0005-0000-0000-000021000000}"/>
    <cellStyle name="SAPBEXHLevel2" xfId="31" xr:uid="{00000000-0005-0000-0000-000022000000}"/>
    <cellStyle name="SAPBEXHLevel2X" xfId="32" xr:uid="{00000000-0005-0000-0000-000023000000}"/>
    <cellStyle name="SAPBEXHLevel3" xfId="33" xr:uid="{00000000-0005-0000-0000-000024000000}"/>
    <cellStyle name="SAPBEXHLevel3X" xfId="34" xr:uid="{00000000-0005-0000-0000-000025000000}"/>
    <cellStyle name="SAPBEXresData" xfId="35" xr:uid="{00000000-0005-0000-0000-000026000000}"/>
    <cellStyle name="SAPBEXresDataEmph" xfId="36" xr:uid="{00000000-0005-0000-0000-000027000000}"/>
    <cellStyle name="SAPBEXresItem" xfId="37" xr:uid="{00000000-0005-0000-0000-000028000000}"/>
    <cellStyle name="SAPBEXresItemX" xfId="38" xr:uid="{00000000-0005-0000-0000-000029000000}"/>
    <cellStyle name="SAPBEXstdData" xfId="39" xr:uid="{00000000-0005-0000-0000-00002A000000}"/>
    <cellStyle name="SAPBEXstdDataEmph" xfId="40" xr:uid="{00000000-0005-0000-0000-00002B000000}"/>
    <cellStyle name="SAPBEXstdItem" xfId="41" xr:uid="{00000000-0005-0000-0000-00002C000000}"/>
    <cellStyle name="SAPBEXstdItemX" xfId="42" xr:uid="{00000000-0005-0000-0000-00002D000000}"/>
    <cellStyle name="SAPBEXtitle" xfId="43" xr:uid="{00000000-0005-0000-0000-00002E000000}"/>
    <cellStyle name="SAPBEXundefined" xfId="44" xr:uid="{00000000-0005-0000-0000-00002F00000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FFFFCC"/>
      <color rgb="FFFFFF99"/>
      <color rgb="FFFF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Factory%20&amp;%20Operation\2026%20Daily%20production%20Report\1.January%202026\30.01.2026.xlsx" TargetMode="External"/><Relationship Id="rId1" Type="http://schemas.openxmlformats.org/officeDocument/2006/relationships/externalLinkPath" Target="file:///Y:\Factory%20&amp;%20Operation\2026%20Daily%20production%20Report\1.January%202026\30.01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Factory%20&amp;%20Operation\2026%20Daily%20production%20Report\4.April%202026\02.04.2026.xlsx" TargetMode="External"/><Relationship Id="rId1" Type="http://schemas.openxmlformats.org/officeDocument/2006/relationships/externalLinkPath" Target="file:///Y:\Factory%20&amp;%20Operation\2026%20Daily%20production%20Report\4.April%202026\02.04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 Report"/>
      <sheetName val="Reference Card "/>
      <sheetName val="Use this"/>
      <sheetName val="HP EFF%"/>
      <sheetName val="FMC"/>
      <sheetName val="Keko"/>
    </sheetNames>
    <sheetDataSet>
      <sheetData sheetId="0"/>
      <sheetData sheetId="1">
        <row r="1">
          <cell r="A1"/>
          <cell r="B1"/>
          <cell r="C1"/>
          <cell r="D1"/>
          <cell r="E1"/>
          <cell r="F1"/>
          <cell r="G1"/>
          <cell r="H1"/>
        </row>
        <row r="2">
          <cell r="A2" t="str">
            <v>Reference Card for Production Report</v>
          </cell>
          <cell r="B2"/>
          <cell r="C2"/>
          <cell r="D2"/>
          <cell r="E2"/>
          <cell r="F2"/>
          <cell r="G2"/>
          <cell r="H2"/>
        </row>
        <row r="3">
          <cell r="A3" t="str">
            <v xml:space="preserve">Last Updated: </v>
          </cell>
          <cell r="B3" t="str">
            <v>30.06.2022</v>
          </cell>
          <cell r="C3"/>
          <cell r="D3"/>
          <cell r="E3"/>
          <cell r="F3"/>
          <cell r="G3"/>
          <cell r="H3"/>
        </row>
        <row r="4">
          <cell r="A4" t="str">
            <v xml:space="preserve">Next Update by: </v>
          </cell>
          <cell r="B4" t="str">
            <v>31.07.2022</v>
          </cell>
          <cell r="C4"/>
          <cell r="D4"/>
          <cell r="E4"/>
          <cell r="F4"/>
          <cell r="G4"/>
          <cell r="H4"/>
        </row>
        <row r="5">
          <cell r="A5"/>
          <cell r="B5"/>
          <cell r="C5" t="str">
            <v>Cavity, pc/shot</v>
          </cell>
          <cell r="D5"/>
          <cell r="E5"/>
          <cell r="F5" t="str">
            <v>Part Weight, g/pc</v>
          </cell>
          <cell r="G5"/>
          <cell r="H5" t="str">
            <v>Gross Weight, g/pc</v>
          </cell>
        </row>
        <row r="6">
          <cell r="A6" t="str">
            <v>Material</v>
          </cell>
          <cell r="B6" t="str">
            <v>Material Description</v>
          </cell>
          <cell r="C6" t="str">
            <v>SAP Routing</v>
          </cell>
          <cell r="D6" t="str">
            <v>Process</v>
          </cell>
          <cell r="E6" t="str">
            <v>Material (Resin)</v>
          </cell>
          <cell r="F6" t="str">
            <v>SAP BOM</v>
          </cell>
          <cell r="G6" t="str">
            <v>QAQC w/ tolerance</v>
          </cell>
          <cell r="H6" t="str">
            <v>Engineering Flow Chart</v>
          </cell>
        </row>
        <row r="7">
          <cell r="A7">
            <v>486135</v>
          </cell>
          <cell r="B7" t="str">
            <v>AL0102-BK CAP (BLACK)</v>
          </cell>
          <cell r="C7">
            <v>4</v>
          </cell>
          <cell r="D7" t="str">
            <v>INJ</v>
          </cell>
          <cell r="E7" t="str">
            <v>HDPE1010J</v>
          </cell>
          <cell r="F7">
            <v>2.5</v>
          </cell>
          <cell r="G7"/>
          <cell r="H7">
            <v>2.8</v>
          </cell>
        </row>
        <row r="8">
          <cell r="A8">
            <v>480196</v>
          </cell>
          <cell r="B8" t="str">
            <v>AL0102-CY CAP (CYAN)</v>
          </cell>
          <cell r="C8">
            <v>4</v>
          </cell>
          <cell r="D8" t="str">
            <v>INJ</v>
          </cell>
          <cell r="E8" t="str">
            <v>HDPE1010J</v>
          </cell>
          <cell r="F8">
            <v>2.5</v>
          </cell>
          <cell r="G8"/>
          <cell r="H8">
            <v>2.8</v>
          </cell>
        </row>
        <row r="9">
          <cell r="A9">
            <v>483356</v>
          </cell>
          <cell r="B9" t="str">
            <v>AL0102-LCY CAP (L.CYAN)</v>
          </cell>
          <cell r="C9">
            <v>4</v>
          </cell>
          <cell r="D9" t="str">
            <v>INJ</v>
          </cell>
          <cell r="E9" t="str">
            <v>HDPE1010J</v>
          </cell>
          <cell r="F9">
            <v>2.5</v>
          </cell>
          <cell r="G9"/>
          <cell r="H9">
            <v>2.8</v>
          </cell>
        </row>
        <row r="10">
          <cell r="A10">
            <v>483357</v>
          </cell>
          <cell r="B10" t="str">
            <v>AL0102-LMG CAP (L.MAGENTA)</v>
          </cell>
          <cell r="C10">
            <v>4</v>
          </cell>
          <cell r="D10" t="str">
            <v>INJ</v>
          </cell>
          <cell r="E10" t="str">
            <v>HDPE1010J</v>
          </cell>
          <cell r="F10">
            <v>2.5</v>
          </cell>
          <cell r="G10"/>
          <cell r="H10">
            <v>2.8</v>
          </cell>
        </row>
        <row r="11">
          <cell r="A11">
            <v>480198</v>
          </cell>
          <cell r="B11" t="str">
            <v>AL0102-MG CAP (MAGENTA)</v>
          </cell>
          <cell r="C11">
            <v>4</v>
          </cell>
          <cell r="D11" t="str">
            <v>INJ</v>
          </cell>
          <cell r="E11" t="str">
            <v>HDPE1010J</v>
          </cell>
          <cell r="F11">
            <v>2.5</v>
          </cell>
          <cell r="G11"/>
          <cell r="H11">
            <v>2.8</v>
          </cell>
        </row>
        <row r="12">
          <cell r="A12">
            <v>480199</v>
          </cell>
          <cell r="B12" t="str">
            <v>AL0102-YL CAP (YELLOW)</v>
          </cell>
          <cell r="C12">
            <v>4</v>
          </cell>
          <cell r="D12" t="str">
            <v>INJ</v>
          </cell>
          <cell r="E12" t="str">
            <v>HDPE1010J</v>
          </cell>
          <cell r="F12">
            <v>2.5</v>
          </cell>
          <cell r="G12"/>
          <cell r="H12">
            <v>2.5</v>
          </cell>
        </row>
        <row r="13">
          <cell r="A13">
            <v>454179</v>
          </cell>
          <cell r="B13" t="str">
            <v>AL0132-YL 120ML I/C LID (YELLOW)</v>
          </cell>
          <cell r="C13">
            <v>4</v>
          </cell>
          <cell r="D13" t="str">
            <v>INJ</v>
          </cell>
          <cell r="E13" t="str">
            <v>SM240</v>
          </cell>
          <cell r="F13">
            <v>7</v>
          </cell>
          <cell r="G13"/>
          <cell r="H13">
            <v>7</v>
          </cell>
        </row>
        <row r="14">
          <cell r="A14">
            <v>555589</v>
          </cell>
          <cell r="B14" t="str">
            <v>AL0312-YL 28MM CAP (YELLOW)</v>
          </cell>
          <cell r="C14">
            <v>4</v>
          </cell>
          <cell r="D14" t="str">
            <v>INJ</v>
          </cell>
          <cell r="E14" t="str">
            <v>PP6331</v>
          </cell>
          <cell r="F14">
            <v>3.1</v>
          </cell>
          <cell r="G14"/>
          <cell r="H14">
            <v>3.1</v>
          </cell>
        </row>
        <row r="15">
          <cell r="A15">
            <v>453724</v>
          </cell>
          <cell r="B15" t="str">
            <v>AL0316-BR 28MM NO LOGO CAP (BROWN)</v>
          </cell>
          <cell r="C15">
            <v>24</v>
          </cell>
          <cell r="D15" t="str">
            <v>INJ</v>
          </cell>
          <cell r="E15" t="str">
            <v>PP6331</v>
          </cell>
          <cell r="F15">
            <v>2.4</v>
          </cell>
          <cell r="G15"/>
          <cell r="H15">
            <v>2.4</v>
          </cell>
        </row>
        <row r="16">
          <cell r="A16">
            <v>453725</v>
          </cell>
          <cell r="B16" t="str">
            <v>AL0316-DBL 28MM NO LOGO CAP (D.BLUE)</v>
          </cell>
          <cell r="C16">
            <v>24</v>
          </cell>
          <cell r="D16" t="str">
            <v>INJ</v>
          </cell>
          <cell r="E16" t="str">
            <v>PP6331</v>
          </cell>
          <cell r="F16">
            <v>2.4</v>
          </cell>
          <cell r="G16"/>
          <cell r="H16">
            <v>2.4</v>
          </cell>
        </row>
        <row r="17">
          <cell r="A17">
            <v>453732</v>
          </cell>
          <cell r="B17" t="str">
            <v>AL0316-WH 28MM NO LOGO CAP (WHITE)</v>
          </cell>
          <cell r="C17">
            <v>24</v>
          </cell>
          <cell r="D17" t="str">
            <v>INJ</v>
          </cell>
          <cell r="E17" t="str">
            <v>PP6331</v>
          </cell>
          <cell r="F17">
            <v>2.4</v>
          </cell>
          <cell r="G17"/>
          <cell r="H17">
            <v>2.4</v>
          </cell>
        </row>
        <row r="18">
          <cell r="A18">
            <v>453733</v>
          </cell>
          <cell r="B18" t="str">
            <v>AL0316-YL 28MM NO LOGO CAP (YELLOW)</v>
          </cell>
          <cell r="C18">
            <v>24</v>
          </cell>
          <cell r="D18" t="str">
            <v>INJ</v>
          </cell>
          <cell r="E18" t="str">
            <v>PP6331</v>
          </cell>
          <cell r="F18">
            <v>2.4</v>
          </cell>
          <cell r="G18"/>
          <cell r="H18">
            <v>2.4</v>
          </cell>
        </row>
        <row r="19">
          <cell r="A19">
            <v>453735</v>
          </cell>
          <cell r="B19" t="str">
            <v>AL0323-BR 37MM COVER (BROWN)</v>
          </cell>
          <cell r="C19">
            <v>6</v>
          </cell>
          <cell r="D19" t="str">
            <v>INJ</v>
          </cell>
          <cell r="E19" t="str">
            <v>SM240</v>
          </cell>
          <cell r="F19">
            <v>4.3</v>
          </cell>
          <cell r="G19"/>
          <cell r="H19">
            <v>24.8</v>
          </cell>
        </row>
        <row r="20">
          <cell r="A20">
            <v>453736</v>
          </cell>
          <cell r="B20" t="str">
            <v>AL0323-NA 37MM COVER (NATURAL)</v>
          </cell>
          <cell r="C20">
            <v>6</v>
          </cell>
          <cell r="D20" t="str">
            <v>INJ</v>
          </cell>
          <cell r="E20" t="str">
            <v>SM240</v>
          </cell>
          <cell r="F20">
            <v>4.3</v>
          </cell>
          <cell r="G20"/>
          <cell r="H20">
            <v>4.3</v>
          </cell>
        </row>
        <row r="21">
          <cell r="A21">
            <v>453737</v>
          </cell>
          <cell r="B21" t="str">
            <v>AL0323-RD 37MM COVER (RED)</v>
          </cell>
          <cell r="C21">
            <v>6</v>
          </cell>
          <cell r="D21" t="str">
            <v>INJ</v>
          </cell>
          <cell r="E21" t="str">
            <v>SM240</v>
          </cell>
          <cell r="F21">
            <v>4.3</v>
          </cell>
          <cell r="G21"/>
          <cell r="H21">
            <v>4.3</v>
          </cell>
        </row>
        <row r="22">
          <cell r="A22">
            <v>542887</v>
          </cell>
          <cell r="B22" t="str">
            <v>AL0323-YL 37MM COVER (YELLOW)</v>
          </cell>
          <cell r="C22">
            <v>4</v>
          </cell>
          <cell r="D22" t="str">
            <v>INJ</v>
          </cell>
          <cell r="E22" t="str">
            <v>SM240</v>
          </cell>
          <cell r="F22">
            <v>4.3</v>
          </cell>
          <cell r="G22"/>
          <cell r="H22">
            <v>4.3</v>
          </cell>
        </row>
        <row r="23">
          <cell r="A23">
            <v>453738</v>
          </cell>
          <cell r="B23" t="str">
            <v>AL0386-WH HERBAL JELLY LID (WHITE)</v>
          </cell>
          <cell r="C23">
            <v>2</v>
          </cell>
          <cell r="D23" t="str">
            <v>INJ</v>
          </cell>
          <cell r="E23" t="str">
            <v>SM240</v>
          </cell>
          <cell r="F23">
            <v>9.5</v>
          </cell>
          <cell r="G23"/>
          <cell r="H23">
            <v>9.5</v>
          </cell>
        </row>
        <row r="24">
          <cell r="A24">
            <v>453739</v>
          </cell>
          <cell r="B24" t="str">
            <v>AL0391-NA 15ML MEASURING CAP (NATURAL)</v>
          </cell>
          <cell r="C24">
            <v>2</v>
          </cell>
          <cell r="D24" t="str">
            <v>INJ</v>
          </cell>
          <cell r="E24" t="str">
            <v>PP6331</v>
          </cell>
          <cell r="F24">
            <v>4.4000000000000004</v>
          </cell>
          <cell r="G24"/>
          <cell r="H24">
            <v>4.4400000000000004</v>
          </cell>
        </row>
        <row r="25">
          <cell r="A25">
            <v>566824</v>
          </cell>
          <cell r="B25" t="str">
            <v>AL0416-BR 400ML I/C LID (BROWN)</v>
          </cell>
          <cell r="C25">
            <v>0</v>
          </cell>
          <cell r="D25" t="str">
            <v>INJ</v>
          </cell>
          <cell r="E25" t="str">
            <v>SM240</v>
          </cell>
          <cell r="F25">
            <v>12.2</v>
          </cell>
          <cell r="G25"/>
          <cell r="H25">
            <v>12.2</v>
          </cell>
        </row>
        <row r="26">
          <cell r="A26">
            <v>567509</v>
          </cell>
          <cell r="B26" t="str">
            <v>AL0416-BR 400ML I/C LID (BROWN)CHOC CHIP</v>
          </cell>
          <cell r="C26">
            <v>0</v>
          </cell>
          <cell r="D26" t="str">
            <v>INJ</v>
          </cell>
          <cell r="E26" t="str">
            <v>SM240</v>
          </cell>
          <cell r="F26">
            <v>13.2</v>
          </cell>
          <cell r="G26"/>
          <cell r="H26">
            <v>13.2</v>
          </cell>
        </row>
        <row r="27">
          <cell r="A27">
            <v>460841</v>
          </cell>
          <cell r="B27" t="str">
            <v>AL0473-BK 473ML I/C LID (BLACK)</v>
          </cell>
          <cell r="C27">
            <v>2</v>
          </cell>
          <cell r="D27" t="str">
            <v>INJ</v>
          </cell>
          <cell r="E27" t="str">
            <v>SM240</v>
          </cell>
          <cell r="F27">
            <v>9.4</v>
          </cell>
          <cell r="G27"/>
          <cell r="H27">
            <v>9.4</v>
          </cell>
        </row>
        <row r="28">
          <cell r="A28">
            <v>454180</v>
          </cell>
          <cell r="B28" t="str">
            <v>AL0473-GD 473ML I/C LID (GOLD)</v>
          </cell>
          <cell r="C28">
            <v>2</v>
          </cell>
          <cell r="D28" t="str">
            <v>INJ</v>
          </cell>
          <cell r="E28" t="str">
            <v>SM240</v>
          </cell>
          <cell r="F28">
            <v>9.4</v>
          </cell>
          <cell r="G28"/>
          <cell r="H28">
            <v>9.44</v>
          </cell>
        </row>
        <row r="29">
          <cell r="A29">
            <v>454196</v>
          </cell>
          <cell r="B29" t="str">
            <v>AL0473-GR 473ML I/C LID (GREEN)</v>
          </cell>
          <cell r="C29">
            <v>2</v>
          </cell>
          <cell r="D29" t="str">
            <v>INJ</v>
          </cell>
          <cell r="E29" t="str">
            <v>SM240</v>
          </cell>
          <cell r="F29">
            <v>9.4</v>
          </cell>
          <cell r="G29"/>
          <cell r="H29">
            <v>9.4</v>
          </cell>
        </row>
        <row r="30">
          <cell r="A30">
            <v>467024</v>
          </cell>
          <cell r="B30" t="str">
            <v>AL0473-NA 473ML I/C LID (NATURAL)</v>
          </cell>
          <cell r="C30">
            <v>2</v>
          </cell>
          <cell r="D30" t="str">
            <v>INJ</v>
          </cell>
          <cell r="E30" t="str">
            <v>SM240</v>
          </cell>
          <cell r="F30">
            <v>9.4</v>
          </cell>
          <cell r="G30"/>
          <cell r="H30">
            <v>9.4</v>
          </cell>
        </row>
        <row r="31">
          <cell r="A31">
            <v>454201</v>
          </cell>
          <cell r="B31" t="str">
            <v>AL0473-WH 473ML I/C LID (WHITE)</v>
          </cell>
          <cell r="C31">
            <v>2</v>
          </cell>
          <cell r="D31" t="str">
            <v>INJ</v>
          </cell>
          <cell r="E31" t="str">
            <v>SM240</v>
          </cell>
          <cell r="F31">
            <v>9.4</v>
          </cell>
          <cell r="G31"/>
          <cell r="H31">
            <v>9.4</v>
          </cell>
        </row>
        <row r="32">
          <cell r="A32">
            <v>561720</v>
          </cell>
          <cell r="B32" t="str">
            <v>AL0478-BL 38MM FLIP CAP (BLUE)</v>
          </cell>
          <cell r="C32">
            <v>0</v>
          </cell>
          <cell r="D32" t="str">
            <v>INJ</v>
          </cell>
          <cell r="E32" t="str">
            <v>PP6331</v>
          </cell>
          <cell r="F32">
            <v>6.399</v>
          </cell>
          <cell r="G32"/>
          <cell r="H32"/>
        </row>
        <row r="33">
          <cell r="A33">
            <v>454185</v>
          </cell>
          <cell r="B33" t="str">
            <v>AL0478-BR 38MM FLIP CAP (BROWN)</v>
          </cell>
          <cell r="C33">
            <v>4</v>
          </cell>
          <cell r="D33" t="str">
            <v>INJ</v>
          </cell>
          <cell r="E33" t="str">
            <v>HDPE1010J+LLDPE6201</v>
          </cell>
          <cell r="F33">
            <v>6.4</v>
          </cell>
          <cell r="G33"/>
          <cell r="H33">
            <v>6.5</v>
          </cell>
        </row>
        <row r="34">
          <cell r="A34">
            <v>454186</v>
          </cell>
          <cell r="B34" t="str">
            <v>AL0478-YL 38MM FLIP CAP (YELLOW)</v>
          </cell>
          <cell r="C34">
            <v>4</v>
          </cell>
          <cell r="D34" t="str">
            <v>INJ</v>
          </cell>
          <cell r="E34" t="str">
            <v>HDPE1010J+LLDPE6201</v>
          </cell>
          <cell r="F34">
            <v>5.7</v>
          </cell>
          <cell r="G34"/>
          <cell r="H34">
            <v>6.5</v>
          </cell>
        </row>
        <row r="35">
          <cell r="A35">
            <v>454144</v>
          </cell>
          <cell r="B35" t="str">
            <v>AL0501-WH 500ML I/C LID (WHITE)</v>
          </cell>
          <cell r="C35">
            <v>1</v>
          </cell>
          <cell r="D35" t="str">
            <v>INJ</v>
          </cell>
          <cell r="E35" t="str">
            <v>HDPE1010J/LDPEG812</v>
          </cell>
          <cell r="F35">
            <v>12.3</v>
          </cell>
          <cell r="G35"/>
          <cell r="H35">
            <v>13</v>
          </cell>
        </row>
        <row r="36">
          <cell r="A36">
            <v>453742</v>
          </cell>
          <cell r="B36" t="str">
            <v>AL0507-BL 500ML I/C LID (BLUE)</v>
          </cell>
          <cell r="C36">
            <v>1</v>
          </cell>
          <cell r="D36" t="str">
            <v>INJ</v>
          </cell>
          <cell r="E36" t="str">
            <v>LDPEG812</v>
          </cell>
          <cell r="F36">
            <v>12.3</v>
          </cell>
          <cell r="G36"/>
          <cell r="H36">
            <v>12.3</v>
          </cell>
        </row>
        <row r="37">
          <cell r="A37">
            <v>453743</v>
          </cell>
          <cell r="B37" t="str">
            <v>AL0507-GR 500ML I/C LID (GREEN)</v>
          </cell>
          <cell r="C37">
            <v>1</v>
          </cell>
          <cell r="D37" t="str">
            <v>INJ</v>
          </cell>
          <cell r="E37" t="str">
            <v>LDPEG812</v>
          </cell>
          <cell r="F37">
            <v>12.3</v>
          </cell>
          <cell r="G37"/>
          <cell r="H37">
            <v>12.3</v>
          </cell>
        </row>
        <row r="38">
          <cell r="A38">
            <v>453744</v>
          </cell>
          <cell r="B38" t="str">
            <v>AL0507-PK 500ML I/C LID (PINK)</v>
          </cell>
          <cell r="C38">
            <v>1</v>
          </cell>
          <cell r="D38" t="str">
            <v>INJ</v>
          </cell>
          <cell r="E38" t="str">
            <v>LDPEG812</v>
          </cell>
          <cell r="F38">
            <v>12.3</v>
          </cell>
          <cell r="G38"/>
          <cell r="H38">
            <v>12.3</v>
          </cell>
        </row>
        <row r="39">
          <cell r="A39">
            <v>453745</v>
          </cell>
          <cell r="B39" t="str">
            <v>AL0507-WH 500ML I/C LID (WHITE)</v>
          </cell>
          <cell r="C39">
            <v>1</v>
          </cell>
          <cell r="D39" t="str">
            <v>INJ</v>
          </cell>
          <cell r="E39" t="str">
            <v>HDPE1010J/LDPEG812</v>
          </cell>
          <cell r="F39">
            <v>12.3</v>
          </cell>
          <cell r="G39"/>
          <cell r="H39">
            <v>12.7</v>
          </cell>
        </row>
        <row r="40">
          <cell r="A40">
            <v>453747</v>
          </cell>
          <cell r="B40" t="str">
            <v>AL0512-BL 36MM CAP (BLUE)</v>
          </cell>
          <cell r="C40">
            <v>8</v>
          </cell>
          <cell r="D40" t="str">
            <v>INJ</v>
          </cell>
          <cell r="E40" t="str">
            <v>SM6331+SM240</v>
          </cell>
          <cell r="F40">
            <v>3.6</v>
          </cell>
          <cell r="G40"/>
          <cell r="H40">
            <v>3.5</v>
          </cell>
        </row>
        <row r="41">
          <cell r="A41">
            <v>544098</v>
          </cell>
          <cell r="B41" t="str">
            <v>AL0512-BL 36MM CAP WITH IND.SEAL (BLUE)</v>
          </cell>
          <cell r="C41">
            <v>0</v>
          </cell>
          <cell r="D41" t="str">
            <v>INJ</v>
          </cell>
          <cell r="E41" t="str">
            <v>SM6331+SM240</v>
          </cell>
          <cell r="F41">
            <v>4.5999999999999996</v>
          </cell>
          <cell r="G41"/>
          <cell r="H41">
            <v>3.5</v>
          </cell>
        </row>
        <row r="42">
          <cell r="A42">
            <v>465633</v>
          </cell>
          <cell r="B42" t="str">
            <v>AL0512-BR 36MM CAP (BROWN)</v>
          </cell>
          <cell r="C42">
            <v>8</v>
          </cell>
          <cell r="D42" t="str">
            <v>INJ</v>
          </cell>
          <cell r="E42" t="str">
            <v>SM6331+SM240</v>
          </cell>
          <cell r="F42">
            <v>3.6</v>
          </cell>
          <cell r="G42"/>
          <cell r="H42">
            <v>3.6</v>
          </cell>
        </row>
        <row r="43">
          <cell r="A43">
            <v>532334</v>
          </cell>
          <cell r="B43" t="str">
            <v>AL0512-DB36MM CAP W IND.SEAL(D.BEIGE)-V</v>
          </cell>
          <cell r="C43">
            <v>8</v>
          </cell>
          <cell r="D43" t="str">
            <v>INJ</v>
          </cell>
          <cell r="E43" t="str">
            <v>SM6331+SM240</v>
          </cell>
          <cell r="F43">
            <v>4.5999999999999996</v>
          </cell>
          <cell r="G43"/>
          <cell r="H43"/>
        </row>
        <row r="44">
          <cell r="A44">
            <v>453748</v>
          </cell>
          <cell r="B44" t="str">
            <v>AL0512-DBE 36MM CAP (DARK BEIGE)</v>
          </cell>
          <cell r="C44">
            <v>8</v>
          </cell>
          <cell r="D44" t="str">
            <v>INJ</v>
          </cell>
          <cell r="E44" t="str">
            <v>SM6331+SM240</v>
          </cell>
          <cell r="F44">
            <v>3.6</v>
          </cell>
          <cell r="G44"/>
          <cell r="H44">
            <v>3.6</v>
          </cell>
        </row>
        <row r="45">
          <cell r="A45">
            <v>454176</v>
          </cell>
          <cell r="B45" t="str">
            <v>AL0512-DBL 36MM CAP (DARK BLUE)</v>
          </cell>
          <cell r="C45">
            <v>8</v>
          </cell>
          <cell r="D45" t="str">
            <v>INJ</v>
          </cell>
          <cell r="E45" t="str">
            <v>SM6331+SM240</v>
          </cell>
          <cell r="F45">
            <v>3.6</v>
          </cell>
          <cell r="G45"/>
          <cell r="H45">
            <v>3.6</v>
          </cell>
        </row>
        <row r="46">
          <cell r="A46">
            <v>502715</v>
          </cell>
          <cell r="B46" t="str">
            <v>AL0512-DGR 36MM CAP (DARK GREEN)</v>
          </cell>
          <cell r="C46">
            <v>8</v>
          </cell>
          <cell r="D46" t="str">
            <v>INJ</v>
          </cell>
          <cell r="E46" t="str">
            <v>SM6331+SM240</v>
          </cell>
          <cell r="F46">
            <v>3.6</v>
          </cell>
          <cell r="G46"/>
          <cell r="H46">
            <v>3.6</v>
          </cell>
        </row>
        <row r="47">
          <cell r="A47">
            <v>453749</v>
          </cell>
          <cell r="B47" t="str">
            <v>AL0512-GD 36MM CAP (GOLD)</v>
          </cell>
          <cell r="C47">
            <v>8</v>
          </cell>
          <cell r="D47" t="str">
            <v>INJ</v>
          </cell>
          <cell r="E47" t="str">
            <v>SM6331+SM240</v>
          </cell>
          <cell r="F47">
            <v>3.6</v>
          </cell>
          <cell r="G47"/>
          <cell r="H47">
            <v>3.6</v>
          </cell>
        </row>
        <row r="48">
          <cell r="A48">
            <v>453750</v>
          </cell>
          <cell r="B48" t="str">
            <v>AL0512-GR 36MM CAP (GREEN)</v>
          </cell>
          <cell r="C48">
            <v>8</v>
          </cell>
          <cell r="D48" t="str">
            <v>INJ</v>
          </cell>
          <cell r="E48" t="str">
            <v>SM6331+SM240</v>
          </cell>
          <cell r="F48">
            <v>3.6</v>
          </cell>
          <cell r="G48"/>
          <cell r="H48">
            <v>3.6</v>
          </cell>
        </row>
        <row r="49">
          <cell r="A49">
            <v>454240</v>
          </cell>
          <cell r="B49" t="str">
            <v>AL0512-GY 36MM CAP (GREY)</v>
          </cell>
          <cell r="C49">
            <v>8</v>
          </cell>
          <cell r="D49" t="str">
            <v>INJ</v>
          </cell>
          <cell r="E49" t="str">
            <v>SM6331+SM240</v>
          </cell>
          <cell r="F49">
            <v>3.6</v>
          </cell>
          <cell r="G49"/>
          <cell r="H49">
            <v>3.6</v>
          </cell>
        </row>
        <row r="50">
          <cell r="A50">
            <v>453751</v>
          </cell>
          <cell r="B50" t="str">
            <v>AL0512-OR 36MM CAP (ORANGE)</v>
          </cell>
          <cell r="C50">
            <v>8</v>
          </cell>
          <cell r="D50" t="str">
            <v>INJ</v>
          </cell>
          <cell r="E50" t="str">
            <v>SM6331+SM240</v>
          </cell>
          <cell r="F50">
            <v>3.6</v>
          </cell>
          <cell r="G50"/>
          <cell r="H50">
            <v>3.6</v>
          </cell>
        </row>
        <row r="51">
          <cell r="A51">
            <v>453752</v>
          </cell>
          <cell r="B51" t="str">
            <v>AL0512-PK 36MM CAP (PINK)</v>
          </cell>
          <cell r="C51">
            <v>8</v>
          </cell>
          <cell r="D51" t="str">
            <v>INJ</v>
          </cell>
          <cell r="E51" t="str">
            <v>SM6331+SM240</v>
          </cell>
          <cell r="F51">
            <v>3.6</v>
          </cell>
          <cell r="G51"/>
          <cell r="H51">
            <v>3.6</v>
          </cell>
        </row>
        <row r="52">
          <cell r="A52">
            <v>453753</v>
          </cell>
          <cell r="B52" t="str">
            <v>AL0512-RD 36MM CAP (RED)</v>
          </cell>
          <cell r="C52">
            <v>8</v>
          </cell>
          <cell r="D52" t="str">
            <v>INJ</v>
          </cell>
          <cell r="E52" t="str">
            <v>SM6331+SM240</v>
          </cell>
          <cell r="F52">
            <v>3.6</v>
          </cell>
          <cell r="G52"/>
          <cell r="H52">
            <v>3.5</v>
          </cell>
        </row>
        <row r="53">
          <cell r="A53">
            <v>532333</v>
          </cell>
          <cell r="B53" t="str">
            <v>AL0512-RD 36MM CAP WITH IND. SEAL (RED)</v>
          </cell>
          <cell r="C53">
            <v>8</v>
          </cell>
          <cell r="D53" t="str">
            <v>INJ</v>
          </cell>
          <cell r="E53" t="str">
            <v>SM6331+SM240</v>
          </cell>
          <cell r="F53">
            <v>4.5999999999999996</v>
          </cell>
          <cell r="G53"/>
          <cell r="H53">
            <v>3.5</v>
          </cell>
        </row>
        <row r="54">
          <cell r="A54">
            <v>453754</v>
          </cell>
          <cell r="B54" t="str">
            <v>AL0512-VL 36MM CAP (VIOLET)</v>
          </cell>
          <cell r="C54">
            <v>8</v>
          </cell>
          <cell r="D54" t="str">
            <v>INJ</v>
          </cell>
          <cell r="E54" t="str">
            <v>SM6331+SM240</v>
          </cell>
          <cell r="F54">
            <v>3.6</v>
          </cell>
          <cell r="G54"/>
          <cell r="H54">
            <v>3.42</v>
          </cell>
        </row>
        <row r="55">
          <cell r="A55">
            <v>453755</v>
          </cell>
          <cell r="B55" t="str">
            <v>AL0512-WH 36MM CAP (WHITE)</v>
          </cell>
          <cell r="C55">
            <v>8</v>
          </cell>
          <cell r="D55" t="str">
            <v>INJ</v>
          </cell>
          <cell r="E55" t="str">
            <v>SM6331+SM240</v>
          </cell>
          <cell r="F55">
            <v>3.6</v>
          </cell>
          <cell r="G55"/>
          <cell r="H55">
            <v>3.6</v>
          </cell>
        </row>
        <row r="56">
          <cell r="A56">
            <v>453756</v>
          </cell>
          <cell r="B56" t="str">
            <v>AL0512-YL 36MM CAP (YELLOW)</v>
          </cell>
          <cell r="C56">
            <v>8</v>
          </cell>
          <cell r="D56" t="str">
            <v>INJ</v>
          </cell>
          <cell r="E56" t="str">
            <v>SM6331+SM240</v>
          </cell>
          <cell r="F56">
            <v>3.6</v>
          </cell>
          <cell r="G56"/>
          <cell r="H56">
            <v>3.6</v>
          </cell>
        </row>
        <row r="57">
          <cell r="A57">
            <v>503940</v>
          </cell>
          <cell r="B57" t="str">
            <v>AL0556-0500-I/C-S-WH-L CHOC (ASEM)</v>
          </cell>
          <cell r="C57">
            <v>0</v>
          </cell>
          <cell r="D57" t="str">
            <v>INJ</v>
          </cell>
          <cell r="E57" t="str">
            <v>SM240</v>
          </cell>
          <cell r="F57">
            <v>15.5</v>
          </cell>
          <cell r="G57"/>
          <cell r="H57"/>
        </row>
        <row r="58">
          <cell r="A58">
            <v>503974</v>
          </cell>
          <cell r="B58" t="str">
            <v>AL0556-0500-I/C-S-WH-L VANILLA (ASEM)</v>
          </cell>
          <cell r="C58">
            <v>0</v>
          </cell>
          <cell r="D58" t="str">
            <v>INJ</v>
          </cell>
          <cell r="E58" t="str">
            <v>SM240</v>
          </cell>
          <cell r="F58">
            <v>15.5</v>
          </cell>
          <cell r="G58"/>
          <cell r="H58">
            <v>15.5</v>
          </cell>
        </row>
        <row r="59">
          <cell r="A59">
            <v>553482</v>
          </cell>
          <cell r="B59" t="str">
            <v>AL0556-GR-L 500ML I/C LID DURIAN (ASEM)</v>
          </cell>
          <cell r="C59">
            <v>0</v>
          </cell>
          <cell r="D59" t="str">
            <v>INJ</v>
          </cell>
          <cell r="E59" t="str">
            <v>SM240</v>
          </cell>
          <cell r="F59">
            <v>15.5</v>
          </cell>
          <cell r="G59"/>
          <cell r="H59">
            <v>15.5</v>
          </cell>
        </row>
        <row r="60">
          <cell r="A60">
            <v>453758</v>
          </cell>
          <cell r="B60" t="str">
            <v>AL0556-WH-L 500ML I/C LID (WHITE)</v>
          </cell>
          <cell r="C60">
            <v>0</v>
          </cell>
          <cell r="D60" t="str">
            <v>INJ</v>
          </cell>
          <cell r="E60" t="str">
            <v>SM240</v>
          </cell>
          <cell r="F60">
            <v>14.5</v>
          </cell>
          <cell r="G60"/>
          <cell r="H60">
            <v>14.5</v>
          </cell>
        </row>
        <row r="61">
          <cell r="A61">
            <v>509852</v>
          </cell>
          <cell r="B61" t="str">
            <v>AL0556-WH-L 500ML I/C LID DURIAN (ASEM)</v>
          </cell>
          <cell r="C61">
            <v>0</v>
          </cell>
          <cell r="D61" t="str">
            <v>INJ</v>
          </cell>
          <cell r="E61" t="str">
            <v>SM240</v>
          </cell>
          <cell r="F61">
            <v>15.5</v>
          </cell>
          <cell r="G61"/>
          <cell r="H61">
            <v>15.5</v>
          </cell>
        </row>
        <row r="62">
          <cell r="A62">
            <v>503976</v>
          </cell>
          <cell r="B62" t="str">
            <v>AL0556-WH-L 500ML I/C LID S.BERRY (ASEM)</v>
          </cell>
          <cell r="C62">
            <v>0</v>
          </cell>
          <cell r="D62" t="str">
            <v>INJ</v>
          </cell>
          <cell r="E62" t="str">
            <v>SM240</v>
          </cell>
          <cell r="F62">
            <v>15.5</v>
          </cell>
          <cell r="G62"/>
          <cell r="H62">
            <v>15.5</v>
          </cell>
        </row>
        <row r="63">
          <cell r="A63">
            <v>509876</v>
          </cell>
          <cell r="B63" t="str">
            <v>AL0556-WH-L 500ML I/C LID S/CORN (ASEM)</v>
          </cell>
          <cell r="C63">
            <v>0</v>
          </cell>
          <cell r="D63" t="str">
            <v>INJ</v>
          </cell>
          <cell r="E63" t="str">
            <v>SM240</v>
          </cell>
          <cell r="F63">
            <v>15.5</v>
          </cell>
          <cell r="G63"/>
          <cell r="H63">
            <v>15.5</v>
          </cell>
        </row>
        <row r="64">
          <cell r="A64">
            <v>503980</v>
          </cell>
          <cell r="B64" t="str">
            <v>AL0556-WH-L 500ML I/C LID YAM (ASEM)</v>
          </cell>
          <cell r="C64">
            <v>0</v>
          </cell>
          <cell r="D64" t="str">
            <v>INJ</v>
          </cell>
          <cell r="E64" t="str">
            <v>SM240</v>
          </cell>
          <cell r="F64">
            <v>15.5</v>
          </cell>
          <cell r="G64"/>
          <cell r="H64">
            <v>15.5</v>
          </cell>
        </row>
        <row r="65">
          <cell r="A65">
            <v>453759</v>
          </cell>
          <cell r="B65" t="str">
            <v>AL0597-BE 473ML/500ML I/C LID (BEIGE)</v>
          </cell>
          <cell r="C65">
            <v>2</v>
          </cell>
          <cell r="D65" t="str">
            <v>INJ</v>
          </cell>
          <cell r="E65" t="str">
            <v>SM240</v>
          </cell>
          <cell r="F65">
            <v>13.200000000000001</v>
          </cell>
          <cell r="G65"/>
          <cell r="H65">
            <v>13.200000000000001</v>
          </cell>
        </row>
        <row r="66">
          <cell r="A66">
            <v>453760</v>
          </cell>
          <cell r="B66" t="str">
            <v>AL0597-BK 473ML/500ML I/C LID (BLACK)</v>
          </cell>
          <cell r="C66">
            <v>2</v>
          </cell>
          <cell r="D66" t="str">
            <v>INJ</v>
          </cell>
          <cell r="E66" t="str">
            <v>SM240</v>
          </cell>
          <cell r="F66">
            <v>13.200000000000001</v>
          </cell>
          <cell r="G66"/>
          <cell r="H66">
            <v>13.200000000000001</v>
          </cell>
        </row>
        <row r="67">
          <cell r="A67">
            <v>453761</v>
          </cell>
          <cell r="B67" t="str">
            <v>AL0597-GD 473ML/500ML I/C LID (GOLD)</v>
          </cell>
          <cell r="C67">
            <v>2</v>
          </cell>
          <cell r="D67" t="str">
            <v>INJ</v>
          </cell>
          <cell r="E67" t="str">
            <v>SM240</v>
          </cell>
          <cell r="F67">
            <v>13.200000000000001</v>
          </cell>
          <cell r="G67"/>
          <cell r="H67">
            <v>13.200000000000001</v>
          </cell>
        </row>
        <row r="68">
          <cell r="A68">
            <v>453762</v>
          </cell>
          <cell r="B68" t="str">
            <v>AL0597-GR 473ML/500ML I/C LID (GREEN)</v>
          </cell>
          <cell r="C68">
            <v>2</v>
          </cell>
          <cell r="D68" t="str">
            <v>INJ</v>
          </cell>
          <cell r="E68" t="str">
            <v>SM240</v>
          </cell>
          <cell r="F68">
            <v>13.200000000000001</v>
          </cell>
          <cell r="G68"/>
          <cell r="H68">
            <v>13.200000000000001</v>
          </cell>
        </row>
        <row r="69">
          <cell r="A69">
            <v>453763</v>
          </cell>
          <cell r="B69" t="str">
            <v>AL0597-NA 473ML/500ML I/C LID (NATURAL)</v>
          </cell>
          <cell r="C69">
            <v>2</v>
          </cell>
          <cell r="D69" t="str">
            <v>INJ</v>
          </cell>
          <cell r="E69" t="str">
            <v>SM240</v>
          </cell>
          <cell r="F69">
            <v>13.2</v>
          </cell>
          <cell r="G69"/>
          <cell r="H69">
            <v>13.2</v>
          </cell>
        </row>
        <row r="70">
          <cell r="A70">
            <v>453764</v>
          </cell>
          <cell r="B70" t="str">
            <v>AL0597-OR 473ML/500ML I/C LID (ORANGE)</v>
          </cell>
          <cell r="C70">
            <v>2</v>
          </cell>
          <cell r="D70" t="str">
            <v>INJ</v>
          </cell>
          <cell r="E70" t="str">
            <v>SM240</v>
          </cell>
          <cell r="F70">
            <v>13.200000000000001</v>
          </cell>
          <cell r="G70"/>
          <cell r="H70">
            <v>13.200000000000001</v>
          </cell>
        </row>
        <row r="71">
          <cell r="A71">
            <v>454175</v>
          </cell>
          <cell r="B71" t="str">
            <v>AL0597-PK 473ML/500ML I/C LID (PINK)</v>
          </cell>
          <cell r="C71">
            <v>2</v>
          </cell>
          <cell r="D71" t="str">
            <v>INJ</v>
          </cell>
          <cell r="E71" t="str">
            <v>SM240</v>
          </cell>
          <cell r="F71">
            <v>13.200000000000001</v>
          </cell>
          <cell r="G71"/>
          <cell r="H71">
            <v>13.200000000000001</v>
          </cell>
        </row>
        <row r="72">
          <cell r="A72">
            <v>453765</v>
          </cell>
          <cell r="B72" t="str">
            <v>AL0597-WH 473ML/500ML I/C LID (WHITE)</v>
          </cell>
          <cell r="C72">
            <v>2</v>
          </cell>
          <cell r="D72" t="str">
            <v>INJ</v>
          </cell>
          <cell r="E72" t="str">
            <v>SM240</v>
          </cell>
          <cell r="F72">
            <v>13.200000000000001</v>
          </cell>
          <cell r="G72"/>
          <cell r="H72">
            <v>13.8</v>
          </cell>
        </row>
        <row r="73">
          <cell r="A73">
            <v>454229</v>
          </cell>
          <cell r="B73" t="str">
            <v>AL0597-YL 473ML/500ML I/C LID (YELLOW)</v>
          </cell>
          <cell r="C73">
            <v>2</v>
          </cell>
          <cell r="D73" t="str">
            <v>INJ</v>
          </cell>
          <cell r="E73" t="str">
            <v>SM240</v>
          </cell>
          <cell r="F73">
            <v>13.200000000000001</v>
          </cell>
          <cell r="G73"/>
          <cell r="H73">
            <v>13.200000000000001</v>
          </cell>
        </row>
        <row r="74">
          <cell r="A74">
            <v>453766</v>
          </cell>
          <cell r="B74" t="str">
            <v>AL0712-GD 800ML I/C LID (GOLD)</v>
          </cell>
          <cell r="C74">
            <v>1</v>
          </cell>
          <cell r="D74" t="str">
            <v>INJ</v>
          </cell>
          <cell r="E74" t="str">
            <v>SM240</v>
          </cell>
          <cell r="F74">
            <v>16.600000000000001</v>
          </cell>
          <cell r="G74"/>
          <cell r="H74">
            <v>16.600000000000001</v>
          </cell>
        </row>
        <row r="75">
          <cell r="A75">
            <v>453767</v>
          </cell>
          <cell r="B75" t="str">
            <v>AL0712-VL 800ML I/C LID (VIOLET)</v>
          </cell>
          <cell r="C75">
            <v>1</v>
          </cell>
          <cell r="D75" t="str">
            <v>INJ</v>
          </cell>
          <cell r="E75" t="str">
            <v>SM240</v>
          </cell>
          <cell r="F75">
            <v>16.600000000000001</v>
          </cell>
          <cell r="G75"/>
          <cell r="H75">
            <v>16.600000000000001</v>
          </cell>
        </row>
        <row r="76">
          <cell r="A76">
            <v>453768</v>
          </cell>
          <cell r="B76" t="str">
            <v>AL0715-BR 1KG HONEY COVER (BROWN)</v>
          </cell>
          <cell r="C76">
            <v>1</v>
          </cell>
          <cell r="D76" t="str">
            <v>INJ</v>
          </cell>
          <cell r="E76" t="str">
            <v>HDPE1010J</v>
          </cell>
          <cell r="F76">
            <v>12.6</v>
          </cell>
          <cell r="G76"/>
          <cell r="H76">
            <v>12.6</v>
          </cell>
        </row>
        <row r="77">
          <cell r="A77">
            <v>454252</v>
          </cell>
          <cell r="B77" t="str">
            <v>AL0715-YL 1KG HONEY COVER (YELLOW) HD</v>
          </cell>
          <cell r="C77">
            <v>1</v>
          </cell>
          <cell r="D77" t="str">
            <v>INJ</v>
          </cell>
          <cell r="E77" t="str">
            <v>HDPE1010J</v>
          </cell>
          <cell r="F77">
            <v>12.6</v>
          </cell>
          <cell r="G77"/>
          <cell r="H77">
            <v>12.6</v>
          </cell>
        </row>
        <row r="78">
          <cell r="A78">
            <v>454253</v>
          </cell>
          <cell r="B78" t="str">
            <v>AL0715-YL 1KG HONEY COVER (YELLOW) LD</v>
          </cell>
          <cell r="C78">
            <v>1</v>
          </cell>
          <cell r="D78" t="str">
            <v>INJ</v>
          </cell>
          <cell r="E78" t="str">
            <v>LDPEG812</v>
          </cell>
          <cell r="F78">
            <v>12.6</v>
          </cell>
          <cell r="G78"/>
          <cell r="H78">
            <v>12.75</v>
          </cell>
        </row>
        <row r="79">
          <cell r="A79">
            <v>453769</v>
          </cell>
          <cell r="B79" t="str">
            <v>AL0751-YL 1KG HONEY COVER (YELLOW) HD+LD</v>
          </cell>
          <cell r="C79">
            <v>1</v>
          </cell>
          <cell r="D79" t="str">
            <v>INJ</v>
          </cell>
          <cell r="E79" t="str">
            <v>HDPE1010J/LDPEG812</v>
          </cell>
          <cell r="F79">
            <v>12.700000000000001</v>
          </cell>
          <cell r="G79"/>
          <cell r="H79">
            <v>12.4</v>
          </cell>
        </row>
        <row r="80">
          <cell r="A80">
            <v>454219</v>
          </cell>
          <cell r="B80" t="str">
            <v>AL0823-PK 750ML I/C LID (PINK)</v>
          </cell>
          <cell r="C80">
            <v>1</v>
          </cell>
          <cell r="D80" t="str">
            <v>INJ</v>
          </cell>
          <cell r="E80" t="str">
            <v>SM240</v>
          </cell>
          <cell r="F80">
            <v>12.6</v>
          </cell>
          <cell r="G80"/>
          <cell r="H80">
            <v>12.6</v>
          </cell>
        </row>
        <row r="81">
          <cell r="A81">
            <v>454249</v>
          </cell>
          <cell r="B81" t="str">
            <v>AL0921-BK 38MM CAP (BLACK)</v>
          </cell>
          <cell r="C81">
            <v>4</v>
          </cell>
          <cell r="D81" t="str">
            <v>INJ</v>
          </cell>
          <cell r="E81" t="str">
            <v>PP6331</v>
          </cell>
          <cell r="F81">
            <v>4.2</v>
          </cell>
          <cell r="G81"/>
          <cell r="H81">
            <v>4.2</v>
          </cell>
        </row>
        <row r="82">
          <cell r="A82">
            <v>454251</v>
          </cell>
          <cell r="B82" t="str">
            <v>AL0921-BL 38MM CAP (BLUE)</v>
          </cell>
          <cell r="C82">
            <v>4</v>
          </cell>
          <cell r="D82" t="str">
            <v>INJ</v>
          </cell>
          <cell r="E82" t="str">
            <v>SM6331</v>
          </cell>
          <cell r="F82">
            <v>4.2</v>
          </cell>
          <cell r="G82"/>
          <cell r="H82">
            <v>4.05</v>
          </cell>
        </row>
        <row r="83">
          <cell r="A83">
            <v>556157</v>
          </cell>
          <cell r="B83" t="str">
            <v>AL0921-BL 38MM CAP (L.BLUE) - S</v>
          </cell>
          <cell r="C83">
            <v>4</v>
          </cell>
          <cell r="D83" t="str">
            <v>INJ</v>
          </cell>
          <cell r="E83" t="str">
            <v>SM6331</v>
          </cell>
          <cell r="F83">
            <v>5.1999999999999993</v>
          </cell>
          <cell r="G83"/>
          <cell r="H83">
            <v>4.8</v>
          </cell>
        </row>
        <row r="84">
          <cell r="A84">
            <v>465632</v>
          </cell>
          <cell r="B84" t="str">
            <v>AL0921-BR 38MM CAP (BROWN)</v>
          </cell>
          <cell r="C84">
            <v>4</v>
          </cell>
          <cell r="D84" t="str">
            <v>INJ</v>
          </cell>
          <cell r="E84" t="str">
            <v>PP6331</v>
          </cell>
          <cell r="F84">
            <v>4.2</v>
          </cell>
          <cell r="G84"/>
          <cell r="H84">
            <v>4.2</v>
          </cell>
        </row>
        <row r="85">
          <cell r="A85">
            <v>617309</v>
          </cell>
          <cell r="B85" t="str">
            <v>AL0921-PK 38MM CAP (PINK) S</v>
          </cell>
          <cell r="C85">
            <v>4</v>
          </cell>
          <cell r="D85" t="str">
            <v>INJ</v>
          </cell>
          <cell r="E85" t="str">
            <v>PP6331</v>
          </cell>
          <cell r="F85">
            <v>5.2</v>
          </cell>
          <cell r="G85"/>
          <cell r="H85">
            <v>5.2</v>
          </cell>
        </row>
        <row r="86">
          <cell r="A86">
            <v>454166</v>
          </cell>
          <cell r="B86" t="str">
            <v>AL0921-GR 38MM CAP (GREEN)</v>
          </cell>
          <cell r="C86">
            <v>4</v>
          </cell>
          <cell r="D86" t="str">
            <v>INJ</v>
          </cell>
          <cell r="E86" t="str">
            <v>SM6331</v>
          </cell>
          <cell r="F86">
            <v>4.2</v>
          </cell>
          <cell r="G86"/>
          <cell r="H86">
            <v>4.8</v>
          </cell>
        </row>
        <row r="87">
          <cell r="A87">
            <v>454165</v>
          </cell>
          <cell r="B87" t="str">
            <v>AL0921-RD 38MM CAP (RED)</v>
          </cell>
          <cell r="C87">
            <v>4</v>
          </cell>
          <cell r="D87" t="str">
            <v>INJ</v>
          </cell>
          <cell r="E87" t="str">
            <v>SM6331</v>
          </cell>
          <cell r="F87">
            <v>4.2</v>
          </cell>
          <cell r="G87"/>
          <cell r="H87">
            <v>4.7</v>
          </cell>
        </row>
        <row r="88">
          <cell r="A88">
            <v>454250</v>
          </cell>
          <cell r="B88" t="str">
            <v>AL0921-YL 38MM CAP (YELLOW)</v>
          </cell>
          <cell r="C88">
            <v>4</v>
          </cell>
          <cell r="D88" t="str">
            <v>INJ</v>
          </cell>
          <cell r="E88" t="str">
            <v>PP6331</v>
          </cell>
          <cell r="F88">
            <v>4.2</v>
          </cell>
          <cell r="G88"/>
          <cell r="H88">
            <v>4.2</v>
          </cell>
        </row>
        <row r="89">
          <cell r="A89">
            <v>454256</v>
          </cell>
          <cell r="B89" t="str">
            <v>AL1015-BL HARWANY PLASTIC COVER (BLUE)</v>
          </cell>
          <cell r="C89">
            <v>2</v>
          </cell>
          <cell r="D89" t="str">
            <v>INJ</v>
          </cell>
          <cell r="E89" t="str">
            <v>HDPE1010J</v>
          </cell>
          <cell r="F89">
            <v>38</v>
          </cell>
          <cell r="G89"/>
          <cell r="H89">
            <v>38</v>
          </cell>
        </row>
        <row r="90">
          <cell r="A90">
            <v>454255</v>
          </cell>
          <cell r="B90" t="str">
            <v>AL1015-GR HARWANY PLASTIC COVER (GREEN)</v>
          </cell>
          <cell r="C90">
            <v>0</v>
          </cell>
          <cell r="D90" t="str">
            <v>INJ</v>
          </cell>
          <cell r="E90" t="str">
            <v>HDPE1010J</v>
          </cell>
          <cell r="F90">
            <v>38</v>
          </cell>
          <cell r="G90"/>
          <cell r="H90">
            <v>38</v>
          </cell>
        </row>
        <row r="91">
          <cell r="A91">
            <v>453770</v>
          </cell>
          <cell r="B91" t="str">
            <v>AL1019-GR 38MM NOZZLE CAP (GREEN)</v>
          </cell>
          <cell r="C91">
            <v>4</v>
          </cell>
          <cell r="D91" t="str">
            <v>INJ</v>
          </cell>
          <cell r="E91" t="str">
            <v>HDPE1010J</v>
          </cell>
          <cell r="F91">
            <v>4.8999999999999995</v>
          </cell>
          <cell r="G91"/>
          <cell r="H91">
            <v>4.8999999999999995</v>
          </cell>
        </row>
        <row r="92">
          <cell r="A92">
            <v>454164</v>
          </cell>
          <cell r="B92" t="str">
            <v>AL1019-RD 38MM NOZZLE CAP (RED)</v>
          </cell>
          <cell r="C92">
            <v>4</v>
          </cell>
          <cell r="D92" t="str">
            <v>INJ</v>
          </cell>
          <cell r="E92" t="str">
            <v>HDPE1010J</v>
          </cell>
          <cell r="F92">
            <v>4.8999999999999995</v>
          </cell>
          <cell r="G92"/>
          <cell r="H92">
            <v>4.96</v>
          </cell>
        </row>
        <row r="93">
          <cell r="A93">
            <v>453771</v>
          </cell>
          <cell r="B93" t="str">
            <v>AL1163-BK INSTANT NOODLE BOWL LID(BLACK)</v>
          </cell>
          <cell r="C93">
            <v>4</v>
          </cell>
          <cell r="D93" t="str">
            <v>INJ</v>
          </cell>
          <cell r="E93" t="str">
            <v>HDPE1010J</v>
          </cell>
          <cell r="F93">
            <v>21</v>
          </cell>
          <cell r="G93"/>
          <cell r="H93">
            <v>21</v>
          </cell>
        </row>
        <row r="94">
          <cell r="A94">
            <v>453772</v>
          </cell>
          <cell r="B94" t="str">
            <v>AL1203-WH 1.25LTR I/C LID (WHITE)</v>
          </cell>
          <cell r="C94">
            <v>1</v>
          </cell>
          <cell r="D94" t="str">
            <v>INJ</v>
          </cell>
          <cell r="E94" t="str">
            <v>SM240</v>
          </cell>
          <cell r="F94">
            <v>21</v>
          </cell>
          <cell r="G94"/>
          <cell r="H94">
            <v>21</v>
          </cell>
        </row>
        <row r="95">
          <cell r="A95">
            <v>453773</v>
          </cell>
          <cell r="B95" t="str">
            <v>AL1501-VL 1.25LTR I/C LID (VIOLET)</v>
          </cell>
          <cell r="C95">
            <v>1</v>
          </cell>
          <cell r="D95" t="str">
            <v>INJ</v>
          </cell>
          <cell r="E95" t="str">
            <v>HDPE1010J/LDPEG812</v>
          </cell>
          <cell r="F95">
            <v>28</v>
          </cell>
          <cell r="G95"/>
          <cell r="H95">
            <v>28.02</v>
          </cell>
        </row>
        <row r="96">
          <cell r="A96">
            <v>453774</v>
          </cell>
          <cell r="B96" t="str">
            <v>AL1501-WH 1.5LTR I/C LID (WHITE)</v>
          </cell>
          <cell r="C96">
            <v>1</v>
          </cell>
          <cell r="D96" t="str">
            <v>INJ</v>
          </cell>
          <cell r="E96" t="str">
            <v>SM240</v>
          </cell>
          <cell r="F96">
            <v>28</v>
          </cell>
          <cell r="G96"/>
          <cell r="H96">
            <v>28</v>
          </cell>
        </row>
        <row r="97">
          <cell r="A97">
            <v>467905</v>
          </cell>
          <cell r="B97" t="str">
            <v>AL1509-GR 1.25/1.5LTR I/C LID (GREEN)</v>
          </cell>
          <cell r="C97">
            <v>1</v>
          </cell>
          <cell r="D97" t="str">
            <v>INJ</v>
          </cell>
          <cell r="E97" t="str">
            <v>HDPE1010J</v>
          </cell>
          <cell r="F97">
            <v>24.7</v>
          </cell>
          <cell r="G97"/>
          <cell r="H97">
            <v>24.7</v>
          </cell>
        </row>
        <row r="98">
          <cell r="A98">
            <v>453775</v>
          </cell>
          <cell r="B98" t="str">
            <v>AL1509-WH 1.25/1.5LTR I/C LID (WHITE)</v>
          </cell>
          <cell r="C98">
            <v>1</v>
          </cell>
          <cell r="D98" t="str">
            <v>INJ</v>
          </cell>
          <cell r="E98" t="str">
            <v>HDPE1010J/LDPEG812</v>
          </cell>
          <cell r="F98">
            <v>24.7</v>
          </cell>
          <cell r="G98"/>
          <cell r="H98">
            <v>32.659999999999997</v>
          </cell>
        </row>
        <row r="99">
          <cell r="A99">
            <v>453776</v>
          </cell>
          <cell r="B99" t="str">
            <v>AL1511-BL 1.2/1.5LTR I/C LID (BLUE)</v>
          </cell>
          <cell r="C99">
            <v>1</v>
          </cell>
          <cell r="D99" t="str">
            <v>INJ</v>
          </cell>
          <cell r="E99" t="str">
            <v>HDPE1010J/LDPEG812</v>
          </cell>
          <cell r="F99">
            <v>28.4</v>
          </cell>
          <cell r="G99"/>
          <cell r="H99">
            <v>25.36</v>
          </cell>
        </row>
        <row r="100">
          <cell r="A100">
            <v>453777</v>
          </cell>
          <cell r="B100" t="str">
            <v>AL1511-BR 1.5LTR I/C LID (BROWN)</v>
          </cell>
          <cell r="C100">
            <v>1</v>
          </cell>
          <cell r="D100" t="str">
            <v>INJ</v>
          </cell>
          <cell r="E100" t="str">
            <v>SM240</v>
          </cell>
          <cell r="F100">
            <v>28.4</v>
          </cell>
          <cell r="G100"/>
          <cell r="H100">
            <v>28.4</v>
          </cell>
        </row>
        <row r="101">
          <cell r="A101">
            <v>453778</v>
          </cell>
          <cell r="B101" t="str">
            <v>AL1511-GR 1.5LTR I/C LID (GREEN)</v>
          </cell>
          <cell r="C101">
            <v>1</v>
          </cell>
          <cell r="D101" t="str">
            <v>INJ</v>
          </cell>
          <cell r="E101" t="str">
            <v>SM240</v>
          </cell>
          <cell r="F101">
            <v>28.4</v>
          </cell>
          <cell r="G101"/>
          <cell r="H101">
            <v>28.4</v>
          </cell>
        </row>
        <row r="102">
          <cell r="A102">
            <v>453779</v>
          </cell>
          <cell r="B102" t="str">
            <v>AL1511-WH 1.25/1.5LTR I/C LID (WHITE)</v>
          </cell>
          <cell r="C102">
            <v>1</v>
          </cell>
          <cell r="D102" t="str">
            <v>INJ</v>
          </cell>
          <cell r="E102" t="str">
            <v>HDPE1010J</v>
          </cell>
          <cell r="F102">
            <v>28.4</v>
          </cell>
          <cell r="G102"/>
          <cell r="H102">
            <v>28.4</v>
          </cell>
        </row>
        <row r="103">
          <cell r="A103">
            <v>453780</v>
          </cell>
          <cell r="B103" t="str">
            <v>AL1526-GR 1.3KG NDC COVER (GREEN)</v>
          </cell>
          <cell r="C103">
            <v>1</v>
          </cell>
          <cell r="D103" t="str">
            <v>INJ</v>
          </cell>
          <cell r="E103" t="str">
            <v>SM6331</v>
          </cell>
          <cell r="F103">
            <v>18.2</v>
          </cell>
          <cell r="G103"/>
          <cell r="H103">
            <v>17.600000000000001</v>
          </cell>
        </row>
        <row r="104">
          <cell r="A104">
            <v>453781</v>
          </cell>
          <cell r="B104" t="str">
            <v>AL1526-GR-2 1.3KG NDC HOLDER (GREEN)</v>
          </cell>
          <cell r="C104">
            <v>1</v>
          </cell>
          <cell r="D104" t="str">
            <v>INJ</v>
          </cell>
          <cell r="E104" t="str">
            <v>SM6331</v>
          </cell>
          <cell r="F104">
            <v>4.8999999999999995</v>
          </cell>
          <cell r="G104"/>
          <cell r="H104">
            <v>5.4</v>
          </cell>
        </row>
        <row r="105">
          <cell r="A105">
            <v>453782</v>
          </cell>
          <cell r="B105" t="str">
            <v>AL1526-OR 1.3KG NDC COVER (ORANGE)</v>
          </cell>
          <cell r="C105">
            <v>1</v>
          </cell>
          <cell r="D105" t="str">
            <v>INJ</v>
          </cell>
          <cell r="E105" t="str">
            <v>SM6331</v>
          </cell>
          <cell r="F105">
            <v>18.2</v>
          </cell>
          <cell r="G105"/>
          <cell r="H105">
            <v>17.5</v>
          </cell>
        </row>
        <row r="106">
          <cell r="A106">
            <v>453783</v>
          </cell>
          <cell r="B106" t="str">
            <v>AL1526-OR-2 1.3KG NDC HOLDER (ORANGE)</v>
          </cell>
          <cell r="C106">
            <v>1</v>
          </cell>
          <cell r="D106" t="str">
            <v>INJ</v>
          </cell>
          <cell r="E106" t="str">
            <v>SM6331</v>
          </cell>
          <cell r="F106">
            <v>4.8999999999999995</v>
          </cell>
          <cell r="G106"/>
          <cell r="H106">
            <v>5</v>
          </cell>
        </row>
        <row r="107">
          <cell r="A107">
            <v>453784</v>
          </cell>
          <cell r="B107" t="str">
            <v>AL1526-PK 1.3KG NDC COVER (PINK)</v>
          </cell>
          <cell r="C107">
            <v>1</v>
          </cell>
          <cell r="D107" t="str">
            <v>INJ</v>
          </cell>
          <cell r="E107" t="str">
            <v>SM6331</v>
          </cell>
          <cell r="F107">
            <v>18.2</v>
          </cell>
          <cell r="G107"/>
          <cell r="H107">
            <v>17.63</v>
          </cell>
        </row>
        <row r="108">
          <cell r="A108">
            <v>453785</v>
          </cell>
          <cell r="B108" t="str">
            <v>AL1526-PK-2 1.3KG NDC HOLDER (PINK)</v>
          </cell>
          <cell r="C108">
            <v>1</v>
          </cell>
          <cell r="D108" t="str">
            <v>INJ</v>
          </cell>
          <cell r="E108" t="str">
            <v>SM6331</v>
          </cell>
          <cell r="F108">
            <v>4.8999999999999995</v>
          </cell>
          <cell r="G108"/>
          <cell r="H108">
            <v>5.07</v>
          </cell>
        </row>
        <row r="109">
          <cell r="A109">
            <v>453786</v>
          </cell>
          <cell r="B109" t="str">
            <v>AL1526-YL 1.3KG NDC COVER (YELLOW)</v>
          </cell>
          <cell r="C109">
            <v>1</v>
          </cell>
          <cell r="D109" t="str">
            <v>INJ</v>
          </cell>
          <cell r="E109" t="str">
            <v>SM6331</v>
          </cell>
          <cell r="F109">
            <v>18.2</v>
          </cell>
          <cell r="G109"/>
          <cell r="H109">
            <v>17.63</v>
          </cell>
        </row>
        <row r="110">
          <cell r="A110">
            <v>453787</v>
          </cell>
          <cell r="B110" t="str">
            <v>AL1526-YL-2 1.3KG NDC HOLDER (YELLOW)</v>
          </cell>
          <cell r="C110">
            <v>1</v>
          </cell>
          <cell r="D110" t="str">
            <v>INJ</v>
          </cell>
          <cell r="E110" t="str">
            <v>SM6331</v>
          </cell>
          <cell r="F110">
            <v>4.8999999999999995</v>
          </cell>
          <cell r="G110"/>
          <cell r="H110">
            <v>5.5</v>
          </cell>
        </row>
        <row r="111">
          <cell r="A111">
            <v>453788</v>
          </cell>
          <cell r="B111" t="str">
            <v>AL1537-BK 1/1.5/2LTR I/C LID (BLACK)</v>
          </cell>
          <cell r="C111">
            <v>1</v>
          </cell>
          <cell r="D111" t="str">
            <v>INJ</v>
          </cell>
          <cell r="E111" t="str">
            <v>SM240</v>
          </cell>
          <cell r="F111">
            <v>32</v>
          </cell>
          <cell r="G111"/>
          <cell r="H111">
            <v>33</v>
          </cell>
        </row>
        <row r="112">
          <cell r="A112">
            <v>490790</v>
          </cell>
          <cell r="B112" t="str">
            <v>AL1537-BK-1 LTR CHO/CHIP I/C LID (BLACK)</v>
          </cell>
          <cell r="C112">
            <v>1</v>
          </cell>
          <cell r="D112" t="str">
            <v>INJ</v>
          </cell>
          <cell r="E112" t="str">
            <v>HDPE1010J</v>
          </cell>
          <cell r="F112">
            <v>33</v>
          </cell>
          <cell r="G112"/>
          <cell r="H112">
            <v>33</v>
          </cell>
        </row>
        <row r="113">
          <cell r="A113">
            <v>490789</v>
          </cell>
          <cell r="B113" t="str">
            <v>AL1537-BK-1 LTR MANGO I/C LID (BLACK)</v>
          </cell>
          <cell r="C113">
            <v>1</v>
          </cell>
          <cell r="D113" t="str">
            <v>INJ</v>
          </cell>
          <cell r="E113" t="str">
            <v>SM240</v>
          </cell>
          <cell r="F113">
            <v>33</v>
          </cell>
          <cell r="G113"/>
          <cell r="H113">
            <v>33</v>
          </cell>
        </row>
        <row r="114">
          <cell r="A114">
            <v>490791</v>
          </cell>
          <cell r="B114" t="str">
            <v>AL1537-BK-2 LTR F/CAKE I/C LID (BLACK)</v>
          </cell>
          <cell r="C114">
            <v>1</v>
          </cell>
          <cell r="D114" t="str">
            <v>INJ</v>
          </cell>
          <cell r="E114" t="str">
            <v>HDPE1010J</v>
          </cell>
          <cell r="F114">
            <v>33</v>
          </cell>
          <cell r="G114"/>
          <cell r="H114">
            <v>33</v>
          </cell>
        </row>
        <row r="115">
          <cell r="A115">
            <v>532972</v>
          </cell>
          <cell r="B115" t="str">
            <v>AL1537-BK-2 LTR MOCCA I/C LID (BLACK)</v>
          </cell>
          <cell r="C115">
            <v>0</v>
          </cell>
          <cell r="D115" t="str">
            <v>INJ</v>
          </cell>
          <cell r="E115" t="str">
            <v>SM240</v>
          </cell>
          <cell r="F115">
            <v>33</v>
          </cell>
          <cell r="G115"/>
          <cell r="H115">
            <v>33</v>
          </cell>
        </row>
        <row r="116">
          <cell r="A116">
            <v>490787</v>
          </cell>
          <cell r="B116" t="str">
            <v>AL1537-BK-2 LTR PECAN I/C LID (BLACK)</v>
          </cell>
          <cell r="C116">
            <v>1</v>
          </cell>
          <cell r="D116" t="str">
            <v>INJ</v>
          </cell>
          <cell r="E116" t="str">
            <v>SM240</v>
          </cell>
          <cell r="F116">
            <v>33</v>
          </cell>
          <cell r="G116"/>
          <cell r="H116">
            <v>33</v>
          </cell>
        </row>
        <row r="117">
          <cell r="A117">
            <v>490788</v>
          </cell>
          <cell r="B117" t="str">
            <v>AL1537-BK-2 LTR PISTA I/C LID (BLACK)</v>
          </cell>
          <cell r="C117">
            <v>1</v>
          </cell>
          <cell r="D117" t="str">
            <v>INJ</v>
          </cell>
          <cell r="E117" t="str">
            <v>SM240</v>
          </cell>
          <cell r="F117">
            <v>33</v>
          </cell>
          <cell r="G117"/>
          <cell r="H117">
            <v>33</v>
          </cell>
        </row>
        <row r="118">
          <cell r="A118">
            <v>453789</v>
          </cell>
          <cell r="B118" t="str">
            <v>AL1537-BK-L 1/1.5/2LTR I/C LID (BLACK)</v>
          </cell>
          <cell r="C118">
            <v>1</v>
          </cell>
          <cell r="D118" t="str">
            <v>INJ</v>
          </cell>
          <cell r="E118" t="str">
            <v>HDPE1010J</v>
          </cell>
          <cell r="F118">
            <v>32</v>
          </cell>
          <cell r="G118"/>
          <cell r="H118">
            <v>32</v>
          </cell>
        </row>
        <row r="119">
          <cell r="A119">
            <v>453790</v>
          </cell>
          <cell r="B119" t="str">
            <v>AL1537-BL 1/1.5/2LTR I/C LID (BLUE)</v>
          </cell>
          <cell r="C119">
            <v>1</v>
          </cell>
          <cell r="D119" t="str">
            <v>INJ</v>
          </cell>
          <cell r="E119" t="str">
            <v>HDPE1010J</v>
          </cell>
          <cell r="F119">
            <v>32</v>
          </cell>
          <cell r="G119"/>
          <cell r="H119">
            <v>32</v>
          </cell>
        </row>
        <row r="120">
          <cell r="A120">
            <v>453791</v>
          </cell>
          <cell r="B120" t="str">
            <v>AL1537-GD 1/1.5/2LTR I/C LID (GOLD)</v>
          </cell>
          <cell r="C120">
            <v>1</v>
          </cell>
          <cell r="D120" t="str">
            <v>INJ</v>
          </cell>
          <cell r="E120" t="str">
            <v>SM240</v>
          </cell>
          <cell r="F120">
            <v>32</v>
          </cell>
          <cell r="G120"/>
          <cell r="H120">
            <v>33</v>
          </cell>
        </row>
        <row r="121">
          <cell r="A121">
            <v>456286</v>
          </cell>
          <cell r="B121" t="str">
            <v>AL1537-GD-L 1/1.5/2LTR I/C LID (GOLD)</v>
          </cell>
          <cell r="C121">
            <v>1</v>
          </cell>
          <cell r="D121" t="str">
            <v>INJ</v>
          </cell>
          <cell r="E121" t="str">
            <v>HDPE1010J</v>
          </cell>
          <cell r="F121">
            <v>32</v>
          </cell>
          <cell r="G121"/>
          <cell r="H121">
            <v>32</v>
          </cell>
        </row>
        <row r="122">
          <cell r="A122">
            <v>453792</v>
          </cell>
          <cell r="B122" t="str">
            <v>AL1537-GR 1/1.5/2LTR I/C LID (GREEN)</v>
          </cell>
          <cell r="C122">
            <v>1</v>
          </cell>
          <cell r="D122" t="str">
            <v>INJ</v>
          </cell>
          <cell r="E122" t="str">
            <v>SM240</v>
          </cell>
          <cell r="F122">
            <v>32</v>
          </cell>
          <cell r="G122"/>
          <cell r="H122">
            <v>33</v>
          </cell>
        </row>
        <row r="123">
          <cell r="A123">
            <v>486892</v>
          </cell>
          <cell r="B123" t="str">
            <v>AL1537-GR- 1LTR CHOC I/C LID (GREEN)</v>
          </cell>
          <cell r="C123">
            <v>1</v>
          </cell>
          <cell r="D123" t="str">
            <v>INJ</v>
          </cell>
          <cell r="E123" t="str">
            <v>SM240</v>
          </cell>
          <cell r="F123">
            <v>33</v>
          </cell>
          <cell r="G123"/>
          <cell r="H123">
            <v>33</v>
          </cell>
        </row>
        <row r="124">
          <cell r="A124">
            <v>486893</v>
          </cell>
          <cell r="B124" t="str">
            <v>AL1537-GR- 1LTR STRAW I/C LID (GREEN)</v>
          </cell>
          <cell r="C124">
            <v>1</v>
          </cell>
          <cell r="D124" t="str">
            <v>INJ</v>
          </cell>
          <cell r="E124" t="str">
            <v>SM240</v>
          </cell>
          <cell r="F124">
            <v>33</v>
          </cell>
          <cell r="G124"/>
          <cell r="H124">
            <v>33</v>
          </cell>
        </row>
        <row r="125">
          <cell r="A125">
            <v>486894</v>
          </cell>
          <cell r="B125" t="str">
            <v>AL1537-GR- 1LTR VAN I/C LID (GREEN)</v>
          </cell>
          <cell r="C125">
            <v>1</v>
          </cell>
          <cell r="D125" t="str">
            <v>INJ</v>
          </cell>
          <cell r="E125" t="str">
            <v>SM240</v>
          </cell>
          <cell r="F125">
            <v>33</v>
          </cell>
          <cell r="G125"/>
          <cell r="H125">
            <v>33</v>
          </cell>
        </row>
        <row r="126">
          <cell r="A126">
            <v>486895</v>
          </cell>
          <cell r="B126" t="str">
            <v>AL1537-GR- 2LTR CHOC I/C LID (GREEN)</v>
          </cell>
          <cell r="C126">
            <v>1</v>
          </cell>
          <cell r="D126" t="str">
            <v>INJ</v>
          </cell>
          <cell r="E126" t="str">
            <v>SM240</v>
          </cell>
          <cell r="F126">
            <v>33</v>
          </cell>
          <cell r="G126"/>
          <cell r="H126">
            <v>33</v>
          </cell>
        </row>
        <row r="127">
          <cell r="A127">
            <v>489246</v>
          </cell>
          <cell r="B127" t="str">
            <v>AL1537-GR- 2LTR DURIAN I/C LID (GREEN)</v>
          </cell>
          <cell r="C127">
            <v>1</v>
          </cell>
          <cell r="D127" t="str">
            <v>INJ</v>
          </cell>
          <cell r="E127" t="str">
            <v>SM240</v>
          </cell>
          <cell r="F127">
            <v>33</v>
          </cell>
          <cell r="G127"/>
          <cell r="H127">
            <v>33</v>
          </cell>
        </row>
        <row r="128">
          <cell r="A128">
            <v>486896</v>
          </cell>
          <cell r="B128" t="str">
            <v>AL1537-GR- 2LTR STRAW I/C LID (GREEN)</v>
          </cell>
          <cell r="C128">
            <v>1</v>
          </cell>
          <cell r="D128" t="str">
            <v>INJ</v>
          </cell>
          <cell r="E128" t="str">
            <v>SM240</v>
          </cell>
          <cell r="F128">
            <v>33</v>
          </cell>
          <cell r="G128"/>
          <cell r="H128">
            <v>33</v>
          </cell>
        </row>
        <row r="129">
          <cell r="A129">
            <v>486897</v>
          </cell>
          <cell r="B129" t="str">
            <v>AL1537-GR- 2LTR SWT-CORN I/C LID (GREEN)</v>
          </cell>
          <cell r="C129">
            <v>1</v>
          </cell>
          <cell r="D129" t="str">
            <v>INJ</v>
          </cell>
          <cell r="E129" t="str">
            <v>SM240</v>
          </cell>
          <cell r="F129">
            <v>33</v>
          </cell>
          <cell r="G129"/>
          <cell r="H129">
            <v>33</v>
          </cell>
        </row>
        <row r="130">
          <cell r="A130">
            <v>489247</v>
          </cell>
          <cell r="B130" t="str">
            <v>AL1537-GR- 2LTR VANILLA I/C LID (GREEN)</v>
          </cell>
          <cell r="C130">
            <v>1</v>
          </cell>
          <cell r="D130" t="str">
            <v>INJ</v>
          </cell>
          <cell r="E130" t="str">
            <v>SM240</v>
          </cell>
          <cell r="F130">
            <v>33</v>
          </cell>
          <cell r="G130"/>
          <cell r="H130">
            <v>33</v>
          </cell>
        </row>
        <row r="131">
          <cell r="A131">
            <v>489248</v>
          </cell>
          <cell r="B131" t="str">
            <v>AL1537-GR- 2LTR YAM I/C LID (GREEN)</v>
          </cell>
          <cell r="C131">
            <v>1</v>
          </cell>
          <cell r="D131" t="str">
            <v>INJ</v>
          </cell>
          <cell r="E131" t="str">
            <v>SM240</v>
          </cell>
          <cell r="F131">
            <v>33</v>
          </cell>
          <cell r="G131"/>
          <cell r="H131">
            <v>33</v>
          </cell>
        </row>
        <row r="132">
          <cell r="A132">
            <v>454167</v>
          </cell>
          <cell r="B132" t="str">
            <v>AL1537-NA 1/1.5/2LTR I/C LID (NATURAL)</v>
          </cell>
          <cell r="C132">
            <v>1</v>
          </cell>
          <cell r="D132" t="str">
            <v>INJ</v>
          </cell>
          <cell r="E132" t="str">
            <v>HDPE1010J</v>
          </cell>
          <cell r="F132">
            <v>32</v>
          </cell>
          <cell r="G132"/>
          <cell r="H132">
            <v>32</v>
          </cell>
        </row>
        <row r="133">
          <cell r="A133">
            <v>454209</v>
          </cell>
          <cell r="B133" t="str">
            <v>AL1537-OR 1.5L I/C CHOCOLATE BV (ASEM)</v>
          </cell>
          <cell r="C133">
            <v>1</v>
          </cell>
          <cell r="D133" t="str">
            <v>INJ</v>
          </cell>
          <cell r="E133" t="str">
            <v>SM240</v>
          </cell>
          <cell r="F133">
            <v>33</v>
          </cell>
          <cell r="G133"/>
          <cell r="H133">
            <v>33</v>
          </cell>
        </row>
        <row r="134">
          <cell r="A134">
            <v>454205</v>
          </cell>
          <cell r="B134" t="str">
            <v>AL1537-OR 1.5L I/C NEAPOLITAN BV (ASEM)</v>
          </cell>
          <cell r="C134">
            <v>1</v>
          </cell>
          <cell r="D134" t="str">
            <v>INJ</v>
          </cell>
          <cell r="E134" t="str">
            <v>SM240</v>
          </cell>
          <cell r="F134">
            <v>33</v>
          </cell>
          <cell r="G134"/>
          <cell r="H134">
            <v>33</v>
          </cell>
        </row>
        <row r="135">
          <cell r="A135">
            <v>454206</v>
          </cell>
          <cell r="B135" t="str">
            <v>AL1537-OR 1.5L I/C VANILLA BV (ASEM)</v>
          </cell>
          <cell r="C135">
            <v>1</v>
          </cell>
          <cell r="D135" t="str">
            <v>INJ</v>
          </cell>
          <cell r="E135" t="str">
            <v>SM240</v>
          </cell>
          <cell r="F135">
            <v>33</v>
          </cell>
          <cell r="G135"/>
          <cell r="H135">
            <v>33</v>
          </cell>
        </row>
        <row r="136">
          <cell r="A136">
            <v>454222</v>
          </cell>
          <cell r="B136" t="str">
            <v>AL1537-OR 1/1.5/2LTR I/C LID (ORANGE)</v>
          </cell>
          <cell r="C136">
            <v>1</v>
          </cell>
          <cell r="D136" t="str">
            <v>INJ</v>
          </cell>
          <cell r="E136" t="str">
            <v>HDPE1010J</v>
          </cell>
          <cell r="F136">
            <v>32</v>
          </cell>
          <cell r="G136"/>
          <cell r="H136">
            <v>32</v>
          </cell>
        </row>
        <row r="137">
          <cell r="A137">
            <v>453794</v>
          </cell>
          <cell r="B137" t="str">
            <v>AL1586-VL 1.5LTR I/C LID (VIOLET)</v>
          </cell>
          <cell r="C137">
            <v>1</v>
          </cell>
          <cell r="D137" t="str">
            <v>INJ</v>
          </cell>
          <cell r="E137" t="str">
            <v>SM240</v>
          </cell>
          <cell r="F137">
            <v>38.5</v>
          </cell>
          <cell r="G137"/>
          <cell r="H137">
            <v>38.5</v>
          </cell>
        </row>
        <row r="138">
          <cell r="A138">
            <v>453795</v>
          </cell>
          <cell r="B138" t="str">
            <v>AL1586-YL 1.5LTR I/C LID (YELLOW)</v>
          </cell>
          <cell r="C138">
            <v>1</v>
          </cell>
          <cell r="D138" t="str">
            <v>INJ</v>
          </cell>
          <cell r="E138" t="str">
            <v>SM240</v>
          </cell>
          <cell r="F138">
            <v>38.5</v>
          </cell>
          <cell r="G138"/>
          <cell r="H138">
            <v>40</v>
          </cell>
        </row>
        <row r="139">
          <cell r="A139">
            <v>453796</v>
          </cell>
          <cell r="B139" t="str">
            <v>AL2012-BK 38MM CAP (BLACK) C/W SEAL ASEM</v>
          </cell>
          <cell r="C139">
            <v>16</v>
          </cell>
          <cell r="D139" t="str">
            <v>INJ</v>
          </cell>
          <cell r="E139" t="str">
            <v>SM240</v>
          </cell>
          <cell r="F139">
            <v>4</v>
          </cell>
          <cell r="G139"/>
          <cell r="H139">
            <v>4</v>
          </cell>
        </row>
        <row r="140">
          <cell r="A140">
            <v>453797</v>
          </cell>
          <cell r="B140" t="str">
            <v>AL2012-BK 38MM CAP (BLACK) W/O SEAL</v>
          </cell>
          <cell r="C140">
            <v>16</v>
          </cell>
          <cell r="D140" t="str">
            <v>INJ</v>
          </cell>
          <cell r="E140" t="str">
            <v>SM240</v>
          </cell>
          <cell r="F140">
            <v>3.5</v>
          </cell>
          <cell r="G140"/>
          <cell r="H140">
            <v>4</v>
          </cell>
        </row>
        <row r="141">
          <cell r="A141">
            <v>453798</v>
          </cell>
          <cell r="B141" t="str">
            <v>AL2013-BL 2LTR I/C LID (BLUE)</v>
          </cell>
          <cell r="C141">
            <v>1</v>
          </cell>
          <cell r="D141" t="str">
            <v>INJ</v>
          </cell>
          <cell r="E141" t="str">
            <v>LDPEG812</v>
          </cell>
          <cell r="F141">
            <v>46</v>
          </cell>
          <cell r="G141"/>
          <cell r="H141">
            <v>45.98</v>
          </cell>
        </row>
        <row r="142">
          <cell r="A142">
            <v>453969</v>
          </cell>
          <cell r="B142" t="str">
            <v>AL2016-BK 1.5L I/C CHOC CHIP MS (ASEM)</v>
          </cell>
          <cell r="C142">
            <v>1</v>
          </cell>
          <cell r="D142" t="str">
            <v>INJ</v>
          </cell>
          <cell r="E142" t="str">
            <v>SM240</v>
          </cell>
          <cell r="F142">
            <v>33</v>
          </cell>
          <cell r="G142"/>
          <cell r="H142">
            <v>33</v>
          </cell>
        </row>
        <row r="143">
          <cell r="A143">
            <v>453970</v>
          </cell>
          <cell r="B143" t="str">
            <v>AL2016-BK 1.5L I/C CHOCOLATE MS (ASEM)</v>
          </cell>
          <cell r="C143">
            <v>1</v>
          </cell>
          <cell r="D143" t="str">
            <v>INJ</v>
          </cell>
          <cell r="E143" t="str">
            <v>SM240</v>
          </cell>
          <cell r="F143">
            <v>33</v>
          </cell>
          <cell r="G143"/>
          <cell r="H143">
            <v>33</v>
          </cell>
        </row>
        <row r="144">
          <cell r="A144">
            <v>453971</v>
          </cell>
          <cell r="B144" t="str">
            <v>AL2016-BK 1.5L I/C NEAPOLITAN MS (ASEM)</v>
          </cell>
          <cell r="C144">
            <v>1</v>
          </cell>
          <cell r="D144" t="str">
            <v>INJ</v>
          </cell>
          <cell r="E144" t="str">
            <v>SM240</v>
          </cell>
          <cell r="F144">
            <v>33</v>
          </cell>
          <cell r="G144"/>
          <cell r="H144">
            <v>33</v>
          </cell>
        </row>
        <row r="145">
          <cell r="A145">
            <v>453972</v>
          </cell>
          <cell r="B145" t="str">
            <v>AL2016-BK 1.5L I/C STRAWBERRY MS (ASEM)</v>
          </cell>
          <cell r="C145">
            <v>1</v>
          </cell>
          <cell r="D145" t="str">
            <v>INJ</v>
          </cell>
          <cell r="E145" t="str">
            <v>SM240</v>
          </cell>
          <cell r="F145">
            <v>33</v>
          </cell>
          <cell r="G145"/>
          <cell r="H145">
            <v>33</v>
          </cell>
        </row>
        <row r="146">
          <cell r="A146">
            <v>453973</v>
          </cell>
          <cell r="B146" t="str">
            <v>AL2016-BK 1.5L I/C SWEET CORN MS (ASEM)</v>
          </cell>
          <cell r="C146">
            <v>1</v>
          </cell>
          <cell r="D146" t="str">
            <v>INJ</v>
          </cell>
          <cell r="E146" t="str">
            <v>SM240</v>
          </cell>
          <cell r="F146">
            <v>33</v>
          </cell>
          <cell r="G146"/>
          <cell r="H146">
            <v>33</v>
          </cell>
        </row>
        <row r="147">
          <cell r="A147">
            <v>453974</v>
          </cell>
          <cell r="B147" t="str">
            <v>AL2016-BK 1.5L I/C VANILLA MS (ASEM)</v>
          </cell>
          <cell r="C147">
            <v>1</v>
          </cell>
          <cell r="D147" t="str">
            <v>INJ</v>
          </cell>
          <cell r="E147" t="str">
            <v>SM240</v>
          </cell>
          <cell r="F147">
            <v>33</v>
          </cell>
          <cell r="G147"/>
          <cell r="H147">
            <v>33</v>
          </cell>
        </row>
        <row r="148">
          <cell r="A148">
            <v>453975</v>
          </cell>
          <cell r="B148" t="str">
            <v>AL2016-BK 1.5L I/C YAM MS (ASEM)</v>
          </cell>
          <cell r="C148">
            <v>1</v>
          </cell>
          <cell r="D148" t="str">
            <v>INJ</v>
          </cell>
          <cell r="E148" t="str">
            <v>SM240</v>
          </cell>
          <cell r="F148">
            <v>33</v>
          </cell>
          <cell r="G148"/>
          <cell r="H148">
            <v>33</v>
          </cell>
        </row>
        <row r="149">
          <cell r="A149">
            <v>454159</v>
          </cell>
          <cell r="B149" t="str">
            <v>AL2016-BK 1.5LTR I/C LID (BLACK) W/O LBL</v>
          </cell>
          <cell r="C149">
            <v>1</v>
          </cell>
          <cell r="D149" t="str">
            <v>INJ</v>
          </cell>
          <cell r="E149" t="str">
            <v>HDPE1010J</v>
          </cell>
          <cell r="F149">
            <v>32</v>
          </cell>
          <cell r="G149"/>
          <cell r="H149">
            <v>32</v>
          </cell>
        </row>
        <row r="150">
          <cell r="A150">
            <v>453799</v>
          </cell>
          <cell r="B150" t="str">
            <v>AL2016-WH 2LTR I/C LID (WHITE)</v>
          </cell>
          <cell r="C150">
            <v>1</v>
          </cell>
          <cell r="D150" t="str">
            <v>INJ</v>
          </cell>
          <cell r="E150" t="str">
            <v>SM240</v>
          </cell>
          <cell r="F150">
            <v>32</v>
          </cell>
          <cell r="G150"/>
          <cell r="H150">
            <v>32</v>
          </cell>
        </row>
        <row r="151">
          <cell r="A151">
            <v>453800</v>
          </cell>
          <cell r="B151" t="str">
            <v>AL3016-BL 3KG COVER (BLUE)</v>
          </cell>
          <cell r="C151">
            <v>1</v>
          </cell>
          <cell r="D151" t="str">
            <v>INJ</v>
          </cell>
          <cell r="E151" t="str">
            <v>SM240</v>
          </cell>
          <cell r="F151">
            <v>41.2</v>
          </cell>
          <cell r="G151"/>
          <cell r="H151">
            <v>41.2</v>
          </cell>
        </row>
        <row r="152">
          <cell r="A152">
            <v>453801</v>
          </cell>
          <cell r="B152" t="str">
            <v>AL3016-SL 3KG COVER (SILVER)</v>
          </cell>
          <cell r="C152">
            <v>1</v>
          </cell>
          <cell r="D152" t="str">
            <v>INJ</v>
          </cell>
          <cell r="E152" t="str">
            <v>SM240</v>
          </cell>
          <cell r="F152">
            <v>41.2</v>
          </cell>
          <cell r="G152"/>
          <cell r="H152">
            <v>41.2</v>
          </cell>
        </row>
        <row r="153">
          <cell r="A153">
            <v>453802</v>
          </cell>
          <cell r="B153" t="str">
            <v>AL3016-YL 3KG COVER (YELLOW)</v>
          </cell>
          <cell r="C153">
            <v>1</v>
          </cell>
          <cell r="D153" t="str">
            <v>INJ</v>
          </cell>
          <cell r="E153" t="str">
            <v>SM240</v>
          </cell>
          <cell r="F153">
            <v>41.2</v>
          </cell>
          <cell r="G153"/>
          <cell r="H153">
            <v>41.2</v>
          </cell>
        </row>
        <row r="154">
          <cell r="A154">
            <v>454213</v>
          </cell>
          <cell r="B154" t="str">
            <v>AL3021-NA 3LTR LID (NATURAL)</v>
          </cell>
          <cell r="C154">
            <v>1</v>
          </cell>
          <cell r="D154" t="str">
            <v>INJ</v>
          </cell>
          <cell r="E154" t="str">
            <v>LLDPE6201</v>
          </cell>
          <cell r="F154">
            <v>33</v>
          </cell>
          <cell r="G154"/>
          <cell r="H154">
            <v>33</v>
          </cell>
        </row>
        <row r="155">
          <cell r="A155">
            <v>454226</v>
          </cell>
          <cell r="B155" t="str">
            <v>AL4021-WH 4LTR RECT I/C LID (WHITE)</v>
          </cell>
          <cell r="C155">
            <v>1</v>
          </cell>
          <cell r="D155" t="str">
            <v>INJ</v>
          </cell>
          <cell r="E155" t="str">
            <v>LLDPE6201</v>
          </cell>
          <cell r="F155">
            <v>66</v>
          </cell>
          <cell r="G155"/>
          <cell r="H155">
            <v>64.7</v>
          </cell>
        </row>
        <row r="156">
          <cell r="A156">
            <v>459351</v>
          </cell>
          <cell r="B156" t="str">
            <v>AL4507-BLK 38MM CAP (BLACK)</v>
          </cell>
          <cell r="C156">
            <v>4</v>
          </cell>
          <cell r="D156" t="str">
            <v>INJ</v>
          </cell>
          <cell r="E156" t="str">
            <v>SM6331</v>
          </cell>
          <cell r="F156">
            <v>4.6999999999999993</v>
          </cell>
          <cell r="G156"/>
          <cell r="H156">
            <v>4.72</v>
          </cell>
        </row>
        <row r="157">
          <cell r="A157">
            <v>453803</v>
          </cell>
          <cell r="B157" t="str">
            <v>AL4507-BL 38MM CAP (BLUE)</v>
          </cell>
          <cell r="C157">
            <v>4</v>
          </cell>
          <cell r="D157" t="str">
            <v>INJ</v>
          </cell>
          <cell r="E157" t="str">
            <v>SM6331</v>
          </cell>
          <cell r="F157">
            <v>4.6999999999999993</v>
          </cell>
          <cell r="G157"/>
          <cell r="H157">
            <v>4.72</v>
          </cell>
        </row>
        <row r="158">
          <cell r="A158">
            <v>524918</v>
          </cell>
          <cell r="B158" t="str">
            <v>AL4507-BL 38MM CAP (L.BLUE)</v>
          </cell>
          <cell r="C158">
            <v>4</v>
          </cell>
          <cell r="D158" t="str">
            <v>INJ</v>
          </cell>
          <cell r="E158" t="str">
            <v>SM6331</v>
          </cell>
          <cell r="F158">
            <v>4.6999999999999993</v>
          </cell>
          <cell r="G158"/>
          <cell r="H158">
            <v>4.7</v>
          </cell>
        </row>
        <row r="159">
          <cell r="A159">
            <v>453804</v>
          </cell>
          <cell r="B159" t="str">
            <v>AL4507-GR 38MM CAP (GREEN)</v>
          </cell>
          <cell r="C159">
            <v>4</v>
          </cell>
          <cell r="D159" t="str">
            <v>INJ</v>
          </cell>
          <cell r="E159" t="str">
            <v>SM6331</v>
          </cell>
          <cell r="F159">
            <v>4.6999999999999993</v>
          </cell>
          <cell r="G159"/>
          <cell r="H159">
            <v>4.7</v>
          </cell>
        </row>
        <row r="160">
          <cell r="A160">
            <v>453805</v>
          </cell>
          <cell r="B160" t="str">
            <v>AL4507-RD 38MM CAP (RED)</v>
          </cell>
          <cell r="C160">
            <v>4</v>
          </cell>
          <cell r="D160" t="str">
            <v>INJ</v>
          </cell>
          <cell r="E160" t="str">
            <v>SM6331</v>
          </cell>
          <cell r="F160">
            <v>4.6999999999999993</v>
          </cell>
          <cell r="G160"/>
          <cell r="H160">
            <v>4.7</v>
          </cell>
        </row>
        <row r="161">
          <cell r="A161">
            <v>453806</v>
          </cell>
          <cell r="B161" t="str">
            <v>AL4507-WH 38MM CAP (WHITE)</v>
          </cell>
          <cell r="C161">
            <v>4</v>
          </cell>
          <cell r="D161" t="str">
            <v>INJ</v>
          </cell>
          <cell r="E161" t="str">
            <v>SM6331</v>
          </cell>
          <cell r="F161">
            <v>4.6999999999999993</v>
          </cell>
          <cell r="G161"/>
          <cell r="H161">
            <v>4.7</v>
          </cell>
        </row>
        <row r="162">
          <cell r="A162">
            <v>453807</v>
          </cell>
          <cell r="B162" t="str">
            <v>AL6017-WH 6LTR I/C LID (WHITE)</v>
          </cell>
          <cell r="C162">
            <v>1</v>
          </cell>
          <cell r="D162" t="str">
            <v>INJ</v>
          </cell>
          <cell r="E162" t="str">
            <v>SM240</v>
          </cell>
          <cell r="F162">
            <v>57.7</v>
          </cell>
          <cell r="G162"/>
          <cell r="H162">
            <v>62.4</v>
          </cell>
        </row>
        <row r="163">
          <cell r="A163">
            <v>453976</v>
          </cell>
          <cell r="B163" t="str">
            <v>AL6018-WH 6LTR I/C LID (WHITE)</v>
          </cell>
          <cell r="C163">
            <v>1</v>
          </cell>
          <cell r="D163" t="str">
            <v>INJ</v>
          </cell>
          <cell r="E163" t="str">
            <v>LLDPE6201</v>
          </cell>
          <cell r="F163">
            <v>62</v>
          </cell>
          <cell r="G163"/>
          <cell r="H163">
            <v>62.3</v>
          </cell>
        </row>
        <row r="164">
          <cell r="A164">
            <v>453991</v>
          </cell>
          <cell r="B164" t="str">
            <v>AL6020-WH 6LTR/1.5GAL I/C LID (WHITE)</v>
          </cell>
          <cell r="C164">
            <v>1</v>
          </cell>
          <cell r="D164" t="str">
            <v>INJ</v>
          </cell>
          <cell r="E164" t="str">
            <v>LLDPE6201</v>
          </cell>
          <cell r="F164">
            <v>65.5</v>
          </cell>
          <cell r="G164"/>
          <cell r="H164">
            <v>62.4</v>
          </cell>
        </row>
        <row r="165">
          <cell r="A165">
            <v>453808</v>
          </cell>
          <cell r="B165" t="str">
            <v>AL6021-NA 6LTR RECT I/C LID (NATURAL)</v>
          </cell>
          <cell r="C165">
            <v>1</v>
          </cell>
          <cell r="D165" t="str">
            <v>INJ</v>
          </cell>
          <cell r="E165" t="str">
            <v>SM240</v>
          </cell>
          <cell r="F165">
            <v>70.099999999999994</v>
          </cell>
          <cell r="G165"/>
          <cell r="H165">
            <v>71</v>
          </cell>
        </row>
        <row r="166">
          <cell r="A166">
            <v>454281</v>
          </cell>
          <cell r="B166" t="str">
            <v>AT0030-GR 20ML CUP (GREEN)</v>
          </cell>
          <cell r="C166">
            <v>2</v>
          </cell>
          <cell r="D166" t="str">
            <v>INJ</v>
          </cell>
          <cell r="E166" t="str">
            <v>SM398</v>
          </cell>
          <cell r="F166">
            <v>5.7</v>
          </cell>
          <cell r="G166"/>
          <cell r="H166">
            <v>5</v>
          </cell>
        </row>
        <row r="167">
          <cell r="A167">
            <v>454280</v>
          </cell>
          <cell r="B167" t="str">
            <v>AT0030-OR 20ML CUP (ORANGE)</v>
          </cell>
          <cell r="C167">
            <v>2</v>
          </cell>
          <cell r="D167" t="str">
            <v>INJ</v>
          </cell>
          <cell r="E167" t="str">
            <v>SM398</v>
          </cell>
          <cell r="F167">
            <v>5.7</v>
          </cell>
          <cell r="G167"/>
          <cell r="H167">
            <v>5</v>
          </cell>
        </row>
        <row r="168">
          <cell r="A168">
            <v>456142</v>
          </cell>
          <cell r="B168" t="str">
            <v>AT0129-BK 120ML I/C TUB (BLACK)</v>
          </cell>
          <cell r="C168">
            <v>1</v>
          </cell>
          <cell r="D168" t="str">
            <v>INJ</v>
          </cell>
          <cell r="E168" t="str">
            <v>SM240</v>
          </cell>
          <cell r="F168">
            <v>11.3</v>
          </cell>
          <cell r="G168"/>
          <cell r="H168">
            <v>11.57</v>
          </cell>
        </row>
        <row r="169">
          <cell r="A169">
            <v>454178</v>
          </cell>
          <cell r="B169" t="str">
            <v>AT0129-NA 120ML I/C TUB (NATURAL)</v>
          </cell>
          <cell r="C169">
            <v>6</v>
          </cell>
          <cell r="D169" t="str">
            <v>INJ</v>
          </cell>
          <cell r="E169" t="str">
            <v>SM241</v>
          </cell>
          <cell r="F169">
            <v>11.3</v>
          </cell>
          <cell r="G169"/>
          <cell r="H169">
            <v>11.3</v>
          </cell>
        </row>
        <row r="170">
          <cell r="A170">
            <v>453813</v>
          </cell>
          <cell r="B170" t="str">
            <v>AT0137-WH 100GM NAZRI CONTAINER (WHITE)</v>
          </cell>
          <cell r="C170">
            <v>2</v>
          </cell>
          <cell r="D170" t="str">
            <v>INJ</v>
          </cell>
          <cell r="E170" t="str">
            <v>PP6331</v>
          </cell>
          <cell r="F170">
            <v>12.8</v>
          </cell>
          <cell r="G170"/>
          <cell r="H170">
            <v>12.8</v>
          </cell>
        </row>
        <row r="171">
          <cell r="A171">
            <v>453814</v>
          </cell>
          <cell r="B171" t="str">
            <v>AT0151-NA 150ML I/C CUP (NATURAL)</v>
          </cell>
          <cell r="C171">
            <v>4</v>
          </cell>
          <cell r="D171" t="str">
            <v>INJ</v>
          </cell>
          <cell r="E171" t="str">
            <v>SM6331</v>
          </cell>
          <cell r="F171">
            <v>12.1</v>
          </cell>
          <cell r="G171"/>
          <cell r="H171">
            <v>12.4</v>
          </cell>
        </row>
        <row r="172">
          <cell r="A172">
            <v>454145</v>
          </cell>
          <cell r="B172" t="str">
            <v>AT0151-NA 150ML I/C CUP (RASAMEWA)</v>
          </cell>
          <cell r="C172">
            <v>4</v>
          </cell>
          <cell r="D172" t="str">
            <v>INJ</v>
          </cell>
          <cell r="E172" t="str">
            <v>SM6331</v>
          </cell>
          <cell r="F172">
            <v>12.1</v>
          </cell>
          <cell r="G172"/>
          <cell r="H172">
            <v>12.1</v>
          </cell>
        </row>
        <row r="173">
          <cell r="A173">
            <v>454146</v>
          </cell>
          <cell r="B173" t="str">
            <v>AT0151-NA 150ML I/C CUP (SUNTOLIA)</v>
          </cell>
          <cell r="C173">
            <v>4</v>
          </cell>
          <cell r="D173" t="str">
            <v>INJ</v>
          </cell>
          <cell r="E173" t="str">
            <v>PP6331</v>
          </cell>
          <cell r="F173">
            <v>12.1</v>
          </cell>
          <cell r="G173"/>
          <cell r="H173">
            <v>12.1</v>
          </cell>
        </row>
        <row r="174">
          <cell r="A174">
            <v>453815</v>
          </cell>
          <cell r="B174" t="str">
            <v>AT0161-BK 160ML I/C CUP (BLACK)</v>
          </cell>
          <cell r="C174">
            <v>2</v>
          </cell>
          <cell r="D174" t="str">
            <v>INJ</v>
          </cell>
          <cell r="E174" t="str">
            <v>SM240</v>
          </cell>
          <cell r="F174">
            <v>16.2</v>
          </cell>
          <cell r="G174"/>
          <cell r="H174">
            <v>16.2</v>
          </cell>
        </row>
        <row r="175">
          <cell r="A175">
            <v>453816</v>
          </cell>
          <cell r="B175" t="str">
            <v>AT0161-NA 160ML I/C CUP (NATURAL)</v>
          </cell>
          <cell r="C175">
            <v>2</v>
          </cell>
          <cell r="D175" t="str">
            <v>INJ</v>
          </cell>
          <cell r="E175" t="str">
            <v>SM240</v>
          </cell>
          <cell r="F175">
            <v>16.2</v>
          </cell>
          <cell r="G175"/>
          <cell r="H175">
            <v>16.2</v>
          </cell>
        </row>
        <row r="176">
          <cell r="A176">
            <v>453817</v>
          </cell>
          <cell r="B176" t="str">
            <v>AT0161-NA MINI SUNDAE CUP (NATURAL)</v>
          </cell>
          <cell r="C176">
            <v>2</v>
          </cell>
          <cell r="D176" t="str">
            <v>INJ</v>
          </cell>
          <cell r="E176" t="str">
            <v>SM240</v>
          </cell>
          <cell r="F176">
            <v>16.2</v>
          </cell>
          <cell r="G176"/>
          <cell r="H176">
            <v>16.2</v>
          </cell>
        </row>
        <row r="177">
          <cell r="A177">
            <v>453820</v>
          </cell>
          <cell r="B177" t="str">
            <v>AT0215-NA 200ML PP CUP (NATURAL)</v>
          </cell>
          <cell r="C177">
            <v>1</v>
          </cell>
          <cell r="D177" t="str">
            <v>INJ</v>
          </cell>
          <cell r="E177" t="str">
            <v>SM398</v>
          </cell>
          <cell r="F177">
            <v>20</v>
          </cell>
          <cell r="G177"/>
          <cell r="H177">
            <v>20</v>
          </cell>
        </row>
        <row r="178">
          <cell r="A178">
            <v>454282</v>
          </cell>
          <cell r="B178" t="str">
            <v>AT0257-WH 250ML TUB (WHITE)</v>
          </cell>
          <cell r="C178">
            <v>1</v>
          </cell>
          <cell r="D178" t="str">
            <v>INJ</v>
          </cell>
          <cell r="E178" t="str">
            <v>SM240</v>
          </cell>
          <cell r="F178">
            <v>21</v>
          </cell>
          <cell r="G178"/>
          <cell r="H178">
            <v>21</v>
          </cell>
        </row>
        <row r="179">
          <cell r="A179">
            <v>453821</v>
          </cell>
          <cell r="B179" t="str">
            <v>AT0386-WH HERBAL JELLY TUB (WHITE)</v>
          </cell>
          <cell r="C179">
            <v>2</v>
          </cell>
          <cell r="D179" t="str">
            <v>INJ</v>
          </cell>
          <cell r="E179" t="str">
            <v>SM240</v>
          </cell>
          <cell r="F179">
            <v>21</v>
          </cell>
          <cell r="G179"/>
          <cell r="H179">
            <v>21</v>
          </cell>
        </row>
        <row r="180">
          <cell r="A180">
            <v>566823</v>
          </cell>
          <cell r="B180" t="str">
            <v>AT0416-NA 400ml I/C TUB (NATURAL)</v>
          </cell>
          <cell r="C180">
            <v>0</v>
          </cell>
          <cell r="D180" t="str">
            <v>INJ</v>
          </cell>
          <cell r="E180" t="str">
            <v>SM240</v>
          </cell>
          <cell r="F180">
            <v>18.5</v>
          </cell>
          <cell r="G180"/>
          <cell r="H180">
            <v>18.5</v>
          </cell>
        </row>
        <row r="181">
          <cell r="A181">
            <v>453825</v>
          </cell>
          <cell r="B181" t="str">
            <v>AT0473-BK 473ML I/C TUB (BLACK)</v>
          </cell>
          <cell r="C181">
            <v>1</v>
          </cell>
          <cell r="D181" t="str">
            <v>INJ</v>
          </cell>
          <cell r="E181" t="str">
            <v>SM240</v>
          </cell>
          <cell r="F181">
            <v>23.2</v>
          </cell>
          <cell r="G181"/>
          <cell r="H181">
            <v>23.2</v>
          </cell>
        </row>
        <row r="182">
          <cell r="A182">
            <v>454195</v>
          </cell>
          <cell r="B182" t="str">
            <v>AT0473-NA 473ml I/C TUB (NATURAL)</v>
          </cell>
          <cell r="C182">
            <v>1</v>
          </cell>
          <cell r="D182" t="str">
            <v>INJ</v>
          </cell>
          <cell r="E182" t="str">
            <v>SM240</v>
          </cell>
          <cell r="F182">
            <v>23.2</v>
          </cell>
          <cell r="G182"/>
          <cell r="H182">
            <v>23.2</v>
          </cell>
        </row>
        <row r="183">
          <cell r="A183">
            <v>554978</v>
          </cell>
          <cell r="B183" t="str">
            <v>AT0473-VL 473ML I/C TUB (VIOLET)</v>
          </cell>
          <cell r="C183">
            <v>2</v>
          </cell>
          <cell r="D183" t="str">
            <v>INJ</v>
          </cell>
          <cell r="E183" t="str">
            <v>SM240</v>
          </cell>
          <cell r="F183">
            <v>23.2</v>
          </cell>
          <cell r="G183"/>
          <cell r="H183">
            <v>23.2</v>
          </cell>
        </row>
        <row r="184">
          <cell r="A184">
            <v>453826</v>
          </cell>
          <cell r="B184" t="str">
            <v>AT0473-WH 473ML I/C TUB (WHITE)</v>
          </cell>
          <cell r="C184">
            <v>1</v>
          </cell>
          <cell r="D184" t="str">
            <v>INJ</v>
          </cell>
          <cell r="E184" t="str">
            <v>SM240</v>
          </cell>
          <cell r="F184">
            <v>23.2</v>
          </cell>
          <cell r="G184"/>
          <cell r="H184">
            <v>24.32</v>
          </cell>
        </row>
        <row r="185">
          <cell r="A185">
            <v>453827</v>
          </cell>
          <cell r="B185" t="str">
            <v>AT0473-YL 473ML I/C TUB (YELLOW)</v>
          </cell>
          <cell r="C185">
            <v>1</v>
          </cell>
          <cell r="D185" t="str">
            <v>INJ</v>
          </cell>
          <cell r="E185" t="str">
            <v>SM240</v>
          </cell>
          <cell r="F185">
            <v>23.2</v>
          </cell>
          <cell r="G185"/>
          <cell r="H185">
            <v>23.2</v>
          </cell>
        </row>
        <row r="186">
          <cell r="A186">
            <v>453828</v>
          </cell>
          <cell r="B186" t="str">
            <v>AT0507-BL 500ML I/C TUB (BLUE)</v>
          </cell>
          <cell r="C186">
            <v>1</v>
          </cell>
          <cell r="D186" t="str">
            <v>INJ</v>
          </cell>
          <cell r="E186" t="str">
            <v>HDPE1010J</v>
          </cell>
          <cell r="F186">
            <v>24.2</v>
          </cell>
          <cell r="G186"/>
          <cell r="H186">
            <v>24.2</v>
          </cell>
        </row>
        <row r="187">
          <cell r="A187">
            <v>453829</v>
          </cell>
          <cell r="B187" t="str">
            <v>AT0507-GR 500ML I/C TUB (GREEN)</v>
          </cell>
          <cell r="C187">
            <v>1</v>
          </cell>
          <cell r="D187" t="str">
            <v>INJ</v>
          </cell>
          <cell r="E187" t="str">
            <v>HDPE1010J</v>
          </cell>
          <cell r="F187">
            <v>24.2</v>
          </cell>
          <cell r="G187"/>
          <cell r="H187">
            <v>24.2</v>
          </cell>
        </row>
        <row r="188">
          <cell r="A188">
            <v>453830</v>
          </cell>
          <cell r="B188" t="str">
            <v>AT0507-PK 500ML I/C TUB (PINK)</v>
          </cell>
          <cell r="C188">
            <v>1</v>
          </cell>
          <cell r="D188" t="str">
            <v>INJ</v>
          </cell>
          <cell r="E188" t="str">
            <v>HDPE1010J</v>
          </cell>
          <cell r="F188">
            <v>24.2</v>
          </cell>
          <cell r="G188"/>
          <cell r="H188">
            <v>24.2</v>
          </cell>
        </row>
        <row r="189">
          <cell r="A189">
            <v>453831</v>
          </cell>
          <cell r="B189" t="str">
            <v>AT0507-WH 500ML I/C TUB (WHITE)</v>
          </cell>
          <cell r="C189">
            <v>1</v>
          </cell>
          <cell r="D189" t="str">
            <v>INJ</v>
          </cell>
          <cell r="E189" t="str">
            <v>HDPE1010J</v>
          </cell>
          <cell r="F189">
            <v>24.2</v>
          </cell>
          <cell r="G189"/>
          <cell r="H189">
            <v>24.2</v>
          </cell>
        </row>
        <row r="190">
          <cell r="A190">
            <v>453832</v>
          </cell>
          <cell r="B190" t="str">
            <v>AT0507-YL 500ML I/C TUB (YELLOW)</v>
          </cell>
          <cell r="C190">
            <v>1</v>
          </cell>
          <cell r="D190" t="str">
            <v>INJ</v>
          </cell>
          <cell r="E190" t="str">
            <v>HDPE1010J</v>
          </cell>
          <cell r="F190">
            <v>24.2</v>
          </cell>
          <cell r="G190"/>
          <cell r="H190">
            <v>24.2</v>
          </cell>
        </row>
        <row r="191">
          <cell r="A191">
            <v>453833</v>
          </cell>
          <cell r="B191" t="str">
            <v>AT0556-GR 500ML I/C TUB (GREEN)</v>
          </cell>
          <cell r="C191">
            <v>1</v>
          </cell>
          <cell r="D191" t="str">
            <v>INJ</v>
          </cell>
          <cell r="E191" t="str">
            <v>SM240</v>
          </cell>
          <cell r="F191">
            <v>24</v>
          </cell>
          <cell r="G191"/>
          <cell r="H191">
            <v>24</v>
          </cell>
        </row>
        <row r="192">
          <cell r="A192">
            <v>454174</v>
          </cell>
          <cell r="B192" t="str">
            <v>AT0597-BK 500ML I/C TUB (BLACK)</v>
          </cell>
          <cell r="C192">
            <v>1</v>
          </cell>
          <cell r="D192" t="str">
            <v>INJ</v>
          </cell>
          <cell r="E192" t="str">
            <v>SM240</v>
          </cell>
          <cell r="F192">
            <v>24</v>
          </cell>
          <cell r="G192"/>
          <cell r="H192">
            <v>24</v>
          </cell>
        </row>
        <row r="193">
          <cell r="A193">
            <v>454197</v>
          </cell>
          <cell r="B193" t="str">
            <v>AT0597-BL 500ML I/C TUB (BLUE)</v>
          </cell>
          <cell r="C193">
            <v>1</v>
          </cell>
          <cell r="D193" t="str">
            <v>INJ</v>
          </cell>
          <cell r="E193" t="str">
            <v>SM240</v>
          </cell>
          <cell r="F193">
            <v>24</v>
          </cell>
          <cell r="G193"/>
          <cell r="H193">
            <v>24</v>
          </cell>
        </row>
        <row r="194">
          <cell r="A194">
            <v>453835</v>
          </cell>
          <cell r="B194" t="str">
            <v>AT0597-NA 500ML I/C TUB (NATURAL)</v>
          </cell>
          <cell r="C194">
            <v>1</v>
          </cell>
          <cell r="D194" t="str">
            <v>INJ</v>
          </cell>
          <cell r="E194" t="str">
            <v>SM240</v>
          </cell>
          <cell r="F194">
            <v>24</v>
          </cell>
          <cell r="G194"/>
          <cell r="H194">
            <v>24</v>
          </cell>
        </row>
        <row r="195">
          <cell r="A195">
            <v>453836</v>
          </cell>
          <cell r="B195" t="str">
            <v>AT0597-WH 500ML I/C TUB (WHITE)</v>
          </cell>
          <cell r="C195">
            <v>1</v>
          </cell>
          <cell r="D195" t="str">
            <v>INJ</v>
          </cell>
          <cell r="E195" t="str">
            <v>SM240</v>
          </cell>
          <cell r="F195">
            <v>24</v>
          </cell>
          <cell r="G195"/>
          <cell r="H195">
            <v>24.6</v>
          </cell>
        </row>
        <row r="196">
          <cell r="A196">
            <v>453837</v>
          </cell>
          <cell r="B196" t="str">
            <v>AT0712-NA 800ML I/C TUB (NATURAL)</v>
          </cell>
          <cell r="C196">
            <v>1</v>
          </cell>
          <cell r="D196" t="str">
            <v>INJ</v>
          </cell>
          <cell r="E196" t="str">
            <v>SM240</v>
          </cell>
          <cell r="F196">
            <v>32.6</v>
          </cell>
          <cell r="G196"/>
          <cell r="H196">
            <v>32.6</v>
          </cell>
        </row>
        <row r="197">
          <cell r="A197">
            <v>454218</v>
          </cell>
          <cell r="B197" t="str">
            <v>AT0823-NA 750ML I/C TUB (NATURAL)</v>
          </cell>
          <cell r="C197">
            <v>1</v>
          </cell>
          <cell r="D197" t="str">
            <v>INJ</v>
          </cell>
          <cell r="E197" t="str">
            <v>SM240</v>
          </cell>
          <cell r="F197">
            <v>33</v>
          </cell>
          <cell r="G197"/>
          <cell r="H197">
            <v>33</v>
          </cell>
        </row>
        <row r="198">
          <cell r="A198">
            <v>453839</v>
          </cell>
          <cell r="B198" t="str">
            <v>AT0926-BK 1LTR I/C TUB (BLACK)</v>
          </cell>
          <cell r="C198">
            <v>1</v>
          </cell>
          <cell r="D198" t="str">
            <v>INJ</v>
          </cell>
          <cell r="E198" t="str">
            <v>SM240</v>
          </cell>
          <cell r="F198">
            <v>36</v>
          </cell>
          <cell r="G198"/>
          <cell r="H198">
            <v>36</v>
          </cell>
        </row>
        <row r="199">
          <cell r="A199">
            <v>453840</v>
          </cell>
          <cell r="B199" t="str">
            <v>AT0926-GR 1LTR I/C TUB (GREEN)</v>
          </cell>
          <cell r="C199">
            <v>1</v>
          </cell>
          <cell r="D199" t="str">
            <v>INJ</v>
          </cell>
          <cell r="E199" t="str">
            <v>SM240</v>
          </cell>
          <cell r="F199">
            <v>36</v>
          </cell>
          <cell r="G199"/>
          <cell r="H199">
            <v>34.5</v>
          </cell>
        </row>
        <row r="200">
          <cell r="A200">
            <v>453841</v>
          </cell>
          <cell r="B200" t="str">
            <v>AT0926-NA 1LTR I/C TUB (NATURAL)</v>
          </cell>
          <cell r="C200">
            <v>1</v>
          </cell>
          <cell r="D200" t="str">
            <v>INJ</v>
          </cell>
          <cell r="E200" t="str">
            <v>SM240</v>
          </cell>
          <cell r="F200">
            <v>36</v>
          </cell>
          <cell r="G200"/>
          <cell r="H200">
            <v>36</v>
          </cell>
        </row>
        <row r="201">
          <cell r="A201">
            <v>454254</v>
          </cell>
          <cell r="B201" t="str">
            <v>AT1015-NA HARWANY PLASTIC BOX (NATURAL)</v>
          </cell>
          <cell r="C201">
            <v>1</v>
          </cell>
          <cell r="D201" t="str">
            <v>INJ</v>
          </cell>
          <cell r="E201" t="str">
            <v>HDPE1010J</v>
          </cell>
          <cell r="F201">
            <v>87</v>
          </cell>
          <cell r="G201"/>
          <cell r="H201">
            <v>87</v>
          </cell>
        </row>
        <row r="202">
          <cell r="A202">
            <v>454169</v>
          </cell>
          <cell r="B202" t="str">
            <v>AT1026-NA 1LTR I/C TUB (NATURAL)</v>
          </cell>
          <cell r="C202">
            <v>1</v>
          </cell>
          <cell r="D202" t="str">
            <v>INJ</v>
          </cell>
          <cell r="E202" t="str">
            <v>SM240</v>
          </cell>
          <cell r="F202">
            <v>41</v>
          </cell>
          <cell r="G202"/>
          <cell r="H202">
            <v>41</v>
          </cell>
        </row>
        <row r="203">
          <cell r="A203">
            <v>453842</v>
          </cell>
          <cell r="B203" t="str">
            <v>AT1163-BK INSTANT NOODLE BOWL (BLACK)</v>
          </cell>
          <cell r="C203">
            <v>2</v>
          </cell>
          <cell r="D203" t="str">
            <v>INJ</v>
          </cell>
          <cell r="E203" t="str">
            <v>PP6331</v>
          </cell>
          <cell r="F203">
            <v>33</v>
          </cell>
          <cell r="G203"/>
          <cell r="H203">
            <v>33</v>
          </cell>
        </row>
        <row r="204">
          <cell r="A204">
            <v>453843</v>
          </cell>
          <cell r="B204" t="str">
            <v>AT1203-WH 1.25LTR I/C TUB (WHITE)</v>
          </cell>
          <cell r="C204">
            <v>1</v>
          </cell>
          <cell r="D204" t="str">
            <v>INJ</v>
          </cell>
          <cell r="E204" t="str">
            <v>SM240</v>
          </cell>
          <cell r="F204">
            <v>40</v>
          </cell>
          <cell r="G204"/>
          <cell r="H204">
            <v>40</v>
          </cell>
        </row>
        <row r="205">
          <cell r="A205">
            <v>453844</v>
          </cell>
          <cell r="B205" t="str">
            <v>AT1255-VL 1.25LTR I/C TUB (VIOLET)</v>
          </cell>
          <cell r="C205">
            <v>1</v>
          </cell>
          <cell r="D205" t="str">
            <v>INJ</v>
          </cell>
          <cell r="E205" t="str">
            <v>HDPE1010J</v>
          </cell>
          <cell r="F205">
            <v>48.5</v>
          </cell>
          <cell r="G205"/>
          <cell r="H205">
            <v>51</v>
          </cell>
        </row>
        <row r="206">
          <cell r="A206">
            <v>453845</v>
          </cell>
          <cell r="B206" t="str">
            <v>AT1255-YL 1.25LTR I/C TUB (YELLOW)</v>
          </cell>
          <cell r="C206">
            <v>1</v>
          </cell>
          <cell r="D206" t="str">
            <v>INJ</v>
          </cell>
          <cell r="E206" t="str">
            <v>HDPE1010J</v>
          </cell>
          <cell r="F206">
            <v>48.5</v>
          </cell>
          <cell r="G206"/>
          <cell r="H206">
            <v>51.04</v>
          </cell>
        </row>
        <row r="207">
          <cell r="A207">
            <v>453846</v>
          </cell>
          <cell r="B207" t="str">
            <v>AT1257-OR 1.25LTR I/C TUB (ORANGE)</v>
          </cell>
          <cell r="C207">
            <v>1</v>
          </cell>
          <cell r="D207" t="str">
            <v>INJ</v>
          </cell>
          <cell r="E207" t="str">
            <v>SM240</v>
          </cell>
          <cell r="F207">
            <v>44.599999999999994</v>
          </cell>
          <cell r="G207"/>
          <cell r="H207">
            <v>38.5</v>
          </cell>
        </row>
        <row r="208">
          <cell r="A208">
            <v>453847</v>
          </cell>
          <cell r="B208" t="str">
            <v>AT1257-WH 1.25LTR I/C TUB (WHITE)</v>
          </cell>
          <cell r="C208">
            <v>1</v>
          </cell>
          <cell r="D208" t="str">
            <v>INJ</v>
          </cell>
          <cell r="E208" t="str">
            <v>SM240</v>
          </cell>
          <cell r="F208">
            <v>44.599999999999994</v>
          </cell>
          <cell r="G208"/>
          <cell r="H208">
            <v>44.599999999999994</v>
          </cell>
        </row>
        <row r="209">
          <cell r="A209">
            <v>454187</v>
          </cell>
          <cell r="B209" t="str">
            <v>AT1510-WH 1.5LTR I/C TUB (WHITE)</v>
          </cell>
          <cell r="C209">
            <v>1</v>
          </cell>
          <cell r="D209" t="str">
            <v>INJ</v>
          </cell>
          <cell r="E209" t="str">
            <v>HDPE1010J</v>
          </cell>
          <cell r="F209">
            <v>56.8</v>
          </cell>
          <cell r="G209"/>
          <cell r="H209">
            <v>58</v>
          </cell>
        </row>
        <row r="210">
          <cell r="A210">
            <v>453848</v>
          </cell>
          <cell r="B210" t="str">
            <v>AT1512-WH 1.5LTR I/C TUB (WHITE)</v>
          </cell>
          <cell r="C210">
            <v>1</v>
          </cell>
          <cell r="D210" t="str">
            <v>INJ</v>
          </cell>
          <cell r="E210" t="str">
            <v>SM240</v>
          </cell>
          <cell r="F210">
            <v>56.800000000000004</v>
          </cell>
          <cell r="G210"/>
          <cell r="H210">
            <v>56.800000000000004</v>
          </cell>
        </row>
        <row r="211">
          <cell r="A211">
            <v>453849</v>
          </cell>
          <cell r="B211" t="str">
            <v>AT1521-BR 1.5LTR I/C TUB (BROWN)</v>
          </cell>
          <cell r="C211">
            <v>1</v>
          </cell>
          <cell r="D211" t="str">
            <v>INJ</v>
          </cell>
          <cell r="E211" t="str">
            <v>SM240</v>
          </cell>
          <cell r="F211">
            <v>50.2</v>
          </cell>
          <cell r="G211"/>
          <cell r="H211">
            <v>50.2</v>
          </cell>
        </row>
        <row r="212">
          <cell r="A212">
            <v>454203</v>
          </cell>
          <cell r="B212" t="str">
            <v>AT1521-RD 1.5LTR I/C TUB (RED)</v>
          </cell>
          <cell r="C212">
            <v>1</v>
          </cell>
          <cell r="D212" t="str">
            <v>INJ</v>
          </cell>
          <cell r="E212" t="str">
            <v>SM240</v>
          </cell>
          <cell r="F212">
            <v>50.2</v>
          </cell>
          <cell r="G212"/>
          <cell r="H212">
            <v>50.2</v>
          </cell>
        </row>
        <row r="213">
          <cell r="A213">
            <v>453850</v>
          </cell>
          <cell r="B213" t="str">
            <v>AT1521-YL 1.5LTR I/C TUB (YELLOW)</v>
          </cell>
          <cell r="C213">
            <v>1</v>
          </cell>
          <cell r="D213" t="str">
            <v>INJ</v>
          </cell>
          <cell r="E213" t="str">
            <v>SM240</v>
          </cell>
          <cell r="F213">
            <v>50.2</v>
          </cell>
          <cell r="G213"/>
          <cell r="H213">
            <v>50.2</v>
          </cell>
        </row>
        <row r="214">
          <cell r="A214">
            <v>453851</v>
          </cell>
          <cell r="B214" t="str">
            <v>AT1537-BK 1.5LTR I/C TUB (BLACK)</v>
          </cell>
          <cell r="C214">
            <v>1</v>
          </cell>
          <cell r="D214" t="str">
            <v>INJ</v>
          </cell>
          <cell r="E214" t="str">
            <v>SM240</v>
          </cell>
          <cell r="F214">
            <v>53.2</v>
          </cell>
          <cell r="G214"/>
          <cell r="H214">
            <v>53.2</v>
          </cell>
        </row>
        <row r="215">
          <cell r="A215">
            <v>456285</v>
          </cell>
          <cell r="B215" t="str">
            <v>AT1537-GD 1.5LTR I/C TUB (GOLD)</v>
          </cell>
          <cell r="C215">
            <v>1</v>
          </cell>
          <cell r="D215" t="str">
            <v>INJ</v>
          </cell>
          <cell r="E215" t="str">
            <v>SM240</v>
          </cell>
          <cell r="F215">
            <v>53.2</v>
          </cell>
          <cell r="G215"/>
          <cell r="H215">
            <v>51</v>
          </cell>
        </row>
        <row r="216">
          <cell r="A216">
            <v>453852</v>
          </cell>
          <cell r="B216" t="str">
            <v>AT1537-GR 1.5LTR I/C TUB (GREEN)</v>
          </cell>
          <cell r="C216">
            <v>1</v>
          </cell>
          <cell r="D216" t="str">
            <v>INJ</v>
          </cell>
          <cell r="E216" t="str">
            <v>SM240</v>
          </cell>
          <cell r="F216">
            <v>53.2</v>
          </cell>
          <cell r="G216"/>
          <cell r="H216">
            <v>49.4</v>
          </cell>
        </row>
        <row r="217">
          <cell r="A217">
            <v>454202</v>
          </cell>
          <cell r="B217" t="str">
            <v>AT1537-WH 1.5LTR BIG VALUE I/C TUB</v>
          </cell>
          <cell r="C217">
            <v>1</v>
          </cell>
          <cell r="D217" t="str">
            <v>INJ</v>
          </cell>
          <cell r="E217" t="str">
            <v>SM240</v>
          </cell>
          <cell r="F217">
            <v>53.2</v>
          </cell>
          <cell r="G217"/>
          <cell r="H217">
            <v>51.64</v>
          </cell>
        </row>
        <row r="218">
          <cell r="A218">
            <v>453853</v>
          </cell>
          <cell r="B218" t="str">
            <v>AT1556-GD 1.5LTR CREMO I/C TUB (GOLD)</v>
          </cell>
          <cell r="C218">
            <v>1</v>
          </cell>
          <cell r="D218" t="str">
            <v>INJ</v>
          </cell>
          <cell r="E218" t="str">
            <v>SM240</v>
          </cell>
          <cell r="F218">
            <v>52.2</v>
          </cell>
          <cell r="G218"/>
          <cell r="H218">
            <v>52</v>
          </cell>
        </row>
        <row r="219">
          <cell r="A219">
            <v>453854</v>
          </cell>
          <cell r="B219" t="str">
            <v>AT1586-VL 1.5LTR I/C TUB (VIOLET)</v>
          </cell>
          <cell r="C219">
            <v>1</v>
          </cell>
          <cell r="D219" t="str">
            <v>INJ</v>
          </cell>
          <cell r="E219" t="str">
            <v>SM240</v>
          </cell>
          <cell r="F219">
            <v>52</v>
          </cell>
          <cell r="G219"/>
          <cell r="H219">
            <v>52.14</v>
          </cell>
        </row>
        <row r="220">
          <cell r="A220">
            <v>453855</v>
          </cell>
          <cell r="B220" t="str">
            <v>AT1586-YL 1.5LTR I/C TUB (YELLOW)</v>
          </cell>
          <cell r="C220">
            <v>1</v>
          </cell>
          <cell r="D220" t="str">
            <v>INJ</v>
          </cell>
          <cell r="E220" t="str">
            <v>SM240</v>
          </cell>
          <cell r="F220">
            <v>52</v>
          </cell>
          <cell r="G220"/>
          <cell r="H220">
            <v>51.4</v>
          </cell>
        </row>
        <row r="221">
          <cell r="A221">
            <v>453856</v>
          </cell>
          <cell r="B221" t="str">
            <v>AT2012-BL 2LTR I/C TUB (BLUE)</v>
          </cell>
          <cell r="C221">
            <v>1</v>
          </cell>
          <cell r="D221" t="str">
            <v>INJ</v>
          </cell>
          <cell r="E221" t="str">
            <v>SM240</v>
          </cell>
          <cell r="F221">
            <v>80.8</v>
          </cell>
          <cell r="G221"/>
          <cell r="H221">
            <v>81</v>
          </cell>
        </row>
        <row r="222">
          <cell r="A222">
            <v>453857</v>
          </cell>
          <cell r="B222" t="str">
            <v>AT2016-WH 2LTR I/C TUB (WHITE)</v>
          </cell>
          <cell r="C222">
            <v>1</v>
          </cell>
          <cell r="D222" t="str">
            <v>INJ</v>
          </cell>
          <cell r="E222" t="str">
            <v>SM240</v>
          </cell>
          <cell r="F222">
            <v>74</v>
          </cell>
          <cell r="G222"/>
          <cell r="H222">
            <v>74</v>
          </cell>
        </row>
        <row r="223">
          <cell r="A223">
            <v>453858</v>
          </cell>
          <cell r="B223" t="str">
            <v>AT2017-BK 2LTR I/C TUB (BLACK)</v>
          </cell>
          <cell r="C223">
            <v>1</v>
          </cell>
          <cell r="D223" t="str">
            <v>INJ</v>
          </cell>
          <cell r="E223" t="str">
            <v>SM240</v>
          </cell>
          <cell r="F223">
            <v>60</v>
          </cell>
          <cell r="G223"/>
          <cell r="H223">
            <v>60.5</v>
          </cell>
        </row>
        <row r="224">
          <cell r="A224">
            <v>453859</v>
          </cell>
          <cell r="B224" t="str">
            <v>AT2017-BL 2LTR I/C TUB (BLUE)</v>
          </cell>
          <cell r="C224">
            <v>1</v>
          </cell>
          <cell r="D224" t="str">
            <v>INJ</v>
          </cell>
          <cell r="E224" t="str">
            <v>SM240</v>
          </cell>
          <cell r="F224">
            <v>60</v>
          </cell>
          <cell r="G224"/>
          <cell r="H224">
            <v>60</v>
          </cell>
        </row>
        <row r="225">
          <cell r="A225">
            <v>453860</v>
          </cell>
          <cell r="B225" t="str">
            <v>AT2017-GR 2LTR I/C TUB (GREEN)</v>
          </cell>
          <cell r="C225">
            <v>1</v>
          </cell>
          <cell r="D225" t="str">
            <v>INJ</v>
          </cell>
          <cell r="E225" t="str">
            <v>SM240</v>
          </cell>
          <cell r="F225">
            <v>60</v>
          </cell>
          <cell r="G225"/>
          <cell r="H225">
            <v>60.15</v>
          </cell>
        </row>
        <row r="226">
          <cell r="A226">
            <v>453861</v>
          </cell>
          <cell r="B226" t="str">
            <v>AT2017-NA 2LTR I/C TUB (NATURAL)</v>
          </cell>
          <cell r="C226">
            <v>1</v>
          </cell>
          <cell r="D226" t="str">
            <v>INJ</v>
          </cell>
          <cell r="E226" t="str">
            <v>SM240</v>
          </cell>
          <cell r="F226">
            <v>60</v>
          </cell>
          <cell r="G226"/>
          <cell r="H226">
            <v>60</v>
          </cell>
        </row>
        <row r="227">
          <cell r="A227">
            <v>453862</v>
          </cell>
          <cell r="B227" t="str">
            <v>AT3016-BL 3KG CONTAINER (BLUE)</v>
          </cell>
          <cell r="C227">
            <v>1</v>
          </cell>
          <cell r="D227" t="str">
            <v>INJ</v>
          </cell>
          <cell r="E227" t="str">
            <v>SM240</v>
          </cell>
          <cell r="F227">
            <v>117.5</v>
          </cell>
          <cell r="G227"/>
          <cell r="H227">
            <v>117.5</v>
          </cell>
        </row>
        <row r="228">
          <cell r="A228">
            <v>453864</v>
          </cell>
          <cell r="B228" t="str">
            <v>AT3016-YL 3KG CONTAINER (YELLOW)</v>
          </cell>
          <cell r="C228">
            <v>1</v>
          </cell>
          <cell r="D228" t="str">
            <v>INJ</v>
          </cell>
          <cell r="E228" t="str">
            <v>SM240</v>
          </cell>
          <cell r="F228">
            <v>117.5</v>
          </cell>
          <cell r="G228"/>
          <cell r="H228">
            <v>117.5</v>
          </cell>
        </row>
        <row r="229">
          <cell r="A229">
            <v>454214</v>
          </cell>
          <cell r="B229" t="str">
            <v>AT3021-RD 3LTR TUB (RED)</v>
          </cell>
          <cell r="C229">
            <v>1</v>
          </cell>
          <cell r="D229" t="str">
            <v>INJ</v>
          </cell>
          <cell r="E229" t="str">
            <v>SM240</v>
          </cell>
          <cell r="F229">
            <v>118</v>
          </cell>
          <cell r="G229"/>
          <cell r="H229">
            <v>118</v>
          </cell>
        </row>
        <row r="230">
          <cell r="A230">
            <v>454215</v>
          </cell>
          <cell r="B230" t="str">
            <v>AT3021-WH 3LTR TUB (WHITE)</v>
          </cell>
          <cell r="C230">
            <v>1</v>
          </cell>
          <cell r="D230" t="str">
            <v>INJ</v>
          </cell>
          <cell r="E230" t="str">
            <v>SM240</v>
          </cell>
          <cell r="F230">
            <v>118</v>
          </cell>
          <cell r="G230"/>
          <cell r="H230">
            <v>117.67</v>
          </cell>
        </row>
        <row r="231">
          <cell r="A231">
            <v>454225</v>
          </cell>
          <cell r="B231" t="str">
            <v>AT4021-WH 4LTR REC I/C TUB (WHITE)</v>
          </cell>
          <cell r="C231">
            <v>1</v>
          </cell>
          <cell r="D231" t="str">
            <v>INJ</v>
          </cell>
          <cell r="E231" t="str">
            <v>SM240</v>
          </cell>
          <cell r="F231">
            <v>60</v>
          </cell>
          <cell r="G231"/>
          <cell r="H231">
            <v>60</v>
          </cell>
        </row>
        <row r="232">
          <cell r="A232">
            <v>453990</v>
          </cell>
          <cell r="B232" t="str">
            <v>AT6018-WH 6LTR BUDS I/C TUB (WHITE)</v>
          </cell>
          <cell r="C232">
            <v>1</v>
          </cell>
          <cell r="D232" t="str">
            <v>INJ</v>
          </cell>
          <cell r="E232" t="str">
            <v>SM240</v>
          </cell>
          <cell r="F232">
            <v>177</v>
          </cell>
          <cell r="G232"/>
          <cell r="H232">
            <v>177</v>
          </cell>
        </row>
        <row r="233">
          <cell r="A233">
            <v>584529</v>
          </cell>
          <cell r="B233" t="str">
            <v>AT6018-WH 6LTR BUDS I/C TUB (WHITE) 2.0</v>
          </cell>
          <cell r="C233">
            <v>1</v>
          </cell>
          <cell r="D233" t="str">
            <v>INJ</v>
          </cell>
          <cell r="E233" t="str">
            <v>SM240</v>
          </cell>
          <cell r="F233">
            <v>177</v>
          </cell>
          <cell r="G233"/>
          <cell r="H233"/>
        </row>
        <row r="234">
          <cell r="A234">
            <v>476794</v>
          </cell>
          <cell r="B234" t="str">
            <v>AY0067-NA 60ML PLASTIC SCOOP</v>
          </cell>
          <cell r="C234">
            <v>2</v>
          </cell>
          <cell r="D234" t="str">
            <v>INJ</v>
          </cell>
          <cell r="E234" t="str">
            <v>SM398</v>
          </cell>
          <cell r="F234">
            <v>9.9</v>
          </cell>
          <cell r="G234"/>
          <cell r="H234">
            <v>10.5</v>
          </cell>
        </row>
        <row r="235">
          <cell r="A235">
            <v>588241</v>
          </cell>
          <cell r="B235" t="str">
            <v>AY0102 RUBBER INSERT (NATURAL) (S)</v>
          </cell>
          <cell r="C235">
            <v>0</v>
          </cell>
          <cell r="D235" t="str">
            <v>INJ</v>
          </cell>
          <cell r="E235" t="str">
            <v>PT560</v>
          </cell>
          <cell r="F235">
            <v>2.0880000000000001</v>
          </cell>
          <cell r="G235"/>
          <cell r="H235"/>
        </row>
        <row r="236">
          <cell r="A236">
            <v>480195</v>
          </cell>
          <cell r="B236" t="str">
            <v>AY0102 RUBBER INSERT (NATURAL) (V)</v>
          </cell>
          <cell r="C236">
            <v>4</v>
          </cell>
          <cell r="D236" t="str">
            <v>INJ</v>
          </cell>
          <cell r="E236" t="str">
            <v>PT560</v>
          </cell>
          <cell r="F236">
            <v>2.2000000000000002</v>
          </cell>
          <cell r="G236"/>
          <cell r="H236">
            <v>1.5</v>
          </cell>
        </row>
        <row r="237">
          <cell r="A237">
            <v>453878</v>
          </cell>
          <cell r="B237" t="str">
            <v>AY0715-BR 1KG HONEY HANDLE (BROWN)</v>
          </cell>
          <cell r="C237">
            <v>4</v>
          </cell>
          <cell r="D237" t="str">
            <v>INJ</v>
          </cell>
          <cell r="E237" t="str">
            <v>PP6331</v>
          </cell>
          <cell r="F237">
            <v>4.3999999999999995</v>
          </cell>
          <cell r="G237"/>
          <cell r="H237">
            <v>4.3999999999999995</v>
          </cell>
        </row>
        <row r="238">
          <cell r="A238">
            <v>453879</v>
          </cell>
          <cell r="B238" t="str">
            <v>AY0751-YL 1KG HONEY HANDLE (YELLOW)</v>
          </cell>
          <cell r="C238">
            <v>4</v>
          </cell>
          <cell r="D238" t="str">
            <v>INJ</v>
          </cell>
          <cell r="E238" t="str">
            <v>SM6331</v>
          </cell>
          <cell r="F238">
            <v>4.3999999999999995</v>
          </cell>
          <cell r="G238"/>
          <cell r="H238">
            <v>4.3</v>
          </cell>
        </row>
        <row r="239">
          <cell r="A239">
            <v>454198</v>
          </cell>
          <cell r="B239" t="str">
            <v>AY0921-NA INSERT (NATURAL)</v>
          </cell>
          <cell r="C239">
            <v>8</v>
          </cell>
          <cell r="D239" t="str">
            <v>INJ</v>
          </cell>
          <cell r="E239" t="str">
            <v>LLDPE6201</v>
          </cell>
          <cell r="F239">
            <v>1.8</v>
          </cell>
          <cell r="G239"/>
          <cell r="H239">
            <v>1.8</v>
          </cell>
        </row>
        <row r="240">
          <cell r="A240">
            <v>621407</v>
          </cell>
          <cell r="B240" t="str">
            <v>T-0226-BR-HERS-PP</v>
          </cell>
          <cell r="C240">
            <v>2</v>
          </cell>
          <cell r="D240" t="str">
            <v>INJ</v>
          </cell>
          <cell r="E240" t="str">
            <v>SM840</v>
          </cell>
          <cell r="F240">
            <v>27.8</v>
          </cell>
          <cell r="G240"/>
          <cell r="H240">
            <v>27.8</v>
          </cell>
        </row>
        <row r="241">
          <cell r="A241">
            <v>621409</v>
          </cell>
          <cell r="B241" t="str">
            <v>L-0226-BR-HERS-PP</v>
          </cell>
          <cell r="C241">
            <v>4</v>
          </cell>
          <cell r="D241" t="str">
            <v>INJ</v>
          </cell>
          <cell r="E241" t="str">
            <v>SM840</v>
          </cell>
          <cell r="F241">
            <v>7</v>
          </cell>
          <cell r="G241"/>
          <cell r="H241">
            <v>7</v>
          </cell>
        </row>
        <row r="242">
          <cell r="A242">
            <v>667577</v>
          </cell>
          <cell r="B242" t="str">
            <v>BA32-0410R-CL-LKK-PET-HF</v>
          </cell>
          <cell r="C242">
            <v>4</v>
          </cell>
          <cell r="D242" t="str">
            <v>BRAVAN</v>
          </cell>
          <cell r="E242" t="str">
            <v>PET CZ333</v>
          </cell>
          <cell r="F242">
            <v>0</v>
          </cell>
          <cell r="G242"/>
          <cell r="H242">
            <v>0</v>
          </cell>
        </row>
        <row r="243">
          <cell r="A243">
            <v>667576</v>
          </cell>
          <cell r="B243" t="str">
            <v>BA32-0250R-CL-LKK-PET-HF</v>
          </cell>
          <cell r="C243">
            <v>4</v>
          </cell>
          <cell r="D243" t="str">
            <v>BRAVAN</v>
          </cell>
          <cell r="E243" t="str">
            <v>PET CZ333</v>
          </cell>
          <cell r="F243">
            <v>0</v>
          </cell>
          <cell r="G243"/>
          <cell r="H243">
            <v>0</v>
          </cell>
        </row>
        <row r="244">
          <cell r="A244">
            <v>667575</v>
          </cell>
          <cell r="B244" t="str">
            <v>BA32-0130R-CL-LKK-PET-HF</v>
          </cell>
          <cell r="C244">
            <v>4</v>
          </cell>
          <cell r="D244" t="str">
            <v>BRAVAN</v>
          </cell>
          <cell r="E244" t="str">
            <v>PET CZ333</v>
          </cell>
          <cell r="F244">
            <v>0</v>
          </cell>
          <cell r="G244"/>
          <cell r="H244">
            <v>0</v>
          </cell>
        </row>
        <row r="245">
          <cell r="A245">
            <v>322439</v>
          </cell>
          <cell r="B245" t="str">
            <v>BA28-0355-A-Q-CL</v>
          </cell>
          <cell r="C245">
            <v>4</v>
          </cell>
          <cell r="D245" t="str">
            <v>ISBM</v>
          </cell>
          <cell r="E245" t="str">
            <v>PET</v>
          </cell>
          <cell r="F245">
            <v>30.2</v>
          </cell>
          <cell r="G245"/>
          <cell r="H245">
            <v>30.2</v>
          </cell>
        </row>
        <row r="246">
          <cell r="A246">
            <v>322456</v>
          </cell>
          <cell r="B246" t="str">
            <v>BA28-0500-S-Q-CL</v>
          </cell>
          <cell r="C246">
            <v>4</v>
          </cell>
          <cell r="D246" t="str">
            <v>ISBM</v>
          </cell>
          <cell r="E246" t="str">
            <v>PET</v>
          </cell>
          <cell r="F246">
            <v>26.1</v>
          </cell>
          <cell r="G246"/>
          <cell r="H246">
            <v>26.1</v>
          </cell>
        </row>
        <row r="247">
          <cell r="A247">
            <v>322462</v>
          </cell>
          <cell r="B247" t="str">
            <v>BA28-0550-UP-S-CL</v>
          </cell>
          <cell r="C247">
            <v>4</v>
          </cell>
          <cell r="D247" t="str">
            <v>ISBM</v>
          </cell>
          <cell r="E247" t="str">
            <v>PET</v>
          </cell>
          <cell r="F247">
            <v>41.9</v>
          </cell>
          <cell r="G247"/>
          <cell r="H247">
            <v>41.9</v>
          </cell>
        </row>
        <row r="248">
          <cell r="A248">
            <v>322463</v>
          </cell>
          <cell r="B248" t="str">
            <v>BA28-0600-R-R-CL</v>
          </cell>
          <cell r="C248">
            <v>4</v>
          </cell>
          <cell r="D248" t="str">
            <v>ISBM</v>
          </cell>
          <cell r="E248" t="str">
            <v>PET</v>
          </cell>
          <cell r="F248">
            <v>40</v>
          </cell>
          <cell r="G248"/>
          <cell r="H248">
            <v>40</v>
          </cell>
        </row>
        <row r="249">
          <cell r="A249">
            <v>322465</v>
          </cell>
          <cell r="B249" t="str">
            <v>BA28-0640-R-R-CL</v>
          </cell>
          <cell r="C249">
            <v>4</v>
          </cell>
          <cell r="D249" t="str">
            <v>ISBM</v>
          </cell>
          <cell r="E249" t="str">
            <v>PET</v>
          </cell>
          <cell r="F249">
            <v>30.1</v>
          </cell>
          <cell r="G249"/>
          <cell r="H249">
            <v>30.1</v>
          </cell>
        </row>
        <row r="250">
          <cell r="A250">
            <v>322482</v>
          </cell>
          <cell r="B250" t="str">
            <v>BA28-1100-UP-S-CL</v>
          </cell>
          <cell r="C250">
            <v>4</v>
          </cell>
          <cell r="D250" t="str">
            <v>ISBM</v>
          </cell>
          <cell r="E250" t="str">
            <v>PET</v>
          </cell>
          <cell r="F250">
            <v>51.2</v>
          </cell>
          <cell r="G250"/>
          <cell r="H250">
            <v>31</v>
          </cell>
        </row>
        <row r="251">
          <cell r="A251">
            <v>601608</v>
          </cell>
          <cell r="B251" t="str">
            <v>BA32-0640-R2-R-CL</v>
          </cell>
          <cell r="C251">
            <v>4</v>
          </cell>
          <cell r="D251" t="str">
            <v>ISBM</v>
          </cell>
          <cell r="E251" t="str">
            <v>PET</v>
          </cell>
          <cell r="F251">
            <v>32</v>
          </cell>
          <cell r="G251"/>
          <cell r="H251">
            <v>32</v>
          </cell>
        </row>
        <row r="252">
          <cell r="A252">
            <v>523813</v>
          </cell>
          <cell r="B252" t="str">
            <v>BA32-0750-W-R-CL</v>
          </cell>
          <cell r="C252">
            <v>4</v>
          </cell>
          <cell r="D252" t="str">
            <v>ISBM</v>
          </cell>
          <cell r="E252" t="str">
            <v>PET</v>
          </cell>
          <cell r="F252">
            <v>40.799999999999997</v>
          </cell>
          <cell r="G252"/>
          <cell r="H252">
            <v>41.3</v>
          </cell>
        </row>
        <row r="253">
          <cell r="A253">
            <v>532976</v>
          </cell>
          <cell r="B253" t="str">
            <v>BA32-1000-R1-R-CL</v>
          </cell>
          <cell r="C253">
            <v>4</v>
          </cell>
          <cell r="D253" t="str">
            <v>ISBM</v>
          </cell>
          <cell r="E253" t="str">
            <v>PET</v>
          </cell>
          <cell r="F253">
            <v>41.6</v>
          </cell>
          <cell r="G253"/>
          <cell r="H253">
            <v>41.5</v>
          </cell>
        </row>
        <row r="254">
          <cell r="A254">
            <v>606768</v>
          </cell>
          <cell r="B254" t="str">
            <v>BA32-1000-R2-R-CL-KKM</v>
          </cell>
          <cell r="C254">
            <v>4</v>
          </cell>
          <cell r="D254" t="str">
            <v>ISBM</v>
          </cell>
          <cell r="E254" t="str">
            <v>PET</v>
          </cell>
          <cell r="F254">
            <v>32</v>
          </cell>
          <cell r="G254"/>
          <cell r="H254">
            <v>32</v>
          </cell>
        </row>
        <row r="255">
          <cell r="A255">
            <v>379514</v>
          </cell>
          <cell r="B255" t="str">
            <v>BA32-1000-R-R-CL</v>
          </cell>
          <cell r="C255">
            <v>4</v>
          </cell>
          <cell r="D255" t="str">
            <v>ISBM</v>
          </cell>
          <cell r="E255" t="str">
            <v>PET</v>
          </cell>
          <cell r="F255">
            <v>40</v>
          </cell>
          <cell r="G255"/>
          <cell r="H255">
            <v>41.13</v>
          </cell>
        </row>
        <row r="256">
          <cell r="A256">
            <v>322478</v>
          </cell>
          <cell r="B256" t="str">
            <v>BA32-1000-S-S-CL</v>
          </cell>
          <cell r="C256">
            <v>4</v>
          </cell>
          <cell r="D256" t="str">
            <v>ISBM</v>
          </cell>
          <cell r="E256" t="str">
            <v>PET</v>
          </cell>
          <cell r="F256">
            <v>41.5</v>
          </cell>
          <cell r="G256"/>
          <cell r="H256">
            <v>30.5</v>
          </cell>
        </row>
        <row r="257">
          <cell r="A257">
            <v>504598</v>
          </cell>
          <cell r="B257" t="str">
            <v>BAA28-0265-AA-SCC-CL</v>
          </cell>
          <cell r="C257">
            <v>4</v>
          </cell>
          <cell r="D257" t="str">
            <v>ISBM</v>
          </cell>
          <cell r="E257" t="str">
            <v>PET</v>
          </cell>
          <cell r="F257">
            <v>28</v>
          </cell>
          <cell r="G257"/>
          <cell r="H257">
            <v>30.2</v>
          </cell>
        </row>
        <row r="258">
          <cell r="A258">
            <v>324162</v>
          </cell>
          <cell r="B258" t="str">
            <v>BAA28-0355-A-Q-CL</v>
          </cell>
          <cell r="C258">
            <v>4</v>
          </cell>
          <cell r="D258" t="str">
            <v>ISBM</v>
          </cell>
          <cell r="E258" t="str">
            <v>PET</v>
          </cell>
          <cell r="F258">
            <v>28</v>
          </cell>
          <cell r="G258"/>
          <cell r="H258">
            <v>30.5</v>
          </cell>
        </row>
        <row r="259">
          <cell r="A259">
            <v>340461</v>
          </cell>
          <cell r="B259" t="str">
            <v>BAA28-0355-AR-Q-CL</v>
          </cell>
          <cell r="C259">
            <v>4</v>
          </cell>
          <cell r="D259" t="str">
            <v>ISBM</v>
          </cell>
          <cell r="E259" t="str">
            <v>PET</v>
          </cell>
          <cell r="F259">
            <v>24.9</v>
          </cell>
          <cell r="G259"/>
          <cell r="H259">
            <v>29.6</v>
          </cell>
        </row>
        <row r="260">
          <cell r="A260">
            <v>324863</v>
          </cell>
          <cell r="B260" t="str">
            <v>BAA28-0355-FFN3-Q-CL</v>
          </cell>
          <cell r="C260">
            <v>4</v>
          </cell>
          <cell r="D260" t="str">
            <v>ISBM</v>
          </cell>
          <cell r="E260" t="str">
            <v>PET</v>
          </cell>
          <cell r="F260">
            <v>30.4</v>
          </cell>
          <cell r="G260"/>
          <cell r="H260">
            <v>30.5</v>
          </cell>
        </row>
        <row r="261">
          <cell r="A261">
            <v>343313</v>
          </cell>
          <cell r="B261" t="str">
            <v>BAA28-0355-FFN4-Q-CL</v>
          </cell>
          <cell r="C261">
            <v>4</v>
          </cell>
          <cell r="D261" t="str">
            <v>ISBM</v>
          </cell>
          <cell r="E261" t="str">
            <v>PET</v>
          </cell>
          <cell r="F261">
            <v>30.9</v>
          </cell>
          <cell r="G261"/>
          <cell r="H261">
            <v>12.5</v>
          </cell>
        </row>
        <row r="262">
          <cell r="A262">
            <v>322440</v>
          </cell>
          <cell r="B262" t="str">
            <v>BAA28-0355-FFN-Q-CL</v>
          </cell>
          <cell r="C262">
            <v>4</v>
          </cell>
          <cell r="D262" t="str">
            <v>ISBM</v>
          </cell>
          <cell r="E262" t="str">
            <v>PET</v>
          </cell>
          <cell r="F262">
            <v>28</v>
          </cell>
          <cell r="G262"/>
          <cell r="H262">
            <v>30.4</v>
          </cell>
        </row>
        <row r="263">
          <cell r="A263">
            <v>322384</v>
          </cell>
          <cell r="B263" t="str">
            <v>BB38-0060-R-R-AM</v>
          </cell>
          <cell r="C263">
            <v>4</v>
          </cell>
          <cell r="D263" t="str">
            <v>ISBM</v>
          </cell>
          <cell r="E263" t="str">
            <v>PET</v>
          </cell>
          <cell r="F263">
            <v>12.5</v>
          </cell>
          <cell r="G263"/>
          <cell r="H263">
            <v>12.5</v>
          </cell>
        </row>
        <row r="264">
          <cell r="A264">
            <v>322383</v>
          </cell>
          <cell r="B264" t="str">
            <v>BB38-0060-R-R-CL</v>
          </cell>
          <cell r="C264">
            <v>4</v>
          </cell>
          <cell r="D264" t="str">
            <v>ISBM</v>
          </cell>
          <cell r="E264" t="str">
            <v>PET</v>
          </cell>
          <cell r="F264">
            <v>12.5</v>
          </cell>
          <cell r="G264"/>
          <cell r="H264">
            <v>12.5</v>
          </cell>
        </row>
        <row r="265">
          <cell r="A265">
            <v>586058</v>
          </cell>
          <cell r="B265" t="str">
            <v>BB38-0060-R-R-WH</v>
          </cell>
          <cell r="C265">
            <v>4</v>
          </cell>
          <cell r="D265" t="str">
            <v>ISBM</v>
          </cell>
          <cell r="E265" t="str">
            <v>PET</v>
          </cell>
          <cell r="F265">
            <v>12.5</v>
          </cell>
          <cell r="G265"/>
          <cell r="H265">
            <v>12.5</v>
          </cell>
        </row>
        <row r="266">
          <cell r="A266">
            <v>322390</v>
          </cell>
          <cell r="B266" t="str">
            <v>BB38-0090-R-R-AM</v>
          </cell>
          <cell r="C266">
            <v>4</v>
          </cell>
          <cell r="D266" t="str">
            <v>ISBM</v>
          </cell>
          <cell r="E266" t="str">
            <v>PET</v>
          </cell>
          <cell r="F266">
            <v>12.5</v>
          </cell>
          <cell r="G266"/>
          <cell r="H266">
            <v>12.5</v>
          </cell>
        </row>
        <row r="267">
          <cell r="A267">
            <v>322389</v>
          </cell>
          <cell r="B267" t="str">
            <v>BB38-0090-R-R-CL</v>
          </cell>
          <cell r="C267">
            <v>4</v>
          </cell>
          <cell r="D267" t="str">
            <v>ISBM</v>
          </cell>
          <cell r="E267" t="str">
            <v>PET</v>
          </cell>
          <cell r="F267">
            <v>12.5</v>
          </cell>
          <cell r="G267"/>
          <cell r="H267">
            <v>12.5</v>
          </cell>
        </row>
        <row r="268">
          <cell r="A268">
            <v>322403</v>
          </cell>
          <cell r="B268" t="str">
            <v>BB38-0145-C-R-CL</v>
          </cell>
          <cell r="C268">
            <v>4</v>
          </cell>
          <cell r="D268" t="str">
            <v>ISBM</v>
          </cell>
          <cell r="E268" t="str">
            <v>PET</v>
          </cell>
          <cell r="F268">
            <v>16</v>
          </cell>
          <cell r="G268"/>
          <cell r="H268">
            <v>16</v>
          </cell>
        </row>
        <row r="269">
          <cell r="A269">
            <v>322404</v>
          </cell>
          <cell r="B269" t="str">
            <v>BB38-0150-C-R-CL</v>
          </cell>
          <cell r="C269">
            <v>4</v>
          </cell>
          <cell r="D269" t="str">
            <v>ISBM</v>
          </cell>
          <cell r="E269" t="str">
            <v>PET</v>
          </cell>
          <cell r="F269">
            <v>17</v>
          </cell>
          <cell r="G269"/>
          <cell r="H269">
            <v>16.899999999999999</v>
          </cell>
        </row>
        <row r="270">
          <cell r="A270">
            <v>324194</v>
          </cell>
          <cell r="B270" t="str">
            <v>BB38-0165-RH-R-AM</v>
          </cell>
          <cell r="C270">
            <v>4</v>
          </cell>
          <cell r="D270" t="str">
            <v>ISBM</v>
          </cell>
          <cell r="E270" t="str">
            <v>PET</v>
          </cell>
          <cell r="F270">
            <v>17</v>
          </cell>
          <cell r="G270"/>
          <cell r="H270">
            <v>16.899999999999999</v>
          </cell>
        </row>
        <row r="271">
          <cell r="A271">
            <v>322408</v>
          </cell>
          <cell r="B271" t="str">
            <v>BB38-0165-RH-R-CL</v>
          </cell>
          <cell r="C271">
            <v>4</v>
          </cell>
          <cell r="D271" t="str">
            <v>ISBM</v>
          </cell>
          <cell r="E271" t="str">
            <v>PET</v>
          </cell>
          <cell r="F271">
            <v>16</v>
          </cell>
          <cell r="G271"/>
          <cell r="H271">
            <v>16</v>
          </cell>
        </row>
        <row r="272">
          <cell r="A272">
            <v>322491</v>
          </cell>
          <cell r="B272" t="str">
            <v>BB38-0250-FN-R-CL</v>
          </cell>
          <cell r="C272">
            <v>4</v>
          </cell>
          <cell r="D272" t="str">
            <v>ISBM</v>
          </cell>
          <cell r="E272" t="str">
            <v>PET</v>
          </cell>
          <cell r="F272">
            <v>21</v>
          </cell>
          <cell r="G272"/>
          <cell r="H272">
            <v>21</v>
          </cell>
        </row>
        <row r="273">
          <cell r="A273">
            <v>322488</v>
          </cell>
          <cell r="B273" t="str">
            <v>BB38-0250-FS-R-CL</v>
          </cell>
          <cell r="C273">
            <v>4</v>
          </cell>
          <cell r="D273" t="str">
            <v>ISBM</v>
          </cell>
          <cell r="E273" t="str">
            <v>PET</v>
          </cell>
          <cell r="F273">
            <v>22.5</v>
          </cell>
          <cell r="G273"/>
          <cell r="H273">
            <v>20.6</v>
          </cell>
        </row>
        <row r="274">
          <cell r="A274">
            <v>322490</v>
          </cell>
          <cell r="B274" t="str">
            <v>BB38-0250-RJ-R-CL</v>
          </cell>
          <cell r="C274">
            <v>4</v>
          </cell>
          <cell r="D274" t="str">
            <v>ISBM</v>
          </cell>
          <cell r="E274" t="str">
            <v>PET</v>
          </cell>
          <cell r="F274">
            <v>23</v>
          </cell>
          <cell r="G274"/>
          <cell r="H274">
            <v>23</v>
          </cell>
        </row>
        <row r="275">
          <cell r="A275">
            <v>322486</v>
          </cell>
          <cell r="B275" t="str">
            <v>BB38-0250-RM-R-CL</v>
          </cell>
          <cell r="C275">
            <v>4</v>
          </cell>
          <cell r="D275" t="str">
            <v>ISBM</v>
          </cell>
          <cell r="E275" t="str">
            <v>PET</v>
          </cell>
          <cell r="F275">
            <v>27</v>
          </cell>
          <cell r="G275"/>
          <cell r="H275">
            <v>16.8</v>
          </cell>
        </row>
        <row r="276">
          <cell r="A276">
            <v>322487</v>
          </cell>
          <cell r="B276" t="str">
            <v>BB38-0250-R-R-CL</v>
          </cell>
          <cell r="C276">
            <v>4</v>
          </cell>
          <cell r="D276" t="str">
            <v>ISBM</v>
          </cell>
          <cell r="E276" t="str">
            <v>PET</v>
          </cell>
          <cell r="F276">
            <v>27</v>
          </cell>
          <cell r="G276"/>
          <cell r="H276">
            <v>20.6</v>
          </cell>
        </row>
        <row r="277">
          <cell r="A277">
            <v>324207</v>
          </cell>
          <cell r="B277" t="str">
            <v>BB38-0250-R-R-WH</v>
          </cell>
          <cell r="C277">
            <v>4</v>
          </cell>
          <cell r="D277" t="str">
            <v>ISBM</v>
          </cell>
          <cell r="E277" t="str">
            <v>PET</v>
          </cell>
          <cell r="F277">
            <v>27</v>
          </cell>
          <cell r="G277"/>
          <cell r="H277">
            <v>27</v>
          </cell>
        </row>
        <row r="278">
          <cell r="A278">
            <v>324212</v>
          </cell>
          <cell r="B278" t="str">
            <v>BB38-0250-S-S-CL</v>
          </cell>
          <cell r="C278">
            <v>4</v>
          </cell>
          <cell r="D278" t="str">
            <v>ISBM</v>
          </cell>
          <cell r="E278" t="str">
            <v>PET</v>
          </cell>
          <cell r="F278">
            <v>16</v>
          </cell>
          <cell r="G278"/>
          <cell r="H278">
            <v>16</v>
          </cell>
        </row>
        <row r="279">
          <cell r="A279">
            <v>322489</v>
          </cell>
          <cell r="B279" t="str">
            <v>BB38-0250-SS-R-CL</v>
          </cell>
          <cell r="C279">
            <v>4</v>
          </cell>
          <cell r="D279" t="str">
            <v>ISBM</v>
          </cell>
          <cell r="E279" t="str">
            <v>PET</v>
          </cell>
          <cell r="F279">
            <v>20</v>
          </cell>
          <cell r="G279"/>
          <cell r="H279">
            <v>27.5</v>
          </cell>
        </row>
        <row r="280">
          <cell r="A280">
            <v>322515</v>
          </cell>
          <cell r="B280" t="str">
            <v>BB38-03000-RB3-S-CL</v>
          </cell>
          <cell r="C280">
            <v>2</v>
          </cell>
          <cell r="D280" t="str">
            <v>ISBM</v>
          </cell>
          <cell r="E280" t="str">
            <v>PET</v>
          </cell>
          <cell r="F280">
            <v>73.400000000000006</v>
          </cell>
          <cell r="G280"/>
          <cell r="H280">
            <v>26.78</v>
          </cell>
        </row>
        <row r="281">
          <cell r="A281">
            <v>322426</v>
          </cell>
          <cell r="B281" t="str">
            <v>BB38-0300-C-R-CL</v>
          </cell>
          <cell r="C281">
            <v>4</v>
          </cell>
          <cell r="D281" t="str">
            <v>ISBM</v>
          </cell>
          <cell r="E281" t="str">
            <v>PET</v>
          </cell>
          <cell r="F281">
            <v>27</v>
          </cell>
          <cell r="G281"/>
          <cell r="H281">
            <v>27</v>
          </cell>
        </row>
        <row r="282">
          <cell r="A282">
            <v>322494</v>
          </cell>
          <cell r="B282" t="str">
            <v>BB38-0300-RJ-R-CL</v>
          </cell>
          <cell r="C282">
            <v>4</v>
          </cell>
          <cell r="D282" t="str">
            <v>ISBM</v>
          </cell>
          <cell r="E282" t="str">
            <v>PET</v>
          </cell>
          <cell r="F282">
            <v>29</v>
          </cell>
          <cell r="G282"/>
          <cell r="H282">
            <v>29</v>
          </cell>
        </row>
        <row r="283">
          <cell r="A283">
            <v>326953</v>
          </cell>
          <cell r="B283" t="str">
            <v>BB38-0350-SB-Q-CL</v>
          </cell>
          <cell r="C283">
            <v>4</v>
          </cell>
          <cell r="D283" t="str">
            <v>ISBM</v>
          </cell>
          <cell r="E283" t="str">
            <v>PET</v>
          </cell>
          <cell r="F283">
            <v>27</v>
          </cell>
          <cell r="G283"/>
          <cell r="H283">
            <v>27.09</v>
          </cell>
        </row>
        <row r="284">
          <cell r="A284">
            <v>322505</v>
          </cell>
          <cell r="B284" t="str">
            <v>BB38-0500-PM-R-CL</v>
          </cell>
          <cell r="C284">
            <v>4</v>
          </cell>
          <cell r="D284" t="str">
            <v>ISBM</v>
          </cell>
          <cell r="E284" t="str">
            <v>PET</v>
          </cell>
          <cell r="F284">
            <v>27</v>
          </cell>
          <cell r="G284"/>
          <cell r="H284">
            <v>31</v>
          </cell>
        </row>
        <row r="285">
          <cell r="A285">
            <v>322507</v>
          </cell>
          <cell r="B285" t="str">
            <v>BB38-0500-RC-R-CL</v>
          </cell>
          <cell r="C285">
            <v>4</v>
          </cell>
          <cell r="D285" t="str">
            <v>ISBM</v>
          </cell>
          <cell r="E285" t="str">
            <v>PET</v>
          </cell>
          <cell r="F285">
            <v>27</v>
          </cell>
          <cell r="G285"/>
          <cell r="H285">
            <v>31</v>
          </cell>
        </row>
        <row r="286">
          <cell r="A286">
            <v>322506</v>
          </cell>
          <cell r="B286" t="str">
            <v>BB38-0500-R-R-CL</v>
          </cell>
          <cell r="C286">
            <v>4</v>
          </cell>
          <cell r="D286" t="str">
            <v>ISBM</v>
          </cell>
          <cell r="E286" t="str">
            <v>PET</v>
          </cell>
          <cell r="F286">
            <v>32</v>
          </cell>
          <cell r="G286"/>
          <cell r="H286">
            <v>32</v>
          </cell>
        </row>
        <row r="287">
          <cell r="A287">
            <v>324682</v>
          </cell>
          <cell r="B287" t="str">
            <v>BB38-0500-R-R-WH</v>
          </cell>
          <cell r="C287">
            <v>4</v>
          </cell>
          <cell r="D287" t="str">
            <v>ISBM</v>
          </cell>
          <cell r="E287" t="str">
            <v>PET</v>
          </cell>
          <cell r="F287">
            <v>33</v>
          </cell>
          <cell r="G287"/>
          <cell r="H287">
            <v>33</v>
          </cell>
        </row>
        <row r="288">
          <cell r="A288">
            <v>322509</v>
          </cell>
          <cell r="B288" t="str">
            <v>BB38-0500-S-S-CL</v>
          </cell>
          <cell r="C288">
            <v>4</v>
          </cell>
          <cell r="D288" t="str">
            <v>ISBM</v>
          </cell>
          <cell r="E288" t="str">
            <v>PET</v>
          </cell>
          <cell r="F288">
            <v>32</v>
          </cell>
          <cell r="G288"/>
          <cell r="H288">
            <v>32</v>
          </cell>
        </row>
        <row r="289">
          <cell r="A289">
            <v>322511</v>
          </cell>
          <cell r="B289" t="str">
            <v>BB38-0750-H-R-CL</v>
          </cell>
          <cell r="C289">
            <v>4</v>
          </cell>
          <cell r="D289" t="str">
            <v>ISBM</v>
          </cell>
          <cell r="E289" t="str">
            <v>PET</v>
          </cell>
          <cell r="F289">
            <v>44.8</v>
          </cell>
          <cell r="G289"/>
          <cell r="H289">
            <v>44.8</v>
          </cell>
        </row>
        <row r="290">
          <cell r="A290">
            <v>322512</v>
          </cell>
          <cell r="B290" t="str">
            <v>BB38-0750-RJ-R-CL</v>
          </cell>
          <cell r="C290">
            <v>4</v>
          </cell>
          <cell r="D290" t="str">
            <v>ISBM</v>
          </cell>
          <cell r="E290" t="str">
            <v>PET</v>
          </cell>
          <cell r="F290">
            <v>48.4</v>
          </cell>
          <cell r="G290"/>
          <cell r="H290">
            <v>48.4</v>
          </cell>
        </row>
        <row r="291">
          <cell r="A291">
            <v>322514</v>
          </cell>
          <cell r="B291" t="str">
            <v>BB38-0810-SV-R-CL</v>
          </cell>
          <cell r="C291">
            <v>4</v>
          </cell>
          <cell r="D291" t="str">
            <v>ISBM</v>
          </cell>
          <cell r="E291" t="str">
            <v>PET</v>
          </cell>
          <cell r="F291">
            <v>37.700000000000003</v>
          </cell>
          <cell r="G291"/>
          <cell r="H291">
            <v>45.39</v>
          </cell>
        </row>
        <row r="292">
          <cell r="A292">
            <v>322525</v>
          </cell>
          <cell r="B292" t="str">
            <v>BB38-1000-CN-R-CL</v>
          </cell>
          <cell r="C292">
            <v>4</v>
          </cell>
          <cell r="D292" t="str">
            <v>ISBM</v>
          </cell>
          <cell r="E292" t="str">
            <v>PET</v>
          </cell>
          <cell r="F292">
            <v>45</v>
          </cell>
          <cell r="G292"/>
          <cell r="H292">
            <v>45</v>
          </cell>
        </row>
        <row r="293">
          <cell r="A293">
            <v>322521</v>
          </cell>
          <cell r="B293" t="str">
            <v>BB38-1000-C-R-CL</v>
          </cell>
          <cell r="C293">
            <v>4</v>
          </cell>
          <cell r="D293" t="str">
            <v>ISBM</v>
          </cell>
          <cell r="E293" t="str">
            <v>PET</v>
          </cell>
          <cell r="F293">
            <v>55</v>
          </cell>
          <cell r="G293"/>
          <cell r="H293">
            <v>56.95</v>
          </cell>
        </row>
        <row r="294">
          <cell r="A294">
            <v>322523</v>
          </cell>
          <cell r="B294" t="str">
            <v>BB38-1000-GH-S-CL</v>
          </cell>
          <cell r="C294">
            <v>4</v>
          </cell>
          <cell r="D294" t="str">
            <v>ISBM</v>
          </cell>
          <cell r="E294" t="str">
            <v>PET</v>
          </cell>
          <cell r="F294">
            <v>47.9</v>
          </cell>
          <cell r="G294"/>
          <cell r="H294">
            <v>56.9</v>
          </cell>
        </row>
        <row r="295">
          <cell r="A295">
            <v>322517</v>
          </cell>
          <cell r="B295" t="str">
            <v>BB38-1000-HC-S-CL</v>
          </cell>
          <cell r="C295">
            <v>4</v>
          </cell>
          <cell r="D295" t="str">
            <v>ISBM</v>
          </cell>
          <cell r="E295" t="str">
            <v>PET</v>
          </cell>
          <cell r="F295">
            <v>45.3</v>
          </cell>
          <cell r="G295"/>
          <cell r="H295">
            <v>45.3</v>
          </cell>
        </row>
        <row r="296">
          <cell r="A296">
            <v>323077</v>
          </cell>
          <cell r="B296" t="str">
            <v>BB38-1000-H-R-CL(GREEN) (ASEM)</v>
          </cell>
          <cell r="C296">
            <v>4</v>
          </cell>
          <cell r="D296" t="str">
            <v>ISBM</v>
          </cell>
          <cell r="E296" t="str">
            <v>PET</v>
          </cell>
          <cell r="F296">
            <v>57.9</v>
          </cell>
          <cell r="G296"/>
          <cell r="H296">
            <v>56.89</v>
          </cell>
        </row>
        <row r="297">
          <cell r="A297">
            <v>323079</v>
          </cell>
          <cell r="B297" t="str">
            <v>BB38-1000-H-R-CL(RED) (ASEM)</v>
          </cell>
          <cell r="C297">
            <v>4</v>
          </cell>
          <cell r="D297" t="str">
            <v>ISBM</v>
          </cell>
          <cell r="E297" t="str">
            <v>PET</v>
          </cell>
          <cell r="F297">
            <v>57.9</v>
          </cell>
          <cell r="G297"/>
          <cell r="H297">
            <v>57.9</v>
          </cell>
        </row>
        <row r="298">
          <cell r="A298">
            <v>323081</v>
          </cell>
          <cell r="B298" t="str">
            <v>BB38-1000-H-R-CL(WHITE) (ASEM)</v>
          </cell>
          <cell r="C298">
            <v>4</v>
          </cell>
          <cell r="D298" t="str">
            <v>ISBM</v>
          </cell>
          <cell r="E298" t="str">
            <v>PET</v>
          </cell>
          <cell r="F298">
            <v>57.9</v>
          </cell>
          <cell r="G298"/>
          <cell r="H298">
            <v>56.9</v>
          </cell>
        </row>
        <row r="299">
          <cell r="A299">
            <v>323083</v>
          </cell>
          <cell r="B299" t="str">
            <v>BB38-1000-H-R-CL(YELLOW) (ASEM)</v>
          </cell>
          <cell r="C299">
            <v>4</v>
          </cell>
          <cell r="D299" t="str">
            <v>ISBM</v>
          </cell>
          <cell r="E299" t="str">
            <v>PET</v>
          </cell>
          <cell r="F299">
            <v>57.9</v>
          </cell>
          <cell r="G299"/>
          <cell r="H299">
            <v>56.9</v>
          </cell>
        </row>
        <row r="300">
          <cell r="A300">
            <v>322516</v>
          </cell>
          <cell r="B300" t="str">
            <v>BB38-1000-H-S-CL</v>
          </cell>
          <cell r="C300">
            <v>4</v>
          </cell>
          <cell r="D300" t="str">
            <v>ISBM</v>
          </cell>
          <cell r="E300" t="str">
            <v>PET</v>
          </cell>
          <cell r="F300">
            <v>56.9</v>
          </cell>
          <cell r="G300"/>
          <cell r="H300">
            <v>45.2</v>
          </cell>
        </row>
        <row r="301">
          <cell r="A301">
            <v>322522</v>
          </cell>
          <cell r="B301" t="str">
            <v>BB38-1000-N-R-CL</v>
          </cell>
          <cell r="C301">
            <v>4</v>
          </cell>
          <cell r="D301" t="str">
            <v>ISBM</v>
          </cell>
          <cell r="E301" t="str">
            <v>PET</v>
          </cell>
          <cell r="F301">
            <v>45.2</v>
          </cell>
          <cell r="G301"/>
          <cell r="H301">
            <v>45.33</v>
          </cell>
        </row>
        <row r="302">
          <cell r="A302">
            <v>323005</v>
          </cell>
          <cell r="B302" t="str">
            <v>BB38-1000-RH-R-CL</v>
          </cell>
          <cell r="C302">
            <v>4</v>
          </cell>
          <cell r="D302" t="str">
            <v>ISBM</v>
          </cell>
          <cell r="E302" t="str">
            <v>PET</v>
          </cell>
          <cell r="F302">
            <v>55</v>
          </cell>
          <cell r="G302"/>
          <cell r="H302">
            <v>45.28</v>
          </cell>
        </row>
        <row r="303">
          <cell r="A303">
            <v>323089</v>
          </cell>
          <cell r="B303" t="str">
            <v>BB38-1000-RH-R-CL(GREEN) (ASEM)</v>
          </cell>
          <cell r="C303">
            <v>4</v>
          </cell>
          <cell r="D303" t="str">
            <v>ISBM</v>
          </cell>
          <cell r="E303" t="str">
            <v>PET</v>
          </cell>
          <cell r="F303">
            <v>56</v>
          </cell>
          <cell r="G303"/>
          <cell r="H303">
            <v>55.51</v>
          </cell>
        </row>
        <row r="304">
          <cell r="A304">
            <v>323087</v>
          </cell>
          <cell r="B304" t="str">
            <v>BB38-1000-RH-R-CL(YELLOW) (ASEM)</v>
          </cell>
          <cell r="C304">
            <v>4</v>
          </cell>
          <cell r="D304" t="str">
            <v>ISBM</v>
          </cell>
          <cell r="E304" t="str">
            <v>PET</v>
          </cell>
          <cell r="F304">
            <v>56</v>
          </cell>
          <cell r="G304"/>
          <cell r="H304">
            <v>56</v>
          </cell>
        </row>
        <row r="305">
          <cell r="A305">
            <v>325137</v>
          </cell>
          <cell r="B305" t="str">
            <v>BB38-1000-R-R-CL</v>
          </cell>
          <cell r="C305">
            <v>4</v>
          </cell>
          <cell r="D305" t="str">
            <v>ISBM</v>
          </cell>
          <cell r="E305" t="str">
            <v>PET</v>
          </cell>
          <cell r="F305">
            <v>44</v>
          </cell>
          <cell r="G305"/>
          <cell r="H305">
            <v>56.8</v>
          </cell>
        </row>
        <row r="306">
          <cell r="A306">
            <v>329667</v>
          </cell>
          <cell r="B306" t="str">
            <v>BB38-1000-R-R-WH-HW</v>
          </cell>
          <cell r="C306">
            <v>4</v>
          </cell>
          <cell r="D306" t="str">
            <v>ISBM</v>
          </cell>
          <cell r="E306" t="str">
            <v>PET</v>
          </cell>
          <cell r="F306">
            <v>56.5</v>
          </cell>
          <cell r="G306"/>
          <cell r="H306">
            <v>56.5</v>
          </cell>
        </row>
        <row r="307">
          <cell r="A307">
            <v>379517</v>
          </cell>
          <cell r="B307" t="str">
            <v>BB38-1000-R-R-WH-LW</v>
          </cell>
          <cell r="C307">
            <v>4</v>
          </cell>
          <cell r="D307" t="str">
            <v>ISBM</v>
          </cell>
          <cell r="E307" t="str">
            <v>PET</v>
          </cell>
          <cell r="F307">
            <v>44</v>
          </cell>
          <cell r="G307"/>
          <cell r="H307">
            <v>44</v>
          </cell>
        </row>
        <row r="308">
          <cell r="A308">
            <v>322527</v>
          </cell>
          <cell r="B308" t="str">
            <v>BB38-1000-S-S-CL</v>
          </cell>
          <cell r="C308">
            <v>4</v>
          </cell>
          <cell r="D308" t="str">
            <v>ISBM</v>
          </cell>
          <cell r="E308" t="str">
            <v>PET</v>
          </cell>
          <cell r="F308">
            <v>45.3</v>
          </cell>
          <cell r="G308"/>
          <cell r="H308">
            <v>44.5</v>
          </cell>
        </row>
        <row r="309">
          <cell r="A309">
            <v>555192</v>
          </cell>
          <cell r="B309" t="str">
            <v>BB38-1000-ST-R-CL-ITA</v>
          </cell>
          <cell r="C309">
            <v>4</v>
          </cell>
          <cell r="D309" t="str">
            <v>ISBM</v>
          </cell>
          <cell r="E309" t="str">
            <v>PET</v>
          </cell>
          <cell r="F309">
            <v>44</v>
          </cell>
          <cell r="G309"/>
          <cell r="H309">
            <v>76.2</v>
          </cell>
        </row>
        <row r="310">
          <cell r="A310">
            <v>322447</v>
          </cell>
          <cell r="B310" t="str">
            <v>BB38-1500-H-R-CL</v>
          </cell>
          <cell r="C310">
            <v>2</v>
          </cell>
          <cell r="D310" t="str">
            <v>ISBM</v>
          </cell>
          <cell r="E310" t="str">
            <v>PET</v>
          </cell>
          <cell r="F310">
            <v>76.2</v>
          </cell>
          <cell r="G310"/>
          <cell r="H310">
            <v>76.2</v>
          </cell>
        </row>
        <row r="311">
          <cell r="A311">
            <v>323094</v>
          </cell>
          <cell r="B311" t="str">
            <v>BB38-1500-H-R-CL(GREEN) (ASEM)</v>
          </cell>
          <cell r="C311">
            <v>4</v>
          </cell>
          <cell r="D311" t="str">
            <v>ISBM</v>
          </cell>
          <cell r="E311" t="str">
            <v>PET</v>
          </cell>
          <cell r="F311">
            <v>77.2</v>
          </cell>
          <cell r="G311"/>
          <cell r="H311">
            <v>77.2</v>
          </cell>
        </row>
        <row r="312">
          <cell r="A312">
            <v>322534</v>
          </cell>
          <cell r="B312" t="str">
            <v>BB38-1500-S-S-CL (DEL)</v>
          </cell>
          <cell r="C312">
            <v>4</v>
          </cell>
          <cell r="D312" t="str">
            <v>ISBM</v>
          </cell>
          <cell r="E312" t="str">
            <v>PET</v>
          </cell>
          <cell r="F312">
            <v>35</v>
          </cell>
          <cell r="G312"/>
          <cell r="H312">
            <v>56.94</v>
          </cell>
        </row>
        <row r="313">
          <cell r="A313">
            <v>324205</v>
          </cell>
          <cell r="B313" t="str">
            <v>BB38-1500-S-S-CL-HW</v>
          </cell>
          <cell r="C313">
            <v>2</v>
          </cell>
          <cell r="D313" t="str">
            <v>ISBM</v>
          </cell>
          <cell r="E313" t="str">
            <v>PET</v>
          </cell>
          <cell r="F313">
            <v>57</v>
          </cell>
          <cell r="G313"/>
          <cell r="H313">
            <v>45.04</v>
          </cell>
        </row>
        <row r="314">
          <cell r="A314">
            <v>324211</v>
          </cell>
          <cell r="B314" t="str">
            <v>BB38-1500-S-S-CL-LW</v>
          </cell>
          <cell r="C314">
            <v>4</v>
          </cell>
          <cell r="D314" t="str">
            <v>ISBM</v>
          </cell>
          <cell r="E314" t="str">
            <v>PET</v>
          </cell>
          <cell r="F314">
            <v>44</v>
          </cell>
          <cell r="G314"/>
          <cell r="H314">
            <v>73.2</v>
          </cell>
        </row>
        <row r="315">
          <cell r="A315">
            <v>322466</v>
          </cell>
          <cell r="B315" t="str">
            <v>BB38-2000-H-R-CL</v>
          </cell>
          <cell r="C315">
            <v>2</v>
          </cell>
          <cell r="D315" t="str">
            <v>ISBM</v>
          </cell>
          <cell r="E315" t="str">
            <v>PET</v>
          </cell>
          <cell r="F315">
            <v>74</v>
          </cell>
          <cell r="G315"/>
          <cell r="H315">
            <v>74</v>
          </cell>
        </row>
        <row r="316">
          <cell r="A316">
            <v>323110</v>
          </cell>
          <cell r="B316" t="str">
            <v>BB38-2000-H-R-CL(GREEN) (ASEM)</v>
          </cell>
          <cell r="C316">
            <v>2</v>
          </cell>
          <cell r="D316" t="str">
            <v>ISBM</v>
          </cell>
          <cell r="E316" t="str">
            <v>PET</v>
          </cell>
          <cell r="F316">
            <v>75</v>
          </cell>
          <cell r="G316"/>
          <cell r="H316">
            <v>73.2</v>
          </cell>
        </row>
        <row r="317">
          <cell r="A317">
            <v>323117</v>
          </cell>
          <cell r="B317" t="str">
            <v>BB38-2000-H-R-CL(RED) (ASEM)</v>
          </cell>
          <cell r="C317">
            <v>2</v>
          </cell>
          <cell r="D317" t="str">
            <v>ISBM</v>
          </cell>
          <cell r="E317" t="str">
            <v>PET</v>
          </cell>
          <cell r="F317">
            <v>75</v>
          </cell>
          <cell r="G317"/>
          <cell r="H317">
            <v>73.2</v>
          </cell>
        </row>
        <row r="318">
          <cell r="A318">
            <v>323111</v>
          </cell>
          <cell r="B318" t="str">
            <v>BB38-2000-H-R-CL(WHITE) (ASEM)</v>
          </cell>
          <cell r="C318">
            <v>2</v>
          </cell>
          <cell r="D318" t="str">
            <v>ISBM</v>
          </cell>
          <cell r="E318" t="str">
            <v>PET</v>
          </cell>
          <cell r="F318">
            <v>75</v>
          </cell>
          <cell r="G318"/>
          <cell r="H318">
            <v>73.2</v>
          </cell>
        </row>
        <row r="319">
          <cell r="A319">
            <v>323113</v>
          </cell>
          <cell r="B319" t="str">
            <v>BB38-2000-H-R-CL(YELLOW) (ASEM)</v>
          </cell>
          <cell r="C319">
            <v>2</v>
          </cell>
          <cell r="D319" t="str">
            <v>ISBM</v>
          </cell>
          <cell r="E319" t="str">
            <v>PET</v>
          </cell>
          <cell r="F319">
            <v>75</v>
          </cell>
          <cell r="G319"/>
          <cell r="H319">
            <v>73.2</v>
          </cell>
        </row>
        <row r="320">
          <cell r="A320">
            <v>322559</v>
          </cell>
          <cell r="B320" t="str">
            <v>BB38-2000-HR-R-CL</v>
          </cell>
          <cell r="C320">
            <v>2</v>
          </cell>
          <cell r="D320" t="str">
            <v>ISBM</v>
          </cell>
          <cell r="E320" t="str">
            <v>PET</v>
          </cell>
          <cell r="F320">
            <v>74.2</v>
          </cell>
          <cell r="G320"/>
          <cell r="H320">
            <v>73.39</v>
          </cell>
        </row>
        <row r="321">
          <cell r="A321">
            <v>325952</v>
          </cell>
          <cell r="B321" t="str">
            <v>BB38-2000-HR-R-CL (GREEN) (ASEM)</v>
          </cell>
          <cell r="C321">
            <v>2</v>
          </cell>
          <cell r="D321" t="str">
            <v>ISBM</v>
          </cell>
          <cell r="E321" t="str">
            <v>PET</v>
          </cell>
          <cell r="F321">
            <v>75.2</v>
          </cell>
          <cell r="G321"/>
          <cell r="H321">
            <v>73.2</v>
          </cell>
        </row>
        <row r="322">
          <cell r="A322">
            <v>323107</v>
          </cell>
          <cell r="B322" t="str">
            <v>BB38-2000-HR-R-CL(RED) (ASEM)</v>
          </cell>
          <cell r="C322">
            <v>2</v>
          </cell>
          <cell r="D322" t="str">
            <v>ISBM</v>
          </cell>
          <cell r="E322" t="str">
            <v>PET</v>
          </cell>
          <cell r="F322">
            <v>75</v>
          </cell>
          <cell r="G322"/>
          <cell r="H322">
            <v>75</v>
          </cell>
        </row>
        <row r="323">
          <cell r="A323">
            <v>323106</v>
          </cell>
          <cell r="B323" t="str">
            <v>BB38-2000-HR-R-CL(YELLOW) (ASEM)</v>
          </cell>
          <cell r="C323">
            <v>2</v>
          </cell>
          <cell r="D323" t="str">
            <v>ISBM</v>
          </cell>
          <cell r="E323" t="str">
            <v>PET</v>
          </cell>
          <cell r="F323">
            <v>75</v>
          </cell>
          <cell r="G323"/>
          <cell r="H323">
            <v>75</v>
          </cell>
        </row>
        <row r="324">
          <cell r="A324">
            <v>322538</v>
          </cell>
          <cell r="B324" t="str">
            <v>BB38-2000-H-S-CL(RED) (ASEM)</v>
          </cell>
          <cell r="C324">
            <v>2</v>
          </cell>
          <cell r="D324" t="str">
            <v>ISBM</v>
          </cell>
          <cell r="E324" t="str">
            <v>PET</v>
          </cell>
          <cell r="F324">
            <v>75</v>
          </cell>
          <cell r="G324"/>
          <cell r="H324">
            <v>75</v>
          </cell>
        </row>
        <row r="325">
          <cell r="A325">
            <v>322550</v>
          </cell>
          <cell r="B325" t="str">
            <v>BB38-2000-K2-S-CL</v>
          </cell>
          <cell r="C325">
            <v>2</v>
          </cell>
          <cell r="D325" t="str">
            <v>ISBM</v>
          </cell>
          <cell r="E325" t="str">
            <v>PET</v>
          </cell>
          <cell r="F325">
            <v>74</v>
          </cell>
          <cell r="G325"/>
          <cell r="H325">
            <v>74</v>
          </cell>
        </row>
        <row r="326">
          <cell r="A326">
            <v>324218</v>
          </cell>
          <cell r="B326" t="str">
            <v>BB38-2000-RH-R-CL(GREEN) (ASEM)</v>
          </cell>
          <cell r="C326">
            <v>4</v>
          </cell>
          <cell r="D326" t="str">
            <v>ISBM</v>
          </cell>
          <cell r="E326" t="str">
            <v>PET</v>
          </cell>
          <cell r="F326">
            <v>77</v>
          </cell>
          <cell r="G326"/>
          <cell r="H326">
            <v>11</v>
          </cell>
        </row>
        <row r="327">
          <cell r="A327">
            <v>435444</v>
          </cell>
          <cell r="B327" t="str">
            <v>BC28-0030-M-CL</v>
          </cell>
          <cell r="C327">
            <v>4</v>
          </cell>
          <cell r="D327" t="str">
            <v>ISBM</v>
          </cell>
          <cell r="E327" t="str">
            <v>PET</v>
          </cell>
          <cell r="F327">
            <v>11</v>
          </cell>
          <cell r="G327"/>
          <cell r="H327">
            <v>18.399999999999999</v>
          </cell>
        </row>
        <row r="328">
          <cell r="A328">
            <v>586276</v>
          </cell>
          <cell r="B328" t="str">
            <v>BC28-0056-D-APH-LEB-604001</v>
          </cell>
          <cell r="C328">
            <v>6</v>
          </cell>
          <cell r="D328" t="str">
            <v>ISBM</v>
          </cell>
          <cell r="E328" t="str">
            <v>PPSB520Y</v>
          </cell>
          <cell r="F328">
            <v>12.3</v>
          </cell>
          <cell r="G328">
            <v>12.3</v>
          </cell>
          <cell r="H328">
            <v>12.3</v>
          </cell>
        </row>
        <row r="329">
          <cell r="A329">
            <v>666344</v>
          </cell>
          <cell r="B329" t="str">
            <v>BC28-0056-D-APH-5040-0756-PCR</v>
          </cell>
          <cell r="C329">
            <v>6</v>
          </cell>
          <cell r="D329" t="str">
            <v>ISBM</v>
          </cell>
          <cell r="E329" t="str">
            <v>KingFa NC050</v>
          </cell>
          <cell r="F329">
            <v>12.3</v>
          </cell>
          <cell r="G329">
            <v>12.3</v>
          </cell>
          <cell r="H329">
            <v>12.3</v>
          </cell>
        </row>
        <row r="330">
          <cell r="A330">
            <v>626988</v>
          </cell>
          <cell r="B330" t="str">
            <v>BC28-0056-D-APH-5081-1368-PP NO LOGO</v>
          </cell>
          <cell r="C330">
            <v>6</v>
          </cell>
          <cell r="D330" t="str">
            <v>ISBM</v>
          </cell>
          <cell r="E330" t="str">
            <v>PPSB520Y</v>
          </cell>
          <cell r="F330">
            <v>12.3</v>
          </cell>
          <cell r="G330">
            <v>12.3</v>
          </cell>
          <cell r="H330">
            <v>12.3</v>
          </cell>
        </row>
        <row r="331">
          <cell r="A331">
            <v>558028</v>
          </cell>
          <cell r="B331" t="str">
            <v>BC28-0056-D-APH-LEB-604001-T</v>
          </cell>
          <cell r="C331">
            <v>6</v>
          </cell>
          <cell r="D331" t="str">
            <v>ISBM</v>
          </cell>
          <cell r="E331" t="str">
            <v>PPSB520Y</v>
          </cell>
          <cell r="F331">
            <v>12.3</v>
          </cell>
          <cell r="G331"/>
          <cell r="H331">
            <v>12.35</v>
          </cell>
        </row>
        <row r="332">
          <cell r="A332">
            <v>584554</v>
          </cell>
          <cell r="B332" t="str">
            <v>BC28-0056-D-PET-LEB-605001</v>
          </cell>
          <cell r="C332">
            <v>7</v>
          </cell>
          <cell r="D332" t="str">
            <v>ISBM</v>
          </cell>
          <cell r="E332" t="str">
            <v>PPSB520Y</v>
          </cell>
          <cell r="F332">
            <v>17.399999999999999</v>
          </cell>
          <cell r="G332"/>
          <cell r="H332">
            <v>17.399999999999999</v>
          </cell>
        </row>
        <row r="333">
          <cell r="A333">
            <v>325511</v>
          </cell>
          <cell r="B333" t="str">
            <v>BC28-0060-M-CL-HW</v>
          </cell>
          <cell r="C333">
            <v>4</v>
          </cell>
          <cell r="D333" t="str">
            <v>ISBM</v>
          </cell>
          <cell r="E333" t="str">
            <v>PET</v>
          </cell>
          <cell r="F333">
            <v>18.350000000000001</v>
          </cell>
          <cell r="G333"/>
          <cell r="H333">
            <v>18.350000000000001</v>
          </cell>
        </row>
        <row r="334">
          <cell r="A334">
            <v>580324</v>
          </cell>
          <cell r="B334" t="str">
            <v>BC28-0060-M-R-AM-LW</v>
          </cell>
          <cell r="C334">
            <v>4</v>
          </cell>
          <cell r="D334" t="str">
            <v>ISBM</v>
          </cell>
          <cell r="E334" t="str">
            <v>PET</v>
          </cell>
          <cell r="F334">
            <v>11.3</v>
          </cell>
          <cell r="G334"/>
          <cell r="H334">
            <v>11.3</v>
          </cell>
        </row>
        <row r="335">
          <cell r="A335">
            <v>322379</v>
          </cell>
          <cell r="B335" t="str">
            <v>BC28-0060-M-R-AM-LW</v>
          </cell>
          <cell r="C335">
            <v>4</v>
          </cell>
          <cell r="D335" t="str">
            <v>ISBM</v>
          </cell>
          <cell r="E335" t="str">
            <v>PET</v>
          </cell>
          <cell r="F335">
            <v>18.349999999999998</v>
          </cell>
          <cell r="G335"/>
          <cell r="H335">
            <v>11.3</v>
          </cell>
        </row>
        <row r="336">
          <cell r="A336">
            <v>322382</v>
          </cell>
          <cell r="B336" t="str">
            <v>BC28-0060-M-R-CL-LW</v>
          </cell>
          <cell r="C336">
            <v>4</v>
          </cell>
          <cell r="D336" t="str">
            <v>ISBM</v>
          </cell>
          <cell r="E336" t="str">
            <v>PET</v>
          </cell>
          <cell r="F336">
            <v>11.3</v>
          </cell>
          <cell r="G336"/>
          <cell r="H336">
            <v>18.8</v>
          </cell>
        </row>
        <row r="337">
          <cell r="A337">
            <v>549814</v>
          </cell>
          <cell r="B337" t="str">
            <v>BC28-0060-M-R-WH-HW</v>
          </cell>
          <cell r="C337">
            <v>4</v>
          </cell>
          <cell r="D337" t="str">
            <v>ISBM</v>
          </cell>
          <cell r="E337" t="str">
            <v>PET</v>
          </cell>
          <cell r="F337">
            <v>18.349999999999998</v>
          </cell>
          <cell r="G337"/>
          <cell r="H337">
            <v>11.3</v>
          </cell>
        </row>
        <row r="338">
          <cell r="A338">
            <v>322380</v>
          </cell>
          <cell r="B338" t="str">
            <v>BC28-0060-M-R-WH-LW</v>
          </cell>
          <cell r="C338">
            <v>4</v>
          </cell>
          <cell r="D338" t="str">
            <v>ISBM</v>
          </cell>
          <cell r="E338" t="str">
            <v>PET</v>
          </cell>
          <cell r="F338">
            <v>11.3</v>
          </cell>
          <cell r="G338"/>
          <cell r="H338">
            <v>11.3</v>
          </cell>
        </row>
        <row r="339">
          <cell r="A339">
            <v>322388</v>
          </cell>
          <cell r="B339" t="str">
            <v>BC28-0080-M-R-BR</v>
          </cell>
          <cell r="C339">
            <v>4</v>
          </cell>
          <cell r="D339" t="str">
            <v>ISBM</v>
          </cell>
          <cell r="E339" t="str">
            <v>PET</v>
          </cell>
          <cell r="F339">
            <v>18.8</v>
          </cell>
          <cell r="G339"/>
          <cell r="H339">
            <v>18.8</v>
          </cell>
        </row>
        <row r="340">
          <cell r="A340">
            <v>471417</v>
          </cell>
          <cell r="B340" t="str">
            <v>BC28-0090-D-5040-0054</v>
          </cell>
          <cell r="C340">
            <v>7</v>
          </cell>
          <cell r="D340" t="str">
            <v>ISBM</v>
          </cell>
          <cell r="E340" t="str">
            <v>PET</v>
          </cell>
          <cell r="F340">
            <v>18.8</v>
          </cell>
          <cell r="G340"/>
          <cell r="H340">
            <v>18.8</v>
          </cell>
        </row>
        <row r="341">
          <cell r="A341">
            <v>494371</v>
          </cell>
          <cell r="B341" t="str">
            <v>BC28-0090-D-5040-0529 NON-HP LOGO</v>
          </cell>
          <cell r="C341">
            <v>7</v>
          </cell>
          <cell r="D341" t="str">
            <v>ISBM</v>
          </cell>
          <cell r="E341" t="str">
            <v>PET</v>
          </cell>
          <cell r="F341">
            <v>18.8</v>
          </cell>
          <cell r="G341"/>
          <cell r="H341">
            <v>18.8</v>
          </cell>
        </row>
        <row r="342">
          <cell r="A342">
            <v>552181</v>
          </cell>
          <cell r="B342" t="str">
            <v>BC28-0090-D-APH-5180-3538-PP-6 NOTCHES</v>
          </cell>
          <cell r="C342">
            <v>6</v>
          </cell>
          <cell r="D342" t="str">
            <v>ISBM</v>
          </cell>
          <cell r="E342" t="str">
            <v>PPSB520Y</v>
          </cell>
          <cell r="F342">
            <v>14.7</v>
          </cell>
          <cell r="G342"/>
          <cell r="H342">
            <v>14.7</v>
          </cell>
        </row>
        <row r="343">
          <cell r="A343">
            <v>666342</v>
          </cell>
          <cell r="B343" t="str">
            <v>BC28-0090-D-APH-5180-3538-PCR</v>
          </cell>
          <cell r="C343">
            <v>6</v>
          </cell>
          <cell r="D343" t="str">
            <v>ISBM</v>
          </cell>
          <cell r="E343" t="str">
            <v>KingFa NC050</v>
          </cell>
          <cell r="F343">
            <v>14.7</v>
          </cell>
          <cell r="G343"/>
          <cell r="H343">
            <v>14.7</v>
          </cell>
        </row>
        <row r="344">
          <cell r="A344">
            <v>550076</v>
          </cell>
          <cell r="B344" t="str">
            <v>BC28-0090-D-APH-5040-0735-PP-6 NOTCHES(NON LOGO)</v>
          </cell>
          <cell r="C344">
            <v>6</v>
          </cell>
          <cell r="D344" t="str">
            <v>ISBM</v>
          </cell>
          <cell r="E344" t="str">
            <v>PPSB520Y</v>
          </cell>
          <cell r="F344">
            <v>14.7</v>
          </cell>
          <cell r="G344"/>
          <cell r="H344">
            <v>14.7</v>
          </cell>
        </row>
        <row r="345">
          <cell r="A345">
            <v>596313</v>
          </cell>
          <cell r="B345" t="str">
            <v>BC28-0100-SK2-Q-CL-LW</v>
          </cell>
          <cell r="C345">
            <v>4</v>
          </cell>
          <cell r="D345" t="str">
            <v>ISBM</v>
          </cell>
          <cell r="E345" t="str">
            <v>PET</v>
          </cell>
          <cell r="F345">
            <v>15</v>
          </cell>
          <cell r="G345"/>
          <cell r="H345">
            <v>15</v>
          </cell>
        </row>
        <row r="346">
          <cell r="A346">
            <v>466923</v>
          </cell>
          <cell r="B346" t="str">
            <v>BC28-0100-M-R-AM</v>
          </cell>
          <cell r="C346">
            <v>4</v>
          </cell>
          <cell r="D346" t="str">
            <v>ISBM</v>
          </cell>
          <cell r="E346" t="str">
            <v>PET</v>
          </cell>
          <cell r="F346">
            <v>19</v>
          </cell>
          <cell r="G346"/>
          <cell r="H346">
            <v>18.899999999999999</v>
          </cell>
        </row>
        <row r="347">
          <cell r="A347">
            <v>324192</v>
          </cell>
          <cell r="B347" t="str">
            <v>BC28-0100-M-R-BR</v>
          </cell>
          <cell r="C347">
            <v>4</v>
          </cell>
          <cell r="D347" t="str">
            <v>ISBM</v>
          </cell>
          <cell r="E347" t="str">
            <v>PET</v>
          </cell>
          <cell r="F347">
            <v>11.299999999999999</v>
          </cell>
          <cell r="G347"/>
          <cell r="H347">
            <v>11.299999999999999</v>
          </cell>
        </row>
        <row r="348">
          <cell r="A348">
            <v>322400</v>
          </cell>
          <cell r="B348" t="str">
            <v>BC28-0100-M-R-CL-HW</v>
          </cell>
          <cell r="C348">
            <v>4</v>
          </cell>
          <cell r="D348" t="str">
            <v>ISBM</v>
          </cell>
          <cell r="E348" t="str">
            <v>PET</v>
          </cell>
          <cell r="F348">
            <v>19</v>
          </cell>
          <cell r="G348"/>
          <cell r="H348">
            <v>18.600000000000001</v>
          </cell>
        </row>
        <row r="349">
          <cell r="A349">
            <v>324193</v>
          </cell>
          <cell r="B349" t="str">
            <v>BC28-0100-M-R-CL-LW</v>
          </cell>
          <cell r="C349">
            <v>4</v>
          </cell>
          <cell r="D349" t="str">
            <v>ISBM</v>
          </cell>
          <cell r="E349" t="str">
            <v>PET</v>
          </cell>
          <cell r="F349">
            <v>11.3</v>
          </cell>
          <cell r="G349"/>
          <cell r="H349">
            <v>11.3</v>
          </cell>
        </row>
        <row r="350">
          <cell r="A350">
            <v>324195</v>
          </cell>
          <cell r="B350" t="str">
            <v>BC28-0100-M-R-WH-HW</v>
          </cell>
          <cell r="C350">
            <v>4</v>
          </cell>
          <cell r="D350" t="str">
            <v>ISBM</v>
          </cell>
          <cell r="E350" t="str">
            <v>PET</v>
          </cell>
          <cell r="F350">
            <v>19</v>
          </cell>
          <cell r="G350"/>
          <cell r="H350">
            <v>18.5</v>
          </cell>
        </row>
        <row r="351">
          <cell r="A351">
            <v>324197</v>
          </cell>
          <cell r="B351" t="str">
            <v>BC28-0100-M-R-WH-LW</v>
          </cell>
          <cell r="C351">
            <v>4</v>
          </cell>
          <cell r="D351" t="str">
            <v>ISBM</v>
          </cell>
          <cell r="E351" t="str">
            <v>PET</v>
          </cell>
          <cell r="F351">
            <v>11.3</v>
          </cell>
          <cell r="G351"/>
          <cell r="H351">
            <v>18.84</v>
          </cell>
        </row>
        <row r="352">
          <cell r="A352">
            <v>502963</v>
          </cell>
          <cell r="B352" t="str">
            <v>BC28-0100-R-HV-R-AM</v>
          </cell>
          <cell r="C352">
            <v>4</v>
          </cell>
          <cell r="D352" t="str">
            <v>ISBM</v>
          </cell>
          <cell r="E352" t="str">
            <v>PET</v>
          </cell>
          <cell r="F352">
            <v>18.5</v>
          </cell>
          <cell r="G352"/>
          <cell r="H352">
            <v>18.8</v>
          </cell>
        </row>
        <row r="353">
          <cell r="A353">
            <v>596313</v>
          </cell>
          <cell r="B353" t="str">
            <v>BC28-0100-SK-Q-CL-LW</v>
          </cell>
          <cell r="C353">
            <v>4</v>
          </cell>
          <cell r="D353" t="str">
            <v>ISBM</v>
          </cell>
          <cell r="E353" t="str">
            <v>PET</v>
          </cell>
          <cell r="F353"/>
          <cell r="G353"/>
          <cell r="H353"/>
        </row>
        <row r="354">
          <cell r="A354">
            <v>388549</v>
          </cell>
          <cell r="B354" t="str">
            <v>BC28-0120-M-R-BR</v>
          </cell>
          <cell r="C354">
            <v>4</v>
          </cell>
          <cell r="D354" t="str">
            <v>ISBM</v>
          </cell>
          <cell r="E354" t="str">
            <v>PET</v>
          </cell>
          <cell r="F354">
            <v>19</v>
          </cell>
          <cell r="G354"/>
          <cell r="H354">
            <v>19</v>
          </cell>
        </row>
        <row r="355">
          <cell r="A355">
            <v>322399</v>
          </cell>
          <cell r="B355" t="str">
            <v>BC28-0120-M-R-CL</v>
          </cell>
          <cell r="C355">
            <v>4</v>
          </cell>
          <cell r="D355" t="str">
            <v>ISBM</v>
          </cell>
          <cell r="E355" t="str">
            <v>PET</v>
          </cell>
          <cell r="F355">
            <v>19</v>
          </cell>
          <cell r="G355"/>
          <cell r="H355">
            <v>23</v>
          </cell>
        </row>
        <row r="356">
          <cell r="A356">
            <v>543590</v>
          </cell>
          <cell r="B356" t="str">
            <v>BC28-0130-R-R-AM</v>
          </cell>
          <cell r="C356">
            <v>4</v>
          </cell>
          <cell r="D356" t="str">
            <v>ISBM</v>
          </cell>
          <cell r="E356" t="str">
            <v>PET</v>
          </cell>
          <cell r="F356">
            <v>19</v>
          </cell>
          <cell r="G356"/>
          <cell r="H356">
            <v>19</v>
          </cell>
        </row>
        <row r="357">
          <cell r="A357">
            <v>597024</v>
          </cell>
          <cell r="B357" t="str">
            <v>BC28-0130-R-R-CL</v>
          </cell>
          <cell r="C357">
            <v>4</v>
          </cell>
          <cell r="D357" t="str">
            <v>ISBM</v>
          </cell>
          <cell r="E357" t="str">
            <v>PET</v>
          </cell>
          <cell r="F357">
            <v>19</v>
          </cell>
          <cell r="G357"/>
          <cell r="H357">
            <v>19</v>
          </cell>
        </row>
        <row r="358">
          <cell r="A358">
            <v>414439</v>
          </cell>
          <cell r="B358" t="str">
            <v>BC28-0150-A1-Q-CL</v>
          </cell>
          <cell r="C358">
            <v>6</v>
          </cell>
          <cell r="D358" t="str">
            <v>ISBM</v>
          </cell>
          <cell r="E358" t="str">
            <v>PET</v>
          </cell>
          <cell r="F358">
            <v>15</v>
          </cell>
          <cell r="G358"/>
          <cell r="H358">
            <v>23</v>
          </cell>
        </row>
        <row r="359">
          <cell r="A359">
            <v>340460</v>
          </cell>
          <cell r="B359" t="str">
            <v>BC28-0150-A3-Q-CL</v>
          </cell>
          <cell r="C359">
            <v>4</v>
          </cell>
          <cell r="D359" t="str">
            <v>ISBM</v>
          </cell>
          <cell r="E359" t="str">
            <v>PET</v>
          </cell>
          <cell r="F359">
            <v>15.05</v>
          </cell>
          <cell r="G359"/>
          <cell r="H359">
            <v>15.05</v>
          </cell>
        </row>
        <row r="360">
          <cell r="A360">
            <v>330605</v>
          </cell>
          <cell r="B360" t="str">
            <v>BC28-0150-A-Q-CL-HW</v>
          </cell>
          <cell r="C360">
            <v>4</v>
          </cell>
          <cell r="D360" t="str">
            <v>ISBM</v>
          </cell>
          <cell r="E360" t="str">
            <v>PET</v>
          </cell>
          <cell r="F360">
            <v>19.399999999999999</v>
          </cell>
          <cell r="G360"/>
          <cell r="H360">
            <v>15</v>
          </cell>
        </row>
        <row r="361">
          <cell r="A361">
            <v>324190</v>
          </cell>
          <cell r="B361" t="str">
            <v>BC28-0150-A-Q-CL-LW</v>
          </cell>
          <cell r="C361">
            <v>4</v>
          </cell>
          <cell r="D361" t="str">
            <v>ISBM</v>
          </cell>
          <cell r="E361" t="str">
            <v>PET</v>
          </cell>
          <cell r="F361">
            <v>15.5</v>
          </cell>
          <cell r="G361"/>
          <cell r="H361">
            <v>15.5</v>
          </cell>
        </row>
        <row r="362">
          <cell r="A362">
            <v>326796</v>
          </cell>
          <cell r="B362" t="str">
            <v>BC28-0150-M-R-BR</v>
          </cell>
          <cell r="C362">
            <v>4</v>
          </cell>
          <cell r="D362" t="str">
            <v>ISBM</v>
          </cell>
          <cell r="E362" t="str">
            <v>PET</v>
          </cell>
          <cell r="F362">
            <v>23</v>
          </cell>
          <cell r="G362"/>
          <cell r="H362">
            <v>18.7</v>
          </cell>
        </row>
        <row r="363">
          <cell r="A363">
            <v>322406</v>
          </cell>
          <cell r="B363" t="str">
            <v>BC28-0150-M-R-CL</v>
          </cell>
          <cell r="C363">
            <v>4</v>
          </cell>
          <cell r="D363" t="str">
            <v>ISBM</v>
          </cell>
          <cell r="E363" t="str">
            <v>PET</v>
          </cell>
          <cell r="F363">
            <v>23</v>
          </cell>
          <cell r="G363"/>
          <cell r="H363">
            <v>18.7</v>
          </cell>
        </row>
        <row r="364">
          <cell r="A364">
            <v>324202</v>
          </cell>
          <cell r="B364" t="str">
            <v>BC28-0155-M-R-AM</v>
          </cell>
          <cell r="C364">
            <v>4</v>
          </cell>
          <cell r="D364" t="str">
            <v>ISBM</v>
          </cell>
          <cell r="E364" t="str">
            <v>PET</v>
          </cell>
          <cell r="F364">
            <v>18.700000000000003</v>
          </cell>
          <cell r="G364"/>
          <cell r="H364">
            <v>28</v>
          </cell>
        </row>
        <row r="365">
          <cell r="A365">
            <v>322407</v>
          </cell>
          <cell r="B365" t="str">
            <v>BC28-0155-M-R-CL</v>
          </cell>
          <cell r="C365">
            <v>4</v>
          </cell>
          <cell r="D365" t="str">
            <v>ISBM</v>
          </cell>
          <cell r="E365" t="str">
            <v>PET</v>
          </cell>
          <cell r="F365">
            <v>18.7</v>
          </cell>
          <cell r="G365"/>
          <cell r="H365">
            <v>26.66</v>
          </cell>
        </row>
        <row r="366">
          <cell r="A366">
            <v>486568</v>
          </cell>
          <cell r="B366" t="str">
            <v>BC28-0170-D-5040-0066</v>
          </cell>
          <cell r="C366">
            <v>7</v>
          </cell>
          <cell r="D366" t="str">
            <v>ISBM</v>
          </cell>
          <cell r="E366" t="str">
            <v>PET</v>
          </cell>
          <cell r="F366">
            <v>27.6</v>
          </cell>
          <cell r="G366"/>
          <cell r="H366">
            <v>27.6</v>
          </cell>
        </row>
        <row r="367">
          <cell r="A367">
            <v>493995</v>
          </cell>
          <cell r="B367" t="str">
            <v>BC28-0170-D-5040-0530 NON-HP LOGO</v>
          </cell>
          <cell r="C367">
            <v>7</v>
          </cell>
          <cell r="D367" t="str">
            <v>ISBM</v>
          </cell>
          <cell r="E367" t="str">
            <v>PET</v>
          </cell>
          <cell r="F367">
            <v>27</v>
          </cell>
          <cell r="G367"/>
          <cell r="H367">
            <v>27.2</v>
          </cell>
        </row>
        <row r="368">
          <cell r="A368">
            <v>558106</v>
          </cell>
          <cell r="B368" t="str">
            <v>BC28-0170-D-APH-5180-3539-6N-5mm Pitch</v>
          </cell>
          <cell r="C368">
            <v>6</v>
          </cell>
          <cell r="D368" t="str">
            <v>ISBM</v>
          </cell>
          <cell r="E368" t="str">
            <v>PPSB520Y</v>
          </cell>
          <cell r="F368">
            <v>28</v>
          </cell>
          <cell r="G368"/>
          <cell r="H368">
            <v>26</v>
          </cell>
        </row>
        <row r="369">
          <cell r="A369">
            <v>555979</v>
          </cell>
          <cell r="B369" t="str">
            <v>BC28-0170-D-APH-5180-3539-PP-6 NOTCHES</v>
          </cell>
          <cell r="C369">
            <v>6</v>
          </cell>
          <cell r="D369" t="str">
            <v>ISBM</v>
          </cell>
          <cell r="E369" t="str">
            <v>PPSB520Y</v>
          </cell>
          <cell r="F369">
            <v>28</v>
          </cell>
          <cell r="G369"/>
          <cell r="H369">
            <v>28</v>
          </cell>
        </row>
        <row r="370">
          <cell r="A370">
            <v>666343</v>
          </cell>
          <cell r="B370" t="str">
            <v>BC28-0170-D-APH-5180-3539-PCR</v>
          </cell>
          <cell r="C370">
            <v>6</v>
          </cell>
          <cell r="D370" t="str">
            <v>ISBM</v>
          </cell>
          <cell r="E370" t="str">
            <v>KingFa NC050</v>
          </cell>
          <cell r="F370">
            <v>28</v>
          </cell>
          <cell r="G370"/>
          <cell r="H370">
            <v>28</v>
          </cell>
        </row>
        <row r="371">
          <cell r="A371">
            <v>550077</v>
          </cell>
          <cell r="B371" t="str">
            <v>BC28-0170-D-APH-5040-0736-PP-6NOTCHES(NO LOGO)</v>
          </cell>
          <cell r="C371">
            <v>6</v>
          </cell>
          <cell r="D371" t="str">
            <v>ISBM</v>
          </cell>
          <cell r="E371" t="str">
            <v>PPSB520Y</v>
          </cell>
          <cell r="F371">
            <v>28</v>
          </cell>
          <cell r="G371"/>
          <cell r="H371">
            <v>28</v>
          </cell>
        </row>
        <row r="372">
          <cell r="A372">
            <v>416201</v>
          </cell>
          <cell r="B372" t="str">
            <v>BC28-0200-M-R-BR</v>
          </cell>
          <cell r="C372">
            <v>4</v>
          </cell>
          <cell r="D372" t="str">
            <v>ISBM</v>
          </cell>
          <cell r="E372" t="str">
            <v>PET</v>
          </cell>
          <cell r="F372">
            <v>30</v>
          </cell>
          <cell r="G372"/>
          <cell r="H372">
            <v>20</v>
          </cell>
        </row>
        <row r="373">
          <cell r="A373">
            <v>322413</v>
          </cell>
          <cell r="B373" t="str">
            <v>BC28-0200-M-R-CL</v>
          </cell>
          <cell r="C373">
            <v>4</v>
          </cell>
          <cell r="D373" t="str">
            <v>ISBM</v>
          </cell>
          <cell r="E373" t="str">
            <v>PET</v>
          </cell>
          <cell r="F373">
            <v>22.8</v>
          </cell>
          <cell r="G373"/>
          <cell r="H373">
            <v>23</v>
          </cell>
        </row>
        <row r="374">
          <cell r="A374">
            <v>529003</v>
          </cell>
          <cell r="B374" t="str">
            <v>BC28-0200-R-R-CL</v>
          </cell>
          <cell r="C374">
            <v>4</v>
          </cell>
          <cell r="D374" t="str">
            <v>ISBM</v>
          </cell>
          <cell r="E374" t="str">
            <v>PET</v>
          </cell>
          <cell r="F374">
            <v>19</v>
          </cell>
          <cell r="G374"/>
          <cell r="H374">
            <v>18.899999999999999</v>
          </cell>
        </row>
        <row r="375">
          <cell r="A375">
            <v>607338</v>
          </cell>
          <cell r="B375" t="str">
            <v>BC28-0200-R-R-CL HW</v>
          </cell>
          <cell r="C375">
            <v>4</v>
          </cell>
          <cell r="D375" t="str">
            <v>ISBM</v>
          </cell>
          <cell r="E375" t="str">
            <v>PET</v>
          </cell>
          <cell r="F375">
            <v>23</v>
          </cell>
          <cell r="G375"/>
          <cell r="H375">
            <v>23</v>
          </cell>
        </row>
        <row r="376">
          <cell r="A376">
            <v>463202</v>
          </cell>
          <cell r="B376" t="str">
            <v>BC28-0200-SB-R-CL</v>
          </cell>
          <cell r="C376">
            <v>4</v>
          </cell>
          <cell r="D376" t="str">
            <v>ISBM</v>
          </cell>
          <cell r="E376" t="str">
            <v>PET</v>
          </cell>
          <cell r="F376">
            <v>23</v>
          </cell>
          <cell r="G376"/>
          <cell r="H376">
            <v>23</v>
          </cell>
        </row>
        <row r="377">
          <cell r="A377">
            <v>342607</v>
          </cell>
          <cell r="B377" t="str">
            <v>BC28-0200-SB-R-OPAQUE BROWN</v>
          </cell>
          <cell r="C377">
            <v>4</v>
          </cell>
          <cell r="D377" t="str">
            <v>ISBM</v>
          </cell>
          <cell r="E377" t="str">
            <v>PET</v>
          </cell>
          <cell r="F377">
            <v>18.900000000000002</v>
          </cell>
          <cell r="G377"/>
          <cell r="H377">
            <v>24</v>
          </cell>
        </row>
        <row r="378">
          <cell r="A378">
            <v>324199</v>
          </cell>
          <cell r="B378" t="str">
            <v>BC28-0250-M-R-AM</v>
          </cell>
          <cell r="C378">
            <v>4</v>
          </cell>
          <cell r="D378" t="str">
            <v>ISBM</v>
          </cell>
          <cell r="E378" t="str">
            <v>PET</v>
          </cell>
          <cell r="F378">
            <v>29.5</v>
          </cell>
          <cell r="G378"/>
          <cell r="H378">
            <v>29.5</v>
          </cell>
        </row>
        <row r="379">
          <cell r="A379">
            <v>601939</v>
          </cell>
          <cell r="B379" t="str">
            <v>BC28-0250-M-R-AM-LW</v>
          </cell>
          <cell r="C379">
            <v>4</v>
          </cell>
          <cell r="D379" t="str">
            <v>ISBM</v>
          </cell>
          <cell r="E379" t="str">
            <v>PET</v>
          </cell>
          <cell r="F379">
            <v>22</v>
          </cell>
          <cell r="G379"/>
          <cell r="H379">
            <v>22</v>
          </cell>
        </row>
        <row r="380">
          <cell r="A380">
            <v>416868</v>
          </cell>
          <cell r="B380" t="str">
            <v>BC28-0250-M-R-BR LW</v>
          </cell>
          <cell r="C380">
            <v>4</v>
          </cell>
          <cell r="D380" t="str">
            <v>ISBM</v>
          </cell>
          <cell r="E380" t="str">
            <v>PET</v>
          </cell>
          <cell r="F380">
            <v>24</v>
          </cell>
          <cell r="G380"/>
          <cell r="H380">
            <v>29.5</v>
          </cell>
        </row>
        <row r="381">
          <cell r="A381">
            <v>324204</v>
          </cell>
          <cell r="B381" t="str">
            <v>BC28-0250-M-R-BR-HW</v>
          </cell>
          <cell r="C381">
            <v>4</v>
          </cell>
          <cell r="D381" t="str">
            <v>ISBM</v>
          </cell>
          <cell r="E381" t="str">
            <v>PET</v>
          </cell>
          <cell r="F381">
            <v>29.5</v>
          </cell>
          <cell r="G381"/>
          <cell r="H381">
            <v>23.34</v>
          </cell>
        </row>
        <row r="382">
          <cell r="A382">
            <v>343762</v>
          </cell>
          <cell r="B382" t="str">
            <v>BC28-0250-M-R-CL HW</v>
          </cell>
          <cell r="C382">
            <v>4</v>
          </cell>
          <cell r="D382" t="str">
            <v>ISBM</v>
          </cell>
          <cell r="E382" t="str">
            <v>PET</v>
          </cell>
          <cell r="F382">
            <v>29.5</v>
          </cell>
          <cell r="G382"/>
          <cell r="H382">
            <v>23.06</v>
          </cell>
        </row>
        <row r="383">
          <cell r="A383">
            <v>322421</v>
          </cell>
          <cell r="B383" t="str">
            <v>BC28-0250-M-R-CL LW</v>
          </cell>
          <cell r="C383">
            <v>4</v>
          </cell>
          <cell r="D383" t="str">
            <v>ISBM</v>
          </cell>
          <cell r="E383" t="str">
            <v>PET</v>
          </cell>
          <cell r="F383">
            <v>23</v>
          </cell>
          <cell r="G383"/>
          <cell r="H383">
            <v>23</v>
          </cell>
        </row>
        <row r="384">
          <cell r="A384">
            <v>324179</v>
          </cell>
          <cell r="B384" t="str">
            <v>BC28-0250-S-S-CL</v>
          </cell>
          <cell r="C384">
            <v>4</v>
          </cell>
          <cell r="D384" t="str">
            <v>ISBM</v>
          </cell>
          <cell r="E384" t="str">
            <v>PET</v>
          </cell>
          <cell r="F384">
            <v>23</v>
          </cell>
          <cell r="G384"/>
          <cell r="H384">
            <v>23.6</v>
          </cell>
        </row>
        <row r="385">
          <cell r="A385">
            <v>442034</v>
          </cell>
          <cell r="B385" t="str">
            <v>BC28-0250-Z-S-CL</v>
          </cell>
          <cell r="C385">
            <v>4</v>
          </cell>
          <cell r="D385" t="str">
            <v>ISBM</v>
          </cell>
          <cell r="E385" t="str">
            <v>PET</v>
          </cell>
          <cell r="F385">
            <v>23</v>
          </cell>
          <cell r="G385"/>
          <cell r="H385">
            <v>23</v>
          </cell>
        </row>
        <row r="386">
          <cell r="A386">
            <v>324163</v>
          </cell>
          <cell r="B386" t="str">
            <v>BC28-0265-A-Q-CL</v>
          </cell>
          <cell r="C386">
            <v>4</v>
          </cell>
          <cell r="D386" t="str">
            <v>ISBM</v>
          </cell>
          <cell r="E386" t="str">
            <v>PET</v>
          </cell>
          <cell r="F386">
            <v>23.5</v>
          </cell>
          <cell r="G386"/>
          <cell r="H386">
            <v>24</v>
          </cell>
        </row>
        <row r="387">
          <cell r="A387">
            <v>322423</v>
          </cell>
          <cell r="B387" t="str">
            <v>BC28-0265-RB-Q-CL</v>
          </cell>
          <cell r="C387">
            <v>4</v>
          </cell>
          <cell r="D387" t="str">
            <v>ISBM</v>
          </cell>
          <cell r="E387" t="str">
            <v>PET</v>
          </cell>
          <cell r="F387">
            <v>23</v>
          </cell>
          <cell r="G387"/>
          <cell r="H387">
            <v>23</v>
          </cell>
        </row>
        <row r="388">
          <cell r="A388">
            <v>423213</v>
          </cell>
          <cell r="B388" t="str">
            <v>BC28-0265-SCC-A-Q-CL</v>
          </cell>
          <cell r="C388">
            <v>4</v>
          </cell>
          <cell r="D388" t="str">
            <v>ISBM</v>
          </cell>
          <cell r="E388" t="str">
            <v>PET</v>
          </cell>
          <cell r="F388">
            <v>23</v>
          </cell>
          <cell r="G388"/>
          <cell r="H388">
            <v>23</v>
          </cell>
        </row>
        <row r="389">
          <cell r="A389">
            <v>544784</v>
          </cell>
          <cell r="B389" t="str">
            <v>BC28-0270-CW-R-CL</v>
          </cell>
          <cell r="C389">
            <v>4</v>
          </cell>
          <cell r="D389" t="str">
            <v>ISBM</v>
          </cell>
          <cell r="E389" t="str">
            <v>PET</v>
          </cell>
          <cell r="F389">
            <v>30</v>
          </cell>
          <cell r="G389"/>
          <cell r="H389">
            <v>23</v>
          </cell>
        </row>
        <row r="390">
          <cell r="A390">
            <v>322999</v>
          </cell>
          <cell r="B390" t="str">
            <v>BC28-0270-CW-R-W</v>
          </cell>
          <cell r="C390">
            <v>4</v>
          </cell>
          <cell r="D390" t="str">
            <v>ISBM</v>
          </cell>
          <cell r="E390" t="str">
            <v>PET</v>
          </cell>
          <cell r="F390">
            <v>23</v>
          </cell>
          <cell r="G390"/>
          <cell r="H390">
            <v>23</v>
          </cell>
        </row>
        <row r="391">
          <cell r="A391">
            <v>323000</v>
          </cell>
          <cell r="B391" t="str">
            <v>BC28-0270-CW-R-W (ASEM)</v>
          </cell>
          <cell r="C391">
            <v>4</v>
          </cell>
          <cell r="D391" t="str">
            <v>ISBM</v>
          </cell>
          <cell r="E391" t="str">
            <v>PET</v>
          </cell>
          <cell r="F391">
            <v>24</v>
          </cell>
          <cell r="G391"/>
          <cell r="H391">
            <v>23</v>
          </cell>
        </row>
        <row r="392">
          <cell r="A392">
            <v>408094</v>
          </cell>
          <cell r="B392" t="str">
            <v>BC28-0270-KPD-Q-CL</v>
          </cell>
          <cell r="C392">
            <v>4</v>
          </cell>
          <cell r="D392" t="str">
            <v>ISBM</v>
          </cell>
          <cell r="E392" t="str">
            <v>PET</v>
          </cell>
          <cell r="F392">
            <v>23</v>
          </cell>
          <cell r="G392"/>
          <cell r="H392">
            <v>30</v>
          </cell>
        </row>
        <row r="393">
          <cell r="A393">
            <v>324180</v>
          </cell>
          <cell r="B393" t="str">
            <v>BC28-0280-HD-Q-AM</v>
          </cell>
          <cell r="C393">
            <v>4</v>
          </cell>
          <cell r="D393" t="str">
            <v>ISBM</v>
          </cell>
          <cell r="E393" t="str">
            <v>PET</v>
          </cell>
          <cell r="F393">
            <v>23.7</v>
          </cell>
          <cell r="G393"/>
          <cell r="H393">
            <v>23</v>
          </cell>
        </row>
        <row r="394">
          <cell r="A394">
            <v>401602</v>
          </cell>
          <cell r="B394" t="str">
            <v>BC28-0280-HD-R-CL-HW</v>
          </cell>
          <cell r="C394">
            <v>4</v>
          </cell>
          <cell r="D394" t="str">
            <v>ISBM</v>
          </cell>
          <cell r="E394" t="str">
            <v>PET</v>
          </cell>
          <cell r="F394">
            <v>30</v>
          </cell>
          <cell r="G394"/>
          <cell r="H394">
            <v>30</v>
          </cell>
        </row>
        <row r="395">
          <cell r="A395">
            <v>322493</v>
          </cell>
          <cell r="B395" t="str">
            <v>BC28-0280-HD-R-CL-LW</v>
          </cell>
          <cell r="C395">
            <v>4</v>
          </cell>
          <cell r="D395" t="str">
            <v>ISBM</v>
          </cell>
          <cell r="E395" t="str">
            <v>PET</v>
          </cell>
          <cell r="F395">
            <v>23</v>
          </cell>
          <cell r="G395"/>
          <cell r="H395">
            <v>23</v>
          </cell>
        </row>
        <row r="396">
          <cell r="A396">
            <v>409008</v>
          </cell>
          <cell r="B396" t="str">
            <v>BC28-0280-N-BR</v>
          </cell>
          <cell r="C396">
            <v>4</v>
          </cell>
          <cell r="D396" t="str">
            <v>ISBM</v>
          </cell>
          <cell r="E396" t="str">
            <v>PET</v>
          </cell>
          <cell r="F396">
            <v>23</v>
          </cell>
          <cell r="G396"/>
          <cell r="H396">
            <v>24.3</v>
          </cell>
        </row>
        <row r="397">
          <cell r="A397">
            <v>407207</v>
          </cell>
          <cell r="B397" t="str">
            <v>BC28-0280-N-CL</v>
          </cell>
          <cell r="C397">
            <v>4</v>
          </cell>
          <cell r="D397" t="str">
            <v>ISBM</v>
          </cell>
          <cell r="E397" t="str">
            <v>PET</v>
          </cell>
          <cell r="F397">
            <v>23</v>
          </cell>
          <cell r="G397"/>
          <cell r="H397">
            <v>23</v>
          </cell>
        </row>
        <row r="398">
          <cell r="A398">
            <v>322428</v>
          </cell>
          <cell r="B398" t="str">
            <v>BC28-0300-PC-R-CL</v>
          </cell>
          <cell r="C398">
            <v>4</v>
          </cell>
          <cell r="D398" t="str">
            <v>ISBM</v>
          </cell>
          <cell r="E398" t="str">
            <v>PET</v>
          </cell>
          <cell r="F398">
            <v>23</v>
          </cell>
          <cell r="G398"/>
          <cell r="H398">
            <v>23</v>
          </cell>
        </row>
        <row r="399">
          <cell r="A399">
            <v>362356</v>
          </cell>
          <cell r="B399" t="str">
            <v>BC28-0300-RS-R-OM</v>
          </cell>
          <cell r="C399">
            <v>4</v>
          </cell>
          <cell r="D399" t="str">
            <v>ISBM</v>
          </cell>
          <cell r="E399" t="str">
            <v>PET</v>
          </cell>
          <cell r="F399">
            <v>36</v>
          </cell>
          <cell r="G399"/>
          <cell r="H399">
            <v>30</v>
          </cell>
        </row>
        <row r="400">
          <cell r="A400">
            <v>326797</v>
          </cell>
          <cell r="B400" t="str">
            <v>BC28-0330-CSD-R-BR</v>
          </cell>
          <cell r="C400">
            <v>4</v>
          </cell>
          <cell r="D400" t="str">
            <v>ISBM</v>
          </cell>
          <cell r="E400" t="str">
            <v>PET</v>
          </cell>
          <cell r="F400">
            <v>30.5</v>
          </cell>
          <cell r="G400"/>
          <cell r="H400">
            <v>23.87</v>
          </cell>
        </row>
        <row r="401">
          <cell r="A401">
            <v>429880</v>
          </cell>
          <cell r="B401" t="str">
            <v>BC28-0330-CSD-R-CL-HW</v>
          </cell>
          <cell r="C401">
            <v>4</v>
          </cell>
          <cell r="D401" t="str">
            <v>ISBM</v>
          </cell>
          <cell r="E401" t="str">
            <v>PET</v>
          </cell>
          <cell r="F401">
            <v>30</v>
          </cell>
          <cell r="G401"/>
          <cell r="H401">
            <v>31</v>
          </cell>
        </row>
        <row r="402">
          <cell r="A402">
            <v>322495</v>
          </cell>
          <cell r="B402" t="str">
            <v>BC28-0330-CSD-R-CL-LW</v>
          </cell>
          <cell r="C402">
            <v>4</v>
          </cell>
          <cell r="D402" t="str">
            <v>ISBM</v>
          </cell>
          <cell r="E402" t="str">
            <v>PET</v>
          </cell>
          <cell r="F402">
            <v>24</v>
          </cell>
          <cell r="G402"/>
          <cell r="H402">
            <v>24.2</v>
          </cell>
        </row>
        <row r="403">
          <cell r="A403">
            <v>555281</v>
          </cell>
          <cell r="B403" t="str">
            <v>BC28-0330-HD-Q-CL-HW</v>
          </cell>
          <cell r="C403">
            <v>4</v>
          </cell>
          <cell r="D403" t="str">
            <v>ISBM</v>
          </cell>
          <cell r="E403" t="str">
            <v>PET</v>
          </cell>
          <cell r="F403">
            <v>30</v>
          </cell>
          <cell r="G403"/>
          <cell r="H403">
            <v>30</v>
          </cell>
        </row>
        <row r="404">
          <cell r="A404">
            <v>322497</v>
          </cell>
          <cell r="B404" t="str">
            <v>BC28-0330-HD-Q-CL-LW</v>
          </cell>
          <cell r="C404">
            <v>4</v>
          </cell>
          <cell r="D404" t="str">
            <v>ISBM</v>
          </cell>
          <cell r="E404" t="str">
            <v>PET</v>
          </cell>
          <cell r="F404">
            <v>23</v>
          </cell>
          <cell r="G404"/>
          <cell r="H404">
            <v>23.09</v>
          </cell>
        </row>
        <row r="405">
          <cell r="A405">
            <v>322496</v>
          </cell>
          <cell r="B405" t="str">
            <v>BC28-0330-HF-S-CL</v>
          </cell>
          <cell r="C405">
            <v>4</v>
          </cell>
          <cell r="D405" t="str">
            <v>ISBM</v>
          </cell>
          <cell r="E405" t="str">
            <v>PET</v>
          </cell>
          <cell r="F405">
            <v>28.9</v>
          </cell>
          <cell r="G405"/>
          <cell r="H405">
            <v>28.9</v>
          </cell>
        </row>
        <row r="406">
          <cell r="A406">
            <v>323027</v>
          </cell>
          <cell r="B406" t="str">
            <v>BC28-0330-POJ-R-CL</v>
          </cell>
          <cell r="C406">
            <v>4</v>
          </cell>
          <cell r="D406" t="str">
            <v>ISBM</v>
          </cell>
          <cell r="E406" t="str">
            <v>PET</v>
          </cell>
          <cell r="F406">
            <v>23.9</v>
          </cell>
          <cell r="G406"/>
          <cell r="H406">
            <v>29.15</v>
          </cell>
        </row>
        <row r="407">
          <cell r="A407">
            <v>324124</v>
          </cell>
          <cell r="B407" t="str">
            <v>BC28-0330-P-R-AM</v>
          </cell>
          <cell r="C407">
            <v>4</v>
          </cell>
          <cell r="D407" t="str">
            <v>ISBM</v>
          </cell>
          <cell r="E407" t="str">
            <v>PET</v>
          </cell>
          <cell r="F407">
            <v>23</v>
          </cell>
          <cell r="G407"/>
          <cell r="H407">
            <v>23</v>
          </cell>
        </row>
        <row r="408">
          <cell r="A408">
            <v>322499</v>
          </cell>
          <cell r="B408" t="str">
            <v>BC28-0330-P-R-CL</v>
          </cell>
          <cell r="C408">
            <v>4</v>
          </cell>
          <cell r="D408" t="str">
            <v>ISBM</v>
          </cell>
          <cell r="E408" t="str">
            <v>PET</v>
          </cell>
          <cell r="F408">
            <v>23</v>
          </cell>
          <cell r="G408"/>
          <cell r="H408">
            <v>23</v>
          </cell>
        </row>
        <row r="409">
          <cell r="A409">
            <v>322500</v>
          </cell>
          <cell r="B409" t="str">
            <v>BC28-0350-AB-R-CL</v>
          </cell>
          <cell r="C409">
            <v>4</v>
          </cell>
          <cell r="D409" t="str">
            <v>ISBM</v>
          </cell>
          <cell r="E409" t="str">
            <v>PET</v>
          </cell>
          <cell r="F409">
            <v>20</v>
          </cell>
          <cell r="G409"/>
          <cell r="H409">
            <v>29.15</v>
          </cell>
        </row>
        <row r="410">
          <cell r="A410">
            <v>329970</v>
          </cell>
          <cell r="B410" t="str">
            <v>BC28-0350-GE-R-AM</v>
          </cell>
          <cell r="C410">
            <v>4</v>
          </cell>
          <cell r="D410" t="str">
            <v>ISBM</v>
          </cell>
          <cell r="E410" t="str">
            <v>PET</v>
          </cell>
          <cell r="F410">
            <v>30</v>
          </cell>
          <cell r="G410"/>
          <cell r="H410">
            <v>30</v>
          </cell>
        </row>
        <row r="411">
          <cell r="A411">
            <v>322434</v>
          </cell>
          <cell r="B411" t="str">
            <v>BC28-0350-GE-R-BL</v>
          </cell>
          <cell r="C411">
            <v>4</v>
          </cell>
          <cell r="D411" t="str">
            <v>ISBM</v>
          </cell>
          <cell r="E411" t="str">
            <v>PET</v>
          </cell>
          <cell r="F411">
            <v>30</v>
          </cell>
          <cell r="G411"/>
          <cell r="H411">
            <v>30</v>
          </cell>
        </row>
        <row r="412">
          <cell r="A412">
            <v>620599</v>
          </cell>
          <cell r="B412" t="str">
            <v xml:space="preserve">BC28-0750-K4-R-CL (55g)  </v>
          </cell>
          <cell r="C412">
            <v>4</v>
          </cell>
          <cell r="D412" t="str">
            <v>ISBM</v>
          </cell>
          <cell r="E412" t="str">
            <v>PET RECRON</v>
          </cell>
          <cell r="F412">
            <v>55</v>
          </cell>
          <cell r="G412"/>
          <cell r="H412">
            <v>55</v>
          </cell>
        </row>
        <row r="413">
          <cell r="A413">
            <v>620901</v>
          </cell>
          <cell r="B413" t="str">
            <v>BC28-0750-K4-R-CL-JAPAN (55g)</v>
          </cell>
          <cell r="C413">
            <v>4</v>
          </cell>
          <cell r="D413" t="str">
            <v>ISBM</v>
          </cell>
          <cell r="E413" t="str">
            <v>PET</v>
          </cell>
          <cell r="F413">
            <v>55</v>
          </cell>
          <cell r="G413"/>
          <cell r="H413">
            <v>55</v>
          </cell>
        </row>
        <row r="414">
          <cell r="A414">
            <v>544852</v>
          </cell>
          <cell r="B414" t="str">
            <v>BC28-0350-GE-R-CL</v>
          </cell>
          <cell r="C414">
            <v>4</v>
          </cell>
          <cell r="D414" t="str">
            <v>ISBM</v>
          </cell>
          <cell r="E414" t="str">
            <v>PET</v>
          </cell>
          <cell r="F414">
            <v>30</v>
          </cell>
          <cell r="G414"/>
          <cell r="H414">
            <v>30</v>
          </cell>
        </row>
        <row r="415">
          <cell r="A415">
            <v>324125</v>
          </cell>
          <cell r="B415" t="str">
            <v>BC28-0350-P-R-AM</v>
          </cell>
          <cell r="C415">
            <v>4</v>
          </cell>
          <cell r="D415" t="str">
            <v>ISBM</v>
          </cell>
          <cell r="E415" t="str">
            <v>PET</v>
          </cell>
          <cell r="F415">
            <v>22.8</v>
          </cell>
          <cell r="G415"/>
          <cell r="H415">
            <v>22.8</v>
          </cell>
        </row>
        <row r="416">
          <cell r="A416">
            <v>322501</v>
          </cell>
          <cell r="B416" t="str">
            <v>BC28-0350-P-R-CL</v>
          </cell>
          <cell r="C416">
            <v>4</v>
          </cell>
          <cell r="D416" t="str">
            <v>ISBM</v>
          </cell>
          <cell r="E416" t="str">
            <v>PET</v>
          </cell>
          <cell r="F416">
            <v>22.8</v>
          </cell>
          <cell r="G416"/>
          <cell r="H416">
            <v>23.3</v>
          </cell>
        </row>
        <row r="417">
          <cell r="A417">
            <v>480471</v>
          </cell>
          <cell r="B417" t="str">
            <v>BC28-0350-SB-R-CL</v>
          </cell>
          <cell r="C417">
            <v>4</v>
          </cell>
          <cell r="D417" t="str">
            <v>ISBM</v>
          </cell>
          <cell r="E417" t="str">
            <v>PET</v>
          </cell>
          <cell r="F417">
            <v>30</v>
          </cell>
          <cell r="G417"/>
          <cell r="H417">
            <v>24</v>
          </cell>
        </row>
        <row r="418">
          <cell r="A418">
            <v>322438</v>
          </cell>
          <cell r="B418" t="str">
            <v>BC28-0355-A-Q-CL</v>
          </cell>
          <cell r="C418">
            <v>4</v>
          </cell>
          <cell r="D418" t="str">
            <v>ISBM</v>
          </cell>
          <cell r="E418" t="str">
            <v>PET</v>
          </cell>
          <cell r="F418">
            <v>23</v>
          </cell>
          <cell r="G418"/>
          <cell r="H418">
            <v>23</v>
          </cell>
        </row>
        <row r="419">
          <cell r="A419">
            <v>423215</v>
          </cell>
          <cell r="B419" t="str">
            <v>BC28-0355-SCC-A-Q-CL</v>
          </cell>
          <cell r="C419">
            <v>4</v>
          </cell>
          <cell r="D419" t="str">
            <v>ISBM</v>
          </cell>
          <cell r="E419" t="str">
            <v>PET</v>
          </cell>
          <cell r="F419">
            <v>24</v>
          </cell>
          <cell r="G419"/>
          <cell r="H419">
            <v>24</v>
          </cell>
        </row>
        <row r="420">
          <cell r="A420">
            <v>408095</v>
          </cell>
          <cell r="B420" t="str">
            <v>BC28-0360-KPD-Q-CL</v>
          </cell>
          <cell r="C420">
            <v>4</v>
          </cell>
          <cell r="D420" t="str">
            <v>ISBM</v>
          </cell>
          <cell r="E420" t="str">
            <v>PET</v>
          </cell>
          <cell r="F420">
            <v>23</v>
          </cell>
          <cell r="G420"/>
          <cell r="H420">
            <v>23</v>
          </cell>
        </row>
        <row r="421">
          <cell r="A421">
            <v>464690</v>
          </cell>
          <cell r="B421" t="str">
            <v>BC28-0375-K-R-BLACK</v>
          </cell>
          <cell r="C421">
            <v>4</v>
          </cell>
          <cell r="D421" t="str">
            <v>ISBM</v>
          </cell>
          <cell r="E421" t="str">
            <v>PET</v>
          </cell>
          <cell r="F421">
            <v>35.6</v>
          </cell>
          <cell r="G421"/>
          <cell r="H421">
            <v>35.6</v>
          </cell>
        </row>
        <row r="422">
          <cell r="A422">
            <v>347623</v>
          </cell>
          <cell r="B422" t="str">
            <v>BC28-0375-K-R-CL</v>
          </cell>
          <cell r="C422">
            <v>4</v>
          </cell>
          <cell r="D422" t="str">
            <v>ISBM</v>
          </cell>
          <cell r="E422" t="str">
            <v>PET</v>
          </cell>
          <cell r="F422">
            <v>35.6</v>
          </cell>
          <cell r="G422"/>
          <cell r="H422">
            <v>35.6</v>
          </cell>
        </row>
        <row r="423">
          <cell r="A423">
            <v>577492</v>
          </cell>
          <cell r="B423" t="str">
            <v>BC28-0375-K-R-Tinted Brown</v>
          </cell>
          <cell r="C423">
            <v>4</v>
          </cell>
          <cell r="D423" t="str">
            <v>ISBM</v>
          </cell>
          <cell r="E423" t="str">
            <v>PET</v>
          </cell>
          <cell r="F423">
            <v>35.6</v>
          </cell>
          <cell r="G423"/>
          <cell r="H423">
            <v>35.6</v>
          </cell>
        </row>
        <row r="424">
          <cell r="A424">
            <v>529004</v>
          </cell>
          <cell r="B424" t="str">
            <v>BC28-0400-R-R-CL</v>
          </cell>
          <cell r="C424">
            <v>4</v>
          </cell>
          <cell r="D424" t="str">
            <v>ISBM</v>
          </cell>
          <cell r="E424" t="str">
            <v>PET</v>
          </cell>
          <cell r="F424">
            <v>31</v>
          </cell>
          <cell r="G424"/>
          <cell r="H424">
            <v>31</v>
          </cell>
        </row>
        <row r="425">
          <cell r="A425">
            <v>322446</v>
          </cell>
          <cell r="B425" t="str">
            <v>BC28-0430-A-Q-CL</v>
          </cell>
          <cell r="C425">
            <v>4</v>
          </cell>
          <cell r="D425" t="str">
            <v>ISBM</v>
          </cell>
          <cell r="E425" t="str">
            <v>PET</v>
          </cell>
          <cell r="F425">
            <v>31</v>
          </cell>
          <cell r="G425"/>
          <cell r="H425">
            <v>44</v>
          </cell>
        </row>
        <row r="426">
          <cell r="A426">
            <v>324178</v>
          </cell>
          <cell r="B426" t="str">
            <v>BC28-0450-FB-R-CL</v>
          </cell>
          <cell r="C426">
            <v>4</v>
          </cell>
          <cell r="D426" t="str">
            <v>ISBM</v>
          </cell>
          <cell r="E426" t="str">
            <v>PET</v>
          </cell>
          <cell r="F426">
            <v>23</v>
          </cell>
          <cell r="G426"/>
          <cell r="H426">
            <v>44</v>
          </cell>
        </row>
        <row r="427">
          <cell r="A427">
            <v>580035</v>
          </cell>
          <cell r="B427" t="str">
            <v>BC28-0500-CSD-R-AM</v>
          </cell>
          <cell r="C427">
            <v>4</v>
          </cell>
          <cell r="D427" t="str">
            <v>ISBM</v>
          </cell>
          <cell r="E427" t="str">
            <v>PET</v>
          </cell>
          <cell r="F427">
            <v>44</v>
          </cell>
          <cell r="G427"/>
          <cell r="H427">
            <v>44</v>
          </cell>
        </row>
        <row r="428">
          <cell r="A428">
            <v>322503</v>
          </cell>
          <cell r="B428" t="str">
            <v>BC28-0500-CSD-R-CL</v>
          </cell>
          <cell r="C428">
            <v>4</v>
          </cell>
          <cell r="D428" t="str">
            <v>ISBM</v>
          </cell>
          <cell r="E428" t="str">
            <v>PET</v>
          </cell>
          <cell r="F428">
            <v>44</v>
          </cell>
          <cell r="G428"/>
          <cell r="H428">
            <v>44</v>
          </cell>
        </row>
        <row r="429">
          <cell r="A429">
            <v>558274</v>
          </cell>
          <cell r="B429" t="str">
            <v>BC28-0500-D-APH-621005-TR-144S</v>
          </cell>
          <cell r="C429">
            <v>1</v>
          </cell>
          <cell r="D429" t="str">
            <v>EBM</v>
          </cell>
          <cell r="E429" t="str">
            <v>MARLEXTR144</v>
          </cell>
          <cell r="F429">
            <v>86.5</v>
          </cell>
          <cell r="G429"/>
          <cell r="H429">
            <v>100.8</v>
          </cell>
        </row>
        <row r="430">
          <cell r="A430">
            <v>558276</v>
          </cell>
          <cell r="B430" t="str">
            <v>BC28-0500-D-APH-621B05-HDPE5502</v>
          </cell>
          <cell r="C430">
            <v>1</v>
          </cell>
          <cell r="D430" t="str">
            <v>EBM</v>
          </cell>
          <cell r="E430" t="str">
            <v>HHM5202</v>
          </cell>
          <cell r="F430">
            <v>86.5</v>
          </cell>
          <cell r="G430"/>
          <cell r="H430">
            <v>45</v>
          </cell>
        </row>
        <row r="431">
          <cell r="A431">
            <v>476105</v>
          </cell>
          <cell r="B431" t="str">
            <v>BC28-0500-GS-R-AM</v>
          </cell>
          <cell r="C431">
            <v>4</v>
          </cell>
          <cell r="D431" t="str">
            <v>ISBM</v>
          </cell>
          <cell r="E431" t="str">
            <v>PET</v>
          </cell>
          <cell r="F431">
            <v>44.9</v>
          </cell>
          <cell r="G431"/>
          <cell r="H431">
            <v>45</v>
          </cell>
        </row>
        <row r="432">
          <cell r="A432">
            <v>666666</v>
          </cell>
          <cell r="B432" t="str">
            <v>BC28-0500-GS2-R-GR</v>
          </cell>
          <cell r="C432">
            <v>4</v>
          </cell>
          <cell r="D432" t="str">
            <v>ISBM</v>
          </cell>
          <cell r="E432" t="str">
            <v>PET</v>
          </cell>
          <cell r="F432">
            <v>44.9</v>
          </cell>
          <cell r="G432"/>
          <cell r="H432">
            <v>45</v>
          </cell>
        </row>
        <row r="433">
          <cell r="A433">
            <v>409578</v>
          </cell>
          <cell r="B433" t="str">
            <v>BC28-0500-GS-R-GOLD</v>
          </cell>
          <cell r="C433">
            <v>4</v>
          </cell>
          <cell r="D433" t="str">
            <v>ISBM</v>
          </cell>
          <cell r="E433" t="str">
            <v>PET</v>
          </cell>
          <cell r="F433">
            <v>45</v>
          </cell>
          <cell r="G433"/>
          <cell r="H433">
            <v>23</v>
          </cell>
        </row>
        <row r="434">
          <cell r="A434">
            <v>337998</v>
          </cell>
          <cell r="B434" t="str">
            <v>BC28-0500-KE-S-CL-HW</v>
          </cell>
          <cell r="C434">
            <v>4</v>
          </cell>
          <cell r="D434" t="str">
            <v>ISBM</v>
          </cell>
          <cell r="E434" t="str">
            <v>PET</v>
          </cell>
          <cell r="F434">
            <v>23</v>
          </cell>
          <cell r="G434"/>
          <cell r="H434">
            <v>23</v>
          </cell>
        </row>
        <row r="435">
          <cell r="A435">
            <v>322508</v>
          </cell>
          <cell r="B435" t="str">
            <v>BC28-0500-KE-S-CL-LW</v>
          </cell>
          <cell r="C435">
            <v>4</v>
          </cell>
          <cell r="D435" t="str">
            <v>ISBM</v>
          </cell>
          <cell r="E435" t="str">
            <v>PET</v>
          </cell>
          <cell r="F435">
            <v>23</v>
          </cell>
          <cell r="G435"/>
          <cell r="H435">
            <v>32</v>
          </cell>
        </row>
        <row r="436">
          <cell r="A436">
            <v>322504</v>
          </cell>
          <cell r="B436" t="str">
            <v>BC28-0500-P-R-CL</v>
          </cell>
          <cell r="C436">
            <v>4</v>
          </cell>
          <cell r="D436" t="str">
            <v>ISBM</v>
          </cell>
          <cell r="E436" t="str">
            <v>PET</v>
          </cell>
          <cell r="F436">
            <v>22.8</v>
          </cell>
          <cell r="G436"/>
          <cell r="H436">
            <v>22.8</v>
          </cell>
        </row>
        <row r="437">
          <cell r="A437">
            <v>322455</v>
          </cell>
          <cell r="B437" t="str">
            <v>BC28-0500-RF-R-TB</v>
          </cell>
          <cell r="C437">
            <v>4</v>
          </cell>
          <cell r="D437" t="str">
            <v>ISBM</v>
          </cell>
          <cell r="E437" t="str">
            <v>PET</v>
          </cell>
          <cell r="F437">
            <v>23.3</v>
          </cell>
          <cell r="G437"/>
          <cell r="H437">
            <v>23.3</v>
          </cell>
        </row>
        <row r="438">
          <cell r="A438">
            <v>432203</v>
          </cell>
          <cell r="B438" t="str">
            <v>BC28-0500-R-R-CL</v>
          </cell>
          <cell r="C438">
            <v>4</v>
          </cell>
          <cell r="D438" t="str">
            <v>ISBM</v>
          </cell>
          <cell r="E438" t="str">
            <v>PET</v>
          </cell>
          <cell r="F438">
            <v>32</v>
          </cell>
          <cell r="G438"/>
          <cell r="H438">
            <v>32</v>
          </cell>
        </row>
        <row r="439">
          <cell r="A439">
            <v>427090</v>
          </cell>
          <cell r="B439" t="str">
            <v>BC28-0500-S-S-CL</v>
          </cell>
          <cell r="C439">
            <v>4</v>
          </cell>
          <cell r="D439" t="str">
            <v>ISBM</v>
          </cell>
          <cell r="E439" t="str">
            <v>PET</v>
          </cell>
          <cell r="F439">
            <v>24</v>
          </cell>
          <cell r="G439"/>
          <cell r="H439">
            <v>24</v>
          </cell>
        </row>
        <row r="440">
          <cell r="A440">
            <v>322458</v>
          </cell>
          <cell r="B440" t="str">
            <v>BC28-0500-TT-R-CL</v>
          </cell>
          <cell r="C440">
            <v>4</v>
          </cell>
          <cell r="D440" t="str">
            <v>ISBM</v>
          </cell>
          <cell r="E440" t="str">
            <v>PET</v>
          </cell>
          <cell r="F440">
            <v>41.9</v>
          </cell>
          <cell r="G440"/>
          <cell r="H440">
            <v>44.23</v>
          </cell>
        </row>
        <row r="441">
          <cell r="A441">
            <v>326798</v>
          </cell>
          <cell r="B441" t="str">
            <v>BC28-0500-WHF-R-AM</v>
          </cell>
          <cell r="C441">
            <v>4</v>
          </cell>
          <cell r="D441" t="str">
            <v>ISBM</v>
          </cell>
          <cell r="E441" t="str">
            <v>PET</v>
          </cell>
          <cell r="F441">
            <v>29.099999999999998</v>
          </cell>
          <cell r="G441"/>
          <cell r="H441">
            <v>44.05</v>
          </cell>
        </row>
        <row r="442">
          <cell r="A442">
            <v>322450</v>
          </cell>
          <cell r="B442" t="str">
            <v>BC28-0500-WHF-R-CL</v>
          </cell>
          <cell r="C442">
            <v>4</v>
          </cell>
          <cell r="D442" t="str">
            <v>ISBM</v>
          </cell>
          <cell r="E442" t="str">
            <v>PET</v>
          </cell>
          <cell r="F442">
            <v>29</v>
          </cell>
          <cell r="G442"/>
          <cell r="H442">
            <v>44.5</v>
          </cell>
        </row>
        <row r="443">
          <cell r="A443">
            <v>322451</v>
          </cell>
          <cell r="B443" t="str">
            <v>BC28-0500-WNHP-R-BR</v>
          </cell>
          <cell r="C443">
            <v>4</v>
          </cell>
          <cell r="D443" t="str">
            <v>ISBM</v>
          </cell>
          <cell r="E443" t="str">
            <v>PET</v>
          </cell>
          <cell r="F443">
            <v>45.6</v>
          </cell>
          <cell r="G443"/>
          <cell r="H443">
            <v>45.6</v>
          </cell>
        </row>
        <row r="444">
          <cell r="A444">
            <v>393808</v>
          </cell>
          <cell r="B444" t="str">
            <v>BC28-0500-WNHP-R-CL</v>
          </cell>
          <cell r="C444">
            <v>4</v>
          </cell>
          <cell r="D444" t="str">
            <v>ISBM</v>
          </cell>
          <cell r="E444" t="str">
            <v>PET</v>
          </cell>
          <cell r="F444">
            <v>45.6</v>
          </cell>
          <cell r="G444"/>
          <cell r="H444">
            <v>45.6</v>
          </cell>
        </row>
        <row r="445">
          <cell r="A445">
            <v>322449</v>
          </cell>
          <cell r="B445" t="str">
            <v>BC28-0500-W-R-CL</v>
          </cell>
          <cell r="C445">
            <v>4</v>
          </cell>
          <cell r="D445" t="str">
            <v>ISBM</v>
          </cell>
          <cell r="E445" t="str">
            <v>PET</v>
          </cell>
          <cell r="F445">
            <v>44.2</v>
          </cell>
          <cell r="G445"/>
          <cell r="H445">
            <v>44.2</v>
          </cell>
        </row>
        <row r="446">
          <cell r="A446">
            <v>376698</v>
          </cell>
          <cell r="B446" t="str">
            <v>BC28-0500-W-R-VL</v>
          </cell>
          <cell r="C446">
            <v>4</v>
          </cell>
          <cell r="D446" t="str">
            <v>ISBM</v>
          </cell>
          <cell r="E446" t="str">
            <v>PET</v>
          </cell>
          <cell r="F446">
            <v>44.199999999999996</v>
          </cell>
          <cell r="G446"/>
          <cell r="H446">
            <v>44.199999999999996</v>
          </cell>
        </row>
        <row r="447">
          <cell r="A447">
            <v>539101</v>
          </cell>
          <cell r="B447" t="str">
            <v>BC28-0750-D-R1-CL-NO LOGO</v>
          </cell>
          <cell r="C447">
            <v>4</v>
          </cell>
          <cell r="D447" t="str">
            <v>ISBM</v>
          </cell>
          <cell r="E447" t="str">
            <v>PET</v>
          </cell>
          <cell r="F447">
            <v>68</v>
          </cell>
          <cell r="G447"/>
          <cell r="H447">
            <v>68</v>
          </cell>
        </row>
        <row r="448">
          <cell r="A448">
            <v>479856</v>
          </cell>
          <cell r="B448" t="str">
            <v>BC28-0750-D-R-CL (LOGO)</v>
          </cell>
          <cell r="C448">
            <v>4</v>
          </cell>
          <cell r="D448" t="str">
            <v>ISBM</v>
          </cell>
          <cell r="E448" t="str">
            <v>PET</v>
          </cell>
          <cell r="F448">
            <v>68</v>
          </cell>
          <cell r="G448"/>
          <cell r="H448">
            <v>68</v>
          </cell>
        </row>
        <row r="449">
          <cell r="A449">
            <v>504840</v>
          </cell>
          <cell r="B449" t="str">
            <v>BC28-0750-D-R-CL-NO LOGO</v>
          </cell>
          <cell r="C449">
            <v>4</v>
          </cell>
          <cell r="D449" t="str">
            <v>ISBM</v>
          </cell>
          <cell r="E449" t="str">
            <v>PET</v>
          </cell>
          <cell r="F449">
            <v>68</v>
          </cell>
          <cell r="G449"/>
          <cell r="H449">
            <v>68</v>
          </cell>
        </row>
        <row r="450">
          <cell r="A450">
            <v>409579</v>
          </cell>
          <cell r="B450" t="str">
            <v>BC28-0750-GS-R-BR</v>
          </cell>
          <cell r="C450">
            <v>4</v>
          </cell>
          <cell r="D450" t="str">
            <v>ISBM</v>
          </cell>
          <cell r="E450" t="str">
            <v>PET</v>
          </cell>
          <cell r="F450">
            <v>60</v>
          </cell>
          <cell r="G450"/>
          <cell r="H450">
            <v>60</v>
          </cell>
        </row>
        <row r="451">
          <cell r="A451">
            <v>579613</v>
          </cell>
          <cell r="B451" t="str">
            <v>BC28-0750-GS-R-BR H/W</v>
          </cell>
          <cell r="C451">
            <v>4</v>
          </cell>
          <cell r="D451" t="str">
            <v>ISBM</v>
          </cell>
          <cell r="E451" t="str">
            <v>PET</v>
          </cell>
          <cell r="F451">
            <v>68</v>
          </cell>
          <cell r="G451"/>
          <cell r="H451">
            <v>68</v>
          </cell>
        </row>
        <row r="452">
          <cell r="A452">
            <v>442310</v>
          </cell>
          <cell r="B452" t="str">
            <v>BC28-0750-GS-R-CL</v>
          </cell>
          <cell r="C452">
            <v>4</v>
          </cell>
          <cell r="D452" t="str">
            <v>ISBM</v>
          </cell>
          <cell r="E452" t="str">
            <v>PET</v>
          </cell>
          <cell r="F452">
            <v>68.8</v>
          </cell>
          <cell r="G452"/>
          <cell r="H452">
            <v>68.8</v>
          </cell>
        </row>
        <row r="453">
          <cell r="A453">
            <v>361751</v>
          </cell>
          <cell r="B453" t="str">
            <v>BC28-0750-K2-R-CL-HW</v>
          </cell>
          <cell r="C453">
            <v>4</v>
          </cell>
          <cell r="D453" t="str">
            <v>ISBM</v>
          </cell>
          <cell r="E453" t="str">
            <v>PET</v>
          </cell>
          <cell r="F453">
            <v>68.8</v>
          </cell>
          <cell r="G453"/>
          <cell r="H453">
            <v>68</v>
          </cell>
        </row>
        <row r="454">
          <cell r="A454">
            <v>347401</v>
          </cell>
          <cell r="B454" t="str">
            <v>BC28-0750-K2-R-CL-LW</v>
          </cell>
          <cell r="C454">
            <v>4</v>
          </cell>
          <cell r="D454" t="str">
            <v>ISBM</v>
          </cell>
          <cell r="E454" t="str">
            <v>PET</v>
          </cell>
          <cell r="F454">
            <v>54.1</v>
          </cell>
          <cell r="G454"/>
          <cell r="H454">
            <v>68</v>
          </cell>
        </row>
        <row r="455">
          <cell r="A455">
            <v>620901</v>
          </cell>
          <cell r="B455" t="str">
            <v>BC28-0750-K4-R-CL-JAPAN</v>
          </cell>
          <cell r="C455">
            <v>4</v>
          </cell>
          <cell r="D455" t="str">
            <v>ISBM</v>
          </cell>
          <cell r="E455" t="str">
            <v>PET</v>
          </cell>
          <cell r="F455">
            <v>55</v>
          </cell>
          <cell r="G455"/>
          <cell r="H455">
            <v>55</v>
          </cell>
        </row>
        <row r="456">
          <cell r="A456">
            <v>337471</v>
          </cell>
          <cell r="B456" t="str">
            <v>BC28-0750-K-R-CL</v>
          </cell>
          <cell r="C456">
            <v>4</v>
          </cell>
          <cell r="D456" t="str">
            <v>ISBM</v>
          </cell>
          <cell r="E456" t="str">
            <v>PET</v>
          </cell>
          <cell r="F456">
            <v>67.2</v>
          </cell>
          <cell r="G456"/>
          <cell r="H456">
            <v>55</v>
          </cell>
        </row>
        <row r="457">
          <cell r="A457">
            <v>579684</v>
          </cell>
          <cell r="B457" t="str">
            <v>BC28-0750-W-R-CL</v>
          </cell>
          <cell r="C457">
            <v>4</v>
          </cell>
          <cell r="D457" t="str">
            <v>ISBM</v>
          </cell>
          <cell r="E457" t="str">
            <v>PET</v>
          </cell>
          <cell r="F457">
            <v>44</v>
          </cell>
          <cell r="G457"/>
          <cell r="H457">
            <v>54.25</v>
          </cell>
        </row>
        <row r="458">
          <cell r="A458">
            <v>438155</v>
          </cell>
          <cell r="B458" t="str">
            <v>BC28-0850-SQ-R-CL</v>
          </cell>
          <cell r="C458">
            <v>4</v>
          </cell>
          <cell r="D458" t="str">
            <v>ISBM</v>
          </cell>
          <cell r="E458" t="str">
            <v>PET</v>
          </cell>
          <cell r="F458">
            <v>45</v>
          </cell>
          <cell r="G458"/>
          <cell r="H458">
            <v>44</v>
          </cell>
        </row>
        <row r="459">
          <cell r="A459">
            <v>337470</v>
          </cell>
          <cell r="B459" t="str">
            <v>BC28-1000-K-R-CL</v>
          </cell>
          <cell r="C459">
            <v>4</v>
          </cell>
          <cell r="D459" t="str">
            <v>ISBM</v>
          </cell>
          <cell r="E459" t="str">
            <v>PET</v>
          </cell>
          <cell r="F459">
            <v>55</v>
          </cell>
          <cell r="G459"/>
          <cell r="H459">
            <v>55</v>
          </cell>
        </row>
        <row r="460">
          <cell r="A460">
            <v>322529</v>
          </cell>
          <cell r="B460" t="str">
            <v>BC28-1000-SQ-S-CL</v>
          </cell>
          <cell r="C460">
            <v>4</v>
          </cell>
          <cell r="D460" t="str">
            <v>ISBM</v>
          </cell>
          <cell r="E460" t="str">
            <v>PET</v>
          </cell>
          <cell r="F460">
            <v>45</v>
          </cell>
          <cell r="G460"/>
          <cell r="H460">
            <v>55.02</v>
          </cell>
        </row>
        <row r="461">
          <cell r="A461">
            <v>322528</v>
          </cell>
          <cell r="B461" t="str">
            <v>BC28-1000-S-S-CL</v>
          </cell>
          <cell r="C461">
            <v>4</v>
          </cell>
          <cell r="D461" t="str">
            <v>ISBM</v>
          </cell>
          <cell r="E461" t="str">
            <v>PET</v>
          </cell>
          <cell r="F461">
            <v>44.2</v>
          </cell>
          <cell r="G461"/>
          <cell r="H461">
            <v>44.2</v>
          </cell>
        </row>
        <row r="462">
          <cell r="A462">
            <v>334550</v>
          </cell>
          <cell r="B462" t="str">
            <v>BC28-1000-S-S-COBALT BLUE</v>
          </cell>
          <cell r="C462">
            <v>4</v>
          </cell>
          <cell r="D462" t="str">
            <v>ISBM</v>
          </cell>
          <cell r="E462" t="str">
            <v>PET</v>
          </cell>
          <cell r="F462">
            <v>44.199999999999996</v>
          </cell>
          <cell r="G462"/>
          <cell r="H462">
            <v>44.199999999999996</v>
          </cell>
        </row>
        <row r="463">
          <cell r="A463">
            <v>322530</v>
          </cell>
          <cell r="B463" t="str">
            <v>BC28-1000--R-CL</v>
          </cell>
          <cell r="C463">
            <v>4</v>
          </cell>
          <cell r="D463" t="str">
            <v>ISBM</v>
          </cell>
          <cell r="E463" t="str">
            <v>PET</v>
          </cell>
          <cell r="F463">
            <v>55</v>
          </cell>
          <cell r="G463"/>
          <cell r="H463">
            <v>55</v>
          </cell>
        </row>
        <row r="464">
          <cell r="A464">
            <v>623934</v>
          </cell>
          <cell r="B464" t="str">
            <v>BC28-1000-SS-S-CL</v>
          </cell>
          <cell r="C464">
            <v>4</v>
          </cell>
          <cell r="D464" t="str">
            <v>ISBM</v>
          </cell>
          <cell r="E464" t="str">
            <v>PET</v>
          </cell>
          <cell r="F464">
            <v>44.2</v>
          </cell>
          <cell r="G464"/>
          <cell r="H464">
            <v>43</v>
          </cell>
        </row>
        <row r="465">
          <cell r="A465">
            <v>541381</v>
          </cell>
          <cell r="B465" t="str">
            <v>BC28-1200-K-R-CL</v>
          </cell>
          <cell r="C465">
            <v>4</v>
          </cell>
          <cell r="D465" t="str">
            <v>ISBM</v>
          </cell>
          <cell r="E465" t="str">
            <v>PET</v>
          </cell>
          <cell r="F465">
            <v>55</v>
          </cell>
          <cell r="G465"/>
          <cell r="H465">
            <v>55</v>
          </cell>
        </row>
        <row r="466">
          <cell r="A466">
            <v>521997</v>
          </cell>
          <cell r="B466" t="str">
            <v>BCX32-0750-W1-R-CL</v>
          </cell>
          <cell r="C466">
            <v>4</v>
          </cell>
          <cell r="D466" t="str">
            <v>ISBM</v>
          </cell>
          <cell r="E466" t="str">
            <v>PET</v>
          </cell>
          <cell r="F466">
            <v>44</v>
          </cell>
          <cell r="G466"/>
          <cell r="H466">
            <v>40.590000000000003</v>
          </cell>
        </row>
        <row r="467">
          <cell r="A467">
            <v>322468</v>
          </cell>
          <cell r="B467" t="str">
            <v>BCX32-0750-W-R-CL</v>
          </cell>
          <cell r="C467">
            <v>4</v>
          </cell>
          <cell r="D467" t="str">
            <v>ISBM</v>
          </cell>
          <cell r="E467" t="str">
            <v>PET</v>
          </cell>
          <cell r="F467">
            <v>43</v>
          </cell>
          <cell r="G467"/>
          <cell r="H467">
            <v>43</v>
          </cell>
        </row>
        <row r="468">
          <cell r="A468">
            <v>322475</v>
          </cell>
          <cell r="B468" t="str">
            <v>BCX32-1000-E-R-CL</v>
          </cell>
          <cell r="C468">
            <v>4</v>
          </cell>
          <cell r="D468" t="str">
            <v>ISBM</v>
          </cell>
          <cell r="E468" t="str">
            <v>PET</v>
          </cell>
          <cell r="F468">
            <v>53</v>
          </cell>
          <cell r="G468"/>
          <cell r="H468">
            <v>53</v>
          </cell>
        </row>
        <row r="469">
          <cell r="A469">
            <v>323037</v>
          </cell>
          <cell r="B469" t="str">
            <v>BCY28-0400-T-R-WH</v>
          </cell>
          <cell r="C469">
            <v>4</v>
          </cell>
          <cell r="D469" t="str">
            <v>ISBM</v>
          </cell>
          <cell r="E469" t="str">
            <v>PET</v>
          </cell>
          <cell r="F469">
            <v>39.14</v>
          </cell>
          <cell r="G469"/>
          <cell r="H469">
            <v>39.1</v>
          </cell>
        </row>
        <row r="470">
          <cell r="A470">
            <v>619711</v>
          </cell>
          <cell r="B470" t="str">
            <v>BCY28-0400-T-R-WH-POWER MAX</v>
          </cell>
          <cell r="C470">
            <v>1</v>
          </cell>
          <cell r="D470" t="str">
            <v>ISBM</v>
          </cell>
          <cell r="E470" t="str">
            <v>PET</v>
          </cell>
          <cell r="F470">
            <v>39.14</v>
          </cell>
          <cell r="G470"/>
          <cell r="H470">
            <v>39.1</v>
          </cell>
        </row>
        <row r="471">
          <cell r="A471">
            <v>324294</v>
          </cell>
          <cell r="B471" t="str">
            <v>BCY28-0500-T2-R-CL</v>
          </cell>
          <cell r="C471">
            <v>4</v>
          </cell>
          <cell r="D471" t="str">
            <v>ISBM</v>
          </cell>
          <cell r="E471" t="str">
            <v>PET</v>
          </cell>
          <cell r="F471">
            <v>39.299999999999997</v>
          </cell>
          <cell r="G471"/>
          <cell r="H471">
            <v>40.6</v>
          </cell>
        </row>
        <row r="472">
          <cell r="A472">
            <v>322457</v>
          </cell>
          <cell r="B472" t="str">
            <v>BCY28-0500-T-R-CL</v>
          </cell>
          <cell r="C472">
            <v>4</v>
          </cell>
          <cell r="D472" t="str">
            <v>ISBM</v>
          </cell>
          <cell r="E472" t="str">
            <v>PET</v>
          </cell>
          <cell r="F472">
            <v>40</v>
          </cell>
          <cell r="G472"/>
          <cell r="H472">
            <v>40.47</v>
          </cell>
        </row>
        <row r="473">
          <cell r="A473">
            <v>322459</v>
          </cell>
          <cell r="B473" t="str">
            <v>BCY28-0500-TR-R-CL</v>
          </cell>
          <cell r="C473">
            <v>4</v>
          </cell>
          <cell r="D473" t="str">
            <v>ISBM</v>
          </cell>
          <cell r="E473" t="str">
            <v>PET</v>
          </cell>
          <cell r="F473">
            <v>40.5</v>
          </cell>
          <cell r="G473"/>
          <cell r="H473">
            <v>40.5</v>
          </cell>
        </row>
        <row r="474">
          <cell r="A474">
            <v>322448</v>
          </cell>
          <cell r="B474" t="str">
            <v>BCY28-0500-W-R-CL</v>
          </cell>
          <cell r="C474">
            <v>4</v>
          </cell>
          <cell r="D474" t="str">
            <v>ISBM</v>
          </cell>
          <cell r="E474" t="str">
            <v>PET RECRON</v>
          </cell>
          <cell r="F474">
            <v>40</v>
          </cell>
          <cell r="G474"/>
          <cell r="H474">
            <v>40</v>
          </cell>
        </row>
        <row r="475">
          <cell r="A475">
            <v>324191</v>
          </cell>
          <cell r="B475" t="str">
            <v>BCY28-0750-W-R-CL</v>
          </cell>
          <cell r="C475">
            <v>4</v>
          </cell>
          <cell r="D475" t="str">
            <v>ISBM</v>
          </cell>
          <cell r="E475" t="str">
            <v>PET</v>
          </cell>
          <cell r="F475">
            <v>44</v>
          </cell>
          <cell r="G475"/>
          <cell r="H475">
            <v>32</v>
          </cell>
        </row>
        <row r="476">
          <cell r="A476">
            <v>324183</v>
          </cell>
          <cell r="B476" t="str">
            <v>BD24-0150-C-R-AM</v>
          </cell>
          <cell r="C476">
            <v>4</v>
          </cell>
          <cell r="D476" t="str">
            <v>ISBM</v>
          </cell>
          <cell r="E476" t="str">
            <v>PET</v>
          </cell>
          <cell r="F476">
            <v>36.729999999999997</v>
          </cell>
          <cell r="G476"/>
          <cell r="H476">
            <v>36.729999999999997</v>
          </cell>
        </row>
        <row r="477">
          <cell r="A477">
            <v>399476</v>
          </cell>
          <cell r="B477" t="str">
            <v>BD24-0150-C-R-CL (HIGH NECK)</v>
          </cell>
          <cell r="C477">
            <v>4</v>
          </cell>
          <cell r="D477" t="str">
            <v>ISBM</v>
          </cell>
          <cell r="E477" t="str">
            <v>PET</v>
          </cell>
          <cell r="F477">
            <v>36.729999999999997</v>
          </cell>
          <cell r="G477"/>
          <cell r="H477">
            <v>36.729999999999997</v>
          </cell>
        </row>
        <row r="478">
          <cell r="A478">
            <v>324185</v>
          </cell>
          <cell r="B478" t="str">
            <v>BD24-0150-C-R-CL (LOW NECK)</v>
          </cell>
          <cell r="C478">
            <v>4</v>
          </cell>
          <cell r="D478" t="str">
            <v>ISBM</v>
          </cell>
          <cell r="E478" t="str">
            <v>PET</v>
          </cell>
          <cell r="F478">
            <v>36.729999999999997</v>
          </cell>
          <cell r="G478"/>
          <cell r="H478">
            <v>36.729999999999997</v>
          </cell>
        </row>
        <row r="479">
          <cell r="A479">
            <v>324186</v>
          </cell>
          <cell r="B479" t="str">
            <v>BD24-0150-C-R-DBL</v>
          </cell>
          <cell r="C479">
            <v>4</v>
          </cell>
          <cell r="D479" t="str">
            <v>ISBM</v>
          </cell>
          <cell r="E479" t="str">
            <v>PET</v>
          </cell>
          <cell r="F479">
            <v>36.729999999999997</v>
          </cell>
          <cell r="G479"/>
          <cell r="H479">
            <v>36.729999999999997</v>
          </cell>
        </row>
        <row r="480">
          <cell r="A480">
            <v>324187</v>
          </cell>
          <cell r="B480" t="str">
            <v>BD24-0150-C-R-VL</v>
          </cell>
          <cell r="C480">
            <v>4</v>
          </cell>
          <cell r="D480" t="str">
            <v>ISBM</v>
          </cell>
          <cell r="E480" t="str">
            <v>PET</v>
          </cell>
          <cell r="F480">
            <v>36.729999999999997</v>
          </cell>
          <cell r="G480"/>
          <cell r="H480">
            <v>36.729999999999997</v>
          </cell>
        </row>
        <row r="481">
          <cell r="A481">
            <v>324184</v>
          </cell>
          <cell r="B481" t="str">
            <v>BD24-0150-C-R-WH</v>
          </cell>
          <cell r="C481">
            <v>4</v>
          </cell>
          <cell r="D481" t="str">
            <v>ISBM</v>
          </cell>
          <cell r="E481" t="str">
            <v>PET</v>
          </cell>
          <cell r="F481">
            <v>36.729999999999997</v>
          </cell>
          <cell r="G481"/>
          <cell r="H481">
            <v>36.799999999999997</v>
          </cell>
        </row>
        <row r="482">
          <cell r="A482">
            <v>324188</v>
          </cell>
          <cell r="B482" t="str">
            <v>BD24-0240-R-R-AM</v>
          </cell>
          <cell r="C482">
            <v>4</v>
          </cell>
          <cell r="D482" t="str">
            <v>ISBM</v>
          </cell>
          <cell r="E482" t="str">
            <v>PET</v>
          </cell>
          <cell r="F482">
            <v>36.800000000000004</v>
          </cell>
          <cell r="G482"/>
          <cell r="H482">
            <v>36.800000000000004</v>
          </cell>
        </row>
        <row r="483">
          <cell r="A483">
            <v>322418</v>
          </cell>
          <cell r="B483" t="str">
            <v>BD24-0240-R-R-CL</v>
          </cell>
          <cell r="C483">
            <v>4</v>
          </cell>
          <cell r="D483" t="str">
            <v>ISBM</v>
          </cell>
          <cell r="E483" t="str">
            <v>PET</v>
          </cell>
          <cell r="F483">
            <v>36</v>
          </cell>
          <cell r="G483"/>
          <cell r="H483">
            <v>7.1</v>
          </cell>
        </row>
        <row r="484">
          <cell r="A484">
            <v>324182</v>
          </cell>
          <cell r="B484" t="str">
            <v>BD24-0240-R-R-WH</v>
          </cell>
          <cell r="C484">
            <v>4</v>
          </cell>
          <cell r="D484" t="str">
            <v>ISBM</v>
          </cell>
          <cell r="E484" t="str">
            <v>PET</v>
          </cell>
          <cell r="F484">
            <v>36.800000000000004</v>
          </cell>
          <cell r="G484"/>
          <cell r="H484">
            <v>47.840000000000011</v>
          </cell>
        </row>
        <row r="485">
          <cell r="A485">
            <v>590133</v>
          </cell>
          <cell r="B485" t="str">
            <v>BD24-D150-C-R-AM</v>
          </cell>
          <cell r="C485">
            <v>4</v>
          </cell>
          <cell r="D485" t="str">
            <v>ISBM</v>
          </cell>
          <cell r="E485" t="str">
            <v>PET</v>
          </cell>
          <cell r="F485">
            <v>36.729999999999997</v>
          </cell>
          <cell r="G485"/>
          <cell r="H485">
            <v>36.799999999999997</v>
          </cell>
        </row>
        <row r="486">
          <cell r="A486">
            <v>522217</v>
          </cell>
          <cell r="B486" t="str">
            <v>BS0045- 45ML PE BTL (NATURAL)</v>
          </cell>
          <cell r="C486">
            <v>4</v>
          </cell>
          <cell r="D486" t="str">
            <v>EBM</v>
          </cell>
          <cell r="E486" t="str">
            <v>HDPE5403A</v>
          </cell>
          <cell r="F486">
            <v>6</v>
          </cell>
          <cell r="G486"/>
          <cell r="H486">
            <v>6</v>
          </cell>
        </row>
        <row r="487">
          <cell r="A487">
            <v>541511</v>
          </cell>
          <cell r="B487" t="str">
            <v>BS0045- 45ML PP BTL (NATURAL)</v>
          </cell>
          <cell r="C487">
            <v>4</v>
          </cell>
          <cell r="D487" t="str">
            <v>EBM</v>
          </cell>
          <cell r="E487" t="str">
            <v>PP855</v>
          </cell>
          <cell r="F487">
            <v>7.1</v>
          </cell>
          <cell r="G487"/>
          <cell r="H487">
            <v>27.3</v>
          </cell>
        </row>
        <row r="488">
          <cell r="A488">
            <v>453884</v>
          </cell>
          <cell r="B488" t="str">
            <v>BS0045-WH 45ML PE BTL (WHITE)</v>
          </cell>
          <cell r="C488">
            <v>4</v>
          </cell>
          <cell r="D488" t="str">
            <v>EBM</v>
          </cell>
          <cell r="E488" t="str">
            <v>PP855</v>
          </cell>
          <cell r="F488">
            <v>6</v>
          </cell>
          <cell r="G488"/>
          <cell r="H488">
            <v>7.8000000000000007</v>
          </cell>
        </row>
        <row r="489">
          <cell r="A489">
            <v>480192</v>
          </cell>
          <cell r="B489" t="str">
            <v>BS0102 100ML INK BTL (NATURAL)</v>
          </cell>
          <cell r="C489">
            <v>4</v>
          </cell>
          <cell r="D489" t="str">
            <v>EBM</v>
          </cell>
          <cell r="E489" t="str">
            <v>HDPE5403A+LDPE265YZ</v>
          </cell>
          <cell r="F489">
            <v>15.2</v>
          </cell>
          <cell r="G489"/>
          <cell r="H489">
            <v>19.759999999999998</v>
          </cell>
        </row>
        <row r="490">
          <cell r="A490">
            <v>453885</v>
          </cell>
          <cell r="B490" t="str">
            <v>BS0112-DBR 60ML HDPE BTL (D.BROWN)</v>
          </cell>
          <cell r="C490">
            <v>4</v>
          </cell>
          <cell r="D490" t="str">
            <v>EBM</v>
          </cell>
          <cell r="E490" t="str">
            <v>HDPE5403A</v>
          </cell>
          <cell r="F490">
            <v>18</v>
          </cell>
          <cell r="G490"/>
          <cell r="H490">
            <v>12</v>
          </cell>
        </row>
        <row r="491">
          <cell r="A491">
            <v>453886</v>
          </cell>
          <cell r="B491" t="str">
            <v>BS0112-WH 60ML HDPE BTL (WHITE)</v>
          </cell>
          <cell r="C491">
            <v>4</v>
          </cell>
          <cell r="D491" t="str">
            <v>EBM</v>
          </cell>
          <cell r="E491" t="str">
            <v>HDPE5403A</v>
          </cell>
          <cell r="F491">
            <v>18</v>
          </cell>
          <cell r="G491"/>
          <cell r="H491">
            <v>23.400000000000002</v>
          </cell>
        </row>
        <row r="492">
          <cell r="A492">
            <v>453887</v>
          </cell>
          <cell r="B492" t="str">
            <v>BS0121-NA 120ML PE BTL (NATURAL)</v>
          </cell>
          <cell r="C492">
            <v>4</v>
          </cell>
          <cell r="D492" t="str">
            <v>EBM</v>
          </cell>
          <cell r="E492" t="str">
            <v>MARLEX6007</v>
          </cell>
          <cell r="F492">
            <v>12</v>
          </cell>
          <cell r="G492"/>
          <cell r="H492">
            <v>15.600000000000001</v>
          </cell>
        </row>
        <row r="493">
          <cell r="A493">
            <v>618592</v>
          </cell>
          <cell r="B493" t="str">
            <v xml:space="preserve">E22-0150-R-GY-HDPE </v>
          </cell>
          <cell r="C493">
            <v>4</v>
          </cell>
          <cell r="D493" t="str">
            <v>EBM</v>
          </cell>
          <cell r="E493" t="str">
            <v>MARLEX6007</v>
          </cell>
          <cell r="F493">
            <v>15</v>
          </cell>
          <cell r="G493"/>
          <cell r="H493">
            <v>26</v>
          </cell>
        </row>
        <row r="494">
          <cell r="A494">
            <v>453888</v>
          </cell>
          <cell r="B494" t="str">
            <v>BS0155-NA 150ML PE BTL (NATURAL)</v>
          </cell>
          <cell r="C494">
            <v>4</v>
          </cell>
          <cell r="D494" t="str">
            <v>EBM</v>
          </cell>
          <cell r="E494" t="str">
            <v>HDPE5403A</v>
          </cell>
          <cell r="F494">
            <v>20</v>
          </cell>
          <cell r="G494"/>
          <cell r="H494">
            <v>26</v>
          </cell>
        </row>
        <row r="495">
          <cell r="A495">
            <v>454177</v>
          </cell>
          <cell r="B495" t="str">
            <v>BS0157-NA 150ML PP BTL (NATURAL)</v>
          </cell>
          <cell r="C495">
            <v>4</v>
          </cell>
          <cell r="D495" t="str">
            <v>EBM</v>
          </cell>
          <cell r="E495" t="str">
            <v>PP855</v>
          </cell>
          <cell r="F495">
            <v>18</v>
          </cell>
          <cell r="G495"/>
          <cell r="H495">
            <v>23.400000000000002</v>
          </cell>
        </row>
        <row r="496">
          <cell r="A496">
            <v>453889</v>
          </cell>
          <cell r="B496" t="str">
            <v>BS0182-NA 180ML PP BTL (NATURAL)</v>
          </cell>
          <cell r="C496">
            <v>4</v>
          </cell>
          <cell r="D496" t="str">
            <v>EBM</v>
          </cell>
          <cell r="E496" t="str">
            <v>PP855</v>
          </cell>
          <cell r="F496">
            <v>17</v>
          </cell>
          <cell r="G496"/>
          <cell r="H496">
            <v>22.1</v>
          </cell>
        </row>
        <row r="497">
          <cell r="A497">
            <v>453890</v>
          </cell>
          <cell r="B497" t="str">
            <v>BS0207-NA 200ML PE BTL (NATURAL)</v>
          </cell>
          <cell r="C497">
            <v>4</v>
          </cell>
          <cell r="D497" t="str">
            <v>EBM</v>
          </cell>
          <cell r="E497" t="str">
            <v>HDPE5403A</v>
          </cell>
          <cell r="F497">
            <v>16</v>
          </cell>
          <cell r="G497"/>
          <cell r="H497">
            <v>20.8</v>
          </cell>
        </row>
        <row r="498">
          <cell r="A498">
            <v>453891</v>
          </cell>
          <cell r="B498" t="str">
            <v>BS0209-NA 200ML PE BTL (NATURAL)</v>
          </cell>
          <cell r="C498">
            <v>4</v>
          </cell>
          <cell r="D498" t="str">
            <v>EBM</v>
          </cell>
          <cell r="E498" t="str">
            <v>HDPE5403A</v>
          </cell>
          <cell r="F498">
            <v>19</v>
          </cell>
          <cell r="G498"/>
          <cell r="H498">
            <v>19.899999999999999</v>
          </cell>
        </row>
        <row r="499">
          <cell r="A499">
            <v>453892</v>
          </cell>
          <cell r="B499" t="str">
            <v>BS0213-NA 200ML PE BTL (NATURAL)</v>
          </cell>
          <cell r="C499">
            <v>4</v>
          </cell>
          <cell r="D499" t="str">
            <v>EBM</v>
          </cell>
          <cell r="E499" t="str">
            <v>HDPE5403A</v>
          </cell>
          <cell r="F499">
            <v>20</v>
          </cell>
          <cell r="G499"/>
          <cell r="H499">
            <v>26</v>
          </cell>
        </row>
        <row r="500">
          <cell r="A500">
            <v>453893</v>
          </cell>
          <cell r="B500" t="str">
            <v>BS0213-NA 200ML PP BTL (NATURAL)</v>
          </cell>
          <cell r="C500">
            <v>4</v>
          </cell>
          <cell r="D500" t="str">
            <v>EBM</v>
          </cell>
          <cell r="E500" t="str">
            <v>PP855</v>
          </cell>
          <cell r="F500">
            <v>20</v>
          </cell>
          <cell r="G500"/>
          <cell r="H500">
            <v>20</v>
          </cell>
        </row>
        <row r="501">
          <cell r="A501">
            <v>453894</v>
          </cell>
          <cell r="B501" t="str">
            <v>BS0215-NA 180ML PP BTL (NATURAL)</v>
          </cell>
          <cell r="C501">
            <v>4</v>
          </cell>
          <cell r="D501" t="str">
            <v>EBM</v>
          </cell>
          <cell r="E501" t="str">
            <v>PP855</v>
          </cell>
          <cell r="F501">
            <v>19</v>
          </cell>
          <cell r="G501"/>
          <cell r="H501">
            <v>34</v>
          </cell>
        </row>
        <row r="502">
          <cell r="A502">
            <v>503660</v>
          </cell>
          <cell r="B502" t="str">
            <v>BS0215-WH 200ML PP BTL (WHITE)</v>
          </cell>
          <cell r="C502">
            <v>4</v>
          </cell>
          <cell r="D502" t="str">
            <v>EBM</v>
          </cell>
          <cell r="E502" t="str">
            <v>PP855</v>
          </cell>
          <cell r="F502">
            <v>21</v>
          </cell>
          <cell r="G502"/>
          <cell r="H502">
            <v>38.1</v>
          </cell>
        </row>
        <row r="503">
          <cell r="A503">
            <v>453895</v>
          </cell>
          <cell r="B503" t="str">
            <v>BS0217-NA 200ML PE BTL (NATURAL)</v>
          </cell>
          <cell r="C503">
            <v>4</v>
          </cell>
          <cell r="D503" t="str">
            <v>EBM</v>
          </cell>
          <cell r="E503" t="str">
            <v>HDPE5403A</v>
          </cell>
          <cell r="F503">
            <v>20.6</v>
          </cell>
          <cell r="G503"/>
          <cell r="H503">
            <v>33.5</v>
          </cell>
        </row>
        <row r="504">
          <cell r="A504">
            <v>461195</v>
          </cell>
          <cell r="B504" t="str">
            <v>BS0223-NA 200ML PP BTL (NATURAL)</v>
          </cell>
          <cell r="C504">
            <v>4</v>
          </cell>
          <cell r="D504" t="str">
            <v>EBM</v>
          </cell>
          <cell r="E504" t="str">
            <v>PP855</v>
          </cell>
          <cell r="F504">
            <v>25</v>
          </cell>
          <cell r="G504"/>
          <cell r="H504">
            <v>38</v>
          </cell>
        </row>
        <row r="505">
          <cell r="A505">
            <v>453896</v>
          </cell>
          <cell r="B505" t="str">
            <v>BS0239-NA 250ML PP BTL (NATURAL)</v>
          </cell>
          <cell r="C505">
            <v>4</v>
          </cell>
          <cell r="D505" t="str">
            <v>EBM</v>
          </cell>
          <cell r="E505" t="str">
            <v>PP855</v>
          </cell>
          <cell r="F505">
            <v>20</v>
          </cell>
          <cell r="G505"/>
          <cell r="H505">
            <v>21</v>
          </cell>
        </row>
        <row r="506">
          <cell r="A506">
            <v>453897</v>
          </cell>
          <cell r="B506" t="str">
            <v>BS0252-NA 250ML PE BTL (NATURAL)</v>
          </cell>
          <cell r="C506">
            <v>4</v>
          </cell>
          <cell r="D506" t="str">
            <v>EBM</v>
          </cell>
          <cell r="E506" t="str">
            <v>HDPE5403A</v>
          </cell>
          <cell r="F506">
            <v>19.399999999999999</v>
          </cell>
          <cell r="G506"/>
          <cell r="H506">
            <v>25.22</v>
          </cell>
        </row>
        <row r="507">
          <cell r="A507">
            <v>453898</v>
          </cell>
          <cell r="B507" t="str">
            <v>BS0255-NA 250ML PE BTL (NATURAL)</v>
          </cell>
          <cell r="C507">
            <v>4</v>
          </cell>
          <cell r="D507" t="str">
            <v>EBM</v>
          </cell>
          <cell r="E507" t="str">
            <v>HDPE5403A</v>
          </cell>
          <cell r="F507">
            <v>20.7</v>
          </cell>
          <cell r="G507"/>
          <cell r="H507">
            <v>30</v>
          </cell>
        </row>
        <row r="508">
          <cell r="A508">
            <v>454881</v>
          </cell>
          <cell r="B508" t="str">
            <v>BS0255-NA 250ML PP BTL (NATURAL)</v>
          </cell>
          <cell r="C508">
            <v>4</v>
          </cell>
          <cell r="D508" t="str">
            <v>EBM</v>
          </cell>
          <cell r="E508" t="str">
            <v>PP855</v>
          </cell>
          <cell r="F508">
            <v>20.7</v>
          </cell>
          <cell r="G508"/>
          <cell r="H508">
            <v>26.91</v>
          </cell>
        </row>
        <row r="509">
          <cell r="A509">
            <v>454883</v>
          </cell>
          <cell r="B509" t="str">
            <v>BS0256-NA 250ML PE BTL (NATURAL)</v>
          </cell>
          <cell r="C509">
            <v>4</v>
          </cell>
          <cell r="D509" t="str">
            <v>EBM</v>
          </cell>
          <cell r="E509" t="str">
            <v>PP855</v>
          </cell>
          <cell r="F509">
            <v>20</v>
          </cell>
          <cell r="G509"/>
          <cell r="H509">
            <v>26</v>
          </cell>
        </row>
        <row r="510">
          <cell r="A510">
            <v>453899</v>
          </cell>
          <cell r="B510" t="str">
            <v>BS0259-NA 250ML PE BTL (NATURAL)</v>
          </cell>
          <cell r="C510">
            <v>4</v>
          </cell>
          <cell r="D510" t="str">
            <v>EBM</v>
          </cell>
          <cell r="E510" t="str">
            <v>HDPE5403A</v>
          </cell>
          <cell r="F510">
            <v>20</v>
          </cell>
          <cell r="G510"/>
          <cell r="H510">
            <v>31</v>
          </cell>
        </row>
        <row r="511">
          <cell r="A511">
            <v>453900</v>
          </cell>
          <cell r="B511" t="str">
            <v>BS0267-BR 250ML PP BTL (BROWN)</v>
          </cell>
          <cell r="C511">
            <v>4</v>
          </cell>
          <cell r="D511" t="str">
            <v>EBM</v>
          </cell>
          <cell r="E511" t="str">
            <v>PP855</v>
          </cell>
          <cell r="F511">
            <v>20.6</v>
          </cell>
          <cell r="G511"/>
          <cell r="H511">
            <v>26.78</v>
          </cell>
        </row>
        <row r="512">
          <cell r="A512">
            <v>453901</v>
          </cell>
          <cell r="B512" t="str">
            <v>BS0267-NA 250ML PP BTL (NATURAL)</v>
          </cell>
          <cell r="C512">
            <v>4</v>
          </cell>
          <cell r="D512" t="str">
            <v>EBM</v>
          </cell>
          <cell r="E512" t="str">
            <v>PP855</v>
          </cell>
          <cell r="F512">
            <v>20.6</v>
          </cell>
          <cell r="G512"/>
          <cell r="H512">
            <v>25</v>
          </cell>
        </row>
        <row r="513">
          <cell r="A513">
            <v>454224</v>
          </cell>
          <cell r="B513" t="str">
            <v>BS0269-NA 250ML PP BTL (NATURAL)</v>
          </cell>
          <cell r="C513">
            <v>4</v>
          </cell>
          <cell r="D513" t="str">
            <v>EBM</v>
          </cell>
          <cell r="E513" t="str">
            <v>PP855</v>
          </cell>
          <cell r="F513">
            <v>20</v>
          </cell>
          <cell r="G513"/>
          <cell r="H513">
            <v>60.5</v>
          </cell>
        </row>
        <row r="514">
          <cell r="A514">
            <v>467002</v>
          </cell>
          <cell r="B514" t="str">
            <v>BS0281-NA 280ML PP BTL (NATURAL)</v>
          </cell>
          <cell r="C514">
            <v>4</v>
          </cell>
          <cell r="D514" t="str">
            <v>EBM</v>
          </cell>
          <cell r="E514" t="str">
            <v>PP855</v>
          </cell>
          <cell r="F514">
            <v>21</v>
          </cell>
          <cell r="G514"/>
          <cell r="H514">
            <v>37.5</v>
          </cell>
        </row>
        <row r="515">
          <cell r="A515">
            <v>453811</v>
          </cell>
          <cell r="B515" t="str">
            <v>BS0300-NA GBB0300 HDPE BTL (NATURAL)</v>
          </cell>
          <cell r="C515">
            <v>1</v>
          </cell>
          <cell r="D515" t="str">
            <v>EBM</v>
          </cell>
          <cell r="E515" t="str">
            <v>HDPE5403A</v>
          </cell>
          <cell r="F515">
            <v>38</v>
          </cell>
          <cell r="G515"/>
          <cell r="H515">
            <v>60.3</v>
          </cell>
        </row>
        <row r="516">
          <cell r="A516">
            <v>453902</v>
          </cell>
          <cell r="B516" t="str">
            <v>BS0302-NA 300ML HDPE BTL (NATURAL)</v>
          </cell>
          <cell r="C516">
            <v>4</v>
          </cell>
          <cell r="D516" t="str">
            <v>EBM</v>
          </cell>
          <cell r="E516" t="str">
            <v>HDPE5403A</v>
          </cell>
          <cell r="F516">
            <v>21</v>
          </cell>
          <cell r="G516"/>
          <cell r="H516">
            <v>24.6</v>
          </cell>
        </row>
        <row r="517">
          <cell r="A517">
            <v>453903</v>
          </cell>
          <cell r="B517" t="str">
            <v>BS0302-NA 300ML PP BTL (NATURAL)</v>
          </cell>
          <cell r="C517">
            <v>4</v>
          </cell>
          <cell r="D517" t="str">
            <v>EBM</v>
          </cell>
          <cell r="E517" t="str">
            <v>PP855</v>
          </cell>
          <cell r="F517">
            <v>23.4</v>
          </cell>
          <cell r="G517"/>
          <cell r="H517">
            <v>28</v>
          </cell>
        </row>
        <row r="518">
          <cell r="A518">
            <v>453904</v>
          </cell>
          <cell r="B518" t="str">
            <v>BS0307-NA 300ML PP BTL (NATURAL)</v>
          </cell>
          <cell r="C518">
            <v>4</v>
          </cell>
          <cell r="D518" t="str">
            <v>EBM</v>
          </cell>
          <cell r="E518" t="str">
            <v>PP855</v>
          </cell>
          <cell r="F518">
            <v>24</v>
          </cell>
          <cell r="G518"/>
          <cell r="H518">
            <v>25</v>
          </cell>
        </row>
        <row r="519">
          <cell r="A519">
            <v>453905</v>
          </cell>
          <cell r="B519" t="str">
            <v>BS0308-NA 300ML PP BTL (NATURAL)</v>
          </cell>
          <cell r="C519">
            <v>4</v>
          </cell>
          <cell r="D519" t="str">
            <v>EBM</v>
          </cell>
          <cell r="E519" t="str">
            <v>PP855</v>
          </cell>
          <cell r="F519">
            <v>28</v>
          </cell>
          <cell r="G519"/>
          <cell r="H519">
            <v>26</v>
          </cell>
        </row>
        <row r="520">
          <cell r="A520">
            <v>465634</v>
          </cell>
          <cell r="B520" t="str">
            <v>BS0308-WH 300ML PP BTL (WHITE)</v>
          </cell>
          <cell r="C520">
            <v>4</v>
          </cell>
          <cell r="D520" t="str">
            <v>EBM</v>
          </cell>
          <cell r="E520" t="str">
            <v>PP855</v>
          </cell>
          <cell r="F520">
            <v>28</v>
          </cell>
          <cell r="G520"/>
          <cell r="H520">
            <v>29</v>
          </cell>
        </row>
        <row r="521">
          <cell r="A521">
            <v>459267</v>
          </cell>
          <cell r="B521" t="str">
            <v>BS0310 NA 310ML PP BTL (NATURAL)</v>
          </cell>
          <cell r="C521">
            <v>4</v>
          </cell>
          <cell r="D521" t="str">
            <v>EBM</v>
          </cell>
          <cell r="E521" t="str">
            <v>PP855</v>
          </cell>
          <cell r="F521">
            <v>23</v>
          </cell>
          <cell r="G521"/>
          <cell r="H521">
            <v>29.900000000000002</v>
          </cell>
        </row>
        <row r="522">
          <cell r="A522">
            <v>453906</v>
          </cell>
          <cell r="B522" t="str">
            <v>BS0311-NA 300ML PP BTL (NATURAL)</v>
          </cell>
          <cell r="C522">
            <v>4</v>
          </cell>
          <cell r="D522" t="str">
            <v>EBM</v>
          </cell>
          <cell r="E522" t="str">
            <v>PP855</v>
          </cell>
          <cell r="F522">
            <v>28</v>
          </cell>
          <cell r="G522"/>
          <cell r="H522">
            <v>27</v>
          </cell>
        </row>
        <row r="523">
          <cell r="A523">
            <v>453907</v>
          </cell>
          <cell r="B523" t="str">
            <v>BS0312-NA 300ML PP BTL (NATURAL)</v>
          </cell>
          <cell r="C523">
            <v>4</v>
          </cell>
          <cell r="D523" t="str">
            <v>EBM</v>
          </cell>
          <cell r="E523" t="str">
            <v>PP855</v>
          </cell>
          <cell r="F523">
            <v>23</v>
          </cell>
          <cell r="G523"/>
          <cell r="H523">
            <v>24</v>
          </cell>
        </row>
        <row r="524">
          <cell r="A524">
            <v>453908</v>
          </cell>
          <cell r="B524" t="str">
            <v>BS0313-NA 250ML PP BTL (NATURAL)</v>
          </cell>
          <cell r="C524">
            <v>4</v>
          </cell>
          <cell r="D524" t="str">
            <v>EBM</v>
          </cell>
          <cell r="E524" t="str">
            <v>PP855</v>
          </cell>
          <cell r="F524">
            <v>26.8</v>
          </cell>
          <cell r="G524"/>
          <cell r="H524">
            <v>34.840000000000003</v>
          </cell>
        </row>
        <row r="525">
          <cell r="A525">
            <v>453909</v>
          </cell>
          <cell r="B525" t="str">
            <v>BS0315-NA 310ML PP BTL (NATURAL)</v>
          </cell>
          <cell r="C525">
            <v>4</v>
          </cell>
          <cell r="D525" t="str">
            <v>EBM</v>
          </cell>
          <cell r="E525" t="str">
            <v>PP855</v>
          </cell>
          <cell r="F525">
            <v>23.3</v>
          </cell>
          <cell r="G525"/>
          <cell r="H525">
            <v>25.3</v>
          </cell>
        </row>
        <row r="526">
          <cell r="A526">
            <v>461197</v>
          </cell>
          <cell r="B526" t="str">
            <v>BS0316-NA 310ML PP BTL (NATURAL)</v>
          </cell>
          <cell r="C526">
            <v>4</v>
          </cell>
          <cell r="D526" t="str">
            <v>EBM</v>
          </cell>
          <cell r="E526" t="str">
            <v>PP855</v>
          </cell>
          <cell r="F526">
            <v>23</v>
          </cell>
          <cell r="G526"/>
          <cell r="H526">
            <v>26</v>
          </cell>
        </row>
        <row r="527">
          <cell r="A527">
            <v>453910</v>
          </cell>
          <cell r="B527" t="str">
            <v>BS0319-NA 310ML PP BTL (NATURAL)</v>
          </cell>
          <cell r="C527">
            <v>4</v>
          </cell>
          <cell r="D527" t="str">
            <v>EBM</v>
          </cell>
          <cell r="E527" t="str">
            <v>PP855</v>
          </cell>
          <cell r="F527">
            <v>21</v>
          </cell>
          <cell r="G527"/>
          <cell r="H527">
            <v>35</v>
          </cell>
        </row>
        <row r="528">
          <cell r="A528">
            <v>493614</v>
          </cell>
          <cell r="B528" t="str">
            <v>BS0320-NA 320ML HOUSSY PP BTL (NATURAL)</v>
          </cell>
          <cell r="C528">
            <v>4</v>
          </cell>
          <cell r="D528" t="str">
            <v>EBM</v>
          </cell>
          <cell r="E528" t="str">
            <v>PP855</v>
          </cell>
          <cell r="F528">
            <v>21</v>
          </cell>
          <cell r="G528"/>
          <cell r="H528">
            <v>36</v>
          </cell>
        </row>
        <row r="529">
          <cell r="A529">
            <v>453911</v>
          </cell>
          <cell r="B529" t="str">
            <v>BS0323-BR 300ML PP BTL (BROWN)</v>
          </cell>
          <cell r="C529">
            <v>4</v>
          </cell>
          <cell r="D529" t="str">
            <v>EBM</v>
          </cell>
          <cell r="E529" t="str">
            <v>SM198</v>
          </cell>
          <cell r="F529">
            <v>34</v>
          </cell>
          <cell r="G529"/>
          <cell r="H529">
            <v>44.2</v>
          </cell>
        </row>
        <row r="530">
          <cell r="A530">
            <v>453912</v>
          </cell>
          <cell r="B530" t="str">
            <v>BS0323-NA 300ML PP BTL (NATURAL)</v>
          </cell>
          <cell r="C530">
            <v>4</v>
          </cell>
          <cell r="D530" t="str">
            <v>EBM</v>
          </cell>
          <cell r="E530" t="str">
            <v>SM199</v>
          </cell>
          <cell r="F530">
            <v>34</v>
          </cell>
          <cell r="G530"/>
          <cell r="H530">
            <v>44.2</v>
          </cell>
        </row>
        <row r="531">
          <cell r="A531">
            <v>453913</v>
          </cell>
          <cell r="B531" t="str">
            <v>BS0323-RD 300ML PP BTL (RED)</v>
          </cell>
          <cell r="C531">
            <v>4</v>
          </cell>
          <cell r="D531" t="str">
            <v>EBM</v>
          </cell>
          <cell r="E531" t="str">
            <v>SM198</v>
          </cell>
          <cell r="F531">
            <v>34</v>
          </cell>
          <cell r="G531"/>
          <cell r="H531">
            <v>29.5</v>
          </cell>
        </row>
        <row r="532">
          <cell r="A532">
            <v>453914</v>
          </cell>
          <cell r="B532" t="str">
            <v>BS0327-NA 350ML PP BTL (NATURAL)</v>
          </cell>
          <cell r="C532">
            <v>4</v>
          </cell>
          <cell r="D532" t="str">
            <v>EBM</v>
          </cell>
          <cell r="E532" t="str">
            <v>PP855</v>
          </cell>
          <cell r="F532">
            <v>28</v>
          </cell>
          <cell r="G532"/>
          <cell r="H532">
            <v>24</v>
          </cell>
        </row>
        <row r="533">
          <cell r="A533">
            <v>453916</v>
          </cell>
          <cell r="B533" t="str">
            <v>BS0332-NA 300ML PP BTL HW (NATURAL)</v>
          </cell>
          <cell r="C533">
            <v>4</v>
          </cell>
          <cell r="D533" t="str">
            <v>EBM</v>
          </cell>
          <cell r="E533" t="str">
            <v>PP855</v>
          </cell>
          <cell r="F533">
            <v>29.5</v>
          </cell>
          <cell r="G533"/>
          <cell r="H533">
            <v>43.5</v>
          </cell>
        </row>
        <row r="534">
          <cell r="A534">
            <v>453915</v>
          </cell>
          <cell r="B534" t="str">
            <v>BS0332-NA 300ML PP BTL LW (NATURAL)</v>
          </cell>
          <cell r="C534">
            <v>4</v>
          </cell>
          <cell r="D534" t="str">
            <v>EBM</v>
          </cell>
          <cell r="E534" t="str">
            <v>PP855</v>
          </cell>
          <cell r="F534">
            <v>24</v>
          </cell>
          <cell r="G534"/>
          <cell r="H534">
            <v>37.799999999999997</v>
          </cell>
        </row>
        <row r="535">
          <cell r="A535">
            <v>453917</v>
          </cell>
          <cell r="B535" t="str">
            <v>BS0332-NA 300ML PP BTL PRESS-ON(NATURAL)</v>
          </cell>
          <cell r="C535">
            <v>4</v>
          </cell>
          <cell r="D535" t="str">
            <v>EBM</v>
          </cell>
          <cell r="E535" t="str">
            <v>PP855</v>
          </cell>
          <cell r="F535">
            <v>23</v>
          </cell>
          <cell r="G535"/>
          <cell r="H535">
            <v>29.900000000000002</v>
          </cell>
        </row>
        <row r="536">
          <cell r="A536">
            <v>454228</v>
          </cell>
          <cell r="B536" t="str">
            <v>BS0333-NA 300ML PP BTL (NATURAL)</v>
          </cell>
          <cell r="C536">
            <v>4</v>
          </cell>
          <cell r="D536" t="str">
            <v>EBM</v>
          </cell>
          <cell r="E536" t="str">
            <v>PP855</v>
          </cell>
          <cell r="F536">
            <v>23</v>
          </cell>
          <cell r="G536"/>
          <cell r="H536">
            <v>40.200000000000003</v>
          </cell>
        </row>
        <row r="537">
          <cell r="A537">
            <v>453918</v>
          </cell>
          <cell r="B537" t="str">
            <v>BS0336-NA 300ML PP BTL (NATURAL)</v>
          </cell>
          <cell r="C537">
            <v>4</v>
          </cell>
          <cell r="D537" t="str">
            <v>EBM</v>
          </cell>
          <cell r="E537" t="str">
            <v>PP855</v>
          </cell>
          <cell r="F537">
            <v>24</v>
          </cell>
          <cell r="G537"/>
          <cell r="H537">
            <v>31.200000000000003</v>
          </cell>
        </row>
        <row r="538">
          <cell r="A538">
            <v>454259</v>
          </cell>
          <cell r="B538" t="str">
            <v>BS0336-WH 300ML PP BTL (WHITE)</v>
          </cell>
          <cell r="C538">
            <v>4</v>
          </cell>
          <cell r="D538" t="str">
            <v>EBM</v>
          </cell>
          <cell r="E538" t="str">
            <v>PP855</v>
          </cell>
          <cell r="F538">
            <v>24</v>
          </cell>
          <cell r="G538"/>
          <cell r="H538">
            <v>40.700000000000003</v>
          </cell>
        </row>
        <row r="539">
          <cell r="A539">
            <v>453919</v>
          </cell>
          <cell r="B539" t="str">
            <v>BS0337-NA 300ML PP BTL (NATURAL)</v>
          </cell>
          <cell r="C539">
            <v>4</v>
          </cell>
          <cell r="D539" t="str">
            <v>EBM</v>
          </cell>
          <cell r="E539" t="str">
            <v>PP855</v>
          </cell>
          <cell r="F539">
            <v>23.6</v>
          </cell>
          <cell r="G539"/>
          <cell r="H539">
            <v>30.680000000000003</v>
          </cell>
        </row>
        <row r="540">
          <cell r="A540">
            <v>453920</v>
          </cell>
          <cell r="B540" t="str">
            <v>BS0339-NA 300ML PP BTL (NATURAL)</v>
          </cell>
          <cell r="C540">
            <v>4</v>
          </cell>
          <cell r="D540" t="str">
            <v>EBM</v>
          </cell>
          <cell r="E540" t="str">
            <v>PP855</v>
          </cell>
          <cell r="F540">
            <v>28</v>
          </cell>
          <cell r="G540"/>
          <cell r="H540">
            <v>36.4</v>
          </cell>
        </row>
        <row r="541">
          <cell r="A541">
            <v>453921</v>
          </cell>
          <cell r="B541" t="str">
            <v>BS0347-DBR 350ML PP BTL (D.BROWN)</v>
          </cell>
          <cell r="C541">
            <v>2</v>
          </cell>
          <cell r="D541" t="str">
            <v>EBM</v>
          </cell>
          <cell r="E541" t="str">
            <v>PP855</v>
          </cell>
          <cell r="F541">
            <v>31.7</v>
          </cell>
          <cell r="G541"/>
          <cell r="H541">
            <v>46</v>
          </cell>
        </row>
        <row r="542">
          <cell r="A542">
            <v>528872</v>
          </cell>
          <cell r="B542" t="str">
            <v>BS0350-NA 350ML PP BTL (NATURAL) KEKO</v>
          </cell>
          <cell r="C542">
            <v>4</v>
          </cell>
          <cell r="D542" t="str">
            <v>EBM</v>
          </cell>
          <cell r="E542" t="str">
            <v>PP855</v>
          </cell>
          <cell r="F542">
            <v>35</v>
          </cell>
          <cell r="G542"/>
          <cell r="H542">
            <v>45.5</v>
          </cell>
        </row>
        <row r="543">
          <cell r="A543">
            <v>531765</v>
          </cell>
          <cell r="B543" t="str">
            <v>BS0350-WH 350ML PP BTL (WHITE) KEKO</v>
          </cell>
          <cell r="C543">
            <v>4</v>
          </cell>
          <cell r="D543" t="str">
            <v>EBM</v>
          </cell>
          <cell r="E543" t="str">
            <v>PP855</v>
          </cell>
          <cell r="F543">
            <v>35.1</v>
          </cell>
          <cell r="G543"/>
          <cell r="H543">
            <v>24</v>
          </cell>
        </row>
        <row r="544">
          <cell r="A544">
            <v>453922</v>
          </cell>
          <cell r="B544" t="str">
            <v>BS0352-NA 300ML PP BTL (NATURAL)</v>
          </cell>
          <cell r="C544">
            <v>4</v>
          </cell>
          <cell r="D544" t="str">
            <v>EBM</v>
          </cell>
          <cell r="E544" t="str">
            <v>PP855</v>
          </cell>
          <cell r="F544">
            <v>23</v>
          </cell>
          <cell r="G544"/>
          <cell r="H544">
            <v>29.900000000000002</v>
          </cell>
        </row>
        <row r="545">
          <cell r="A545">
            <v>472338</v>
          </cell>
          <cell r="B545" t="str">
            <v>BS0353-NA 300ML PP BTL (NATURAL)</v>
          </cell>
          <cell r="C545">
            <v>4</v>
          </cell>
          <cell r="D545" t="str">
            <v>EBM</v>
          </cell>
          <cell r="E545" t="str">
            <v>PP855</v>
          </cell>
          <cell r="F545">
            <v>21</v>
          </cell>
          <cell r="G545"/>
          <cell r="H545">
            <v>27.3</v>
          </cell>
        </row>
        <row r="546">
          <cell r="A546">
            <v>453923</v>
          </cell>
          <cell r="B546" t="str">
            <v>BS0361-NA 350ML PP BTL (NATURAL)</v>
          </cell>
          <cell r="C546">
            <v>4</v>
          </cell>
          <cell r="D546" t="str">
            <v>EBM</v>
          </cell>
          <cell r="E546" t="str">
            <v>PP855</v>
          </cell>
          <cell r="F546">
            <v>39.200000000000003</v>
          </cell>
          <cell r="G546"/>
          <cell r="H546">
            <v>60</v>
          </cell>
        </row>
        <row r="547">
          <cell r="A547">
            <v>453924</v>
          </cell>
          <cell r="B547" t="str">
            <v>BS0362-NA 300ML PP BTL (NATURAL)</v>
          </cell>
          <cell r="C547">
            <v>4</v>
          </cell>
          <cell r="D547" t="str">
            <v>EBM</v>
          </cell>
          <cell r="E547" t="str">
            <v>PP855</v>
          </cell>
          <cell r="F547">
            <v>28</v>
          </cell>
          <cell r="G547"/>
          <cell r="H547">
            <v>28.5</v>
          </cell>
        </row>
        <row r="548">
          <cell r="A548">
            <v>552603</v>
          </cell>
          <cell r="B548" t="str">
            <v>BS0367-NA 360ML PP BTL (NATURAL)</v>
          </cell>
          <cell r="C548">
            <v>4</v>
          </cell>
          <cell r="D548" t="str">
            <v>EBM</v>
          </cell>
          <cell r="E548" t="str">
            <v>PP855</v>
          </cell>
          <cell r="F548">
            <v>45</v>
          </cell>
          <cell r="G548"/>
          <cell r="H548">
            <v>36</v>
          </cell>
        </row>
        <row r="549">
          <cell r="A549">
            <v>453925</v>
          </cell>
          <cell r="B549" t="str">
            <v>BS0391-NA 300ML PP BTL (NATURAL)</v>
          </cell>
          <cell r="C549">
            <v>1</v>
          </cell>
          <cell r="D549" t="str">
            <v>EBM</v>
          </cell>
          <cell r="E549" t="str">
            <v>PP855</v>
          </cell>
          <cell r="F549">
            <v>28</v>
          </cell>
          <cell r="G549"/>
          <cell r="H549">
            <v>58</v>
          </cell>
        </row>
        <row r="550">
          <cell r="A550">
            <v>454241</v>
          </cell>
          <cell r="B550" t="str">
            <v>BS0468-NA 400ML PP BTL (NATURAL)</v>
          </cell>
          <cell r="C550">
            <v>4</v>
          </cell>
          <cell r="D550" t="str">
            <v>EBM</v>
          </cell>
          <cell r="E550" t="str">
            <v>PP855</v>
          </cell>
          <cell r="F550">
            <v>36</v>
          </cell>
          <cell r="G550"/>
          <cell r="H550">
            <v>46.800000000000004</v>
          </cell>
        </row>
        <row r="551">
          <cell r="A551">
            <v>454183</v>
          </cell>
          <cell r="B551" t="str">
            <v>BS0478-BR 475ML PP BTL (BROWN)</v>
          </cell>
          <cell r="C551">
            <v>2</v>
          </cell>
          <cell r="D551" t="str">
            <v>EBM</v>
          </cell>
          <cell r="E551" t="str">
            <v>MARLEX6007</v>
          </cell>
          <cell r="F551">
            <v>38</v>
          </cell>
          <cell r="G551"/>
          <cell r="H551">
            <v>44.08</v>
          </cell>
        </row>
        <row r="552">
          <cell r="A552">
            <v>454184</v>
          </cell>
          <cell r="B552" t="str">
            <v>BS0478-YL 475ML PP BTL (YELLOW)</v>
          </cell>
          <cell r="C552">
            <v>2</v>
          </cell>
          <cell r="D552" t="str">
            <v>EBM</v>
          </cell>
          <cell r="E552" t="str">
            <v>MARLEX6007</v>
          </cell>
          <cell r="F552">
            <v>38</v>
          </cell>
          <cell r="G552"/>
          <cell r="H552"/>
        </row>
        <row r="553">
          <cell r="A553">
            <v>453926</v>
          </cell>
          <cell r="B553" t="str">
            <v>BS0507-NA 500ML PP BTL (NATURAL)</v>
          </cell>
          <cell r="C553">
            <v>2</v>
          </cell>
          <cell r="D553" t="str">
            <v>EBM</v>
          </cell>
          <cell r="E553" t="str">
            <v>PP855</v>
          </cell>
          <cell r="F553">
            <v>34</v>
          </cell>
          <cell r="G553"/>
          <cell r="H553">
            <v>31</v>
          </cell>
        </row>
        <row r="554">
          <cell r="A554">
            <v>554304</v>
          </cell>
          <cell r="B554" t="str">
            <v>BS0507-NA 500ML PP BTL (NATURAL)</v>
          </cell>
          <cell r="C554">
            <v>2</v>
          </cell>
          <cell r="D554" t="str">
            <v>EBM</v>
          </cell>
          <cell r="E554" t="str">
            <v>PP855</v>
          </cell>
          <cell r="F554">
            <v>34</v>
          </cell>
          <cell r="G554"/>
          <cell r="H554">
            <v>61.2</v>
          </cell>
        </row>
        <row r="555">
          <cell r="A555">
            <v>453927</v>
          </cell>
          <cell r="B555" t="str">
            <v>BS0513-NA 500ML PP BTL (NATURAL)</v>
          </cell>
          <cell r="C555">
            <v>2</v>
          </cell>
          <cell r="D555" t="str">
            <v>EBM</v>
          </cell>
          <cell r="E555" t="str">
            <v>PP855</v>
          </cell>
          <cell r="F555">
            <v>31.4</v>
          </cell>
          <cell r="G555"/>
          <cell r="H555">
            <v>67.8</v>
          </cell>
        </row>
        <row r="556">
          <cell r="A556">
            <v>453928</v>
          </cell>
          <cell r="B556" t="str">
            <v>BS0521-NA 500ML PP BTL (NATURAL)</v>
          </cell>
          <cell r="C556">
            <v>2</v>
          </cell>
          <cell r="D556" t="str">
            <v>EBM</v>
          </cell>
          <cell r="E556" t="str">
            <v>PP855</v>
          </cell>
          <cell r="F556">
            <v>43</v>
          </cell>
          <cell r="G556"/>
          <cell r="H556">
            <v>61.41</v>
          </cell>
        </row>
        <row r="557">
          <cell r="A557">
            <v>454217</v>
          </cell>
          <cell r="B557" t="str">
            <v>BS0551-NA 520ML PP BTL (NATURAL)</v>
          </cell>
          <cell r="C557">
            <v>1</v>
          </cell>
          <cell r="D557" t="str">
            <v>EBM</v>
          </cell>
          <cell r="E557" t="str">
            <v>PP855</v>
          </cell>
          <cell r="F557">
            <v>45</v>
          </cell>
          <cell r="G557"/>
          <cell r="H557">
            <v>64.81</v>
          </cell>
        </row>
        <row r="558">
          <cell r="A558">
            <v>453929</v>
          </cell>
          <cell r="B558" t="str">
            <v>BS0571-NA 500ML PP BTL (NATURAL)</v>
          </cell>
          <cell r="C558">
            <v>4</v>
          </cell>
          <cell r="D558" t="str">
            <v>EBM</v>
          </cell>
          <cell r="E558" t="str">
            <v>PP855</v>
          </cell>
          <cell r="F558">
            <v>42</v>
          </cell>
          <cell r="G558"/>
          <cell r="H558">
            <v>62</v>
          </cell>
        </row>
        <row r="559">
          <cell r="A559">
            <v>453934</v>
          </cell>
          <cell r="B559" t="str">
            <v>BS0591-NA 500ML PP BTL (NATURAL)</v>
          </cell>
          <cell r="C559">
            <v>1</v>
          </cell>
          <cell r="D559" t="str">
            <v>EBM</v>
          </cell>
          <cell r="E559" t="str">
            <v>PP855</v>
          </cell>
          <cell r="F559">
            <v>41</v>
          </cell>
          <cell r="G559"/>
          <cell r="H559">
            <v>53.300000000000004</v>
          </cell>
        </row>
        <row r="560">
          <cell r="A560">
            <v>453935</v>
          </cell>
          <cell r="B560" t="str">
            <v>BS0751-NA 750ML PP BTL (NATURAL)</v>
          </cell>
          <cell r="C560">
            <v>2</v>
          </cell>
          <cell r="D560" t="str">
            <v>EBM</v>
          </cell>
          <cell r="E560" t="str">
            <v>PP855</v>
          </cell>
          <cell r="F560">
            <v>53.9</v>
          </cell>
          <cell r="G560"/>
          <cell r="H560">
            <v>77.5</v>
          </cell>
        </row>
        <row r="561">
          <cell r="A561">
            <v>454192</v>
          </cell>
          <cell r="B561" t="str">
            <v>BS0757-NA 750ML HDPE BTL (NATURAL)</v>
          </cell>
          <cell r="C561">
            <v>4</v>
          </cell>
          <cell r="D561" t="str">
            <v>EBM</v>
          </cell>
          <cell r="E561" t="str">
            <v>MARLEX6007</v>
          </cell>
          <cell r="F561">
            <v>60</v>
          </cell>
          <cell r="G561"/>
          <cell r="H561">
            <v>78</v>
          </cell>
        </row>
        <row r="562">
          <cell r="A562">
            <v>453936</v>
          </cell>
          <cell r="B562" t="str">
            <v>BS0875-NA 750ML PP BTL (NATURAL)</v>
          </cell>
          <cell r="C562">
            <v>2</v>
          </cell>
          <cell r="D562" t="str">
            <v>EBM</v>
          </cell>
          <cell r="E562" t="str">
            <v>PP855</v>
          </cell>
          <cell r="F562">
            <v>57.6</v>
          </cell>
          <cell r="G562"/>
          <cell r="H562">
            <v>45</v>
          </cell>
        </row>
        <row r="563">
          <cell r="A563">
            <v>454221</v>
          </cell>
          <cell r="B563" t="str">
            <v>BS0921-BR 1KG PP BTL (BROWN)</v>
          </cell>
          <cell r="C563">
            <v>2</v>
          </cell>
          <cell r="D563" t="str">
            <v>EBM</v>
          </cell>
          <cell r="E563" t="str">
            <v>PP855</v>
          </cell>
          <cell r="F563">
            <v>44.699999999999996</v>
          </cell>
          <cell r="G563"/>
          <cell r="H563">
            <v>58.11</v>
          </cell>
        </row>
        <row r="564">
          <cell r="A564">
            <v>453937</v>
          </cell>
          <cell r="B564" t="str">
            <v>BS0921-RD 1KG PP BTL (RED)</v>
          </cell>
          <cell r="C564">
            <v>2</v>
          </cell>
          <cell r="D564" t="str">
            <v>EBM</v>
          </cell>
          <cell r="E564" t="str">
            <v>MARLEX6007</v>
          </cell>
          <cell r="F564">
            <v>44.699999999999996</v>
          </cell>
          <cell r="G564"/>
          <cell r="H564">
            <v>58.11</v>
          </cell>
        </row>
        <row r="565">
          <cell r="A565">
            <v>453938</v>
          </cell>
          <cell r="B565" t="str">
            <v>BS1012-BR 1LTR PP BTL (BROWN)</v>
          </cell>
          <cell r="C565">
            <v>2</v>
          </cell>
          <cell r="D565" t="str">
            <v>EBM</v>
          </cell>
          <cell r="E565" t="str">
            <v>PP855</v>
          </cell>
          <cell r="F565">
            <v>74.8</v>
          </cell>
          <cell r="G565"/>
          <cell r="H565">
            <v>54</v>
          </cell>
        </row>
        <row r="566">
          <cell r="A566">
            <v>453939</v>
          </cell>
          <cell r="B566" t="str">
            <v>BS1012-NA 1LTR PP BTL (NATURAL)</v>
          </cell>
          <cell r="C566">
            <v>2</v>
          </cell>
          <cell r="D566" t="str">
            <v>EBM</v>
          </cell>
          <cell r="E566" t="str">
            <v>PP855</v>
          </cell>
          <cell r="F566">
            <v>74.8</v>
          </cell>
          <cell r="G566"/>
          <cell r="H566">
            <v>97.24</v>
          </cell>
        </row>
        <row r="567">
          <cell r="A567">
            <v>453940</v>
          </cell>
          <cell r="B567" t="str">
            <v>BS1013-NA 1LTR PP BTL (NATURAL)</v>
          </cell>
          <cell r="C567">
            <v>2</v>
          </cell>
          <cell r="D567" t="str">
            <v>EBM</v>
          </cell>
          <cell r="E567" t="str">
            <v>PP855</v>
          </cell>
          <cell r="F567">
            <v>55</v>
          </cell>
          <cell r="G567"/>
          <cell r="H567">
            <v>61</v>
          </cell>
        </row>
        <row r="568">
          <cell r="A568">
            <v>453941</v>
          </cell>
          <cell r="B568" t="str">
            <v>BS1013-WH 1LTR PP BTL (WHITE)</v>
          </cell>
          <cell r="C568">
            <v>2</v>
          </cell>
          <cell r="D568" t="str">
            <v>EBM</v>
          </cell>
          <cell r="E568" t="str">
            <v>SM199</v>
          </cell>
          <cell r="F568">
            <v>54</v>
          </cell>
          <cell r="G568"/>
          <cell r="H568">
            <v>66.8</v>
          </cell>
        </row>
        <row r="569">
          <cell r="A569">
            <v>453942</v>
          </cell>
          <cell r="B569" t="str">
            <v>BS1015-NA 1LTR PE BTL (NATURAL)</v>
          </cell>
          <cell r="C569">
            <v>2</v>
          </cell>
          <cell r="D569" t="str">
            <v>EBM</v>
          </cell>
          <cell r="E569" t="str">
            <v>HDPE5403A</v>
          </cell>
          <cell r="F569">
            <v>60</v>
          </cell>
          <cell r="G569"/>
          <cell r="H569">
            <v>79.5</v>
          </cell>
        </row>
        <row r="570">
          <cell r="A570">
            <v>453943</v>
          </cell>
          <cell r="B570" t="str">
            <v>BS1016-NA 1LTR PP BTL (NATURAL)</v>
          </cell>
          <cell r="C570">
            <v>2</v>
          </cell>
          <cell r="D570" t="str">
            <v>EBM</v>
          </cell>
          <cell r="E570" t="str">
            <v>PP855</v>
          </cell>
          <cell r="F570">
            <v>67.5</v>
          </cell>
          <cell r="G570"/>
          <cell r="H570">
            <v>61.15</v>
          </cell>
        </row>
        <row r="571">
          <cell r="A571">
            <v>453944</v>
          </cell>
          <cell r="B571" t="str">
            <v>BS1017-NA 1LTR HDPE BTL (NATURAL)</v>
          </cell>
          <cell r="C571">
            <v>2</v>
          </cell>
          <cell r="D571" t="str">
            <v>EBM</v>
          </cell>
          <cell r="E571" t="str">
            <v>MARLEX6007</v>
          </cell>
          <cell r="F571">
            <v>60</v>
          </cell>
          <cell r="G571"/>
          <cell r="H571">
            <v>79.2</v>
          </cell>
        </row>
        <row r="572">
          <cell r="A572">
            <v>453945</v>
          </cell>
          <cell r="B572" t="str">
            <v>BS1017-WH 1LTR HDPE BTL (WHITE)</v>
          </cell>
          <cell r="C572">
            <v>2</v>
          </cell>
          <cell r="D572" t="str">
            <v>EBM</v>
          </cell>
          <cell r="E572" t="str">
            <v>MARLEX6007</v>
          </cell>
          <cell r="F572">
            <v>60</v>
          </cell>
          <cell r="G572"/>
          <cell r="H572">
            <v>82.2</v>
          </cell>
        </row>
        <row r="573">
          <cell r="A573">
            <v>453946</v>
          </cell>
          <cell r="B573" t="str">
            <v>BS1019-NA 1LTR PP BTL (NATURAL)</v>
          </cell>
          <cell r="C573">
            <v>2</v>
          </cell>
          <cell r="D573" t="str">
            <v>EBM</v>
          </cell>
          <cell r="E573" t="str">
            <v>SM198</v>
          </cell>
          <cell r="F573">
            <v>62.4</v>
          </cell>
          <cell r="G573"/>
          <cell r="H573">
            <v>81.12</v>
          </cell>
        </row>
        <row r="574">
          <cell r="A574">
            <v>454191</v>
          </cell>
          <cell r="B574" t="str">
            <v>BS1019-NA 1LTR PP BTL C/W NOZZLE CAP RED</v>
          </cell>
          <cell r="C574">
            <v>2</v>
          </cell>
          <cell r="D574" t="str">
            <v>EBM</v>
          </cell>
          <cell r="E574" t="str">
            <v>SM198</v>
          </cell>
          <cell r="F574">
            <v>63.4</v>
          </cell>
          <cell r="G574"/>
          <cell r="H574">
            <v>61</v>
          </cell>
        </row>
        <row r="575">
          <cell r="A575">
            <v>453947</v>
          </cell>
          <cell r="B575" t="str">
            <v>BS1019-RD 1LTR PP BTL (RED)</v>
          </cell>
          <cell r="C575">
            <v>2</v>
          </cell>
          <cell r="D575" t="str">
            <v>EBM</v>
          </cell>
          <cell r="E575" t="str">
            <v>SM198</v>
          </cell>
          <cell r="F575">
            <v>62.4</v>
          </cell>
          <cell r="G575"/>
          <cell r="H575">
            <v>88.9</v>
          </cell>
        </row>
        <row r="576">
          <cell r="A576">
            <v>453948</v>
          </cell>
          <cell r="B576" t="str">
            <v>BS1019-YL 1LTR PP BTL (YELLOW)</v>
          </cell>
          <cell r="C576">
            <v>2</v>
          </cell>
          <cell r="D576" t="str">
            <v>EBM</v>
          </cell>
          <cell r="E576" t="str">
            <v>SM199</v>
          </cell>
          <cell r="F576">
            <v>62.4</v>
          </cell>
          <cell r="G576"/>
          <cell r="H576">
            <v>51</v>
          </cell>
        </row>
        <row r="577">
          <cell r="A577">
            <v>454279</v>
          </cell>
          <cell r="B577" t="str">
            <v>BS1021-NA 1LTR PP BTL (NATURAL)</v>
          </cell>
          <cell r="C577">
            <v>2</v>
          </cell>
          <cell r="D577" t="str">
            <v>EBM</v>
          </cell>
          <cell r="E577" t="str">
            <v>PP855</v>
          </cell>
          <cell r="F577">
            <v>87</v>
          </cell>
          <cell r="G577"/>
          <cell r="H577"/>
        </row>
        <row r="578">
          <cell r="A578">
            <v>453949</v>
          </cell>
          <cell r="B578" t="str">
            <v>BS1526-NA 1.3KG NDC PP BTL (NATURAL)</v>
          </cell>
          <cell r="C578">
            <v>1</v>
          </cell>
          <cell r="D578" t="str">
            <v>EBM</v>
          </cell>
          <cell r="E578" t="str">
            <v>SM198</v>
          </cell>
          <cell r="F578">
            <v>51</v>
          </cell>
          <cell r="G578"/>
          <cell r="H578">
            <v>66.3</v>
          </cell>
        </row>
        <row r="579">
          <cell r="A579">
            <v>453951</v>
          </cell>
          <cell r="B579" t="str">
            <v>BS2017-NA 2LTR HDPE BTL (NATURAL)</v>
          </cell>
          <cell r="C579">
            <v>1</v>
          </cell>
          <cell r="D579" t="str">
            <v>EBM</v>
          </cell>
          <cell r="E579" t="str">
            <v>MARLEX6007</v>
          </cell>
          <cell r="F579">
            <v>100</v>
          </cell>
          <cell r="G579"/>
          <cell r="H579">
            <v>130</v>
          </cell>
        </row>
        <row r="580">
          <cell r="A580">
            <v>453952</v>
          </cell>
          <cell r="B580" t="str">
            <v>BS2019-NA 2LTR HDPE BTL (NATURAL)</v>
          </cell>
          <cell r="C580">
            <v>1</v>
          </cell>
          <cell r="D580" t="str">
            <v>EBM</v>
          </cell>
          <cell r="E580" t="str">
            <v>MARLEX6007</v>
          </cell>
          <cell r="F580">
            <v>121</v>
          </cell>
          <cell r="G580"/>
          <cell r="H580">
            <v>22.6</v>
          </cell>
        </row>
        <row r="581">
          <cell r="A581">
            <v>454248</v>
          </cell>
          <cell r="B581" t="str">
            <v>BS2021-NA 2LTR HDPE BTL (NATURAL)</v>
          </cell>
          <cell r="C581">
            <v>1</v>
          </cell>
          <cell r="D581" t="str">
            <v>EBM</v>
          </cell>
          <cell r="E581" t="str">
            <v>MARLEX6007</v>
          </cell>
          <cell r="F581">
            <v>96</v>
          </cell>
          <cell r="G581"/>
          <cell r="H581">
            <v>31</v>
          </cell>
        </row>
        <row r="582">
          <cell r="A582">
            <v>444555</v>
          </cell>
          <cell r="B582" t="str">
            <v>BS2200-NA 2.2LTR HDPE BTL (NATURAL)</v>
          </cell>
          <cell r="C582">
            <v>1</v>
          </cell>
          <cell r="D582" t="str">
            <v>EBM</v>
          </cell>
          <cell r="E582" t="str">
            <v>MARLEX6007</v>
          </cell>
          <cell r="F582">
            <v>122</v>
          </cell>
          <cell r="G582"/>
          <cell r="H582">
            <v>169.2</v>
          </cell>
        </row>
        <row r="583">
          <cell r="A583">
            <v>324126</v>
          </cell>
          <cell r="B583" t="str">
            <v>BS38-0250-RJ-R-CL</v>
          </cell>
          <cell r="C583">
            <v>4</v>
          </cell>
          <cell r="D583" t="str">
            <v>ISBM</v>
          </cell>
          <cell r="E583" t="str">
            <v>PET</v>
          </cell>
          <cell r="F583">
            <v>22.6</v>
          </cell>
          <cell r="G583"/>
          <cell r="H583">
            <v>31</v>
          </cell>
        </row>
        <row r="584">
          <cell r="A584">
            <v>438507</v>
          </cell>
          <cell r="B584" t="str">
            <v>BW38-0150-Z-Z-CL-CJA</v>
          </cell>
          <cell r="C584">
            <v>4</v>
          </cell>
          <cell r="D584" t="str">
            <v>ISBM</v>
          </cell>
          <cell r="E584" t="str">
            <v>PET</v>
          </cell>
          <cell r="F584">
            <v>31</v>
          </cell>
          <cell r="G584"/>
          <cell r="H584">
            <v>31.25</v>
          </cell>
        </row>
        <row r="585">
          <cell r="A585">
            <v>368717</v>
          </cell>
          <cell r="B585" t="str">
            <v>BW38-0250-K-Q-CL</v>
          </cell>
          <cell r="C585">
            <v>4</v>
          </cell>
          <cell r="D585" t="str">
            <v>ISBM</v>
          </cell>
          <cell r="E585" t="str">
            <v>PET</v>
          </cell>
          <cell r="F585">
            <v>31</v>
          </cell>
          <cell r="G585"/>
          <cell r="H585">
            <v>29.8</v>
          </cell>
        </row>
        <row r="586">
          <cell r="A586">
            <v>369308</v>
          </cell>
          <cell r="B586" t="str">
            <v>BW38-0280-LS-R-RED</v>
          </cell>
          <cell r="C586">
            <v>4</v>
          </cell>
          <cell r="D586" t="str">
            <v>ISBM</v>
          </cell>
          <cell r="E586" t="str">
            <v>PET</v>
          </cell>
          <cell r="F586">
            <v>31</v>
          </cell>
          <cell r="G586"/>
          <cell r="H586">
            <v>31</v>
          </cell>
        </row>
        <row r="587">
          <cell r="A587">
            <v>324684</v>
          </cell>
          <cell r="B587" t="str">
            <v>BW38-0300-K-Q-CL</v>
          </cell>
          <cell r="C587">
            <v>4</v>
          </cell>
          <cell r="D587" t="str">
            <v>ISBM</v>
          </cell>
          <cell r="E587" t="str">
            <v>PET</v>
          </cell>
          <cell r="F587">
            <v>29.8</v>
          </cell>
          <cell r="G587"/>
          <cell r="H587">
            <v>31.3</v>
          </cell>
        </row>
        <row r="588">
          <cell r="A588">
            <v>561718</v>
          </cell>
          <cell r="B588" t="str">
            <v>BW38-0350-SB-R-CL</v>
          </cell>
          <cell r="C588">
            <v>4</v>
          </cell>
          <cell r="D588" t="str">
            <v>ISBM</v>
          </cell>
          <cell r="E588" t="str">
            <v>PET</v>
          </cell>
          <cell r="F588">
            <v>31</v>
          </cell>
          <cell r="G588"/>
          <cell r="H588">
            <v>31.5</v>
          </cell>
        </row>
        <row r="589">
          <cell r="A589">
            <v>324151</v>
          </cell>
          <cell r="B589" t="str">
            <v>BW38-0375-K-Q-CL</v>
          </cell>
          <cell r="C589">
            <v>4</v>
          </cell>
          <cell r="D589" t="str">
            <v>ISBM</v>
          </cell>
          <cell r="E589" t="str">
            <v>PET</v>
          </cell>
          <cell r="F589">
            <v>31.3</v>
          </cell>
          <cell r="G589"/>
          <cell r="H589">
            <v>31.5</v>
          </cell>
        </row>
        <row r="590">
          <cell r="A590">
            <v>324683</v>
          </cell>
          <cell r="B590" t="str">
            <v>BW38-0500-K-Q-CL</v>
          </cell>
          <cell r="C590">
            <v>4</v>
          </cell>
          <cell r="D590" t="str">
            <v>ISBM</v>
          </cell>
          <cell r="E590" t="str">
            <v>PET</v>
          </cell>
          <cell r="F590">
            <v>31.5</v>
          </cell>
          <cell r="G590"/>
          <cell r="H590">
            <v>31.01</v>
          </cell>
        </row>
        <row r="591">
          <cell r="A591">
            <v>324152</v>
          </cell>
          <cell r="B591" t="str">
            <v>BW38-0500-KT-Q-CL</v>
          </cell>
          <cell r="C591">
            <v>4</v>
          </cell>
          <cell r="D591" t="str">
            <v>ISBM</v>
          </cell>
          <cell r="E591" t="str">
            <v>PET</v>
          </cell>
          <cell r="F591">
            <v>31.5</v>
          </cell>
          <cell r="G591"/>
          <cell r="H591">
            <v>29.4</v>
          </cell>
        </row>
        <row r="592">
          <cell r="A592">
            <v>369307</v>
          </cell>
          <cell r="B592" t="str">
            <v>BW38-0500-LS-R-RED</v>
          </cell>
          <cell r="C592">
            <v>4</v>
          </cell>
          <cell r="D592" t="str">
            <v>ISBM</v>
          </cell>
          <cell r="E592" t="str">
            <v>PET</v>
          </cell>
          <cell r="F592">
            <v>32</v>
          </cell>
          <cell r="G592"/>
          <cell r="H592">
            <v>32</v>
          </cell>
        </row>
        <row r="593">
          <cell r="A593">
            <v>329555</v>
          </cell>
          <cell r="B593" t="str">
            <v>BW38-0510-K-Q-CL</v>
          </cell>
          <cell r="C593">
            <v>4</v>
          </cell>
          <cell r="D593" t="str">
            <v>ISBM</v>
          </cell>
          <cell r="E593" t="str">
            <v>PET</v>
          </cell>
          <cell r="F593">
            <v>29.4</v>
          </cell>
          <cell r="G593"/>
          <cell r="H593">
            <v>29.4</v>
          </cell>
        </row>
        <row r="594">
          <cell r="A594">
            <v>322548</v>
          </cell>
          <cell r="B594" t="str">
            <v>BX28-2000-RH-S-CL</v>
          </cell>
          <cell r="C594">
            <v>4</v>
          </cell>
          <cell r="D594" t="str">
            <v>ISBM</v>
          </cell>
          <cell r="E594" t="str">
            <v>PET</v>
          </cell>
          <cell r="F594">
            <v>77</v>
          </cell>
          <cell r="G594"/>
          <cell r="H594">
            <v>15.31</v>
          </cell>
        </row>
        <row r="595">
          <cell r="A595">
            <v>322386</v>
          </cell>
          <cell r="B595" t="str">
            <v>BX38-0075-R-R-AM</v>
          </cell>
          <cell r="C595">
            <v>4</v>
          </cell>
          <cell r="D595" t="str">
            <v>ISBM</v>
          </cell>
          <cell r="E595" t="str">
            <v>PET</v>
          </cell>
          <cell r="F595">
            <v>16</v>
          </cell>
          <cell r="G595"/>
          <cell r="H595">
            <v>16</v>
          </cell>
        </row>
        <row r="596">
          <cell r="A596">
            <v>322385</v>
          </cell>
          <cell r="B596" t="str">
            <v>BX38-0075-R-R-CL</v>
          </cell>
          <cell r="C596">
            <v>4</v>
          </cell>
          <cell r="D596" t="str">
            <v>ISBM</v>
          </cell>
          <cell r="E596" t="str">
            <v>PET</v>
          </cell>
          <cell r="F596">
            <v>16</v>
          </cell>
          <cell r="G596"/>
          <cell r="H596">
            <v>16</v>
          </cell>
        </row>
        <row r="597">
          <cell r="A597">
            <v>322387</v>
          </cell>
          <cell r="B597" t="str">
            <v>BX38-0075-R-R-WH</v>
          </cell>
          <cell r="C597">
            <v>4</v>
          </cell>
          <cell r="D597" t="str">
            <v>ISBM</v>
          </cell>
          <cell r="E597" t="str">
            <v>PET</v>
          </cell>
          <cell r="F597">
            <v>16</v>
          </cell>
          <cell r="G597"/>
          <cell r="H597">
            <v>16</v>
          </cell>
        </row>
        <row r="598">
          <cell r="A598">
            <v>322391</v>
          </cell>
          <cell r="B598" t="str">
            <v>BX38-0100-BM-R-AM</v>
          </cell>
          <cell r="C598">
            <v>4</v>
          </cell>
          <cell r="D598" t="str">
            <v>ISBM</v>
          </cell>
          <cell r="E598" t="str">
            <v>PET</v>
          </cell>
          <cell r="F598">
            <v>20</v>
          </cell>
          <cell r="G598"/>
          <cell r="H598">
            <v>20</v>
          </cell>
        </row>
        <row r="599">
          <cell r="A599">
            <v>322393</v>
          </cell>
          <cell r="B599" t="str">
            <v>BX38-0100-BM-R-BR</v>
          </cell>
          <cell r="C599">
            <v>4</v>
          </cell>
          <cell r="D599" t="str">
            <v>ISBM</v>
          </cell>
          <cell r="E599" t="str">
            <v>PET</v>
          </cell>
          <cell r="F599">
            <v>20</v>
          </cell>
          <cell r="G599"/>
          <cell r="H599">
            <v>20</v>
          </cell>
        </row>
        <row r="600">
          <cell r="A600">
            <v>322392</v>
          </cell>
          <cell r="B600" t="str">
            <v>BX38-0100-BM-R-CL</v>
          </cell>
          <cell r="C600">
            <v>4</v>
          </cell>
          <cell r="D600" t="str">
            <v>ISBM</v>
          </cell>
          <cell r="E600" t="str">
            <v>PET</v>
          </cell>
          <cell r="F600">
            <v>20</v>
          </cell>
          <cell r="G600"/>
          <cell r="H600">
            <v>20</v>
          </cell>
        </row>
        <row r="601">
          <cell r="A601">
            <v>322396</v>
          </cell>
          <cell r="B601" t="str">
            <v>BX38-0100C-B WHITE</v>
          </cell>
          <cell r="C601">
            <v>4</v>
          </cell>
          <cell r="D601" t="str">
            <v>ISBM</v>
          </cell>
          <cell r="E601" t="str">
            <v>PET</v>
          </cell>
          <cell r="F601">
            <v>20</v>
          </cell>
          <cell r="G601"/>
          <cell r="H601">
            <v>20</v>
          </cell>
        </row>
        <row r="602">
          <cell r="A602">
            <v>322394</v>
          </cell>
          <cell r="B602" t="str">
            <v>BX38-0100-C-R-AM</v>
          </cell>
          <cell r="C602">
            <v>4</v>
          </cell>
          <cell r="D602" t="str">
            <v>ISBM</v>
          </cell>
          <cell r="E602" t="str">
            <v>PET</v>
          </cell>
          <cell r="F602">
            <v>20</v>
          </cell>
          <cell r="G602"/>
          <cell r="H602">
            <v>20</v>
          </cell>
        </row>
        <row r="603">
          <cell r="A603">
            <v>324198</v>
          </cell>
          <cell r="B603" t="str">
            <v>BX38-0100-C-R-CL</v>
          </cell>
          <cell r="C603">
            <v>4</v>
          </cell>
          <cell r="D603" t="str">
            <v>ISBM</v>
          </cell>
          <cell r="E603" t="str">
            <v>PET</v>
          </cell>
          <cell r="F603">
            <v>20</v>
          </cell>
          <cell r="G603"/>
          <cell r="H603">
            <v>20</v>
          </cell>
        </row>
        <row r="604">
          <cell r="A604">
            <v>322401</v>
          </cell>
          <cell r="B604" t="str">
            <v>BX38-0100-R-R-CL</v>
          </cell>
          <cell r="C604">
            <v>4</v>
          </cell>
          <cell r="D604" t="str">
            <v>ISBM</v>
          </cell>
          <cell r="E604" t="str">
            <v>PET</v>
          </cell>
          <cell r="F604">
            <v>15.5</v>
          </cell>
          <cell r="G604"/>
          <cell r="H604">
            <v>20.350000000000001</v>
          </cell>
        </row>
        <row r="605">
          <cell r="A605">
            <v>322402</v>
          </cell>
          <cell r="B605" t="str">
            <v>BX38-0100-S-R-WH</v>
          </cell>
          <cell r="C605">
            <v>4</v>
          </cell>
          <cell r="D605" t="str">
            <v>ISBM</v>
          </cell>
          <cell r="E605" t="str">
            <v>PET</v>
          </cell>
          <cell r="F605">
            <v>20.400000000000002</v>
          </cell>
          <cell r="G605"/>
          <cell r="H605">
            <v>20</v>
          </cell>
        </row>
        <row r="606">
          <cell r="A606">
            <v>344585</v>
          </cell>
          <cell r="B606" t="str">
            <v>BX38-0100-S-S-CL</v>
          </cell>
          <cell r="C606">
            <v>4</v>
          </cell>
          <cell r="D606" t="str">
            <v>ISBM</v>
          </cell>
          <cell r="E606" t="str">
            <v>PET</v>
          </cell>
          <cell r="F606">
            <v>20</v>
          </cell>
          <cell r="G606"/>
          <cell r="H606">
            <v>20</v>
          </cell>
        </row>
        <row r="607">
          <cell r="A607">
            <v>324200</v>
          </cell>
          <cell r="B607" t="str">
            <v>BX38-0150-C-R-AM</v>
          </cell>
          <cell r="C607">
            <v>4</v>
          </cell>
          <cell r="D607" t="str">
            <v>ISBM</v>
          </cell>
          <cell r="E607" t="str">
            <v>PET</v>
          </cell>
          <cell r="F607">
            <v>20</v>
          </cell>
          <cell r="G607"/>
          <cell r="H607">
            <v>20</v>
          </cell>
        </row>
        <row r="608">
          <cell r="A608">
            <v>322405</v>
          </cell>
          <cell r="B608" t="str">
            <v>BX38-0150-C-R-CL</v>
          </cell>
          <cell r="C608">
            <v>4</v>
          </cell>
          <cell r="D608" t="str">
            <v>ISBM</v>
          </cell>
          <cell r="E608" t="str">
            <v>PET</v>
          </cell>
          <cell r="F608">
            <v>20</v>
          </cell>
          <cell r="G608"/>
          <cell r="H608">
            <v>20</v>
          </cell>
        </row>
        <row r="609">
          <cell r="A609">
            <v>611949</v>
          </cell>
          <cell r="B609" t="str">
            <v>BX38-0150-R-R-AM</v>
          </cell>
          <cell r="C609">
            <v>4</v>
          </cell>
          <cell r="D609" t="str">
            <v>ISBM</v>
          </cell>
          <cell r="E609" t="str">
            <v>PET</v>
          </cell>
          <cell r="F609">
            <v>20</v>
          </cell>
          <cell r="G609"/>
          <cell r="H609">
            <v>20</v>
          </cell>
        </row>
        <row r="610">
          <cell r="A610">
            <v>324196</v>
          </cell>
          <cell r="B610" t="str">
            <v>BX38-0150-C-R-WH</v>
          </cell>
          <cell r="C610">
            <v>4</v>
          </cell>
          <cell r="D610" t="str">
            <v>ISBM</v>
          </cell>
          <cell r="E610" t="str">
            <v>PET</v>
          </cell>
          <cell r="F610">
            <v>20</v>
          </cell>
          <cell r="G610"/>
          <cell r="H610">
            <v>20</v>
          </cell>
        </row>
        <row r="611">
          <cell r="A611">
            <v>599672</v>
          </cell>
          <cell r="B611" t="str">
            <v>BX38-0175-R-R-AM</v>
          </cell>
          <cell r="C611">
            <v>4</v>
          </cell>
          <cell r="D611" t="str">
            <v>ISBM</v>
          </cell>
          <cell r="E611" t="str">
            <v>PET</v>
          </cell>
          <cell r="F611">
            <v>20</v>
          </cell>
          <cell r="G611"/>
          <cell r="H611">
            <v>20</v>
          </cell>
        </row>
        <row r="612">
          <cell r="A612">
            <v>322414</v>
          </cell>
          <cell r="B612" t="str">
            <v>BX38-0200-S-R-CL</v>
          </cell>
          <cell r="C612">
            <v>4</v>
          </cell>
          <cell r="D612" t="str">
            <v>ISBM</v>
          </cell>
          <cell r="E612" t="str">
            <v>PET</v>
          </cell>
          <cell r="F612">
            <v>20.6</v>
          </cell>
          <cell r="G612"/>
          <cell r="H612">
            <v>23</v>
          </cell>
        </row>
        <row r="613">
          <cell r="A613">
            <v>603551</v>
          </cell>
          <cell r="B613" t="str">
            <v>BX38-0200-R-CL-DM</v>
          </cell>
          <cell r="C613">
            <v>4</v>
          </cell>
          <cell r="D613" t="str">
            <v>ISBM</v>
          </cell>
          <cell r="E613" t="str">
            <v>PET</v>
          </cell>
          <cell r="F613">
            <v>20.6</v>
          </cell>
          <cell r="G613"/>
          <cell r="H613">
            <v>20.6</v>
          </cell>
        </row>
        <row r="614">
          <cell r="A614">
            <v>604853</v>
          </cell>
          <cell r="B614" t="str">
            <v>BX38-0200-R-CL-DM-GOLDEN KIWI-STRAWBERRY</v>
          </cell>
          <cell r="C614">
            <v>1</v>
          </cell>
          <cell r="D614" t="str">
            <v>ISBM</v>
          </cell>
          <cell r="E614" t="str">
            <v>PET</v>
          </cell>
          <cell r="F614">
            <v>20.6</v>
          </cell>
          <cell r="G614"/>
          <cell r="H614">
            <v>20.6</v>
          </cell>
        </row>
        <row r="615">
          <cell r="A615">
            <v>322415</v>
          </cell>
          <cell r="B615" t="str">
            <v>BX38-0225-C-R-AM</v>
          </cell>
          <cell r="C615">
            <v>4</v>
          </cell>
          <cell r="D615" t="str">
            <v>ISBM</v>
          </cell>
          <cell r="E615" t="str">
            <v>PET</v>
          </cell>
          <cell r="F615">
            <v>30.2</v>
          </cell>
          <cell r="G615"/>
          <cell r="H615">
            <v>22.28</v>
          </cell>
        </row>
        <row r="616">
          <cell r="A616">
            <v>322485</v>
          </cell>
          <cell r="B616" t="str">
            <v>BX38-0250-FM-R-CL</v>
          </cell>
          <cell r="C616">
            <v>4</v>
          </cell>
          <cell r="D616" t="str">
            <v>ISBM</v>
          </cell>
          <cell r="E616" t="str">
            <v>PET</v>
          </cell>
          <cell r="F616">
            <v>23</v>
          </cell>
          <cell r="G616"/>
          <cell r="H616">
            <v>29</v>
          </cell>
        </row>
        <row r="617">
          <cell r="A617">
            <v>323015</v>
          </cell>
          <cell r="B617" t="str">
            <v>BX38-0250-FS-R-CL</v>
          </cell>
          <cell r="C617">
            <v>4</v>
          </cell>
          <cell r="D617" t="str">
            <v>ISBM</v>
          </cell>
          <cell r="E617" t="str">
            <v>PET</v>
          </cell>
          <cell r="F617">
            <v>22.5</v>
          </cell>
          <cell r="G617"/>
          <cell r="H617">
            <v>23</v>
          </cell>
        </row>
        <row r="618">
          <cell r="A618">
            <v>400860</v>
          </cell>
          <cell r="B618" t="str">
            <v>BX38-0250-RJ-R-CL-HW</v>
          </cell>
          <cell r="C618">
            <v>4</v>
          </cell>
          <cell r="D618" t="str">
            <v>ISBM</v>
          </cell>
          <cell r="E618" t="str">
            <v>PET</v>
          </cell>
          <cell r="F618">
            <v>29</v>
          </cell>
          <cell r="G618"/>
          <cell r="H618">
            <v>29.27</v>
          </cell>
        </row>
        <row r="619">
          <cell r="A619">
            <v>324215</v>
          </cell>
          <cell r="B619" t="str">
            <v>BX38-0250-RJ-R-CL-LW</v>
          </cell>
          <cell r="C619">
            <v>4</v>
          </cell>
          <cell r="D619" t="str">
            <v>ISBM</v>
          </cell>
          <cell r="E619" t="str">
            <v>PET</v>
          </cell>
          <cell r="F619">
            <v>23</v>
          </cell>
          <cell r="G619"/>
          <cell r="H619">
            <v>23</v>
          </cell>
        </row>
        <row r="620">
          <cell r="A620">
            <v>324214</v>
          </cell>
          <cell r="B620" t="str">
            <v>BX38-0250-RM-R-CL</v>
          </cell>
          <cell r="C620">
            <v>4</v>
          </cell>
          <cell r="D620" t="str">
            <v>ISBM</v>
          </cell>
          <cell r="E620" t="str">
            <v>PET</v>
          </cell>
          <cell r="F620">
            <v>27</v>
          </cell>
          <cell r="G620"/>
          <cell r="H620">
            <v>29</v>
          </cell>
        </row>
        <row r="621">
          <cell r="A621">
            <v>397405</v>
          </cell>
          <cell r="B621" t="str">
            <v>BX38-0250-R-R-CL-HW</v>
          </cell>
          <cell r="C621">
            <v>4</v>
          </cell>
          <cell r="D621" t="str">
            <v>ISBM</v>
          </cell>
          <cell r="E621" t="str">
            <v>PET</v>
          </cell>
          <cell r="F621">
            <v>29</v>
          </cell>
          <cell r="G621"/>
          <cell r="H621">
            <v>29</v>
          </cell>
        </row>
        <row r="622">
          <cell r="A622">
            <v>328482</v>
          </cell>
          <cell r="B622" t="str">
            <v>BX38-0250-R-R-CL-LW</v>
          </cell>
          <cell r="C622">
            <v>4</v>
          </cell>
          <cell r="D622" t="str">
            <v>ISBM</v>
          </cell>
          <cell r="E622" t="str">
            <v>PET</v>
          </cell>
          <cell r="F622">
            <v>23</v>
          </cell>
          <cell r="G622"/>
          <cell r="H622">
            <v>23</v>
          </cell>
        </row>
        <row r="623">
          <cell r="A623">
            <v>322492</v>
          </cell>
          <cell r="B623" t="str">
            <v>BX38-0250-SM-R-CL</v>
          </cell>
          <cell r="C623">
            <v>4</v>
          </cell>
          <cell r="D623" t="str">
            <v>ISBM</v>
          </cell>
          <cell r="E623" t="str">
            <v>PET</v>
          </cell>
          <cell r="F623">
            <v>23</v>
          </cell>
          <cell r="G623"/>
          <cell r="H623">
            <v>23</v>
          </cell>
        </row>
        <row r="624">
          <cell r="A624">
            <v>597507</v>
          </cell>
          <cell r="B624" t="str">
            <v>BX38-0250-SM-R-WH</v>
          </cell>
          <cell r="C624">
            <v>4</v>
          </cell>
          <cell r="D624" t="str">
            <v>ISBM</v>
          </cell>
          <cell r="E624" t="str">
            <v>PET</v>
          </cell>
          <cell r="F624">
            <v>23</v>
          </cell>
          <cell r="G624"/>
          <cell r="H624">
            <v>23</v>
          </cell>
        </row>
        <row r="625">
          <cell r="A625">
            <v>597508</v>
          </cell>
          <cell r="B625" t="str">
            <v>BX38-0250-SM-R-WH-ORI (ASEM)</v>
          </cell>
          <cell r="C625">
            <v>1</v>
          </cell>
          <cell r="D625" t="str">
            <v>ISBM</v>
          </cell>
          <cell r="E625" t="str">
            <v>PET</v>
          </cell>
          <cell r="F625">
            <v>23</v>
          </cell>
          <cell r="G625"/>
          <cell r="H625">
            <v>23</v>
          </cell>
        </row>
        <row r="626">
          <cell r="A626">
            <v>597676</v>
          </cell>
          <cell r="B626" t="str">
            <v>BX38-0250-SM-R-WH  STW BERRY(ASEM)</v>
          </cell>
          <cell r="C626">
            <v>1</v>
          </cell>
          <cell r="D626" t="str">
            <v>ISBM</v>
          </cell>
          <cell r="E626" t="str">
            <v>PET</v>
          </cell>
          <cell r="F626">
            <v>23</v>
          </cell>
          <cell r="G626"/>
          <cell r="H626">
            <v>23</v>
          </cell>
        </row>
        <row r="627">
          <cell r="A627">
            <v>597675</v>
          </cell>
          <cell r="B627" t="str">
            <v>BX38-0250-SM-R-WH  MIX BERRY(ASEM)</v>
          </cell>
          <cell r="C627">
            <v>1</v>
          </cell>
          <cell r="D627" t="str">
            <v>ISBM</v>
          </cell>
          <cell r="E627" t="str">
            <v>PET</v>
          </cell>
          <cell r="F627">
            <v>23</v>
          </cell>
          <cell r="G627"/>
          <cell r="H627">
            <v>23</v>
          </cell>
        </row>
        <row r="628">
          <cell r="A628">
            <v>597674</v>
          </cell>
          <cell r="B628" t="str">
            <v>BX38-0250-SM-R-WH MANGO (ASEM)</v>
          </cell>
          <cell r="C628">
            <v>1</v>
          </cell>
          <cell r="D628" t="str">
            <v>ISBM</v>
          </cell>
          <cell r="E628" t="str">
            <v>PET</v>
          </cell>
          <cell r="F628">
            <v>23</v>
          </cell>
          <cell r="G628"/>
          <cell r="H628">
            <v>23</v>
          </cell>
        </row>
        <row r="629">
          <cell r="A629">
            <v>657982</v>
          </cell>
          <cell r="B629" t="str">
            <v>BX38-0250-SM-R-WH-AYRAN (ASEM)</v>
          </cell>
          <cell r="C629">
            <v>1</v>
          </cell>
          <cell r="D629" t="str">
            <v>ISBM</v>
          </cell>
          <cell r="E629" t="str">
            <v>PET</v>
          </cell>
          <cell r="F629">
            <v>23</v>
          </cell>
          <cell r="G629"/>
          <cell r="H629">
            <v>23</v>
          </cell>
        </row>
        <row r="630">
          <cell r="A630">
            <v>658124</v>
          </cell>
          <cell r="B630" t="str">
            <v>BX38-0250-SM-R-WH-MIXBERRY V2 (ASEM)</v>
          </cell>
          <cell r="C630">
            <v>1</v>
          </cell>
          <cell r="D630" t="str">
            <v>ISBM</v>
          </cell>
          <cell r="E630" t="str">
            <v>PET</v>
          </cell>
          <cell r="F630">
            <v>23</v>
          </cell>
          <cell r="G630"/>
          <cell r="H630">
            <v>23</v>
          </cell>
        </row>
        <row r="631">
          <cell r="A631">
            <v>658159</v>
          </cell>
          <cell r="B631" t="str">
            <v>BX38-0250-SM-R-WH-MANGO V2 (ASEM)</v>
          </cell>
          <cell r="C631">
            <v>1</v>
          </cell>
          <cell r="D631" t="str">
            <v>ISBM</v>
          </cell>
          <cell r="E631" t="str">
            <v>PET</v>
          </cell>
          <cell r="F631">
            <v>23</v>
          </cell>
          <cell r="G631"/>
          <cell r="H631">
            <v>23</v>
          </cell>
        </row>
        <row r="632">
          <cell r="A632">
            <v>658161</v>
          </cell>
          <cell r="B632" t="str">
            <v>BX38-0250-SM-R-WH-STWBERRY V2 (ASEM)</v>
          </cell>
          <cell r="C632">
            <v>1</v>
          </cell>
          <cell r="D632" t="str">
            <v>ISBM</v>
          </cell>
          <cell r="E632" t="str">
            <v>PET</v>
          </cell>
          <cell r="F632">
            <v>23</v>
          </cell>
          <cell r="G632"/>
          <cell r="H632">
            <v>23</v>
          </cell>
        </row>
        <row r="633">
          <cell r="A633">
            <v>324203</v>
          </cell>
          <cell r="B633" t="str">
            <v>BX38-0300-C-R-AM</v>
          </cell>
          <cell r="C633">
            <v>4</v>
          </cell>
          <cell r="D633" t="str">
            <v>ISBM</v>
          </cell>
          <cell r="E633" t="str">
            <v>PET</v>
          </cell>
          <cell r="F633">
            <v>36</v>
          </cell>
          <cell r="G633"/>
          <cell r="H633">
            <v>29.1</v>
          </cell>
        </row>
        <row r="634">
          <cell r="A634">
            <v>322427</v>
          </cell>
          <cell r="B634" t="str">
            <v>BX38-0300-C-R-CL</v>
          </cell>
          <cell r="C634">
            <v>4</v>
          </cell>
          <cell r="D634" t="str">
            <v>ISBM</v>
          </cell>
          <cell r="E634" t="str">
            <v>PET</v>
          </cell>
          <cell r="F634">
            <v>29</v>
          </cell>
          <cell r="G634"/>
          <cell r="H634">
            <v>29</v>
          </cell>
        </row>
        <row r="635">
          <cell r="A635">
            <v>490532</v>
          </cell>
          <cell r="B635" t="str">
            <v>BX38-0300-R-R-CL</v>
          </cell>
          <cell r="C635">
            <v>4</v>
          </cell>
          <cell r="D635" t="str">
            <v>ISBM</v>
          </cell>
          <cell r="E635" t="str">
            <v>PET</v>
          </cell>
          <cell r="F635">
            <v>29</v>
          </cell>
          <cell r="G635"/>
          <cell r="H635">
            <v>29</v>
          </cell>
        </row>
        <row r="636">
          <cell r="A636">
            <v>372120</v>
          </cell>
          <cell r="B636" t="str">
            <v>BX38-0320-KR-R-CL</v>
          </cell>
          <cell r="C636">
            <v>4</v>
          </cell>
          <cell r="D636" t="str">
            <v>ISBM</v>
          </cell>
          <cell r="E636" t="str">
            <v>PET</v>
          </cell>
          <cell r="F636">
            <v>29</v>
          </cell>
          <cell r="G636"/>
          <cell r="H636">
            <v>29</v>
          </cell>
        </row>
        <row r="637">
          <cell r="A637">
            <v>409780</v>
          </cell>
          <cell r="B637" t="str">
            <v>BX38-0330-LJ-R-CL</v>
          </cell>
          <cell r="C637">
            <v>4</v>
          </cell>
          <cell r="D637" t="str">
            <v>ISBM</v>
          </cell>
          <cell r="E637" t="str">
            <v>PET</v>
          </cell>
          <cell r="F637">
            <v>29</v>
          </cell>
          <cell r="G637"/>
          <cell r="H637">
            <v>29</v>
          </cell>
        </row>
        <row r="638">
          <cell r="A638">
            <v>410764</v>
          </cell>
          <cell r="B638" t="str">
            <v>BX38-0330-R-CL-MTB</v>
          </cell>
          <cell r="C638">
            <v>4</v>
          </cell>
          <cell r="D638" t="str">
            <v>ISBM</v>
          </cell>
          <cell r="E638" t="str">
            <v>PET</v>
          </cell>
          <cell r="F638">
            <v>29</v>
          </cell>
          <cell r="G638"/>
          <cell r="H638">
            <v>48</v>
          </cell>
        </row>
        <row r="639">
          <cell r="A639">
            <v>428484</v>
          </cell>
          <cell r="B639" t="str">
            <v>BX38-0330-RJ2-R-CL</v>
          </cell>
          <cell r="C639">
            <v>4</v>
          </cell>
          <cell r="D639" t="str">
            <v>ISBM</v>
          </cell>
          <cell r="E639" t="str">
            <v>PET</v>
          </cell>
          <cell r="F639">
            <v>29</v>
          </cell>
          <cell r="G639"/>
          <cell r="H639">
            <v>29</v>
          </cell>
        </row>
        <row r="640">
          <cell r="A640">
            <v>554979</v>
          </cell>
          <cell r="B640" t="str">
            <v>BX38-0330-Z-C-CL</v>
          </cell>
          <cell r="C640">
            <v>4</v>
          </cell>
          <cell r="D640" t="str">
            <v>ISBM</v>
          </cell>
          <cell r="E640" t="str">
            <v>PET</v>
          </cell>
          <cell r="F640">
            <v>29</v>
          </cell>
          <cell r="G640"/>
          <cell r="H640">
            <v>23</v>
          </cell>
        </row>
        <row r="641">
          <cell r="A641">
            <v>426555</v>
          </cell>
          <cell r="B641" t="str">
            <v>BX38-0330-Z-S-CL-HW</v>
          </cell>
          <cell r="C641">
            <v>4</v>
          </cell>
          <cell r="D641" t="str">
            <v>ISBM</v>
          </cell>
          <cell r="E641" t="str">
            <v>PET</v>
          </cell>
          <cell r="F641">
            <v>29</v>
          </cell>
          <cell r="G641"/>
          <cell r="H641">
            <v>29</v>
          </cell>
        </row>
        <row r="642">
          <cell r="A642">
            <v>457837</v>
          </cell>
          <cell r="B642" t="str">
            <v>BX38-0330-Z-S-CL-LW</v>
          </cell>
          <cell r="C642">
            <v>4</v>
          </cell>
          <cell r="D642" t="str">
            <v>ISBM</v>
          </cell>
          <cell r="E642" t="str">
            <v>PET</v>
          </cell>
          <cell r="F642">
            <v>23</v>
          </cell>
          <cell r="G642"/>
          <cell r="H642">
            <v>29</v>
          </cell>
        </row>
        <row r="643">
          <cell r="A643">
            <v>561158</v>
          </cell>
          <cell r="B643" t="str">
            <v>BX38-0330-Z-S-WH-LW</v>
          </cell>
          <cell r="C643">
            <v>4</v>
          </cell>
          <cell r="D643" t="str">
            <v>ISBM</v>
          </cell>
          <cell r="E643" t="str">
            <v>PET</v>
          </cell>
          <cell r="F643">
            <v>23</v>
          </cell>
          <cell r="G643"/>
          <cell r="H643">
            <v>29</v>
          </cell>
        </row>
        <row r="644">
          <cell r="A644">
            <v>449365</v>
          </cell>
          <cell r="B644" t="str">
            <v>BX38-0350-RJ-R-CL</v>
          </cell>
          <cell r="C644">
            <v>4</v>
          </cell>
          <cell r="D644" t="str">
            <v>ISBM</v>
          </cell>
          <cell r="E644" t="str">
            <v>PET</v>
          </cell>
          <cell r="F644">
            <v>29</v>
          </cell>
          <cell r="G644"/>
          <cell r="H644">
            <v>29</v>
          </cell>
        </row>
        <row r="645">
          <cell r="A645">
            <v>504928</v>
          </cell>
          <cell r="B645" t="str">
            <v>BX38-0350-R-R-CL</v>
          </cell>
          <cell r="C645">
            <v>4</v>
          </cell>
          <cell r="D645" t="str">
            <v>ISBM</v>
          </cell>
          <cell r="E645" t="str">
            <v>PET</v>
          </cell>
          <cell r="F645">
            <v>29</v>
          </cell>
          <cell r="G645"/>
          <cell r="H645">
            <v>29</v>
          </cell>
        </row>
        <row r="646">
          <cell r="A646">
            <v>322437</v>
          </cell>
          <cell r="B646" t="str">
            <v>BX38-0350-SB-R-CL</v>
          </cell>
          <cell r="C646">
            <v>4</v>
          </cell>
          <cell r="D646" t="str">
            <v>ISBM</v>
          </cell>
          <cell r="E646" t="str">
            <v>PET</v>
          </cell>
          <cell r="F646">
            <v>28</v>
          </cell>
          <cell r="G646"/>
          <cell r="H646">
            <v>29</v>
          </cell>
        </row>
        <row r="647">
          <cell r="A647">
            <v>451191</v>
          </cell>
          <cell r="B647" t="str">
            <v>BX38-0350-Z-C-CL</v>
          </cell>
          <cell r="C647">
            <v>4</v>
          </cell>
          <cell r="D647" t="str">
            <v>ISBM</v>
          </cell>
          <cell r="E647" t="str">
            <v>PET</v>
          </cell>
          <cell r="F647">
            <v>29</v>
          </cell>
          <cell r="G647"/>
          <cell r="H647">
            <v>29</v>
          </cell>
        </row>
        <row r="648">
          <cell r="A648">
            <v>449885</v>
          </cell>
          <cell r="B648" t="str">
            <v>BX38-0350-Z-R-CL-J3</v>
          </cell>
          <cell r="C648">
            <v>4</v>
          </cell>
          <cell r="D648" t="str">
            <v>ISBM</v>
          </cell>
          <cell r="E648" t="str">
            <v>PET</v>
          </cell>
          <cell r="F648">
            <v>29</v>
          </cell>
          <cell r="G648"/>
          <cell r="H648">
            <v>24</v>
          </cell>
        </row>
        <row r="649">
          <cell r="A649">
            <v>436445</v>
          </cell>
          <cell r="B649" t="str">
            <v>BX38-0375-S-R-CL-HW</v>
          </cell>
          <cell r="C649">
            <v>4</v>
          </cell>
          <cell r="D649" t="str">
            <v>ISBM</v>
          </cell>
          <cell r="E649" t="str">
            <v>PET</v>
          </cell>
          <cell r="F649">
            <v>29</v>
          </cell>
          <cell r="G649"/>
          <cell r="H649">
            <v>29.22</v>
          </cell>
        </row>
        <row r="650">
          <cell r="A650">
            <v>322502</v>
          </cell>
          <cell r="B650" t="str">
            <v>BX38-0375-S-R-CL-LW</v>
          </cell>
          <cell r="C650">
            <v>4</v>
          </cell>
          <cell r="D650" t="str">
            <v>ISBM</v>
          </cell>
          <cell r="E650" t="str">
            <v>PET</v>
          </cell>
          <cell r="F650">
            <v>24</v>
          </cell>
          <cell r="G650"/>
          <cell r="H650">
            <v>48</v>
          </cell>
        </row>
        <row r="651">
          <cell r="A651">
            <v>336009</v>
          </cell>
          <cell r="B651" t="str">
            <v>BX38-0500-RC-R-CL</v>
          </cell>
          <cell r="C651">
            <v>4</v>
          </cell>
          <cell r="D651" t="str">
            <v>ISBM</v>
          </cell>
          <cell r="E651" t="str">
            <v>PET</v>
          </cell>
          <cell r="F651">
            <v>27</v>
          </cell>
          <cell r="G651"/>
          <cell r="H651">
            <v>29</v>
          </cell>
        </row>
        <row r="652">
          <cell r="A652">
            <v>427379</v>
          </cell>
          <cell r="B652" t="str">
            <v>BX38-0500-S1-S-CL</v>
          </cell>
          <cell r="C652">
            <v>4</v>
          </cell>
          <cell r="D652" t="str">
            <v>ISBM</v>
          </cell>
          <cell r="E652" t="str">
            <v>PET</v>
          </cell>
          <cell r="F652">
            <v>29</v>
          </cell>
          <cell r="G652"/>
          <cell r="H652">
            <v>55</v>
          </cell>
        </row>
        <row r="653">
          <cell r="A653">
            <v>404639</v>
          </cell>
          <cell r="B653" t="str">
            <v>BX38-0500-S-S-CL-HW</v>
          </cell>
          <cell r="C653">
            <v>4</v>
          </cell>
          <cell r="D653" t="str">
            <v>ISBM</v>
          </cell>
          <cell r="E653" t="str">
            <v>PET</v>
          </cell>
          <cell r="F653">
            <v>49</v>
          </cell>
          <cell r="G653"/>
          <cell r="H653">
            <v>49</v>
          </cell>
        </row>
        <row r="654">
          <cell r="A654">
            <v>402305</v>
          </cell>
          <cell r="B654" t="str">
            <v>BX38-0500-S-S-CL-LW</v>
          </cell>
          <cell r="C654">
            <v>4</v>
          </cell>
          <cell r="D654" t="str">
            <v>ISBM</v>
          </cell>
          <cell r="E654" t="str">
            <v>PET</v>
          </cell>
          <cell r="F654">
            <v>29</v>
          </cell>
          <cell r="G654"/>
          <cell r="H654">
            <v>29</v>
          </cell>
        </row>
        <row r="655">
          <cell r="A655">
            <v>549409</v>
          </cell>
          <cell r="B655" t="str">
            <v>BX38-0500-S-S-WH-HW</v>
          </cell>
          <cell r="C655">
            <v>4</v>
          </cell>
          <cell r="D655" t="str">
            <v>ISBM</v>
          </cell>
          <cell r="E655" t="str">
            <v>PET</v>
          </cell>
          <cell r="F655">
            <v>32</v>
          </cell>
          <cell r="G655"/>
          <cell r="H655">
            <v>32</v>
          </cell>
        </row>
        <row r="656">
          <cell r="A656">
            <v>336372</v>
          </cell>
          <cell r="B656" t="str">
            <v>BX38-0640-R-R-CL</v>
          </cell>
          <cell r="C656">
            <v>4</v>
          </cell>
          <cell r="D656" t="str">
            <v>ISBM</v>
          </cell>
          <cell r="E656" t="str">
            <v>PET</v>
          </cell>
          <cell r="F656">
            <v>29.2</v>
          </cell>
          <cell r="G656"/>
          <cell r="H656">
            <v>48.5</v>
          </cell>
        </row>
        <row r="657">
          <cell r="A657">
            <v>323071</v>
          </cell>
          <cell r="B657" t="str">
            <v>BX38-0750-H-R-CL(WHITE) (ASEM)</v>
          </cell>
          <cell r="C657">
            <v>4</v>
          </cell>
          <cell r="D657" t="str">
            <v>ISBM</v>
          </cell>
          <cell r="E657" t="str">
            <v>PET</v>
          </cell>
          <cell r="F657">
            <v>45.8</v>
          </cell>
          <cell r="G657"/>
          <cell r="H657">
            <v>45.8</v>
          </cell>
        </row>
        <row r="658">
          <cell r="A658">
            <v>589412</v>
          </cell>
          <cell r="B658" t="str">
            <v xml:space="preserve">BX38-0750-RJ-R-CL </v>
          </cell>
          <cell r="C658">
            <v>4</v>
          </cell>
          <cell r="D658" t="str">
            <v>ISBM</v>
          </cell>
          <cell r="E658" t="str">
            <v>PET</v>
          </cell>
          <cell r="F658">
            <v>48.39</v>
          </cell>
          <cell r="G658"/>
          <cell r="H658">
            <v>48.39</v>
          </cell>
        </row>
        <row r="659">
          <cell r="A659">
            <v>626029</v>
          </cell>
          <cell r="B659" t="str">
            <v xml:space="preserve">BX38-0750-R-WH </v>
          </cell>
          <cell r="C659">
            <v>4</v>
          </cell>
          <cell r="D659" t="str">
            <v>ISBM</v>
          </cell>
          <cell r="E659" t="str">
            <v>PET</v>
          </cell>
          <cell r="F659">
            <v>48.39</v>
          </cell>
          <cell r="G659"/>
          <cell r="H659">
            <v>48.39</v>
          </cell>
        </row>
        <row r="660">
          <cell r="A660">
            <v>652202</v>
          </cell>
          <cell r="B660" t="str">
            <v>BX38-0750-R-WH -STRAW BERRY(ASEM)</v>
          </cell>
          <cell r="C660">
            <v>1</v>
          </cell>
          <cell r="D660" t="str">
            <v>ISBM</v>
          </cell>
          <cell r="E660" t="str">
            <v>PET</v>
          </cell>
          <cell r="F660">
            <v>48.39</v>
          </cell>
          <cell r="G660"/>
          <cell r="H660">
            <v>48.39</v>
          </cell>
        </row>
        <row r="661">
          <cell r="A661">
            <v>652203</v>
          </cell>
          <cell r="B661" t="str">
            <v>BX38-0750-R-WH -MIX BERRY(ASEM)</v>
          </cell>
          <cell r="C661">
            <v>1</v>
          </cell>
          <cell r="D661" t="str">
            <v>ISBM</v>
          </cell>
          <cell r="E661" t="str">
            <v>PET</v>
          </cell>
          <cell r="F661">
            <v>48.39</v>
          </cell>
          <cell r="G661"/>
          <cell r="H661">
            <v>48.39</v>
          </cell>
        </row>
        <row r="662">
          <cell r="A662">
            <v>652204</v>
          </cell>
          <cell r="B662" t="str">
            <v>BX38-0750-R-WH -MANGO(ASEM)</v>
          </cell>
          <cell r="C662">
            <v>1</v>
          </cell>
          <cell r="D662" t="str">
            <v>ISBM</v>
          </cell>
          <cell r="E662" t="str">
            <v>PET</v>
          </cell>
          <cell r="F662">
            <v>48.39</v>
          </cell>
          <cell r="G662"/>
          <cell r="H662">
            <v>48.39</v>
          </cell>
        </row>
        <row r="663">
          <cell r="A663">
            <v>437808</v>
          </cell>
          <cell r="B663" t="str">
            <v>BX38-0850-GH-R-CL HW</v>
          </cell>
          <cell r="C663">
            <v>4</v>
          </cell>
          <cell r="D663" t="str">
            <v>ISBM</v>
          </cell>
          <cell r="E663" t="str">
            <v>PET</v>
          </cell>
          <cell r="F663">
            <v>55</v>
          </cell>
          <cell r="G663"/>
          <cell r="H663">
            <v>55</v>
          </cell>
        </row>
        <row r="664">
          <cell r="A664">
            <v>341231</v>
          </cell>
          <cell r="B664" t="str">
            <v>BX38-0850-GH-R-CL-LW</v>
          </cell>
          <cell r="C664">
            <v>4</v>
          </cell>
          <cell r="D664" t="str">
            <v>ISBM</v>
          </cell>
          <cell r="E664" t="str">
            <v>PET</v>
          </cell>
          <cell r="F664">
            <v>48</v>
          </cell>
          <cell r="G664"/>
          <cell r="H664">
            <v>48.3</v>
          </cell>
        </row>
        <row r="665">
          <cell r="A665">
            <v>324261</v>
          </cell>
          <cell r="B665" t="str">
            <v>BX38-1000-CN-R-CL</v>
          </cell>
          <cell r="C665">
            <v>4</v>
          </cell>
          <cell r="D665" t="str">
            <v>ISBM</v>
          </cell>
          <cell r="E665" t="str">
            <v>PET</v>
          </cell>
          <cell r="F665">
            <v>49</v>
          </cell>
          <cell r="G665"/>
          <cell r="H665">
            <v>49</v>
          </cell>
        </row>
        <row r="666">
          <cell r="A666">
            <v>393922</v>
          </cell>
          <cell r="B666" t="str">
            <v>BX38-1000-C-R-CL-HW</v>
          </cell>
          <cell r="C666">
            <v>4</v>
          </cell>
          <cell r="D666" t="str">
            <v>ISBM</v>
          </cell>
          <cell r="E666" t="str">
            <v>PET</v>
          </cell>
          <cell r="F666">
            <v>55</v>
          </cell>
          <cell r="G666"/>
          <cell r="H666">
            <v>55</v>
          </cell>
        </row>
        <row r="667">
          <cell r="A667">
            <v>324210</v>
          </cell>
          <cell r="B667" t="str">
            <v>BX38-1000-C-R-CL-LW</v>
          </cell>
          <cell r="C667">
            <v>4</v>
          </cell>
          <cell r="D667" t="str">
            <v>ISBM</v>
          </cell>
          <cell r="E667" t="str">
            <v>PET</v>
          </cell>
          <cell r="F667">
            <v>48.3</v>
          </cell>
          <cell r="G667"/>
          <cell r="H667">
            <v>48.4</v>
          </cell>
        </row>
        <row r="668">
          <cell r="A668">
            <v>324208</v>
          </cell>
          <cell r="B668" t="str">
            <v>BX38-1000-C-R-WH</v>
          </cell>
          <cell r="C668">
            <v>4</v>
          </cell>
          <cell r="D668" t="str">
            <v>ISBM</v>
          </cell>
          <cell r="E668" t="str">
            <v>PET</v>
          </cell>
          <cell r="F668">
            <v>58.9</v>
          </cell>
          <cell r="G668"/>
          <cell r="H668">
            <v>58.9</v>
          </cell>
        </row>
        <row r="669">
          <cell r="A669">
            <v>322556</v>
          </cell>
          <cell r="B669" t="str">
            <v>BX38-1000-GH-R-CL</v>
          </cell>
          <cell r="C669">
            <v>4</v>
          </cell>
          <cell r="D669" t="str">
            <v>ISBM</v>
          </cell>
          <cell r="E669" t="str">
            <v>PET</v>
          </cell>
          <cell r="F669">
            <v>48.9</v>
          </cell>
          <cell r="G669"/>
          <cell r="H669">
            <v>48.5</v>
          </cell>
        </row>
        <row r="670">
          <cell r="A670">
            <v>323092</v>
          </cell>
          <cell r="B670" t="str">
            <v>BX38-1000-GH-R-CL(GREEN) (ASEM)</v>
          </cell>
          <cell r="C670">
            <v>4</v>
          </cell>
          <cell r="D670" t="str">
            <v>ISBM</v>
          </cell>
          <cell r="E670" t="str">
            <v>PET</v>
          </cell>
          <cell r="F670">
            <v>48.9</v>
          </cell>
          <cell r="G670"/>
          <cell r="H670">
            <v>48.9</v>
          </cell>
        </row>
        <row r="671">
          <cell r="A671">
            <v>324206</v>
          </cell>
          <cell r="B671" t="str">
            <v>BX38-1000-HC-S-CL</v>
          </cell>
          <cell r="C671">
            <v>4</v>
          </cell>
          <cell r="D671" t="str">
            <v>ISBM</v>
          </cell>
          <cell r="E671" t="str">
            <v>PET</v>
          </cell>
          <cell r="F671">
            <v>48</v>
          </cell>
          <cell r="G671"/>
          <cell r="H671">
            <v>49</v>
          </cell>
        </row>
        <row r="672">
          <cell r="A672">
            <v>347521</v>
          </cell>
          <cell r="B672" t="str">
            <v>BX38-1000-H-R-CL</v>
          </cell>
          <cell r="C672">
            <v>4</v>
          </cell>
          <cell r="D672" t="str">
            <v>ISBM</v>
          </cell>
          <cell r="E672" t="str">
            <v>PET</v>
          </cell>
          <cell r="F672">
            <v>48.2</v>
          </cell>
          <cell r="G672"/>
          <cell r="H672">
            <v>48.2</v>
          </cell>
        </row>
        <row r="673">
          <cell r="A673">
            <v>347542</v>
          </cell>
          <cell r="B673" t="str">
            <v>BX38-1000-H-R-CL(YELLOW) ASEM</v>
          </cell>
          <cell r="C673">
            <v>4</v>
          </cell>
          <cell r="D673" t="str">
            <v>ISBM</v>
          </cell>
          <cell r="E673" t="str">
            <v>PET</v>
          </cell>
          <cell r="F673">
            <v>49.2</v>
          </cell>
          <cell r="G673"/>
          <cell r="H673">
            <v>49.2</v>
          </cell>
        </row>
        <row r="674">
          <cell r="A674">
            <v>331676</v>
          </cell>
          <cell r="B674" t="str">
            <v>BX38-1000-N-R-CL</v>
          </cell>
          <cell r="C674">
            <v>4</v>
          </cell>
          <cell r="D674" t="str">
            <v>ISBM</v>
          </cell>
          <cell r="E674" t="str">
            <v>PET</v>
          </cell>
          <cell r="F674">
            <v>56</v>
          </cell>
          <cell r="G674"/>
          <cell r="H674">
            <v>58</v>
          </cell>
        </row>
        <row r="675">
          <cell r="A675">
            <v>323009</v>
          </cell>
          <cell r="B675" t="str">
            <v>BX38-1000-RH-R-CL</v>
          </cell>
          <cell r="C675">
            <v>4</v>
          </cell>
          <cell r="D675" t="str">
            <v>ISBM</v>
          </cell>
          <cell r="E675" t="str">
            <v>PET</v>
          </cell>
          <cell r="F675">
            <v>45</v>
          </cell>
          <cell r="G675"/>
          <cell r="H675">
            <v>56.5</v>
          </cell>
        </row>
        <row r="676">
          <cell r="A676">
            <v>398922</v>
          </cell>
          <cell r="B676" t="str">
            <v>BX38-1000-RH-R-CL (YELLOW) (ASEM)</v>
          </cell>
          <cell r="C676">
            <v>4</v>
          </cell>
          <cell r="D676" t="str">
            <v>ISBM</v>
          </cell>
          <cell r="E676" t="str">
            <v>PET</v>
          </cell>
          <cell r="F676">
            <v>46</v>
          </cell>
          <cell r="G676"/>
          <cell r="H676">
            <v>48.71</v>
          </cell>
        </row>
        <row r="677">
          <cell r="A677">
            <v>323091</v>
          </cell>
          <cell r="B677" t="str">
            <v>BX38-1000-RH-R-CL(GREEN) (ASEM)</v>
          </cell>
          <cell r="C677">
            <v>4</v>
          </cell>
          <cell r="D677" t="str">
            <v>ISBM</v>
          </cell>
          <cell r="E677" t="str">
            <v>PET</v>
          </cell>
          <cell r="F677">
            <v>48.71</v>
          </cell>
          <cell r="G677"/>
          <cell r="H677">
            <v>48.71</v>
          </cell>
        </row>
        <row r="678">
          <cell r="A678">
            <v>410269</v>
          </cell>
          <cell r="B678" t="str">
            <v>BX38-1000-RH-R-CL-WHT-ASEM</v>
          </cell>
          <cell r="C678">
            <v>4</v>
          </cell>
          <cell r="D678" t="str">
            <v>ISBM</v>
          </cell>
          <cell r="E678" t="str">
            <v>PET</v>
          </cell>
          <cell r="F678">
            <v>48.5</v>
          </cell>
          <cell r="G678"/>
          <cell r="H678">
            <v>49</v>
          </cell>
        </row>
        <row r="679">
          <cell r="A679">
            <v>329228</v>
          </cell>
          <cell r="B679" t="str">
            <v>BX38-1000-RM-R-CL</v>
          </cell>
          <cell r="C679">
            <v>4</v>
          </cell>
          <cell r="D679" t="str">
            <v>ISBM</v>
          </cell>
          <cell r="E679" t="str">
            <v>PET</v>
          </cell>
          <cell r="F679">
            <v>56.4</v>
          </cell>
          <cell r="G679"/>
          <cell r="H679">
            <v>56.4</v>
          </cell>
        </row>
        <row r="680">
          <cell r="A680">
            <v>324150</v>
          </cell>
          <cell r="B680" t="str">
            <v>BX38-1000-RN-R-CL</v>
          </cell>
          <cell r="C680">
            <v>4</v>
          </cell>
          <cell r="D680" t="str">
            <v>ISBM</v>
          </cell>
          <cell r="E680" t="str">
            <v>PET</v>
          </cell>
          <cell r="F680">
            <v>56.8</v>
          </cell>
          <cell r="G680"/>
          <cell r="H680">
            <v>56.5</v>
          </cell>
        </row>
        <row r="681">
          <cell r="A681">
            <v>593537</v>
          </cell>
          <cell r="B681" t="str">
            <v>BX38-1000-RN-R-CL-rPET 0.2</v>
          </cell>
          <cell r="C681">
            <v>4</v>
          </cell>
          <cell r="D681" t="str">
            <v>ISBM</v>
          </cell>
          <cell r="E681" t="str">
            <v>rPET</v>
          </cell>
          <cell r="F681">
            <v>56.8</v>
          </cell>
          <cell r="G681"/>
          <cell r="H681">
            <v>56.5</v>
          </cell>
        </row>
        <row r="682">
          <cell r="A682">
            <v>622636</v>
          </cell>
          <cell r="B682" t="str">
            <v>BX38-1000-RN-R-CL-rPET 1.0</v>
          </cell>
          <cell r="C682">
            <v>4</v>
          </cell>
          <cell r="D682" t="str">
            <v>ISBM</v>
          </cell>
          <cell r="E682" t="str">
            <v>rPET</v>
          </cell>
          <cell r="F682">
            <v>56.8</v>
          </cell>
          <cell r="G682"/>
          <cell r="H682">
            <v>56.5</v>
          </cell>
        </row>
        <row r="683">
          <cell r="A683">
            <v>657222</v>
          </cell>
          <cell r="B683" t="str">
            <v>BX38-1000-RN-R-CL rPET 0.2-M2</v>
          </cell>
          <cell r="C683">
            <v>2</v>
          </cell>
          <cell r="D683" t="str">
            <v>ISBM</v>
          </cell>
          <cell r="E683" t="str">
            <v>rPET</v>
          </cell>
          <cell r="F683">
            <v>56.8</v>
          </cell>
          <cell r="G683"/>
          <cell r="H683">
            <v>56.5</v>
          </cell>
        </row>
        <row r="684">
          <cell r="A684">
            <v>322520</v>
          </cell>
          <cell r="B684" t="str">
            <v>BX38-1000-RR-R-CL</v>
          </cell>
          <cell r="C684">
            <v>4</v>
          </cell>
          <cell r="D684" t="str">
            <v>ISBM</v>
          </cell>
          <cell r="E684" t="str">
            <v>rPET</v>
          </cell>
          <cell r="F684">
            <v>55</v>
          </cell>
          <cell r="G684"/>
          <cell r="H684">
            <v>55</v>
          </cell>
        </row>
        <row r="685">
          <cell r="A685">
            <v>425348</v>
          </cell>
          <cell r="B685" t="str">
            <v>BX38-1000-S-S-CL</v>
          </cell>
          <cell r="C685">
            <v>4</v>
          </cell>
          <cell r="D685" t="str">
            <v>ISBM</v>
          </cell>
          <cell r="E685" t="str">
            <v>rPET</v>
          </cell>
          <cell r="F685">
            <v>48.5</v>
          </cell>
          <cell r="G685"/>
          <cell r="H685">
            <v>58.9</v>
          </cell>
        </row>
        <row r="686">
          <cell r="A686">
            <v>549410</v>
          </cell>
          <cell r="B686" t="str">
            <v>BX38-1000-S-S-WH</v>
          </cell>
          <cell r="C686">
            <v>4</v>
          </cell>
          <cell r="D686" t="str">
            <v>ISBM</v>
          </cell>
          <cell r="E686" t="str">
            <v>rPET</v>
          </cell>
          <cell r="F686">
            <v>48</v>
          </cell>
          <cell r="G686"/>
          <cell r="H686">
            <v>48</v>
          </cell>
        </row>
        <row r="687">
          <cell r="A687">
            <v>322531</v>
          </cell>
          <cell r="B687" t="str">
            <v>BX38-1083-RN-R-CL</v>
          </cell>
          <cell r="C687">
            <v>4</v>
          </cell>
          <cell r="D687" t="str">
            <v>ISBM</v>
          </cell>
          <cell r="E687" t="str">
            <v>rPET</v>
          </cell>
          <cell r="F687">
            <v>57</v>
          </cell>
          <cell r="G687"/>
          <cell r="H687">
            <v>77</v>
          </cell>
        </row>
        <row r="688">
          <cell r="A688">
            <v>411761</v>
          </cell>
          <cell r="B688" t="str">
            <v>BX38-1500-H-R-CL-BLK-ASEM</v>
          </cell>
          <cell r="C688">
            <v>4</v>
          </cell>
          <cell r="D688" t="str">
            <v>ISBM</v>
          </cell>
          <cell r="E688" t="str">
            <v>rPET</v>
          </cell>
          <cell r="F688">
            <v>56.9</v>
          </cell>
          <cell r="G688"/>
          <cell r="H688">
            <v>55.9</v>
          </cell>
        </row>
        <row r="689">
          <cell r="A689">
            <v>323011</v>
          </cell>
          <cell r="B689" t="str">
            <v>BX38-1500-H-R-CL-LW</v>
          </cell>
          <cell r="C689">
            <v>2</v>
          </cell>
          <cell r="D689" t="str">
            <v>ISBM</v>
          </cell>
          <cell r="E689" t="str">
            <v>rPET</v>
          </cell>
          <cell r="F689">
            <v>55.9</v>
          </cell>
          <cell r="G689"/>
          <cell r="H689">
            <v>55.9</v>
          </cell>
        </row>
        <row r="690">
          <cell r="A690">
            <v>323102</v>
          </cell>
          <cell r="B690" t="str">
            <v>BX38-1500-H-R-CL-LW(GREEN) (ASEM)</v>
          </cell>
          <cell r="C690">
            <v>4</v>
          </cell>
          <cell r="D690" t="str">
            <v>ISBM</v>
          </cell>
          <cell r="E690" t="str">
            <v>PET</v>
          </cell>
          <cell r="F690">
            <v>56.9</v>
          </cell>
          <cell r="G690"/>
          <cell r="H690">
            <v>56.9</v>
          </cell>
        </row>
        <row r="691">
          <cell r="A691">
            <v>323104</v>
          </cell>
          <cell r="B691" t="str">
            <v>BX38-1500-H-R-CL-LW(YELLOW) (ASEM)</v>
          </cell>
          <cell r="C691">
            <v>4</v>
          </cell>
          <cell r="D691" t="str">
            <v>ISBM</v>
          </cell>
          <cell r="E691" t="str">
            <v>PET</v>
          </cell>
          <cell r="F691">
            <v>56.9</v>
          </cell>
          <cell r="G691"/>
          <cell r="H691">
            <v>55.9</v>
          </cell>
        </row>
        <row r="692">
          <cell r="A692">
            <v>650368</v>
          </cell>
          <cell r="B692" t="str">
            <v>BX38-1500-H-R-CL-LW(WHITE) (ASEM)</v>
          </cell>
          <cell r="C692">
            <v>4</v>
          </cell>
          <cell r="D692" t="str">
            <v>ISBM</v>
          </cell>
          <cell r="E692" t="str">
            <v>PET</v>
          </cell>
          <cell r="F692">
            <v>56.9</v>
          </cell>
          <cell r="G692"/>
          <cell r="H692">
            <v>55.9</v>
          </cell>
        </row>
        <row r="693">
          <cell r="A693">
            <v>324638</v>
          </cell>
          <cell r="B693" t="str">
            <v>BX38-2000-GH-R-CL (GREEN) (ASEM)</v>
          </cell>
          <cell r="C693">
            <v>4</v>
          </cell>
          <cell r="D693" t="str">
            <v>ISBM</v>
          </cell>
          <cell r="E693" t="str">
            <v>PET</v>
          </cell>
          <cell r="F693">
            <v>77.5</v>
          </cell>
          <cell r="G693"/>
          <cell r="H693">
            <v>77.5</v>
          </cell>
        </row>
        <row r="694">
          <cell r="A694">
            <v>324640</v>
          </cell>
          <cell r="B694" t="str">
            <v>BX38-2000-GH-R-CL (WIP)</v>
          </cell>
          <cell r="C694">
            <v>4</v>
          </cell>
          <cell r="D694" t="str">
            <v>ISBM</v>
          </cell>
          <cell r="E694" t="str">
            <v>PET</v>
          </cell>
          <cell r="F694">
            <v>77.5</v>
          </cell>
          <cell r="G694"/>
          <cell r="H694">
            <v>77.5</v>
          </cell>
        </row>
        <row r="695">
          <cell r="A695">
            <v>322547</v>
          </cell>
          <cell r="B695" t="str">
            <v>BX38-2000-GH-S-CL</v>
          </cell>
          <cell r="C695">
            <v>4</v>
          </cell>
          <cell r="D695" t="str">
            <v>ISBM</v>
          </cell>
          <cell r="E695" t="str">
            <v>PET</v>
          </cell>
          <cell r="F695">
            <v>77</v>
          </cell>
          <cell r="G695"/>
          <cell r="H695">
            <v>77</v>
          </cell>
        </row>
        <row r="696">
          <cell r="A696">
            <v>323012</v>
          </cell>
          <cell r="B696" t="str">
            <v>BX38-2000-H-R-CL-LW</v>
          </cell>
          <cell r="C696">
            <v>2</v>
          </cell>
          <cell r="D696" t="str">
            <v>ISBM</v>
          </cell>
          <cell r="E696" t="str">
            <v>PET</v>
          </cell>
          <cell r="F696">
            <v>55</v>
          </cell>
          <cell r="G696"/>
          <cell r="H696">
            <v>55</v>
          </cell>
        </row>
        <row r="697">
          <cell r="A697">
            <v>323115</v>
          </cell>
          <cell r="B697" t="str">
            <v>BX38-2000-H-R-CL-LW (YELLOW) (ASEM)</v>
          </cell>
          <cell r="C697">
            <v>2</v>
          </cell>
          <cell r="D697" t="str">
            <v>ISBM</v>
          </cell>
          <cell r="E697" t="str">
            <v>PET</v>
          </cell>
          <cell r="F697">
            <v>56</v>
          </cell>
          <cell r="G697"/>
          <cell r="H697">
            <v>78</v>
          </cell>
        </row>
        <row r="698">
          <cell r="A698">
            <v>424601</v>
          </cell>
          <cell r="B698" t="str">
            <v>BX38-2000-HR-R-CL</v>
          </cell>
          <cell r="C698">
            <v>2</v>
          </cell>
          <cell r="D698" t="str">
            <v>ISBM</v>
          </cell>
          <cell r="E698" t="str">
            <v>PET</v>
          </cell>
          <cell r="F698">
            <v>72</v>
          </cell>
          <cell r="G698"/>
          <cell r="H698">
            <v>72</v>
          </cell>
        </row>
        <row r="699">
          <cell r="A699">
            <v>424597</v>
          </cell>
          <cell r="B699" t="str">
            <v>BX38-2000-HR-R-CL(RED)(ASEM)</v>
          </cell>
          <cell r="C699">
            <v>2</v>
          </cell>
          <cell r="D699" t="str">
            <v>ISBM</v>
          </cell>
          <cell r="E699" t="str">
            <v>PET</v>
          </cell>
          <cell r="F699">
            <v>73</v>
          </cell>
          <cell r="G699"/>
          <cell r="H699">
            <v>76</v>
          </cell>
        </row>
        <row r="700">
          <cell r="A700">
            <v>618217</v>
          </cell>
          <cell r="B700" t="str">
            <v>BX38-2000-HR-R-CL(GREEN)(ASEM)</v>
          </cell>
          <cell r="C700">
            <v>2</v>
          </cell>
          <cell r="D700" t="str">
            <v>ISBM</v>
          </cell>
          <cell r="E700" t="str">
            <v>PET</v>
          </cell>
          <cell r="F700">
            <v>73</v>
          </cell>
          <cell r="G700"/>
          <cell r="H700">
            <v>76</v>
          </cell>
        </row>
        <row r="701">
          <cell r="A701">
            <v>322398</v>
          </cell>
          <cell r="B701" t="str">
            <v>BX38-2000-H-S-CL</v>
          </cell>
          <cell r="C701">
            <v>4</v>
          </cell>
          <cell r="D701" t="str">
            <v>ISBM</v>
          </cell>
          <cell r="E701" t="str">
            <v>PET</v>
          </cell>
          <cell r="F701">
            <v>76.900000000000006</v>
          </cell>
          <cell r="G701"/>
          <cell r="H701">
            <v>72</v>
          </cell>
        </row>
        <row r="702">
          <cell r="A702">
            <v>322541</v>
          </cell>
          <cell r="B702" t="str">
            <v>BX38-2000-H-S-CL(GREEN) (ASEM)</v>
          </cell>
          <cell r="C702">
            <v>4</v>
          </cell>
          <cell r="D702" t="str">
            <v>ISBM</v>
          </cell>
          <cell r="E702" t="str">
            <v>PET</v>
          </cell>
          <cell r="F702">
            <v>77.900000000000006</v>
          </cell>
          <cell r="G702"/>
          <cell r="H702">
            <v>77.900000000000006</v>
          </cell>
        </row>
        <row r="703">
          <cell r="A703">
            <v>575317</v>
          </cell>
          <cell r="B703" t="str">
            <v>BX38-2000-H-S-CL(YELLOW) (ASEM)</v>
          </cell>
          <cell r="C703">
            <v>4</v>
          </cell>
          <cell r="D703" t="str">
            <v>ISBM</v>
          </cell>
          <cell r="E703" t="str">
            <v>PET</v>
          </cell>
          <cell r="F703">
            <v>77.900000000000006</v>
          </cell>
          <cell r="G703"/>
          <cell r="H703">
            <v>77</v>
          </cell>
        </row>
        <row r="704">
          <cell r="A704">
            <v>324217</v>
          </cell>
          <cell r="B704" t="str">
            <v>BX38-2000-K2-S-CL</v>
          </cell>
          <cell r="C704">
            <v>2</v>
          </cell>
          <cell r="D704" t="str">
            <v>ISBM</v>
          </cell>
          <cell r="E704" t="str">
            <v>PET</v>
          </cell>
          <cell r="F704">
            <v>75.599999999999994</v>
          </cell>
          <cell r="G704"/>
          <cell r="H704">
            <v>77</v>
          </cell>
        </row>
        <row r="705">
          <cell r="A705">
            <v>323132</v>
          </cell>
          <cell r="B705" t="str">
            <v>BX38-2000-RH-R-CL</v>
          </cell>
          <cell r="C705">
            <v>4</v>
          </cell>
          <cell r="D705" t="str">
            <v>ISBM</v>
          </cell>
          <cell r="E705" t="str">
            <v>PET</v>
          </cell>
          <cell r="F705">
            <v>76</v>
          </cell>
          <cell r="G705"/>
          <cell r="H705">
            <v>76</v>
          </cell>
        </row>
        <row r="706">
          <cell r="A706">
            <v>441778</v>
          </cell>
          <cell r="B706" t="str">
            <v>BX38-2000-RH-R-CL (WHITE) (ASEM)</v>
          </cell>
          <cell r="C706">
            <v>4</v>
          </cell>
          <cell r="D706" t="str">
            <v>ISBM</v>
          </cell>
          <cell r="E706" t="str">
            <v>PET</v>
          </cell>
          <cell r="F706">
            <v>77</v>
          </cell>
          <cell r="G706"/>
          <cell r="H706">
            <v>77</v>
          </cell>
        </row>
        <row r="707">
          <cell r="A707">
            <v>323133</v>
          </cell>
          <cell r="B707" t="str">
            <v>BX38-2000-RH-R-CL(GREEN) (ASEM)</v>
          </cell>
          <cell r="C707">
            <v>4</v>
          </cell>
          <cell r="D707" t="str">
            <v>ISBM</v>
          </cell>
          <cell r="E707" t="str">
            <v>PET</v>
          </cell>
          <cell r="F707">
            <v>77</v>
          </cell>
          <cell r="G707"/>
          <cell r="H707">
            <v>77</v>
          </cell>
        </row>
        <row r="708">
          <cell r="A708">
            <v>323135</v>
          </cell>
          <cell r="B708" t="str">
            <v>BX38-2000-RH-R-CL(YELLOW) (ASEM)</v>
          </cell>
          <cell r="C708">
            <v>4</v>
          </cell>
          <cell r="D708" t="str">
            <v>ISBM</v>
          </cell>
          <cell r="E708" t="str">
            <v>PET</v>
          </cell>
          <cell r="F708">
            <v>77</v>
          </cell>
          <cell r="G708"/>
          <cell r="H708">
            <v>77</v>
          </cell>
        </row>
        <row r="709">
          <cell r="A709">
            <v>414333</v>
          </cell>
          <cell r="B709" t="str">
            <v>BX38-2000-RH-R-CL-ORG-ASEM</v>
          </cell>
          <cell r="C709">
            <v>4</v>
          </cell>
          <cell r="D709" t="str">
            <v>ISBM</v>
          </cell>
          <cell r="E709" t="str">
            <v>PET</v>
          </cell>
          <cell r="F709">
            <v>77</v>
          </cell>
          <cell r="G709"/>
          <cell r="H709">
            <v>76</v>
          </cell>
        </row>
        <row r="710">
          <cell r="A710">
            <v>361596</v>
          </cell>
          <cell r="B710" t="str">
            <v>BX38-2200-BL-H-R-CL (GREEN) ASEM</v>
          </cell>
          <cell r="C710">
            <v>2</v>
          </cell>
          <cell r="D710" t="str">
            <v>ISBM</v>
          </cell>
          <cell r="E710" t="str">
            <v>PET</v>
          </cell>
          <cell r="F710">
            <v>70.7</v>
          </cell>
          <cell r="G710"/>
          <cell r="H710">
            <v>69.7</v>
          </cell>
        </row>
        <row r="711">
          <cell r="A711">
            <v>336740</v>
          </cell>
          <cell r="B711" t="str">
            <v>BX38-2200-BL-H-R-CL (WHITE) ASEM</v>
          </cell>
          <cell r="C711">
            <v>2</v>
          </cell>
          <cell r="D711" t="str">
            <v>ISBM</v>
          </cell>
          <cell r="E711" t="str">
            <v>PET</v>
          </cell>
          <cell r="F711">
            <v>70.7</v>
          </cell>
          <cell r="G711"/>
          <cell r="H711">
            <v>69.7</v>
          </cell>
        </row>
        <row r="712">
          <cell r="A712">
            <v>336739</v>
          </cell>
          <cell r="B712" t="str">
            <v>BX38-2200-BL-R-CL</v>
          </cell>
          <cell r="C712">
            <v>2</v>
          </cell>
          <cell r="D712" t="str">
            <v>ISBM</v>
          </cell>
          <cell r="E712" t="str">
            <v>PET</v>
          </cell>
          <cell r="F712">
            <v>69.7</v>
          </cell>
          <cell r="G712"/>
          <cell r="H712"/>
        </row>
        <row r="713">
          <cell r="A713">
            <v>362734</v>
          </cell>
          <cell r="B713" t="str">
            <v>BX38-2250-BL-R-CL</v>
          </cell>
          <cell r="C713">
            <v>2</v>
          </cell>
          <cell r="D713" t="str">
            <v>ISBM</v>
          </cell>
          <cell r="E713" t="str">
            <v>PET</v>
          </cell>
          <cell r="F713">
            <v>69.900000000000006</v>
          </cell>
          <cell r="G713"/>
          <cell r="H713">
            <v>69.900000000000006</v>
          </cell>
        </row>
        <row r="714">
          <cell r="A714">
            <v>338957</v>
          </cell>
          <cell r="B714" t="str">
            <v>C110-HANDLE CAP GREY</v>
          </cell>
          <cell r="C714">
            <v>2</v>
          </cell>
          <cell r="D714" t="str">
            <v>INJ</v>
          </cell>
          <cell r="E714" t="str">
            <v>HDPE1010J</v>
          </cell>
          <cell r="F714">
            <v>48.26</v>
          </cell>
          <cell r="G714"/>
          <cell r="H714">
            <v>48.3</v>
          </cell>
        </row>
        <row r="715">
          <cell r="A715">
            <v>322623</v>
          </cell>
          <cell r="B715" t="str">
            <v>C110-HANDLE CAP PINK</v>
          </cell>
          <cell r="C715">
            <v>2</v>
          </cell>
          <cell r="D715" t="str">
            <v>INJ</v>
          </cell>
          <cell r="E715" t="str">
            <v>HDPE1010J</v>
          </cell>
          <cell r="F715">
            <v>48.260000000000005</v>
          </cell>
          <cell r="G715"/>
          <cell r="H715">
            <v>48.3</v>
          </cell>
        </row>
        <row r="716">
          <cell r="A716">
            <v>322615</v>
          </cell>
          <cell r="B716" t="str">
            <v>C110-HANDLE CAP RED</v>
          </cell>
          <cell r="C716">
            <v>2</v>
          </cell>
          <cell r="D716" t="str">
            <v>INJ</v>
          </cell>
          <cell r="E716" t="str">
            <v>HDPE1010J</v>
          </cell>
          <cell r="F716">
            <v>48.26</v>
          </cell>
          <cell r="G716"/>
          <cell r="H716">
            <v>48.26</v>
          </cell>
        </row>
        <row r="717">
          <cell r="A717">
            <v>322605</v>
          </cell>
          <cell r="B717" t="str">
            <v>C28-C/S-FLIP TOP BLACK</v>
          </cell>
          <cell r="C717">
            <v>4</v>
          </cell>
          <cell r="D717" t="str">
            <v>INJ</v>
          </cell>
          <cell r="E717" t="str">
            <v>SM398</v>
          </cell>
          <cell r="F717">
            <v>4.8499999999999996</v>
          </cell>
          <cell r="G717"/>
          <cell r="H717">
            <v>4.6500000000000004</v>
          </cell>
        </row>
        <row r="718">
          <cell r="A718">
            <v>322607</v>
          </cell>
          <cell r="B718" t="str">
            <v>C28-C/S-FLIP TOP BLUE</v>
          </cell>
          <cell r="C718">
            <v>4</v>
          </cell>
          <cell r="D718" t="str">
            <v>INJ</v>
          </cell>
          <cell r="E718" t="str">
            <v>SM398</v>
          </cell>
          <cell r="F718">
            <v>4.8499999999999996</v>
          </cell>
          <cell r="G718"/>
          <cell r="H718">
            <v>4.6500000000000004</v>
          </cell>
        </row>
        <row r="719">
          <cell r="A719">
            <v>342604</v>
          </cell>
          <cell r="B719" t="str">
            <v>C28-C/S-FLIP TOP BROWN</v>
          </cell>
          <cell r="C719">
            <v>4</v>
          </cell>
          <cell r="D719" t="str">
            <v>INJ</v>
          </cell>
          <cell r="E719" t="str">
            <v>SM398</v>
          </cell>
          <cell r="F719">
            <v>4.8499999999999996</v>
          </cell>
          <cell r="G719"/>
          <cell r="H719">
            <v>4.6500000000000004</v>
          </cell>
        </row>
        <row r="720">
          <cell r="A720">
            <v>322602</v>
          </cell>
          <cell r="B720" t="str">
            <v>C28-C/S-FLIP TOP D.GREEN</v>
          </cell>
          <cell r="C720">
            <v>4</v>
          </cell>
          <cell r="D720" t="str">
            <v>INJ</v>
          </cell>
          <cell r="E720" t="str">
            <v>SM398</v>
          </cell>
          <cell r="F720">
            <v>4.8499999999999996</v>
          </cell>
          <cell r="G720"/>
          <cell r="H720">
            <v>4.6500000000000004</v>
          </cell>
        </row>
        <row r="721">
          <cell r="A721">
            <v>368040</v>
          </cell>
          <cell r="B721" t="str">
            <v>C28-C/S-FLIP TOP GOLD</v>
          </cell>
          <cell r="C721">
            <v>4</v>
          </cell>
          <cell r="D721" t="str">
            <v>INJ</v>
          </cell>
          <cell r="E721" t="str">
            <v>SM398</v>
          </cell>
          <cell r="F721">
            <v>4.8499999999999996</v>
          </cell>
          <cell r="G721"/>
          <cell r="H721">
            <v>4.6500000000000004</v>
          </cell>
        </row>
        <row r="722">
          <cell r="A722">
            <v>323509</v>
          </cell>
          <cell r="B722" t="str">
            <v>C28-C/S-FLIP TOP GREEN</v>
          </cell>
          <cell r="C722">
            <v>4</v>
          </cell>
          <cell r="D722" t="str">
            <v>INJ</v>
          </cell>
          <cell r="E722" t="str">
            <v>SM398</v>
          </cell>
          <cell r="F722">
            <v>4.8499999999999996</v>
          </cell>
          <cell r="G722"/>
          <cell r="H722">
            <v>4.6500000000000004</v>
          </cell>
        </row>
        <row r="723">
          <cell r="A723">
            <v>549292</v>
          </cell>
          <cell r="B723" t="str">
            <v>C28-C/S-FLIP TOP NATURAL</v>
          </cell>
          <cell r="C723">
            <v>4</v>
          </cell>
          <cell r="D723" t="str">
            <v>INJ</v>
          </cell>
          <cell r="E723" t="str">
            <v>SM398</v>
          </cell>
          <cell r="F723">
            <v>4.8499999999999996</v>
          </cell>
          <cell r="G723"/>
          <cell r="H723">
            <v>4.8499999999999996</v>
          </cell>
        </row>
        <row r="724">
          <cell r="A724">
            <v>322611</v>
          </cell>
          <cell r="B724" t="str">
            <v>C28-C/S-FLIP TOP ORANGE</v>
          </cell>
          <cell r="C724">
            <v>4</v>
          </cell>
          <cell r="D724" t="str">
            <v>INJ</v>
          </cell>
          <cell r="E724" t="str">
            <v>SM398</v>
          </cell>
          <cell r="F724">
            <v>4.8499999999999996</v>
          </cell>
          <cell r="G724"/>
          <cell r="H724">
            <v>4.6500000000000004</v>
          </cell>
        </row>
        <row r="725">
          <cell r="A725">
            <v>532300</v>
          </cell>
          <cell r="B725" t="str">
            <v>C28-C/S-FLIP TOP ORANGE 139148-18</v>
          </cell>
          <cell r="C725">
            <v>4</v>
          </cell>
          <cell r="D725" t="str">
            <v>INJ</v>
          </cell>
          <cell r="E725" t="str">
            <v>SM398</v>
          </cell>
          <cell r="F725">
            <v>4.8499999999999996</v>
          </cell>
          <cell r="G725"/>
          <cell r="H725">
            <v>4.8499999999999996</v>
          </cell>
        </row>
        <row r="726">
          <cell r="A726">
            <v>322595</v>
          </cell>
          <cell r="B726" t="str">
            <v>C28-C/S-FLIP TOP RED</v>
          </cell>
          <cell r="C726">
            <v>4</v>
          </cell>
          <cell r="D726" t="str">
            <v>INJ</v>
          </cell>
          <cell r="E726" t="str">
            <v>SM398</v>
          </cell>
          <cell r="F726">
            <v>4.8499999999999996</v>
          </cell>
          <cell r="G726"/>
          <cell r="H726">
            <v>4.6500000000000004</v>
          </cell>
        </row>
        <row r="727">
          <cell r="A727">
            <v>587779</v>
          </cell>
          <cell r="B727" t="str">
            <v>C28-C/S-FLIP TOP RED-S</v>
          </cell>
          <cell r="C727">
            <v>0</v>
          </cell>
          <cell r="D727" t="str">
            <v>INJ</v>
          </cell>
          <cell r="E727" t="str">
            <v>SM398</v>
          </cell>
          <cell r="F727">
            <v>4.8499999999999996</v>
          </cell>
          <cell r="G727"/>
          <cell r="H727">
            <v>4.8499999999999996</v>
          </cell>
        </row>
        <row r="728">
          <cell r="A728">
            <v>322609</v>
          </cell>
          <cell r="B728" t="str">
            <v>C28-C/S-FLIP TOP VIOLET</v>
          </cell>
          <cell r="C728">
            <v>4</v>
          </cell>
          <cell r="D728" t="str">
            <v>INJ</v>
          </cell>
          <cell r="E728" t="str">
            <v>SM398</v>
          </cell>
          <cell r="F728">
            <v>4.8499999999999996</v>
          </cell>
          <cell r="G728"/>
          <cell r="H728">
            <v>4.6500000000000004</v>
          </cell>
        </row>
        <row r="729">
          <cell r="A729">
            <v>322601</v>
          </cell>
          <cell r="B729" t="str">
            <v>C28-C/S-FLIP TOP WHITE</v>
          </cell>
          <cell r="C729">
            <v>4</v>
          </cell>
          <cell r="D729" t="str">
            <v>INJ</v>
          </cell>
          <cell r="E729" t="str">
            <v>SM398</v>
          </cell>
          <cell r="F729">
            <v>4.8499999999999996</v>
          </cell>
          <cell r="G729"/>
          <cell r="H729">
            <v>4.6500000000000004</v>
          </cell>
        </row>
        <row r="730">
          <cell r="A730">
            <v>549760</v>
          </cell>
          <cell r="B730" t="str">
            <v>C28-C/S-FLIP TOP WHITE - PKG CENTRE</v>
          </cell>
          <cell r="C730">
            <v>4</v>
          </cell>
          <cell r="D730" t="str">
            <v>INJ</v>
          </cell>
          <cell r="E730" t="str">
            <v>SM398</v>
          </cell>
          <cell r="F730">
            <v>4.8499999999999996</v>
          </cell>
          <cell r="G730"/>
          <cell r="H730">
            <v>4.8499999999999996</v>
          </cell>
        </row>
        <row r="731">
          <cell r="A731">
            <v>589040</v>
          </cell>
          <cell r="B731" t="str">
            <v>C28-C/S-FLIP TOP YELLOW (S)</v>
          </cell>
          <cell r="C731">
            <v>0</v>
          </cell>
          <cell r="D731" t="str">
            <v>INJ</v>
          </cell>
          <cell r="E731" t="str">
            <v>SM398</v>
          </cell>
          <cell r="F731">
            <v>4.8499999999999996</v>
          </cell>
          <cell r="G731"/>
          <cell r="H731">
            <v>4.6500000000000004</v>
          </cell>
        </row>
        <row r="732">
          <cell r="A732">
            <v>322597</v>
          </cell>
          <cell r="B732" t="str">
            <v>C28-C/S-FLIP TOP YELLOW (V)</v>
          </cell>
          <cell r="C732">
            <v>4</v>
          </cell>
          <cell r="D732" t="str">
            <v>INJ</v>
          </cell>
          <cell r="E732" t="str">
            <v>SM398</v>
          </cell>
          <cell r="F732">
            <v>4.8499999999999996</v>
          </cell>
          <cell r="G732"/>
          <cell r="H732">
            <v>4.6500000000000004</v>
          </cell>
        </row>
        <row r="733">
          <cell r="A733">
            <v>324220</v>
          </cell>
          <cell r="B733" t="str">
            <v>C28-CHILD PROFF CAP NATURAL (INNER)</v>
          </cell>
          <cell r="C733">
            <v>4</v>
          </cell>
          <cell r="D733" t="str">
            <v>INJ</v>
          </cell>
          <cell r="E733" t="str">
            <v>PP2300K</v>
          </cell>
          <cell r="F733">
            <v>3.6</v>
          </cell>
          <cell r="G733"/>
          <cell r="H733">
            <v>3.6</v>
          </cell>
        </row>
        <row r="734">
          <cell r="A734">
            <v>324158</v>
          </cell>
          <cell r="B734" t="str">
            <v>C28-CHILD PROFF CAP RED (TOP)</v>
          </cell>
          <cell r="C734">
            <v>4</v>
          </cell>
          <cell r="D734" t="str">
            <v>INJ</v>
          </cell>
          <cell r="E734" t="str">
            <v>PP2300K</v>
          </cell>
          <cell r="F734">
            <v>2.9</v>
          </cell>
          <cell r="G734"/>
          <cell r="H734">
            <v>2.9</v>
          </cell>
        </row>
        <row r="735">
          <cell r="A735">
            <v>336166</v>
          </cell>
          <cell r="B735" t="str">
            <v>C28-CHILD PROFF CAP WHITE (ASEM)</v>
          </cell>
          <cell r="C735">
            <v>4</v>
          </cell>
          <cell r="D735" t="str">
            <v>INJ</v>
          </cell>
          <cell r="E735" t="str">
            <v>HDPE1010J</v>
          </cell>
          <cell r="F735">
            <v>6.5</v>
          </cell>
          <cell r="G735"/>
          <cell r="H735">
            <v>7.5</v>
          </cell>
        </row>
        <row r="736">
          <cell r="A736">
            <v>322613</v>
          </cell>
          <cell r="B736" t="str">
            <v>C28-CHILD PROFF CAP WHITE (INNER)</v>
          </cell>
          <cell r="C736">
            <v>4</v>
          </cell>
          <cell r="D736" t="str">
            <v>INJ</v>
          </cell>
          <cell r="E736" t="str">
            <v>HDPE1010J</v>
          </cell>
          <cell r="F736">
            <v>3.6</v>
          </cell>
          <cell r="G736"/>
          <cell r="H736">
            <v>3.6</v>
          </cell>
        </row>
        <row r="737">
          <cell r="A737">
            <v>336167</v>
          </cell>
          <cell r="B737" t="str">
            <v>C28-CHILD PROFF CAP WHITE (TOP)</v>
          </cell>
          <cell r="C737">
            <v>4</v>
          </cell>
          <cell r="D737" t="str">
            <v>INJ</v>
          </cell>
          <cell r="E737" t="str">
            <v>HDPE1010J</v>
          </cell>
          <cell r="F737">
            <v>2.9</v>
          </cell>
          <cell r="G737"/>
          <cell r="H737">
            <v>2.9</v>
          </cell>
        </row>
        <row r="738">
          <cell r="A738">
            <v>324221</v>
          </cell>
          <cell r="B738" t="str">
            <v>C28-CHILD PROFF CAP YELLOW (TOP)</v>
          </cell>
          <cell r="C738">
            <v>4</v>
          </cell>
          <cell r="D738" t="str">
            <v>INJ</v>
          </cell>
          <cell r="E738" t="str">
            <v>HDPE1010J</v>
          </cell>
          <cell r="F738">
            <v>2.9</v>
          </cell>
          <cell r="G738"/>
          <cell r="H738">
            <v>4</v>
          </cell>
        </row>
        <row r="739">
          <cell r="A739">
            <v>415463</v>
          </cell>
          <cell r="B739" t="str">
            <v>C28-CHILD PROFF CAP-NATURAL-YELLOW-ASEM</v>
          </cell>
          <cell r="C739">
            <v>4</v>
          </cell>
          <cell r="D739" t="str">
            <v>INJ</v>
          </cell>
          <cell r="E739" t="str">
            <v>HDPE1010J</v>
          </cell>
          <cell r="F739">
            <v>6.5</v>
          </cell>
          <cell r="G739"/>
          <cell r="H739">
            <v>6.5</v>
          </cell>
        </row>
        <row r="740">
          <cell r="A740">
            <v>401633</v>
          </cell>
          <cell r="B740" t="str">
            <v>C28-CONICAL CAP BLUE</v>
          </cell>
          <cell r="C740">
            <v>8</v>
          </cell>
          <cell r="D740" t="str">
            <v>INJ</v>
          </cell>
          <cell r="E740" t="str">
            <v>HDPE1010J</v>
          </cell>
          <cell r="F740">
            <v>0.30000000000000004</v>
          </cell>
          <cell r="G740"/>
          <cell r="H740">
            <v>2</v>
          </cell>
        </row>
        <row r="741">
          <cell r="A741">
            <v>387397</v>
          </cell>
          <cell r="B741" t="str">
            <v>C28-CONICAL CAP GOLD</v>
          </cell>
          <cell r="C741">
            <v>8</v>
          </cell>
          <cell r="D741" t="str">
            <v>INJ</v>
          </cell>
          <cell r="E741" t="str">
            <v>HDPE1010J</v>
          </cell>
          <cell r="F741">
            <v>0.30000000000000004</v>
          </cell>
          <cell r="G741"/>
          <cell r="H741">
            <v>2</v>
          </cell>
        </row>
        <row r="742">
          <cell r="A742">
            <v>333685</v>
          </cell>
          <cell r="B742" t="str">
            <v>C28-CONICAL CAP RED WIP</v>
          </cell>
          <cell r="C742">
            <v>8</v>
          </cell>
          <cell r="D742" t="str">
            <v>INJ</v>
          </cell>
          <cell r="E742" t="str">
            <v>HDPE1010J</v>
          </cell>
          <cell r="F742">
            <v>2.3000000000000003</v>
          </cell>
          <cell r="G742"/>
          <cell r="H742">
            <v>2</v>
          </cell>
        </row>
        <row r="743">
          <cell r="A743">
            <v>324161</v>
          </cell>
          <cell r="B743" t="str">
            <v>C28-CONICAL CAP YELLOW</v>
          </cell>
          <cell r="C743">
            <v>8</v>
          </cell>
          <cell r="D743" t="str">
            <v>INJ</v>
          </cell>
          <cell r="E743" t="str">
            <v>HDPE1010J</v>
          </cell>
          <cell r="F743">
            <v>0.30000000000000004</v>
          </cell>
          <cell r="G743"/>
          <cell r="H743">
            <v>2.4</v>
          </cell>
        </row>
        <row r="744">
          <cell r="A744">
            <v>324159</v>
          </cell>
          <cell r="B744" t="str">
            <v>C28-EZY CAP BLACK</v>
          </cell>
          <cell r="C744">
            <v>4</v>
          </cell>
          <cell r="D744" t="str">
            <v>INJ</v>
          </cell>
          <cell r="E744" t="str">
            <v>HDPE1010J</v>
          </cell>
          <cell r="F744">
            <v>6.4</v>
          </cell>
          <cell r="G744"/>
          <cell r="H744">
            <v>6.4</v>
          </cell>
        </row>
        <row r="745">
          <cell r="A745">
            <v>401636</v>
          </cell>
          <cell r="B745" t="str">
            <v>C28-EZY CAP BLUE</v>
          </cell>
          <cell r="C745">
            <v>4</v>
          </cell>
          <cell r="D745" t="str">
            <v>INJ</v>
          </cell>
          <cell r="E745" t="str">
            <v>HDPE1010J</v>
          </cell>
          <cell r="F745">
            <v>6.4</v>
          </cell>
          <cell r="G745"/>
          <cell r="H745">
            <v>6.4</v>
          </cell>
        </row>
        <row r="746">
          <cell r="A746">
            <v>442036</v>
          </cell>
          <cell r="B746" t="str">
            <v>C28-EZY CAP BLUE - PT.ATGN</v>
          </cell>
          <cell r="C746">
            <v>4</v>
          </cell>
          <cell r="D746" t="str">
            <v>INJ</v>
          </cell>
          <cell r="E746" t="str">
            <v>HDPE1010J</v>
          </cell>
          <cell r="F746">
            <v>6.4</v>
          </cell>
          <cell r="G746"/>
          <cell r="H746">
            <v>6.4</v>
          </cell>
        </row>
        <row r="747">
          <cell r="A747">
            <v>387396</v>
          </cell>
          <cell r="B747" t="str">
            <v>C28-EZY CAP GOLD</v>
          </cell>
          <cell r="C747">
            <v>4</v>
          </cell>
          <cell r="D747" t="str">
            <v>INJ</v>
          </cell>
          <cell r="E747" t="str">
            <v>HDPE1010J</v>
          </cell>
          <cell r="F747">
            <v>6.4</v>
          </cell>
          <cell r="G747"/>
          <cell r="H747">
            <v>6.4</v>
          </cell>
        </row>
        <row r="748">
          <cell r="A748">
            <v>324160</v>
          </cell>
          <cell r="B748" t="str">
            <v>C28-EZY CAP GREEN</v>
          </cell>
          <cell r="C748">
            <v>4</v>
          </cell>
          <cell r="D748" t="str">
            <v>INJ</v>
          </cell>
          <cell r="E748" t="str">
            <v>HDPE1010J</v>
          </cell>
          <cell r="F748">
            <v>6.4</v>
          </cell>
          <cell r="G748"/>
          <cell r="H748">
            <v>6.4</v>
          </cell>
        </row>
        <row r="749">
          <cell r="A749">
            <v>322688</v>
          </cell>
          <cell r="B749" t="str">
            <v>C28-EZY CAP RED</v>
          </cell>
          <cell r="C749">
            <v>4</v>
          </cell>
          <cell r="D749" t="str">
            <v>INJ</v>
          </cell>
          <cell r="E749" t="str">
            <v>HDPE1010J</v>
          </cell>
          <cell r="F749">
            <v>6.4</v>
          </cell>
          <cell r="G749"/>
          <cell r="H749">
            <v>6.4</v>
          </cell>
        </row>
        <row r="750">
          <cell r="A750">
            <v>322685</v>
          </cell>
          <cell r="B750" t="str">
            <v>C28-EZY CAP YELLOW</v>
          </cell>
          <cell r="C750">
            <v>4</v>
          </cell>
          <cell r="D750" t="str">
            <v>INJ</v>
          </cell>
          <cell r="E750" t="str">
            <v>HDPE1010J</v>
          </cell>
          <cell r="F750">
            <v>6.4</v>
          </cell>
          <cell r="G750"/>
          <cell r="H750">
            <v>6.4</v>
          </cell>
        </row>
        <row r="751">
          <cell r="A751">
            <v>473865</v>
          </cell>
          <cell r="B751" t="str">
            <v>C28-EZY R/S CAP BLUE</v>
          </cell>
          <cell r="C751">
            <v>4</v>
          </cell>
          <cell r="D751" t="str">
            <v>INJ</v>
          </cell>
          <cell r="E751" t="str">
            <v>HDPE1010J</v>
          </cell>
          <cell r="F751">
            <v>6.4</v>
          </cell>
          <cell r="G751"/>
          <cell r="H751">
            <v>6.4</v>
          </cell>
        </row>
        <row r="752">
          <cell r="A752">
            <v>473708</v>
          </cell>
          <cell r="B752" t="str">
            <v>C28-EZY R/S CAP BLUE W PET IND SEAL-ASEM</v>
          </cell>
          <cell r="C752">
            <v>4</v>
          </cell>
          <cell r="D752" t="str">
            <v>INJ</v>
          </cell>
          <cell r="E752" t="str">
            <v>HDPE1010J</v>
          </cell>
          <cell r="F752">
            <v>7.4</v>
          </cell>
          <cell r="G752"/>
          <cell r="H752">
            <v>7.4</v>
          </cell>
        </row>
        <row r="753">
          <cell r="A753">
            <v>386731</v>
          </cell>
          <cell r="B753" t="str">
            <v>C28-EZY R/S CAP YEL W PP IND SEAL (ASEM)</v>
          </cell>
          <cell r="C753">
            <v>4</v>
          </cell>
          <cell r="D753" t="str">
            <v>INJ</v>
          </cell>
          <cell r="E753" t="str">
            <v>HDPE1010J</v>
          </cell>
          <cell r="F753">
            <v>7.4</v>
          </cell>
          <cell r="G753"/>
          <cell r="H753">
            <v>6.4</v>
          </cell>
        </row>
        <row r="754">
          <cell r="A754">
            <v>384007</v>
          </cell>
          <cell r="B754" t="str">
            <v>C28-EZY R/S CAP YELLOW</v>
          </cell>
          <cell r="C754">
            <v>4</v>
          </cell>
          <cell r="D754" t="str">
            <v>INJ</v>
          </cell>
          <cell r="E754" t="str">
            <v>HDPE1010J</v>
          </cell>
          <cell r="F754">
            <v>6.4</v>
          </cell>
          <cell r="G754"/>
          <cell r="H754">
            <v>6.4</v>
          </cell>
        </row>
        <row r="755">
          <cell r="A755">
            <v>529002</v>
          </cell>
          <cell r="B755" t="str">
            <v>C28-EZY R/S CAP YLW WITH IND. SEAL-ASSEM</v>
          </cell>
          <cell r="C755">
            <v>4</v>
          </cell>
          <cell r="D755" t="str">
            <v>INJ</v>
          </cell>
          <cell r="E755" t="str">
            <v>HDPE1010J</v>
          </cell>
          <cell r="F755">
            <v>7.4</v>
          </cell>
          <cell r="G755"/>
          <cell r="H755">
            <v>7.4</v>
          </cell>
        </row>
        <row r="756">
          <cell r="A756">
            <v>322606</v>
          </cell>
          <cell r="B756" t="str">
            <v>C28-R/S-FLIP TOP BLUE</v>
          </cell>
          <cell r="C756">
            <v>4</v>
          </cell>
          <cell r="D756" t="str">
            <v>INJ</v>
          </cell>
          <cell r="E756" t="str">
            <v>HDPE1010J</v>
          </cell>
          <cell r="F756">
            <v>4.6499999999999995</v>
          </cell>
          <cell r="G756"/>
          <cell r="H756">
            <v>5</v>
          </cell>
        </row>
        <row r="757">
          <cell r="A757">
            <v>402078</v>
          </cell>
          <cell r="B757" t="str">
            <v>C28-R/S-FLIP TOP CLEAR</v>
          </cell>
          <cell r="C757">
            <v>4</v>
          </cell>
          <cell r="D757" t="str">
            <v>INJ</v>
          </cell>
          <cell r="E757" t="str">
            <v>SM398</v>
          </cell>
          <cell r="F757">
            <v>4.6500000000000004</v>
          </cell>
          <cell r="G757"/>
          <cell r="H757">
            <v>5</v>
          </cell>
        </row>
        <row r="758">
          <cell r="A758">
            <v>322612</v>
          </cell>
          <cell r="B758" t="str">
            <v>C28-R/S-FLIP TOP D.GREEN</v>
          </cell>
          <cell r="C758">
            <v>4</v>
          </cell>
          <cell r="D758" t="str">
            <v>INJ</v>
          </cell>
          <cell r="E758" t="str">
            <v>HDPE1010J</v>
          </cell>
          <cell r="F758">
            <v>4.6499999999999995</v>
          </cell>
          <cell r="G758"/>
          <cell r="H758">
            <v>5</v>
          </cell>
        </row>
        <row r="759">
          <cell r="A759">
            <v>322603</v>
          </cell>
          <cell r="B759" t="str">
            <v>C28-R/S-FLIP TOP GREEN (C287185058)</v>
          </cell>
          <cell r="C759">
            <v>4</v>
          </cell>
          <cell r="D759" t="str">
            <v>INJ</v>
          </cell>
          <cell r="E759" t="str">
            <v>HDPE1010J</v>
          </cell>
          <cell r="F759">
            <v>4.6499999999999995</v>
          </cell>
          <cell r="G759"/>
          <cell r="H759">
            <v>4.6499999999999995</v>
          </cell>
        </row>
        <row r="760">
          <cell r="A760">
            <v>322610</v>
          </cell>
          <cell r="B760" t="str">
            <v>C28-R/S-FLIP TOP ORANGE</v>
          </cell>
          <cell r="C760">
            <v>4</v>
          </cell>
          <cell r="D760" t="str">
            <v>INJ</v>
          </cell>
          <cell r="E760" t="str">
            <v>HDPE1010J</v>
          </cell>
          <cell r="F760">
            <v>4.6499999999999995</v>
          </cell>
          <cell r="G760"/>
          <cell r="H760">
            <v>4.7</v>
          </cell>
        </row>
        <row r="761">
          <cell r="A761">
            <v>322594</v>
          </cell>
          <cell r="B761" t="str">
            <v>C28-R/S-FLIP TOP RED</v>
          </cell>
          <cell r="C761">
            <v>4</v>
          </cell>
          <cell r="D761" t="str">
            <v>INJ</v>
          </cell>
          <cell r="E761" t="str">
            <v>HDPE1010J</v>
          </cell>
          <cell r="F761">
            <v>4.6499999999999995</v>
          </cell>
          <cell r="G761"/>
          <cell r="H761">
            <v>5</v>
          </cell>
        </row>
        <row r="762">
          <cell r="A762">
            <v>322608</v>
          </cell>
          <cell r="B762" t="str">
            <v>C28-R/S-FLIP TOP VIOLET</v>
          </cell>
          <cell r="C762">
            <v>4</v>
          </cell>
          <cell r="D762" t="str">
            <v>INJ</v>
          </cell>
          <cell r="E762" t="str">
            <v>HDPE1010J</v>
          </cell>
          <cell r="F762">
            <v>4.6499999999999995</v>
          </cell>
          <cell r="G762"/>
          <cell r="H762">
            <v>5</v>
          </cell>
        </row>
        <row r="763">
          <cell r="A763">
            <v>322600</v>
          </cell>
          <cell r="B763" t="str">
            <v>C28-R/S-FLIP TOP WHITE</v>
          </cell>
          <cell r="C763">
            <v>4</v>
          </cell>
          <cell r="D763" t="str">
            <v>INJ</v>
          </cell>
          <cell r="E763" t="str">
            <v>HDPE1010J</v>
          </cell>
          <cell r="F763">
            <v>4.6499999999999995</v>
          </cell>
          <cell r="G763"/>
          <cell r="H763">
            <v>5</v>
          </cell>
        </row>
        <row r="764">
          <cell r="A764">
            <v>322596</v>
          </cell>
          <cell r="B764" t="str">
            <v>C28-R/S-FLIP TOP YELLOW</v>
          </cell>
          <cell r="C764">
            <v>4</v>
          </cell>
          <cell r="D764" t="str">
            <v>INJ</v>
          </cell>
          <cell r="E764" t="str">
            <v>HDPE1010J</v>
          </cell>
          <cell r="F764">
            <v>4.6499999999999995</v>
          </cell>
          <cell r="G764"/>
          <cell r="H764">
            <v>5</v>
          </cell>
        </row>
        <row r="765">
          <cell r="A765">
            <v>346917</v>
          </cell>
          <cell r="B765" t="str">
            <v>C28-R/S-FLIP TOP YELLOW (ASEM)</v>
          </cell>
          <cell r="C765">
            <v>4</v>
          </cell>
          <cell r="D765" t="str">
            <v>INJ</v>
          </cell>
          <cell r="E765" t="str">
            <v>HDPE1010J</v>
          </cell>
          <cell r="F765">
            <v>5.6499999999999995</v>
          </cell>
          <cell r="G765"/>
          <cell r="H765">
            <v>4.7</v>
          </cell>
        </row>
        <row r="766">
          <cell r="A766">
            <v>387394</v>
          </cell>
          <cell r="B766" t="str">
            <v>C28-SPOUT CAP GOLD (WIP)</v>
          </cell>
          <cell r="C766">
            <v>4</v>
          </cell>
          <cell r="D766" t="str">
            <v>INJ</v>
          </cell>
          <cell r="E766" t="str">
            <v>HDPE1010J</v>
          </cell>
          <cell r="F766">
            <v>4.3</v>
          </cell>
          <cell r="G766"/>
          <cell r="H766">
            <v>4</v>
          </cell>
        </row>
        <row r="767">
          <cell r="A767">
            <v>386730</v>
          </cell>
          <cell r="B767" t="str">
            <v>C28-SPOUT CAP R/S YELLOW (WIP)</v>
          </cell>
          <cell r="C767">
            <v>4</v>
          </cell>
          <cell r="D767" t="str">
            <v>INJ</v>
          </cell>
          <cell r="E767" t="str">
            <v>HDPE1010J</v>
          </cell>
          <cell r="F767">
            <v>4.3</v>
          </cell>
          <cell r="G767"/>
          <cell r="H767">
            <v>4</v>
          </cell>
        </row>
        <row r="768">
          <cell r="A768">
            <v>333686</v>
          </cell>
          <cell r="B768" t="str">
            <v>C28-SPOUT CAP RED (WIP)</v>
          </cell>
          <cell r="C768">
            <v>4</v>
          </cell>
          <cell r="D768" t="str">
            <v>INJ</v>
          </cell>
          <cell r="E768" t="str">
            <v>HDPE1010J</v>
          </cell>
          <cell r="F768">
            <v>4.3</v>
          </cell>
          <cell r="G768"/>
          <cell r="H768">
            <v>4.3</v>
          </cell>
        </row>
        <row r="769">
          <cell r="A769">
            <v>324297</v>
          </cell>
          <cell r="B769" t="str">
            <v>C28-SPOUT CAP YELLOW (WIP)</v>
          </cell>
          <cell r="C769">
            <v>4</v>
          </cell>
          <cell r="D769" t="str">
            <v>INJ</v>
          </cell>
          <cell r="E769" t="str">
            <v>HDPE1010J</v>
          </cell>
          <cell r="F769">
            <v>4.3</v>
          </cell>
          <cell r="G769"/>
          <cell r="H769">
            <v>4.17</v>
          </cell>
        </row>
        <row r="770">
          <cell r="A770">
            <v>380964</v>
          </cell>
          <cell r="B770" t="str">
            <v>C32-2PIECE-WHITE</v>
          </cell>
          <cell r="C770">
            <v>4</v>
          </cell>
          <cell r="D770" t="str">
            <v>INJ</v>
          </cell>
          <cell r="E770" t="str">
            <v>HDPE1010J</v>
          </cell>
          <cell r="F770">
            <v>5.5000000000000009</v>
          </cell>
          <cell r="G770"/>
          <cell r="H770">
            <v>5.2</v>
          </cell>
        </row>
        <row r="771">
          <cell r="A771">
            <v>324230</v>
          </cell>
          <cell r="B771" t="str">
            <v>C32-2PIECE-YELLOW</v>
          </cell>
          <cell r="C771">
            <v>4</v>
          </cell>
          <cell r="D771" t="str">
            <v>INJ</v>
          </cell>
          <cell r="E771" t="str">
            <v>HDPE1010J</v>
          </cell>
          <cell r="F771">
            <v>5.5</v>
          </cell>
          <cell r="G771"/>
          <cell r="H771">
            <v>5.2</v>
          </cell>
        </row>
        <row r="772">
          <cell r="A772">
            <v>487478</v>
          </cell>
          <cell r="B772" t="str">
            <v>C35-R/S-F.TOP CARAMEL</v>
          </cell>
          <cell r="C772">
            <v>12</v>
          </cell>
          <cell r="D772" t="str">
            <v>INJ</v>
          </cell>
          <cell r="E772" t="str">
            <v>SM398</v>
          </cell>
          <cell r="F772">
            <v>5.7</v>
          </cell>
          <cell r="G772"/>
          <cell r="H772">
            <v>5.7</v>
          </cell>
        </row>
        <row r="773">
          <cell r="A773">
            <v>487474</v>
          </cell>
          <cell r="B773" t="str">
            <v>C35-R/S-F.TOP CARAMEL W IND SEAL (ASEM)</v>
          </cell>
          <cell r="C773">
            <v>12</v>
          </cell>
          <cell r="D773" t="str">
            <v>INJ</v>
          </cell>
          <cell r="E773" t="str">
            <v>SM398</v>
          </cell>
          <cell r="F773">
            <v>5.86</v>
          </cell>
          <cell r="G773"/>
          <cell r="H773">
            <v>5.86</v>
          </cell>
        </row>
        <row r="774">
          <cell r="A774">
            <v>487475</v>
          </cell>
          <cell r="B774" t="str">
            <v>C35-R/S-F.TOP D.CHOC</v>
          </cell>
          <cell r="C774">
            <v>12</v>
          </cell>
          <cell r="D774" t="str">
            <v>INJ</v>
          </cell>
          <cell r="E774" t="str">
            <v>SM399</v>
          </cell>
          <cell r="F774">
            <v>5.7</v>
          </cell>
          <cell r="G774"/>
          <cell r="H774">
            <v>5.7</v>
          </cell>
        </row>
        <row r="775">
          <cell r="A775">
            <v>487472</v>
          </cell>
          <cell r="B775" t="str">
            <v>C35-R/S-F.TOP D.CHOC W IND SEAL (ASEM)</v>
          </cell>
          <cell r="C775">
            <v>12</v>
          </cell>
          <cell r="D775" t="str">
            <v>INJ</v>
          </cell>
          <cell r="E775" t="str">
            <v>SM398</v>
          </cell>
          <cell r="F775">
            <v>5.86</v>
          </cell>
          <cell r="G775"/>
          <cell r="H775">
            <v>5.86</v>
          </cell>
        </row>
        <row r="776">
          <cell r="A776">
            <v>597677</v>
          </cell>
          <cell r="B776" t="str">
            <v>C35-R/S-F.TOP D.CHOC WITH PP SEAL (ASEM)</v>
          </cell>
          <cell r="C776">
            <v>12</v>
          </cell>
          <cell r="D776" t="str">
            <v>INJ</v>
          </cell>
          <cell r="E776" t="str">
            <v>SM398</v>
          </cell>
          <cell r="F776">
            <v>5.86</v>
          </cell>
          <cell r="G776"/>
          <cell r="H776">
            <v>5.86</v>
          </cell>
        </row>
        <row r="777">
          <cell r="A777">
            <v>487473</v>
          </cell>
          <cell r="B777" t="str">
            <v>C35-R/S-F.TOP STRAW W IND SEAL (ASEM)</v>
          </cell>
          <cell r="C777">
            <v>12</v>
          </cell>
          <cell r="D777" t="str">
            <v>INJ</v>
          </cell>
          <cell r="E777" t="str">
            <v>SM398</v>
          </cell>
          <cell r="F777">
            <v>5.6</v>
          </cell>
          <cell r="G777"/>
          <cell r="H777">
            <v>5.6</v>
          </cell>
        </row>
        <row r="778">
          <cell r="A778">
            <v>605737</v>
          </cell>
          <cell r="B778" t="str">
            <v>C35-R/S-F.TOP GOLD PNCK W  SEAL (ASEM)</v>
          </cell>
          <cell r="C778">
            <v>12</v>
          </cell>
          <cell r="D778" t="str">
            <v>INJ</v>
          </cell>
          <cell r="E778" t="str">
            <v>SM398</v>
          </cell>
          <cell r="F778">
            <v>5.6</v>
          </cell>
          <cell r="G778"/>
          <cell r="H778">
            <v>5.6</v>
          </cell>
        </row>
        <row r="779">
          <cell r="A779">
            <v>606524</v>
          </cell>
          <cell r="B779" t="str">
            <v>C35-R/S-F.TOP D.CHOC W SEAL 2.0 (ASEM)</v>
          </cell>
          <cell r="C779">
            <v>12</v>
          </cell>
          <cell r="D779" t="str">
            <v>INJ</v>
          </cell>
          <cell r="E779" t="str">
            <v>SM398</v>
          </cell>
          <cell r="F779">
            <v>5.86</v>
          </cell>
          <cell r="G779"/>
          <cell r="H779">
            <v>5.86</v>
          </cell>
        </row>
        <row r="780">
          <cell r="A780">
            <v>606528</v>
          </cell>
          <cell r="B780" t="str">
            <v>C35-R/S-F.TOP CARAMEL W SEAL 2.0 (ASEM)</v>
          </cell>
          <cell r="C780">
            <v>12</v>
          </cell>
          <cell r="D780" t="str">
            <v>INJ</v>
          </cell>
          <cell r="E780" t="str">
            <v>SM398</v>
          </cell>
          <cell r="F780">
            <v>5.86</v>
          </cell>
          <cell r="G780"/>
          <cell r="H780">
            <v>5.86</v>
          </cell>
        </row>
        <row r="781">
          <cell r="A781">
            <v>606531</v>
          </cell>
          <cell r="B781" t="str">
            <v>C35-R/S-F.TOP STRAW W IND SEAL 2.0 (ASEM)</v>
          </cell>
          <cell r="C781">
            <v>12</v>
          </cell>
          <cell r="D781" t="str">
            <v>INJ</v>
          </cell>
          <cell r="E781" t="str">
            <v>SM398</v>
          </cell>
          <cell r="F781">
            <v>5.6</v>
          </cell>
          <cell r="G781"/>
          <cell r="H781">
            <v>5.6</v>
          </cell>
        </row>
        <row r="782">
          <cell r="A782">
            <v>487476</v>
          </cell>
          <cell r="B782" t="str">
            <v>C35-R/S-F.TOP STRAWBERRY</v>
          </cell>
          <cell r="C782">
            <v>12</v>
          </cell>
          <cell r="D782" t="str">
            <v>INJ</v>
          </cell>
          <cell r="E782" t="str">
            <v>SM399</v>
          </cell>
          <cell r="F782">
            <v>5.7</v>
          </cell>
          <cell r="G782"/>
          <cell r="H782">
            <v>5.7</v>
          </cell>
        </row>
        <row r="783">
          <cell r="A783">
            <v>575368</v>
          </cell>
          <cell r="B783" t="str">
            <v>C36-AL0512-PUNC-BEIGE C/W 3TAB (DELETE)</v>
          </cell>
          <cell r="C783">
            <v>0</v>
          </cell>
          <cell r="D783" t="str">
            <v>INJ</v>
          </cell>
          <cell r="E783" t="str">
            <v>PP6331</v>
          </cell>
          <cell r="F783">
            <v>4.5999999999999996</v>
          </cell>
          <cell r="G783"/>
          <cell r="H783">
            <v>4.5999999999999996</v>
          </cell>
        </row>
        <row r="784">
          <cell r="A784">
            <v>576582</v>
          </cell>
          <cell r="B784" t="str">
            <v>C36-AL0512-PUNC-BEIGE C/W 3TAB IND SEAL</v>
          </cell>
          <cell r="C784">
            <v>0</v>
          </cell>
          <cell r="D784" t="str">
            <v>INJ</v>
          </cell>
          <cell r="E784" t="str">
            <v>PP6332</v>
          </cell>
          <cell r="F784">
            <v>4.5999999999999996</v>
          </cell>
          <cell r="G784"/>
          <cell r="H784">
            <v>4.5999999999999996</v>
          </cell>
        </row>
        <row r="785">
          <cell r="A785">
            <v>575376</v>
          </cell>
          <cell r="B785" t="str">
            <v>C36-AL0512-PUNC-BLUE C/W 3TAB (DELETE)</v>
          </cell>
          <cell r="C785">
            <v>0</v>
          </cell>
          <cell r="D785" t="str">
            <v>INJ</v>
          </cell>
          <cell r="E785" t="str">
            <v>PP6333</v>
          </cell>
          <cell r="F785">
            <v>4.5999999999999996</v>
          </cell>
          <cell r="G785"/>
          <cell r="H785">
            <v>1</v>
          </cell>
        </row>
        <row r="786">
          <cell r="A786">
            <v>576586</v>
          </cell>
          <cell r="B786" t="str">
            <v>C36-AL0512-PUNC-BLUE C/W 3TAB IND SEAL</v>
          </cell>
          <cell r="C786">
            <v>0</v>
          </cell>
          <cell r="D786" t="str">
            <v>INJ</v>
          </cell>
          <cell r="E786" t="str">
            <v>PP6334</v>
          </cell>
          <cell r="F786">
            <v>4.5999999999999996</v>
          </cell>
          <cell r="G786"/>
          <cell r="H786">
            <v>3.7</v>
          </cell>
        </row>
        <row r="787">
          <cell r="A787">
            <v>386242</v>
          </cell>
          <cell r="B787" t="str">
            <v>C38 EZY CAP -T.RED &amp; B.YELLOW (LPM)</v>
          </cell>
          <cell r="C787">
            <v>2</v>
          </cell>
          <cell r="D787" t="str">
            <v>INJ</v>
          </cell>
          <cell r="E787" t="str">
            <v>HDPE1010J</v>
          </cell>
          <cell r="F787">
            <v>6.9999999999999991</v>
          </cell>
          <cell r="G787"/>
          <cell r="H787">
            <v>6.9</v>
          </cell>
        </row>
        <row r="788">
          <cell r="A788">
            <v>564905</v>
          </cell>
          <cell r="B788" t="str">
            <v>C38-AL0478-R/S FTP BROWN W/ IND SEAL</v>
          </cell>
          <cell r="C788">
            <v>0</v>
          </cell>
          <cell r="D788" t="str">
            <v>INJ</v>
          </cell>
          <cell r="E788" t="str">
            <v>PP6331</v>
          </cell>
          <cell r="F788">
            <v>6.7</v>
          </cell>
          <cell r="G788"/>
          <cell r="H788">
            <v>6.7</v>
          </cell>
        </row>
        <row r="789">
          <cell r="A789">
            <v>322689</v>
          </cell>
          <cell r="B789" t="str">
            <v>C38-EZY CAP YELLOW</v>
          </cell>
          <cell r="C789">
            <v>2</v>
          </cell>
          <cell r="D789" t="str">
            <v>INJ</v>
          </cell>
          <cell r="E789" t="str">
            <v>HDPE1010J</v>
          </cell>
          <cell r="F789">
            <v>1.7</v>
          </cell>
          <cell r="G789"/>
          <cell r="H789">
            <v>6.6</v>
          </cell>
        </row>
        <row r="790">
          <cell r="A790">
            <v>388221</v>
          </cell>
          <cell r="B790" t="str">
            <v>C38-EZY CAP-T.R &amp; B.YEL W PE WAD (ASEM</v>
          </cell>
          <cell r="C790">
            <v>2</v>
          </cell>
          <cell r="D790" t="str">
            <v>INJ</v>
          </cell>
          <cell r="E790" t="str">
            <v>HDPE1010J</v>
          </cell>
          <cell r="F790">
            <v>7.94</v>
          </cell>
          <cell r="G790"/>
          <cell r="H790">
            <v>6.9</v>
          </cell>
        </row>
        <row r="791">
          <cell r="A791">
            <v>379463</v>
          </cell>
          <cell r="B791" t="str">
            <v>C38-EZY CAP-T.R &amp; B.YEL W/ IND SEAL</v>
          </cell>
          <cell r="C791">
            <v>2</v>
          </cell>
          <cell r="D791" t="str">
            <v>INJ</v>
          </cell>
          <cell r="E791" t="str">
            <v>HDPE1010J</v>
          </cell>
          <cell r="F791">
            <v>7.9999999999999991</v>
          </cell>
          <cell r="G791"/>
          <cell r="H791">
            <v>6.9</v>
          </cell>
        </row>
        <row r="792">
          <cell r="A792">
            <v>580540</v>
          </cell>
          <cell r="B792" t="str">
            <v>C38-FILTER CLEAR SMALL HOLE - S</v>
          </cell>
          <cell r="C792">
            <v>8</v>
          </cell>
          <cell r="D792" t="str">
            <v>INJ</v>
          </cell>
          <cell r="E792" t="str">
            <v>PP2300K</v>
          </cell>
          <cell r="F792">
            <v>1</v>
          </cell>
          <cell r="G792"/>
          <cell r="H792">
            <v>3.7</v>
          </cell>
        </row>
        <row r="793">
          <cell r="A793">
            <v>578505</v>
          </cell>
          <cell r="B793" t="str">
            <v>C38-T/E-I/L-C/S-YELLOW(24433374)NESTLE-S</v>
          </cell>
          <cell r="C793">
            <v>8</v>
          </cell>
          <cell r="D793" t="str">
            <v>INJ</v>
          </cell>
          <cell r="E793" t="str">
            <v>HDPE1010J</v>
          </cell>
          <cell r="F793">
            <v>4.7</v>
          </cell>
          <cell r="G793"/>
          <cell r="H793">
            <v>4.7</v>
          </cell>
        </row>
        <row r="794">
          <cell r="A794">
            <v>322692</v>
          </cell>
          <cell r="B794" t="str">
            <v>C38-FILTER CLEAR SMALL HOLE - V</v>
          </cell>
          <cell r="C794">
            <v>8</v>
          </cell>
          <cell r="D794" t="str">
            <v>INJ</v>
          </cell>
          <cell r="E794" t="str">
            <v>PP2300K</v>
          </cell>
          <cell r="F794">
            <v>1</v>
          </cell>
          <cell r="G794"/>
          <cell r="H794">
            <v>1</v>
          </cell>
        </row>
        <row r="795">
          <cell r="A795">
            <v>386248</v>
          </cell>
          <cell r="B795" t="str">
            <v>C38-SPOUT CAP YELLOW WIP</v>
          </cell>
          <cell r="C795">
            <v>2</v>
          </cell>
          <cell r="D795" t="str">
            <v>INJ</v>
          </cell>
          <cell r="E795" t="str">
            <v>HDPE1010J</v>
          </cell>
          <cell r="F795">
            <v>4.6999999999999993</v>
          </cell>
          <cell r="G795"/>
          <cell r="H795">
            <v>4.6999999999999993</v>
          </cell>
        </row>
        <row r="796">
          <cell r="A796">
            <v>324685</v>
          </cell>
          <cell r="B796" t="str">
            <v>C38-T/E-C/S ORANGE (LOOSE PACKING)</v>
          </cell>
          <cell r="C796">
            <v>8</v>
          </cell>
          <cell r="D796" t="str">
            <v>INJ</v>
          </cell>
          <cell r="E796" t="str">
            <v>HDPE1010J</v>
          </cell>
          <cell r="F796">
            <v>3.7</v>
          </cell>
          <cell r="G796"/>
          <cell r="H796">
            <v>3.7</v>
          </cell>
        </row>
        <row r="797">
          <cell r="A797">
            <v>579681</v>
          </cell>
          <cell r="B797" t="str">
            <v>C38-T/E-C/S-BLACK - S</v>
          </cell>
          <cell r="C797">
            <v>0</v>
          </cell>
          <cell r="D797" t="str">
            <v>INJ</v>
          </cell>
          <cell r="E797" t="str">
            <v>HDPE1010J</v>
          </cell>
          <cell r="F797">
            <v>3.7</v>
          </cell>
          <cell r="G797"/>
          <cell r="H797">
            <v>3.7</v>
          </cell>
        </row>
        <row r="798">
          <cell r="A798">
            <v>322671</v>
          </cell>
          <cell r="B798" t="str">
            <v>C38-T/E-C/S-BLACK - V</v>
          </cell>
          <cell r="C798">
            <v>8</v>
          </cell>
          <cell r="D798" t="str">
            <v>INJ</v>
          </cell>
          <cell r="E798" t="str">
            <v>HDPE1010J</v>
          </cell>
          <cell r="F798">
            <v>3.6999999999999997</v>
          </cell>
          <cell r="G798"/>
          <cell r="H798"/>
        </row>
        <row r="799">
          <cell r="A799">
            <v>555193</v>
          </cell>
          <cell r="B799" t="str">
            <v>C38-T/E-C/S-BLACK-ITA</v>
          </cell>
          <cell r="C799">
            <v>8</v>
          </cell>
          <cell r="D799" t="str">
            <v>INJ</v>
          </cell>
          <cell r="E799" t="str">
            <v>HDPE1010J</v>
          </cell>
          <cell r="F799">
            <v>3.6999999999999997</v>
          </cell>
          <cell r="G799"/>
          <cell r="H799">
            <v>3.7</v>
          </cell>
        </row>
        <row r="800">
          <cell r="A800">
            <v>322633</v>
          </cell>
          <cell r="B800" t="str">
            <v>C38-T/E-C/S-BLUE</v>
          </cell>
          <cell r="C800">
            <v>8</v>
          </cell>
          <cell r="D800" t="str">
            <v>INJ</v>
          </cell>
          <cell r="E800" t="str">
            <v>HDPE1010J</v>
          </cell>
          <cell r="F800">
            <v>3.7</v>
          </cell>
          <cell r="G800"/>
          <cell r="H800">
            <v>3.7</v>
          </cell>
        </row>
        <row r="801">
          <cell r="A801">
            <v>322678</v>
          </cell>
          <cell r="B801" t="str">
            <v>C38-T/E-C/S-BRONZE</v>
          </cell>
          <cell r="C801">
            <v>8</v>
          </cell>
          <cell r="D801" t="str">
            <v>INJ</v>
          </cell>
          <cell r="E801" t="str">
            <v>HDPE1010J</v>
          </cell>
          <cell r="F801">
            <v>3.7</v>
          </cell>
          <cell r="G801"/>
          <cell r="H801">
            <v>3.7</v>
          </cell>
        </row>
        <row r="802">
          <cell r="A802">
            <v>322668</v>
          </cell>
          <cell r="B802" t="str">
            <v>C38-T/E-C/S-BROWN</v>
          </cell>
          <cell r="C802">
            <v>8</v>
          </cell>
          <cell r="D802" t="str">
            <v>INJ</v>
          </cell>
          <cell r="E802" t="str">
            <v>HDPE1010J</v>
          </cell>
          <cell r="F802">
            <v>3.7</v>
          </cell>
          <cell r="G802"/>
          <cell r="H802">
            <v>3.7</v>
          </cell>
        </row>
        <row r="803">
          <cell r="A803">
            <v>322639</v>
          </cell>
          <cell r="B803" t="str">
            <v>C38-T/E-C/S-GREEN</v>
          </cell>
          <cell r="C803">
            <v>8</v>
          </cell>
          <cell r="D803" t="str">
            <v>INJ</v>
          </cell>
          <cell r="E803" t="str">
            <v>HDPE1010J</v>
          </cell>
          <cell r="F803">
            <v>3.7</v>
          </cell>
          <cell r="G803"/>
          <cell r="H803">
            <v>3.7</v>
          </cell>
        </row>
        <row r="804">
          <cell r="A804">
            <v>322580</v>
          </cell>
          <cell r="B804" t="str">
            <v>C38-T/E-C/S-ORANGE</v>
          </cell>
          <cell r="C804">
            <v>8</v>
          </cell>
          <cell r="D804" t="str">
            <v>INJ</v>
          </cell>
          <cell r="E804" t="str">
            <v>HDPE1010J</v>
          </cell>
          <cell r="F804">
            <v>3.7</v>
          </cell>
          <cell r="G804"/>
          <cell r="H804">
            <v>3.7</v>
          </cell>
        </row>
        <row r="805">
          <cell r="A805">
            <v>322614</v>
          </cell>
          <cell r="B805" t="str">
            <v>C38-T/E-C/S-RED</v>
          </cell>
          <cell r="C805">
            <v>8</v>
          </cell>
          <cell r="D805" t="str">
            <v>INJ</v>
          </cell>
          <cell r="E805" t="str">
            <v>HDPE1010J</v>
          </cell>
          <cell r="F805">
            <v>3.7</v>
          </cell>
          <cell r="G805"/>
          <cell r="H805"/>
        </row>
        <row r="806">
          <cell r="A806">
            <v>585907</v>
          </cell>
          <cell r="B806" t="str">
            <v>C38-T/E-C/S-RED-S</v>
          </cell>
          <cell r="C806">
            <v>0</v>
          </cell>
          <cell r="D806" t="str">
            <v>INJ</v>
          </cell>
          <cell r="E806" t="str">
            <v>HDPE1010J</v>
          </cell>
          <cell r="F806">
            <v>3.7</v>
          </cell>
          <cell r="G806"/>
          <cell r="H806">
            <v>4</v>
          </cell>
        </row>
        <row r="807">
          <cell r="A807">
            <v>322684</v>
          </cell>
          <cell r="B807" t="str">
            <v>C38-T/E-C/S-SILVER</v>
          </cell>
          <cell r="C807">
            <v>8</v>
          </cell>
          <cell r="D807" t="str">
            <v>INJ</v>
          </cell>
          <cell r="E807" t="str">
            <v>HDPE1010J</v>
          </cell>
          <cell r="F807">
            <v>3.7</v>
          </cell>
          <cell r="G807"/>
          <cell r="H807">
            <v>3.7</v>
          </cell>
        </row>
        <row r="808">
          <cell r="A808">
            <v>322624</v>
          </cell>
          <cell r="B808" t="str">
            <v>C38-T/E-C/S-VIOLET</v>
          </cell>
          <cell r="C808">
            <v>8</v>
          </cell>
          <cell r="D808" t="str">
            <v>INJ</v>
          </cell>
          <cell r="E808" t="str">
            <v>HDPE1010J</v>
          </cell>
          <cell r="F808">
            <v>3.7</v>
          </cell>
          <cell r="G808"/>
          <cell r="H808">
            <v>3.7</v>
          </cell>
        </row>
        <row r="809">
          <cell r="A809">
            <v>322551</v>
          </cell>
          <cell r="B809" t="str">
            <v>C38-T/E-C/S-WHITE</v>
          </cell>
          <cell r="C809">
            <v>8</v>
          </cell>
          <cell r="D809" t="str">
            <v>INJ</v>
          </cell>
          <cell r="E809" t="str">
            <v>HDPE1010J</v>
          </cell>
          <cell r="F809">
            <v>3.7</v>
          </cell>
          <cell r="G809"/>
          <cell r="H809">
            <v>3.7</v>
          </cell>
        </row>
        <row r="810">
          <cell r="A810">
            <v>322567</v>
          </cell>
          <cell r="B810" t="str">
            <v>C38-T/E-C/S-YELLOW - V</v>
          </cell>
          <cell r="C810">
            <v>8</v>
          </cell>
          <cell r="D810" t="str">
            <v>INJ</v>
          </cell>
          <cell r="E810" t="str">
            <v>HDPE1010J</v>
          </cell>
          <cell r="F810">
            <v>3.7</v>
          </cell>
          <cell r="G810"/>
          <cell r="H810">
            <v>3.7</v>
          </cell>
        </row>
        <row r="811">
          <cell r="A811">
            <v>584790</v>
          </cell>
          <cell r="B811" t="str">
            <v>C38-T/E-C/S-YELLOW –S</v>
          </cell>
          <cell r="C811">
            <v>0</v>
          </cell>
          <cell r="D811" t="str">
            <v>INJ</v>
          </cell>
          <cell r="E811" t="str">
            <v>HDPE1010J</v>
          </cell>
          <cell r="F811">
            <v>3.7</v>
          </cell>
          <cell r="G811"/>
          <cell r="H811">
            <v>5</v>
          </cell>
        </row>
        <row r="812">
          <cell r="A812">
            <v>412218</v>
          </cell>
          <cell r="B812" t="str">
            <v>C38-T/E-I/L-C/S-APPLE GREEN</v>
          </cell>
          <cell r="C812">
            <v>8</v>
          </cell>
          <cell r="D812" t="str">
            <v>INJ</v>
          </cell>
          <cell r="E812" t="str">
            <v>HDPE1010J</v>
          </cell>
          <cell r="F812">
            <v>3.75</v>
          </cell>
          <cell r="G812"/>
          <cell r="H812">
            <v>4</v>
          </cell>
        </row>
        <row r="813">
          <cell r="A813">
            <v>322677</v>
          </cell>
          <cell r="B813" t="str">
            <v>C38-T/E-I/L-C/S-BLACK</v>
          </cell>
          <cell r="C813">
            <v>8</v>
          </cell>
          <cell r="D813" t="str">
            <v>INJ</v>
          </cell>
          <cell r="E813" t="str">
            <v>HDPE1010J</v>
          </cell>
          <cell r="F813">
            <v>3.75</v>
          </cell>
          <cell r="G813"/>
          <cell r="H813"/>
        </row>
        <row r="814">
          <cell r="A814">
            <v>579651</v>
          </cell>
          <cell r="B814" t="str">
            <v>C38-T/E-I/L-C/S-BLACK (C) - S</v>
          </cell>
          <cell r="C814">
            <v>0</v>
          </cell>
          <cell r="D814" t="str">
            <v>INJ</v>
          </cell>
          <cell r="E814" t="str">
            <v>HDPE1010J</v>
          </cell>
          <cell r="F814">
            <v>4.7</v>
          </cell>
          <cell r="G814"/>
          <cell r="H814">
            <v>4.7</v>
          </cell>
        </row>
        <row r="815">
          <cell r="A815">
            <v>563999</v>
          </cell>
          <cell r="B815" t="str">
            <v>C38-T/E-I/L-C/S-BLACK (C) - V</v>
          </cell>
          <cell r="C815">
            <v>8</v>
          </cell>
          <cell r="D815" t="str">
            <v>INJ</v>
          </cell>
          <cell r="E815" t="str">
            <v>HDPE1010J</v>
          </cell>
          <cell r="F815">
            <v>4.7</v>
          </cell>
          <cell r="G815"/>
          <cell r="H815">
            <v>4.7</v>
          </cell>
        </row>
        <row r="816">
          <cell r="A816">
            <v>322638</v>
          </cell>
          <cell r="B816" t="str">
            <v>C38-T/E-I/L-C/S-BLUE</v>
          </cell>
          <cell r="C816">
            <v>8</v>
          </cell>
          <cell r="D816" t="str">
            <v>INJ</v>
          </cell>
          <cell r="E816" t="str">
            <v>HDPE1010J</v>
          </cell>
          <cell r="F816">
            <v>3.75</v>
          </cell>
          <cell r="G816"/>
          <cell r="H816">
            <v>4</v>
          </cell>
        </row>
        <row r="817">
          <cell r="A817">
            <v>322682</v>
          </cell>
          <cell r="B817" t="str">
            <v>C38-T/E-I/L-C/S-BRONZE</v>
          </cell>
          <cell r="C817">
            <v>8</v>
          </cell>
          <cell r="D817" t="str">
            <v>INJ</v>
          </cell>
          <cell r="E817" t="str">
            <v>HDPE1010J</v>
          </cell>
          <cell r="F817">
            <v>3.75</v>
          </cell>
          <cell r="G817"/>
          <cell r="H817">
            <v>4</v>
          </cell>
        </row>
        <row r="818">
          <cell r="A818">
            <v>411716</v>
          </cell>
          <cell r="B818" t="str">
            <v>C38-T/E-I/L-C/S-GOLD - V</v>
          </cell>
          <cell r="C818">
            <v>8</v>
          </cell>
          <cell r="D818" t="str">
            <v>INJ</v>
          </cell>
          <cell r="E818" t="str">
            <v>HDPE1010J</v>
          </cell>
          <cell r="F818">
            <v>3.75</v>
          </cell>
          <cell r="G818"/>
          <cell r="H818"/>
        </row>
        <row r="819">
          <cell r="A819">
            <v>579879</v>
          </cell>
          <cell r="B819" t="str">
            <v>C38-T/E-I/L-C/S-GOLD (C) - S</v>
          </cell>
          <cell r="C819">
            <v>0</v>
          </cell>
          <cell r="D819" t="str">
            <v>INJ</v>
          </cell>
          <cell r="E819" t="str">
            <v>HDPE1010J</v>
          </cell>
          <cell r="F819">
            <v>4.7</v>
          </cell>
          <cell r="G819"/>
          <cell r="H819">
            <v>4</v>
          </cell>
        </row>
        <row r="820">
          <cell r="A820">
            <v>322643</v>
          </cell>
          <cell r="B820" t="str">
            <v>C38-T/E-I/L-C/S-GREEN</v>
          </cell>
          <cell r="C820">
            <v>8</v>
          </cell>
          <cell r="D820" t="str">
            <v>INJ</v>
          </cell>
          <cell r="E820" t="str">
            <v>HDPE1010J</v>
          </cell>
          <cell r="F820">
            <v>3.75</v>
          </cell>
          <cell r="G820"/>
          <cell r="H820">
            <v>3.75</v>
          </cell>
        </row>
        <row r="821">
          <cell r="A821">
            <v>577926</v>
          </cell>
          <cell r="B821" t="str">
            <v>C38-T/E-I/L-C/S-GREEN - S</v>
          </cell>
          <cell r="C821">
            <v>0</v>
          </cell>
          <cell r="D821" t="str">
            <v>INJ</v>
          </cell>
          <cell r="E821" t="str">
            <v>HDPE1010J</v>
          </cell>
          <cell r="F821">
            <v>3.75</v>
          </cell>
          <cell r="G821"/>
          <cell r="H821">
            <v>4</v>
          </cell>
        </row>
        <row r="822">
          <cell r="A822">
            <v>579653</v>
          </cell>
          <cell r="B822" t="str">
            <v>C38-T/E-I/L-C/S-GREEN (C) – S</v>
          </cell>
          <cell r="C822">
            <v>0</v>
          </cell>
          <cell r="D822" t="str">
            <v>INJ</v>
          </cell>
          <cell r="E822" t="str">
            <v>HDPE1010J</v>
          </cell>
          <cell r="F822">
            <v>4.7</v>
          </cell>
          <cell r="G822"/>
          <cell r="H822">
            <v>4</v>
          </cell>
        </row>
        <row r="823">
          <cell r="A823">
            <v>471353</v>
          </cell>
          <cell r="B823" t="str">
            <v>C38-T/E-I/L-C/S-GREEN (C) - V</v>
          </cell>
          <cell r="C823">
            <v>8</v>
          </cell>
          <cell r="D823" t="str">
            <v>INJ</v>
          </cell>
          <cell r="E823" t="str">
            <v>HDPE1010J</v>
          </cell>
          <cell r="F823">
            <v>4.7</v>
          </cell>
          <cell r="G823"/>
          <cell r="H823">
            <v>4.7</v>
          </cell>
        </row>
        <row r="824">
          <cell r="A824">
            <v>449174</v>
          </cell>
          <cell r="B824" t="str">
            <v>C38-T/E-I/L-C/S-L.GOLD</v>
          </cell>
          <cell r="C824">
            <v>8</v>
          </cell>
          <cell r="D824" t="str">
            <v>INJ</v>
          </cell>
          <cell r="E824" t="str">
            <v>HDPE1010J</v>
          </cell>
          <cell r="F824">
            <v>3.75</v>
          </cell>
          <cell r="G824"/>
          <cell r="H824">
            <v>3.75</v>
          </cell>
        </row>
        <row r="825">
          <cell r="A825">
            <v>424693</v>
          </cell>
          <cell r="B825" t="str">
            <v>C38-T/E-I/L-C/S-LIGHT RED</v>
          </cell>
          <cell r="C825">
            <v>8</v>
          </cell>
          <cell r="D825" t="str">
            <v>INJ</v>
          </cell>
          <cell r="E825" t="str">
            <v>HDPE1010J</v>
          </cell>
          <cell r="F825">
            <v>3.75</v>
          </cell>
          <cell r="G825"/>
          <cell r="H825">
            <v>4</v>
          </cell>
        </row>
        <row r="826">
          <cell r="A826">
            <v>322583</v>
          </cell>
          <cell r="B826" t="str">
            <v>C38-T/E-I/L-C/S-ORANGE</v>
          </cell>
          <cell r="C826">
            <v>8</v>
          </cell>
          <cell r="D826" t="str">
            <v>INJ</v>
          </cell>
          <cell r="E826" t="str">
            <v>HDPE1010J</v>
          </cell>
          <cell r="F826">
            <v>3.75</v>
          </cell>
          <cell r="G826"/>
          <cell r="H826"/>
        </row>
        <row r="827">
          <cell r="A827">
            <v>579877</v>
          </cell>
          <cell r="B827" t="str">
            <v>C38-T/E-I/L-C/S-ORANGE (C) - S</v>
          </cell>
          <cell r="C827">
            <v>0</v>
          </cell>
          <cell r="D827" t="str">
            <v>INJ</v>
          </cell>
          <cell r="E827" t="str">
            <v>HDPE1010J</v>
          </cell>
          <cell r="F827">
            <v>4.7</v>
          </cell>
          <cell r="G827"/>
          <cell r="H827">
            <v>4</v>
          </cell>
        </row>
        <row r="828">
          <cell r="A828">
            <v>563998</v>
          </cell>
          <cell r="B828" t="str">
            <v>C38-T/E-I/L-C/S-ORANGE (C) - V</v>
          </cell>
          <cell r="C828">
            <v>8</v>
          </cell>
          <cell r="D828" t="str">
            <v>INJ</v>
          </cell>
          <cell r="E828" t="str">
            <v>HDPE1010J</v>
          </cell>
          <cell r="F828">
            <v>4.7</v>
          </cell>
          <cell r="G828"/>
          <cell r="H828">
            <v>4.7</v>
          </cell>
        </row>
        <row r="829">
          <cell r="A829">
            <v>414983</v>
          </cell>
          <cell r="B829" t="str">
            <v>C38-T/E-I/L-C/S-PEARL VIOLET</v>
          </cell>
          <cell r="C829">
            <v>8</v>
          </cell>
          <cell r="D829" t="str">
            <v>INJ</v>
          </cell>
          <cell r="E829" t="str">
            <v>HDPE1010J</v>
          </cell>
          <cell r="F829">
            <v>3.75</v>
          </cell>
          <cell r="G829"/>
          <cell r="H829">
            <v>3.75</v>
          </cell>
        </row>
        <row r="830">
          <cell r="A830">
            <v>322620</v>
          </cell>
          <cell r="B830" t="str">
            <v>C38-T/E-I/L-C/S-RED</v>
          </cell>
          <cell r="C830">
            <v>8</v>
          </cell>
          <cell r="D830" t="str">
            <v>INJ</v>
          </cell>
          <cell r="E830" t="str">
            <v>HDPE1010J</v>
          </cell>
          <cell r="F830">
            <v>3.75</v>
          </cell>
          <cell r="G830"/>
          <cell r="H830">
            <v>4</v>
          </cell>
        </row>
        <row r="831">
          <cell r="A831">
            <v>324154</v>
          </cell>
          <cell r="B831" t="str">
            <v>C38-T/E-I/L-C/S-VIOLET</v>
          </cell>
          <cell r="C831">
            <v>8</v>
          </cell>
          <cell r="D831" t="str">
            <v>INJ</v>
          </cell>
          <cell r="E831" t="str">
            <v>HDPE1010J</v>
          </cell>
          <cell r="F831">
            <v>3.75</v>
          </cell>
          <cell r="G831"/>
          <cell r="H831">
            <v>3.75</v>
          </cell>
        </row>
        <row r="832">
          <cell r="A832">
            <v>322558</v>
          </cell>
          <cell r="B832" t="str">
            <v>C38-T/E-I/L-C/S-WHITE</v>
          </cell>
          <cell r="C832">
            <v>8</v>
          </cell>
          <cell r="D832" t="str">
            <v>INJ</v>
          </cell>
          <cell r="E832" t="str">
            <v>HDPE1010J</v>
          </cell>
          <cell r="F832">
            <v>3.75</v>
          </cell>
          <cell r="G832"/>
          <cell r="H832">
            <v>4</v>
          </cell>
        </row>
        <row r="833">
          <cell r="A833">
            <v>580047</v>
          </cell>
          <cell r="B833" t="str">
            <v>C38-T/E-I/L-C/S-WHITE (C) - S</v>
          </cell>
          <cell r="C833">
            <v>0</v>
          </cell>
          <cell r="D833" t="str">
            <v>INJ</v>
          </cell>
          <cell r="E833" t="str">
            <v>HDPE1010J</v>
          </cell>
          <cell r="F833">
            <v>4.7</v>
          </cell>
          <cell r="G833"/>
          <cell r="H833">
            <v>5</v>
          </cell>
        </row>
        <row r="834">
          <cell r="A834">
            <v>111111</v>
          </cell>
          <cell r="B834" t="str">
            <v>C38-T/E-I/L-C/S-WHITE (E) - V</v>
          </cell>
          <cell r="C834">
            <v>8</v>
          </cell>
          <cell r="D834" t="str">
            <v>INJ</v>
          </cell>
          <cell r="E834" t="str">
            <v>HDPE1010J</v>
          </cell>
          <cell r="F834">
            <v>4.7</v>
          </cell>
          <cell r="G834"/>
          <cell r="H834">
            <v>4.7</v>
          </cell>
        </row>
        <row r="835">
          <cell r="A835">
            <v>322573</v>
          </cell>
          <cell r="B835" t="str">
            <v>C38-T/E-I/L-C/S-YELLOW</v>
          </cell>
          <cell r="C835">
            <v>8</v>
          </cell>
          <cell r="D835" t="str">
            <v>INJ</v>
          </cell>
          <cell r="E835" t="str">
            <v>HDPE1010J</v>
          </cell>
          <cell r="F835">
            <v>3.75</v>
          </cell>
          <cell r="G835"/>
          <cell r="H835"/>
        </row>
        <row r="836">
          <cell r="A836">
            <v>579878</v>
          </cell>
          <cell r="B836" t="str">
            <v>C38-T/E-I/L-C/S-YELLOW (C) - S</v>
          </cell>
          <cell r="C836">
            <v>0</v>
          </cell>
          <cell r="D836" t="str">
            <v>INJ</v>
          </cell>
          <cell r="E836" t="str">
            <v>HDPE1010J</v>
          </cell>
          <cell r="F836">
            <v>4.7</v>
          </cell>
          <cell r="G836"/>
          <cell r="H836">
            <v>3.8</v>
          </cell>
        </row>
        <row r="837">
          <cell r="A837">
            <v>481769</v>
          </cell>
          <cell r="B837" t="str">
            <v>C38-T/E-I/L-C/S-YELLOW (C) - V</v>
          </cell>
          <cell r="C837">
            <v>8</v>
          </cell>
          <cell r="D837" t="str">
            <v>INJ</v>
          </cell>
          <cell r="E837" t="str">
            <v>HDPE1010J</v>
          </cell>
          <cell r="F837">
            <v>4.7</v>
          </cell>
          <cell r="G837"/>
          <cell r="H837">
            <v>4.7</v>
          </cell>
        </row>
        <row r="838">
          <cell r="A838">
            <v>322574</v>
          </cell>
          <cell r="B838" t="str">
            <v>C38-T/E-I/L-C/S-YELLOW(24433374)NESTLE V</v>
          </cell>
          <cell r="C838">
            <v>8</v>
          </cell>
          <cell r="D838" t="str">
            <v>INJ</v>
          </cell>
          <cell r="E838" t="str">
            <v>HDPE1010J</v>
          </cell>
          <cell r="F838">
            <v>4.7</v>
          </cell>
          <cell r="G838"/>
          <cell r="H838">
            <v>5</v>
          </cell>
        </row>
        <row r="839">
          <cell r="A839">
            <v>578505</v>
          </cell>
          <cell r="B839" t="str">
            <v>C38-T/E-I/L-C/S-YELLOW(24433374)NESTLE-S</v>
          </cell>
          <cell r="C839">
            <v>0</v>
          </cell>
          <cell r="D839" t="str">
            <v>INJ</v>
          </cell>
          <cell r="E839" t="str">
            <v>HDPE1010J</v>
          </cell>
          <cell r="F839">
            <v>4.7</v>
          </cell>
          <cell r="G839"/>
          <cell r="H839">
            <v>3.3</v>
          </cell>
        </row>
        <row r="840">
          <cell r="A840">
            <v>322675</v>
          </cell>
          <cell r="B840" t="str">
            <v>C38-T/E-I/L-R/S-BLACK</v>
          </cell>
          <cell r="C840">
            <v>8</v>
          </cell>
          <cell r="D840" t="str">
            <v>INJ</v>
          </cell>
          <cell r="E840" t="str">
            <v>HDPE1010J</v>
          </cell>
          <cell r="F840">
            <v>3.87</v>
          </cell>
          <cell r="G840"/>
          <cell r="H840">
            <v>4</v>
          </cell>
        </row>
        <row r="841">
          <cell r="A841">
            <v>449366</v>
          </cell>
          <cell r="B841" t="str">
            <v>C38-T/E-I/L-R/S-BLACK W P.E WAD (ASEM)</v>
          </cell>
          <cell r="C841">
            <v>8</v>
          </cell>
          <cell r="D841" t="str">
            <v>INJ</v>
          </cell>
          <cell r="E841" t="str">
            <v>HDPE1010J</v>
          </cell>
          <cell r="F841">
            <v>4.87</v>
          </cell>
          <cell r="G841"/>
          <cell r="H841">
            <v>4.87</v>
          </cell>
        </row>
        <row r="842">
          <cell r="A842">
            <v>322636</v>
          </cell>
          <cell r="B842" t="str">
            <v>C38-T/E-I/L-R/S-BLUE</v>
          </cell>
          <cell r="C842">
            <v>8</v>
          </cell>
          <cell r="D842" t="str">
            <v>INJ</v>
          </cell>
          <cell r="E842" t="str">
            <v>HDPE1010J</v>
          </cell>
          <cell r="F842">
            <v>3.87</v>
          </cell>
          <cell r="G842"/>
          <cell r="H842">
            <v>3.87</v>
          </cell>
        </row>
        <row r="843">
          <cell r="A843">
            <v>477022</v>
          </cell>
          <cell r="B843" t="str">
            <v>C38-T/E-I/L-R/S-BRONZE</v>
          </cell>
          <cell r="C843">
            <v>8</v>
          </cell>
          <cell r="D843" t="str">
            <v>INJ</v>
          </cell>
          <cell r="E843" t="str">
            <v>HDPE1010J</v>
          </cell>
          <cell r="F843">
            <v>3.87</v>
          </cell>
          <cell r="G843"/>
          <cell r="H843">
            <v>3.87</v>
          </cell>
        </row>
        <row r="844">
          <cell r="A844">
            <v>322577</v>
          </cell>
          <cell r="B844" t="str">
            <v>C38-T/E-I/L-R/S-GOLD</v>
          </cell>
          <cell r="C844">
            <v>8</v>
          </cell>
          <cell r="D844" t="str">
            <v>INJ</v>
          </cell>
          <cell r="E844" t="str">
            <v>HDPE1010J</v>
          </cell>
          <cell r="F844">
            <v>3.87</v>
          </cell>
          <cell r="G844"/>
          <cell r="H844">
            <v>3.87</v>
          </cell>
        </row>
        <row r="845">
          <cell r="A845">
            <v>322641</v>
          </cell>
          <cell r="B845" t="str">
            <v>C38-T/E-I/L-R/S-GREEN</v>
          </cell>
          <cell r="C845">
            <v>8</v>
          </cell>
          <cell r="D845" t="str">
            <v>INJ</v>
          </cell>
          <cell r="E845" t="str">
            <v>HDPE1010J</v>
          </cell>
          <cell r="F845">
            <v>3.87</v>
          </cell>
          <cell r="G845"/>
          <cell r="H845">
            <v>3.87</v>
          </cell>
        </row>
        <row r="846">
          <cell r="A846">
            <v>338383</v>
          </cell>
          <cell r="B846" t="str">
            <v>C38-T/E-I/L-R/S-GREEN W IND SEAL (ASEM)</v>
          </cell>
          <cell r="C846">
            <v>8</v>
          </cell>
          <cell r="D846" t="str">
            <v>INJ</v>
          </cell>
          <cell r="E846" t="str">
            <v>HDPE1010J</v>
          </cell>
          <cell r="F846">
            <v>4.87</v>
          </cell>
          <cell r="G846"/>
          <cell r="H846">
            <v>3.8</v>
          </cell>
        </row>
        <row r="847">
          <cell r="A847">
            <v>322582</v>
          </cell>
          <cell r="B847" t="str">
            <v>C38-T/E-I/L-R/S-ORANGE</v>
          </cell>
          <cell r="C847">
            <v>8</v>
          </cell>
          <cell r="D847" t="str">
            <v>INJ</v>
          </cell>
          <cell r="E847" t="str">
            <v>HDPE1010J</v>
          </cell>
          <cell r="F847">
            <v>3.87</v>
          </cell>
          <cell r="G847"/>
          <cell r="H847">
            <v>4</v>
          </cell>
        </row>
        <row r="848">
          <cell r="A848">
            <v>322618</v>
          </cell>
          <cell r="B848" t="str">
            <v>C38-T/E-I/L-R/S-RED</v>
          </cell>
          <cell r="C848">
            <v>8</v>
          </cell>
          <cell r="D848" t="str">
            <v>INJ</v>
          </cell>
          <cell r="E848" t="str">
            <v>HDPE1010J</v>
          </cell>
          <cell r="F848">
            <v>3.87</v>
          </cell>
          <cell r="G848"/>
          <cell r="H848">
            <v>4</v>
          </cell>
        </row>
        <row r="849">
          <cell r="A849">
            <v>322690</v>
          </cell>
          <cell r="B849" t="str">
            <v>C38-T/E-I/L-R/S-SP GOLD</v>
          </cell>
          <cell r="C849">
            <v>8</v>
          </cell>
          <cell r="D849" t="str">
            <v>INJ</v>
          </cell>
          <cell r="E849" t="str">
            <v>HDPE1010J</v>
          </cell>
          <cell r="F849">
            <v>3.87</v>
          </cell>
          <cell r="G849"/>
          <cell r="H849">
            <v>3.87</v>
          </cell>
        </row>
        <row r="850">
          <cell r="A850">
            <v>322631</v>
          </cell>
          <cell r="B850" t="str">
            <v>C38-T/E-I/L-R/S-VIOLET</v>
          </cell>
          <cell r="C850">
            <v>8</v>
          </cell>
          <cell r="D850" t="str">
            <v>INJ</v>
          </cell>
          <cell r="E850" t="str">
            <v>HDPE1010J</v>
          </cell>
          <cell r="F850">
            <v>3.87</v>
          </cell>
          <cell r="G850"/>
          <cell r="H850">
            <v>3.87</v>
          </cell>
        </row>
        <row r="851">
          <cell r="A851">
            <v>322553</v>
          </cell>
          <cell r="B851" t="str">
            <v>C38-T/E-I/L-R/S-WHITE</v>
          </cell>
          <cell r="C851">
            <v>8</v>
          </cell>
          <cell r="D851" t="str">
            <v>INJ</v>
          </cell>
          <cell r="E851" t="str">
            <v>HDPE1010J</v>
          </cell>
          <cell r="F851">
            <v>3.87</v>
          </cell>
          <cell r="G851"/>
          <cell r="H851">
            <v>4</v>
          </cell>
        </row>
        <row r="852">
          <cell r="A852">
            <v>322564</v>
          </cell>
          <cell r="B852" t="str">
            <v>C38-T/E-I/L-R/S-WHITE WITH P.E WAD (ASEM</v>
          </cell>
          <cell r="C852">
            <v>8</v>
          </cell>
          <cell r="D852" t="str">
            <v>INJ</v>
          </cell>
          <cell r="E852" t="str">
            <v>HDPE1010J</v>
          </cell>
          <cell r="F852">
            <v>4.87</v>
          </cell>
          <cell r="G852"/>
          <cell r="H852">
            <v>4</v>
          </cell>
        </row>
        <row r="853">
          <cell r="A853">
            <v>581013</v>
          </cell>
          <cell r="B853" t="str">
            <v>C38-T/E-I/L-R/S-YELLOW – S</v>
          </cell>
          <cell r="C853">
            <v>0</v>
          </cell>
          <cell r="D853" t="str">
            <v>INJ</v>
          </cell>
          <cell r="E853" t="str">
            <v>HDPE1010J</v>
          </cell>
          <cell r="F853">
            <v>3.87</v>
          </cell>
          <cell r="G853"/>
          <cell r="H853">
            <v>3.87</v>
          </cell>
        </row>
        <row r="854">
          <cell r="A854">
            <v>322571</v>
          </cell>
          <cell r="B854" t="str">
            <v>C38-T/E-I/L-R/S-YELLOW – V</v>
          </cell>
          <cell r="C854">
            <v>8</v>
          </cell>
          <cell r="D854" t="str">
            <v>INJ</v>
          </cell>
          <cell r="E854" t="str">
            <v>HDPE1010J</v>
          </cell>
          <cell r="F854">
            <v>3.87</v>
          </cell>
          <cell r="G854"/>
          <cell r="H854">
            <v>3.87</v>
          </cell>
        </row>
        <row r="855">
          <cell r="A855">
            <v>340540</v>
          </cell>
          <cell r="B855" t="str">
            <v>C38-T/E-R/S RED WITH P.E WAD (ASEM)</v>
          </cell>
          <cell r="C855">
            <v>8</v>
          </cell>
          <cell r="D855" t="str">
            <v>INJ</v>
          </cell>
          <cell r="E855" t="str">
            <v>HDPE1010J</v>
          </cell>
          <cell r="F855">
            <v>4.3000000000000007</v>
          </cell>
          <cell r="G855"/>
          <cell r="H855">
            <v>3.3</v>
          </cell>
        </row>
        <row r="856">
          <cell r="A856">
            <v>322670</v>
          </cell>
          <cell r="B856" t="str">
            <v>C38-T/E-R/S-BLACK</v>
          </cell>
          <cell r="C856">
            <v>8</v>
          </cell>
          <cell r="D856" t="str">
            <v>INJ</v>
          </cell>
          <cell r="E856" t="str">
            <v>HDPE1010J</v>
          </cell>
          <cell r="F856">
            <v>3.3000000000000003</v>
          </cell>
          <cell r="G856"/>
          <cell r="H856">
            <v>3.5</v>
          </cell>
        </row>
        <row r="857">
          <cell r="A857">
            <v>322634</v>
          </cell>
          <cell r="B857" t="str">
            <v>C38-T/E-R/S-BLUE</v>
          </cell>
          <cell r="C857">
            <v>8</v>
          </cell>
          <cell r="D857" t="str">
            <v>INJ</v>
          </cell>
          <cell r="E857" t="str">
            <v>HDPE1010J</v>
          </cell>
          <cell r="F857">
            <v>3.3000000000000003</v>
          </cell>
          <cell r="G857"/>
          <cell r="H857">
            <v>3.3</v>
          </cell>
        </row>
        <row r="858">
          <cell r="A858">
            <v>331854</v>
          </cell>
          <cell r="B858" t="str">
            <v>C38-T/E-R/S-BLUE WITH P.E WAD (ASEM)</v>
          </cell>
          <cell r="C858">
            <v>8</v>
          </cell>
          <cell r="D858" t="str">
            <v>INJ</v>
          </cell>
          <cell r="E858" t="str">
            <v>HDPE1010J</v>
          </cell>
          <cell r="F858">
            <v>4.3000000000000007</v>
          </cell>
          <cell r="G858"/>
          <cell r="H858">
            <v>3.3</v>
          </cell>
        </row>
        <row r="859">
          <cell r="A859">
            <v>579654</v>
          </cell>
          <cell r="B859" t="str">
            <v>C38-T/E-R/S-GREEN - S</v>
          </cell>
          <cell r="C859">
            <v>0</v>
          </cell>
          <cell r="D859" t="str">
            <v>INJ</v>
          </cell>
          <cell r="E859" t="str">
            <v>HDPE1010J</v>
          </cell>
          <cell r="F859">
            <v>3.3000000000000003</v>
          </cell>
          <cell r="G859"/>
          <cell r="H859">
            <v>31</v>
          </cell>
        </row>
        <row r="860">
          <cell r="A860">
            <v>322644</v>
          </cell>
          <cell r="B860" t="str">
            <v>C38-T/E-R/S-GREEN - V</v>
          </cell>
          <cell r="C860">
            <v>8</v>
          </cell>
          <cell r="D860" t="str">
            <v>INJ</v>
          </cell>
          <cell r="E860" t="str">
            <v>HDPE1010J</v>
          </cell>
          <cell r="F860">
            <v>3.3000000000000003</v>
          </cell>
          <cell r="G860"/>
          <cell r="H860">
            <v>3.3000000000000003</v>
          </cell>
        </row>
        <row r="861">
          <cell r="A861">
            <v>328687</v>
          </cell>
          <cell r="B861" t="str">
            <v>C38-T/E-R/S-GREEN WITH P.E WAD (ASEM)</v>
          </cell>
          <cell r="C861">
            <v>8</v>
          </cell>
          <cell r="D861" t="str">
            <v>INJ</v>
          </cell>
          <cell r="E861" t="str">
            <v>HDPE1010J</v>
          </cell>
          <cell r="F861">
            <v>4.3000000000000007</v>
          </cell>
          <cell r="G861"/>
          <cell r="H861">
            <v>3.3</v>
          </cell>
        </row>
        <row r="862">
          <cell r="A862">
            <v>322584</v>
          </cell>
          <cell r="B862" t="str">
            <v>C38-T/E-R/S-ORANGE</v>
          </cell>
          <cell r="C862">
            <v>8</v>
          </cell>
          <cell r="D862" t="str">
            <v>INJ</v>
          </cell>
          <cell r="E862" t="str">
            <v>HDPE1010J</v>
          </cell>
          <cell r="F862">
            <v>3.3000000000000003</v>
          </cell>
          <cell r="G862"/>
          <cell r="H862">
            <v>3.3</v>
          </cell>
        </row>
        <row r="863">
          <cell r="A863">
            <v>577726</v>
          </cell>
          <cell r="B863" t="str">
            <v>C38-T/E-R/S-ORANGE-S</v>
          </cell>
          <cell r="C863">
            <v>0</v>
          </cell>
          <cell r="D863" t="str">
            <v>INJ</v>
          </cell>
          <cell r="E863" t="str">
            <v>HDPE1010J</v>
          </cell>
          <cell r="F863">
            <v>3.3000000000000003</v>
          </cell>
          <cell r="G863"/>
          <cell r="H863">
            <v>30.5</v>
          </cell>
        </row>
        <row r="864">
          <cell r="A864">
            <v>322616</v>
          </cell>
          <cell r="B864" t="str">
            <v>C38-T/E-R/S-RED</v>
          </cell>
          <cell r="C864">
            <v>8</v>
          </cell>
          <cell r="D864" t="str">
            <v>INJ</v>
          </cell>
          <cell r="E864" t="str">
            <v>HDPE1010J</v>
          </cell>
          <cell r="F864">
            <v>3.3000000000000003</v>
          </cell>
          <cell r="G864"/>
          <cell r="H864">
            <v>3.3</v>
          </cell>
        </row>
        <row r="865">
          <cell r="A865">
            <v>322683</v>
          </cell>
          <cell r="B865" t="str">
            <v>C38-T/E-R/S-SILVER</v>
          </cell>
          <cell r="C865">
            <v>8</v>
          </cell>
          <cell r="D865" t="str">
            <v>INJ</v>
          </cell>
          <cell r="E865" t="str">
            <v>HDPE1010J</v>
          </cell>
          <cell r="F865">
            <v>3.3000000000000003</v>
          </cell>
          <cell r="G865"/>
          <cell r="H865">
            <v>3.3</v>
          </cell>
        </row>
        <row r="866">
          <cell r="A866">
            <v>322625</v>
          </cell>
          <cell r="B866" t="str">
            <v>C38-T/E-R/S-VIOLET</v>
          </cell>
          <cell r="C866">
            <v>8</v>
          </cell>
          <cell r="D866" t="str">
            <v>INJ</v>
          </cell>
          <cell r="E866" t="str">
            <v>HDPE1010J</v>
          </cell>
          <cell r="F866">
            <v>3.3000000000000003</v>
          </cell>
          <cell r="G866"/>
          <cell r="H866">
            <v>3.3000000000000003</v>
          </cell>
        </row>
        <row r="867">
          <cell r="A867">
            <v>322561</v>
          </cell>
          <cell r="B867" t="str">
            <v>C38-T/E-R/S-WHITE</v>
          </cell>
          <cell r="C867">
            <v>8</v>
          </cell>
          <cell r="D867" t="str">
            <v>INJ</v>
          </cell>
          <cell r="E867" t="str">
            <v>HDPE1010J</v>
          </cell>
          <cell r="F867">
            <v>3.3000000000000003</v>
          </cell>
          <cell r="G867"/>
          <cell r="H867">
            <v>3.3</v>
          </cell>
        </row>
        <row r="868">
          <cell r="A868">
            <v>322560</v>
          </cell>
          <cell r="B868" t="str">
            <v>C38-T/E-R/S-WHITE WITH PE WAD (ASEM)</v>
          </cell>
          <cell r="C868">
            <v>8</v>
          </cell>
          <cell r="D868" t="str">
            <v>INJ</v>
          </cell>
          <cell r="E868" t="str">
            <v>HDPE1010J</v>
          </cell>
          <cell r="F868">
            <v>4.3000000000000007</v>
          </cell>
          <cell r="G868"/>
          <cell r="H868">
            <v>3.3</v>
          </cell>
        </row>
        <row r="869">
          <cell r="A869">
            <v>322576</v>
          </cell>
          <cell r="B869" t="str">
            <v>C38-T/E-R/S-YELLOW</v>
          </cell>
          <cell r="C869">
            <v>8</v>
          </cell>
          <cell r="D869" t="str">
            <v>INJ</v>
          </cell>
          <cell r="E869" t="str">
            <v>HDPE1010J</v>
          </cell>
          <cell r="F869">
            <v>3.3000000000000003</v>
          </cell>
          <cell r="G869"/>
          <cell r="H869">
            <v>3.3</v>
          </cell>
        </row>
        <row r="870">
          <cell r="A870">
            <v>334551</v>
          </cell>
          <cell r="B870" t="str">
            <v>C38-T/E-R/S-YELLOW WITH P.E. WAD (ASEM)</v>
          </cell>
          <cell r="C870">
            <v>8</v>
          </cell>
          <cell r="D870" t="str">
            <v>INJ</v>
          </cell>
          <cell r="E870" t="str">
            <v>HDPE1010J</v>
          </cell>
          <cell r="F870">
            <v>4.3000000000000007</v>
          </cell>
          <cell r="G870"/>
          <cell r="H870">
            <v>3.3</v>
          </cell>
        </row>
        <row r="871">
          <cell r="A871">
            <v>322562</v>
          </cell>
          <cell r="B871" t="str">
            <v>C38-TEAR SEAL WHITE CAP</v>
          </cell>
          <cell r="C871">
            <v>8</v>
          </cell>
          <cell r="D871" t="str">
            <v>INJ</v>
          </cell>
          <cell r="E871" t="str">
            <v>LLDPE6201</v>
          </cell>
          <cell r="F871">
            <v>4.6999999999999993</v>
          </cell>
          <cell r="G871"/>
          <cell r="H871">
            <v>4.7</v>
          </cell>
        </row>
        <row r="872">
          <cell r="A872">
            <v>520334</v>
          </cell>
          <cell r="B872" t="str">
            <v>C54-SNAP ON CAP - WHITE (LJ)</v>
          </cell>
          <cell r="C872">
            <v>4</v>
          </cell>
          <cell r="D872" t="str">
            <v>INJ</v>
          </cell>
          <cell r="E872" t="str">
            <v>PP2300K</v>
          </cell>
          <cell r="F872">
            <v>10</v>
          </cell>
          <cell r="G872"/>
          <cell r="H872">
            <v>9.75</v>
          </cell>
        </row>
        <row r="873">
          <cell r="A873">
            <v>546292</v>
          </cell>
          <cell r="B873" t="str">
            <v>C56-Gold Screw Cap</v>
          </cell>
          <cell r="C873">
            <v>4</v>
          </cell>
          <cell r="D873" t="str">
            <v>INJ</v>
          </cell>
          <cell r="E873" t="str">
            <v>SM6331</v>
          </cell>
          <cell r="F873">
            <v>5.1000000000000005</v>
          </cell>
          <cell r="G873"/>
          <cell r="H873">
            <v>5.1000000000000005</v>
          </cell>
        </row>
        <row r="874">
          <cell r="A874">
            <v>565885</v>
          </cell>
          <cell r="B874" t="str">
            <v>C56-Gold Screw Cap with Aluminium Wad</v>
          </cell>
          <cell r="C874">
            <v>0</v>
          </cell>
          <cell r="D874" t="str">
            <v>INJ</v>
          </cell>
          <cell r="E874" t="str">
            <v>SM6331</v>
          </cell>
          <cell r="F874">
            <v>6.1000000000000005</v>
          </cell>
          <cell r="G874"/>
          <cell r="H874">
            <v>6.1000000000000005</v>
          </cell>
        </row>
        <row r="875">
          <cell r="A875">
            <v>546271</v>
          </cell>
          <cell r="B875" t="str">
            <v>C56-Gold Screw Cap with Paper Wad</v>
          </cell>
          <cell r="C875">
            <v>4</v>
          </cell>
          <cell r="D875" t="str">
            <v>INJ</v>
          </cell>
          <cell r="E875" t="str">
            <v>SM6331</v>
          </cell>
          <cell r="F875">
            <v>6.1000000000000005</v>
          </cell>
          <cell r="G875"/>
          <cell r="H875">
            <v>4.8</v>
          </cell>
        </row>
        <row r="876">
          <cell r="A876">
            <v>322694</v>
          </cell>
          <cell r="B876" t="str">
            <v>C63-BUNG CLEAR</v>
          </cell>
          <cell r="C876">
            <v>4</v>
          </cell>
          <cell r="D876" t="str">
            <v>INJ</v>
          </cell>
          <cell r="E876" t="str">
            <v>LLDPE6201</v>
          </cell>
          <cell r="F876">
            <v>2.8</v>
          </cell>
          <cell r="G876"/>
          <cell r="H876">
            <v>2.8</v>
          </cell>
        </row>
        <row r="877">
          <cell r="A877">
            <v>322698</v>
          </cell>
          <cell r="B877" t="str">
            <v>C63-BUNG GOLD</v>
          </cell>
          <cell r="C877">
            <v>4</v>
          </cell>
          <cell r="D877" t="str">
            <v>INJ</v>
          </cell>
          <cell r="E877" t="str">
            <v>LLDPE6201</v>
          </cell>
          <cell r="F877">
            <v>2.8000000000000003</v>
          </cell>
          <cell r="G877"/>
          <cell r="H877">
            <v>2.8</v>
          </cell>
        </row>
        <row r="878">
          <cell r="A878">
            <v>322695</v>
          </cell>
          <cell r="B878" t="str">
            <v>C63-BUNG WHITE</v>
          </cell>
          <cell r="C878">
            <v>4</v>
          </cell>
          <cell r="D878" t="str">
            <v>INJ</v>
          </cell>
          <cell r="E878" t="str">
            <v>LLDPE6201</v>
          </cell>
          <cell r="F878">
            <v>2.8000000000000003</v>
          </cell>
          <cell r="G878"/>
          <cell r="H878">
            <v>2.8</v>
          </cell>
        </row>
        <row r="879">
          <cell r="A879">
            <v>665673</v>
          </cell>
          <cell r="B879" t="str">
            <v>C32- TOP CAP-RED-KKM</v>
          </cell>
          <cell r="C879">
            <v>8</v>
          </cell>
          <cell r="D879" t="str">
            <v>INJ</v>
          </cell>
          <cell r="E879" t="str">
            <v>SM398</v>
          </cell>
          <cell r="F879">
            <v>2.1</v>
          </cell>
          <cell r="G879"/>
          <cell r="H879">
            <v>2.1</v>
          </cell>
        </row>
        <row r="880">
          <cell r="A880">
            <v>665674</v>
          </cell>
          <cell r="B880" t="str">
            <v>C32- BOTTOM CAP-RED-KKM</v>
          </cell>
          <cell r="C880">
            <v>8</v>
          </cell>
          <cell r="D880" t="str">
            <v>INJ</v>
          </cell>
          <cell r="E880" t="str">
            <v>LLDPE6101 / HDPE6178</v>
          </cell>
          <cell r="F880">
            <v>3.8010000000000002</v>
          </cell>
          <cell r="G880"/>
          <cell r="H880">
            <v>3.8010000000000002</v>
          </cell>
        </row>
        <row r="881">
          <cell r="A881">
            <v>665672</v>
          </cell>
          <cell r="B881" t="str">
            <v>C32-2 PIECE-T.RED &amp;.B.RED-KKM (ASEM)-S</v>
          </cell>
          <cell r="C881">
            <v>1</v>
          </cell>
          <cell r="D881" t="str">
            <v>AEM</v>
          </cell>
          <cell r="E881" t="str">
            <v>SM398 / LLDPE6101 / HDPE6178</v>
          </cell>
          <cell r="F881">
            <v>5.9</v>
          </cell>
          <cell r="G881"/>
          <cell r="H881">
            <v>5.9</v>
          </cell>
        </row>
        <row r="882">
          <cell r="A882">
            <v>322659</v>
          </cell>
          <cell r="B882" t="str">
            <v>C63-D/C 3H BLUE</v>
          </cell>
          <cell r="C882">
            <v>2</v>
          </cell>
          <cell r="D882" t="str">
            <v>INJ</v>
          </cell>
          <cell r="E882" t="str">
            <v>PP2300K</v>
          </cell>
          <cell r="F882">
            <v>15.1</v>
          </cell>
          <cell r="G882"/>
          <cell r="H882">
            <v>15.1</v>
          </cell>
        </row>
        <row r="883">
          <cell r="A883">
            <v>411346</v>
          </cell>
          <cell r="B883" t="str">
            <v>C63-D/C 3H BROWN W ACT SEAL (ASEM)</v>
          </cell>
          <cell r="C883">
            <v>2</v>
          </cell>
          <cell r="D883" t="str">
            <v>INJ</v>
          </cell>
          <cell r="E883" t="str">
            <v>PP2300K</v>
          </cell>
          <cell r="F883">
            <v>16.100000000000001</v>
          </cell>
          <cell r="G883"/>
          <cell r="H883">
            <v>16.100000000000001</v>
          </cell>
        </row>
        <row r="884">
          <cell r="A884">
            <v>322658</v>
          </cell>
          <cell r="B884" t="str">
            <v>C63-D/C 3H ORANGE</v>
          </cell>
          <cell r="C884">
            <v>2</v>
          </cell>
          <cell r="D884" t="str">
            <v>INJ</v>
          </cell>
          <cell r="E884" t="str">
            <v>PP2300K</v>
          </cell>
          <cell r="F884">
            <v>15.1</v>
          </cell>
          <cell r="G884"/>
          <cell r="H884">
            <v>15.1</v>
          </cell>
        </row>
        <row r="885">
          <cell r="A885">
            <v>322656</v>
          </cell>
          <cell r="B885" t="str">
            <v>C63-D/C 3H RED</v>
          </cell>
          <cell r="C885">
            <v>2</v>
          </cell>
          <cell r="D885" t="str">
            <v>INJ</v>
          </cell>
          <cell r="E885" t="str">
            <v>PP2300K</v>
          </cell>
          <cell r="F885">
            <v>15.1</v>
          </cell>
          <cell r="G885"/>
          <cell r="H885">
            <v>13.85</v>
          </cell>
        </row>
        <row r="886">
          <cell r="A886">
            <v>322657</v>
          </cell>
          <cell r="B886" t="str">
            <v>C63-D/C 3H WHITE</v>
          </cell>
          <cell r="C886">
            <v>2</v>
          </cell>
          <cell r="D886" t="str">
            <v>INJ</v>
          </cell>
          <cell r="E886" t="str">
            <v>PP2300K</v>
          </cell>
          <cell r="F886">
            <v>15.1</v>
          </cell>
          <cell r="G886"/>
          <cell r="H886">
            <v>13.85</v>
          </cell>
        </row>
        <row r="887">
          <cell r="A887">
            <v>322655</v>
          </cell>
          <cell r="B887" t="str">
            <v>C63-D/C 3H YELLOW</v>
          </cell>
          <cell r="C887">
            <v>2</v>
          </cell>
          <cell r="D887" t="str">
            <v>INJ</v>
          </cell>
          <cell r="E887" t="str">
            <v>PP2300K</v>
          </cell>
          <cell r="F887">
            <v>15.1</v>
          </cell>
          <cell r="G887"/>
          <cell r="H887">
            <v>15.1</v>
          </cell>
        </row>
        <row r="888">
          <cell r="A888">
            <v>519157</v>
          </cell>
          <cell r="B888" t="str">
            <v>C63-D/C 6H BLACK (BOTTOM)</v>
          </cell>
          <cell r="C888">
            <v>4</v>
          </cell>
          <cell r="D888" t="str">
            <v>INJ</v>
          </cell>
          <cell r="E888" t="str">
            <v>PP2300K</v>
          </cell>
          <cell r="F888">
            <v>8.1999999999999993</v>
          </cell>
          <cell r="G888"/>
          <cell r="H888">
            <v>8.1999999999999993</v>
          </cell>
        </row>
        <row r="889">
          <cell r="A889">
            <v>519158</v>
          </cell>
          <cell r="B889" t="str">
            <v>C63-D/C 6H BLACK (TOP)</v>
          </cell>
          <cell r="C889">
            <v>4</v>
          </cell>
          <cell r="D889" t="str">
            <v>INJ</v>
          </cell>
          <cell r="E889" t="str">
            <v>PP2300K</v>
          </cell>
          <cell r="F889">
            <v>4.5999999999999996</v>
          </cell>
          <cell r="G889"/>
          <cell r="H889">
            <v>4.5999999999999996</v>
          </cell>
        </row>
        <row r="890">
          <cell r="A890">
            <v>328487</v>
          </cell>
          <cell r="B890" t="str">
            <v>C63-D/C 6H BLACK W IND SEAL W/EAR (ASEM)</v>
          </cell>
          <cell r="C890">
            <v>4</v>
          </cell>
          <cell r="D890" t="str">
            <v>INJ</v>
          </cell>
          <cell r="E890" t="str">
            <v>PP2300K</v>
          </cell>
          <cell r="F890">
            <v>13.84</v>
          </cell>
          <cell r="G890"/>
          <cell r="H890">
            <v>13</v>
          </cell>
        </row>
        <row r="891">
          <cell r="A891">
            <v>338315</v>
          </cell>
          <cell r="B891" t="str">
            <v>C63-D/C 6H D.BLUE (BOTTOM)</v>
          </cell>
          <cell r="C891">
            <v>4</v>
          </cell>
          <cell r="D891" t="str">
            <v>INJ</v>
          </cell>
          <cell r="E891" t="str">
            <v>PP2300K</v>
          </cell>
          <cell r="F891">
            <v>8.1999999999999993</v>
          </cell>
          <cell r="G891"/>
          <cell r="H891">
            <v>8</v>
          </cell>
        </row>
        <row r="892">
          <cell r="A892">
            <v>373387</v>
          </cell>
          <cell r="B892" t="str">
            <v>C63-D/C 6H D.BLUE (TOP)</v>
          </cell>
          <cell r="C892">
            <v>4</v>
          </cell>
          <cell r="D892" t="str">
            <v>INJ</v>
          </cell>
          <cell r="E892" t="str">
            <v>PP2300K</v>
          </cell>
          <cell r="F892">
            <v>4.5999999999999996</v>
          </cell>
          <cell r="G892"/>
          <cell r="H892">
            <v>5</v>
          </cell>
        </row>
        <row r="893">
          <cell r="A893">
            <v>387467</v>
          </cell>
          <cell r="B893" t="str">
            <v>C63-D/C 6H D.GREEN</v>
          </cell>
          <cell r="C893">
            <v>4</v>
          </cell>
          <cell r="D893" t="str">
            <v>INJ</v>
          </cell>
          <cell r="E893" t="str">
            <v>PP2300K</v>
          </cell>
          <cell r="F893">
            <v>12.84</v>
          </cell>
          <cell r="G893"/>
          <cell r="H893">
            <v>12.6</v>
          </cell>
        </row>
        <row r="894">
          <cell r="A894">
            <v>387468</v>
          </cell>
          <cell r="B894" t="str">
            <v>C63-D/C 6H D.GREEN (BOTTOM)</v>
          </cell>
          <cell r="C894">
            <v>4</v>
          </cell>
          <cell r="D894" t="str">
            <v>INJ</v>
          </cell>
          <cell r="E894" t="str">
            <v>PP2300K</v>
          </cell>
          <cell r="F894">
            <v>8.1999999999999993</v>
          </cell>
          <cell r="G894"/>
          <cell r="H894">
            <v>8.1999999999999993</v>
          </cell>
        </row>
        <row r="895">
          <cell r="A895">
            <v>387469</v>
          </cell>
          <cell r="B895" t="str">
            <v>C63-D/C 6H D.GREEN (TOP)</v>
          </cell>
          <cell r="C895">
            <v>4</v>
          </cell>
          <cell r="D895" t="str">
            <v>INJ</v>
          </cell>
          <cell r="E895" t="str">
            <v>PP2300K</v>
          </cell>
          <cell r="F895">
            <v>4.5999999999999996</v>
          </cell>
          <cell r="G895"/>
          <cell r="H895">
            <v>4.5999999999999996</v>
          </cell>
        </row>
        <row r="896">
          <cell r="A896">
            <v>324223</v>
          </cell>
          <cell r="B896" t="str">
            <v>C63-D/C 6H L.BLUE (BOTTOM)</v>
          </cell>
          <cell r="C896">
            <v>4</v>
          </cell>
          <cell r="D896" t="str">
            <v>INJ</v>
          </cell>
          <cell r="E896" t="str">
            <v>PP2300K</v>
          </cell>
          <cell r="F896">
            <v>8.1999999999999993</v>
          </cell>
          <cell r="G896"/>
          <cell r="H896">
            <v>8.1999999999999993</v>
          </cell>
        </row>
        <row r="897">
          <cell r="A897">
            <v>338312</v>
          </cell>
          <cell r="B897" t="str">
            <v>C63-D/C 6H L.BLUE (NEMAR) (TOP)</v>
          </cell>
          <cell r="C897">
            <v>4</v>
          </cell>
          <cell r="D897" t="str">
            <v>INJ</v>
          </cell>
          <cell r="E897" t="str">
            <v>PP2300K</v>
          </cell>
          <cell r="F897">
            <v>4.5999999999999996</v>
          </cell>
          <cell r="G897"/>
          <cell r="H897">
            <v>4.5999999999999996</v>
          </cell>
        </row>
        <row r="898">
          <cell r="A898">
            <v>324222</v>
          </cell>
          <cell r="B898" t="str">
            <v>C63-D/C 6H ORANGE (BOTTOM)</v>
          </cell>
          <cell r="C898">
            <v>4</v>
          </cell>
          <cell r="D898" t="str">
            <v>INJ</v>
          </cell>
          <cell r="E898" t="str">
            <v>PP2300K</v>
          </cell>
          <cell r="F898">
            <v>8.1999999999999993</v>
          </cell>
          <cell r="G898"/>
          <cell r="H898">
            <v>13</v>
          </cell>
        </row>
        <row r="899">
          <cell r="A899">
            <v>373369</v>
          </cell>
          <cell r="B899" t="str">
            <v>C63-D/C 6H ORANGE (TOP)</v>
          </cell>
          <cell r="C899">
            <v>4</v>
          </cell>
          <cell r="D899" t="str">
            <v>INJ</v>
          </cell>
          <cell r="E899" t="str">
            <v>PP2300K</v>
          </cell>
          <cell r="F899">
            <v>4.5999999999999996</v>
          </cell>
          <cell r="G899"/>
          <cell r="H899">
            <v>4.5999999999999996</v>
          </cell>
        </row>
        <row r="900">
          <cell r="A900">
            <v>324224</v>
          </cell>
          <cell r="B900" t="str">
            <v>C63-D/C 6H YELLOW (BOTTOM)</v>
          </cell>
          <cell r="C900">
            <v>4</v>
          </cell>
          <cell r="D900" t="str">
            <v>INJ</v>
          </cell>
          <cell r="E900" t="str">
            <v>PP2300K</v>
          </cell>
          <cell r="F900">
            <v>8.1999999999999993</v>
          </cell>
          <cell r="G900"/>
          <cell r="H900">
            <v>13</v>
          </cell>
        </row>
        <row r="901">
          <cell r="A901">
            <v>324225</v>
          </cell>
          <cell r="B901" t="str">
            <v>C63-D/C 6H YELLOW (NEMAR) (TOP)</v>
          </cell>
          <cell r="C901">
            <v>4</v>
          </cell>
          <cell r="D901" t="str">
            <v>INJ</v>
          </cell>
          <cell r="E901" t="str">
            <v>PP2300K</v>
          </cell>
          <cell r="F901">
            <v>4.5999999999999996</v>
          </cell>
          <cell r="G901"/>
          <cell r="H901">
            <v>13</v>
          </cell>
        </row>
        <row r="902">
          <cell r="A902">
            <v>373385</v>
          </cell>
          <cell r="B902" t="str">
            <v>C63-D/C 6H YELLOW (TOP)</v>
          </cell>
          <cell r="C902">
            <v>4</v>
          </cell>
          <cell r="D902" t="str">
            <v>INJ</v>
          </cell>
          <cell r="E902" t="str">
            <v>PP2300K</v>
          </cell>
          <cell r="F902">
            <v>4.5999999999999996</v>
          </cell>
          <cell r="G902"/>
          <cell r="H902">
            <v>4.5999999999999996</v>
          </cell>
        </row>
        <row r="903">
          <cell r="A903">
            <v>322647</v>
          </cell>
          <cell r="B903" t="str">
            <v>C63-D/C 7H BLACK</v>
          </cell>
          <cell r="C903">
            <v>4</v>
          </cell>
          <cell r="D903" t="str">
            <v>INJ</v>
          </cell>
          <cell r="E903" t="str">
            <v>PP2300K</v>
          </cell>
          <cell r="F903">
            <v>13.200000000000001</v>
          </cell>
          <cell r="G903"/>
          <cell r="H903">
            <v>13.2</v>
          </cell>
        </row>
        <row r="904">
          <cell r="A904">
            <v>334752</v>
          </cell>
          <cell r="B904" t="str">
            <v>C63-D/C 7H BLACK W ACT SEAL (ASEM)</v>
          </cell>
          <cell r="C904">
            <v>4</v>
          </cell>
          <cell r="D904" t="str">
            <v>INJ</v>
          </cell>
          <cell r="E904" t="str">
            <v>PP2300K</v>
          </cell>
          <cell r="F904">
            <v>14.200000000000001</v>
          </cell>
          <cell r="G904"/>
          <cell r="H904">
            <v>14.200000000000001</v>
          </cell>
        </row>
        <row r="905">
          <cell r="A905">
            <v>328469</v>
          </cell>
          <cell r="B905" t="str">
            <v>C63-D/C 7H BLACK W IND SEAL W/EAR (ASEM)</v>
          </cell>
          <cell r="C905">
            <v>4</v>
          </cell>
          <cell r="D905" t="str">
            <v>INJ</v>
          </cell>
          <cell r="E905" t="str">
            <v>PP2300K</v>
          </cell>
          <cell r="F905">
            <v>14.200000000000001</v>
          </cell>
          <cell r="G905"/>
          <cell r="H905">
            <v>14.200000000000001</v>
          </cell>
        </row>
        <row r="906">
          <cell r="A906">
            <v>322650</v>
          </cell>
          <cell r="B906" t="str">
            <v>C63-D/C 7H BLUE</v>
          </cell>
          <cell r="C906">
            <v>4</v>
          </cell>
          <cell r="D906" t="str">
            <v>INJ</v>
          </cell>
          <cell r="E906" t="str">
            <v>PP2300K</v>
          </cell>
          <cell r="F906">
            <v>13.200000000000001</v>
          </cell>
          <cell r="G906"/>
          <cell r="H906">
            <v>13.2</v>
          </cell>
        </row>
        <row r="907">
          <cell r="A907">
            <v>338313</v>
          </cell>
          <cell r="B907" t="str">
            <v>C63-D/C 7H BLUE (NEMAR) (TOP)</v>
          </cell>
          <cell r="C907">
            <v>4</v>
          </cell>
          <cell r="D907" t="str">
            <v>INJ</v>
          </cell>
          <cell r="E907" t="str">
            <v>PP2300K</v>
          </cell>
          <cell r="F907">
            <v>4.5999999999999996</v>
          </cell>
          <cell r="G907"/>
          <cell r="H907">
            <v>4.5999999999999996</v>
          </cell>
        </row>
        <row r="908">
          <cell r="A908">
            <v>365134</v>
          </cell>
          <cell r="B908" t="str">
            <v>C63-D/C 7H BLUE W ACT SEAL (ASEM)</v>
          </cell>
          <cell r="C908">
            <v>4</v>
          </cell>
          <cell r="D908" t="str">
            <v>INJ</v>
          </cell>
          <cell r="E908" t="str">
            <v>PP2300K</v>
          </cell>
          <cell r="F908">
            <v>14.200000000000001</v>
          </cell>
          <cell r="G908"/>
          <cell r="H908">
            <v>13.2</v>
          </cell>
        </row>
        <row r="909">
          <cell r="A909">
            <v>452298</v>
          </cell>
          <cell r="B909" t="str">
            <v>C63-D/C 7H BLUE W IND SEAL W/EAR (ASEM)</v>
          </cell>
          <cell r="C909">
            <v>4</v>
          </cell>
          <cell r="D909" t="str">
            <v>INJ</v>
          </cell>
          <cell r="E909" t="str">
            <v>PP2300K</v>
          </cell>
          <cell r="F909">
            <v>14.200000000000001</v>
          </cell>
          <cell r="G909"/>
          <cell r="H909">
            <v>14.200000000000001</v>
          </cell>
        </row>
        <row r="910">
          <cell r="A910">
            <v>389517</v>
          </cell>
          <cell r="B910" t="str">
            <v>C63-D/C 7H D.BLUE</v>
          </cell>
          <cell r="C910">
            <v>4</v>
          </cell>
          <cell r="D910" t="str">
            <v>INJ</v>
          </cell>
          <cell r="E910" t="str">
            <v>PP2300K</v>
          </cell>
          <cell r="F910">
            <v>13.200000000000001</v>
          </cell>
          <cell r="G910"/>
          <cell r="H910">
            <v>13.2</v>
          </cell>
        </row>
        <row r="911">
          <cell r="A911">
            <v>324219</v>
          </cell>
          <cell r="B911" t="str">
            <v>C63-D/C 7H GREEN</v>
          </cell>
          <cell r="C911">
            <v>4</v>
          </cell>
          <cell r="D911" t="str">
            <v>INJ</v>
          </cell>
          <cell r="E911" t="str">
            <v>PP2300K</v>
          </cell>
          <cell r="F911">
            <v>13.200000000000001</v>
          </cell>
          <cell r="G911"/>
          <cell r="H911">
            <v>13.2</v>
          </cell>
        </row>
        <row r="912">
          <cell r="A912">
            <v>322665</v>
          </cell>
          <cell r="B912" t="str">
            <v>C63-D/C 7H GREY</v>
          </cell>
          <cell r="C912">
            <v>4</v>
          </cell>
          <cell r="D912" t="str">
            <v>INJ</v>
          </cell>
          <cell r="E912" t="str">
            <v>PP2300K</v>
          </cell>
          <cell r="F912">
            <v>13.200000000000001</v>
          </cell>
          <cell r="G912"/>
          <cell r="H912">
            <v>13.2</v>
          </cell>
        </row>
        <row r="913">
          <cell r="A913">
            <v>334768</v>
          </cell>
          <cell r="B913" t="str">
            <v>C63-D/C 7H MAROON</v>
          </cell>
          <cell r="C913">
            <v>4</v>
          </cell>
          <cell r="D913" t="str">
            <v>INJ</v>
          </cell>
          <cell r="E913" t="str">
            <v>PP2300K</v>
          </cell>
          <cell r="F913">
            <v>13.200000000000001</v>
          </cell>
          <cell r="G913"/>
          <cell r="H913">
            <v>13.200000000000001</v>
          </cell>
        </row>
        <row r="914">
          <cell r="A914">
            <v>334731</v>
          </cell>
          <cell r="B914" t="str">
            <v>C63-D/C 7H MAROON W ACT SEAL (ASEM)</v>
          </cell>
          <cell r="C914">
            <v>4</v>
          </cell>
          <cell r="D914" t="str">
            <v>INJ</v>
          </cell>
          <cell r="E914" t="str">
            <v>PP2300K</v>
          </cell>
          <cell r="F914">
            <v>14.200000000000001</v>
          </cell>
          <cell r="G914"/>
          <cell r="H914">
            <v>14.200000000000001</v>
          </cell>
        </row>
        <row r="915">
          <cell r="A915">
            <v>425688</v>
          </cell>
          <cell r="B915" t="str">
            <v>C63-D/C 7H ORANGE</v>
          </cell>
          <cell r="C915">
            <v>4</v>
          </cell>
          <cell r="D915" t="str">
            <v>INJ</v>
          </cell>
          <cell r="E915" t="str">
            <v>PP2300K</v>
          </cell>
          <cell r="F915">
            <v>13.200000000000001</v>
          </cell>
          <cell r="G915"/>
          <cell r="H915">
            <v>13</v>
          </cell>
        </row>
        <row r="916">
          <cell r="A916">
            <v>478369</v>
          </cell>
          <cell r="B916" t="str">
            <v>C63-D/C 7H PRO.YELLOW W ACT SEAL (ASEM)</v>
          </cell>
          <cell r="C916">
            <v>4</v>
          </cell>
          <cell r="D916" t="str">
            <v>INJ</v>
          </cell>
          <cell r="E916" t="str">
            <v>PP2300K</v>
          </cell>
          <cell r="F916">
            <v>14.200000000000001</v>
          </cell>
          <cell r="G916"/>
          <cell r="H916">
            <v>14.200000000000001</v>
          </cell>
        </row>
        <row r="917">
          <cell r="A917">
            <v>459161</v>
          </cell>
          <cell r="B917" t="str">
            <v>C63-D/C 7H PROCESS YELLOW</v>
          </cell>
          <cell r="C917">
            <v>4</v>
          </cell>
          <cell r="D917" t="str">
            <v>INJ</v>
          </cell>
          <cell r="E917" t="str">
            <v>PP2300K</v>
          </cell>
          <cell r="F917">
            <v>13.200000000000001</v>
          </cell>
          <cell r="G917"/>
          <cell r="H917">
            <v>13.2</v>
          </cell>
        </row>
        <row r="918">
          <cell r="A918">
            <v>322646</v>
          </cell>
          <cell r="B918" t="str">
            <v>C63-D/C 7H RED</v>
          </cell>
          <cell r="C918">
            <v>4</v>
          </cell>
          <cell r="D918" t="str">
            <v>INJ</v>
          </cell>
          <cell r="E918" t="str">
            <v>PP2300K</v>
          </cell>
          <cell r="F918">
            <v>13.200000000000001</v>
          </cell>
          <cell r="G918"/>
          <cell r="H918">
            <v>13.2</v>
          </cell>
        </row>
        <row r="919">
          <cell r="A919">
            <v>322653</v>
          </cell>
          <cell r="B919" t="str">
            <v>C63-D/C 7H RED MAGGI</v>
          </cell>
          <cell r="C919">
            <v>4</v>
          </cell>
          <cell r="D919" t="str">
            <v>INJ</v>
          </cell>
          <cell r="E919" t="str">
            <v>PP2300K</v>
          </cell>
          <cell r="F919">
            <v>13.200000000000001</v>
          </cell>
          <cell r="G919"/>
          <cell r="H919">
            <v>13.200000000000001</v>
          </cell>
        </row>
        <row r="920">
          <cell r="A920">
            <v>322654</v>
          </cell>
          <cell r="B920" t="str">
            <v>C63-D/C 7H RED MAGGI WITH UNI-GARD (ASEM</v>
          </cell>
          <cell r="C920">
            <v>4</v>
          </cell>
          <cell r="D920" t="str">
            <v>INJ</v>
          </cell>
          <cell r="E920" t="str">
            <v>PP2300K</v>
          </cell>
          <cell r="F920">
            <v>14.200000000000001</v>
          </cell>
          <cell r="G920"/>
          <cell r="H920">
            <v>13.2</v>
          </cell>
        </row>
        <row r="921">
          <cell r="A921">
            <v>324298</v>
          </cell>
          <cell r="B921" t="str">
            <v>C63-D/C 7H RED W IND SEAL W/EAR (ASEM)</v>
          </cell>
          <cell r="C921">
            <v>4</v>
          </cell>
          <cell r="D921" t="str">
            <v>INJ</v>
          </cell>
          <cell r="E921" t="str">
            <v>PP2300K</v>
          </cell>
          <cell r="F921">
            <v>14.200000000000001</v>
          </cell>
          <cell r="G921"/>
          <cell r="H921">
            <v>13.2</v>
          </cell>
        </row>
        <row r="922">
          <cell r="A922">
            <v>540600</v>
          </cell>
          <cell r="B922" t="str">
            <v>C63-D/C 7H RED-ACTIVATED SEAL (ASSEM)</v>
          </cell>
          <cell r="C922">
            <v>4</v>
          </cell>
          <cell r="D922" t="str">
            <v>INJ</v>
          </cell>
          <cell r="E922" t="str">
            <v>PP2300K</v>
          </cell>
          <cell r="F922">
            <v>14.200000000000001</v>
          </cell>
          <cell r="G922"/>
          <cell r="H922">
            <v>14.200000000000001</v>
          </cell>
        </row>
        <row r="923">
          <cell r="A923">
            <v>322666</v>
          </cell>
          <cell r="B923" t="str">
            <v>C63-D/C 7H SILVER</v>
          </cell>
          <cell r="C923">
            <v>4</v>
          </cell>
          <cell r="D923" t="str">
            <v>INJ</v>
          </cell>
          <cell r="E923" t="str">
            <v>PP2300K</v>
          </cell>
          <cell r="F923">
            <v>13.200000000000001</v>
          </cell>
          <cell r="G923"/>
          <cell r="H923">
            <v>13.2</v>
          </cell>
        </row>
        <row r="924">
          <cell r="A924">
            <v>345184</v>
          </cell>
          <cell r="B924" t="str">
            <v>C63-D/C 7H SILVER W IND SEAL W/EAR(ASEM)</v>
          </cell>
          <cell r="C924">
            <v>4</v>
          </cell>
          <cell r="D924" t="str">
            <v>INJ</v>
          </cell>
          <cell r="E924" t="str">
            <v>PP2300K</v>
          </cell>
          <cell r="F924">
            <v>14.200000000000001</v>
          </cell>
          <cell r="G924"/>
          <cell r="H924">
            <v>13.2</v>
          </cell>
        </row>
        <row r="925">
          <cell r="A925">
            <v>543625</v>
          </cell>
          <cell r="B925" t="str">
            <v>C63-D/C 7H TEAL GREEN PMS3262C</v>
          </cell>
          <cell r="C925">
            <v>4</v>
          </cell>
          <cell r="D925" t="str">
            <v>INJ</v>
          </cell>
          <cell r="E925" t="str">
            <v>PP2300K</v>
          </cell>
          <cell r="F925">
            <v>13.200000000000001</v>
          </cell>
          <cell r="G925"/>
          <cell r="H925">
            <v>13.200000000000001</v>
          </cell>
        </row>
        <row r="926">
          <cell r="A926">
            <v>325544</v>
          </cell>
          <cell r="B926" t="str">
            <v>C63-D/C 7H WH W/O LOGO I/S WIV EAR(ASEM)</v>
          </cell>
          <cell r="C926">
            <v>4</v>
          </cell>
          <cell r="D926" t="str">
            <v>INJ</v>
          </cell>
          <cell r="E926" t="str">
            <v>PP2300K</v>
          </cell>
          <cell r="F926">
            <v>14.200000000000001</v>
          </cell>
          <cell r="G926"/>
          <cell r="H926">
            <v>14.200000000000001</v>
          </cell>
        </row>
        <row r="927">
          <cell r="A927">
            <v>322648</v>
          </cell>
          <cell r="B927" t="str">
            <v>C63-D/C 7H WHITE</v>
          </cell>
          <cell r="C927">
            <v>4</v>
          </cell>
          <cell r="D927" t="str">
            <v>INJ</v>
          </cell>
          <cell r="E927" t="str">
            <v>PP2300K</v>
          </cell>
          <cell r="F927">
            <v>13.200000000000001</v>
          </cell>
          <cell r="G927"/>
          <cell r="H927">
            <v>13.2</v>
          </cell>
        </row>
        <row r="928">
          <cell r="A928">
            <v>362713</v>
          </cell>
          <cell r="B928" t="str">
            <v>C63-D/C 7H WHITE W IND SEAL W/EAR (ASEM)</v>
          </cell>
          <cell r="C928">
            <v>4</v>
          </cell>
          <cell r="D928" t="str">
            <v>INJ</v>
          </cell>
          <cell r="E928" t="str">
            <v>PP2300K</v>
          </cell>
          <cell r="F928">
            <v>14.200000000000001</v>
          </cell>
          <cell r="G928"/>
          <cell r="H928">
            <v>13.2</v>
          </cell>
        </row>
        <row r="929">
          <cell r="A929">
            <v>322649</v>
          </cell>
          <cell r="B929" t="str">
            <v>C63-D/C 7H YELLOW</v>
          </cell>
          <cell r="C929">
            <v>4</v>
          </cell>
          <cell r="D929" t="str">
            <v>INJ</v>
          </cell>
          <cell r="E929" t="str">
            <v>PP2300K</v>
          </cell>
          <cell r="F929">
            <v>13.200000000000001</v>
          </cell>
          <cell r="G929"/>
          <cell r="H929">
            <v>13.2</v>
          </cell>
        </row>
        <row r="930">
          <cell r="A930">
            <v>412041</v>
          </cell>
          <cell r="B930" t="str">
            <v>C63-D/C-3H-BROWN</v>
          </cell>
          <cell r="C930">
            <v>2</v>
          </cell>
          <cell r="D930" t="str">
            <v>INJ</v>
          </cell>
          <cell r="E930" t="str">
            <v>PP2300K</v>
          </cell>
          <cell r="F930">
            <v>15.1</v>
          </cell>
          <cell r="G930"/>
          <cell r="H930">
            <v>15.1</v>
          </cell>
        </row>
        <row r="931">
          <cell r="A931">
            <v>322680</v>
          </cell>
          <cell r="B931" t="str">
            <v>C63-T/E-R/S BERYLS BRONZE</v>
          </cell>
          <cell r="C931">
            <v>4</v>
          </cell>
          <cell r="D931" t="str">
            <v>INJ</v>
          </cell>
          <cell r="E931" t="str">
            <v>HDPE1010J</v>
          </cell>
          <cell r="F931">
            <v>7.3000000000000007</v>
          </cell>
          <cell r="G931"/>
          <cell r="H931">
            <v>7</v>
          </cell>
        </row>
        <row r="932">
          <cell r="A932">
            <v>337709</v>
          </cell>
          <cell r="B932" t="str">
            <v>C63-T/E-R/S BERYLS GOLD</v>
          </cell>
          <cell r="C932">
            <v>4</v>
          </cell>
          <cell r="D932" t="str">
            <v>INJ</v>
          </cell>
          <cell r="E932" t="str">
            <v>HDPE1010J</v>
          </cell>
          <cell r="F932">
            <v>7.3000000000000007</v>
          </cell>
          <cell r="G932"/>
          <cell r="H932">
            <v>7</v>
          </cell>
        </row>
        <row r="933">
          <cell r="A933">
            <v>322674</v>
          </cell>
          <cell r="B933" t="str">
            <v>C63-T/E-R/S BLACK WITH P.E WAD (ASEM)</v>
          </cell>
          <cell r="C933">
            <v>4</v>
          </cell>
          <cell r="D933" t="str">
            <v>INJ</v>
          </cell>
          <cell r="E933" t="str">
            <v>HDPE1010J</v>
          </cell>
          <cell r="F933">
            <v>10.3</v>
          </cell>
          <cell r="G933"/>
          <cell r="H933">
            <v>7</v>
          </cell>
        </row>
        <row r="934">
          <cell r="A934">
            <v>361239</v>
          </cell>
          <cell r="B934" t="str">
            <v>C63-T/E-R/S PRO.BLUE</v>
          </cell>
          <cell r="C934">
            <v>4</v>
          </cell>
          <cell r="D934" t="str">
            <v>INJ</v>
          </cell>
          <cell r="E934" t="str">
            <v>HDPE1010J</v>
          </cell>
          <cell r="F934">
            <v>7.3000000000000007</v>
          </cell>
          <cell r="G934"/>
          <cell r="H934">
            <v>7.3000000000000007</v>
          </cell>
        </row>
        <row r="935">
          <cell r="A935">
            <v>359998</v>
          </cell>
          <cell r="B935" t="str">
            <v>C63-T/E-R/S PRO.BLUE WITH P.E WAD (ASEM)</v>
          </cell>
          <cell r="C935">
            <v>4</v>
          </cell>
          <cell r="D935" t="str">
            <v>INJ</v>
          </cell>
          <cell r="E935" t="str">
            <v>HDPE1010J</v>
          </cell>
          <cell r="F935">
            <v>8.3000000000000007</v>
          </cell>
          <cell r="G935"/>
          <cell r="H935"/>
        </row>
        <row r="936">
          <cell r="A936">
            <v>455983</v>
          </cell>
          <cell r="B936" t="str">
            <v>C63-T/E-R/S YLW W IND SEAL W/EAR (ASEM)</v>
          </cell>
          <cell r="C936">
            <v>4</v>
          </cell>
          <cell r="D936" t="str">
            <v>INJ</v>
          </cell>
          <cell r="E936" t="str">
            <v>HDPE1010J</v>
          </cell>
          <cell r="F936">
            <v>8.3000000000000007</v>
          </cell>
          <cell r="G936"/>
          <cell r="H936">
            <v>8</v>
          </cell>
        </row>
        <row r="937">
          <cell r="A937">
            <v>326415</v>
          </cell>
          <cell r="B937" t="str">
            <v>C63-T/E-R/S-APPLE GREEN</v>
          </cell>
          <cell r="C937">
            <v>4</v>
          </cell>
          <cell r="D937" t="str">
            <v>INJ</v>
          </cell>
          <cell r="E937" t="str">
            <v>HDPE1010J</v>
          </cell>
          <cell r="F937">
            <v>7.3000000000000007</v>
          </cell>
          <cell r="G937"/>
          <cell r="H937">
            <v>7</v>
          </cell>
        </row>
        <row r="938">
          <cell r="A938">
            <v>322672</v>
          </cell>
          <cell r="B938" t="str">
            <v>C63-T/E-R/S-BLACK</v>
          </cell>
          <cell r="C938">
            <v>4</v>
          </cell>
          <cell r="D938" t="str">
            <v>INJ</v>
          </cell>
          <cell r="E938" t="str">
            <v>HDPE1010J</v>
          </cell>
          <cell r="F938">
            <v>7.3000000000000007</v>
          </cell>
          <cell r="G938"/>
          <cell r="H938">
            <v>7</v>
          </cell>
        </row>
        <row r="939">
          <cell r="A939">
            <v>502881</v>
          </cell>
          <cell r="B939" t="str">
            <v>C63-T/E-R/S-BLACK W ACT SEAL (ASEM) - V</v>
          </cell>
          <cell r="C939">
            <v>4</v>
          </cell>
          <cell r="D939" t="str">
            <v>INJ</v>
          </cell>
          <cell r="E939" t="str">
            <v>HDPE1010J</v>
          </cell>
          <cell r="F939">
            <v>8.3000000000000007</v>
          </cell>
          <cell r="G939"/>
          <cell r="H939">
            <v>8.3000000000000007</v>
          </cell>
        </row>
        <row r="940">
          <cell r="A940">
            <v>475572</v>
          </cell>
          <cell r="B940" t="str">
            <v>C63-T/E-R/S-BLACK W/ IND SEAL W/ EAR</v>
          </cell>
          <cell r="C940">
            <v>4</v>
          </cell>
          <cell r="D940" t="str">
            <v>INJ</v>
          </cell>
          <cell r="E940" t="str">
            <v>HDPE1010J</v>
          </cell>
          <cell r="F940">
            <v>8.3000000000000007</v>
          </cell>
          <cell r="G940"/>
          <cell r="H940">
            <v>7</v>
          </cell>
        </row>
        <row r="941">
          <cell r="A941">
            <v>322635</v>
          </cell>
          <cell r="B941" t="str">
            <v>C63-T/E-R/S-BLUE</v>
          </cell>
          <cell r="C941">
            <v>4</v>
          </cell>
          <cell r="D941" t="str">
            <v>INJ</v>
          </cell>
          <cell r="E941" t="str">
            <v>HDPE1010J</v>
          </cell>
          <cell r="F941">
            <v>7.3000000000000007</v>
          </cell>
          <cell r="G941"/>
          <cell r="H941">
            <v>7</v>
          </cell>
        </row>
        <row r="942">
          <cell r="A942">
            <v>322679</v>
          </cell>
          <cell r="B942" t="str">
            <v>C63-T/E-R/S-BRONZE</v>
          </cell>
          <cell r="C942">
            <v>4</v>
          </cell>
          <cell r="D942" t="str">
            <v>INJ</v>
          </cell>
          <cell r="E942" t="str">
            <v>HDPE1010J</v>
          </cell>
          <cell r="F942">
            <v>7.3000000000000007</v>
          </cell>
          <cell r="G942"/>
          <cell r="H942">
            <v>7</v>
          </cell>
        </row>
        <row r="943">
          <cell r="A943">
            <v>324156</v>
          </cell>
          <cell r="B943" t="str">
            <v>C63-T/E-R/S-BROWN</v>
          </cell>
          <cell r="C943">
            <v>4</v>
          </cell>
          <cell r="D943" t="str">
            <v>INJ</v>
          </cell>
          <cell r="E943" t="str">
            <v>HDPE1010J</v>
          </cell>
          <cell r="F943">
            <v>7.3000000000000007</v>
          </cell>
          <cell r="G943"/>
          <cell r="H943">
            <v>7</v>
          </cell>
        </row>
        <row r="944">
          <cell r="A944">
            <v>555128</v>
          </cell>
          <cell r="B944" t="str">
            <v>C63-T/E-R/S-BROWN WITH ACT SEAL (ASEM)</v>
          </cell>
          <cell r="C944">
            <v>4</v>
          </cell>
          <cell r="D944" t="str">
            <v>INJ</v>
          </cell>
          <cell r="E944" t="str">
            <v>HDPE1010J</v>
          </cell>
          <cell r="F944">
            <v>8.3000000000000007</v>
          </cell>
          <cell r="G944"/>
          <cell r="H944">
            <v>7.8</v>
          </cell>
        </row>
        <row r="945">
          <cell r="A945">
            <v>324155</v>
          </cell>
          <cell r="B945" t="str">
            <v>C63-T/E-R/S-D.GREEN</v>
          </cell>
          <cell r="C945">
            <v>4</v>
          </cell>
          <cell r="D945" t="str">
            <v>INJ</v>
          </cell>
          <cell r="E945" t="str">
            <v>HDPE1010J</v>
          </cell>
          <cell r="F945">
            <v>7.3000000000000007</v>
          </cell>
          <cell r="G945"/>
          <cell r="H945">
            <v>7</v>
          </cell>
        </row>
        <row r="946">
          <cell r="A946">
            <v>472132</v>
          </cell>
          <cell r="B946" t="str">
            <v>C63-T/E-R/S-D.GREEN W IND SEAL (ASEM)</v>
          </cell>
          <cell r="C946">
            <v>4</v>
          </cell>
          <cell r="D946" t="str">
            <v>INJ</v>
          </cell>
          <cell r="E946" t="str">
            <v>HDPE1010J</v>
          </cell>
          <cell r="F946">
            <v>8.3000000000000007</v>
          </cell>
          <cell r="G946"/>
          <cell r="H946">
            <v>7</v>
          </cell>
        </row>
        <row r="947">
          <cell r="A947">
            <v>322632</v>
          </cell>
          <cell r="B947" t="str">
            <v>C63-T/E-R/S-GOLD</v>
          </cell>
          <cell r="C947">
            <v>4</v>
          </cell>
          <cell r="D947" t="str">
            <v>INJ</v>
          </cell>
          <cell r="E947" t="str">
            <v>HDPE1010J</v>
          </cell>
          <cell r="F947">
            <v>7.3000000000000007</v>
          </cell>
          <cell r="G947"/>
          <cell r="H947">
            <v>7</v>
          </cell>
        </row>
        <row r="948">
          <cell r="A948">
            <v>478691</v>
          </cell>
          <cell r="B948" t="str">
            <v>C63-T/E-R/S-GOLD 9048</v>
          </cell>
          <cell r="C948">
            <v>4</v>
          </cell>
          <cell r="D948" t="str">
            <v>INJ</v>
          </cell>
          <cell r="E948" t="str">
            <v>HDPE1010J</v>
          </cell>
          <cell r="F948">
            <v>7.3000000000000007</v>
          </cell>
          <cell r="G948"/>
          <cell r="H948">
            <v>7.01</v>
          </cell>
        </row>
        <row r="949">
          <cell r="A949">
            <v>478933</v>
          </cell>
          <cell r="B949" t="str">
            <v>C63-T/E-R/S-GOLD 9048 W ACT SEAL (ASEM)</v>
          </cell>
          <cell r="C949">
            <v>4</v>
          </cell>
          <cell r="D949" t="str">
            <v>INJ</v>
          </cell>
          <cell r="E949" t="str">
            <v>HDPE1010J</v>
          </cell>
          <cell r="F949">
            <v>8.3000000000000007</v>
          </cell>
          <cell r="G949"/>
          <cell r="H949"/>
        </row>
        <row r="950">
          <cell r="A950">
            <v>322640</v>
          </cell>
          <cell r="B950" t="str">
            <v>C63-T/E-R/S-GREEN</v>
          </cell>
          <cell r="C950">
            <v>4</v>
          </cell>
          <cell r="D950" t="str">
            <v>INJ</v>
          </cell>
          <cell r="E950" t="str">
            <v>HDPE1010J</v>
          </cell>
          <cell r="F950">
            <v>7.3000000000000007</v>
          </cell>
          <cell r="G950"/>
          <cell r="H950">
            <v>7</v>
          </cell>
        </row>
        <row r="951">
          <cell r="A951">
            <v>322581</v>
          </cell>
          <cell r="B951" t="str">
            <v>C63-T/E-R/S-ORANGE</v>
          </cell>
          <cell r="C951">
            <v>4</v>
          </cell>
          <cell r="D951" t="str">
            <v>INJ</v>
          </cell>
          <cell r="E951" t="str">
            <v>HDPE1010J</v>
          </cell>
          <cell r="F951">
            <v>7.3000000000000007</v>
          </cell>
          <cell r="G951"/>
          <cell r="H951">
            <v>7</v>
          </cell>
        </row>
        <row r="952">
          <cell r="A952">
            <v>330922</v>
          </cell>
          <cell r="B952" t="str">
            <v>C63-T/E-R/S-PINK</v>
          </cell>
          <cell r="C952">
            <v>4</v>
          </cell>
          <cell r="D952" t="str">
            <v>INJ</v>
          </cell>
          <cell r="E952" t="str">
            <v>HDPE1010J</v>
          </cell>
          <cell r="F952">
            <v>7.3000000000000007</v>
          </cell>
          <cell r="G952"/>
          <cell r="H952">
            <v>7</v>
          </cell>
        </row>
        <row r="953">
          <cell r="A953">
            <v>322617</v>
          </cell>
          <cell r="B953" t="str">
            <v>C63-T/E-R/S-RED</v>
          </cell>
          <cell r="C953">
            <v>4</v>
          </cell>
          <cell r="D953" t="str">
            <v>INJ</v>
          </cell>
          <cell r="E953" t="str">
            <v>HDPE1010J</v>
          </cell>
          <cell r="F953">
            <v>7.3000000000000007</v>
          </cell>
          <cell r="G953"/>
          <cell r="H953">
            <v>7</v>
          </cell>
        </row>
        <row r="954">
          <cell r="A954">
            <v>335770</v>
          </cell>
          <cell r="B954" t="str">
            <v>C63-T/E-R/S-RED (BERYLS)</v>
          </cell>
          <cell r="C954">
            <v>4</v>
          </cell>
          <cell r="D954" t="str">
            <v>INJ</v>
          </cell>
          <cell r="E954" t="str">
            <v>HDPE1010J</v>
          </cell>
          <cell r="F954">
            <v>7.3000000000000007</v>
          </cell>
          <cell r="G954"/>
          <cell r="H954">
            <v>7.3000000000000007</v>
          </cell>
        </row>
        <row r="955">
          <cell r="A955">
            <v>322626</v>
          </cell>
          <cell r="B955" t="str">
            <v>C63-T/E-R/S-VIOLET</v>
          </cell>
          <cell r="C955">
            <v>4</v>
          </cell>
          <cell r="D955" t="str">
            <v>INJ</v>
          </cell>
          <cell r="E955" t="str">
            <v>HDPE1010J</v>
          </cell>
          <cell r="F955">
            <v>7.3000000000000007</v>
          </cell>
          <cell r="G955"/>
          <cell r="H955">
            <v>7</v>
          </cell>
        </row>
        <row r="956">
          <cell r="A956">
            <v>545429</v>
          </cell>
          <cell r="B956" t="str">
            <v>C63-T/E-R/S-VIOLET 2.0</v>
          </cell>
          <cell r="C956">
            <v>4</v>
          </cell>
          <cell r="D956" t="str">
            <v>INJ</v>
          </cell>
          <cell r="E956" t="str">
            <v>HDPE1010J</v>
          </cell>
          <cell r="F956">
            <v>7.3000000000000007</v>
          </cell>
          <cell r="G956"/>
          <cell r="H956">
            <v>7.3000000000000007</v>
          </cell>
        </row>
        <row r="957">
          <cell r="A957">
            <v>322552</v>
          </cell>
          <cell r="B957" t="str">
            <v>C63-T/E-R/S-WHITE</v>
          </cell>
          <cell r="C957">
            <v>4</v>
          </cell>
          <cell r="D957" t="str">
            <v>INJ</v>
          </cell>
          <cell r="E957" t="str">
            <v>HDPE1010J</v>
          </cell>
          <cell r="F957">
            <v>7.3000000000000007</v>
          </cell>
          <cell r="G957"/>
          <cell r="H957">
            <v>7</v>
          </cell>
        </row>
        <row r="958">
          <cell r="A958">
            <v>329665</v>
          </cell>
          <cell r="B958" t="str">
            <v>C63-T/E-R/S-WHITE WITH ACT SEAL (ASEM)</v>
          </cell>
          <cell r="C958">
            <v>4</v>
          </cell>
          <cell r="D958" t="str">
            <v>INJ</v>
          </cell>
          <cell r="E958" t="str">
            <v>HDPE1010J</v>
          </cell>
          <cell r="F958">
            <v>8.3000000000000007</v>
          </cell>
          <cell r="G958"/>
          <cell r="H958">
            <v>8.3000000000000007</v>
          </cell>
        </row>
        <row r="959">
          <cell r="A959">
            <v>322557</v>
          </cell>
          <cell r="B959" t="str">
            <v>C63-T/E-R/S-WHITE WITH P.E WAD (ASEM) -V</v>
          </cell>
          <cell r="C959">
            <v>4</v>
          </cell>
          <cell r="D959" t="str">
            <v>INJ</v>
          </cell>
          <cell r="E959" t="str">
            <v>HDPE1010J</v>
          </cell>
          <cell r="F959">
            <v>10.3</v>
          </cell>
          <cell r="G959"/>
          <cell r="H959">
            <v>7.2</v>
          </cell>
        </row>
        <row r="960">
          <cell r="A960">
            <v>439887</v>
          </cell>
          <cell r="B960" t="str">
            <v>C63-T/E-R/S-WHT W IND SEAL W/EAR (ASEM)</v>
          </cell>
          <cell r="C960">
            <v>4</v>
          </cell>
          <cell r="D960" t="str">
            <v>INJ</v>
          </cell>
          <cell r="E960" t="str">
            <v>HDPE1010J</v>
          </cell>
          <cell r="F960">
            <v>8.3000000000000007</v>
          </cell>
          <cell r="G960"/>
          <cell r="H960">
            <v>7</v>
          </cell>
        </row>
        <row r="961">
          <cell r="A961">
            <v>322568</v>
          </cell>
          <cell r="B961" t="str">
            <v>C63-T/E-R/S-YELLOW</v>
          </cell>
          <cell r="C961">
            <v>4</v>
          </cell>
          <cell r="D961" t="str">
            <v>INJ</v>
          </cell>
          <cell r="E961" t="str">
            <v>HDPE1010J</v>
          </cell>
          <cell r="F961">
            <v>7.3000000000000007</v>
          </cell>
          <cell r="G961"/>
          <cell r="H961">
            <v>7</v>
          </cell>
        </row>
        <row r="962">
          <cell r="A962">
            <v>432636</v>
          </cell>
          <cell r="B962" t="str">
            <v>C63-T/E-R/S-YELLOW TAMIN</v>
          </cell>
          <cell r="C962">
            <v>4</v>
          </cell>
          <cell r="D962" t="str">
            <v>INJ</v>
          </cell>
          <cell r="E962" t="str">
            <v>HDPE1010J</v>
          </cell>
          <cell r="F962">
            <v>7.3000000000000007</v>
          </cell>
          <cell r="G962"/>
          <cell r="H962">
            <v>7.2</v>
          </cell>
        </row>
        <row r="963">
          <cell r="A963">
            <v>432569</v>
          </cell>
          <cell r="B963" t="str">
            <v>C63-T/E-R/S-YELLOW TAMIN W PPR WAD-ASEM</v>
          </cell>
          <cell r="C963">
            <v>4</v>
          </cell>
          <cell r="D963" t="str">
            <v>INJ</v>
          </cell>
          <cell r="E963" t="str">
            <v>HDPE1010J</v>
          </cell>
          <cell r="F963">
            <v>8.3000000000000007</v>
          </cell>
          <cell r="G963"/>
          <cell r="H963">
            <v>49</v>
          </cell>
        </row>
        <row r="964">
          <cell r="A964">
            <v>322570</v>
          </cell>
          <cell r="B964" t="str">
            <v>C63-T/E-R/S-YELLOW WITH P.E WAD (ASEM)</v>
          </cell>
          <cell r="C964">
            <v>4</v>
          </cell>
          <cell r="D964" t="str">
            <v>INJ</v>
          </cell>
          <cell r="E964" t="str">
            <v>HDPE1010J</v>
          </cell>
          <cell r="F964">
            <v>8.3000000000000007</v>
          </cell>
          <cell r="G964"/>
          <cell r="H964">
            <v>56.9</v>
          </cell>
        </row>
        <row r="965">
          <cell r="A965">
            <v>333702</v>
          </cell>
          <cell r="B965" t="str">
            <v>C90-T/E-I/L-R/S-A-BLUE</v>
          </cell>
          <cell r="C965">
            <v>2</v>
          </cell>
          <cell r="D965" t="str">
            <v>INJ</v>
          </cell>
          <cell r="E965" t="str">
            <v>HDPE1010J</v>
          </cell>
          <cell r="F965">
            <v>16.2</v>
          </cell>
          <cell r="G965"/>
          <cell r="H965">
            <v>16.2</v>
          </cell>
        </row>
        <row r="966">
          <cell r="A966">
            <v>333690</v>
          </cell>
          <cell r="B966" t="str">
            <v>C90-T/E-I/L-R/S-A-GREEN</v>
          </cell>
          <cell r="C966">
            <v>2</v>
          </cell>
          <cell r="D966" t="str">
            <v>INJ</v>
          </cell>
          <cell r="E966" t="str">
            <v>HDPE1010J</v>
          </cell>
          <cell r="F966">
            <v>16.2</v>
          </cell>
          <cell r="G966"/>
          <cell r="H966">
            <v>16.2</v>
          </cell>
        </row>
        <row r="967">
          <cell r="A967">
            <v>333703</v>
          </cell>
          <cell r="B967" t="str">
            <v>C90-T/E-I/L-R/S-A-ORANGE</v>
          </cell>
          <cell r="C967">
            <v>2</v>
          </cell>
          <cell r="D967" t="str">
            <v>INJ</v>
          </cell>
          <cell r="E967" t="str">
            <v>HDPE1010J</v>
          </cell>
          <cell r="F967">
            <v>16.2</v>
          </cell>
          <cell r="G967"/>
          <cell r="H967">
            <v>16.2</v>
          </cell>
        </row>
        <row r="968">
          <cell r="A968">
            <v>542692</v>
          </cell>
          <cell r="B968" t="str">
            <v>EBK38-0375-K-Q-B.YL-PE(S0376)</v>
          </cell>
          <cell r="C968">
            <v>2</v>
          </cell>
          <cell r="D968" t="str">
            <v>EBM</v>
          </cell>
          <cell r="E968" t="str">
            <v>HDPE5403A+LDPE265YZ</v>
          </cell>
          <cell r="F968">
            <v>29.5</v>
          </cell>
          <cell r="G968"/>
          <cell r="H968">
            <v>30.72</v>
          </cell>
        </row>
        <row r="969">
          <cell r="A969">
            <v>552986</v>
          </cell>
          <cell r="B969" t="str">
            <v>EBK38-0375-K-Q-BL-PE(S0376)</v>
          </cell>
          <cell r="C969">
            <v>2</v>
          </cell>
          <cell r="D969" t="str">
            <v>EBM</v>
          </cell>
          <cell r="E969" t="str">
            <v>HDPE5403A+LDPE265YZ</v>
          </cell>
          <cell r="F969">
            <v>29.5</v>
          </cell>
          <cell r="G969"/>
          <cell r="H969">
            <v>38.35</v>
          </cell>
        </row>
        <row r="970">
          <cell r="A970">
            <v>474380</v>
          </cell>
          <cell r="B970" t="str">
            <v>EBK38-0375-K-Q-BR-PP(S0376)</v>
          </cell>
          <cell r="C970">
            <v>2</v>
          </cell>
          <cell r="D970" t="str">
            <v>EBM</v>
          </cell>
          <cell r="E970" t="str">
            <v>PP855</v>
          </cell>
          <cell r="F970">
            <v>30</v>
          </cell>
          <cell r="G970"/>
          <cell r="H970">
            <v>30</v>
          </cell>
        </row>
        <row r="971">
          <cell r="A971">
            <v>454227</v>
          </cell>
          <cell r="B971" t="str">
            <v>EBK38-0375-K-Q-YL-PE(S0376)</v>
          </cell>
          <cell r="C971">
            <v>2</v>
          </cell>
          <cell r="D971" t="str">
            <v>EBM</v>
          </cell>
          <cell r="E971" t="str">
            <v>HDPE5403A+LDPE265YZ</v>
          </cell>
          <cell r="F971">
            <v>29.5</v>
          </cell>
          <cell r="G971"/>
          <cell r="H971">
            <v>38.35</v>
          </cell>
        </row>
        <row r="972">
          <cell r="A972">
            <v>605461</v>
          </cell>
          <cell r="B972" t="str">
            <v>EBK38-0375-K-Q-NA-PP(S0376)</v>
          </cell>
          <cell r="C972">
            <v>2</v>
          </cell>
          <cell r="D972" t="str">
            <v>EBM</v>
          </cell>
          <cell r="E972" t="str">
            <v>PP855</v>
          </cell>
          <cell r="F972">
            <v>29.5</v>
          </cell>
          <cell r="G972"/>
          <cell r="H972">
            <v>38.35</v>
          </cell>
        </row>
        <row r="973">
          <cell r="A973">
            <v>576247</v>
          </cell>
          <cell r="B973" t="str">
            <v>EBK38-0450-S-S-NA-PP</v>
          </cell>
          <cell r="C973">
            <v>2</v>
          </cell>
          <cell r="D973" t="str">
            <v>EBM</v>
          </cell>
          <cell r="E973" t="str">
            <v>PP855</v>
          </cell>
          <cell r="F973">
            <v>50</v>
          </cell>
          <cell r="G973"/>
          <cell r="H973">
            <v>40</v>
          </cell>
        </row>
        <row r="974">
          <cell r="A974">
            <v>453930</v>
          </cell>
          <cell r="B974" t="str">
            <v>EBK38-0500-K-Q-BE-PE(S0576)</v>
          </cell>
          <cell r="C974">
            <v>2</v>
          </cell>
          <cell r="D974" t="str">
            <v>EBM</v>
          </cell>
          <cell r="E974" t="str">
            <v>HDPE5403A+LDPE265YZ</v>
          </cell>
          <cell r="F974">
            <v>39.5</v>
          </cell>
          <cell r="G974"/>
          <cell r="H974">
            <v>56.9</v>
          </cell>
        </row>
        <row r="975">
          <cell r="A975">
            <v>453931</v>
          </cell>
          <cell r="B975" t="str">
            <v>EBK38-0500-K-Q-BR-PE(S0576)</v>
          </cell>
          <cell r="C975">
            <v>2</v>
          </cell>
          <cell r="D975" t="str">
            <v>EBM</v>
          </cell>
          <cell r="E975" t="str">
            <v>HDPE5403A+LDPE265YZ</v>
          </cell>
          <cell r="F975">
            <v>39.5</v>
          </cell>
          <cell r="G975"/>
          <cell r="H975">
            <v>59.4</v>
          </cell>
        </row>
        <row r="976">
          <cell r="A976">
            <v>453932</v>
          </cell>
          <cell r="B976" t="str">
            <v>EBK38-0500-K-Q-NA-PE(S0576)</v>
          </cell>
          <cell r="C976">
            <v>2</v>
          </cell>
          <cell r="D976" t="str">
            <v>EBM</v>
          </cell>
          <cell r="E976" t="str">
            <v>HDPE5403A+LDPE265YZ</v>
          </cell>
          <cell r="F976">
            <v>39.5</v>
          </cell>
          <cell r="G976"/>
          <cell r="H976">
            <v>56.9</v>
          </cell>
        </row>
        <row r="977">
          <cell r="A977">
            <v>453933</v>
          </cell>
          <cell r="B977" t="str">
            <v>EBK38-0500-K-Q-YL-PE(S0576)</v>
          </cell>
          <cell r="C977">
            <v>2</v>
          </cell>
          <cell r="D977" t="str">
            <v>EBM</v>
          </cell>
          <cell r="E977" t="str">
            <v>HDPE5403A+LDPE265YZ</v>
          </cell>
          <cell r="F977">
            <v>39.5</v>
          </cell>
          <cell r="G977"/>
          <cell r="H977">
            <v>59</v>
          </cell>
        </row>
        <row r="978">
          <cell r="A978">
            <v>580564</v>
          </cell>
          <cell r="B978" t="str">
            <v>EBK38-1000-K-S-WH-PE(S1017)</v>
          </cell>
          <cell r="C978">
            <v>2</v>
          </cell>
          <cell r="D978" t="str">
            <v>EBM</v>
          </cell>
          <cell r="E978" t="str">
            <v>MARLEX6007</v>
          </cell>
          <cell r="F978">
            <v>62.7</v>
          </cell>
          <cell r="G978"/>
          <cell r="H978">
            <v>89</v>
          </cell>
        </row>
        <row r="979">
          <cell r="A979">
            <v>587447</v>
          </cell>
          <cell r="B979" t="str">
            <v>EBK38-2000-K-R-WH-PE-M&amp;G</v>
          </cell>
          <cell r="C979">
            <v>1</v>
          </cell>
          <cell r="D979" t="str">
            <v>EBM</v>
          </cell>
          <cell r="E979" t="str">
            <v>MARLEX6007</v>
          </cell>
          <cell r="F979">
            <v>130</v>
          </cell>
          <cell r="G979"/>
          <cell r="H979">
            <v>148.69999999999999</v>
          </cell>
        </row>
        <row r="980">
          <cell r="A980">
            <v>618578</v>
          </cell>
          <cell r="B980" t="str">
            <v>EBK38-2000-K-R-BE-PE-M&amp;G</v>
          </cell>
          <cell r="C980">
            <v>1</v>
          </cell>
          <cell r="D980" t="str">
            <v>EBM</v>
          </cell>
          <cell r="E980" t="str">
            <v>MARLEX6007</v>
          </cell>
          <cell r="F980">
            <v>130</v>
          </cell>
          <cell r="G980"/>
          <cell r="H980">
            <v>148.69999999999999</v>
          </cell>
        </row>
        <row r="981">
          <cell r="A981">
            <v>618580</v>
          </cell>
          <cell r="B981" t="str">
            <v>EBK38-2000-K-R-WH-PE-R2-M&amp;G</v>
          </cell>
          <cell r="C981">
            <v>1</v>
          </cell>
          <cell r="D981" t="str">
            <v>EBM</v>
          </cell>
          <cell r="E981" t="str">
            <v>MARLEX6007</v>
          </cell>
          <cell r="F981">
            <v>130</v>
          </cell>
          <cell r="G981"/>
          <cell r="H981">
            <v>148.69999999999999</v>
          </cell>
        </row>
        <row r="982">
          <cell r="A982">
            <v>617187</v>
          </cell>
          <cell r="B982" t="str">
            <v>EBK38-2012-K-S-CREAM-HDPE-DVG</v>
          </cell>
          <cell r="C982">
            <v>1</v>
          </cell>
          <cell r="D982" t="str">
            <v>EBM</v>
          </cell>
          <cell r="E982" t="str">
            <v>MARLEX6007</v>
          </cell>
          <cell r="F982">
            <v>122</v>
          </cell>
          <cell r="G982"/>
          <cell r="H982">
            <v>180</v>
          </cell>
        </row>
        <row r="983">
          <cell r="A983">
            <v>573943</v>
          </cell>
          <cell r="B983" t="str">
            <v>EBK38-2000-K-S-WH-PE(S2012)</v>
          </cell>
          <cell r="C983">
            <v>1</v>
          </cell>
          <cell r="D983" t="str">
            <v>EBM</v>
          </cell>
          <cell r="E983" t="str">
            <v>MARLEX6007</v>
          </cell>
          <cell r="F983">
            <v>122</v>
          </cell>
          <cell r="G983"/>
          <cell r="H983">
            <v>180</v>
          </cell>
        </row>
        <row r="984">
          <cell r="A984">
            <v>617187</v>
          </cell>
          <cell r="B984" t="str">
            <v>EBK38-2000-K-S-CREAM-PE DVG</v>
          </cell>
          <cell r="C984">
            <v>1</v>
          </cell>
          <cell r="D984" t="str">
            <v>EBM</v>
          </cell>
          <cell r="E984" t="str">
            <v>MARLEX6007</v>
          </cell>
          <cell r="F984">
            <v>122</v>
          </cell>
          <cell r="G984"/>
          <cell r="H984">
            <v>180</v>
          </cell>
        </row>
        <row r="985">
          <cell r="A985">
            <v>580580</v>
          </cell>
          <cell r="B985" t="str">
            <v>EBK38-2017-K-S-WHITE-PE(S2017)</v>
          </cell>
          <cell r="C985">
            <v>1</v>
          </cell>
          <cell r="D985" t="str">
            <v>EBM</v>
          </cell>
          <cell r="E985" t="str">
            <v>MARLEX6007</v>
          </cell>
          <cell r="F985">
            <v>103</v>
          </cell>
          <cell r="G985"/>
          <cell r="H985">
            <v>139.80000000000001</v>
          </cell>
        </row>
        <row r="986">
          <cell r="A986">
            <v>593730</v>
          </cell>
          <cell r="B986" t="str">
            <v>EBK38-2200-K-S-NA-PE(S2200)</v>
          </cell>
          <cell r="C986">
            <v>1</v>
          </cell>
          <cell r="D986" t="str">
            <v>EBM</v>
          </cell>
          <cell r="E986" t="str">
            <v>MARLEX6007</v>
          </cell>
          <cell r="F986">
            <v>103</v>
          </cell>
          <cell r="G986"/>
          <cell r="H986"/>
        </row>
        <row r="987">
          <cell r="A987">
            <v>578476</v>
          </cell>
          <cell r="B987" t="str">
            <v>ECT28-0360-KF-S-NA-PP</v>
          </cell>
          <cell r="C987">
            <v>4</v>
          </cell>
          <cell r="D987" t="str">
            <v>EBM</v>
          </cell>
          <cell r="E987" t="str">
            <v>PP855</v>
          </cell>
          <cell r="F987">
            <v>30</v>
          </cell>
          <cell r="G987"/>
          <cell r="H987"/>
        </row>
        <row r="988">
          <cell r="A988">
            <v>609313</v>
          </cell>
          <cell r="B988" t="str">
            <v>J550S HAZELNUTS</v>
          </cell>
          <cell r="C988">
            <v>4</v>
          </cell>
          <cell r="D988" t="str">
            <v>ISBM</v>
          </cell>
          <cell r="E988" t="str">
            <v>PET</v>
          </cell>
          <cell r="F988">
            <v>35</v>
          </cell>
          <cell r="G988"/>
          <cell r="H988">
            <v>35</v>
          </cell>
        </row>
        <row r="989">
          <cell r="A989">
            <v>609314</v>
          </cell>
          <cell r="B989" t="str">
            <v>J550S FRUIT &amp; NUTS</v>
          </cell>
          <cell r="C989">
            <v>4</v>
          </cell>
          <cell r="D989" t="str">
            <v>ISBM</v>
          </cell>
          <cell r="E989" t="str">
            <v>PET</v>
          </cell>
          <cell r="F989">
            <v>35</v>
          </cell>
          <cell r="G989"/>
          <cell r="H989">
            <v>35</v>
          </cell>
        </row>
        <row r="990">
          <cell r="A990">
            <v>591265</v>
          </cell>
          <cell r="B990" t="str">
            <v>JG63-0175-R-R-AM KNR PED CHIC MYSG(BVI)</v>
          </cell>
          <cell r="C990">
            <v>1</v>
          </cell>
          <cell r="D990" t="str">
            <v>ISBM</v>
          </cell>
          <cell r="E990" t="str">
            <v>PET</v>
          </cell>
          <cell r="F990">
            <v>24</v>
          </cell>
          <cell r="G990"/>
          <cell r="H990">
            <v>24</v>
          </cell>
        </row>
        <row r="991">
          <cell r="A991">
            <v>591266</v>
          </cell>
          <cell r="B991" t="str">
            <v>JG63-0175-R-R-AM KNR I.BILIS MYSG (BVI)</v>
          </cell>
          <cell r="C991">
            <v>1</v>
          </cell>
          <cell r="D991" t="str">
            <v>ISBM</v>
          </cell>
          <cell r="E991" t="str">
            <v>PET</v>
          </cell>
          <cell r="F991">
            <v>24</v>
          </cell>
          <cell r="G991"/>
          <cell r="H991">
            <v>24</v>
          </cell>
        </row>
        <row r="992">
          <cell r="A992">
            <v>532981</v>
          </cell>
          <cell r="B992" t="str">
            <v>JG63-0175-R-R-AM</v>
          </cell>
          <cell r="C992">
            <v>4</v>
          </cell>
          <cell r="D992" t="str">
            <v>ISBM</v>
          </cell>
          <cell r="E992" t="str">
            <v>PET</v>
          </cell>
          <cell r="F992">
            <v>24</v>
          </cell>
          <cell r="G992"/>
          <cell r="H992">
            <v>24.45</v>
          </cell>
        </row>
        <row r="993">
          <cell r="A993">
            <v>591265</v>
          </cell>
          <cell r="B993" t="str">
            <v>JG63-0175-R-R-AM KNR PED CHIC MYSG(BVI)</v>
          </cell>
          <cell r="C993">
            <v>1</v>
          </cell>
          <cell r="D993" t="str">
            <v>ISBM</v>
          </cell>
          <cell r="E993" t="str">
            <v>PET</v>
          </cell>
          <cell r="F993">
            <v>24</v>
          </cell>
          <cell r="G993"/>
          <cell r="H993">
            <v>24.45</v>
          </cell>
        </row>
        <row r="994">
          <cell r="A994">
            <v>555879</v>
          </cell>
          <cell r="B994" t="str">
            <v>JG63-0175-R-R-AM KNR PED CHIC NAMSG 120G (BVI)</v>
          </cell>
          <cell r="C994">
            <v>1</v>
          </cell>
          <cell r="D994" t="str">
            <v>ISBM</v>
          </cell>
          <cell r="E994" t="str">
            <v>PET</v>
          </cell>
          <cell r="F994">
            <v>24</v>
          </cell>
          <cell r="G994"/>
          <cell r="H994">
            <v>24.45</v>
          </cell>
        </row>
        <row r="995">
          <cell r="A995">
            <v>591269</v>
          </cell>
          <cell r="B995" t="str">
            <v>JG63-0175-R-R-AM KNR PED CHIC NAMSG(BVI)</v>
          </cell>
          <cell r="C995">
            <v>1</v>
          </cell>
          <cell r="D995" t="str">
            <v>ISBM</v>
          </cell>
          <cell r="E995" t="str">
            <v>PET</v>
          </cell>
          <cell r="F995">
            <v>24</v>
          </cell>
          <cell r="G995"/>
          <cell r="H995">
            <v>24.45</v>
          </cell>
        </row>
        <row r="996">
          <cell r="A996">
            <v>591268</v>
          </cell>
          <cell r="B996" t="str">
            <v>JG63-0175-R-R-AM KNR PED TOM YAM(BVI)</v>
          </cell>
          <cell r="C996">
            <v>1</v>
          </cell>
          <cell r="D996" t="str">
            <v>ISBM</v>
          </cell>
          <cell r="E996" t="str">
            <v>PET</v>
          </cell>
          <cell r="F996">
            <v>24</v>
          </cell>
          <cell r="G996"/>
          <cell r="H996">
            <v>24</v>
          </cell>
        </row>
        <row r="997">
          <cell r="A997">
            <v>591266</v>
          </cell>
          <cell r="B997" t="str">
            <v>JG63-0175-R-R-AM KNR PWD I.BILIS MYSG 120G(BVI)</v>
          </cell>
          <cell r="C997">
            <v>1</v>
          </cell>
          <cell r="D997" t="str">
            <v>ISBM</v>
          </cell>
          <cell r="E997" t="str">
            <v>PET</v>
          </cell>
          <cell r="F997">
            <v>24</v>
          </cell>
          <cell r="G997"/>
          <cell r="H997">
            <v>24</v>
          </cell>
        </row>
        <row r="998">
          <cell r="A998">
            <v>579471</v>
          </cell>
          <cell r="B998" t="str">
            <v>JJ63-0155-TH-R-CL</v>
          </cell>
          <cell r="C998">
            <v>4</v>
          </cell>
          <cell r="D998" t="str">
            <v>ISBM</v>
          </cell>
          <cell r="E998" t="str">
            <v>PET</v>
          </cell>
          <cell r="F998">
            <v>24</v>
          </cell>
          <cell r="G998"/>
          <cell r="H998">
            <v>24</v>
          </cell>
        </row>
        <row r="999">
          <cell r="A999">
            <v>531331</v>
          </cell>
          <cell r="B999" t="str">
            <v>JJ63-0175-R-R-CL</v>
          </cell>
          <cell r="C999">
            <v>4</v>
          </cell>
          <cell r="D999" t="str">
            <v>ISBM</v>
          </cell>
          <cell r="E999" t="str">
            <v>PET</v>
          </cell>
          <cell r="F999">
            <v>24</v>
          </cell>
          <cell r="G999"/>
          <cell r="H999">
            <v>24</v>
          </cell>
        </row>
        <row r="1000">
          <cell r="A1000">
            <v>325299</v>
          </cell>
          <cell r="B1000" t="str">
            <v>JJ63-0190-EH-Q-CL-HW</v>
          </cell>
          <cell r="C1000">
            <v>4</v>
          </cell>
          <cell r="D1000" t="str">
            <v>ISBM</v>
          </cell>
          <cell r="E1000" t="str">
            <v>PET</v>
          </cell>
          <cell r="F1000">
            <v>24</v>
          </cell>
          <cell r="G1000"/>
          <cell r="H1000">
            <v>24</v>
          </cell>
        </row>
        <row r="1001">
          <cell r="A1001">
            <v>322409</v>
          </cell>
          <cell r="B1001" t="str">
            <v>JJ63-0190-E-Q-CL-LW</v>
          </cell>
          <cell r="C1001">
            <v>4</v>
          </cell>
          <cell r="D1001" t="str">
            <v>ISBM</v>
          </cell>
          <cell r="E1001" t="str">
            <v>PET</v>
          </cell>
          <cell r="F1001">
            <v>24</v>
          </cell>
          <cell r="G1001"/>
          <cell r="H1001">
            <v>24</v>
          </cell>
        </row>
        <row r="1002">
          <cell r="A1002">
            <v>616191</v>
          </cell>
          <cell r="B1002" t="str">
            <v>JJ63-0190-E-Q-CL-LW CRISPY (ASEM)V3</v>
          </cell>
          <cell r="C1002">
            <v>4</v>
          </cell>
          <cell r="D1002" t="str">
            <v>ISBM</v>
          </cell>
          <cell r="E1002" t="str">
            <v>PET</v>
          </cell>
          <cell r="F1002">
            <v>24</v>
          </cell>
          <cell r="G1002"/>
          <cell r="H1002">
            <v>24</v>
          </cell>
        </row>
        <row r="1003">
          <cell r="A1003">
            <v>623876</v>
          </cell>
          <cell r="B1003" t="str">
            <v>JJ63-0190-E-Q-CL-LW CRISPY (ASEM)V4</v>
          </cell>
          <cell r="C1003">
            <v>1</v>
          </cell>
          <cell r="D1003" t="str">
            <v>ISBM</v>
          </cell>
          <cell r="E1003" t="str">
            <v>PET</v>
          </cell>
          <cell r="F1003">
            <v>24</v>
          </cell>
          <cell r="G1003"/>
          <cell r="H1003">
            <v>24</v>
          </cell>
        </row>
        <row r="1004">
          <cell r="A1004">
            <v>623880</v>
          </cell>
          <cell r="B1004" t="str">
            <v>JJ63-0190-E-Q-CL-LW HAZEL NUT (ASEM)</v>
          </cell>
          <cell r="C1004">
            <v>1</v>
          </cell>
          <cell r="D1004" t="str">
            <v>ISBM</v>
          </cell>
          <cell r="E1004" t="str">
            <v>PET</v>
          </cell>
          <cell r="F1004">
            <v>24</v>
          </cell>
          <cell r="G1004"/>
          <cell r="H1004">
            <v>24</v>
          </cell>
        </row>
        <row r="1005">
          <cell r="A1005">
            <v>623882</v>
          </cell>
          <cell r="B1005" t="str">
            <v>JJ63-0190-E-Q-CL-LW SALT CML  (ASEM)</v>
          </cell>
          <cell r="C1005">
            <v>1</v>
          </cell>
          <cell r="D1005" t="str">
            <v>ISBM</v>
          </cell>
          <cell r="E1005" t="str">
            <v>PET</v>
          </cell>
          <cell r="F1005">
            <v>24</v>
          </cell>
          <cell r="G1005"/>
          <cell r="H1005">
            <v>24</v>
          </cell>
        </row>
        <row r="1006">
          <cell r="A1006">
            <v>322412</v>
          </cell>
          <cell r="B1006" t="str">
            <v>JJ63-0200-R-R-CL</v>
          </cell>
          <cell r="C1006">
            <v>4</v>
          </cell>
          <cell r="D1006" t="str">
            <v>ISBM</v>
          </cell>
          <cell r="E1006" t="str">
            <v>PET</v>
          </cell>
          <cell r="F1006">
            <v>24</v>
          </cell>
          <cell r="G1006"/>
          <cell r="H1006">
            <v>24.3</v>
          </cell>
        </row>
        <row r="1007">
          <cell r="A1007">
            <v>330920</v>
          </cell>
          <cell r="B1007" t="str">
            <v>JJ63-0200-R-R-CL FANCY FONDANT (ASEM)</v>
          </cell>
          <cell r="C1007">
            <v>1</v>
          </cell>
          <cell r="D1007" t="str">
            <v>ISBM</v>
          </cell>
          <cell r="E1007" t="str">
            <v>PET</v>
          </cell>
          <cell r="F1007">
            <v>24</v>
          </cell>
          <cell r="G1007"/>
          <cell r="H1007">
            <v>24</v>
          </cell>
        </row>
        <row r="1008">
          <cell r="A1008">
            <v>591270</v>
          </cell>
          <cell r="B1008" t="str">
            <v>JG63-0175-R-R-AM KNR PWD I.BILIS NAMSG(BVI)</v>
          </cell>
          <cell r="C1008">
            <v>1</v>
          </cell>
          <cell r="D1008" t="str">
            <v>ISBM</v>
          </cell>
          <cell r="E1008" t="str">
            <v>PET</v>
          </cell>
          <cell r="F1008">
            <v>24</v>
          </cell>
          <cell r="G1008"/>
          <cell r="H1008">
            <v>24</v>
          </cell>
        </row>
        <row r="1009">
          <cell r="A1009">
            <v>322411</v>
          </cell>
          <cell r="B1009" t="str">
            <v>JJ63-0200-S-Q-CL</v>
          </cell>
          <cell r="C1009">
            <v>4</v>
          </cell>
          <cell r="D1009" t="str">
            <v>ISBM</v>
          </cell>
          <cell r="E1009" t="str">
            <v>PET</v>
          </cell>
          <cell r="F1009">
            <v>24</v>
          </cell>
          <cell r="G1009"/>
          <cell r="H1009">
            <v>24</v>
          </cell>
        </row>
        <row r="1010">
          <cell r="A1010">
            <v>324169</v>
          </cell>
          <cell r="B1010" t="str">
            <v>JJ63-0235-RN-R-BR</v>
          </cell>
          <cell r="C1010">
            <v>4</v>
          </cell>
          <cell r="D1010" t="str">
            <v>ISBM</v>
          </cell>
          <cell r="E1010" t="str">
            <v>PET</v>
          </cell>
          <cell r="F1010">
            <v>26.900000000000002</v>
          </cell>
          <cell r="G1010"/>
          <cell r="H1010">
            <v>24.8</v>
          </cell>
        </row>
        <row r="1011">
          <cell r="A1011">
            <v>322417</v>
          </cell>
          <cell r="B1011" t="str">
            <v>JJ63-0235-RN-R-CL</v>
          </cell>
          <cell r="C1011">
            <v>4</v>
          </cell>
          <cell r="D1011" t="str">
            <v>ISBM</v>
          </cell>
          <cell r="E1011" t="str">
            <v>PET</v>
          </cell>
          <cell r="F1011">
            <v>26.9</v>
          </cell>
          <cell r="G1011"/>
          <cell r="H1011">
            <v>24.8</v>
          </cell>
        </row>
        <row r="1012">
          <cell r="A1012">
            <v>322416</v>
          </cell>
          <cell r="B1012" t="str">
            <v>JJ63-0235-R-R-CL</v>
          </cell>
          <cell r="C1012">
            <v>4</v>
          </cell>
          <cell r="D1012" t="str">
            <v>ISBM</v>
          </cell>
          <cell r="E1012" t="str">
            <v>PET</v>
          </cell>
          <cell r="F1012">
            <v>24</v>
          </cell>
          <cell r="G1012"/>
          <cell r="H1012">
            <v>24</v>
          </cell>
        </row>
        <row r="1013">
          <cell r="A1013">
            <v>322419</v>
          </cell>
          <cell r="B1013" t="str">
            <v>JJ63-0240-R-R-CL</v>
          </cell>
          <cell r="C1013">
            <v>4</v>
          </cell>
          <cell r="D1013" t="str">
            <v>ISBM</v>
          </cell>
          <cell r="E1013" t="str">
            <v>PET</v>
          </cell>
          <cell r="F1013">
            <v>24.8</v>
          </cell>
          <cell r="G1013"/>
          <cell r="H1013">
            <v>24.18</v>
          </cell>
        </row>
        <row r="1014">
          <cell r="A1014">
            <v>567312</v>
          </cell>
          <cell r="B1014" t="str">
            <v>JJ63-0240-R-R-CL GOLD PAINT (ASEM)</v>
          </cell>
          <cell r="C1014">
            <v>4</v>
          </cell>
          <cell r="D1014" t="str">
            <v>ISBM</v>
          </cell>
          <cell r="E1014" t="str">
            <v>PET</v>
          </cell>
          <cell r="F1014">
            <v>24.8</v>
          </cell>
          <cell r="G1014"/>
          <cell r="H1014">
            <v>24.18</v>
          </cell>
        </row>
        <row r="1015">
          <cell r="A1015">
            <v>616595</v>
          </cell>
          <cell r="B1015" t="str">
            <v>JJ63-0240-R-R-CL-ANTILEAK WF (ASEM)</v>
          </cell>
          <cell r="C1015">
            <v>4</v>
          </cell>
          <cell r="D1015" t="str">
            <v>ISBM</v>
          </cell>
          <cell r="E1015" t="str">
            <v>PET</v>
          </cell>
          <cell r="F1015">
            <v>24.8</v>
          </cell>
          <cell r="G1015"/>
          <cell r="H1015">
            <v>24.18</v>
          </cell>
        </row>
        <row r="1016">
          <cell r="A1016">
            <v>611060</v>
          </cell>
          <cell r="B1016" t="str">
            <v>JJ63-0240-RS-R-CL-HW-HIGH DOME</v>
          </cell>
          <cell r="C1016">
            <v>4</v>
          </cell>
          <cell r="D1016" t="str">
            <v>ISBM</v>
          </cell>
          <cell r="E1016" t="str">
            <v>PET</v>
          </cell>
          <cell r="F1016">
            <v>34</v>
          </cell>
          <cell r="G1016"/>
          <cell r="H1016">
            <v>34</v>
          </cell>
        </row>
        <row r="1017">
          <cell r="A1017">
            <v>322420</v>
          </cell>
          <cell r="B1017" t="str">
            <v>JJ63-0240-RS-R-CL</v>
          </cell>
          <cell r="C1017">
            <v>4</v>
          </cell>
          <cell r="D1017" t="str">
            <v>ISBM</v>
          </cell>
          <cell r="E1017" t="str">
            <v>PET</v>
          </cell>
          <cell r="F1017">
            <v>34</v>
          </cell>
          <cell r="G1017"/>
          <cell r="H1017">
            <v>34</v>
          </cell>
        </row>
        <row r="1018">
          <cell r="A1018">
            <v>324174</v>
          </cell>
          <cell r="B1018" t="str">
            <v>JJ63-0250-R-R-CL</v>
          </cell>
          <cell r="C1018">
            <v>4</v>
          </cell>
          <cell r="D1018" t="str">
            <v>ISBM</v>
          </cell>
          <cell r="E1018" t="str">
            <v>PET</v>
          </cell>
          <cell r="F1018">
            <v>24</v>
          </cell>
          <cell r="G1018"/>
          <cell r="H1018">
            <v>24</v>
          </cell>
        </row>
        <row r="1019">
          <cell r="A1019">
            <v>326794</v>
          </cell>
          <cell r="B1019" t="str">
            <v>JJ63-0250-S-Q-BR</v>
          </cell>
          <cell r="C1019">
            <v>4</v>
          </cell>
          <cell r="D1019" t="str">
            <v>ISBM</v>
          </cell>
          <cell r="E1019" t="str">
            <v>PET</v>
          </cell>
          <cell r="F1019">
            <v>34.5</v>
          </cell>
          <cell r="G1019"/>
          <cell r="H1019">
            <v>33</v>
          </cell>
        </row>
        <row r="1020">
          <cell r="A1020">
            <v>619726</v>
          </cell>
          <cell r="B1020" t="str">
            <v>C25-FLIP TOP SNAP ON ROUND-RED</v>
          </cell>
          <cell r="C1020">
            <v>8</v>
          </cell>
          <cell r="D1020" t="str">
            <v>INJ</v>
          </cell>
          <cell r="E1020" t="str">
            <v>LDPEG812</v>
          </cell>
          <cell r="F1020">
            <v>4</v>
          </cell>
          <cell r="G1020"/>
          <cell r="H1020">
            <v>4</v>
          </cell>
        </row>
        <row r="1021">
          <cell r="A1021">
            <v>361597</v>
          </cell>
          <cell r="B1021" t="str">
            <v>JJ63-0250-S-Q-BR-HW</v>
          </cell>
          <cell r="C1021">
            <v>4</v>
          </cell>
          <cell r="D1021" t="str">
            <v>ISBM</v>
          </cell>
          <cell r="E1021" t="str">
            <v>PET</v>
          </cell>
          <cell r="F1021">
            <v>34</v>
          </cell>
          <cell r="G1021"/>
          <cell r="H1021">
            <v>33</v>
          </cell>
        </row>
        <row r="1022">
          <cell r="A1022">
            <v>522196</v>
          </cell>
          <cell r="B1022" t="str">
            <v>JJ63-0250-S-Q-BR-HW (KIWI LOGO)</v>
          </cell>
          <cell r="C1022">
            <v>4</v>
          </cell>
          <cell r="D1022" t="str">
            <v>ISBM</v>
          </cell>
          <cell r="E1022" t="str">
            <v>PET</v>
          </cell>
          <cell r="F1022">
            <v>34</v>
          </cell>
          <cell r="G1022"/>
          <cell r="H1022">
            <v>24</v>
          </cell>
        </row>
        <row r="1023">
          <cell r="A1023">
            <v>322422</v>
          </cell>
          <cell r="B1023" t="str">
            <v>JJ63-0250-S-Q-CL-HW</v>
          </cell>
          <cell r="C1023">
            <v>4</v>
          </cell>
          <cell r="D1023" t="str">
            <v>ISBM</v>
          </cell>
          <cell r="E1023" t="str">
            <v>PET</v>
          </cell>
          <cell r="F1023">
            <v>34</v>
          </cell>
          <cell r="G1023"/>
          <cell r="H1023">
            <v>34</v>
          </cell>
        </row>
        <row r="1024">
          <cell r="A1024">
            <v>555586</v>
          </cell>
          <cell r="B1024" t="str">
            <v>JJ63-0250-S-Q-CL-LW</v>
          </cell>
          <cell r="C1024">
            <v>4</v>
          </cell>
          <cell r="D1024" t="str">
            <v>ISBM</v>
          </cell>
          <cell r="E1024" t="str">
            <v>PET</v>
          </cell>
          <cell r="F1024">
            <v>24</v>
          </cell>
          <cell r="G1024"/>
          <cell r="H1024">
            <v>24.3</v>
          </cell>
        </row>
        <row r="1025">
          <cell r="A1025">
            <v>322424</v>
          </cell>
          <cell r="B1025" t="str">
            <v>JJ63-0270-E-Q-CL</v>
          </cell>
          <cell r="C1025">
            <v>4</v>
          </cell>
          <cell r="D1025" t="str">
            <v>ISBM</v>
          </cell>
          <cell r="E1025" t="str">
            <v>PET</v>
          </cell>
          <cell r="F1025">
            <v>34.5</v>
          </cell>
          <cell r="G1025"/>
          <cell r="H1025">
            <v>34.5</v>
          </cell>
        </row>
        <row r="1026">
          <cell r="A1026">
            <v>359999</v>
          </cell>
          <cell r="B1026" t="str">
            <v>JJ63-0275-FB-R-CL</v>
          </cell>
          <cell r="C1026">
            <v>4</v>
          </cell>
          <cell r="D1026" t="str">
            <v>ISBM</v>
          </cell>
          <cell r="E1026" t="str">
            <v>PET</v>
          </cell>
          <cell r="F1026">
            <v>24.3</v>
          </cell>
          <cell r="G1026"/>
          <cell r="H1026">
            <v>24</v>
          </cell>
        </row>
        <row r="1027">
          <cell r="A1027">
            <v>322425</v>
          </cell>
          <cell r="B1027" t="str">
            <v>JJ63-0275-R-R-CL</v>
          </cell>
          <cell r="C1027">
            <v>4</v>
          </cell>
          <cell r="D1027" t="str">
            <v>ISBM</v>
          </cell>
          <cell r="E1027" t="str">
            <v>PET</v>
          </cell>
          <cell r="F1027">
            <v>24.5</v>
          </cell>
          <cell r="G1027"/>
          <cell r="H1027">
            <v>24.87</v>
          </cell>
        </row>
        <row r="1028">
          <cell r="A1028">
            <v>385514</v>
          </cell>
          <cell r="B1028" t="str">
            <v>JJ63-0300-DH-R-CL</v>
          </cell>
          <cell r="C1028">
            <v>4</v>
          </cell>
          <cell r="D1028" t="str">
            <v>ISBM</v>
          </cell>
          <cell r="E1028" t="str">
            <v>PET</v>
          </cell>
          <cell r="F1028">
            <v>24</v>
          </cell>
          <cell r="G1028"/>
          <cell r="H1028">
            <v>24</v>
          </cell>
        </row>
        <row r="1029">
          <cell r="A1029">
            <v>322430</v>
          </cell>
          <cell r="B1029" t="str">
            <v>JJ63-0300-RH-R-CL</v>
          </cell>
          <cell r="C1029">
            <v>4</v>
          </cell>
          <cell r="D1029" t="str">
            <v>ISBM</v>
          </cell>
          <cell r="E1029" t="str">
            <v>PET</v>
          </cell>
          <cell r="F1029">
            <v>34.5</v>
          </cell>
          <cell r="G1029"/>
          <cell r="H1029">
            <v>34.299999999999997</v>
          </cell>
        </row>
        <row r="1030">
          <cell r="A1030">
            <v>322429</v>
          </cell>
          <cell r="B1030" t="str">
            <v>JJ63-0300-R-R-CL</v>
          </cell>
          <cell r="C1030">
            <v>4</v>
          </cell>
          <cell r="D1030" t="str">
            <v>ISBM</v>
          </cell>
          <cell r="E1030" t="str">
            <v>PET</v>
          </cell>
          <cell r="F1030">
            <v>24</v>
          </cell>
          <cell r="G1030"/>
          <cell r="H1030">
            <v>24.93</v>
          </cell>
        </row>
        <row r="1031">
          <cell r="A1031">
            <v>661980</v>
          </cell>
          <cell r="B1031" t="str">
            <v>JJ63-0310-R-R-BR</v>
          </cell>
          <cell r="C1031">
            <v>4</v>
          </cell>
          <cell r="D1031" t="str">
            <v>ISBM</v>
          </cell>
          <cell r="E1031" t="str">
            <v>PET</v>
          </cell>
          <cell r="F1031">
            <v>24.9</v>
          </cell>
          <cell r="G1031"/>
          <cell r="H1031">
            <v>24.9</v>
          </cell>
        </row>
        <row r="1032">
          <cell r="A1032">
            <v>322431</v>
          </cell>
          <cell r="B1032" t="str">
            <v>JJ63-0310-R-R-CL</v>
          </cell>
          <cell r="C1032">
            <v>4</v>
          </cell>
          <cell r="D1032" t="str">
            <v>ISBM</v>
          </cell>
          <cell r="E1032" t="str">
            <v>PET</v>
          </cell>
          <cell r="F1032">
            <v>24.9</v>
          </cell>
          <cell r="G1032"/>
          <cell r="H1032">
            <v>24.9</v>
          </cell>
        </row>
        <row r="1033">
          <cell r="A1033">
            <v>597509</v>
          </cell>
          <cell r="B1033" t="str">
            <v>JJ63-0310-R-R-WH</v>
          </cell>
          <cell r="C1033">
            <v>4</v>
          </cell>
          <cell r="D1033" t="str">
            <v>ISBM</v>
          </cell>
          <cell r="E1033" t="str">
            <v>PET</v>
          </cell>
          <cell r="F1033">
            <v>24.9</v>
          </cell>
          <cell r="G1033"/>
          <cell r="H1033">
            <v>24.9</v>
          </cell>
        </row>
        <row r="1034">
          <cell r="A1034">
            <v>597510</v>
          </cell>
          <cell r="B1034" t="str">
            <v>JJ63-0310-R-R-WH (ASEM)</v>
          </cell>
          <cell r="C1034">
            <v>4</v>
          </cell>
          <cell r="D1034" t="str">
            <v>ISBM</v>
          </cell>
          <cell r="E1034" t="str">
            <v>PET</v>
          </cell>
          <cell r="F1034">
            <v>24.9</v>
          </cell>
          <cell r="G1034"/>
          <cell r="H1034">
            <v>24.9</v>
          </cell>
        </row>
        <row r="1035">
          <cell r="A1035">
            <v>650112</v>
          </cell>
          <cell r="B1035" t="str">
            <v>JJ63-0310-R-R-WH CHEESE(ASEM)</v>
          </cell>
          <cell r="C1035">
            <v>1</v>
          </cell>
          <cell r="D1035" t="str">
            <v>ISBM</v>
          </cell>
          <cell r="E1035" t="str">
            <v>PET</v>
          </cell>
          <cell r="F1035">
            <v>24.9</v>
          </cell>
          <cell r="G1035"/>
          <cell r="H1035">
            <v>24.9</v>
          </cell>
        </row>
        <row r="1036">
          <cell r="A1036">
            <v>322433</v>
          </cell>
          <cell r="B1036" t="str">
            <v>JJ63-0320-R-R-CL</v>
          </cell>
          <cell r="C1036">
            <v>1</v>
          </cell>
          <cell r="D1036" t="str">
            <v>ISBM</v>
          </cell>
          <cell r="E1036" t="str">
            <v>PET</v>
          </cell>
          <cell r="F1036">
            <v>34.5</v>
          </cell>
          <cell r="G1036"/>
          <cell r="H1036">
            <v>34</v>
          </cell>
        </row>
        <row r="1037">
          <cell r="A1037">
            <v>322432</v>
          </cell>
          <cell r="B1037" t="str">
            <v>JJ63-0320-S-Q-CL</v>
          </cell>
          <cell r="C1037">
            <v>4</v>
          </cell>
          <cell r="D1037" t="str">
            <v>ISBM</v>
          </cell>
          <cell r="E1037" t="str">
            <v>PET</v>
          </cell>
          <cell r="F1037">
            <v>34.5</v>
          </cell>
          <cell r="G1037"/>
          <cell r="H1037">
            <v>32.97</v>
          </cell>
        </row>
        <row r="1038">
          <cell r="A1038">
            <v>602720</v>
          </cell>
          <cell r="B1038" t="str">
            <v>JJ63-0320-S-Q-AM</v>
          </cell>
          <cell r="C1038">
            <v>4</v>
          </cell>
          <cell r="D1038" t="str">
            <v>ISBM</v>
          </cell>
          <cell r="E1038" t="str">
            <v>PET</v>
          </cell>
          <cell r="F1038">
            <v>34.5</v>
          </cell>
          <cell r="G1038"/>
          <cell r="H1038">
            <v>32.97</v>
          </cell>
        </row>
        <row r="1039">
          <cell r="A1039">
            <v>414241</v>
          </cell>
          <cell r="B1039" t="str">
            <v>JJ63-0330-EH-E-CL</v>
          </cell>
          <cell r="C1039">
            <v>4</v>
          </cell>
          <cell r="D1039" t="str">
            <v>ISBM</v>
          </cell>
          <cell r="E1039" t="str">
            <v>PET</v>
          </cell>
          <cell r="F1039">
            <v>34.5</v>
          </cell>
          <cell r="G1039"/>
          <cell r="H1039">
            <v>34</v>
          </cell>
        </row>
        <row r="1040">
          <cell r="A1040">
            <v>324145</v>
          </cell>
          <cell r="B1040" t="str">
            <v>JJ63-0336-K-R-CL</v>
          </cell>
          <cell r="C1040">
            <v>4</v>
          </cell>
          <cell r="D1040" t="str">
            <v>ISBM</v>
          </cell>
          <cell r="E1040" t="str">
            <v>PET</v>
          </cell>
          <cell r="F1040">
            <v>34.5</v>
          </cell>
          <cell r="G1040"/>
          <cell r="H1040">
            <v>33.68</v>
          </cell>
        </row>
        <row r="1041">
          <cell r="A1041">
            <v>324177</v>
          </cell>
          <cell r="B1041" t="str">
            <v>JJ63-0350-EH-R-CL</v>
          </cell>
          <cell r="C1041">
            <v>4</v>
          </cell>
          <cell r="D1041" t="str">
            <v>ISBM</v>
          </cell>
          <cell r="E1041" t="str">
            <v>PET</v>
          </cell>
          <cell r="F1041">
            <v>34.5</v>
          </cell>
          <cell r="G1041"/>
          <cell r="H1041">
            <v>34.5</v>
          </cell>
        </row>
        <row r="1042">
          <cell r="A1042">
            <v>525036</v>
          </cell>
          <cell r="B1042" t="str">
            <v>JJ63-0350-EH-R-CL ASEM ORIGINAL 350G</v>
          </cell>
          <cell r="C1042">
            <v>4</v>
          </cell>
          <cell r="D1042" t="str">
            <v>ISBM</v>
          </cell>
          <cell r="E1042" t="str">
            <v>PET</v>
          </cell>
          <cell r="F1042">
            <v>35.5</v>
          </cell>
          <cell r="G1042"/>
          <cell r="H1042">
            <v>35.5</v>
          </cell>
        </row>
        <row r="1043">
          <cell r="A1043">
            <v>505282</v>
          </cell>
          <cell r="B1043" t="str">
            <v>JJ63-0350EH-R-R-CL-S &amp; P COCONUT SPREAD</v>
          </cell>
          <cell r="C1043">
            <v>1</v>
          </cell>
          <cell r="D1043" t="str">
            <v>ISBM</v>
          </cell>
          <cell r="E1043" t="str">
            <v>PET</v>
          </cell>
          <cell r="F1043">
            <v>34.5</v>
          </cell>
          <cell r="G1043"/>
          <cell r="H1043">
            <v>34.5</v>
          </cell>
        </row>
        <row r="1044">
          <cell r="A1044">
            <v>623885</v>
          </cell>
          <cell r="B1044" t="str">
            <v>JJ63-0350EH-R-R-CL-CRISPY(ASEM)</v>
          </cell>
          <cell r="C1044">
            <v>1</v>
          </cell>
          <cell r="D1044" t="str">
            <v>ISBM</v>
          </cell>
          <cell r="E1044" t="str">
            <v>PET</v>
          </cell>
          <cell r="F1044">
            <v>34.5</v>
          </cell>
          <cell r="G1044"/>
          <cell r="H1044">
            <v>34.5</v>
          </cell>
        </row>
        <row r="1045">
          <cell r="A1045">
            <v>623886</v>
          </cell>
          <cell r="B1045" t="str">
            <v>JJ63-0350EH-R-R-CL-HAZEL NUT(ASEM)</v>
          </cell>
          <cell r="C1045">
            <v>1</v>
          </cell>
          <cell r="D1045" t="str">
            <v>ISBM</v>
          </cell>
          <cell r="E1045" t="str">
            <v>PET</v>
          </cell>
          <cell r="F1045">
            <v>34.5</v>
          </cell>
          <cell r="G1045"/>
          <cell r="H1045">
            <v>34.5</v>
          </cell>
        </row>
        <row r="1046">
          <cell r="A1046">
            <v>623887</v>
          </cell>
          <cell r="B1046" t="str">
            <v>JJ63-0350EH-R-R-CL-SALT CML</v>
          </cell>
          <cell r="C1046">
            <v>1</v>
          </cell>
          <cell r="D1046" t="str">
            <v>ISBM</v>
          </cell>
          <cell r="E1046" t="str">
            <v>PET</v>
          </cell>
          <cell r="F1046">
            <v>34.5</v>
          </cell>
          <cell r="G1046"/>
          <cell r="H1046">
            <v>34.5</v>
          </cell>
        </row>
        <row r="1047">
          <cell r="A1047">
            <v>468170</v>
          </cell>
          <cell r="B1047" t="str">
            <v>JJ63-0350EH-R-R-CL-SALTED CARAMEL</v>
          </cell>
          <cell r="C1047">
            <v>1</v>
          </cell>
          <cell r="D1047" t="str">
            <v>ISBM</v>
          </cell>
          <cell r="E1047" t="str">
            <v>PET</v>
          </cell>
          <cell r="F1047">
            <v>34.5</v>
          </cell>
          <cell r="G1047"/>
          <cell r="H1047">
            <v>34.5</v>
          </cell>
        </row>
        <row r="1048">
          <cell r="A1048">
            <v>322435</v>
          </cell>
          <cell r="B1048" t="str">
            <v>JJ63-0350-NH-R-CL</v>
          </cell>
          <cell r="C1048">
            <v>4</v>
          </cell>
          <cell r="D1048" t="str">
            <v>ISBM</v>
          </cell>
          <cell r="E1048" t="str">
            <v>PET</v>
          </cell>
          <cell r="F1048">
            <v>34.5</v>
          </cell>
          <cell r="G1048"/>
          <cell r="H1048">
            <v>34.5</v>
          </cell>
        </row>
        <row r="1049">
          <cell r="A1049">
            <v>590337</v>
          </cell>
          <cell r="B1049" t="str">
            <v>JJ63-0350-R-R-AM</v>
          </cell>
          <cell r="C1049">
            <v>4</v>
          </cell>
          <cell r="D1049" t="str">
            <v>ISBM</v>
          </cell>
          <cell r="E1049" t="str">
            <v>PET</v>
          </cell>
          <cell r="F1049">
            <v>32.82</v>
          </cell>
          <cell r="G1049"/>
          <cell r="H1049">
            <v>32.82</v>
          </cell>
        </row>
        <row r="1050">
          <cell r="A1050">
            <v>322436</v>
          </cell>
          <cell r="B1050" t="str">
            <v>JJ63-0350-R-R-CL</v>
          </cell>
          <cell r="C1050">
            <v>4</v>
          </cell>
          <cell r="D1050" t="str">
            <v>ISBM</v>
          </cell>
          <cell r="E1050" t="str">
            <v>PET</v>
          </cell>
          <cell r="F1050">
            <v>33.659999999999997</v>
          </cell>
          <cell r="G1050"/>
          <cell r="H1050">
            <v>33.659999999999997</v>
          </cell>
        </row>
        <row r="1051">
          <cell r="A1051">
            <v>322441</v>
          </cell>
          <cell r="B1051" t="str">
            <v>JJ63-0375-SH-Q-CL</v>
          </cell>
          <cell r="C1051">
            <v>4</v>
          </cell>
          <cell r="D1051" t="str">
            <v>ISBM</v>
          </cell>
          <cell r="E1051" t="str">
            <v>PET</v>
          </cell>
          <cell r="F1051">
            <v>34.5</v>
          </cell>
          <cell r="G1051"/>
          <cell r="H1051">
            <v>34.5</v>
          </cell>
        </row>
        <row r="1052">
          <cell r="A1052">
            <v>331207</v>
          </cell>
          <cell r="B1052" t="str">
            <v>JJ63-0375-S-S-BR-HW</v>
          </cell>
          <cell r="C1052">
            <v>4</v>
          </cell>
          <cell r="D1052" t="str">
            <v>ISBM</v>
          </cell>
          <cell r="E1052" t="str">
            <v>PET</v>
          </cell>
          <cell r="F1052">
            <v>34.5</v>
          </cell>
          <cell r="G1052"/>
          <cell r="H1052">
            <v>34.5</v>
          </cell>
        </row>
        <row r="1053">
          <cell r="A1053">
            <v>324166</v>
          </cell>
          <cell r="B1053" t="str">
            <v>JJ63-0400-EH-R-AM</v>
          </cell>
          <cell r="C1053">
            <v>4</v>
          </cell>
          <cell r="D1053" t="str">
            <v>ISBM</v>
          </cell>
          <cell r="E1053" t="str">
            <v>PET</v>
          </cell>
          <cell r="F1053">
            <v>34.5</v>
          </cell>
          <cell r="G1053"/>
          <cell r="H1053">
            <v>33.26</v>
          </cell>
        </row>
        <row r="1054">
          <cell r="A1054">
            <v>322442</v>
          </cell>
          <cell r="B1054" t="str">
            <v>JJ63-0400-EH-R-CL</v>
          </cell>
          <cell r="C1054">
            <v>4</v>
          </cell>
          <cell r="D1054" t="str">
            <v>ISBM</v>
          </cell>
          <cell r="E1054" t="str">
            <v>PET</v>
          </cell>
          <cell r="F1054">
            <v>34.5</v>
          </cell>
          <cell r="G1054"/>
          <cell r="H1054">
            <v>34.04</v>
          </cell>
        </row>
        <row r="1055">
          <cell r="A1055">
            <v>322443</v>
          </cell>
          <cell r="B1055" t="str">
            <v>JJ63-0400-HX-H-CL</v>
          </cell>
          <cell r="C1055">
            <v>4</v>
          </cell>
          <cell r="D1055" t="str">
            <v>ISBM</v>
          </cell>
          <cell r="E1055" t="str">
            <v>PET</v>
          </cell>
          <cell r="F1055">
            <v>34.5</v>
          </cell>
          <cell r="G1055"/>
          <cell r="H1055">
            <v>32.74</v>
          </cell>
        </row>
        <row r="1056">
          <cell r="A1056">
            <v>322444</v>
          </cell>
          <cell r="B1056" t="str">
            <v>JJ63-0400-RH-R-CL</v>
          </cell>
          <cell r="C1056">
            <v>4</v>
          </cell>
          <cell r="D1056" t="str">
            <v>ISBM</v>
          </cell>
          <cell r="E1056" t="str">
            <v>PET</v>
          </cell>
          <cell r="F1056">
            <v>34.5</v>
          </cell>
          <cell r="G1056"/>
          <cell r="H1056">
            <v>32.74</v>
          </cell>
        </row>
        <row r="1057">
          <cell r="A1057">
            <v>324171</v>
          </cell>
          <cell r="B1057" t="str">
            <v>JJ63-0400-SH-S-AM</v>
          </cell>
          <cell r="C1057">
            <v>4</v>
          </cell>
          <cell r="D1057" t="str">
            <v>ISBM</v>
          </cell>
          <cell r="E1057" t="str">
            <v>PET</v>
          </cell>
          <cell r="F1057">
            <v>33</v>
          </cell>
          <cell r="G1057"/>
          <cell r="H1057">
            <v>32.700000000000003</v>
          </cell>
        </row>
        <row r="1058">
          <cell r="A1058">
            <v>372952</v>
          </cell>
          <cell r="B1058" t="str">
            <v>JJ63-0400-SH-S-AM (KIWI LOGO)</v>
          </cell>
          <cell r="C1058">
            <v>4</v>
          </cell>
          <cell r="D1058" t="str">
            <v>ISBM</v>
          </cell>
          <cell r="E1058" t="str">
            <v>PET</v>
          </cell>
          <cell r="F1058">
            <v>33</v>
          </cell>
          <cell r="G1058"/>
          <cell r="H1058">
            <v>32.74</v>
          </cell>
        </row>
        <row r="1059">
          <cell r="A1059">
            <v>322445</v>
          </cell>
          <cell r="B1059" t="str">
            <v>JJ63-0400-SH-S-CL</v>
          </cell>
          <cell r="C1059">
            <v>4</v>
          </cell>
          <cell r="D1059" t="str">
            <v>ISBM</v>
          </cell>
          <cell r="E1059" t="str">
            <v>PET</v>
          </cell>
          <cell r="F1059">
            <v>33</v>
          </cell>
          <cell r="G1059"/>
          <cell r="H1059">
            <v>32.74</v>
          </cell>
        </row>
        <row r="1060">
          <cell r="A1060">
            <v>620994</v>
          </cell>
          <cell r="B1060" t="str">
            <v>JJ63-0400-SH-S-CL-rPET</v>
          </cell>
          <cell r="C1060">
            <v>4</v>
          </cell>
          <cell r="D1060" t="str">
            <v>ISBM</v>
          </cell>
          <cell r="E1060" t="str">
            <v>rPET</v>
          </cell>
          <cell r="F1060">
            <v>33</v>
          </cell>
          <cell r="G1060"/>
          <cell r="H1060">
            <v>32.74</v>
          </cell>
        </row>
        <row r="1061">
          <cell r="A1061">
            <v>372951</v>
          </cell>
          <cell r="B1061" t="str">
            <v>JJ63-0400-SH-S-CL (KIWI LOGO)</v>
          </cell>
          <cell r="C1061">
            <v>4</v>
          </cell>
          <cell r="D1061" t="str">
            <v>ISBM</v>
          </cell>
          <cell r="E1061" t="str">
            <v>PET</v>
          </cell>
          <cell r="F1061">
            <v>33</v>
          </cell>
          <cell r="G1061"/>
          <cell r="H1061">
            <v>45.32</v>
          </cell>
        </row>
        <row r="1062">
          <cell r="A1062">
            <v>324165</v>
          </cell>
          <cell r="B1062" t="str">
            <v>JJ63-0400-SH-S-WH</v>
          </cell>
          <cell r="C1062">
            <v>4</v>
          </cell>
          <cell r="D1062" t="str">
            <v>ISBM</v>
          </cell>
          <cell r="E1062" t="str">
            <v>PET</v>
          </cell>
          <cell r="F1062">
            <v>33</v>
          </cell>
          <cell r="G1062"/>
          <cell r="H1062">
            <v>32.56</v>
          </cell>
        </row>
        <row r="1063">
          <cell r="A1063">
            <v>358860</v>
          </cell>
          <cell r="B1063" t="str">
            <v>JJ63-0425-E-R-CL</v>
          </cell>
          <cell r="C1063">
            <v>4</v>
          </cell>
          <cell r="D1063" t="str">
            <v>ISBM</v>
          </cell>
          <cell r="E1063" t="str">
            <v>PET</v>
          </cell>
          <cell r="F1063">
            <v>45.3</v>
          </cell>
          <cell r="G1063"/>
          <cell r="H1063">
            <v>34</v>
          </cell>
        </row>
        <row r="1064">
          <cell r="A1064">
            <v>323039</v>
          </cell>
          <cell r="B1064" t="str">
            <v>JJ63-0475-FFN-R-CL</v>
          </cell>
          <cell r="C1064">
            <v>4</v>
          </cell>
          <cell r="D1064" t="str">
            <v>ISBM</v>
          </cell>
          <cell r="E1064" t="str">
            <v>PET</v>
          </cell>
          <cell r="F1064">
            <v>34.5</v>
          </cell>
          <cell r="G1064"/>
          <cell r="H1064">
            <v>33</v>
          </cell>
        </row>
        <row r="1065">
          <cell r="A1065">
            <v>345523</v>
          </cell>
          <cell r="B1065" t="str">
            <v>JJ63-0475-FFN-R-CL-PEACH MENGKUDU (ASEM)</v>
          </cell>
          <cell r="C1065">
            <v>1</v>
          </cell>
          <cell r="D1065" t="str">
            <v>ISBM</v>
          </cell>
          <cell r="E1065" t="str">
            <v>PET</v>
          </cell>
          <cell r="F1065">
            <v>34.5</v>
          </cell>
          <cell r="G1065"/>
          <cell r="H1065">
            <v>33</v>
          </cell>
        </row>
        <row r="1066">
          <cell r="A1066">
            <v>427378</v>
          </cell>
          <cell r="B1066" t="str">
            <v>JJ63-0500-E-R-CL</v>
          </cell>
          <cell r="C1066">
            <v>4</v>
          </cell>
          <cell r="D1066" t="str">
            <v>ISBM</v>
          </cell>
          <cell r="E1066" t="str">
            <v>PET</v>
          </cell>
          <cell r="F1066">
            <v>34.5</v>
          </cell>
          <cell r="G1066"/>
          <cell r="H1066">
            <v>40.22</v>
          </cell>
        </row>
        <row r="1067">
          <cell r="A1067">
            <v>410102</v>
          </cell>
          <cell r="B1067" t="str">
            <v>JJ63-0500-HX-H-CL</v>
          </cell>
          <cell r="C1067">
            <v>4</v>
          </cell>
          <cell r="D1067" t="str">
            <v>ISBM</v>
          </cell>
          <cell r="E1067" t="str">
            <v>PET</v>
          </cell>
          <cell r="F1067">
            <v>34.5</v>
          </cell>
          <cell r="G1067"/>
          <cell r="H1067">
            <v>33</v>
          </cell>
        </row>
        <row r="1068">
          <cell r="A1068">
            <v>324168</v>
          </cell>
          <cell r="B1068" t="str">
            <v>JJ63-0500-M-R-AM</v>
          </cell>
          <cell r="C1068">
            <v>4</v>
          </cell>
          <cell r="D1068" t="str">
            <v>ISBM</v>
          </cell>
          <cell r="E1068" t="str">
            <v>PET</v>
          </cell>
          <cell r="F1068">
            <v>40</v>
          </cell>
          <cell r="G1068"/>
          <cell r="H1068">
            <v>34.5</v>
          </cell>
        </row>
        <row r="1069">
          <cell r="A1069">
            <v>322453</v>
          </cell>
          <cell r="B1069" t="str">
            <v>JJ63-0500-M-R-CL</v>
          </cell>
          <cell r="C1069">
            <v>4</v>
          </cell>
          <cell r="D1069" t="str">
            <v>ISBM</v>
          </cell>
          <cell r="E1069" t="str">
            <v>PET</v>
          </cell>
          <cell r="F1069">
            <v>34.5</v>
          </cell>
          <cell r="G1069"/>
          <cell r="H1069">
            <v>34.5</v>
          </cell>
        </row>
        <row r="1070">
          <cell r="A1070">
            <v>576559</v>
          </cell>
          <cell r="B1070" t="str">
            <v>JJ63-0500-M-R-CL-HW</v>
          </cell>
          <cell r="C1070">
            <v>4</v>
          </cell>
          <cell r="D1070" t="str">
            <v>ISBM</v>
          </cell>
          <cell r="E1070" t="str">
            <v>PET</v>
          </cell>
          <cell r="F1070">
            <v>45</v>
          </cell>
          <cell r="G1070"/>
          <cell r="H1070">
            <v>33.97</v>
          </cell>
        </row>
        <row r="1071">
          <cell r="A1071">
            <v>557349</v>
          </cell>
          <cell r="B1071" t="str">
            <v>JJ63-0500-RH-R-AM</v>
          </cell>
          <cell r="C1071">
            <v>4</v>
          </cell>
          <cell r="D1071" t="str">
            <v>ISBM</v>
          </cell>
          <cell r="E1071" t="str">
            <v>PET</v>
          </cell>
          <cell r="F1071">
            <v>34.5</v>
          </cell>
          <cell r="G1071"/>
          <cell r="H1071">
            <v>33.6</v>
          </cell>
        </row>
        <row r="1072">
          <cell r="A1072">
            <v>322452</v>
          </cell>
          <cell r="B1072" t="str">
            <v>JJ63-0500-RH-R-CL</v>
          </cell>
          <cell r="C1072">
            <v>4</v>
          </cell>
          <cell r="D1072" t="str">
            <v>ISBM</v>
          </cell>
          <cell r="E1072" t="str">
            <v>PET</v>
          </cell>
          <cell r="F1072">
            <v>34.5</v>
          </cell>
          <cell r="G1072"/>
          <cell r="H1072">
            <v>33.11</v>
          </cell>
        </row>
        <row r="1073">
          <cell r="A1073">
            <v>557186</v>
          </cell>
          <cell r="B1073" t="str">
            <v>JJ63-0500-RH-R-CL-MAGGI MARIDOR</v>
          </cell>
          <cell r="C1073">
            <v>1</v>
          </cell>
          <cell r="D1073" t="str">
            <v>ISBM</v>
          </cell>
          <cell r="E1073" t="str">
            <v>PET</v>
          </cell>
          <cell r="F1073">
            <v>34</v>
          </cell>
          <cell r="G1073"/>
          <cell r="H1073">
            <v>34</v>
          </cell>
        </row>
        <row r="1074">
          <cell r="A1074">
            <v>322454</v>
          </cell>
          <cell r="B1074" t="str">
            <v>JJ63-0500-S-Q-CL</v>
          </cell>
          <cell r="C1074">
            <v>4</v>
          </cell>
          <cell r="D1074" t="str">
            <v>ISBM</v>
          </cell>
          <cell r="E1074" t="str">
            <v>PET</v>
          </cell>
          <cell r="F1074">
            <v>34.5</v>
          </cell>
          <cell r="G1074"/>
          <cell r="H1074">
            <v>34.5</v>
          </cell>
        </row>
        <row r="1075">
          <cell r="A1075">
            <v>324176</v>
          </cell>
          <cell r="B1075" t="str">
            <v>JJ63-0550-HX-H-CL</v>
          </cell>
          <cell r="C1075">
            <v>4</v>
          </cell>
          <cell r="D1075" t="str">
            <v>ISBM</v>
          </cell>
          <cell r="E1075" t="str">
            <v>PET</v>
          </cell>
          <cell r="F1075">
            <v>34.5</v>
          </cell>
          <cell r="G1075"/>
          <cell r="H1075">
            <v>34</v>
          </cell>
        </row>
        <row r="1076">
          <cell r="A1076">
            <v>322461</v>
          </cell>
          <cell r="B1076" t="str">
            <v>JJ63-0550-R-R-CL</v>
          </cell>
          <cell r="C1076">
            <v>4</v>
          </cell>
          <cell r="D1076" t="str">
            <v>ISBM</v>
          </cell>
          <cell r="E1076" t="str">
            <v>PET</v>
          </cell>
          <cell r="F1076">
            <v>34.5</v>
          </cell>
          <cell r="G1076"/>
          <cell r="H1076">
            <v>34</v>
          </cell>
        </row>
        <row r="1077">
          <cell r="A1077">
            <v>441809</v>
          </cell>
          <cell r="B1077" t="str">
            <v>JJ63-0550-S-Q-CL</v>
          </cell>
          <cell r="C1077">
            <v>4</v>
          </cell>
          <cell r="D1077" t="str">
            <v>ISBM</v>
          </cell>
          <cell r="E1077" t="str">
            <v>PET</v>
          </cell>
          <cell r="F1077">
            <v>33.67</v>
          </cell>
          <cell r="G1077"/>
          <cell r="H1077">
            <v>34</v>
          </cell>
        </row>
        <row r="1078">
          <cell r="A1078">
            <v>623133</v>
          </cell>
          <cell r="B1078" t="str">
            <v>JJ63-0550-S-Q-CL ALMOND D24 (ASEM)</v>
          </cell>
          <cell r="C1078">
            <v>1</v>
          </cell>
          <cell r="D1078" t="str">
            <v>ISBM</v>
          </cell>
          <cell r="E1078" t="str">
            <v>PET</v>
          </cell>
          <cell r="F1078">
            <v>34</v>
          </cell>
          <cell r="G1078"/>
          <cell r="H1078">
            <v>34</v>
          </cell>
        </row>
        <row r="1079">
          <cell r="A1079">
            <v>623135</v>
          </cell>
          <cell r="B1079" t="str">
            <v>JJ63-0550-S-Q-CL FRUIT&amp;NUTS D24 (ASEM)</v>
          </cell>
          <cell r="C1079">
            <v>1</v>
          </cell>
          <cell r="D1079" t="str">
            <v>ISBM</v>
          </cell>
          <cell r="E1079" t="str">
            <v>PET</v>
          </cell>
          <cell r="F1079">
            <v>34.200000000000003</v>
          </cell>
          <cell r="G1079"/>
          <cell r="H1079">
            <v>34.200000000000003</v>
          </cell>
        </row>
        <row r="1080">
          <cell r="A1080">
            <v>623134</v>
          </cell>
          <cell r="B1080" t="str">
            <v>JJ63-0550-S-Q-CL HAZELNUTS D24 (ASEM)</v>
          </cell>
          <cell r="C1080">
            <v>1</v>
          </cell>
          <cell r="D1080" t="str">
            <v>ISBM</v>
          </cell>
          <cell r="E1080" t="str">
            <v>PET</v>
          </cell>
          <cell r="F1080">
            <v>33.42</v>
          </cell>
          <cell r="G1080"/>
          <cell r="H1080">
            <v>33.42</v>
          </cell>
        </row>
        <row r="1081">
          <cell r="A1081">
            <v>609312</v>
          </cell>
          <cell r="B1081" t="str">
            <v>JJ63-0550-S-Q-CL ALMOND MSI (ASEM)</v>
          </cell>
          <cell r="C1081">
            <v>1</v>
          </cell>
          <cell r="D1081" t="str">
            <v>ISBM</v>
          </cell>
          <cell r="E1081" t="str">
            <v>PET</v>
          </cell>
          <cell r="F1081">
            <v>34</v>
          </cell>
          <cell r="G1081"/>
          <cell r="H1081">
            <v>34</v>
          </cell>
        </row>
        <row r="1082">
          <cell r="A1082">
            <v>609313</v>
          </cell>
          <cell r="B1082" t="str">
            <v>JJ63-0550-S-Q-CL HAZELNUTS MSI (ASEM)</v>
          </cell>
          <cell r="C1082">
            <v>1</v>
          </cell>
          <cell r="D1082" t="str">
            <v>ISBM</v>
          </cell>
          <cell r="E1082" t="str">
            <v>PET</v>
          </cell>
          <cell r="F1082">
            <v>33.42</v>
          </cell>
          <cell r="G1082"/>
          <cell r="H1082">
            <v>33.42</v>
          </cell>
        </row>
        <row r="1083">
          <cell r="A1083">
            <v>322464</v>
          </cell>
          <cell r="B1083" t="str">
            <v>JJ63-0600-HX-H-CL</v>
          </cell>
          <cell r="C1083">
            <v>4</v>
          </cell>
          <cell r="D1083" t="str">
            <v>ISBM</v>
          </cell>
          <cell r="E1083" t="str">
            <v>PET</v>
          </cell>
          <cell r="F1083">
            <v>34.5</v>
          </cell>
          <cell r="G1083"/>
          <cell r="H1083">
            <v>34.200000000000003</v>
          </cell>
        </row>
        <row r="1084">
          <cell r="A1084">
            <v>647684</v>
          </cell>
          <cell r="B1084" t="str">
            <v>JJ63-0600OT-CL-HCSB-PET</v>
          </cell>
          <cell r="C1084">
            <v>4</v>
          </cell>
          <cell r="D1084" t="str">
            <v>ISBM</v>
          </cell>
          <cell r="E1084" t="str">
            <v>PET</v>
          </cell>
          <cell r="F1084">
            <v>34.5</v>
          </cell>
          <cell r="G1084"/>
          <cell r="H1084">
            <v>34.200000000000003</v>
          </cell>
        </row>
        <row r="1085">
          <cell r="A1085">
            <v>324173</v>
          </cell>
          <cell r="B1085" t="str">
            <v>JJ63-0600-RH-R-CL</v>
          </cell>
          <cell r="C1085">
            <v>4</v>
          </cell>
          <cell r="D1085" t="str">
            <v>ISBM</v>
          </cell>
          <cell r="E1085" t="str">
            <v>PET</v>
          </cell>
          <cell r="F1085">
            <v>34.5</v>
          </cell>
          <cell r="G1085"/>
          <cell r="H1085">
            <v>34</v>
          </cell>
        </row>
        <row r="1086">
          <cell r="A1086">
            <v>324167</v>
          </cell>
          <cell r="B1086" t="str">
            <v>JJ63-0600-RH-R-WH</v>
          </cell>
          <cell r="C1086">
            <v>4</v>
          </cell>
          <cell r="D1086" t="str">
            <v>ISBM</v>
          </cell>
          <cell r="E1086" t="str">
            <v>PET</v>
          </cell>
          <cell r="F1086">
            <v>34.5</v>
          </cell>
          <cell r="G1086"/>
          <cell r="H1086">
            <v>34</v>
          </cell>
        </row>
        <row r="1087">
          <cell r="A1087">
            <v>323046</v>
          </cell>
          <cell r="B1087" t="str">
            <v>JJ63-0650-CB-R-CL</v>
          </cell>
          <cell r="C1087">
            <v>4</v>
          </cell>
          <cell r="D1087" t="str">
            <v>ISBM</v>
          </cell>
          <cell r="E1087" t="str">
            <v>PET</v>
          </cell>
          <cell r="F1087">
            <v>34.5</v>
          </cell>
          <cell r="G1087"/>
          <cell r="H1087">
            <v>44</v>
          </cell>
        </row>
        <row r="1088">
          <cell r="A1088">
            <v>561358</v>
          </cell>
          <cell r="B1088" t="str">
            <v>JJ63-0650-HX-H-CL</v>
          </cell>
          <cell r="C1088">
            <v>4</v>
          </cell>
          <cell r="D1088" t="str">
            <v>ISBM</v>
          </cell>
          <cell r="E1088" t="str">
            <v>PET</v>
          </cell>
          <cell r="F1088">
            <v>34.5</v>
          </cell>
          <cell r="G1088"/>
          <cell r="H1088">
            <v>35</v>
          </cell>
        </row>
        <row r="1089">
          <cell r="A1089">
            <v>647556</v>
          </cell>
          <cell r="B1089" t="str">
            <v>JJ63-0650-HD-CL</v>
          </cell>
          <cell r="C1089">
            <v>4</v>
          </cell>
          <cell r="D1089" t="str">
            <v>ISBM</v>
          </cell>
          <cell r="E1089" t="str">
            <v>PET</v>
          </cell>
          <cell r="F1089">
            <v>34.5</v>
          </cell>
          <cell r="G1089"/>
          <cell r="H1089">
            <v>35</v>
          </cell>
        </row>
        <row r="1090">
          <cell r="A1090">
            <v>322467</v>
          </cell>
          <cell r="B1090" t="str">
            <v>JJ63-0650-S-S-CL</v>
          </cell>
          <cell r="C1090">
            <v>4</v>
          </cell>
          <cell r="D1090" t="str">
            <v>ISBM</v>
          </cell>
          <cell r="E1090" t="str">
            <v>PET</v>
          </cell>
          <cell r="F1090">
            <v>44</v>
          </cell>
          <cell r="G1090"/>
          <cell r="H1090">
            <v>33</v>
          </cell>
        </row>
        <row r="1091">
          <cell r="A1091">
            <v>324175</v>
          </cell>
          <cell r="B1091" t="str">
            <v>JJ63-0660-S-S-CL</v>
          </cell>
          <cell r="C1091">
            <v>4</v>
          </cell>
          <cell r="D1091" t="str">
            <v>ISBM</v>
          </cell>
          <cell r="E1091" t="str">
            <v>PET</v>
          </cell>
          <cell r="F1091">
            <v>44</v>
          </cell>
          <cell r="G1091"/>
          <cell r="H1091">
            <v>33</v>
          </cell>
        </row>
        <row r="1092">
          <cell r="A1092">
            <v>324143</v>
          </cell>
          <cell r="B1092" t="str">
            <v>JJ63-0681-BR-R-CL</v>
          </cell>
          <cell r="C1092">
            <v>4</v>
          </cell>
          <cell r="D1092" t="str">
            <v>ISBM</v>
          </cell>
          <cell r="E1092" t="str">
            <v>PET</v>
          </cell>
          <cell r="F1092">
            <v>34.5</v>
          </cell>
          <cell r="G1092"/>
          <cell r="H1092">
            <v>45.3</v>
          </cell>
        </row>
        <row r="1093">
          <cell r="A1093">
            <v>442642</v>
          </cell>
          <cell r="B1093" t="str">
            <v>JJ63-0700-HX-H-CL</v>
          </cell>
          <cell r="C1093">
            <v>4</v>
          </cell>
          <cell r="D1093" t="str">
            <v>ISBM</v>
          </cell>
          <cell r="E1093" t="str">
            <v>PET</v>
          </cell>
          <cell r="F1093">
            <v>34.5</v>
          </cell>
          <cell r="G1093"/>
          <cell r="H1093">
            <v>34.5</v>
          </cell>
        </row>
        <row r="1094">
          <cell r="A1094">
            <v>604365</v>
          </cell>
          <cell r="B1094" t="str">
            <v>JJ63-0310-R-R-CL-HW</v>
          </cell>
          <cell r="C1094">
            <v>4</v>
          </cell>
          <cell r="D1094" t="str">
            <v>ISBM</v>
          </cell>
          <cell r="E1094" t="str">
            <v>PET</v>
          </cell>
          <cell r="F1094">
            <v>45.3</v>
          </cell>
          <cell r="G1094"/>
          <cell r="H1094">
            <v>44.7</v>
          </cell>
        </row>
        <row r="1095">
          <cell r="A1095">
            <v>324144</v>
          </cell>
          <cell r="B1095" t="str">
            <v>JJ63-0724-K-R-CL</v>
          </cell>
          <cell r="C1095">
            <v>4</v>
          </cell>
          <cell r="D1095" t="str">
            <v>ISBM</v>
          </cell>
          <cell r="E1095" t="str">
            <v>PET</v>
          </cell>
          <cell r="F1095">
            <v>45.3</v>
          </cell>
          <cell r="G1095"/>
          <cell r="H1095">
            <v>44.7</v>
          </cell>
        </row>
        <row r="1096">
          <cell r="A1096">
            <v>324172</v>
          </cell>
          <cell r="B1096" t="str">
            <v>JJ63-0750-BR-R-CL</v>
          </cell>
          <cell r="C1096">
            <v>4</v>
          </cell>
          <cell r="D1096" t="str">
            <v>ISBM</v>
          </cell>
          <cell r="E1096" t="str">
            <v>PET</v>
          </cell>
          <cell r="F1096">
            <v>34.5</v>
          </cell>
          <cell r="G1096"/>
          <cell r="H1096">
            <v>47.47</v>
          </cell>
        </row>
        <row r="1097">
          <cell r="A1097">
            <v>359741</v>
          </cell>
          <cell r="B1097" t="str">
            <v>JJ63-0750-DH-H-CL</v>
          </cell>
          <cell r="C1097">
            <v>4</v>
          </cell>
          <cell r="D1097" t="str">
            <v>ISBM</v>
          </cell>
          <cell r="E1097" t="str">
            <v>PET</v>
          </cell>
          <cell r="F1097">
            <v>44.7</v>
          </cell>
          <cell r="G1097"/>
          <cell r="H1097">
            <v>33.700000000000003</v>
          </cell>
        </row>
        <row r="1098">
          <cell r="A1098">
            <v>354668</v>
          </cell>
          <cell r="B1098" t="str">
            <v>JJ63-0750-HX-H-CL-HW</v>
          </cell>
          <cell r="C1098">
            <v>4</v>
          </cell>
          <cell r="D1098" t="str">
            <v>ISBM</v>
          </cell>
          <cell r="E1098" t="str">
            <v>PET</v>
          </cell>
          <cell r="F1098">
            <v>34.5</v>
          </cell>
          <cell r="G1098"/>
          <cell r="H1098">
            <v>33</v>
          </cell>
        </row>
        <row r="1099">
          <cell r="A1099">
            <v>322471</v>
          </cell>
          <cell r="B1099" t="str">
            <v>JJ63-0750-HX-H-CL-LW</v>
          </cell>
          <cell r="C1099">
            <v>4</v>
          </cell>
          <cell r="D1099" t="str">
            <v>ISBM</v>
          </cell>
          <cell r="E1099" t="str">
            <v>PET</v>
          </cell>
          <cell r="F1099">
            <v>34.5</v>
          </cell>
          <cell r="G1099"/>
          <cell r="H1099">
            <v>34.5</v>
          </cell>
        </row>
        <row r="1100">
          <cell r="A1100">
            <v>431387</v>
          </cell>
          <cell r="B1100" t="str">
            <v>JJ63-0750-OT-H-CL</v>
          </cell>
          <cell r="C1100">
            <v>4</v>
          </cell>
          <cell r="D1100" t="str">
            <v>ISBM</v>
          </cell>
          <cell r="E1100" t="str">
            <v>PET</v>
          </cell>
          <cell r="F1100">
            <v>34.5</v>
          </cell>
          <cell r="G1100"/>
          <cell r="H1100">
            <v>35</v>
          </cell>
        </row>
        <row r="1101">
          <cell r="A1101">
            <v>346274</v>
          </cell>
          <cell r="B1101" t="str">
            <v>JJ63-0750-R-R-BR-HW</v>
          </cell>
          <cell r="C1101">
            <v>4</v>
          </cell>
          <cell r="D1101" t="str">
            <v>ISBM</v>
          </cell>
          <cell r="E1101" t="str">
            <v>PET</v>
          </cell>
          <cell r="F1101">
            <v>45.1</v>
          </cell>
          <cell r="G1101"/>
          <cell r="H1101">
            <v>32.4</v>
          </cell>
        </row>
        <row r="1102">
          <cell r="A1102">
            <v>343462</v>
          </cell>
          <cell r="B1102" t="str">
            <v>JJ63-0750-R-R-CL-HW</v>
          </cell>
          <cell r="C1102">
            <v>4</v>
          </cell>
          <cell r="D1102" t="str">
            <v>ISBM</v>
          </cell>
          <cell r="E1102" t="str">
            <v>PET</v>
          </cell>
          <cell r="F1102">
            <v>45</v>
          </cell>
          <cell r="G1102"/>
          <cell r="H1102">
            <v>32.4</v>
          </cell>
        </row>
        <row r="1103">
          <cell r="A1103">
            <v>323072</v>
          </cell>
          <cell r="B1103" t="str">
            <v>JJ63-0750-R-R-CL-LW</v>
          </cell>
          <cell r="C1103">
            <v>4</v>
          </cell>
          <cell r="D1103" t="str">
            <v>ISBM</v>
          </cell>
          <cell r="E1103" t="str">
            <v>PET</v>
          </cell>
          <cell r="F1103">
            <v>34.5</v>
          </cell>
          <cell r="G1103"/>
          <cell r="H1103">
            <v>34.5</v>
          </cell>
        </row>
        <row r="1104">
          <cell r="A1104">
            <v>616880</v>
          </cell>
          <cell r="B1104" t="str">
            <v>JJ63-0750-R-R-CL-LW CK 3.0 C MOCHA (ASEM)</v>
          </cell>
          <cell r="C1104">
            <v>1</v>
          </cell>
          <cell r="D1104" t="str">
            <v>ISBM</v>
          </cell>
          <cell r="E1104" t="str">
            <v>PET</v>
          </cell>
          <cell r="F1104">
            <v>34.5</v>
          </cell>
          <cell r="G1104"/>
          <cell r="H1104">
            <v>34.5</v>
          </cell>
        </row>
        <row r="1105">
          <cell r="A1105">
            <v>592128</v>
          </cell>
          <cell r="B1105" t="str">
            <v>JJ63-0750-R-R-CL-LW CK 2.0 A-ALMD (ASEM)</v>
          </cell>
          <cell r="C1105">
            <v>4</v>
          </cell>
          <cell r="D1105" t="str">
            <v>ISBM</v>
          </cell>
          <cell r="E1105" t="str">
            <v>PET</v>
          </cell>
          <cell r="F1105">
            <v>34.5</v>
          </cell>
          <cell r="G1105"/>
          <cell r="H1105">
            <v>34.5</v>
          </cell>
        </row>
        <row r="1106">
          <cell r="A1106">
            <v>606902</v>
          </cell>
          <cell r="B1106" t="str">
            <v>JJ63-0750-R-R-CL-LW CK 2.0 C-ALMD (ASEM)</v>
          </cell>
          <cell r="C1106">
            <v>4</v>
          </cell>
          <cell r="D1106" t="str">
            <v>ISBM</v>
          </cell>
          <cell r="E1106" t="str">
            <v>PET</v>
          </cell>
          <cell r="F1106">
            <v>34.5</v>
          </cell>
          <cell r="G1106"/>
          <cell r="H1106">
            <v>34.5</v>
          </cell>
        </row>
        <row r="1107">
          <cell r="A1107">
            <v>616879</v>
          </cell>
          <cell r="B1107" t="str">
            <v>JJ63-0750-R-R-CL-LW CK 3.0 C-ALMD (ASEM)</v>
          </cell>
          <cell r="C1107">
            <v>1</v>
          </cell>
          <cell r="D1107" t="str">
            <v>ISBM</v>
          </cell>
          <cell r="E1107" t="str">
            <v>PET</v>
          </cell>
          <cell r="F1107">
            <v>34.5</v>
          </cell>
          <cell r="G1107"/>
          <cell r="H1107">
            <v>34.5</v>
          </cell>
        </row>
        <row r="1108">
          <cell r="A1108">
            <v>324170</v>
          </cell>
          <cell r="B1108" t="str">
            <v>JJ63-0750-SHX-S-CL</v>
          </cell>
          <cell r="C1108">
            <v>4</v>
          </cell>
          <cell r="D1108" t="str">
            <v>ISBM</v>
          </cell>
          <cell r="E1108" t="str">
            <v>PET</v>
          </cell>
          <cell r="F1108">
            <v>35</v>
          </cell>
          <cell r="G1108"/>
          <cell r="H1108">
            <v>35</v>
          </cell>
        </row>
        <row r="1109">
          <cell r="A1109">
            <v>371002</v>
          </cell>
          <cell r="B1109" t="str">
            <v>JJ63-0813-FC-R-CL</v>
          </cell>
          <cell r="C1109">
            <v>4</v>
          </cell>
          <cell r="D1109" t="str">
            <v>ISBM</v>
          </cell>
          <cell r="E1109" t="str">
            <v>PET</v>
          </cell>
          <cell r="F1109">
            <v>44.5</v>
          </cell>
          <cell r="G1109"/>
          <cell r="H1109">
            <v>44</v>
          </cell>
        </row>
        <row r="1110">
          <cell r="A1110">
            <v>322474</v>
          </cell>
          <cell r="B1110" t="str">
            <v>JJ63-0850-RH-R-CL</v>
          </cell>
          <cell r="C1110">
            <v>4</v>
          </cell>
          <cell r="D1110" t="str">
            <v>ISBM</v>
          </cell>
          <cell r="E1110" t="str">
            <v>PET</v>
          </cell>
          <cell r="F1110">
            <v>44</v>
          </cell>
          <cell r="G1110"/>
          <cell r="H1110">
            <v>44</v>
          </cell>
        </row>
        <row r="1111">
          <cell r="A1111">
            <v>438275</v>
          </cell>
          <cell r="B1111" t="str">
            <v>JJ63-1000-E-E-WH</v>
          </cell>
          <cell r="C1111">
            <v>4</v>
          </cell>
          <cell r="D1111" t="str">
            <v>ISBM</v>
          </cell>
          <cell r="E1111" t="str">
            <v>PET</v>
          </cell>
          <cell r="F1111">
            <v>44</v>
          </cell>
          <cell r="G1111"/>
          <cell r="H1111">
            <v>45</v>
          </cell>
        </row>
        <row r="1112">
          <cell r="A1112">
            <v>322477</v>
          </cell>
          <cell r="B1112" t="str">
            <v>JJ63-1000-E-R-CL</v>
          </cell>
          <cell r="C1112">
            <v>4</v>
          </cell>
          <cell r="D1112" t="str">
            <v>ISBM</v>
          </cell>
          <cell r="E1112" t="str">
            <v>PET</v>
          </cell>
          <cell r="F1112">
            <v>44</v>
          </cell>
          <cell r="G1112"/>
          <cell r="H1112">
            <v>44</v>
          </cell>
        </row>
        <row r="1113">
          <cell r="A1113">
            <v>329664</v>
          </cell>
          <cell r="B1113" t="str">
            <v>JJ63-1000-SR-S-CL (648)</v>
          </cell>
          <cell r="C1113">
            <v>4</v>
          </cell>
          <cell r="D1113" t="str">
            <v>ISBM</v>
          </cell>
          <cell r="E1113" t="str">
            <v>PET</v>
          </cell>
          <cell r="F1113">
            <v>45.2</v>
          </cell>
          <cell r="G1113"/>
          <cell r="H1113">
            <v>95.2</v>
          </cell>
        </row>
        <row r="1114">
          <cell r="A1114">
            <v>475541</v>
          </cell>
          <cell r="B1114" t="str">
            <v>JJ63-1000-S-S-CL</v>
          </cell>
          <cell r="C1114">
            <v>4</v>
          </cell>
          <cell r="D1114" t="str">
            <v>ISBM</v>
          </cell>
          <cell r="E1114" t="str">
            <v>PET</v>
          </cell>
          <cell r="F1114">
            <v>44</v>
          </cell>
          <cell r="G1114"/>
          <cell r="H1114">
            <v>44</v>
          </cell>
        </row>
        <row r="1115">
          <cell r="A1115">
            <v>588272</v>
          </cell>
          <cell r="B1115" t="str">
            <v>JK57-0350-R-CL-KEKO</v>
          </cell>
          <cell r="C1115">
            <v>2</v>
          </cell>
          <cell r="D1115" t="str">
            <v>BRAVAN</v>
          </cell>
          <cell r="E1115" t="str">
            <v>PET CAN</v>
          </cell>
          <cell r="F1115">
            <v>18</v>
          </cell>
          <cell r="G1115"/>
          <cell r="H1115">
            <v>24</v>
          </cell>
        </row>
        <row r="1116">
          <cell r="A1116">
            <v>647596</v>
          </cell>
          <cell r="B1116" t="str">
            <v>JK57-0300-R-CL-JJ-PET</v>
          </cell>
          <cell r="C1116">
            <v>2</v>
          </cell>
          <cell r="D1116" t="str">
            <v>BRAVAN</v>
          </cell>
          <cell r="E1116" t="str">
            <v>PET CAN</v>
          </cell>
          <cell r="F1116">
            <v>17.03</v>
          </cell>
          <cell r="G1116"/>
          <cell r="H1116">
            <v>24.22</v>
          </cell>
        </row>
        <row r="1117">
          <cell r="A1117">
            <v>334730</v>
          </cell>
          <cell r="B1117" t="str">
            <v>JL63-1000-E-R-CL</v>
          </cell>
          <cell r="C1117">
            <v>4</v>
          </cell>
          <cell r="D1117" t="str">
            <v>ISBM</v>
          </cell>
          <cell r="E1117" t="str">
            <v>PET</v>
          </cell>
          <cell r="F1117">
            <v>44</v>
          </cell>
          <cell r="G1117"/>
          <cell r="H1117">
            <v>150.19999999999999</v>
          </cell>
        </row>
        <row r="1118">
          <cell r="A1118">
            <v>333708</v>
          </cell>
          <cell r="B1118" t="str">
            <v>JN90-2480-N-R-CL FOX LABEL</v>
          </cell>
          <cell r="C1118">
            <v>3</v>
          </cell>
          <cell r="D1118" t="str">
            <v>ISBM</v>
          </cell>
          <cell r="E1118" t="str">
            <v>PET</v>
          </cell>
          <cell r="F1118">
            <v>96.2</v>
          </cell>
          <cell r="G1118"/>
          <cell r="H1118">
            <v>96.2</v>
          </cell>
        </row>
        <row r="1119">
          <cell r="A1119">
            <v>339243</v>
          </cell>
          <cell r="B1119" t="str">
            <v>JN90-2480-N-R-CL FOX LB + ORG CAP</v>
          </cell>
          <cell r="C1119">
            <v>3</v>
          </cell>
          <cell r="D1119" t="str">
            <v>ISBM</v>
          </cell>
          <cell r="E1119" t="str">
            <v>PET</v>
          </cell>
          <cell r="F1119">
            <v>97.2</v>
          </cell>
          <cell r="G1119"/>
          <cell r="H1119">
            <v>95.2</v>
          </cell>
        </row>
        <row r="1120">
          <cell r="A1120">
            <v>333704</v>
          </cell>
          <cell r="B1120" t="str">
            <v>JN90-2480-N-R-CL MILO LABEL</v>
          </cell>
          <cell r="C1120">
            <v>3</v>
          </cell>
          <cell r="D1120" t="str">
            <v>ISBM</v>
          </cell>
          <cell r="E1120" t="str">
            <v>PET</v>
          </cell>
          <cell r="F1120">
            <v>96.2</v>
          </cell>
          <cell r="G1120"/>
          <cell r="H1120">
            <v>96.2</v>
          </cell>
        </row>
        <row r="1121">
          <cell r="A1121">
            <v>337767</v>
          </cell>
          <cell r="B1121" t="str">
            <v>JN90-2480-N-R-CL MILO LABEL NEW</v>
          </cell>
          <cell r="C1121">
            <v>3</v>
          </cell>
          <cell r="D1121" t="str">
            <v>ISBM</v>
          </cell>
          <cell r="E1121" t="str">
            <v>PET</v>
          </cell>
          <cell r="F1121">
            <v>96.2</v>
          </cell>
          <cell r="G1121"/>
          <cell r="H1121">
            <v>95.2</v>
          </cell>
        </row>
        <row r="1122">
          <cell r="A1122">
            <v>339222</v>
          </cell>
          <cell r="B1122" t="str">
            <v>JN90-2480-N-R-CL MILO LB + GRN CAP</v>
          </cell>
          <cell r="C1122">
            <v>3</v>
          </cell>
          <cell r="D1122" t="str">
            <v>ISBM</v>
          </cell>
          <cell r="E1122" t="str">
            <v>PET</v>
          </cell>
          <cell r="F1122">
            <v>97.2</v>
          </cell>
          <cell r="G1122"/>
          <cell r="H1122">
            <v>97.2</v>
          </cell>
        </row>
        <row r="1123">
          <cell r="A1123">
            <v>333706</v>
          </cell>
          <cell r="B1123" t="str">
            <v>JN90-2480-N-R-CL POLO LABEL</v>
          </cell>
          <cell r="C1123">
            <v>3</v>
          </cell>
          <cell r="D1123" t="str">
            <v>ISBM</v>
          </cell>
          <cell r="E1123" t="str">
            <v>PET</v>
          </cell>
          <cell r="F1123">
            <v>96.2</v>
          </cell>
          <cell r="G1123"/>
          <cell r="H1123">
            <v>95.2</v>
          </cell>
        </row>
        <row r="1124">
          <cell r="A1124">
            <v>339242</v>
          </cell>
          <cell r="B1124" t="str">
            <v>JN90-2480-N-R-CL POLO LB + BL CAP</v>
          </cell>
          <cell r="C1124">
            <v>3</v>
          </cell>
          <cell r="D1124" t="str">
            <v>ISBM</v>
          </cell>
          <cell r="E1124" t="str">
            <v>PET</v>
          </cell>
          <cell r="F1124">
            <v>97.2</v>
          </cell>
          <cell r="G1124"/>
          <cell r="H1124">
            <v>24.3</v>
          </cell>
        </row>
        <row r="1125">
          <cell r="A1125">
            <v>333745</v>
          </cell>
          <cell r="B1125" t="str">
            <v>JN90-2480-R-R-CL</v>
          </cell>
          <cell r="C1125">
            <v>3</v>
          </cell>
          <cell r="D1125" t="str">
            <v>ISBM</v>
          </cell>
          <cell r="E1125" t="str">
            <v>PET</v>
          </cell>
          <cell r="F1125">
            <v>95.2</v>
          </cell>
          <cell r="G1125"/>
          <cell r="H1125">
            <v>95.2</v>
          </cell>
        </row>
        <row r="1126">
          <cell r="A1126">
            <v>557213</v>
          </cell>
          <cell r="B1126" t="str">
            <v>JN90-2480-R-R-CL CRUNCH 16G LABEL</v>
          </cell>
          <cell r="C1126">
            <v>3</v>
          </cell>
          <cell r="D1126" t="str">
            <v>ISBM</v>
          </cell>
          <cell r="E1126" t="str">
            <v>PET</v>
          </cell>
          <cell r="F1126">
            <v>98.2</v>
          </cell>
          <cell r="G1126"/>
          <cell r="H1126">
            <v>24.3</v>
          </cell>
        </row>
        <row r="1127">
          <cell r="A1127">
            <v>589461</v>
          </cell>
          <cell r="B1127" t="str">
            <v>JO97-2200-R-G.BL-PET-SIZE3-OUJI</v>
          </cell>
          <cell r="C1127">
            <v>2</v>
          </cell>
          <cell r="D1127" t="str">
            <v>OUJI</v>
          </cell>
          <cell r="E1127" t="str">
            <v>PET</v>
          </cell>
          <cell r="F1127">
            <v>118</v>
          </cell>
          <cell r="G1127"/>
          <cell r="H1127">
            <v>118</v>
          </cell>
        </row>
        <row r="1128">
          <cell r="A1128">
            <v>590665</v>
          </cell>
          <cell r="B1128" t="str">
            <v>JO97-2200-R-WHITE-PET-SIZE3-OUJI</v>
          </cell>
          <cell r="C1128">
            <v>2</v>
          </cell>
          <cell r="D1128" t="str">
            <v>OUJI</v>
          </cell>
          <cell r="E1128" t="str">
            <v>PET</v>
          </cell>
          <cell r="F1128">
            <v>118</v>
          </cell>
          <cell r="G1128"/>
          <cell r="H1128">
            <v>118</v>
          </cell>
        </row>
        <row r="1129">
          <cell r="A1129">
            <v>594832</v>
          </cell>
          <cell r="B1129" t="str">
            <v>JO97-1700-R-G.BL-PET-SIZE 1-OUJI</v>
          </cell>
          <cell r="C1129">
            <v>2</v>
          </cell>
          <cell r="D1129" t="str">
            <v>OUJI</v>
          </cell>
          <cell r="E1129" t="str">
            <v>PET</v>
          </cell>
          <cell r="F1129">
            <v>95</v>
          </cell>
          <cell r="G1129"/>
          <cell r="H1129">
            <v>95</v>
          </cell>
        </row>
        <row r="1130">
          <cell r="A1130">
            <v>594833</v>
          </cell>
          <cell r="B1130" t="str">
            <v>JO97-1700-R-WHITE-PET-SIZE 1-OUJI</v>
          </cell>
          <cell r="C1130">
            <v>2</v>
          </cell>
          <cell r="D1130" t="str">
            <v>OUJI</v>
          </cell>
          <cell r="E1130" t="str">
            <v>PET</v>
          </cell>
          <cell r="F1130">
            <v>95</v>
          </cell>
          <cell r="G1130"/>
          <cell r="H1130">
            <v>95</v>
          </cell>
        </row>
        <row r="1131">
          <cell r="A1131">
            <v>324216</v>
          </cell>
          <cell r="B1131" t="str">
            <v>JW110-4100-R-R-AM</v>
          </cell>
          <cell r="C1131">
            <v>1</v>
          </cell>
          <cell r="D1131" t="str">
            <v>ISBM</v>
          </cell>
          <cell r="E1131" t="str">
            <v>PET</v>
          </cell>
          <cell r="F1131">
            <v>150.19999999999999</v>
          </cell>
          <cell r="G1131"/>
          <cell r="H1131">
            <v>150.19999999999999</v>
          </cell>
        </row>
        <row r="1132">
          <cell r="A1132">
            <v>322484</v>
          </cell>
          <cell r="B1132" t="str">
            <v>JW110-5000-S-S-CL</v>
          </cell>
          <cell r="C1132">
            <v>1</v>
          </cell>
          <cell r="D1132" t="str">
            <v>ISBM</v>
          </cell>
          <cell r="E1132" t="str">
            <v>PET</v>
          </cell>
          <cell r="F1132">
            <v>142.6</v>
          </cell>
          <cell r="G1132"/>
          <cell r="H1132">
            <v>24</v>
          </cell>
        </row>
        <row r="1133">
          <cell r="A1133">
            <v>331136</v>
          </cell>
          <cell r="B1133" t="str">
            <v>JX63-0200-R-R-CL</v>
          </cell>
          <cell r="C1133">
            <v>4</v>
          </cell>
          <cell r="D1133" t="str">
            <v>ISBM</v>
          </cell>
          <cell r="E1133" t="str">
            <v>PET</v>
          </cell>
          <cell r="F1133">
            <v>30</v>
          </cell>
          <cell r="G1133"/>
          <cell r="H1133">
            <v>26.9</v>
          </cell>
        </row>
        <row r="1134">
          <cell r="A1134">
            <v>324142</v>
          </cell>
          <cell r="B1134" t="str">
            <v>JX63-0235-RN-R-BR</v>
          </cell>
          <cell r="C1134">
            <v>4</v>
          </cell>
          <cell r="D1134" t="str">
            <v>ISBM</v>
          </cell>
          <cell r="E1134" t="str">
            <v>PET</v>
          </cell>
          <cell r="F1134">
            <v>27</v>
          </cell>
          <cell r="G1134"/>
          <cell r="H1134">
            <v>28.7</v>
          </cell>
        </row>
        <row r="1135">
          <cell r="A1135">
            <v>326771</v>
          </cell>
          <cell r="B1135" t="str">
            <v>JX63-0235-R-R-CL</v>
          </cell>
          <cell r="C1135">
            <v>4</v>
          </cell>
          <cell r="D1135" t="str">
            <v>ISBM</v>
          </cell>
          <cell r="E1135" t="str">
            <v>PET</v>
          </cell>
          <cell r="F1135">
            <v>24</v>
          </cell>
          <cell r="G1135"/>
          <cell r="H1135">
            <v>26.97</v>
          </cell>
        </row>
        <row r="1136">
          <cell r="A1136">
            <v>326273</v>
          </cell>
          <cell r="B1136" t="str">
            <v>JX63-0240-RSN-R-CL</v>
          </cell>
          <cell r="C1136">
            <v>4</v>
          </cell>
          <cell r="D1136" t="str">
            <v>ISBM</v>
          </cell>
          <cell r="E1136" t="str">
            <v>PET</v>
          </cell>
          <cell r="F1136">
            <v>27</v>
          </cell>
          <cell r="G1136"/>
          <cell r="H1136">
            <v>29.1</v>
          </cell>
        </row>
        <row r="1137">
          <cell r="A1137">
            <v>355328</v>
          </cell>
          <cell r="B1137" t="str">
            <v>JX63-0320-A-S-AM</v>
          </cell>
          <cell r="C1137">
            <v>4</v>
          </cell>
          <cell r="D1137" t="str">
            <v>ISBM</v>
          </cell>
          <cell r="E1137" t="str">
            <v>PET</v>
          </cell>
          <cell r="F1137">
            <v>28.7</v>
          </cell>
          <cell r="G1137"/>
          <cell r="H1137">
            <v>28.7</v>
          </cell>
        </row>
        <row r="1138">
          <cell r="A1138">
            <v>411344</v>
          </cell>
          <cell r="B1138" t="str">
            <v>JX63-0350-R-R-CL</v>
          </cell>
          <cell r="C1138">
            <v>4</v>
          </cell>
          <cell r="D1138" t="str">
            <v>ISBM</v>
          </cell>
          <cell r="E1138" t="str">
            <v>PET</v>
          </cell>
          <cell r="F1138">
            <v>29.1</v>
          </cell>
          <cell r="G1138"/>
          <cell r="H1138">
            <v>30</v>
          </cell>
        </row>
        <row r="1139">
          <cell r="A1139">
            <v>355327</v>
          </cell>
          <cell r="B1139" t="str">
            <v>JX63-0400-S-S-AM</v>
          </cell>
          <cell r="C1139">
            <v>4</v>
          </cell>
          <cell r="D1139" t="str">
            <v>ISBM</v>
          </cell>
          <cell r="E1139" t="str">
            <v>PET</v>
          </cell>
          <cell r="F1139">
            <v>29</v>
          </cell>
          <cell r="G1139"/>
          <cell r="H1139">
            <v>29.5</v>
          </cell>
        </row>
        <row r="1140">
          <cell r="A1140">
            <v>324108</v>
          </cell>
          <cell r="B1140" t="str">
            <v>JX63-0475-FFN-R-CL</v>
          </cell>
          <cell r="C1140">
            <v>4</v>
          </cell>
          <cell r="D1140" t="str">
            <v>ISBM</v>
          </cell>
          <cell r="E1140" t="str">
            <v>PET</v>
          </cell>
          <cell r="F1140">
            <v>29</v>
          </cell>
          <cell r="G1140"/>
          <cell r="H1140">
            <v>28.5</v>
          </cell>
        </row>
        <row r="1141">
          <cell r="A1141">
            <v>334480</v>
          </cell>
          <cell r="B1141" t="str">
            <v>JX63-0500-S-S-CL</v>
          </cell>
          <cell r="C1141">
            <v>4</v>
          </cell>
          <cell r="D1141" t="str">
            <v>ISBM</v>
          </cell>
          <cell r="E1141" t="str">
            <v>PET</v>
          </cell>
          <cell r="F1141">
            <v>29.5</v>
          </cell>
          <cell r="G1141"/>
          <cell r="H1141">
            <v>44</v>
          </cell>
        </row>
        <row r="1142">
          <cell r="A1142">
            <v>328420</v>
          </cell>
          <cell r="B1142" t="str">
            <v>JX63-0531-RN-R-CL</v>
          </cell>
          <cell r="C1142">
            <v>4</v>
          </cell>
          <cell r="D1142" t="str">
            <v>ISBM</v>
          </cell>
          <cell r="E1142" t="str">
            <v>PET</v>
          </cell>
          <cell r="F1142">
            <v>28.5</v>
          </cell>
          <cell r="G1142"/>
          <cell r="H1142">
            <v>28.5</v>
          </cell>
        </row>
        <row r="1143">
          <cell r="A1143">
            <v>365091</v>
          </cell>
          <cell r="B1143" t="str">
            <v>JX63-1000-E-R-CL</v>
          </cell>
          <cell r="C1143">
            <v>4</v>
          </cell>
          <cell r="D1143" t="str">
            <v>ISBM</v>
          </cell>
          <cell r="E1143" t="str">
            <v>PET</v>
          </cell>
          <cell r="F1143">
            <v>44</v>
          </cell>
          <cell r="G1143"/>
          <cell r="H1143">
            <v>44</v>
          </cell>
        </row>
        <row r="1144">
          <cell r="A1144">
            <v>588637</v>
          </cell>
          <cell r="B1144" t="str">
            <v>PF-JK57-24-82-KEKO</v>
          </cell>
          <cell r="C1144">
            <v>6</v>
          </cell>
          <cell r="D1144" t="str">
            <v>INJ</v>
          </cell>
          <cell r="E1144" t="str">
            <v>PET PF CAN</v>
          </cell>
          <cell r="F1144">
            <v>24.6</v>
          </cell>
          <cell r="G1144"/>
          <cell r="H1144">
            <v>24.6</v>
          </cell>
        </row>
        <row r="1145">
          <cell r="A1145">
            <v>666148</v>
          </cell>
          <cell r="B1145" t="str">
            <v xml:space="preserve"> JG63-0175-R-R-AM KNR TOMYAM TITAN(VT) </v>
          </cell>
          <cell r="C1145">
            <v>1</v>
          </cell>
          <cell r="D1145" t="str">
            <v>ISBM</v>
          </cell>
          <cell r="E1145" t="str">
            <v>PET</v>
          </cell>
          <cell r="F1145">
            <v>24</v>
          </cell>
          <cell r="G1145"/>
          <cell r="H1145">
            <v>24.45</v>
          </cell>
        </row>
        <row r="1146">
          <cell r="A1146">
            <v>588637</v>
          </cell>
          <cell r="B1146" t="str">
            <v>PF-JK57-24-82-KEKO</v>
          </cell>
          <cell r="C1146">
            <v>6</v>
          </cell>
          <cell r="D1146" t="str">
            <v>INJ</v>
          </cell>
          <cell r="E1146" t="str">
            <v>PET PF CAN</v>
          </cell>
          <cell r="F1146">
            <v>24.6</v>
          </cell>
          <cell r="G1146"/>
          <cell r="H1146">
            <v>24.6</v>
          </cell>
        </row>
        <row r="1147">
          <cell r="A1147">
            <v>667599</v>
          </cell>
          <cell r="B1147" t="str">
            <v>PFA32-0410-CL-PET-HF</v>
          </cell>
          <cell r="C1147">
            <v>6</v>
          </cell>
          <cell r="D1147" t="str">
            <v>INJ</v>
          </cell>
          <cell r="E1147" t="str">
            <v>PET CZ333 PF</v>
          </cell>
          <cell r="F1147">
            <v>0</v>
          </cell>
          <cell r="G1147"/>
          <cell r="H1147">
            <v>0</v>
          </cell>
        </row>
        <row r="1148">
          <cell r="A1148">
            <v>667598</v>
          </cell>
          <cell r="B1148" t="str">
            <v>PFA32-0250-CL-PET-HF</v>
          </cell>
          <cell r="C1148">
            <v>6</v>
          </cell>
          <cell r="D1148" t="str">
            <v>INJ</v>
          </cell>
          <cell r="E1148" t="str">
            <v>PET CZ333 PF</v>
          </cell>
          <cell r="F1148">
            <v>0</v>
          </cell>
          <cell r="G1148"/>
          <cell r="H1148">
            <v>0</v>
          </cell>
        </row>
        <row r="1149">
          <cell r="A1149">
            <v>667634</v>
          </cell>
          <cell r="B1149" t="str">
            <v>PFA32-0130-CL-PET-HF</v>
          </cell>
          <cell r="C1149">
            <v>6</v>
          </cell>
          <cell r="D1149" t="str">
            <v>INJ</v>
          </cell>
          <cell r="E1149" t="str">
            <v>PET CZ333 PF</v>
          </cell>
          <cell r="F1149">
            <v>0</v>
          </cell>
          <cell r="G1149"/>
          <cell r="H1149">
            <v>0</v>
          </cell>
        </row>
        <row r="1150">
          <cell r="A1150">
            <v>550363</v>
          </cell>
          <cell r="B1150" t="str">
            <v>Z- 35G PET PREFORM</v>
          </cell>
          <cell r="C1150">
            <v>1</v>
          </cell>
          <cell r="D1150" t="str">
            <v>INJ</v>
          </cell>
          <cell r="E1150" t="str">
            <v>PET PF CAN</v>
          </cell>
          <cell r="F1150">
            <v>35</v>
          </cell>
          <cell r="G1150"/>
          <cell r="H1150"/>
        </row>
        <row r="1151">
          <cell r="A1151">
            <v>322699</v>
          </cell>
          <cell r="B1151" t="str">
            <v>Z-28-EZY CAP COVER</v>
          </cell>
          <cell r="C1151">
            <v>2</v>
          </cell>
          <cell r="D1151" t="str">
            <v>INJ</v>
          </cell>
          <cell r="E1151" t="str">
            <v>SM398</v>
          </cell>
          <cell r="F1151">
            <v>2</v>
          </cell>
          <cell r="G1151"/>
          <cell r="H1151">
            <v>2</v>
          </cell>
        </row>
        <row r="1152">
          <cell r="A1152">
            <v>411790</v>
          </cell>
          <cell r="B1152" t="str">
            <v>Z-38MM-PP-HANDLE-BLK</v>
          </cell>
          <cell r="C1152">
            <v>8</v>
          </cell>
          <cell r="D1152" t="str">
            <v>INJ</v>
          </cell>
          <cell r="E1152" t="str">
            <v>PP2300K</v>
          </cell>
          <cell r="F1152">
            <v>11.4</v>
          </cell>
          <cell r="G1152"/>
          <cell r="H1152">
            <v>11</v>
          </cell>
        </row>
        <row r="1153">
          <cell r="A1153">
            <v>322691</v>
          </cell>
          <cell r="B1153" t="str">
            <v>Z-COMM CUP</v>
          </cell>
          <cell r="C1153">
            <v>8</v>
          </cell>
          <cell r="D1153" t="str">
            <v>INJ</v>
          </cell>
          <cell r="E1153" t="str">
            <v>SM398</v>
          </cell>
          <cell r="F1153">
            <v>1.7</v>
          </cell>
          <cell r="G1153"/>
          <cell r="H1153">
            <v>1.7</v>
          </cell>
        </row>
        <row r="1154">
          <cell r="A1154">
            <v>323084</v>
          </cell>
          <cell r="B1154" t="str">
            <v>Z-HANDLE - BLUE</v>
          </cell>
          <cell r="C1154">
            <v>8</v>
          </cell>
          <cell r="D1154" t="str">
            <v>INJ</v>
          </cell>
          <cell r="E1154" t="str">
            <v>PP2300K</v>
          </cell>
          <cell r="F1154">
            <v>11.39</v>
          </cell>
          <cell r="G1154"/>
          <cell r="H1154">
            <v>11</v>
          </cell>
        </row>
        <row r="1155">
          <cell r="A1155">
            <v>322540</v>
          </cell>
          <cell r="B1155" t="str">
            <v>Z-HANDLE - GREEN</v>
          </cell>
          <cell r="C1155">
            <v>8</v>
          </cell>
          <cell r="D1155" t="str">
            <v>INJ</v>
          </cell>
          <cell r="E1155" t="str">
            <v>PP2300K</v>
          </cell>
          <cell r="F1155">
            <v>11.39</v>
          </cell>
          <cell r="G1155"/>
          <cell r="H1155">
            <v>11</v>
          </cell>
        </row>
        <row r="1156">
          <cell r="A1156">
            <v>322537</v>
          </cell>
          <cell r="B1156" t="str">
            <v>Z-HANDLE - RED</v>
          </cell>
          <cell r="C1156">
            <v>8</v>
          </cell>
          <cell r="D1156" t="str">
            <v>INJ</v>
          </cell>
          <cell r="E1156" t="str">
            <v>PP2300K</v>
          </cell>
          <cell r="F1156">
            <v>11.39</v>
          </cell>
          <cell r="G1156"/>
          <cell r="H1156">
            <v>11</v>
          </cell>
        </row>
        <row r="1157">
          <cell r="A1157">
            <v>322542</v>
          </cell>
          <cell r="B1157" t="str">
            <v>Z-HANDLE - WHITE</v>
          </cell>
          <cell r="C1157">
            <v>8</v>
          </cell>
          <cell r="D1157" t="str">
            <v>INJ</v>
          </cell>
          <cell r="E1157" t="str">
            <v>PP2300K</v>
          </cell>
          <cell r="F1157">
            <v>11.39</v>
          </cell>
          <cell r="G1157"/>
          <cell r="H1157">
            <v>11</v>
          </cell>
        </row>
        <row r="1158">
          <cell r="A1158">
            <v>322535</v>
          </cell>
          <cell r="B1158" t="str">
            <v>Z-HANDLE - YELLOW</v>
          </cell>
          <cell r="C1158">
            <v>8</v>
          </cell>
          <cell r="D1158" t="str">
            <v>INJ</v>
          </cell>
          <cell r="E1158" t="str">
            <v>PP2300K</v>
          </cell>
          <cell r="F1158">
            <v>11.39</v>
          </cell>
          <cell r="G1158"/>
          <cell r="H1158">
            <v>11</v>
          </cell>
        </row>
        <row r="1159">
          <cell r="A1159">
            <v>414321</v>
          </cell>
          <cell r="B1159" t="str">
            <v>Z-HANDLE-ORANGE</v>
          </cell>
          <cell r="C1159">
            <v>8</v>
          </cell>
          <cell r="D1159" t="str">
            <v>INJ</v>
          </cell>
          <cell r="E1159" t="str">
            <v>PP2300K</v>
          </cell>
          <cell r="F1159">
            <v>11.39</v>
          </cell>
          <cell r="G1159"/>
          <cell r="H1159">
            <v>11.39</v>
          </cell>
        </row>
        <row r="1160">
          <cell r="A1160">
            <v>414818</v>
          </cell>
          <cell r="B1160" t="str">
            <v>Z-HANDLE-VIOLET</v>
          </cell>
          <cell r="C1160">
            <v>8</v>
          </cell>
          <cell r="D1160" t="str">
            <v>INJ</v>
          </cell>
          <cell r="E1160" t="str">
            <v>PP2300K</v>
          </cell>
          <cell r="F1160">
            <v>11.39</v>
          </cell>
          <cell r="G1160"/>
          <cell r="H1160">
            <v>11</v>
          </cell>
        </row>
        <row r="1161">
          <cell r="A1161">
            <v>604327</v>
          </cell>
          <cell r="B1161" t="str">
            <v>PF-BX38-0056-0130-CL-PET</v>
          </cell>
          <cell r="C1161">
            <v>6</v>
          </cell>
          <cell r="D1161" t="str">
            <v>INJ</v>
          </cell>
          <cell r="E1161" t="str">
            <v xml:space="preserve">PET </v>
          </cell>
          <cell r="F1161">
            <v>55.9</v>
          </cell>
          <cell r="G1161"/>
          <cell r="H1161">
            <v>55.9</v>
          </cell>
        </row>
        <row r="1162">
          <cell r="A1162">
            <v>655555</v>
          </cell>
          <cell r="B1162" t="str">
            <v>PFA32-0410-CL-PET-HF</v>
          </cell>
          <cell r="C1162">
            <v>8</v>
          </cell>
          <cell r="D1162" t="str">
            <v>INJ</v>
          </cell>
          <cell r="E1162" t="str">
            <v>PET CZ333</v>
          </cell>
          <cell r="F1162">
            <v>31</v>
          </cell>
          <cell r="G1162"/>
          <cell r="H1162">
            <v>31</v>
          </cell>
        </row>
        <row r="1163">
          <cell r="A1163">
            <v>644444</v>
          </cell>
          <cell r="B1163" t="str">
            <v>PF-A250-HF</v>
          </cell>
          <cell r="C1163">
            <v>12</v>
          </cell>
          <cell r="D1163" t="str">
            <v>INJ</v>
          </cell>
          <cell r="E1163" t="str">
            <v>PET CZ333</v>
          </cell>
          <cell r="F1163">
            <v>20</v>
          </cell>
          <cell r="G1163"/>
          <cell r="H1163">
            <v>20</v>
          </cell>
        </row>
        <row r="1164">
          <cell r="A1164">
            <v>612060</v>
          </cell>
          <cell r="B1164" t="str">
            <v>BS0155-NA-KEFIR-M.KISAH</v>
          </cell>
          <cell r="C1164">
            <v>4</v>
          </cell>
          <cell r="D1164" t="str">
            <v>INJ</v>
          </cell>
          <cell r="E1164" t="str">
            <v>HDPE5403A</v>
          </cell>
          <cell r="F1164">
            <v>20</v>
          </cell>
          <cell r="G1164"/>
          <cell r="H1164">
            <v>20</v>
          </cell>
        </row>
        <row r="1165">
          <cell r="A1165">
            <v>612132</v>
          </cell>
          <cell r="B1165" t="str">
            <v>BS0155-NA-KEFIR-BERRIES</v>
          </cell>
          <cell r="C1165">
            <v>4</v>
          </cell>
          <cell r="D1165" t="str">
            <v>INJ</v>
          </cell>
          <cell r="E1165" t="str">
            <v>HDPE5403A</v>
          </cell>
          <cell r="F1165">
            <v>20</v>
          </cell>
          <cell r="G1165"/>
          <cell r="H1165">
            <v>20</v>
          </cell>
        </row>
        <row r="1166">
          <cell r="A1166">
            <v>612135</v>
          </cell>
          <cell r="B1166" t="str">
            <v>BS0155-NA-KEFIR-MANGGA PIC</v>
          </cell>
          <cell r="C1166">
            <v>4</v>
          </cell>
          <cell r="D1166" t="str">
            <v>INJ</v>
          </cell>
          <cell r="E1166" t="str">
            <v>HDPE5403A</v>
          </cell>
          <cell r="F1166">
            <v>20</v>
          </cell>
          <cell r="G1166"/>
          <cell r="H1166">
            <v>20</v>
          </cell>
        </row>
        <row r="1167">
          <cell r="A1167">
            <v>612317</v>
          </cell>
          <cell r="B1167" t="str">
            <v>AL0512-BK-36MM CAP (BLACK) W/IND SEAL</v>
          </cell>
          <cell r="C1167"/>
          <cell r="D1167" t="str">
            <v>INJ</v>
          </cell>
          <cell r="E1167"/>
          <cell r="F1167"/>
          <cell r="G1167"/>
          <cell r="H1167"/>
        </row>
        <row r="1168">
          <cell r="A1168">
            <v>611847</v>
          </cell>
          <cell r="B1168" t="str">
            <v>CF54-0050-R-YL WITH PE LINER RING (ASEM)</v>
          </cell>
          <cell r="C1168">
            <v>4</v>
          </cell>
          <cell r="D1168" t="str">
            <v>INJ</v>
          </cell>
          <cell r="E1168" t="str">
            <v>HDPE5403A</v>
          </cell>
          <cell r="F1168">
            <v>16.3</v>
          </cell>
          <cell r="G1168"/>
          <cell r="H1168">
            <v>16.3</v>
          </cell>
        </row>
        <row r="1169">
          <cell r="A1169" t="str">
            <v>593537-M2</v>
          </cell>
          <cell r="B1169" t="str">
            <v>BX38-1000-RN-R-CL-rPET 0.2-M2</v>
          </cell>
          <cell r="C1169">
            <v>2</v>
          </cell>
          <cell r="D1169" t="str">
            <v>BRAVAN</v>
          </cell>
          <cell r="E1169" t="str">
            <v>rPET</v>
          </cell>
          <cell r="F1169">
            <v>56.8</v>
          </cell>
          <cell r="G1169"/>
          <cell r="H1169">
            <v>56.5</v>
          </cell>
        </row>
        <row r="1170">
          <cell r="A1170">
            <v>611846</v>
          </cell>
          <cell r="B1170" t="str">
            <v>B54-5000-S-CL-HDPE</v>
          </cell>
          <cell r="C1170">
            <v>2</v>
          </cell>
          <cell r="D1170" t="str">
            <v>EBM</v>
          </cell>
          <cell r="E1170" t="str">
            <v>R-HDPE ASTERENE HXM 50100S</v>
          </cell>
          <cell r="F1170">
            <v>329</v>
          </cell>
          <cell r="G1170"/>
          <cell r="H1170">
            <v>453</v>
          </cell>
        </row>
        <row r="1171">
          <cell r="A1171">
            <v>645097</v>
          </cell>
          <cell r="B1171" t="str">
            <v>E44-7800-S-NA-FMC-HDPE</v>
          </cell>
          <cell r="C1171">
            <v>2</v>
          </cell>
          <cell r="D1171" t="str">
            <v>EBM</v>
          </cell>
          <cell r="E1171" t="str">
            <v>MARLEX5502</v>
          </cell>
          <cell r="F1171">
            <v>280</v>
          </cell>
          <cell r="G1171"/>
          <cell r="H1171">
            <v>440.5</v>
          </cell>
        </row>
        <row r="1172">
          <cell r="A1172">
            <v>645095</v>
          </cell>
          <cell r="B1172" t="str">
            <v>E44-3900-S-NA-FMC-HDPE</v>
          </cell>
          <cell r="C1172">
            <v>2</v>
          </cell>
          <cell r="D1172" t="str">
            <v>EBM</v>
          </cell>
          <cell r="E1172" t="str">
            <v>MARLEX5502</v>
          </cell>
          <cell r="F1172">
            <v>190</v>
          </cell>
          <cell r="G1172"/>
          <cell r="H1172">
            <v>317</v>
          </cell>
        </row>
        <row r="1173">
          <cell r="A1173">
            <v>558275</v>
          </cell>
          <cell r="B1173" t="str">
            <v>BC28-0500-D-APH-5040-0758-rHDPE</v>
          </cell>
          <cell r="C1173">
            <v>1</v>
          </cell>
          <cell r="D1173" t="str">
            <v>EBM</v>
          </cell>
          <cell r="E1173" t="str">
            <v>MARLEXTR144+rHDPE GH6100(R75)</v>
          </cell>
          <cell r="F1173">
            <v>86.5</v>
          </cell>
          <cell r="G1173"/>
          <cell r="H1173">
            <v>100.8</v>
          </cell>
        </row>
        <row r="1174">
          <cell r="A1174">
            <v>613594</v>
          </cell>
          <cell r="B1174" t="str">
            <v>JJ63-0190-Q-CL-LW-CRISPY(ASEM)V2</v>
          </cell>
          <cell r="C1174">
            <v>1</v>
          </cell>
          <cell r="D1174" t="str">
            <v>ISBM</v>
          </cell>
          <cell r="E1174" t="str">
            <v>PET</v>
          </cell>
          <cell r="F1174">
            <v>24</v>
          </cell>
          <cell r="G1174"/>
          <cell r="H1174">
            <v>24</v>
          </cell>
        </row>
        <row r="1175">
          <cell r="A1175">
            <v>600646</v>
          </cell>
          <cell r="B1175" t="str">
            <v>BC28-0500-GS2-R-AM</v>
          </cell>
          <cell r="C1175">
            <v>4</v>
          </cell>
          <cell r="D1175" t="str">
            <v>ISBM</v>
          </cell>
          <cell r="E1175" t="str">
            <v>PET</v>
          </cell>
          <cell r="F1175">
            <v>44</v>
          </cell>
          <cell r="G1175"/>
          <cell r="H1175">
            <v>44</v>
          </cell>
        </row>
        <row r="1176">
          <cell r="A1176">
            <v>620901</v>
          </cell>
          <cell r="B1176" t="str">
            <v>BC28-0750-K4-R-CL-JAPAN</v>
          </cell>
          <cell r="C1176">
            <v>4</v>
          </cell>
          <cell r="D1176" t="str">
            <v>EBM</v>
          </cell>
          <cell r="E1176" t="str">
            <v>PET</v>
          </cell>
          <cell r="F1176">
            <v>103</v>
          </cell>
          <cell r="G1176"/>
          <cell r="H1176">
            <v>139.80000000000001</v>
          </cell>
        </row>
        <row r="1177">
          <cell r="A1177">
            <v>606767</v>
          </cell>
          <cell r="B1177" t="str">
            <v>JJ63-0336-K-R-CL-HW</v>
          </cell>
          <cell r="C1177">
            <v>4</v>
          </cell>
          <cell r="D1177" t="str">
            <v>EBM</v>
          </cell>
          <cell r="E1177" t="str">
            <v>PET</v>
          </cell>
          <cell r="F1177">
            <v>103</v>
          </cell>
          <cell r="G1177"/>
          <cell r="H1177">
            <v>139.80000000000001</v>
          </cell>
        </row>
        <row r="1178">
          <cell r="A1178">
            <v>617192</v>
          </cell>
          <cell r="B1178" t="str">
            <v>EBK38-2017-K-S-BEIGE-HDPE</v>
          </cell>
          <cell r="C1178">
            <v>1</v>
          </cell>
          <cell r="D1178" t="str">
            <v>EBM</v>
          </cell>
          <cell r="E1178" t="str">
            <v>MARLEX6007</v>
          </cell>
          <cell r="F1178">
            <v>103</v>
          </cell>
          <cell r="G1178"/>
          <cell r="H1178">
            <v>139.80000000000001</v>
          </cell>
        </row>
        <row r="1179">
          <cell r="A1179">
            <v>645098</v>
          </cell>
          <cell r="B1179" t="str">
            <v xml:space="preserve">BC28-0035-D-LEO-601001-PP </v>
          </cell>
          <cell r="C1179">
            <v>6</v>
          </cell>
          <cell r="D1179" t="str">
            <v>ISBM</v>
          </cell>
          <cell r="E1179" t="str">
            <v>PPSB520Y</v>
          </cell>
          <cell r="F1179">
            <v>11</v>
          </cell>
          <cell r="G1179"/>
          <cell r="H1179">
            <v>11</v>
          </cell>
        </row>
        <row r="1180">
          <cell r="A1180">
            <v>604327</v>
          </cell>
          <cell r="B1180" t="str">
            <v>PF-BX38-0056-0130-CL-PET</v>
          </cell>
          <cell r="C1180">
            <v>6</v>
          </cell>
          <cell r="D1180" t="str">
            <v>INJ</v>
          </cell>
          <cell r="E1180" t="str">
            <v>PET</v>
          </cell>
          <cell r="F1180">
            <v>55.9</v>
          </cell>
          <cell r="G1180"/>
          <cell r="H1180">
            <v>55.9</v>
          </cell>
        </row>
        <row r="1181">
          <cell r="A1181">
            <v>647556</v>
          </cell>
          <cell r="B1181" t="str">
            <v>JJ63-0650HD-CL-PET</v>
          </cell>
          <cell r="C1181">
            <v>4</v>
          </cell>
          <cell r="D1181" t="str">
            <v>ISBM</v>
          </cell>
          <cell r="E1181" t="str">
            <v>PET</v>
          </cell>
          <cell r="F1181">
            <v>33</v>
          </cell>
          <cell r="G1181"/>
          <cell r="H1181">
            <v>33</v>
          </cell>
        </row>
        <row r="1182">
          <cell r="A1182">
            <v>620941</v>
          </cell>
          <cell r="B1182" t="str">
            <v xml:space="preserve"> JJ63-0200-R-R-CL 2.0 FANCY FONDANT (ASEM) </v>
          </cell>
          <cell r="C1182">
            <v>1</v>
          </cell>
          <cell r="D1182" t="str">
            <v>ISBM</v>
          </cell>
          <cell r="E1182" t="str">
            <v>PET</v>
          </cell>
          <cell r="F1182">
            <v>24</v>
          </cell>
          <cell r="G1182"/>
          <cell r="H1182">
            <v>24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 Report"/>
      <sheetName val="Sheet2"/>
      <sheetName val="Sheet1"/>
      <sheetName val="Reference Card "/>
      <sheetName val="Use this"/>
      <sheetName val="HP EFF%"/>
      <sheetName val="FMC"/>
      <sheetName val="Keko"/>
    </sheetNames>
    <sheetDataSet>
      <sheetData sheetId="0"/>
      <sheetData sheetId="1"/>
      <sheetData sheetId="2"/>
      <sheetData sheetId="3">
        <row r="1">
          <cell r="A1"/>
          <cell r="B1"/>
          <cell r="C1"/>
          <cell r="D1"/>
          <cell r="E1"/>
          <cell r="F1"/>
          <cell r="G1"/>
          <cell r="H1"/>
          <cell r="I1"/>
        </row>
        <row r="2">
          <cell r="A2" t="str">
            <v>Reference Card for Production Report</v>
          </cell>
          <cell r="B2"/>
          <cell r="C2"/>
          <cell r="D2"/>
          <cell r="E2"/>
          <cell r="F2"/>
          <cell r="G2"/>
          <cell r="H2"/>
          <cell r="I2"/>
        </row>
        <row r="3">
          <cell r="A3" t="str">
            <v xml:space="preserve">Last Updated: </v>
          </cell>
          <cell r="B3" t="str">
            <v>30.06.2022</v>
          </cell>
          <cell r="C3"/>
          <cell r="D3"/>
          <cell r="E3"/>
          <cell r="F3"/>
          <cell r="G3"/>
          <cell r="H3"/>
          <cell r="I3"/>
        </row>
        <row r="4">
          <cell r="A4" t="str">
            <v xml:space="preserve">Next Update by: </v>
          </cell>
          <cell r="B4" t="str">
            <v>31.07.2022</v>
          </cell>
          <cell r="C4"/>
          <cell r="D4"/>
          <cell r="E4"/>
          <cell r="F4"/>
          <cell r="G4"/>
          <cell r="H4"/>
          <cell r="I4"/>
        </row>
        <row r="5">
          <cell r="A5"/>
          <cell r="B5"/>
          <cell r="C5" t="str">
            <v>Cavity, pc/shot</v>
          </cell>
          <cell r="D5"/>
          <cell r="E5"/>
          <cell r="F5" t="str">
            <v>Part Weight, g/pc</v>
          </cell>
          <cell r="G5"/>
          <cell r="H5" t="str">
            <v>Gross Weight, g/pc</v>
          </cell>
          <cell r="I5" t="str">
            <v>Cycle Time, s/shot</v>
          </cell>
        </row>
        <row r="6">
          <cell r="A6" t="str">
            <v>Material</v>
          </cell>
          <cell r="B6" t="str">
            <v>Material Description</v>
          </cell>
          <cell r="C6" t="str">
            <v>SAP Routing</v>
          </cell>
          <cell r="D6" t="str">
            <v>Process</v>
          </cell>
          <cell r="E6" t="str">
            <v>Material (Resin)</v>
          </cell>
          <cell r="F6" t="str">
            <v>SAP BOM</v>
          </cell>
          <cell r="G6" t="str">
            <v>QAQC w/ tolerance</v>
          </cell>
          <cell r="H6" t="str">
            <v>Engineering Flow Chart</v>
          </cell>
          <cell r="I6" t="str">
            <v>SAP Routing</v>
          </cell>
        </row>
        <row r="7">
          <cell r="A7">
            <v>486135</v>
          </cell>
          <cell r="B7" t="str">
            <v>AL0102-BK CAP (BLACK)</v>
          </cell>
          <cell r="C7">
            <v>4</v>
          </cell>
          <cell r="D7" t="str">
            <v>INJ</v>
          </cell>
          <cell r="E7" t="str">
            <v>HDPE1010J</v>
          </cell>
          <cell r="F7">
            <v>2.5</v>
          </cell>
          <cell r="G7"/>
          <cell r="H7">
            <v>2.8</v>
          </cell>
          <cell r="I7">
            <v>21.2</v>
          </cell>
        </row>
        <row r="8">
          <cell r="A8">
            <v>480196</v>
          </cell>
          <cell r="B8" t="str">
            <v>AL0102-CY CAP (CYAN)</v>
          </cell>
          <cell r="C8">
            <v>4</v>
          </cell>
          <cell r="D8" t="str">
            <v>INJ</v>
          </cell>
          <cell r="E8" t="str">
            <v>HDPE1010J</v>
          </cell>
          <cell r="F8">
            <v>2.5</v>
          </cell>
          <cell r="G8"/>
          <cell r="H8">
            <v>2.8</v>
          </cell>
          <cell r="I8">
            <v>21.2</v>
          </cell>
        </row>
        <row r="9">
          <cell r="A9">
            <v>483356</v>
          </cell>
          <cell r="B9" t="str">
            <v>AL0102-LCY CAP (L.CYAN)</v>
          </cell>
          <cell r="C9">
            <v>4</v>
          </cell>
          <cell r="D9" t="str">
            <v>INJ</v>
          </cell>
          <cell r="E9" t="str">
            <v>HDPE1010J</v>
          </cell>
          <cell r="F9">
            <v>2.5</v>
          </cell>
          <cell r="G9"/>
          <cell r="H9">
            <v>2.8</v>
          </cell>
          <cell r="I9">
            <v>20.399999999999999</v>
          </cell>
        </row>
        <row r="10">
          <cell r="A10">
            <v>483357</v>
          </cell>
          <cell r="B10" t="str">
            <v>AL0102-LMG CAP (L.MAGENTA)</v>
          </cell>
          <cell r="C10">
            <v>4</v>
          </cell>
          <cell r="D10" t="str">
            <v>INJ</v>
          </cell>
          <cell r="E10" t="str">
            <v>HDPE1010J</v>
          </cell>
          <cell r="F10">
            <v>2.5</v>
          </cell>
          <cell r="G10"/>
          <cell r="H10">
            <v>2.8</v>
          </cell>
          <cell r="I10">
            <v>20.399999999999999</v>
          </cell>
        </row>
        <row r="11">
          <cell r="A11">
            <v>480198</v>
          </cell>
          <cell r="B11" t="str">
            <v>AL0102-MG CAP (MAGENTA)</v>
          </cell>
          <cell r="C11">
            <v>4</v>
          </cell>
          <cell r="D11" t="str">
            <v>INJ</v>
          </cell>
          <cell r="E11" t="str">
            <v>HDPE1010J</v>
          </cell>
          <cell r="F11">
            <v>2.5</v>
          </cell>
          <cell r="G11"/>
          <cell r="H11">
            <v>2.8</v>
          </cell>
          <cell r="I11">
            <v>21.2</v>
          </cell>
        </row>
        <row r="12">
          <cell r="A12">
            <v>480199</v>
          </cell>
          <cell r="B12" t="str">
            <v>AL0102-YL CAP (YELLOW)</v>
          </cell>
          <cell r="C12">
            <v>4</v>
          </cell>
          <cell r="D12" t="str">
            <v>INJ</v>
          </cell>
          <cell r="E12" t="str">
            <v>HDPE1010J</v>
          </cell>
          <cell r="F12">
            <v>2.5</v>
          </cell>
          <cell r="G12"/>
          <cell r="H12">
            <v>2.5</v>
          </cell>
          <cell r="I12">
            <v>21.2</v>
          </cell>
        </row>
        <row r="13">
          <cell r="A13">
            <v>454179</v>
          </cell>
          <cell r="B13" t="str">
            <v>AL0132-YL 120ML I/C LID (YELLOW)</v>
          </cell>
          <cell r="C13">
            <v>4</v>
          </cell>
          <cell r="D13" t="str">
            <v>INJ</v>
          </cell>
          <cell r="E13" t="str">
            <v>SM240</v>
          </cell>
          <cell r="F13">
            <v>7</v>
          </cell>
          <cell r="G13"/>
          <cell r="H13">
            <v>7</v>
          </cell>
          <cell r="I13">
            <v>15.2</v>
          </cell>
        </row>
        <row r="14">
          <cell r="A14">
            <v>555589</v>
          </cell>
          <cell r="B14" t="str">
            <v>AL0312-YL 28MM CAP (YELLOW)</v>
          </cell>
          <cell r="C14">
            <v>4</v>
          </cell>
          <cell r="D14" t="str">
            <v>INJ</v>
          </cell>
          <cell r="E14" t="str">
            <v>PP6331</v>
          </cell>
          <cell r="F14">
            <v>3.1</v>
          </cell>
          <cell r="G14"/>
          <cell r="H14">
            <v>3.1</v>
          </cell>
          <cell r="I14">
            <v>9</v>
          </cell>
        </row>
        <row r="15">
          <cell r="A15">
            <v>453724</v>
          </cell>
          <cell r="B15" t="str">
            <v>AL0316-BR 28MM NO LOGO CAP (BROWN)</v>
          </cell>
          <cell r="C15">
            <v>24</v>
          </cell>
          <cell r="D15" t="str">
            <v>INJ</v>
          </cell>
          <cell r="E15" t="str">
            <v>PP6331</v>
          </cell>
          <cell r="F15">
            <v>2.4</v>
          </cell>
          <cell r="G15"/>
          <cell r="H15">
            <v>2.4</v>
          </cell>
          <cell r="I15">
            <v>19.295999999999999</v>
          </cell>
        </row>
        <row r="16">
          <cell r="A16">
            <v>453725</v>
          </cell>
          <cell r="B16" t="str">
            <v>AL0316-DBL 28MM NO LOGO CAP (D.BLUE)</v>
          </cell>
          <cell r="C16">
            <v>24</v>
          </cell>
          <cell r="D16" t="str">
            <v>INJ</v>
          </cell>
          <cell r="E16" t="str">
            <v>PP6331</v>
          </cell>
          <cell r="F16">
            <v>2.4</v>
          </cell>
          <cell r="G16"/>
          <cell r="H16">
            <v>2.4</v>
          </cell>
          <cell r="I16">
            <v>19.295999999999999</v>
          </cell>
        </row>
        <row r="17">
          <cell r="A17">
            <v>453732</v>
          </cell>
          <cell r="B17" t="str">
            <v>AL0316-WH 28MM NO LOGO CAP (WHITE)</v>
          </cell>
          <cell r="C17">
            <v>24</v>
          </cell>
          <cell r="D17" t="str">
            <v>INJ</v>
          </cell>
          <cell r="E17" t="str">
            <v>PP6331</v>
          </cell>
          <cell r="F17">
            <v>2.4</v>
          </cell>
          <cell r="G17"/>
          <cell r="H17">
            <v>2.4</v>
          </cell>
          <cell r="I17">
            <v>19.295999999999999</v>
          </cell>
        </row>
        <row r="18">
          <cell r="A18">
            <v>453733</v>
          </cell>
          <cell r="B18" t="str">
            <v>AL0316-YL 28MM NO LOGO CAP (YELLOW)</v>
          </cell>
          <cell r="C18">
            <v>24</v>
          </cell>
          <cell r="D18" t="str">
            <v>INJ</v>
          </cell>
          <cell r="E18" t="str">
            <v>PP6331</v>
          </cell>
          <cell r="F18">
            <v>2.4</v>
          </cell>
          <cell r="G18"/>
          <cell r="H18">
            <v>2.4</v>
          </cell>
          <cell r="I18">
            <v>19.295999999999999</v>
          </cell>
        </row>
        <row r="19">
          <cell r="A19">
            <v>453735</v>
          </cell>
          <cell r="B19" t="str">
            <v>AL0323-BR 37MM COVER (BROWN)</v>
          </cell>
          <cell r="C19">
            <v>6</v>
          </cell>
          <cell r="D19" t="str">
            <v>INJ</v>
          </cell>
          <cell r="E19" t="str">
            <v>SM240</v>
          </cell>
          <cell r="F19">
            <v>4.3</v>
          </cell>
          <cell r="G19"/>
          <cell r="H19">
            <v>24.8</v>
          </cell>
          <cell r="I19">
            <v>21.75</v>
          </cell>
        </row>
        <row r="20">
          <cell r="A20">
            <v>453736</v>
          </cell>
          <cell r="B20" t="str">
            <v>AL0323-NA 37MM COVER (NATURAL)</v>
          </cell>
          <cell r="C20">
            <v>6</v>
          </cell>
          <cell r="D20" t="str">
            <v>INJ</v>
          </cell>
          <cell r="E20" t="str">
            <v>SM240</v>
          </cell>
          <cell r="F20">
            <v>4.3</v>
          </cell>
          <cell r="G20"/>
          <cell r="H20">
            <v>4.3</v>
          </cell>
          <cell r="I20">
            <v>21.75</v>
          </cell>
        </row>
        <row r="21">
          <cell r="A21">
            <v>453737</v>
          </cell>
          <cell r="B21" t="str">
            <v>AL0323-RD 37MM COVER (RED)</v>
          </cell>
          <cell r="C21">
            <v>6</v>
          </cell>
          <cell r="D21" t="str">
            <v>INJ</v>
          </cell>
          <cell r="E21" t="str">
            <v>SM240</v>
          </cell>
          <cell r="F21">
            <v>4.3</v>
          </cell>
          <cell r="G21"/>
          <cell r="H21">
            <v>4.3</v>
          </cell>
          <cell r="I21">
            <v>21.75</v>
          </cell>
        </row>
        <row r="22">
          <cell r="A22">
            <v>542887</v>
          </cell>
          <cell r="B22" t="str">
            <v>AL0323-YL 37MM COVER (YELLOW)</v>
          </cell>
          <cell r="C22">
            <v>4</v>
          </cell>
          <cell r="D22" t="str">
            <v>INJ</v>
          </cell>
          <cell r="E22" t="str">
            <v>SM240</v>
          </cell>
          <cell r="F22">
            <v>4.3</v>
          </cell>
          <cell r="G22"/>
          <cell r="H22">
            <v>4.3</v>
          </cell>
          <cell r="I22">
            <v>14.52</v>
          </cell>
        </row>
        <row r="23">
          <cell r="A23">
            <v>453738</v>
          </cell>
          <cell r="B23" t="str">
            <v>AL0386-WH HERBAL JELLY LID (WHITE)</v>
          </cell>
          <cell r="C23">
            <v>2</v>
          </cell>
          <cell r="D23" t="str">
            <v>INJ</v>
          </cell>
          <cell r="E23" t="str">
            <v>SM240</v>
          </cell>
          <cell r="F23">
            <v>9.5</v>
          </cell>
          <cell r="G23"/>
          <cell r="H23">
            <v>9.5</v>
          </cell>
          <cell r="I23">
            <v>13.8</v>
          </cell>
        </row>
        <row r="24">
          <cell r="A24">
            <v>453739</v>
          </cell>
          <cell r="B24" t="str">
            <v>AL0391-NA 15ML MEASURING CAP (NATURAL)</v>
          </cell>
          <cell r="C24">
            <v>2</v>
          </cell>
          <cell r="D24" t="str">
            <v>INJ</v>
          </cell>
          <cell r="E24" t="str">
            <v>PP6331</v>
          </cell>
          <cell r="F24">
            <v>4.4000000000000004</v>
          </cell>
          <cell r="G24"/>
          <cell r="H24">
            <v>4.4400000000000004</v>
          </cell>
          <cell r="I24">
            <v>11.2</v>
          </cell>
        </row>
        <row r="25">
          <cell r="A25">
            <v>566824</v>
          </cell>
          <cell r="B25" t="str">
            <v>AL0416-BR 400ML I/C LID (BROWN)</v>
          </cell>
          <cell r="C25">
            <v>0</v>
          </cell>
          <cell r="D25" t="str">
            <v>INJ</v>
          </cell>
          <cell r="E25" t="str">
            <v>SM240</v>
          </cell>
          <cell r="F25">
            <v>12.2</v>
          </cell>
          <cell r="G25"/>
          <cell r="H25">
            <v>12.2</v>
          </cell>
          <cell r="I25">
            <v>19.7</v>
          </cell>
        </row>
        <row r="26">
          <cell r="A26">
            <v>567509</v>
          </cell>
          <cell r="B26" t="str">
            <v>AL0416-BR 400ML I/C LID (BROWN)CHOC CHIP</v>
          </cell>
          <cell r="C26">
            <v>0</v>
          </cell>
          <cell r="D26" t="str">
            <v>INJ</v>
          </cell>
          <cell r="E26" t="str">
            <v>SM240</v>
          </cell>
          <cell r="F26">
            <v>13.2</v>
          </cell>
          <cell r="G26"/>
          <cell r="H26">
            <v>13.2</v>
          </cell>
          <cell r="I26">
            <v>19.7</v>
          </cell>
        </row>
        <row r="27">
          <cell r="A27">
            <v>460841</v>
          </cell>
          <cell r="B27" t="str">
            <v>AL0473-BK 473ML I/C LID (BLACK)</v>
          </cell>
          <cell r="C27">
            <v>2</v>
          </cell>
          <cell r="D27" t="str">
            <v>INJ</v>
          </cell>
          <cell r="E27" t="str">
            <v>SM240</v>
          </cell>
          <cell r="F27">
            <v>9.4</v>
          </cell>
          <cell r="G27"/>
          <cell r="H27">
            <v>9.4</v>
          </cell>
          <cell r="I27">
            <v>12.4</v>
          </cell>
        </row>
        <row r="28">
          <cell r="A28">
            <v>454180</v>
          </cell>
          <cell r="B28" t="str">
            <v>AL0473-GD 473ML I/C LID (GOLD)</v>
          </cell>
          <cell r="C28">
            <v>2</v>
          </cell>
          <cell r="D28" t="str">
            <v>INJ</v>
          </cell>
          <cell r="E28" t="str">
            <v>SM240</v>
          </cell>
          <cell r="F28">
            <v>9.4</v>
          </cell>
          <cell r="G28"/>
          <cell r="H28">
            <v>9.44</v>
          </cell>
          <cell r="I28">
            <v>16.399999999999999</v>
          </cell>
        </row>
        <row r="29">
          <cell r="A29">
            <v>454196</v>
          </cell>
          <cell r="B29" t="str">
            <v>AL0473-GR 473ML I/C LID (GREEN)</v>
          </cell>
          <cell r="C29">
            <v>2</v>
          </cell>
          <cell r="D29" t="str">
            <v>INJ</v>
          </cell>
          <cell r="E29" t="str">
            <v>SM240</v>
          </cell>
          <cell r="F29">
            <v>9.4</v>
          </cell>
          <cell r="G29"/>
          <cell r="H29">
            <v>9.4</v>
          </cell>
          <cell r="I29">
            <v>16.399999999999999</v>
          </cell>
        </row>
        <row r="30">
          <cell r="A30">
            <v>467024</v>
          </cell>
          <cell r="B30" t="str">
            <v>AL0473-NA 473ML I/C LID (NATURAL)</v>
          </cell>
          <cell r="C30">
            <v>2</v>
          </cell>
          <cell r="D30" t="str">
            <v>INJ</v>
          </cell>
          <cell r="E30" t="str">
            <v>SM240</v>
          </cell>
          <cell r="F30">
            <v>9.4</v>
          </cell>
          <cell r="G30"/>
          <cell r="H30">
            <v>9.4</v>
          </cell>
          <cell r="I30">
            <v>14</v>
          </cell>
        </row>
        <row r="31">
          <cell r="A31">
            <v>454201</v>
          </cell>
          <cell r="B31" t="str">
            <v>AL0473-WH 473ML I/C LID (WHITE)</v>
          </cell>
          <cell r="C31">
            <v>2</v>
          </cell>
          <cell r="D31" t="str">
            <v>INJ</v>
          </cell>
          <cell r="E31" t="str">
            <v>SM240</v>
          </cell>
          <cell r="F31">
            <v>9.4</v>
          </cell>
          <cell r="G31"/>
          <cell r="H31">
            <v>9.4</v>
          </cell>
          <cell r="I31">
            <v>16.399999999999999</v>
          </cell>
        </row>
        <row r="32">
          <cell r="A32">
            <v>561720</v>
          </cell>
          <cell r="B32" t="str">
            <v>AL0478-BL 38MM FLIP CAP (BLUE)</v>
          </cell>
          <cell r="C32">
            <v>0</v>
          </cell>
          <cell r="D32" t="str">
            <v>INJ</v>
          </cell>
          <cell r="E32" t="str">
            <v>PP6331</v>
          </cell>
          <cell r="F32">
            <v>6.399</v>
          </cell>
          <cell r="G32"/>
          <cell r="H32"/>
          <cell r="I32">
            <v>20.100000000000001</v>
          </cell>
        </row>
        <row r="33">
          <cell r="A33">
            <v>454185</v>
          </cell>
          <cell r="B33" t="str">
            <v>AL0478-BR 38MM FLIP CAP (BROWN)</v>
          </cell>
          <cell r="C33">
            <v>4</v>
          </cell>
          <cell r="D33" t="str">
            <v>INJ</v>
          </cell>
          <cell r="E33" t="str">
            <v>HDPE1010J+LLDPE6201</v>
          </cell>
          <cell r="F33">
            <v>6.4</v>
          </cell>
          <cell r="G33"/>
          <cell r="H33">
            <v>6.5</v>
          </cell>
          <cell r="I33">
            <v>20.100000000000001</v>
          </cell>
        </row>
        <row r="34">
          <cell r="A34">
            <v>454186</v>
          </cell>
          <cell r="B34" t="str">
            <v>AL0478-YL 38MM FLIP CAP (YELLOW)</v>
          </cell>
          <cell r="C34">
            <v>4</v>
          </cell>
          <cell r="D34" t="str">
            <v>INJ</v>
          </cell>
          <cell r="E34" t="str">
            <v>HDPE1010J+LLDPE6201</v>
          </cell>
          <cell r="F34">
            <v>5.7</v>
          </cell>
          <cell r="G34"/>
          <cell r="H34">
            <v>6.5</v>
          </cell>
          <cell r="I34">
            <v>20.100000000000001</v>
          </cell>
        </row>
        <row r="35">
          <cell r="A35">
            <v>454144</v>
          </cell>
          <cell r="B35" t="str">
            <v>AL0501-WH 500ML I/C LID (WHITE)</v>
          </cell>
          <cell r="C35">
            <v>1</v>
          </cell>
          <cell r="D35" t="str">
            <v>INJ</v>
          </cell>
          <cell r="E35" t="str">
            <v>HDPE1010J/LDPEG812</v>
          </cell>
          <cell r="F35">
            <v>12.3</v>
          </cell>
          <cell r="G35"/>
          <cell r="H35">
            <v>13</v>
          </cell>
          <cell r="I35">
            <v>13</v>
          </cell>
        </row>
        <row r="36">
          <cell r="A36">
            <v>453742</v>
          </cell>
          <cell r="B36" t="str">
            <v>AL0507-BL 500ML I/C LID (BLUE)</v>
          </cell>
          <cell r="C36">
            <v>1</v>
          </cell>
          <cell r="D36" t="str">
            <v>INJ</v>
          </cell>
          <cell r="E36" t="str">
            <v>LDPEG812</v>
          </cell>
          <cell r="F36">
            <v>12.3</v>
          </cell>
          <cell r="G36"/>
          <cell r="H36">
            <v>12.3</v>
          </cell>
          <cell r="I36">
            <v>13</v>
          </cell>
        </row>
        <row r="37">
          <cell r="A37">
            <v>453743</v>
          </cell>
          <cell r="B37" t="str">
            <v>AL0507-GR 500ML I/C LID (GREEN)</v>
          </cell>
          <cell r="C37">
            <v>1</v>
          </cell>
          <cell r="D37" t="str">
            <v>INJ</v>
          </cell>
          <cell r="E37" t="str">
            <v>LDPEG812</v>
          </cell>
          <cell r="F37">
            <v>12.3</v>
          </cell>
          <cell r="G37"/>
          <cell r="H37">
            <v>12.3</v>
          </cell>
          <cell r="I37">
            <v>13</v>
          </cell>
        </row>
        <row r="38">
          <cell r="A38">
            <v>453744</v>
          </cell>
          <cell r="B38" t="str">
            <v>AL0507-PK 500ML I/C LID (PINK)</v>
          </cell>
          <cell r="C38">
            <v>1</v>
          </cell>
          <cell r="D38" t="str">
            <v>INJ</v>
          </cell>
          <cell r="E38" t="str">
            <v>LDPEG812</v>
          </cell>
          <cell r="F38">
            <v>12.3</v>
          </cell>
          <cell r="G38"/>
          <cell r="H38">
            <v>12.3</v>
          </cell>
          <cell r="I38">
            <v>13</v>
          </cell>
        </row>
        <row r="39">
          <cell r="A39">
            <v>453745</v>
          </cell>
          <cell r="B39" t="str">
            <v>AL0507-WH 500ML I/C LID (WHITE)</v>
          </cell>
          <cell r="C39">
            <v>1</v>
          </cell>
          <cell r="D39" t="str">
            <v>INJ</v>
          </cell>
          <cell r="E39" t="str">
            <v>HDPE1010J/LDPEG812</v>
          </cell>
          <cell r="F39">
            <v>12.3</v>
          </cell>
          <cell r="G39"/>
          <cell r="H39">
            <v>12.7</v>
          </cell>
          <cell r="I39">
            <v>13</v>
          </cell>
        </row>
        <row r="40">
          <cell r="A40">
            <v>453747</v>
          </cell>
          <cell r="B40" t="str">
            <v>AL0512-BL 36MM CAP (BLUE)</v>
          </cell>
          <cell r="C40">
            <v>8</v>
          </cell>
          <cell r="D40" t="str">
            <v>INJ</v>
          </cell>
          <cell r="E40" t="str">
            <v>SM6331+SM240</v>
          </cell>
          <cell r="F40">
            <v>3.6</v>
          </cell>
          <cell r="G40"/>
          <cell r="H40">
            <v>3.5</v>
          </cell>
          <cell r="I40">
            <v>14</v>
          </cell>
        </row>
        <row r="41">
          <cell r="A41">
            <v>544098</v>
          </cell>
          <cell r="B41" t="str">
            <v>AL0512-BL 36MM CAP WITH IND.SEAL (BLUE)</v>
          </cell>
          <cell r="C41">
            <v>0</v>
          </cell>
          <cell r="D41" t="str">
            <v>INJ</v>
          </cell>
          <cell r="E41" t="str">
            <v>SM6331+SM240</v>
          </cell>
          <cell r="F41">
            <v>4.5999999999999996</v>
          </cell>
          <cell r="G41"/>
          <cell r="H41">
            <v>3.5</v>
          </cell>
          <cell r="I41">
            <v>14</v>
          </cell>
        </row>
        <row r="42">
          <cell r="A42">
            <v>465633</v>
          </cell>
          <cell r="B42" t="str">
            <v>AL0512-BR 36MM CAP (BROWN)</v>
          </cell>
          <cell r="C42">
            <v>8</v>
          </cell>
          <cell r="D42" t="str">
            <v>INJ</v>
          </cell>
          <cell r="E42" t="str">
            <v>SM6331+SM240</v>
          </cell>
          <cell r="F42">
            <v>3.6</v>
          </cell>
          <cell r="G42"/>
          <cell r="H42">
            <v>3.6</v>
          </cell>
          <cell r="I42">
            <v>14</v>
          </cell>
        </row>
        <row r="43">
          <cell r="A43">
            <v>532334</v>
          </cell>
          <cell r="B43" t="str">
            <v>AL0512-DB36MM CAP W IND.SEAL(D.BEIGE)-V</v>
          </cell>
          <cell r="C43">
            <v>8</v>
          </cell>
          <cell r="D43" t="str">
            <v>INJ</v>
          </cell>
          <cell r="E43" t="str">
            <v>SM6331+SM240</v>
          </cell>
          <cell r="F43">
            <v>4.5999999999999996</v>
          </cell>
          <cell r="G43"/>
          <cell r="H43"/>
          <cell r="I43">
            <v>14</v>
          </cell>
        </row>
        <row r="44">
          <cell r="A44">
            <v>453748</v>
          </cell>
          <cell r="B44" t="str">
            <v>AL0512-DBE 36MM CAP (DARK BEIGE)</v>
          </cell>
          <cell r="C44">
            <v>8</v>
          </cell>
          <cell r="D44" t="str">
            <v>INJ</v>
          </cell>
          <cell r="E44" t="str">
            <v>SM6331+SM240</v>
          </cell>
          <cell r="F44">
            <v>3.6</v>
          </cell>
          <cell r="G44"/>
          <cell r="H44">
            <v>3.6</v>
          </cell>
          <cell r="I44">
            <v>14</v>
          </cell>
        </row>
        <row r="45">
          <cell r="A45">
            <v>454176</v>
          </cell>
          <cell r="B45" t="str">
            <v>AL0512-DBL 36MM CAP (DARK BLUE)</v>
          </cell>
          <cell r="C45">
            <v>8</v>
          </cell>
          <cell r="D45" t="str">
            <v>INJ</v>
          </cell>
          <cell r="E45" t="str">
            <v>SM6331+SM240</v>
          </cell>
          <cell r="F45">
            <v>3.6</v>
          </cell>
          <cell r="G45"/>
          <cell r="H45">
            <v>3.6</v>
          </cell>
          <cell r="I45">
            <v>14</v>
          </cell>
        </row>
        <row r="46">
          <cell r="A46">
            <v>502715</v>
          </cell>
          <cell r="B46" t="str">
            <v>AL0512-DGR 36MM CAP (DARK GREEN)</v>
          </cell>
          <cell r="C46">
            <v>8</v>
          </cell>
          <cell r="D46" t="str">
            <v>INJ</v>
          </cell>
          <cell r="E46" t="str">
            <v>SM6331+SM240</v>
          </cell>
          <cell r="F46">
            <v>3.6</v>
          </cell>
          <cell r="G46"/>
          <cell r="H46">
            <v>3.6</v>
          </cell>
          <cell r="I46">
            <v>16</v>
          </cell>
        </row>
        <row r="47">
          <cell r="A47">
            <v>453749</v>
          </cell>
          <cell r="B47" t="str">
            <v>AL0512-GD 36MM CAP (GOLD)</v>
          </cell>
          <cell r="C47">
            <v>8</v>
          </cell>
          <cell r="D47" t="str">
            <v>INJ</v>
          </cell>
          <cell r="E47" t="str">
            <v>SM6331+SM240</v>
          </cell>
          <cell r="F47">
            <v>3.6</v>
          </cell>
          <cell r="G47"/>
          <cell r="H47">
            <v>3.6</v>
          </cell>
          <cell r="I47">
            <v>14</v>
          </cell>
        </row>
        <row r="48">
          <cell r="A48">
            <v>453750</v>
          </cell>
          <cell r="B48" t="str">
            <v>AL0512-GR 36MM CAP (GREEN)</v>
          </cell>
          <cell r="C48">
            <v>8</v>
          </cell>
          <cell r="D48" t="str">
            <v>INJ</v>
          </cell>
          <cell r="E48" t="str">
            <v>SM6331+SM240</v>
          </cell>
          <cell r="F48">
            <v>3.6</v>
          </cell>
          <cell r="G48"/>
          <cell r="H48">
            <v>3.6</v>
          </cell>
          <cell r="I48">
            <v>14</v>
          </cell>
        </row>
        <row r="49">
          <cell r="A49">
            <v>454240</v>
          </cell>
          <cell r="B49" t="str">
            <v>AL0512-GY 36MM CAP (GREY)</v>
          </cell>
          <cell r="C49">
            <v>8</v>
          </cell>
          <cell r="D49" t="str">
            <v>INJ</v>
          </cell>
          <cell r="E49" t="str">
            <v>SM6331+SM240</v>
          </cell>
          <cell r="F49">
            <v>3.6</v>
          </cell>
          <cell r="G49"/>
          <cell r="H49">
            <v>3.6</v>
          </cell>
          <cell r="I49">
            <v>14</v>
          </cell>
        </row>
        <row r="50">
          <cell r="A50">
            <v>453751</v>
          </cell>
          <cell r="B50" t="str">
            <v>AL0512-OR 36MM CAP (ORANGE)</v>
          </cell>
          <cell r="C50">
            <v>8</v>
          </cell>
          <cell r="D50" t="str">
            <v>INJ</v>
          </cell>
          <cell r="E50" t="str">
            <v>SM6331+SM240</v>
          </cell>
          <cell r="F50">
            <v>3.6</v>
          </cell>
          <cell r="G50"/>
          <cell r="H50">
            <v>3.6</v>
          </cell>
          <cell r="I50">
            <v>14</v>
          </cell>
        </row>
        <row r="51">
          <cell r="A51">
            <v>453752</v>
          </cell>
          <cell r="B51" t="str">
            <v>AL0512-PK 36MM CAP (PINK)</v>
          </cell>
          <cell r="C51">
            <v>8</v>
          </cell>
          <cell r="D51" t="str">
            <v>INJ</v>
          </cell>
          <cell r="E51" t="str">
            <v>SM6331+SM240</v>
          </cell>
          <cell r="F51">
            <v>3.6</v>
          </cell>
          <cell r="G51"/>
          <cell r="H51">
            <v>3.6</v>
          </cell>
          <cell r="I51">
            <v>14</v>
          </cell>
        </row>
        <row r="52">
          <cell r="A52">
            <v>453753</v>
          </cell>
          <cell r="B52" t="str">
            <v>AL0512-RD 36MM CAP (RED)</v>
          </cell>
          <cell r="C52">
            <v>8</v>
          </cell>
          <cell r="D52" t="str">
            <v>INJ</v>
          </cell>
          <cell r="E52" t="str">
            <v>SM6331+SM240</v>
          </cell>
          <cell r="F52">
            <v>3.6</v>
          </cell>
          <cell r="G52"/>
          <cell r="H52">
            <v>3.5</v>
          </cell>
          <cell r="I52">
            <v>14</v>
          </cell>
        </row>
        <row r="53">
          <cell r="A53">
            <v>532333</v>
          </cell>
          <cell r="B53" t="str">
            <v>AL0512-RD 36MM CAP WITH IND. SEAL (RED)</v>
          </cell>
          <cell r="C53">
            <v>8</v>
          </cell>
          <cell r="D53" t="str">
            <v>INJ</v>
          </cell>
          <cell r="E53" t="str">
            <v>SM6331+SM240</v>
          </cell>
          <cell r="F53">
            <v>4.5999999999999996</v>
          </cell>
          <cell r="G53"/>
          <cell r="H53">
            <v>3.5</v>
          </cell>
          <cell r="I53">
            <v>14</v>
          </cell>
        </row>
        <row r="54">
          <cell r="A54">
            <v>453754</v>
          </cell>
          <cell r="B54" t="str">
            <v>AL0512-VL 36MM CAP (VIOLET)</v>
          </cell>
          <cell r="C54">
            <v>8</v>
          </cell>
          <cell r="D54" t="str">
            <v>INJ</v>
          </cell>
          <cell r="E54" t="str">
            <v>SM6331+SM240</v>
          </cell>
          <cell r="F54">
            <v>3.6</v>
          </cell>
          <cell r="G54"/>
          <cell r="H54">
            <v>3.42</v>
          </cell>
          <cell r="I54">
            <v>14</v>
          </cell>
        </row>
        <row r="55">
          <cell r="A55">
            <v>453755</v>
          </cell>
          <cell r="B55" t="str">
            <v>AL0512-WH 36MM CAP (WHITE)</v>
          </cell>
          <cell r="C55">
            <v>8</v>
          </cell>
          <cell r="D55" t="str">
            <v>INJ</v>
          </cell>
          <cell r="E55" t="str">
            <v>SM6331+SM240</v>
          </cell>
          <cell r="F55">
            <v>3.6</v>
          </cell>
          <cell r="G55"/>
          <cell r="H55">
            <v>3.6</v>
          </cell>
          <cell r="I55">
            <v>14</v>
          </cell>
        </row>
        <row r="56">
          <cell r="A56">
            <v>453756</v>
          </cell>
          <cell r="B56" t="str">
            <v>AL0512-YL 36MM CAP (YELLOW)</v>
          </cell>
          <cell r="C56">
            <v>8</v>
          </cell>
          <cell r="D56" t="str">
            <v>INJ</v>
          </cell>
          <cell r="E56" t="str">
            <v>SM6331+SM240</v>
          </cell>
          <cell r="F56">
            <v>3.6</v>
          </cell>
          <cell r="G56"/>
          <cell r="H56">
            <v>3.6</v>
          </cell>
          <cell r="I56">
            <v>14</v>
          </cell>
        </row>
        <row r="57">
          <cell r="A57">
            <v>503940</v>
          </cell>
          <cell r="B57" t="str">
            <v>AL0556-0500-I/C-S-WH-L CHOC (ASEM)</v>
          </cell>
          <cell r="C57">
            <v>0</v>
          </cell>
          <cell r="D57" t="str">
            <v>INJ</v>
          </cell>
          <cell r="E57" t="str">
            <v>SM240</v>
          </cell>
          <cell r="F57">
            <v>15.5</v>
          </cell>
          <cell r="G57"/>
          <cell r="H57"/>
          <cell r="I57">
            <v>13.2</v>
          </cell>
        </row>
        <row r="58">
          <cell r="A58">
            <v>503974</v>
          </cell>
          <cell r="B58" t="str">
            <v>AL0556-0500-I/C-S-WH-L VANILLA (ASEM)</v>
          </cell>
          <cell r="C58">
            <v>0</v>
          </cell>
          <cell r="D58" t="str">
            <v>INJ</v>
          </cell>
          <cell r="E58" t="str">
            <v>SM240</v>
          </cell>
          <cell r="F58">
            <v>15.5</v>
          </cell>
          <cell r="G58"/>
          <cell r="H58">
            <v>15.5</v>
          </cell>
          <cell r="I58">
            <v>13.2</v>
          </cell>
        </row>
        <row r="59">
          <cell r="A59">
            <v>553482</v>
          </cell>
          <cell r="B59" t="str">
            <v>AL0556-GR-L 500ML I/C LID DURIAN (ASEM)</v>
          </cell>
          <cell r="C59">
            <v>0</v>
          </cell>
          <cell r="D59" t="str">
            <v>INJ</v>
          </cell>
          <cell r="E59" t="str">
            <v>SM240</v>
          </cell>
          <cell r="F59">
            <v>15.5</v>
          </cell>
          <cell r="G59"/>
          <cell r="H59">
            <v>15.5</v>
          </cell>
          <cell r="I59">
            <v>13.2</v>
          </cell>
        </row>
        <row r="60">
          <cell r="A60">
            <v>453758</v>
          </cell>
          <cell r="B60" t="str">
            <v>AL0556-WH-L 500ML I/C LID (WHITE)</v>
          </cell>
          <cell r="C60">
            <v>0</v>
          </cell>
          <cell r="D60" t="str">
            <v>INJ</v>
          </cell>
          <cell r="E60" t="str">
            <v>SM240</v>
          </cell>
          <cell r="F60">
            <v>14.5</v>
          </cell>
          <cell r="G60"/>
          <cell r="H60">
            <v>14.5</v>
          </cell>
          <cell r="I60">
            <v>13.2</v>
          </cell>
        </row>
        <row r="61">
          <cell r="A61">
            <v>509852</v>
          </cell>
          <cell r="B61" t="str">
            <v>AL0556-WH-L 500ML I/C LID DURIAN (ASEM)</v>
          </cell>
          <cell r="C61">
            <v>0</v>
          </cell>
          <cell r="D61" t="str">
            <v>INJ</v>
          </cell>
          <cell r="E61" t="str">
            <v>SM240</v>
          </cell>
          <cell r="F61">
            <v>15.5</v>
          </cell>
          <cell r="G61"/>
          <cell r="H61">
            <v>15.5</v>
          </cell>
          <cell r="I61">
            <v>13.2</v>
          </cell>
        </row>
        <row r="62">
          <cell r="A62">
            <v>503976</v>
          </cell>
          <cell r="B62" t="str">
            <v>AL0556-WH-L 500ML I/C LID S.BERRY (ASEM)</v>
          </cell>
          <cell r="C62">
            <v>0</v>
          </cell>
          <cell r="D62" t="str">
            <v>INJ</v>
          </cell>
          <cell r="E62" t="str">
            <v>SM240</v>
          </cell>
          <cell r="F62">
            <v>15.5</v>
          </cell>
          <cell r="G62"/>
          <cell r="H62">
            <v>15.5</v>
          </cell>
          <cell r="I62">
            <v>13.2</v>
          </cell>
        </row>
        <row r="63">
          <cell r="A63">
            <v>509876</v>
          </cell>
          <cell r="B63" t="str">
            <v>AL0556-WH-L 500ML I/C LID S/CORN (ASEM)</v>
          </cell>
          <cell r="C63">
            <v>0</v>
          </cell>
          <cell r="D63" t="str">
            <v>INJ</v>
          </cell>
          <cell r="E63" t="str">
            <v>SM240</v>
          </cell>
          <cell r="F63">
            <v>15.5</v>
          </cell>
          <cell r="G63"/>
          <cell r="H63">
            <v>15.5</v>
          </cell>
          <cell r="I63">
            <v>13.2</v>
          </cell>
        </row>
        <row r="64">
          <cell r="A64">
            <v>503980</v>
          </cell>
          <cell r="B64" t="str">
            <v>AL0556-WH-L 500ML I/C LID YAM (ASEM)</v>
          </cell>
          <cell r="C64">
            <v>0</v>
          </cell>
          <cell r="D64" t="str">
            <v>INJ</v>
          </cell>
          <cell r="E64" t="str">
            <v>SM240</v>
          </cell>
          <cell r="F64">
            <v>15.5</v>
          </cell>
          <cell r="G64"/>
          <cell r="H64">
            <v>15.5</v>
          </cell>
          <cell r="I64">
            <v>13.2</v>
          </cell>
        </row>
        <row r="65">
          <cell r="A65">
            <v>453759</v>
          </cell>
          <cell r="B65" t="str">
            <v>AL0597-BE 473ML/500ML I/C LID (BEIGE)</v>
          </cell>
          <cell r="C65">
            <v>2</v>
          </cell>
          <cell r="D65" t="str">
            <v>INJ</v>
          </cell>
          <cell r="E65" t="str">
            <v>SM240</v>
          </cell>
          <cell r="F65">
            <v>13.200000000000001</v>
          </cell>
          <cell r="G65"/>
          <cell r="H65">
            <v>13.200000000000001</v>
          </cell>
          <cell r="I65">
            <v>15.6</v>
          </cell>
        </row>
        <row r="66">
          <cell r="A66">
            <v>453760</v>
          </cell>
          <cell r="B66" t="str">
            <v>AL0597-BK 473ML/500ML I/C LID (BLACK)</v>
          </cell>
          <cell r="C66">
            <v>2</v>
          </cell>
          <cell r="D66" t="str">
            <v>INJ</v>
          </cell>
          <cell r="E66" t="str">
            <v>SM240</v>
          </cell>
          <cell r="F66">
            <v>13.200000000000001</v>
          </cell>
          <cell r="G66"/>
          <cell r="H66">
            <v>13.200000000000001</v>
          </cell>
          <cell r="I66">
            <v>15.6</v>
          </cell>
        </row>
        <row r="67">
          <cell r="A67">
            <v>453761</v>
          </cell>
          <cell r="B67" t="str">
            <v>AL0597-GD 473ML/500ML I/C LID (GOLD)</v>
          </cell>
          <cell r="C67">
            <v>2</v>
          </cell>
          <cell r="D67" t="str">
            <v>INJ</v>
          </cell>
          <cell r="E67" t="str">
            <v>SM240</v>
          </cell>
          <cell r="F67">
            <v>13.200000000000001</v>
          </cell>
          <cell r="G67"/>
          <cell r="H67">
            <v>13.200000000000001</v>
          </cell>
          <cell r="I67">
            <v>15.6</v>
          </cell>
        </row>
        <row r="68">
          <cell r="A68">
            <v>453762</v>
          </cell>
          <cell r="B68" t="str">
            <v>AL0597-GR 473ML/500ML I/C LID (GREEN)</v>
          </cell>
          <cell r="C68">
            <v>2</v>
          </cell>
          <cell r="D68" t="str">
            <v>INJ</v>
          </cell>
          <cell r="E68" t="str">
            <v>SM240</v>
          </cell>
          <cell r="F68">
            <v>13.200000000000001</v>
          </cell>
          <cell r="G68"/>
          <cell r="H68">
            <v>13.200000000000001</v>
          </cell>
          <cell r="I68">
            <v>15.6</v>
          </cell>
        </row>
        <row r="69">
          <cell r="A69">
            <v>453763</v>
          </cell>
          <cell r="B69" t="str">
            <v>AL0597-NA 473ML/500ML I/C LID (NATURAL)</v>
          </cell>
          <cell r="C69">
            <v>2</v>
          </cell>
          <cell r="D69" t="str">
            <v>INJ</v>
          </cell>
          <cell r="E69" t="str">
            <v>SM240</v>
          </cell>
          <cell r="F69">
            <v>13.2</v>
          </cell>
          <cell r="G69"/>
          <cell r="H69">
            <v>13.2</v>
          </cell>
          <cell r="I69">
            <v>15.6</v>
          </cell>
        </row>
        <row r="70">
          <cell r="A70">
            <v>453764</v>
          </cell>
          <cell r="B70" t="str">
            <v>AL0597-OR 473ML/500ML I/C LID (ORANGE)</v>
          </cell>
          <cell r="C70">
            <v>2</v>
          </cell>
          <cell r="D70" t="str">
            <v>INJ</v>
          </cell>
          <cell r="E70" t="str">
            <v>SM240</v>
          </cell>
          <cell r="F70">
            <v>13.200000000000001</v>
          </cell>
          <cell r="G70"/>
          <cell r="H70">
            <v>13.200000000000001</v>
          </cell>
          <cell r="I70">
            <v>15.6</v>
          </cell>
        </row>
        <row r="71">
          <cell r="A71">
            <v>454175</v>
          </cell>
          <cell r="B71" t="str">
            <v>AL0597-PK 473ML/500ML I/C LID (PINK)</v>
          </cell>
          <cell r="C71">
            <v>2</v>
          </cell>
          <cell r="D71" t="str">
            <v>INJ</v>
          </cell>
          <cell r="E71" t="str">
            <v>SM240</v>
          </cell>
          <cell r="F71">
            <v>13.200000000000001</v>
          </cell>
          <cell r="G71"/>
          <cell r="H71">
            <v>13.200000000000001</v>
          </cell>
          <cell r="I71">
            <v>15.6</v>
          </cell>
        </row>
        <row r="72">
          <cell r="A72">
            <v>453765</v>
          </cell>
          <cell r="B72" t="str">
            <v>AL0597-WH 473ML/500ML I/C LID (WHITE)</v>
          </cell>
          <cell r="C72">
            <v>2</v>
          </cell>
          <cell r="D72" t="str">
            <v>INJ</v>
          </cell>
          <cell r="E72" t="str">
            <v>SM240</v>
          </cell>
          <cell r="F72">
            <v>13.200000000000001</v>
          </cell>
          <cell r="G72"/>
          <cell r="H72">
            <v>13.8</v>
          </cell>
          <cell r="I72">
            <v>15.6</v>
          </cell>
        </row>
        <row r="73">
          <cell r="A73">
            <v>454229</v>
          </cell>
          <cell r="B73" t="str">
            <v>AL0597-YL 473ML/500ML I/C LID (YELLOW)</v>
          </cell>
          <cell r="C73">
            <v>2</v>
          </cell>
          <cell r="D73" t="str">
            <v>INJ</v>
          </cell>
          <cell r="E73" t="str">
            <v>SM240</v>
          </cell>
          <cell r="F73">
            <v>13.200000000000001</v>
          </cell>
          <cell r="G73"/>
          <cell r="H73">
            <v>13.200000000000001</v>
          </cell>
          <cell r="I73">
            <v>15.6</v>
          </cell>
        </row>
        <row r="74">
          <cell r="A74">
            <v>453766</v>
          </cell>
          <cell r="B74" t="str">
            <v>AL0712-GD 800ML I/C LID (GOLD)</v>
          </cell>
          <cell r="C74">
            <v>1</v>
          </cell>
          <cell r="D74" t="str">
            <v>INJ</v>
          </cell>
          <cell r="E74" t="str">
            <v>SM240</v>
          </cell>
          <cell r="F74">
            <v>16.600000000000001</v>
          </cell>
          <cell r="G74"/>
          <cell r="H74">
            <v>16.600000000000001</v>
          </cell>
          <cell r="I74">
            <v>14.3</v>
          </cell>
        </row>
        <row r="75">
          <cell r="A75">
            <v>453767</v>
          </cell>
          <cell r="B75" t="str">
            <v>AL0712-VL 800ML I/C LID (VIOLET)</v>
          </cell>
          <cell r="C75">
            <v>1</v>
          </cell>
          <cell r="D75" t="str">
            <v>INJ</v>
          </cell>
          <cell r="E75" t="str">
            <v>SM240</v>
          </cell>
          <cell r="F75">
            <v>16.600000000000001</v>
          </cell>
          <cell r="G75"/>
          <cell r="H75">
            <v>16.600000000000001</v>
          </cell>
          <cell r="I75">
            <v>14.3</v>
          </cell>
        </row>
        <row r="76">
          <cell r="A76">
            <v>453768</v>
          </cell>
          <cell r="B76" t="str">
            <v>AL0715-BR 1KG HONEY COVER (BROWN)</v>
          </cell>
          <cell r="C76">
            <v>1</v>
          </cell>
          <cell r="D76" t="str">
            <v>INJ</v>
          </cell>
          <cell r="E76" t="str">
            <v>HDPE1010J</v>
          </cell>
          <cell r="F76">
            <v>12.6</v>
          </cell>
          <cell r="G76"/>
          <cell r="H76">
            <v>12.6</v>
          </cell>
          <cell r="I76">
            <v>11.1</v>
          </cell>
        </row>
        <row r="77">
          <cell r="A77">
            <v>454252</v>
          </cell>
          <cell r="B77" t="str">
            <v>AL0715-YL 1KG HONEY COVER (YELLOW) HD</v>
          </cell>
          <cell r="C77">
            <v>1</v>
          </cell>
          <cell r="D77" t="str">
            <v>INJ</v>
          </cell>
          <cell r="E77" t="str">
            <v>HDPE1010J</v>
          </cell>
          <cell r="F77">
            <v>12.6</v>
          </cell>
          <cell r="G77"/>
          <cell r="H77">
            <v>12.6</v>
          </cell>
          <cell r="I77">
            <v>11.1</v>
          </cell>
        </row>
        <row r="78">
          <cell r="A78">
            <v>454253</v>
          </cell>
          <cell r="B78" t="str">
            <v>AL0715-YL 1KG HONEY COVER (YELLOW) LD</v>
          </cell>
          <cell r="C78">
            <v>1</v>
          </cell>
          <cell r="D78" t="str">
            <v>INJ</v>
          </cell>
          <cell r="E78" t="str">
            <v>LDPEG812</v>
          </cell>
          <cell r="F78">
            <v>12.6</v>
          </cell>
          <cell r="G78"/>
          <cell r="H78">
            <v>12.75</v>
          </cell>
          <cell r="I78">
            <v>11.1</v>
          </cell>
        </row>
        <row r="79">
          <cell r="A79">
            <v>453769</v>
          </cell>
          <cell r="B79" t="str">
            <v>AL0751-YL 1KG HONEY COVER (YELLOW) HD+LD</v>
          </cell>
          <cell r="C79">
            <v>1</v>
          </cell>
          <cell r="D79" t="str">
            <v>INJ</v>
          </cell>
          <cell r="E79" t="str">
            <v>HDPE1010J/LDPEG812</v>
          </cell>
          <cell r="F79">
            <v>12.700000000000001</v>
          </cell>
          <cell r="G79"/>
          <cell r="H79">
            <v>12.4</v>
          </cell>
          <cell r="I79">
            <v>11.1</v>
          </cell>
        </row>
        <row r="80">
          <cell r="A80">
            <v>454219</v>
          </cell>
          <cell r="B80" t="str">
            <v>AL0823-PK 750ML I/C LID (PINK)</v>
          </cell>
          <cell r="C80">
            <v>1</v>
          </cell>
          <cell r="D80" t="str">
            <v>INJ</v>
          </cell>
          <cell r="E80" t="str">
            <v>SM240</v>
          </cell>
          <cell r="F80">
            <v>12.6</v>
          </cell>
          <cell r="G80"/>
          <cell r="H80">
            <v>12.6</v>
          </cell>
          <cell r="I80">
            <v>13.4</v>
          </cell>
        </row>
        <row r="81">
          <cell r="A81">
            <v>454249</v>
          </cell>
          <cell r="B81" t="str">
            <v>AL0921-BK 38MM CAP (BLACK)</v>
          </cell>
          <cell r="C81">
            <v>4</v>
          </cell>
          <cell r="D81" t="str">
            <v>INJ</v>
          </cell>
          <cell r="E81" t="str">
            <v>PP6331</v>
          </cell>
          <cell r="F81">
            <v>4.2</v>
          </cell>
          <cell r="G81"/>
          <cell r="H81">
            <v>4.2</v>
          </cell>
          <cell r="I81">
            <v>14.6</v>
          </cell>
        </row>
        <row r="82">
          <cell r="A82">
            <v>454251</v>
          </cell>
          <cell r="B82" t="str">
            <v>AL0921-BL 38MM CAP (BLUE)</v>
          </cell>
          <cell r="C82">
            <v>4</v>
          </cell>
          <cell r="D82" t="str">
            <v>INJ</v>
          </cell>
          <cell r="E82" t="str">
            <v>SM6331</v>
          </cell>
          <cell r="F82">
            <v>4.2</v>
          </cell>
          <cell r="G82"/>
          <cell r="H82">
            <v>4.05</v>
          </cell>
          <cell r="I82">
            <v>14.6</v>
          </cell>
        </row>
        <row r="83">
          <cell r="A83">
            <v>556157</v>
          </cell>
          <cell r="B83" t="str">
            <v>AL0921-BL 38MM CAP (L.BLUE) - S</v>
          </cell>
          <cell r="C83">
            <v>4</v>
          </cell>
          <cell r="D83" t="str">
            <v>INJ</v>
          </cell>
          <cell r="E83" t="str">
            <v>SM6331</v>
          </cell>
          <cell r="F83">
            <v>5.1999999999999993</v>
          </cell>
          <cell r="G83"/>
          <cell r="H83">
            <v>4.8</v>
          </cell>
          <cell r="I83">
            <v>15.2</v>
          </cell>
        </row>
        <row r="84">
          <cell r="A84">
            <v>465632</v>
          </cell>
          <cell r="B84" t="str">
            <v>AL0921-BR 38MM CAP (BROWN)</v>
          </cell>
          <cell r="C84">
            <v>4</v>
          </cell>
          <cell r="D84" t="str">
            <v>INJ</v>
          </cell>
          <cell r="E84" t="str">
            <v>PP6331</v>
          </cell>
          <cell r="F84">
            <v>4.2</v>
          </cell>
          <cell r="G84"/>
          <cell r="H84">
            <v>4.2</v>
          </cell>
          <cell r="I84">
            <v>14.6</v>
          </cell>
        </row>
        <row r="85">
          <cell r="A85">
            <v>617309</v>
          </cell>
          <cell r="B85" t="str">
            <v>AL0921-PK 38MM CAP (PINK) S</v>
          </cell>
          <cell r="C85">
            <v>4</v>
          </cell>
          <cell r="D85" t="str">
            <v>INJ</v>
          </cell>
          <cell r="E85" t="str">
            <v>PP6331</v>
          </cell>
          <cell r="F85">
            <v>5.2</v>
          </cell>
          <cell r="G85"/>
          <cell r="H85">
            <v>5.2</v>
          </cell>
          <cell r="I85">
            <v>17.600000000000001</v>
          </cell>
        </row>
        <row r="86">
          <cell r="A86">
            <v>454166</v>
          </cell>
          <cell r="B86" t="str">
            <v>AL0921-GR 38MM CAP (GREEN)</v>
          </cell>
          <cell r="C86">
            <v>4</v>
          </cell>
          <cell r="D86" t="str">
            <v>INJ</v>
          </cell>
          <cell r="E86" t="str">
            <v>SM6331</v>
          </cell>
          <cell r="F86">
            <v>4.2</v>
          </cell>
          <cell r="G86"/>
          <cell r="H86">
            <v>4.8</v>
          </cell>
          <cell r="I86">
            <v>14.6</v>
          </cell>
        </row>
        <row r="87">
          <cell r="A87">
            <v>454165</v>
          </cell>
          <cell r="B87" t="str">
            <v>AL0921-RD 38MM CAP (RED)</v>
          </cell>
          <cell r="C87">
            <v>4</v>
          </cell>
          <cell r="D87" t="str">
            <v>INJ</v>
          </cell>
          <cell r="E87" t="str">
            <v>SM6331</v>
          </cell>
          <cell r="F87">
            <v>4.2</v>
          </cell>
          <cell r="G87"/>
          <cell r="H87">
            <v>4.7</v>
          </cell>
          <cell r="I87">
            <v>14.6</v>
          </cell>
        </row>
        <row r="88">
          <cell r="A88">
            <v>454250</v>
          </cell>
          <cell r="B88" t="str">
            <v>AL0921-YL 38MM CAP (YELLOW)</v>
          </cell>
          <cell r="C88">
            <v>4</v>
          </cell>
          <cell r="D88" t="str">
            <v>INJ</v>
          </cell>
          <cell r="E88" t="str">
            <v>PP6331</v>
          </cell>
          <cell r="F88">
            <v>4.2</v>
          </cell>
          <cell r="G88"/>
          <cell r="H88">
            <v>4.2</v>
          </cell>
          <cell r="I88">
            <v>14.6</v>
          </cell>
        </row>
        <row r="89">
          <cell r="A89">
            <v>454256</v>
          </cell>
          <cell r="B89" t="str">
            <v>AL1015-BL HARWANY PLASTIC COVER (BLUE)</v>
          </cell>
          <cell r="C89">
            <v>2</v>
          </cell>
          <cell r="D89" t="str">
            <v>INJ</v>
          </cell>
          <cell r="E89" t="str">
            <v>HDPE1010J</v>
          </cell>
          <cell r="F89">
            <v>38</v>
          </cell>
          <cell r="G89"/>
          <cell r="H89">
            <v>38</v>
          </cell>
          <cell r="I89">
            <v>24</v>
          </cell>
        </row>
        <row r="90">
          <cell r="A90">
            <v>454255</v>
          </cell>
          <cell r="B90" t="str">
            <v>AL1015-GR HARWANY PLASTIC COVER (GREEN)</v>
          </cell>
          <cell r="C90">
            <v>0</v>
          </cell>
          <cell r="D90" t="str">
            <v>INJ</v>
          </cell>
          <cell r="E90" t="str">
            <v>HDPE1010J</v>
          </cell>
          <cell r="F90">
            <v>38</v>
          </cell>
          <cell r="G90"/>
          <cell r="H90">
            <v>38</v>
          </cell>
          <cell r="I90">
            <v>24</v>
          </cell>
        </row>
        <row r="91">
          <cell r="A91">
            <v>453770</v>
          </cell>
          <cell r="B91" t="str">
            <v>AL1019-GR 38MM NOZZLE CAP (GREEN)</v>
          </cell>
          <cell r="C91">
            <v>4</v>
          </cell>
          <cell r="D91" t="str">
            <v>INJ</v>
          </cell>
          <cell r="E91" t="str">
            <v>HDPE1010J</v>
          </cell>
          <cell r="F91">
            <v>4.8999999999999995</v>
          </cell>
          <cell r="G91"/>
          <cell r="H91">
            <v>4.8999999999999995</v>
          </cell>
          <cell r="I91">
            <v>14.6</v>
          </cell>
        </row>
        <row r="92">
          <cell r="A92">
            <v>454164</v>
          </cell>
          <cell r="B92" t="str">
            <v>AL1019-RD 38MM NOZZLE CAP (RED)</v>
          </cell>
          <cell r="C92">
            <v>4</v>
          </cell>
          <cell r="D92" t="str">
            <v>INJ</v>
          </cell>
          <cell r="E92" t="str">
            <v>HDPE1010J</v>
          </cell>
          <cell r="F92">
            <v>4.8999999999999995</v>
          </cell>
          <cell r="G92"/>
          <cell r="H92">
            <v>4.96</v>
          </cell>
          <cell r="I92">
            <v>14.6</v>
          </cell>
        </row>
        <row r="93">
          <cell r="A93">
            <v>453771</v>
          </cell>
          <cell r="B93" t="str">
            <v>AL1163-BK INSTANT NOODLE BOWL LID(BLACK)</v>
          </cell>
          <cell r="C93">
            <v>4</v>
          </cell>
          <cell r="D93" t="str">
            <v>INJ</v>
          </cell>
          <cell r="E93" t="str">
            <v>HDPE1010J</v>
          </cell>
          <cell r="F93">
            <v>21</v>
          </cell>
          <cell r="G93"/>
          <cell r="H93">
            <v>21</v>
          </cell>
          <cell r="I93">
            <v>28</v>
          </cell>
        </row>
        <row r="94">
          <cell r="A94">
            <v>453772</v>
          </cell>
          <cell r="B94" t="str">
            <v>AL1203-WH 1.25LTR I/C LID (WHITE)</v>
          </cell>
          <cell r="C94">
            <v>1</v>
          </cell>
          <cell r="D94" t="str">
            <v>INJ</v>
          </cell>
          <cell r="E94" t="str">
            <v>SM240</v>
          </cell>
          <cell r="F94">
            <v>21</v>
          </cell>
          <cell r="G94"/>
          <cell r="H94">
            <v>21</v>
          </cell>
          <cell r="I94">
            <v>12</v>
          </cell>
        </row>
        <row r="95">
          <cell r="A95">
            <v>453773</v>
          </cell>
          <cell r="B95" t="str">
            <v>AL1501-VL 1.25LTR I/C LID (VIOLET)</v>
          </cell>
          <cell r="C95">
            <v>1</v>
          </cell>
          <cell r="D95" t="str">
            <v>INJ</v>
          </cell>
          <cell r="E95" t="str">
            <v>HDPE1010J/LDPEG812</v>
          </cell>
          <cell r="F95">
            <v>28</v>
          </cell>
          <cell r="G95"/>
          <cell r="H95">
            <v>28.02</v>
          </cell>
          <cell r="I95">
            <v>18</v>
          </cell>
        </row>
        <row r="96">
          <cell r="A96">
            <v>453774</v>
          </cell>
          <cell r="B96" t="str">
            <v>AL1501-WH 1.5LTR I/C LID (WHITE)</v>
          </cell>
          <cell r="C96">
            <v>1</v>
          </cell>
          <cell r="D96" t="str">
            <v>INJ</v>
          </cell>
          <cell r="E96" t="str">
            <v>SM240</v>
          </cell>
          <cell r="F96">
            <v>28</v>
          </cell>
          <cell r="G96"/>
          <cell r="H96">
            <v>28</v>
          </cell>
          <cell r="I96">
            <v>18</v>
          </cell>
        </row>
        <row r="97">
          <cell r="A97">
            <v>467905</v>
          </cell>
          <cell r="B97" t="str">
            <v>AL1509-GR 1.25/1.5LTR I/C LID (GREEN)</v>
          </cell>
          <cell r="C97">
            <v>1</v>
          </cell>
          <cell r="D97" t="str">
            <v>INJ</v>
          </cell>
          <cell r="E97" t="str">
            <v>HDPE1010J</v>
          </cell>
          <cell r="F97">
            <v>24.7</v>
          </cell>
          <cell r="G97"/>
          <cell r="H97">
            <v>24.7</v>
          </cell>
          <cell r="I97">
            <v>18</v>
          </cell>
        </row>
        <row r="98">
          <cell r="A98">
            <v>453775</v>
          </cell>
          <cell r="B98" t="str">
            <v>AL1509-WH 1.25/1.5LTR I/C LID (WHITE)</v>
          </cell>
          <cell r="C98">
            <v>1</v>
          </cell>
          <cell r="D98" t="str">
            <v>INJ</v>
          </cell>
          <cell r="E98" t="str">
            <v>HDPE1010J/LDPEG812</v>
          </cell>
          <cell r="F98">
            <v>24.7</v>
          </cell>
          <cell r="G98"/>
          <cell r="H98">
            <v>32.659999999999997</v>
          </cell>
          <cell r="I98">
            <v>15.5</v>
          </cell>
        </row>
        <row r="99">
          <cell r="A99">
            <v>453776</v>
          </cell>
          <cell r="B99" t="str">
            <v>AL1511-BL 1.2/1.5LTR I/C LID (BLUE)</v>
          </cell>
          <cell r="C99">
            <v>1</v>
          </cell>
          <cell r="D99" t="str">
            <v>INJ</v>
          </cell>
          <cell r="E99" t="str">
            <v>HDPE1010J/LDPEG812</v>
          </cell>
          <cell r="F99">
            <v>28.4</v>
          </cell>
          <cell r="G99"/>
          <cell r="H99">
            <v>25.36</v>
          </cell>
          <cell r="I99">
            <v>15.5</v>
          </cell>
        </row>
        <row r="100">
          <cell r="A100">
            <v>453777</v>
          </cell>
          <cell r="B100" t="str">
            <v>AL1511-BR 1.5LTR I/C LID (BROWN)</v>
          </cell>
          <cell r="C100">
            <v>1</v>
          </cell>
          <cell r="D100" t="str">
            <v>INJ</v>
          </cell>
          <cell r="E100" t="str">
            <v>SM240</v>
          </cell>
          <cell r="F100">
            <v>28.4</v>
          </cell>
          <cell r="G100"/>
          <cell r="H100">
            <v>28.4</v>
          </cell>
          <cell r="I100">
            <v>15.5</v>
          </cell>
        </row>
        <row r="101">
          <cell r="A101">
            <v>453778</v>
          </cell>
          <cell r="B101" t="str">
            <v>AL1511-GR 1.5LTR I/C LID (GREEN)</v>
          </cell>
          <cell r="C101">
            <v>1</v>
          </cell>
          <cell r="D101" t="str">
            <v>INJ</v>
          </cell>
          <cell r="E101" t="str">
            <v>SM240</v>
          </cell>
          <cell r="F101">
            <v>28.4</v>
          </cell>
          <cell r="G101"/>
          <cell r="H101">
            <v>28.4</v>
          </cell>
          <cell r="I101">
            <v>15.5</v>
          </cell>
        </row>
        <row r="102">
          <cell r="A102">
            <v>453779</v>
          </cell>
          <cell r="B102" t="str">
            <v>AL1511-WH 1.25/1.5LTR I/C LID (WHITE)</v>
          </cell>
          <cell r="C102">
            <v>1</v>
          </cell>
          <cell r="D102" t="str">
            <v>INJ</v>
          </cell>
          <cell r="E102" t="str">
            <v>HDPE1010J</v>
          </cell>
          <cell r="F102">
            <v>28.4</v>
          </cell>
          <cell r="G102"/>
          <cell r="H102">
            <v>28.4</v>
          </cell>
          <cell r="I102">
            <v>15.5</v>
          </cell>
        </row>
        <row r="103">
          <cell r="A103">
            <v>453780</v>
          </cell>
          <cell r="B103" t="str">
            <v>AL1526-GR 1.3KG NDC COVER (GREEN)</v>
          </cell>
          <cell r="C103">
            <v>1</v>
          </cell>
          <cell r="D103" t="str">
            <v>INJ</v>
          </cell>
          <cell r="E103" t="str">
            <v>SM6331</v>
          </cell>
          <cell r="F103">
            <v>18.2</v>
          </cell>
          <cell r="G103"/>
          <cell r="H103">
            <v>17.600000000000001</v>
          </cell>
          <cell r="I103">
            <v>27</v>
          </cell>
        </row>
        <row r="104">
          <cell r="A104">
            <v>453781</v>
          </cell>
          <cell r="B104" t="str">
            <v>AL1526-GR-2 1.3KG NDC HOLDER (GREEN)</v>
          </cell>
          <cell r="C104">
            <v>1</v>
          </cell>
          <cell r="D104" t="str">
            <v>INJ</v>
          </cell>
          <cell r="E104" t="str">
            <v>SM6331</v>
          </cell>
          <cell r="F104">
            <v>4.8999999999999995</v>
          </cell>
          <cell r="G104"/>
          <cell r="H104">
            <v>5.4</v>
          </cell>
          <cell r="I104">
            <v>27</v>
          </cell>
        </row>
        <row r="105">
          <cell r="A105">
            <v>453782</v>
          </cell>
          <cell r="B105" t="str">
            <v>AL1526-OR 1.3KG NDC COVER (ORANGE)</v>
          </cell>
          <cell r="C105">
            <v>1</v>
          </cell>
          <cell r="D105" t="str">
            <v>INJ</v>
          </cell>
          <cell r="E105" t="str">
            <v>SM6331</v>
          </cell>
          <cell r="F105">
            <v>18.2</v>
          </cell>
          <cell r="G105"/>
          <cell r="H105">
            <v>17.5</v>
          </cell>
          <cell r="I105">
            <v>27</v>
          </cell>
        </row>
        <row r="106">
          <cell r="A106">
            <v>453783</v>
          </cell>
          <cell r="B106" t="str">
            <v>AL1526-OR-2 1.3KG NDC HOLDER (ORANGE)</v>
          </cell>
          <cell r="C106">
            <v>1</v>
          </cell>
          <cell r="D106" t="str">
            <v>INJ</v>
          </cell>
          <cell r="E106" t="str">
            <v>SM6331</v>
          </cell>
          <cell r="F106">
            <v>4.8999999999999995</v>
          </cell>
          <cell r="G106"/>
          <cell r="H106">
            <v>5</v>
          </cell>
          <cell r="I106">
            <v>27</v>
          </cell>
        </row>
        <row r="107">
          <cell r="A107">
            <v>453784</v>
          </cell>
          <cell r="B107" t="str">
            <v>AL1526-PK 1.3KG NDC COVER (PINK)</v>
          </cell>
          <cell r="C107">
            <v>1</v>
          </cell>
          <cell r="D107" t="str">
            <v>INJ</v>
          </cell>
          <cell r="E107" t="str">
            <v>SM6331</v>
          </cell>
          <cell r="F107">
            <v>18.2</v>
          </cell>
          <cell r="G107"/>
          <cell r="H107">
            <v>17.63</v>
          </cell>
          <cell r="I107">
            <v>27</v>
          </cell>
        </row>
        <row r="108">
          <cell r="A108">
            <v>453785</v>
          </cell>
          <cell r="B108" t="str">
            <v>AL1526-PK-2 1.3KG NDC HOLDER (PINK)</v>
          </cell>
          <cell r="C108">
            <v>1</v>
          </cell>
          <cell r="D108" t="str">
            <v>INJ</v>
          </cell>
          <cell r="E108" t="str">
            <v>SM6331</v>
          </cell>
          <cell r="F108">
            <v>4.8999999999999995</v>
          </cell>
          <cell r="G108"/>
          <cell r="H108">
            <v>5.07</v>
          </cell>
          <cell r="I108">
            <v>27</v>
          </cell>
        </row>
        <row r="109">
          <cell r="A109">
            <v>453786</v>
          </cell>
          <cell r="B109" t="str">
            <v>AL1526-YL 1.3KG NDC COVER (YELLOW)</v>
          </cell>
          <cell r="C109">
            <v>1</v>
          </cell>
          <cell r="D109" t="str">
            <v>INJ</v>
          </cell>
          <cell r="E109" t="str">
            <v>SM6331</v>
          </cell>
          <cell r="F109">
            <v>18.2</v>
          </cell>
          <cell r="G109"/>
          <cell r="H109">
            <v>17.63</v>
          </cell>
          <cell r="I109">
            <v>5.9</v>
          </cell>
        </row>
        <row r="110">
          <cell r="A110">
            <v>453787</v>
          </cell>
          <cell r="B110" t="str">
            <v>AL1526-YL-2 1.3KG NDC HOLDER (YELLOW)</v>
          </cell>
          <cell r="C110">
            <v>1</v>
          </cell>
          <cell r="D110" t="str">
            <v>INJ</v>
          </cell>
          <cell r="E110" t="str">
            <v>SM6331</v>
          </cell>
          <cell r="F110">
            <v>4.8999999999999995</v>
          </cell>
          <cell r="G110"/>
          <cell r="H110">
            <v>5.5</v>
          </cell>
          <cell r="I110">
            <v>5.9</v>
          </cell>
        </row>
        <row r="111">
          <cell r="A111">
            <v>453788</v>
          </cell>
          <cell r="B111" t="str">
            <v>AL1537-BK 1/1.5/2LTR I/C LID (BLACK)</v>
          </cell>
          <cell r="C111">
            <v>1</v>
          </cell>
          <cell r="D111" t="str">
            <v>INJ</v>
          </cell>
          <cell r="E111" t="str">
            <v>SM240</v>
          </cell>
          <cell r="F111">
            <v>32</v>
          </cell>
          <cell r="G111"/>
          <cell r="H111">
            <v>33</v>
          </cell>
          <cell r="I111">
            <v>14.2</v>
          </cell>
        </row>
        <row r="112">
          <cell r="A112">
            <v>490790</v>
          </cell>
          <cell r="B112" t="str">
            <v>AL1537-BK-1 LTR CHO/CHIP I/C LID (BLACK)</v>
          </cell>
          <cell r="C112">
            <v>1</v>
          </cell>
          <cell r="D112" t="str">
            <v>INJ</v>
          </cell>
          <cell r="E112" t="str">
            <v>HDPE1010J</v>
          </cell>
          <cell r="F112">
            <v>33</v>
          </cell>
          <cell r="G112"/>
          <cell r="H112">
            <v>33</v>
          </cell>
          <cell r="I112">
            <v>14.2</v>
          </cell>
        </row>
        <row r="113">
          <cell r="A113">
            <v>490789</v>
          </cell>
          <cell r="B113" t="str">
            <v>AL1537-BK-1 LTR MANGO I/C LID (BLACK)</v>
          </cell>
          <cell r="C113">
            <v>1</v>
          </cell>
          <cell r="D113" t="str">
            <v>INJ</v>
          </cell>
          <cell r="E113" t="str">
            <v>SM240</v>
          </cell>
          <cell r="F113">
            <v>33</v>
          </cell>
          <cell r="G113"/>
          <cell r="H113">
            <v>33</v>
          </cell>
          <cell r="I113">
            <v>14.2</v>
          </cell>
        </row>
        <row r="114">
          <cell r="A114">
            <v>490791</v>
          </cell>
          <cell r="B114" t="str">
            <v>AL1537-BK-2 LTR F/CAKE I/C LID (BLACK)</v>
          </cell>
          <cell r="C114">
            <v>1</v>
          </cell>
          <cell r="D114" t="str">
            <v>INJ</v>
          </cell>
          <cell r="E114" t="str">
            <v>HDPE1010J</v>
          </cell>
          <cell r="F114">
            <v>33</v>
          </cell>
          <cell r="G114"/>
          <cell r="H114">
            <v>33</v>
          </cell>
          <cell r="I114">
            <v>14.2</v>
          </cell>
        </row>
        <row r="115">
          <cell r="A115">
            <v>532972</v>
          </cell>
          <cell r="B115" t="str">
            <v>AL1537-BK-2 LTR MOCCA I/C LID (BLACK)</v>
          </cell>
          <cell r="C115">
            <v>0</v>
          </cell>
          <cell r="D115" t="str">
            <v>INJ</v>
          </cell>
          <cell r="E115" t="str">
            <v>SM240</v>
          </cell>
          <cell r="F115">
            <v>33</v>
          </cell>
          <cell r="G115"/>
          <cell r="H115">
            <v>33</v>
          </cell>
          <cell r="I115">
            <v>14.2</v>
          </cell>
        </row>
        <row r="116">
          <cell r="A116">
            <v>490787</v>
          </cell>
          <cell r="B116" t="str">
            <v>AL1537-BK-2 LTR PECAN I/C LID (BLACK)</v>
          </cell>
          <cell r="C116">
            <v>1</v>
          </cell>
          <cell r="D116" t="str">
            <v>INJ</v>
          </cell>
          <cell r="E116" t="str">
            <v>SM240</v>
          </cell>
          <cell r="F116">
            <v>33</v>
          </cell>
          <cell r="G116"/>
          <cell r="H116">
            <v>33</v>
          </cell>
          <cell r="I116">
            <v>14.2</v>
          </cell>
        </row>
        <row r="117">
          <cell r="A117">
            <v>490788</v>
          </cell>
          <cell r="B117" t="str">
            <v>AL1537-BK-2 LTR PISTA I/C LID (BLACK)</v>
          </cell>
          <cell r="C117">
            <v>1</v>
          </cell>
          <cell r="D117" t="str">
            <v>INJ</v>
          </cell>
          <cell r="E117" t="str">
            <v>SM240</v>
          </cell>
          <cell r="F117">
            <v>33</v>
          </cell>
          <cell r="G117"/>
          <cell r="H117">
            <v>33</v>
          </cell>
          <cell r="I117">
            <v>14.2</v>
          </cell>
        </row>
        <row r="118">
          <cell r="A118">
            <v>453789</v>
          </cell>
          <cell r="B118" t="str">
            <v>AL1537-BK-L 1/1.5/2LTR I/C LID (BLACK)</v>
          </cell>
          <cell r="C118">
            <v>1</v>
          </cell>
          <cell r="D118" t="str">
            <v>INJ</v>
          </cell>
          <cell r="E118" t="str">
            <v>HDPE1010J</v>
          </cell>
          <cell r="F118">
            <v>32</v>
          </cell>
          <cell r="G118"/>
          <cell r="H118">
            <v>32</v>
          </cell>
          <cell r="I118">
            <v>14.2</v>
          </cell>
        </row>
        <row r="119">
          <cell r="A119">
            <v>453790</v>
          </cell>
          <cell r="B119" t="str">
            <v>AL1537-BL 1/1.5/2LTR I/C LID (BLUE)</v>
          </cell>
          <cell r="C119">
            <v>1</v>
          </cell>
          <cell r="D119" t="str">
            <v>INJ</v>
          </cell>
          <cell r="E119" t="str">
            <v>HDPE1010J</v>
          </cell>
          <cell r="F119">
            <v>32</v>
          </cell>
          <cell r="G119"/>
          <cell r="H119">
            <v>32</v>
          </cell>
          <cell r="I119">
            <v>14.2</v>
          </cell>
        </row>
        <row r="120">
          <cell r="A120">
            <v>453791</v>
          </cell>
          <cell r="B120" t="str">
            <v>AL1537-GD 1/1.5/2LTR I/C LID (GOLD)</v>
          </cell>
          <cell r="C120">
            <v>1</v>
          </cell>
          <cell r="D120" t="str">
            <v>INJ</v>
          </cell>
          <cell r="E120" t="str">
            <v>SM240</v>
          </cell>
          <cell r="F120">
            <v>32</v>
          </cell>
          <cell r="G120"/>
          <cell r="H120">
            <v>33</v>
          </cell>
          <cell r="I120">
            <v>14.2</v>
          </cell>
        </row>
        <row r="121">
          <cell r="A121">
            <v>456286</v>
          </cell>
          <cell r="B121" t="str">
            <v>AL1537-GD-L 1/1.5/2LTR I/C LID (GOLD)</v>
          </cell>
          <cell r="C121">
            <v>1</v>
          </cell>
          <cell r="D121" t="str">
            <v>INJ</v>
          </cell>
          <cell r="E121" t="str">
            <v>HDPE1010J</v>
          </cell>
          <cell r="F121">
            <v>32</v>
          </cell>
          <cell r="G121"/>
          <cell r="H121">
            <v>32</v>
          </cell>
          <cell r="I121">
            <v>14.2</v>
          </cell>
        </row>
        <row r="122">
          <cell r="A122">
            <v>453792</v>
          </cell>
          <cell r="B122" t="str">
            <v>AL1537-GR 1/1.5/2LTR I/C LID (GREEN)</v>
          </cell>
          <cell r="C122">
            <v>1</v>
          </cell>
          <cell r="D122" t="str">
            <v>INJ</v>
          </cell>
          <cell r="E122" t="str">
            <v>SM240</v>
          </cell>
          <cell r="F122">
            <v>32</v>
          </cell>
          <cell r="G122"/>
          <cell r="H122">
            <v>33</v>
          </cell>
          <cell r="I122">
            <v>14.2</v>
          </cell>
        </row>
        <row r="123">
          <cell r="A123">
            <v>486892</v>
          </cell>
          <cell r="B123" t="str">
            <v>AL1537-GR- 1LTR CHOC I/C LID (GREEN)</v>
          </cell>
          <cell r="C123">
            <v>1</v>
          </cell>
          <cell r="D123" t="str">
            <v>INJ</v>
          </cell>
          <cell r="E123" t="str">
            <v>SM240</v>
          </cell>
          <cell r="F123">
            <v>33</v>
          </cell>
          <cell r="G123"/>
          <cell r="H123">
            <v>33</v>
          </cell>
          <cell r="I123">
            <v>14.2</v>
          </cell>
        </row>
        <row r="124">
          <cell r="A124">
            <v>486893</v>
          </cell>
          <cell r="B124" t="str">
            <v>AL1537-GR- 1LTR STRAW I/C LID (GREEN)</v>
          </cell>
          <cell r="C124">
            <v>1</v>
          </cell>
          <cell r="D124" t="str">
            <v>INJ</v>
          </cell>
          <cell r="E124" t="str">
            <v>SM240</v>
          </cell>
          <cell r="F124">
            <v>33</v>
          </cell>
          <cell r="G124"/>
          <cell r="H124">
            <v>33</v>
          </cell>
          <cell r="I124">
            <v>14.2</v>
          </cell>
        </row>
        <row r="125">
          <cell r="A125">
            <v>486894</v>
          </cell>
          <cell r="B125" t="str">
            <v>AL1537-GR- 1LTR VAN I/C LID (GREEN)</v>
          </cell>
          <cell r="C125">
            <v>1</v>
          </cell>
          <cell r="D125" t="str">
            <v>INJ</v>
          </cell>
          <cell r="E125" t="str">
            <v>SM240</v>
          </cell>
          <cell r="F125">
            <v>33</v>
          </cell>
          <cell r="G125"/>
          <cell r="H125">
            <v>33</v>
          </cell>
          <cell r="I125">
            <v>14.2</v>
          </cell>
        </row>
        <row r="126">
          <cell r="A126">
            <v>486895</v>
          </cell>
          <cell r="B126" t="str">
            <v>AL1537-GR- 2LTR CHOC I/C LID (GREEN)</v>
          </cell>
          <cell r="C126">
            <v>1</v>
          </cell>
          <cell r="D126" t="str">
            <v>INJ</v>
          </cell>
          <cell r="E126" t="str">
            <v>SM240</v>
          </cell>
          <cell r="F126">
            <v>33</v>
          </cell>
          <cell r="G126"/>
          <cell r="H126">
            <v>33</v>
          </cell>
          <cell r="I126">
            <v>14.2</v>
          </cell>
        </row>
        <row r="127">
          <cell r="A127">
            <v>489246</v>
          </cell>
          <cell r="B127" t="str">
            <v>AL1537-GR- 2LTR DURIAN I/C LID (GREEN)</v>
          </cell>
          <cell r="C127">
            <v>1</v>
          </cell>
          <cell r="D127" t="str">
            <v>INJ</v>
          </cell>
          <cell r="E127" t="str">
            <v>SM240</v>
          </cell>
          <cell r="F127">
            <v>33</v>
          </cell>
          <cell r="G127"/>
          <cell r="H127">
            <v>33</v>
          </cell>
          <cell r="I127">
            <v>14.2</v>
          </cell>
        </row>
        <row r="128">
          <cell r="A128">
            <v>486896</v>
          </cell>
          <cell r="B128" t="str">
            <v>AL1537-GR- 2LTR STRAW I/C LID (GREEN)</v>
          </cell>
          <cell r="C128">
            <v>1</v>
          </cell>
          <cell r="D128" t="str">
            <v>INJ</v>
          </cell>
          <cell r="E128" t="str">
            <v>SM240</v>
          </cell>
          <cell r="F128">
            <v>33</v>
          </cell>
          <cell r="G128"/>
          <cell r="H128">
            <v>33</v>
          </cell>
          <cell r="I128">
            <v>14.2</v>
          </cell>
        </row>
        <row r="129">
          <cell r="A129">
            <v>486897</v>
          </cell>
          <cell r="B129" t="str">
            <v>AL1537-GR- 2LTR SWT-CORN I/C LID (GREEN)</v>
          </cell>
          <cell r="C129">
            <v>1</v>
          </cell>
          <cell r="D129" t="str">
            <v>INJ</v>
          </cell>
          <cell r="E129" t="str">
            <v>SM240</v>
          </cell>
          <cell r="F129">
            <v>33</v>
          </cell>
          <cell r="G129"/>
          <cell r="H129">
            <v>33</v>
          </cell>
          <cell r="I129">
            <v>14.2</v>
          </cell>
        </row>
        <row r="130">
          <cell r="A130">
            <v>489247</v>
          </cell>
          <cell r="B130" t="str">
            <v>AL1537-GR- 2LTR VANILLA I/C LID (GREEN)</v>
          </cell>
          <cell r="C130">
            <v>1</v>
          </cell>
          <cell r="D130" t="str">
            <v>INJ</v>
          </cell>
          <cell r="E130" t="str">
            <v>SM240</v>
          </cell>
          <cell r="F130">
            <v>33</v>
          </cell>
          <cell r="G130"/>
          <cell r="H130">
            <v>33</v>
          </cell>
          <cell r="I130">
            <v>14.2</v>
          </cell>
        </row>
        <row r="131">
          <cell r="A131">
            <v>489248</v>
          </cell>
          <cell r="B131" t="str">
            <v>AL1537-GR- 2LTR YAM I/C LID (GREEN)</v>
          </cell>
          <cell r="C131">
            <v>1</v>
          </cell>
          <cell r="D131" t="str">
            <v>INJ</v>
          </cell>
          <cell r="E131" t="str">
            <v>SM240</v>
          </cell>
          <cell r="F131">
            <v>33</v>
          </cell>
          <cell r="G131"/>
          <cell r="H131">
            <v>33</v>
          </cell>
          <cell r="I131">
            <v>14.2</v>
          </cell>
        </row>
        <row r="132">
          <cell r="A132">
            <v>454167</v>
          </cell>
          <cell r="B132" t="str">
            <v>AL1537-NA 1/1.5/2LTR I/C LID (NATURAL)</v>
          </cell>
          <cell r="C132">
            <v>1</v>
          </cell>
          <cell r="D132" t="str">
            <v>INJ</v>
          </cell>
          <cell r="E132" t="str">
            <v>HDPE1010J</v>
          </cell>
          <cell r="F132">
            <v>32</v>
          </cell>
          <cell r="G132"/>
          <cell r="H132">
            <v>32</v>
          </cell>
          <cell r="I132">
            <v>14.2</v>
          </cell>
        </row>
        <row r="133">
          <cell r="A133">
            <v>454209</v>
          </cell>
          <cell r="B133" t="str">
            <v>AL1537-OR 1.5L I/C CHOCOLATE BV (ASEM)</v>
          </cell>
          <cell r="C133">
            <v>1</v>
          </cell>
          <cell r="D133" t="str">
            <v>INJ</v>
          </cell>
          <cell r="E133" t="str">
            <v>SM240</v>
          </cell>
          <cell r="F133">
            <v>33</v>
          </cell>
          <cell r="G133"/>
          <cell r="H133">
            <v>33</v>
          </cell>
          <cell r="I133">
            <v>14.2</v>
          </cell>
        </row>
        <row r="134">
          <cell r="A134">
            <v>454205</v>
          </cell>
          <cell r="B134" t="str">
            <v>AL1537-OR 1.5L I/C NEAPOLITAN BV (ASEM)</v>
          </cell>
          <cell r="C134">
            <v>1</v>
          </cell>
          <cell r="D134" t="str">
            <v>INJ</v>
          </cell>
          <cell r="E134" t="str">
            <v>SM240</v>
          </cell>
          <cell r="F134">
            <v>33</v>
          </cell>
          <cell r="G134"/>
          <cell r="H134">
            <v>33</v>
          </cell>
          <cell r="I134">
            <v>14.2</v>
          </cell>
        </row>
        <row r="135">
          <cell r="A135">
            <v>454206</v>
          </cell>
          <cell r="B135" t="str">
            <v>AL1537-OR 1.5L I/C VANILLA BV (ASEM)</v>
          </cell>
          <cell r="C135">
            <v>1</v>
          </cell>
          <cell r="D135" t="str">
            <v>INJ</v>
          </cell>
          <cell r="E135" t="str">
            <v>SM240</v>
          </cell>
          <cell r="F135">
            <v>33</v>
          </cell>
          <cell r="G135"/>
          <cell r="H135">
            <v>33</v>
          </cell>
          <cell r="I135">
            <v>14.2</v>
          </cell>
        </row>
        <row r="136">
          <cell r="A136">
            <v>454222</v>
          </cell>
          <cell r="B136" t="str">
            <v>AL1537-OR 1/1.5/2LTR I/C LID (ORANGE)</v>
          </cell>
          <cell r="C136">
            <v>1</v>
          </cell>
          <cell r="D136" t="str">
            <v>INJ</v>
          </cell>
          <cell r="E136" t="str">
            <v>HDPE1010J</v>
          </cell>
          <cell r="F136">
            <v>32</v>
          </cell>
          <cell r="G136"/>
          <cell r="H136">
            <v>32</v>
          </cell>
          <cell r="I136">
            <v>14.2</v>
          </cell>
        </row>
        <row r="137">
          <cell r="A137">
            <v>453794</v>
          </cell>
          <cell r="B137" t="str">
            <v>AL1586-VL 1.5LTR I/C LID (VIOLET)</v>
          </cell>
          <cell r="C137">
            <v>1</v>
          </cell>
          <cell r="D137" t="str">
            <v>INJ</v>
          </cell>
          <cell r="E137" t="str">
            <v>SM240</v>
          </cell>
          <cell r="F137">
            <v>38.5</v>
          </cell>
          <cell r="G137"/>
          <cell r="H137">
            <v>38.5</v>
          </cell>
          <cell r="I137">
            <v>14.9</v>
          </cell>
        </row>
        <row r="138">
          <cell r="A138">
            <v>453795</v>
          </cell>
          <cell r="B138" t="str">
            <v>AL1586-YL 1.5LTR I/C LID (YELLOW)</v>
          </cell>
          <cell r="C138">
            <v>1</v>
          </cell>
          <cell r="D138" t="str">
            <v>INJ</v>
          </cell>
          <cell r="E138" t="str">
            <v>SM240</v>
          </cell>
          <cell r="F138">
            <v>38.5</v>
          </cell>
          <cell r="G138"/>
          <cell r="H138">
            <v>40</v>
          </cell>
          <cell r="I138">
            <v>14.9</v>
          </cell>
        </row>
        <row r="139">
          <cell r="A139">
            <v>453796</v>
          </cell>
          <cell r="B139" t="str">
            <v>AL2012-BK 38MM CAP (BLACK) C/W SEAL ASEM</v>
          </cell>
          <cell r="C139">
            <v>16</v>
          </cell>
          <cell r="D139" t="str">
            <v>INJ</v>
          </cell>
          <cell r="E139" t="str">
            <v>SM240</v>
          </cell>
          <cell r="F139">
            <v>4</v>
          </cell>
          <cell r="G139"/>
          <cell r="H139">
            <v>4</v>
          </cell>
          <cell r="I139">
            <v>20.8</v>
          </cell>
        </row>
        <row r="140">
          <cell r="A140">
            <v>453797</v>
          </cell>
          <cell r="B140" t="str">
            <v>AL2012-BK 38MM CAP (BLACK) W/O SEAL</v>
          </cell>
          <cell r="C140">
            <v>16</v>
          </cell>
          <cell r="D140" t="str">
            <v>INJ</v>
          </cell>
          <cell r="E140" t="str">
            <v>SM240</v>
          </cell>
          <cell r="F140">
            <v>3.5</v>
          </cell>
          <cell r="G140"/>
          <cell r="H140">
            <v>4</v>
          </cell>
          <cell r="I140">
            <v>16.704000000000001</v>
          </cell>
        </row>
        <row r="141">
          <cell r="A141">
            <v>453798</v>
          </cell>
          <cell r="B141" t="str">
            <v>AL2013-BL 2LTR I/C LID (BLUE)</v>
          </cell>
          <cell r="C141">
            <v>1</v>
          </cell>
          <cell r="D141" t="str">
            <v>INJ</v>
          </cell>
          <cell r="E141" t="str">
            <v>LDPEG812</v>
          </cell>
          <cell r="F141">
            <v>46</v>
          </cell>
          <cell r="G141"/>
          <cell r="H141">
            <v>45.98</v>
          </cell>
          <cell r="I141">
            <v>14.9</v>
          </cell>
        </row>
        <row r="142">
          <cell r="A142">
            <v>453969</v>
          </cell>
          <cell r="B142" t="str">
            <v>AL2016-BK 1.5L I/C CHOC CHIP MS (ASEM)</v>
          </cell>
          <cell r="C142">
            <v>1</v>
          </cell>
          <cell r="D142" t="str">
            <v>INJ</v>
          </cell>
          <cell r="E142" t="str">
            <v>SM240</v>
          </cell>
          <cell r="F142">
            <v>33</v>
          </cell>
          <cell r="G142"/>
          <cell r="H142">
            <v>33</v>
          </cell>
          <cell r="I142">
            <v>14.1</v>
          </cell>
        </row>
        <row r="143">
          <cell r="A143">
            <v>453970</v>
          </cell>
          <cell r="B143" t="str">
            <v>AL2016-BK 1.5L I/C CHOCOLATE MS (ASEM)</v>
          </cell>
          <cell r="C143">
            <v>1</v>
          </cell>
          <cell r="D143" t="str">
            <v>INJ</v>
          </cell>
          <cell r="E143" t="str">
            <v>SM240</v>
          </cell>
          <cell r="F143">
            <v>33</v>
          </cell>
          <cell r="G143"/>
          <cell r="H143">
            <v>33</v>
          </cell>
          <cell r="I143">
            <v>14.1</v>
          </cell>
        </row>
        <row r="144">
          <cell r="A144">
            <v>453971</v>
          </cell>
          <cell r="B144" t="str">
            <v>AL2016-BK 1.5L I/C NEAPOLITAN MS (ASEM)</v>
          </cell>
          <cell r="C144">
            <v>1</v>
          </cell>
          <cell r="D144" t="str">
            <v>INJ</v>
          </cell>
          <cell r="E144" t="str">
            <v>SM240</v>
          </cell>
          <cell r="F144">
            <v>33</v>
          </cell>
          <cell r="G144"/>
          <cell r="H144">
            <v>33</v>
          </cell>
          <cell r="I144">
            <v>14.1</v>
          </cell>
        </row>
        <row r="145">
          <cell r="A145">
            <v>453972</v>
          </cell>
          <cell r="B145" t="str">
            <v>AL2016-BK 1.5L I/C STRAWBERRY MS (ASEM)</v>
          </cell>
          <cell r="C145">
            <v>1</v>
          </cell>
          <cell r="D145" t="str">
            <v>INJ</v>
          </cell>
          <cell r="E145" t="str">
            <v>SM240</v>
          </cell>
          <cell r="F145">
            <v>33</v>
          </cell>
          <cell r="G145"/>
          <cell r="H145">
            <v>33</v>
          </cell>
          <cell r="I145">
            <v>14.1</v>
          </cell>
        </row>
        <row r="146">
          <cell r="A146">
            <v>453973</v>
          </cell>
          <cell r="B146" t="str">
            <v>AL2016-BK 1.5L I/C SWEET CORN MS (ASEM)</v>
          </cell>
          <cell r="C146">
            <v>1</v>
          </cell>
          <cell r="D146" t="str">
            <v>INJ</v>
          </cell>
          <cell r="E146" t="str">
            <v>SM240</v>
          </cell>
          <cell r="F146">
            <v>33</v>
          </cell>
          <cell r="G146"/>
          <cell r="H146">
            <v>33</v>
          </cell>
          <cell r="I146">
            <v>14.1</v>
          </cell>
        </row>
        <row r="147">
          <cell r="A147">
            <v>453974</v>
          </cell>
          <cell r="B147" t="str">
            <v>AL2016-BK 1.5L I/C VANILLA MS (ASEM)</v>
          </cell>
          <cell r="C147">
            <v>1</v>
          </cell>
          <cell r="D147" t="str">
            <v>INJ</v>
          </cell>
          <cell r="E147" t="str">
            <v>SM240</v>
          </cell>
          <cell r="F147">
            <v>33</v>
          </cell>
          <cell r="G147"/>
          <cell r="H147">
            <v>33</v>
          </cell>
          <cell r="I147">
            <v>14.1</v>
          </cell>
        </row>
        <row r="148">
          <cell r="A148">
            <v>453975</v>
          </cell>
          <cell r="B148" t="str">
            <v>AL2016-BK 1.5L I/C YAM MS (ASEM)</v>
          </cell>
          <cell r="C148">
            <v>1</v>
          </cell>
          <cell r="D148" t="str">
            <v>INJ</v>
          </cell>
          <cell r="E148" t="str">
            <v>SM240</v>
          </cell>
          <cell r="F148">
            <v>33</v>
          </cell>
          <cell r="G148"/>
          <cell r="H148">
            <v>33</v>
          </cell>
          <cell r="I148">
            <v>14.1</v>
          </cell>
        </row>
        <row r="149">
          <cell r="A149">
            <v>454159</v>
          </cell>
          <cell r="B149" t="str">
            <v>AL2016-BK 1.5LTR I/C LID (BLACK) W/O LBL</v>
          </cell>
          <cell r="C149">
            <v>1</v>
          </cell>
          <cell r="D149" t="str">
            <v>INJ</v>
          </cell>
          <cell r="E149" t="str">
            <v>HDPE1010J</v>
          </cell>
          <cell r="F149">
            <v>32</v>
          </cell>
          <cell r="G149"/>
          <cell r="H149">
            <v>32</v>
          </cell>
          <cell r="I149">
            <v>14.1</v>
          </cell>
        </row>
        <row r="150">
          <cell r="A150">
            <v>453799</v>
          </cell>
          <cell r="B150" t="str">
            <v>AL2016-WH 2LTR I/C LID (WHITE)</v>
          </cell>
          <cell r="C150">
            <v>1</v>
          </cell>
          <cell r="D150" t="str">
            <v>INJ</v>
          </cell>
          <cell r="E150" t="str">
            <v>SM240</v>
          </cell>
          <cell r="F150">
            <v>32</v>
          </cell>
          <cell r="G150"/>
          <cell r="H150">
            <v>32</v>
          </cell>
          <cell r="I150">
            <v>14.1</v>
          </cell>
        </row>
        <row r="151">
          <cell r="A151">
            <v>453800</v>
          </cell>
          <cell r="B151" t="str">
            <v>AL3016-BL 3KG COVER (BLUE)</v>
          </cell>
          <cell r="C151">
            <v>1</v>
          </cell>
          <cell r="D151" t="str">
            <v>INJ</v>
          </cell>
          <cell r="E151" t="str">
            <v>SM240</v>
          </cell>
          <cell r="F151">
            <v>41.2</v>
          </cell>
          <cell r="G151"/>
          <cell r="H151">
            <v>41.2</v>
          </cell>
          <cell r="I151">
            <v>23</v>
          </cell>
        </row>
        <row r="152">
          <cell r="A152">
            <v>453801</v>
          </cell>
          <cell r="B152" t="str">
            <v>AL3016-SL 3KG COVER (SILVER)</v>
          </cell>
          <cell r="C152">
            <v>1</v>
          </cell>
          <cell r="D152" t="str">
            <v>INJ</v>
          </cell>
          <cell r="E152" t="str">
            <v>SM240</v>
          </cell>
          <cell r="F152">
            <v>41.2</v>
          </cell>
          <cell r="G152"/>
          <cell r="H152">
            <v>41.2</v>
          </cell>
          <cell r="I152">
            <v>23</v>
          </cell>
        </row>
        <row r="153">
          <cell r="A153">
            <v>453802</v>
          </cell>
          <cell r="B153" t="str">
            <v>AL3016-YL 3KG COVER (YELLOW)</v>
          </cell>
          <cell r="C153">
            <v>1</v>
          </cell>
          <cell r="D153" t="str">
            <v>INJ</v>
          </cell>
          <cell r="E153" t="str">
            <v>SM240</v>
          </cell>
          <cell r="F153">
            <v>41.2</v>
          </cell>
          <cell r="G153"/>
          <cell r="H153">
            <v>41.2</v>
          </cell>
          <cell r="I153">
            <v>23</v>
          </cell>
        </row>
        <row r="154">
          <cell r="A154">
            <v>454213</v>
          </cell>
          <cell r="B154" t="str">
            <v>AL3021-NA 3LTR LID (NATURAL)</v>
          </cell>
          <cell r="C154">
            <v>1</v>
          </cell>
          <cell r="D154" t="str">
            <v>INJ</v>
          </cell>
          <cell r="E154" t="str">
            <v>LLDPE6201</v>
          </cell>
          <cell r="F154">
            <v>33</v>
          </cell>
          <cell r="G154"/>
          <cell r="H154">
            <v>33</v>
          </cell>
          <cell r="I154">
            <v>14</v>
          </cell>
        </row>
        <row r="155">
          <cell r="A155">
            <v>454226</v>
          </cell>
          <cell r="B155" t="str">
            <v>AL4021-WH 4LTR RECT I/C LID (WHITE)</v>
          </cell>
          <cell r="C155">
            <v>1</v>
          </cell>
          <cell r="D155" t="str">
            <v>INJ</v>
          </cell>
          <cell r="E155" t="str">
            <v>LLDPE6201</v>
          </cell>
          <cell r="F155">
            <v>66</v>
          </cell>
          <cell r="G155"/>
          <cell r="H155">
            <v>64.7</v>
          </cell>
          <cell r="I155">
            <v>19.100000000000001</v>
          </cell>
        </row>
        <row r="156">
          <cell r="A156">
            <v>459351</v>
          </cell>
          <cell r="B156" t="str">
            <v>AL4507-BLK 38MM CAP (BLACK)</v>
          </cell>
          <cell r="C156">
            <v>4</v>
          </cell>
          <cell r="D156" t="str">
            <v>INJ</v>
          </cell>
          <cell r="E156" t="str">
            <v>SM6331</v>
          </cell>
          <cell r="F156">
            <v>4.6999999999999993</v>
          </cell>
          <cell r="G156"/>
          <cell r="H156">
            <v>4.72</v>
          </cell>
          <cell r="I156">
            <v>14.9</v>
          </cell>
        </row>
        <row r="157">
          <cell r="A157">
            <v>453803</v>
          </cell>
          <cell r="B157" t="str">
            <v>AL4507-BL 38MM CAP (BLUE)</v>
          </cell>
          <cell r="C157">
            <v>4</v>
          </cell>
          <cell r="D157" t="str">
            <v>INJ</v>
          </cell>
          <cell r="E157" t="str">
            <v>SM6331</v>
          </cell>
          <cell r="F157">
            <v>4.6999999999999993</v>
          </cell>
          <cell r="G157"/>
          <cell r="H157">
            <v>4.72</v>
          </cell>
          <cell r="I157">
            <v>14.9</v>
          </cell>
        </row>
        <row r="158">
          <cell r="A158">
            <v>524918</v>
          </cell>
          <cell r="B158" t="str">
            <v>AL4507-BL 38MM CAP (L.BLUE)</v>
          </cell>
          <cell r="C158">
            <v>4</v>
          </cell>
          <cell r="D158" t="str">
            <v>INJ</v>
          </cell>
          <cell r="E158" t="str">
            <v>SM6331</v>
          </cell>
          <cell r="F158">
            <v>4.6999999999999993</v>
          </cell>
          <cell r="G158"/>
          <cell r="H158">
            <v>4.7</v>
          </cell>
          <cell r="I158">
            <v>16.5</v>
          </cell>
        </row>
        <row r="159">
          <cell r="A159">
            <v>453804</v>
          </cell>
          <cell r="B159" t="str">
            <v>AL4507-GR 38MM CAP (GREEN)</v>
          </cell>
          <cell r="C159">
            <v>4</v>
          </cell>
          <cell r="D159" t="str">
            <v>INJ</v>
          </cell>
          <cell r="E159" t="str">
            <v>SM6331</v>
          </cell>
          <cell r="F159">
            <v>4.6999999999999993</v>
          </cell>
          <cell r="G159"/>
          <cell r="H159">
            <v>4.7</v>
          </cell>
          <cell r="I159">
            <v>14.9</v>
          </cell>
        </row>
        <row r="160">
          <cell r="A160">
            <v>453805</v>
          </cell>
          <cell r="B160" t="str">
            <v>AL4507-RD 38MM CAP (RED)</v>
          </cell>
          <cell r="C160">
            <v>4</v>
          </cell>
          <cell r="D160" t="str">
            <v>INJ</v>
          </cell>
          <cell r="E160" t="str">
            <v>SM6331</v>
          </cell>
          <cell r="F160">
            <v>4.6999999999999993</v>
          </cell>
          <cell r="G160"/>
          <cell r="H160">
            <v>4.7</v>
          </cell>
          <cell r="I160">
            <v>14.9</v>
          </cell>
        </row>
        <row r="161">
          <cell r="A161">
            <v>453806</v>
          </cell>
          <cell r="B161" t="str">
            <v>AL4507-WH 38MM CAP (WHITE)</v>
          </cell>
          <cell r="C161">
            <v>4</v>
          </cell>
          <cell r="D161" t="str">
            <v>INJ</v>
          </cell>
          <cell r="E161" t="str">
            <v>SM6331</v>
          </cell>
          <cell r="F161">
            <v>4.6999999999999993</v>
          </cell>
          <cell r="G161"/>
          <cell r="H161">
            <v>4.7</v>
          </cell>
          <cell r="I161">
            <v>14.9</v>
          </cell>
        </row>
        <row r="162">
          <cell r="A162">
            <v>453807</v>
          </cell>
          <cell r="B162" t="str">
            <v>AL6017-WH 6LTR I/C LID (WHITE)</v>
          </cell>
          <cell r="C162">
            <v>1</v>
          </cell>
          <cell r="D162" t="str">
            <v>INJ</v>
          </cell>
          <cell r="E162" t="str">
            <v>SM240</v>
          </cell>
          <cell r="F162">
            <v>57.7</v>
          </cell>
          <cell r="G162"/>
          <cell r="H162">
            <v>62.4</v>
          </cell>
          <cell r="I162">
            <v>19.2</v>
          </cell>
        </row>
        <row r="163">
          <cell r="A163">
            <v>453976</v>
          </cell>
          <cell r="B163" t="str">
            <v>AL6018-WH 6LTR I/C LID (WHITE)</v>
          </cell>
          <cell r="C163">
            <v>1</v>
          </cell>
          <cell r="D163" t="str">
            <v>INJ</v>
          </cell>
          <cell r="E163" t="str">
            <v>LLDPE6201</v>
          </cell>
          <cell r="F163">
            <v>62</v>
          </cell>
          <cell r="G163"/>
          <cell r="H163">
            <v>62.3</v>
          </cell>
          <cell r="I163">
            <v>16.5</v>
          </cell>
        </row>
        <row r="164">
          <cell r="A164">
            <v>453991</v>
          </cell>
          <cell r="B164" t="str">
            <v>AL6020-WH 6LTR/1.5GAL I/C LID (WHITE)</v>
          </cell>
          <cell r="C164">
            <v>1</v>
          </cell>
          <cell r="D164" t="str">
            <v>INJ</v>
          </cell>
          <cell r="E164" t="str">
            <v>LLDPE6201</v>
          </cell>
          <cell r="F164">
            <v>65.5</v>
          </cell>
          <cell r="G164"/>
          <cell r="H164">
            <v>62.4</v>
          </cell>
          <cell r="I164">
            <v>19.899999999999999</v>
          </cell>
        </row>
        <row r="165">
          <cell r="A165">
            <v>453808</v>
          </cell>
          <cell r="B165" t="str">
            <v>AL6021-NA 6LTR RECT I/C LID (NATURAL)</v>
          </cell>
          <cell r="C165">
            <v>1</v>
          </cell>
          <cell r="D165" t="str">
            <v>INJ</v>
          </cell>
          <cell r="E165" t="str">
            <v>SM240</v>
          </cell>
          <cell r="F165">
            <v>70.099999999999994</v>
          </cell>
          <cell r="G165"/>
          <cell r="H165">
            <v>71</v>
          </cell>
          <cell r="I165">
            <v>19.7</v>
          </cell>
        </row>
        <row r="166">
          <cell r="A166">
            <v>454281</v>
          </cell>
          <cell r="B166" t="str">
            <v>AT0030-GR 20ML CUP (GREEN)</v>
          </cell>
          <cell r="C166">
            <v>2</v>
          </cell>
          <cell r="D166" t="str">
            <v>INJ</v>
          </cell>
          <cell r="E166" t="str">
            <v>SM398</v>
          </cell>
          <cell r="F166">
            <v>5.7</v>
          </cell>
          <cell r="G166"/>
          <cell r="H166">
            <v>5</v>
          </cell>
          <cell r="I166">
            <v>12.9</v>
          </cell>
        </row>
        <row r="167">
          <cell r="A167">
            <v>454280</v>
          </cell>
          <cell r="B167" t="str">
            <v>AT0030-OR 20ML CUP (ORANGE)</v>
          </cell>
          <cell r="C167">
            <v>2</v>
          </cell>
          <cell r="D167" t="str">
            <v>INJ</v>
          </cell>
          <cell r="E167" t="str">
            <v>SM398</v>
          </cell>
          <cell r="F167">
            <v>5.7</v>
          </cell>
          <cell r="G167"/>
          <cell r="H167">
            <v>5</v>
          </cell>
          <cell r="I167">
            <v>12.9</v>
          </cell>
        </row>
        <row r="168">
          <cell r="A168">
            <v>456142</v>
          </cell>
          <cell r="B168" t="str">
            <v>AT0129-BK 120ML I/C TUB (BLACK)</v>
          </cell>
          <cell r="C168">
            <v>1</v>
          </cell>
          <cell r="D168" t="str">
            <v>INJ</v>
          </cell>
          <cell r="E168" t="str">
            <v>SM240</v>
          </cell>
          <cell r="F168">
            <v>11.3</v>
          </cell>
          <cell r="G168"/>
          <cell r="H168">
            <v>11.57</v>
          </cell>
          <cell r="I168">
            <v>3.5</v>
          </cell>
        </row>
        <row r="169">
          <cell r="A169">
            <v>454178</v>
          </cell>
          <cell r="B169" t="str">
            <v>AT0129-NA 120ML I/C TUB (NATURAL)</v>
          </cell>
          <cell r="C169">
            <v>6</v>
          </cell>
          <cell r="D169" t="str">
            <v>INJ</v>
          </cell>
          <cell r="E169" t="str">
            <v>SM241</v>
          </cell>
          <cell r="F169">
            <v>11.3</v>
          </cell>
          <cell r="G169"/>
          <cell r="H169">
            <v>11.3</v>
          </cell>
          <cell r="I169">
            <v>21</v>
          </cell>
        </row>
        <row r="170">
          <cell r="A170">
            <v>453813</v>
          </cell>
          <cell r="B170" t="str">
            <v>AT0137-WH 100GM NAZRI CONTAINER (WHITE)</v>
          </cell>
          <cell r="C170">
            <v>2</v>
          </cell>
          <cell r="D170" t="str">
            <v>INJ</v>
          </cell>
          <cell r="E170" t="str">
            <v>PP6331</v>
          </cell>
          <cell r="F170">
            <v>12.8</v>
          </cell>
          <cell r="G170"/>
          <cell r="H170">
            <v>12.8</v>
          </cell>
          <cell r="I170">
            <v>13</v>
          </cell>
        </row>
        <row r="171">
          <cell r="A171">
            <v>453814</v>
          </cell>
          <cell r="B171" t="str">
            <v>AT0151-NA 150ML I/C CUP (NATURAL)</v>
          </cell>
          <cell r="C171">
            <v>4</v>
          </cell>
          <cell r="D171" t="str">
            <v>INJ</v>
          </cell>
          <cell r="E171" t="str">
            <v>SM6331</v>
          </cell>
          <cell r="F171">
            <v>12.1</v>
          </cell>
          <cell r="G171"/>
          <cell r="H171">
            <v>12.4</v>
          </cell>
          <cell r="I171">
            <v>19.399999999999999</v>
          </cell>
        </row>
        <row r="172">
          <cell r="A172">
            <v>454145</v>
          </cell>
          <cell r="B172" t="str">
            <v>AT0151-NA 150ML I/C CUP (RASAMEWA)</v>
          </cell>
          <cell r="C172">
            <v>4</v>
          </cell>
          <cell r="D172" t="str">
            <v>INJ</v>
          </cell>
          <cell r="E172" t="str">
            <v>SM6331</v>
          </cell>
          <cell r="F172">
            <v>12.1</v>
          </cell>
          <cell r="G172"/>
          <cell r="H172">
            <v>12.1</v>
          </cell>
          <cell r="I172">
            <v>19.399999999999999</v>
          </cell>
        </row>
        <row r="173">
          <cell r="A173">
            <v>454146</v>
          </cell>
          <cell r="B173" t="str">
            <v>AT0151-NA 150ML I/C CUP (SUNTOLIA)</v>
          </cell>
          <cell r="C173">
            <v>4</v>
          </cell>
          <cell r="D173" t="str">
            <v>INJ</v>
          </cell>
          <cell r="E173" t="str">
            <v>PP6331</v>
          </cell>
          <cell r="F173">
            <v>12.1</v>
          </cell>
          <cell r="G173"/>
          <cell r="H173">
            <v>12.1</v>
          </cell>
          <cell r="I173">
            <v>19.399999999999999</v>
          </cell>
        </row>
        <row r="174">
          <cell r="A174">
            <v>453815</v>
          </cell>
          <cell r="B174" t="str">
            <v>AT0161-BK 160ML I/C CUP (BLACK)</v>
          </cell>
          <cell r="C174">
            <v>2</v>
          </cell>
          <cell r="D174" t="str">
            <v>INJ</v>
          </cell>
          <cell r="E174" t="str">
            <v>SM240</v>
          </cell>
          <cell r="F174">
            <v>16.2</v>
          </cell>
          <cell r="G174"/>
          <cell r="H174">
            <v>16.2</v>
          </cell>
          <cell r="I174">
            <v>15.7</v>
          </cell>
        </row>
        <row r="175">
          <cell r="A175">
            <v>453816</v>
          </cell>
          <cell r="B175" t="str">
            <v>AT0161-NA 160ML I/C CUP (NATURAL)</v>
          </cell>
          <cell r="C175">
            <v>2</v>
          </cell>
          <cell r="D175" t="str">
            <v>INJ</v>
          </cell>
          <cell r="E175" t="str">
            <v>SM240</v>
          </cell>
          <cell r="F175">
            <v>16.2</v>
          </cell>
          <cell r="G175"/>
          <cell r="H175">
            <v>16.2</v>
          </cell>
          <cell r="I175">
            <v>15.7</v>
          </cell>
        </row>
        <row r="176">
          <cell r="A176">
            <v>453817</v>
          </cell>
          <cell r="B176" t="str">
            <v>AT0161-NA MINI SUNDAE CUP (NATURAL)</v>
          </cell>
          <cell r="C176">
            <v>2</v>
          </cell>
          <cell r="D176" t="str">
            <v>INJ</v>
          </cell>
          <cell r="E176" t="str">
            <v>SM240</v>
          </cell>
          <cell r="F176">
            <v>16.2</v>
          </cell>
          <cell r="G176"/>
          <cell r="H176">
            <v>16.2</v>
          </cell>
          <cell r="I176">
            <v>15.7</v>
          </cell>
        </row>
        <row r="177">
          <cell r="A177">
            <v>453820</v>
          </cell>
          <cell r="B177" t="str">
            <v>AT0215-NA 200ML PP CUP (NATURAL)</v>
          </cell>
          <cell r="C177">
            <v>1</v>
          </cell>
          <cell r="D177" t="str">
            <v>INJ</v>
          </cell>
          <cell r="E177" t="str">
            <v>SM398</v>
          </cell>
          <cell r="F177">
            <v>20</v>
          </cell>
          <cell r="G177"/>
          <cell r="H177">
            <v>20</v>
          </cell>
          <cell r="I177">
            <v>17.600000000000001</v>
          </cell>
        </row>
        <row r="178">
          <cell r="A178">
            <v>454282</v>
          </cell>
          <cell r="B178" t="str">
            <v>AT0257-WH 250ML TUB (WHITE)</v>
          </cell>
          <cell r="C178">
            <v>1</v>
          </cell>
          <cell r="D178" t="str">
            <v>INJ</v>
          </cell>
          <cell r="E178" t="str">
            <v>SM240</v>
          </cell>
          <cell r="F178">
            <v>21</v>
          </cell>
          <cell r="G178"/>
          <cell r="H178">
            <v>21</v>
          </cell>
          <cell r="I178">
            <v>14</v>
          </cell>
        </row>
        <row r="179">
          <cell r="A179">
            <v>453821</v>
          </cell>
          <cell r="B179" t="str">
            <v>AT0386-WH HERBAL JELLY TUB (WHITE)</v>
          </cell>
          <cell r="C179">
            <v>2</v>
          </cell>
          <cell r="D179" t="str">
            <v>INJ</v>
          </cell>
          <cell r="E179" t="str">
            <v>SM240</v>
          </cell>
          <cell r="F179">
            <v>21</v>
          </cell>
          <cell r="G179"/>
          <cell r="H179">
            <v>21</v>
          </cell>
          <cell r="I179">
            <v>14</v>
          </cell>
        </row>
        <row r="180">
          <cell r="A180">
            <v>566823</v>
          </cell>
          <cell r="B180" t="str">
            <v>AT0416-NA 400ml I/C TUB (NATURAL)</v>
          </cell>
          <cell r="C180">
            <v>0</v>
          </cell>
          <cell r="D180" t="str">
            <v>INJ</v>
          </cell>
          <cell r="E180" t="str">
            <v>SM240</v>
          </cell>
          <cell r="F180">
            <v>18.5</v>
          </cell>
          <cell r="G180"/>
          <cell r="H180">
            <v>18.5</v>
          </cell>
          <cell r="I180">
            <v>22.2</v>
          </cell>
        </row>
        <row r="181">
          <cell r="A181">
            <v>453825</v>
          </cell>
          <cell r="B181" t="str">
            <v>AT0473-BK 473ML I/C TUB (BLACK)</v>
          </cell>
          <cell r="C181">
            <v>1</v>
          </cell>
          <cell r="D181" t="str">
            <v>INJ</v>
          </cell>
          <cell r="E181" t="str">
            <v>SM240</v>
          </cell>
          <cell r="F181">
            <v>23.2</v>
          </cell>
          <cell r="G181"/>
          <cell r="H181">
            <v>23.2</v>
          </cell>
          <cell r="I181">
            <v>14</v>
          </cell>
        </row>
        <row r="182">
          <cell r="A182">
            <v>454195</v>
          </cell>
          <cell r="B182" t="str">
            <v>AT0473-NA 473ml I/C TUB (NATURAL)</v>
          </cell>
          <cell r="C182">
            <v>1</v>
          </cell>
          <cell r="D182" t="str">
            <v>INJ</v>
          </cell>
          <cell r="E182" t="str">
            <v>SM240</v>
          </cell>
          <cell r="F182">
            <v>23.2</v>
          </cell>
          <cell r="G182"/>
          <cell r="H182">
            <v>23.2</v>
          </cell>
          <cell r="I182">
            <v>14</v>
          </cell>
        </row>
        <row r="183">
          <cell r="A183">
            <v>554978</v>
          </cell>
          <cell r="B183" t="str">
            <v>AT0473-VL 473ML I/C TUB (VIOLET)</v>
          </cell>
          <cell r="C183">
            <v>2</v>
          </cell>
          <cell r="D183" t="str">
            <v>INJ</v>
          </cell>
          <cell r="E183" t="str">
            <v>SM240</v>
          </cell>
          <cell r="F183">
            <v>23.2</v>
          </cell>
          <cell r="G183"/>
          <cell r="H183">
            <v>23.2</v>
          </cell>
          <cell r="I183">
            <v>30</v>
          </cell>
        </row>
        <row r="184">
          <cell r="A184">
            <v>453826</v>
          </cell>
          <cell r="B184" t="str">
            <v>AT0473-WH 473ML I/C TUB (WHITE)</v>
          </cell>
          <cell r="C184">
            <v>1</v>
          </cell>
          <cell r="D184" t="str">
            <v>INJ</v>
          </cell>
          <cell r="E184" t="str">
            <v>SM240</v>
          </cell>
          <cell r="F184">
            <v>23.2</v>
          </cell>
          <cell r="G184"/>
          <cell r="H184">
            <v>24.32</v>
          </cell>
          <cell r="I184">
            <v>14</v>
          </cell>
        </row>
        <row r="185">
          <cell r="A185">
            <v>453827</v>
          </cell>
          <cell r="B185" t="str">
            <v>AT0473-YL 473ML I/C TUB (YELLOW)</v>
          </cell>
          <cell r="C185">
            <v>1</v>
          </cell>
          <cell r="D185" t="str">
            <v>INJ</v>
          </cell>
          <cell r="E185" t="str">
            <v>SM240</v>
          </cell>
          <cell r="F185">
            <v>23.2</v>
          </cell>
          <cell r="G185"/>
          <cell r="H185">
            <v>23.2</v>
          </cell>
          <cell r="I185">
            <v>14</v>
          </cell>
        </row>
        <row r="186">
          <cell r="A186">
            <v>453828</v>
          </cell>
          <cell r="B186" t="str">
            <v>AT0507-BL 500ML I/C TUB (BLUE)</v>
          </cell>
          <cell r="C186">
            <v>1</v>
          </cell>
          <cell r="D186" t="str">
            <v>INJ</v>
          </cell>
          <cell r="E186" t="str">
            <v>HDPE1010J</v>
          </cell>
          <cell r="F186">
            <v>24.2</v>
          </cell>
          <cell r="G186"/>
          <cell r="H186">
            <v>24.2</v>
          </cell>
          <cell r="I186">
            <v>13.6</v>
          </cell>
        </row>
        <row r="187">
          <cell r="A187">
            <v>453829</v>
          </cell>
          <cell r="B187" t="str">
            <v>AT0507-GR 500ML I/C TUB (GREEN)</v>
          </cell>
          <cell r="C187">
            <v>1</v>
          </cell>
          <cell r="D187" t="str">
            <v>INJ</v>
          </cell>
          <cell r="E187" t="str">
            <v>HDPE1010J</v>
          </cell>
          <cell r="F187">
            <v>24.2</v>
          </cell>
          <cell r="G187"/>
          <cell r="H187">
            <v>24.2</v>
          </cell>
          <cell r="I187">
            <v>11.9</v>
          </cell>
        </row>
        <row r="188">
          <cell r="A188">
            <v>453830</v>
          </cell>
          <cell r="B188" t="str">
            <v>AT0507-PK 500ML I/C TUB (PINK)</v>
          </cell>
          <cell r="C188">
            <v>1</v>
          </cell>
          <cell r="D188" t="str">
            <v>INJ</v>
          </cell>
          <cell r="E188" t="str">
            <v>HDPE1010J</v>
          </cell>
          <cell r="F188">
            <v>24.2</v>
          </cell>
          <cell r="G188"/>
          <cell r="H188">
            <v>24.2</v>
          </cell>
          <cell r="I188">
            <v>13.6</v>
          </cell>
        </row>
        <row r="189">
          <cell r="A189">
            <v>453831</v>
          </cell>
          <cell r="B189" t="str">
            <v>AT0507-WH 500ML I/C TUB (WHITE)</v>
          </cell>
          <cell r="C189">
            <v>1</v>
          </cell>
          <cell r="D189" t="str">
            <v>INJ</v>
          </cell>
          <cell r="E189" t="str">
            <v>HDPE1010J</v>
          </cell>
          <cell r="F189">
            <v>24.2</v>
          </cell>
          <cell r="G189"/>
          <cell r="H189">
            <v>24.2</v>
          </cell>
          <cell r="I189">
            <v>11.9</v>
          </cell>
        </row>
        <row r="190">
          <cell r="A190">
            <v>453832</v>
          </cell>
          <cell r="B190" t="str">
            <v>AT0507-YL 500ML I/C TUB (YELLOW)</v>
          </cell>
          <cell r="C190">
            <v>1</v>
          </cell>
          <cell r="D190" t="str">
            <v>INJ</v>
          </cell>
          <cell r="E190" t="str">
            <v>HDPE1010J</v>
          </cell>
          <cell r="F190">
            <v>24.2</v>
          </cell>
          <cell r="G190"/>
          <cell r="H190">
            <v>24.2</v>
          </cell>
          <cell r="I190">
            <v>13.6</v>
          </cell>
        </row>
        <row r="191">
          <cell r="A191">
            <v>453833</v>
          </cell>
          <cell r="B191" t="str">
            <v>AT0556-GR 500ML I/C TUB (GREEN)</v>
          </cell>
          <cell r="C191">
            <v>1</v>
          </cell>
          <cell r="D191" t="str">
            <v>INJ</v>
          </cell>
          <cell r="E191" t="str">
            <v>SM240</v>
          </cell>
          <cell r="F191">
            <v>24</v>
          </cell>
          <cell r="G191"/>
          <cell r="H191">
            <v>24</v>
          </cell>
          <cell r="I191">
            <v>14</v>
          </cell>
        </row>
        <row r="192">
          <cell r="A192">
            <v>454174</v>
          </cell>
          <cell r="B192" t="str">
            <v>AT0597-BK 500ML I/C TUB (BLACK)</v>
          </cell>
          <cell r="C192">
            <v>1</v>
          </cell>
          <cell r="D192" t="str">
            <v>INJ</v>
          </cell>
          <cell r="E192" t="str">
            <v>SM240</v>
          </cell>
          <cell r="F192">
            <v>24</v>
          </cell>
          <cell r="G192"/>
          <cell r="H192">
            <v>24</v>
          </cell>
          <cell r="I192">
            <v>13.7</v>
          </cell>
        </row>
        <row r="193">
          <cell r="A193">
            <v>454197</v>
          </cell>
          <cell r="B193" t="str">
            <v>AT0597-BL 500ML I/C TUB (BLUE)</v>
          </cell>
          <cell r="C193">
            <v>1</v>
          </cell>
          <cell r="D193" t="str">
            <v>INJ</v>
          </cell>
          <cell r="E193" t="str">
            <v>SM240</v>
          </cell>
          <cell r="F193">
            <v>24</v>
          </cell>
          <cell r="G193"/>
          <cell r="H193">
            <v>24</v>
          </cell>
          <cell r="I193">
            <v>13.7</v>
          </cell>
        </row>
        <row r="194">
          <cell r="A194">
            <v>453835</v>
          </cell>
          <cell r="B194" t="str">
            <v>AT0597-NA 500ML I/C TUB (NATURAL)</v>
          </cell>
          <cell r="C194">
            <v>1</v>
          </cell>
          <cell r="D194" t="str">
            <v>INJ</v>
          </cell>
          <cell r="E194" t="str">
            <v>SM240</v>
          </cell>
          <cell r="F194">
            <v>24</v>
          </cell>
          <cell r="G194"/>
          <cell r="H194">
            <v>24</v>
          </cell>
          <cell r="I194">
            <v>13.7</v>
          </cell>
        </row>
        <row r="195">
          <cell r="A195">
            <v>453836</v>
          </cell>
          <cell r="B195" t="str">
            <v>AT0597-WH 500ML I/C TUB (WHITE)</v>
          </cell>
          <cell r="C195">
            <v>1</v>
          </cell>
          <cell r="D195" t="str">
            <v>INJ</v>
          </cell>
          <cell r="E195" t="str">
            <v>SM240</v>
          </cell>
          <cell r="F195">
            <v>24</v>
          </cell>
          <cell r="G195"/>
          <cell r="H195">
            <v>24.6</v>
          </cell>
          <cell r="I195">
            <v>13.7</v>
          </cell>
        </row>
        <row r="196">
          <cell r="A196">
            <v>453837</v>
          </cell>
          <cell r="B196" t="str">
            <v>AT0712-NA 800ML I/C TUB (NATURAL)</v>
          </cell>
          <cell r="C196">
            <v>1</v>
          </cell>
          <cell r="D196" t="str">
            <v>INJ</v>
          </cell>
          <cell r="E196" t="str">
            <v>SM240</v>
          </cell>
          <cell r="F196">
            <v>32.6</v>
          </cell>
          <cell r="G196"/>
          <cell r="H196">
            <v>32.6</v>
          </cell>
          <cell r="I196">
            <v>12.5</v>
          </cell>
        </row>
        <row r="197">
          <cell r="A197">
            <v>454218</v>
          </cell>
          <cell r="B197" t="str">
            <v>AT0823-NA 750ML I/C TUB (NATURAL)</v>
          </cell>
          <cell r="C197">
            <v>1</v>
          </cell>
          <cell r="D197" t="str">
            <v>INJ</v>
          </cell>
          <cell r="E197" t="str">
            <v>SM240</v>
          </cell>
          <cell r="F197">
            <v>33</v>
          </cell>
          <cell r="G197"/>
          <cell r="H197">
            <v>33</v>
          </cell>
          <cell r="I197">
            <v>14</v>
          </cell>
        </row>
        <row r="198">
          <cell r="A198">
            <v>453839</v>
          </cell>
          <cell r="B198" t="str">
            <v>AT0926-BK 1LTR I/C TUB (BLACK)</v>
          </cell>
          <cell r="C198">
            <v>1</v>
          </cell>
          <cell r="D198" t="str">
            <v>INJ</v>
          </cell>
          <cell r="E198" t="str">
            <v>SM240</v>
          </cell>
          <cell r="F198">
            <v>36</v>
          </cell>
          <cell r="G198"/>
          <cell r="H198">
            <v>36</v>
          </cell>
          <cell r="I198">
            <v>12.5</v>
          </cell>
        </row>
        <row r="199">
          <cell r="A199">
            <v>453840</v>
          </cell>
          <cell r="B199" t="str">
            <v>AT0926-GR 1LTR I/C TUB (GREEN)</v>
          </cell>
          <cell r="C199">
            <v>1</v>
          </cell>
          <cell r="D199" t="str">
            <v>INJ</v>
          </cell>
          <cell r="E199" t="str">
            <v>SM240</v>
          </cell>
          <cell r="F199">
            <v>36</v>
          </cell>
          <cell r="G199"/>
          <cell r="H199">
            <v>34.5</v>
          </cell>
          <cell r="I199">
            <v>12.5</v>
          </cell>
        </row>
        <row r="200">
          <cell r="A200">
            <v>453841</v>
          </cell>
          <cell r="B200" t="str">
            <v>AT0926-NA 1LTR I/C TUB (NATURAL)</v>
          </cell>
          <cell r="C200">
            <v>1</v>
          </cell>
          <cell r="D200" t="str">
            <v>INJ</v>
          </cell>
          <cell r="E200" t="str">
            <v>SM240</v>
          </cell>
          <cell r="F200">
            <v>36</v>
          </cell>
          <cell r="G200"/>
          <cell r="H200">
            <v>36</v>
          </cell>
          <cell r="I200">
            <v>12.5</v>
          </cell>
        </row>
        <row r="201">
          <cell r="A201">
            <v>454254</v>
          </cell>
          <cell r="B201" t="str">
            <v>AT1015-NA HARWANY PLASTIC BOX (NATURAL)</v>
          </cell>
          <cell r="C201">
            <v>1</v>
          </cell>
          <cell r="D201" t="str">
            <v>INJ</v>
          </cell>
          <cell r="E201" t="str">
            <v>HDPE1010J</v>
          </cell>
          <cell r="F201">
            <v>87</v>
          </cell>
          <cell r="G201"/>
          <cell r="H201">
            <v>87</v>
          </cell>
          <cell r="I201">
            <v>24</v>
          </cell>
        </row>
        <row r="202">
          <cell r="A202">
            <v>454169</v>
          </cell>
          <cell r="B202" t="str">
            <v>AT1026-NA 1LTR I/C TUB (NATURAL)</v>
          </cell>
          <cell r="C202">
            <v>1</v>
          </cell>
          <cell r="D202" t="str">
            <v>INJ</v>
          </cell>
          <cell r="E202" t="str">
            <v>SM240</v>
          </cell>
          <cell r="F202">
            <v>41</v>
          </cell>
          <cell r="G202"/>
          <cell r="H202">
            <v>41</v>
          </cell>
          <cell r="I202">
            <v>14</v>
          </cell>
        </row>
        <row r="203">
          <cell r="A203">
            <v>453842</v>
          </cell>
          <cell r="B203" t="str">
            <v>AT1163-BK INSTANT NOODLE BOWL (BLACK)</v>
          </cell>
          <cell r="C203">
            <v>2</v>
          </cell>
          <cell r="D203" t="str">
            <v>INJ</v>
          </cell>
          <cell r="E203" t="str">
            <v>PP6331</v>
          </cell>
          <cell r="F203">
            <v>33</v>
          </cell>
          <cell r="G203"/>
          <cell r="H203">
            <v>33</v>
          </cell>
          <cell r="I203">
            <v>20</v>
          </cell>
        </row>
        <row r="204">
          <cell r="A204">
            <v>453843</v>
          </cell>
          <cell r="B204" t="str">
            <v>AT1203-WH 1.25LTR I/C TUB (WHITE)</v>
          </cell>
          <cell r="C204">
            <v>1</v>
          </cell>
          <cell r="D204" t="str">
            <v>INJ</v>
          </cell>
          <cell r="E204" t="str">
            <v>SM240</v>
          </cell>
          <cell r="F204">
            <v>40</v>
          </cell>
          <cell r="G204"/>
          <cell r="H204">
            <v>40</v>
          </cell>
          <cell r="I204">
            <v>12</v>
          </cell>
        </row>
        <row r="205">
          <cell r="A205">
            <v>453844</v>
          </cell>
          <cell r="B205" t="str">
            <v>AT1255-VL 1.25LTR I/C TUB (VIOLET)</v>
          </cell>
          <cell r="C205">
            <v>1</v>
          </cell>
          <cell r="D205" t="str">
            <v>INJ</v>
          </cell>
          <cell r="E205" t="str">
            <v>HDPE1010J</v>
          </cell>
          <cell r="F205">
            <v>48.5</v>
          </cell>
          <cell r="G205"/>
          <cell r="H205">
            <v>51</v>
          </cell>
          <cell r="I205">
            <v>15.5</v>
          </cell>
        </row>
        <row r="206">
          <cell r="A206">
            <v>453845</v>
          </cell>
          <cell r="B206" t="str">
            <v>AT1255-YL 1.25LTR I/C TUB (YELLOW)</v>
          </cell>
          <cell r="C206">
            <v>1</v>
          </cell>
          <cell r="D206" t="str">
            <v>INJ</v>
          </cell>
          <cell r="E206" t="str">
            <v>HDPE1010J</v>
          </cell>
          <cell r="F206">
            <v>48.5</v>
          </cell>
          <cell r="G206"/>
          <cell r="H206">
            <v>51.04</v>
          </cell>
          <cell r="I206">
            <v>15.5</v>
          </cell>
        </row>
        <row r="207">
          <cell r="A207">
            <v>453846</v>
          </cell>
          <cell r="B207" t="str">
            <v>AT1257-OR 1.25LTR I/C TUB (ORANGE)</v>
          </cell>
          <cell r="C207">
            <v>1</v>
          </cell>
          <cell r="D207" t="str">
            <v>INJ</v>
          </cell>
          <cell r="E207" t="str">
            <v>SM240</v>
          </cell>
          <cell r="F207">
            <v>44.599999999999994</v>
          </cell>
          <cell r="G207"/>
          <cell r="H207">
            <v>38.5</v>
          </cell>
          <cell r="I207">
            <v>12.7</v>
          </cell>
        </row>
        <row r="208">
          <cell r="A208">
            <v>453847</v>
          </cell>
          <cell r="B208" t="str">
            <v>AT1257-WH 1.25LTR I/C TUB (WHITE)</v>
          </cell>
          <cell r="C208">
            <v>1</v>
          </cell>
          <cell r="D208" t="str">
            <v>INJ</v>
          </cell>
          <cell r="E208" t="str">
            <v>SM240</v>
          </cell>
          <cell r="F208">
            <v>44.599999999999994</v>
          </cell>
          <cell r="G208"/>
          <cell r="H208">
            <v>44.599999999999994</v>
          </cell>
          <cell r="I208">
            <v>12.7</v>
          </cell>
        </row>
        <row r="209">
          <cell r="A209">
            <v>454187</v>
          </cell>
          <cell r="B209" t="str">
            <v>AT1510-WH 1.5LTR I/C TUB (WHITE)</v>
          </cell>
          <cell r="C209">
            <v>1</v>
          </cell>
          <cell r="D209" t="str">
            <v>INJ</v>
          </cell>
          <cell r="E209" t="str">
            <v>HDPE1010J</v>
          </cell>
          <cell r="F209">
            <v>56.8</v>
          </cell>
          <cell r="G209"/>
          <cell r="H209">
            <v>58</v>
          </cell>
          <cell r="I209">
            <v>14.4</v>
          </cell>
        </row>
        <row r="210">
          <cell r="A210">
            <v>453848</v>
          </cell>
          <cell r="B210" t="str">
            <v>AT1512-WH 1.5LTR I/C TUB (WHITE)</v>
          </cell>
          <cell r="C210">
            <v>1</v>
          </cell>
          <cell r="D210" t="str">
            <v>INJ</v>
          </cell>
          <cell r="E210" t="str">
            <v>SM240</v>
          </cell>
          <cell r="F210">
            <v>56.800000000000004</v>
          </cell>
          <cell r="G210"/>
          <cell r="H210">
            <v>56.800000000000004</v>
          </cell>
          <cell r="I210">
            <v>15.7</v>
          </cell>
        </row>
        <row r="211">
          <cell r="A211">
            <v>453849</v>
          </cell>
          <cell r="B211" t="str">
            <v>AT1521-BR 1.5LTR I/C TUB (BROWN)</v>
          </cell>
          <cell r="C211">
            <v>1</v>
          </cell>
          <cell r="D211" t="str">
            <v>INJ</v>
          </cell>
          <cell r="E211" t="str">
            <v>SM240</v>
          </cell>
          <cell r="F211">
            <v>50.2</v>
          </cell>
          <cell r="G211"/>
          <cell r="H211">
            <v>50.2</v>
          </cell>
          <cell r="I211">
            <v>15</v>
          </cell>
        </row>
        <row r="212">
          <cell r="A212">
            <v>454203</v>
          </cell>
          <cell r="B212" t="str">
            <v>AT1521-RD 1.5LTR I/C TUB (RED)</v>
          </cell>
          <cell r="C212">
            <v>1</v>
          </cell>
          <cell r="D212" t="str">
            <v>INJ</v>
          </cell>
          <cell r="E212" t="str">
            <v>SM240</v>
          </cell>
          <cell r="F212">
            <v>50.2</v>
          </cell>
          <cell r="G212"/>
          <cell r="H212">
            <v>50.2</v>
          </cell>
          <cell r="I212">
            <v>15</v>
          </cell>
        </row>
        <row r="213">
          <cell r="A213">
            <v>453850</v>
          </cell>
          <cell r="B213" t="str">
            <v>AT1521-YL 1.5LTR I/C TUB (YELLOW)</v>
          </cell>
          <cell r="C213">
            <v>1</v>
          </cell>
          <cell r="D213" t="str">
            <v>INJ</v>
          </cell>
          <cell r="E213" t="str">
            <v>SM240</v>
          </cell>
          <cell r="F213">
            <v>50.2</v>
          </cell>
          <cell r="G213"/>
          <cell r="H213">
            <v>50.2</v>
          </cell>
          <cell r="I213">
            <v>15</v>
          </cell>
        </row>
        <row r="214">
          <cell r="A214">
            <v>453851</v>
          </cell>
          <cell r="B214" t="str">
            <v>AT1537-BK 1.5LTR I/C TUB (BLACK)</v>
          </cell>
          <cell r="C214">
            <v>1</v>
          </cell>
          <cell r="D214" t="str">
            <v>INJ</v>
          </cell>
          <cell r="E214" t="str">
            <v>SM240</v>
          </cell>
          <cell r="F214">
            <v>53.2</v>
          </cell>
          <cell r="G214"/>
          <cell r="H214">
            <v>53.2</v>
          </cell>
          <cell r="I214">
            <v>13.7</v>
          </cell>
        </row>
        <row r="215">
          <cell r="A215">
            <v>456285</v>
          </cell>
          <cell r="B215" t="str">
            <v>AT1537-GD 1.5LTR I/C TUB (GOLD)</v>
          </cell>
          <cell r="C215">
            <v>1</v>
          </cell>
          <cell r="D215" t="str">
            <v>INJ</v>
          </cell>
          <cell r="E215" t="str">
            <v>SM240</v>
          </cell>
          <cell r="F215">
            <v>53.2</v>
          </cell>
          <cell r="G215"/>
          <cell r="H215">
            <v>51</v>
          </cell>
          <cell r="I215">
            <v>13.7</v>
          </cell>
        </row>
        <row r="216">
          <cell r="A216">
            <v>453852</v>
          </cell>
          <cell r="B216" t="str">
            <v>AT1537-GR 1.5LTR I/C TUB (GREEN)</v>
          </cell>
          <cell r="C216">
            <v>1</v>
          </cell>
          <cell r="D216" t="str">
            <v>INJ</v>
          </cell>
          <cell r="E216" t="str">
            <v>SM240</v>
          </cell>
          <cell r="F216">
            <v>53.2</v>
          </cell>
          <cell r="G216"/>
          <cell r="H216">
            <v>49.4</v>
          </cell>
          <cell r="I216">
            <v>13.7</v>
          </cell>
        </row>
        <row r="217">
          <cell r="A217">
            <v>454202</v>
          </cell>
          <cell r="B217" t="str">
            <v>AT1537-WH 1.5LTR BIG VALUE I/C TUB</v>
          </cell>
          <cell r="C217">
            <v>1</v>
          </cell>
          <cell r="D217" t="str">
            <v>INJ</v>
          </cell>
          <cell r="E217" t="str">
            <v>SM240</v>
          </cell>
          <cell r="F217">
            <v>53.2</v>
          </cell>
          <cell r="G217"/>
          <cell r="H217">
            <v>51.64</v>
          </cell>
          <cell r="I217">
            <v>13.8</v>
          </cell>
        </row>
        <row r="218">
          <cell r="A218">
            <v>453853</v>
          </cell>
          <cell r="B218" t="str">
            <v>AT1556-GD 1.5LTR CREMO I/C TUB (GOLD)</v>
          </cell>
          <cell r="C218">
            <v>1</v>
          </cell>
          <cell r="D218" t="str">
            <v>INJ</v>
          </cell>
          <cell r="E218" t="str">
            <v>SM240</v>
          </cell>
          <cell r="F218">
            <v>52.2</v>
          </cell>
          <cell r="G218"/>
          <cell r="H218">
            <v>52</v>
          </cell>
          <cell r="I218">
            <v>13.6</v>
          </cell>
        </row>
        <row r="219">
          <cell r="A219">
            <v>453854</v>
          </cell>
          <cell r="B219" t="str">
            <v>AT1586-VL 1.5LTR I/C TUB (VIOLET)</v>
          </cell>
          <cell r="C219">
            <v>1</v>
          </cell>
          <cell r="D219" t="str">
            <v>INJ</v>
          </cell>
          <cell r="E219" t="str">
            <v>SM240</v>
          </cell>
          <cell r="F219">
            <v>52</v>
          </cell>
          <cell r="G219"/>
          <cell r="H219">
            <v>52.14</v>
          </cell>
          <cell r="I219">
            <v>15</v>
          </cell>
        </row>
        <row r="220">
          <cell r="A220">
            <v>453855</v>
          </cell>
          <cell r="B220" t="str">
            <v>AT1586-YL 1.5LTR I/C TUB (YELLOW)</v>
          </cell>
          <cell r="C220">
            <v>1</v>
          </cell>
          <cell r="D220" t="str">
            <v>INJ</v>
          </cell>
          <cell r="E220" t="str">
            <v>SM240</v>
          </cell>
          <cell r="F220">
            <v>52</v>
          </cell>
          <cell r="G220"/>
          <cell r="H220">
            <v>51.4</v>
          </cell>
          <cell r="I220">
            <v>15</v>
          </cell>
        </row>
        <row r="221">
          <cell r="A221">
            <v>453856</v>
          </cell>
          <cell r="B221" t="str">
            <v>AT2012-BL 2LTR I/C TUB (BLUE)</v>
          </cell>
          <cell r="C221">
            <v>1</v>
          </cell>
          <cell r="D221" t="str">
            <v>INJ</v>
          </cell>
          <cell r="E221" t="str">
            <v>SM240</v>
          </cell>
          <cell r="F221">
            <v>80.8</v>
          </cell>
          <cell r="G221"/>
          <cell r="H221">
            <v>81</v>
          </cell>
          <cell r="I221">
            <v>14.9</v>
          </cell>
        </row>
        <row r="222">
          <cell r="A222">
            <v>453857</v>
          </cell>
          <cell r="B222" t="str">
            <v>AT2016-WH 2LTR I/C TUB (WHITE)</v>
          </cell>
          <cell r="C222">
            <v>1</v>
          </cell>
          <cell r="D222" t="str">
            <v>INJ</v>
          </cell>
          <cell r="E222" t="str">
            <v>SM240</v>
          </cell>
          <cell r="F222">
            <v>74</v>
          </cell>
          <cell r="G222"/>
          <cell r="H222">
            <v>74</v>
          </cell>
          <cell r="I222">
            <v>24</v>
          </cell>
        </row>
        <row r="223">
          <cell r="A223">
            <v>453858</v>
          </cell>
          <cell r="B223" t="str">
            <v>AT2017-BK 2LTR I/C TUB (BLACK)</v>
          </cell>
          <cell r="C223">
            <v>1</v>
          </cell>
          <cell r="D223" t="str">
            <v>INJ</v>
          </cell>
          <cell r="E223" t="str">
            <v>SM240</v>
          </cell>
          <cell r="F223">
            <v>60</v>
          </cell>
          <cell r="G223"/>
          <cell r="H223">
            <v>60.5</v>
          </cell>
          <cell r="I223">
            <v>15</v>
          </cell>
        </row>
        <row r="224">
          <cell r="A224">
            <v>453859</v>
          </cell>
          <cell r="B224" t="str">
            <v>AT2017-BL 2LTR I/C TUB (BLUE)</v>
          </cell>
          <cell r="C224">
            <v>1</v>
          </cell>
          <cell r="D224" t="str">
            <v>INJ</v>
          </cell>
          <cell r="E224" t="str">
            <v>SM240</v>
          </cell>
          <cell r="F224">
            <v>60</v>
          </cell>
          <cell r="G224"/>
          <cell r="H224">
            <v>60</v>
          </cell>
          <cell r="I224">
            <v>15</v>
          </cell>
        </row>
        <row r="225">
          <cell r="A225">
            <v>453860</v>
          </cell>
          <cell r="B225" t="str">
            <v>AT2017-GR 2LTR I/C TUB (GREEN)</v>
          </cell>
          <cell r="C225">
            <v>1</v>
          </cell>
          <cell r="D225" t="str">
            <v>INJ</v>
          </cell>
          <cell r="E225" t="str">
            <v>SM240</v>
          </cell>
          <cell r="F225">
            <v>60</v>
          </cell>
          <cell r="G225"/>
          <cell r="H225">
            <v>60.15</v>
          </cell>
          <cell r="I225">
            <v>15</v>
          </cell>
        </row>
        <row r="226">
          <cell r="A226">
            <v>453861</v>
          </cell>
          <cell r="B226" t="str">
            <v>AT2017-NA 2LTR I/C TUB (NATURAL)</v>
          </cell>
          <cell r="C226">
            <v>1</v>
          </cell>
          <cell r="D226" t="str">
            <v>INJ</v>
          </cell>
          <cell r="E226" t="str">
            <v>SM240</v>
          </cell>
          <cell r="F226">
            <v>60</v>
          </cell>
          <cell r="G226"/>
          <cell r="H226">
            <v>60</v>
          </cell>
          <cell r="I226">
            <v>15</v>
          </cell>
        </row>
        <row r="227">
          <cell r="A227">
            <v>453862</v>
          </cell>
          <cell r="B227" t="str">
            <v>AT3016-BL 3KG CONTAINER (BLUE)</v>
          </cell>
          <cell r="C227">
            <v>1</v>
          </cell>
          <cell r="D227" t="str">
            <v>INJ</v>
          </cell>
          <cell r="E227" t="str">
            <v>SM240</v>
          </cell>
          <cell r="F227">
            <v>117.5</v>
          </cell>
          <cell r="G227"/>
          <cell r="H227">
            <v>117.5</v>
          </cell>
          <cell r="I227">
            <v>18</v>
          </cell>
        </row>
        <row r="228">
          <cell r="A228">
            <v>453864</v>
          </cell>
          <cell r="B228" t="str">
            <v>AT3016-YL 3KG CONTAINER (YELLOW)</v>
          </cell>
          <cell r="C228">
            <v>1</v>
          </cell>
          <cell r="D228" t="str">
            <v>INJ</v>
          </cell>
          <cell r="E228" t="str">
            <v>SM240</v>
          </cell>
          <cell r="F228">
            <v>117.5</v>
          </cell>
          <cell r="G228"/>
          <cell r="H228">
            <v>117.5</v>
          </cell>
          <cell r="I228">
            <v>18</v>
          </cell>
        </row>
        <row r="229">
          <cell r="A229">
            <v>454214</v>
          </cell>
          <cell r="B229" t="str">
            <v>AT3021-RD 3LTR TUB (RED)</v>
          </cell>
          <cell r="C229">
            <v>1</v>
          </cell>
          <cell r="D229" t="str">
            <v>INJ</v>
          </cell>
          <cell r="E229" t="str">
            <v>SM240</v>
          </cell>
          <cell r="F229">
            <v>118</v>
          </cell>
          <cell r="G229"/>
          <cell r="H229">
            <v>118</v>
          </cell>
          <cell r="I229">
            <v>46.4</v>
          </cell>
        </row>
        <row r="230">
          <cell r="A230">
            <v>454215</v>
          </cell>
          <cell r="B230" t="str">
            <v>AT3021-WH 3LTR TUB (WHITE)</v>
          </cell>
          <cell r="C230">
            <v>1</v>
          </cell>
          <cell r="D230" t="str">
            <v>INJ</v>
          </cell>
          <cell r="E230" t="str">
            <v>SM240</v>
          </cell>
          <cell r="F230">
            <v>118</v>
          </cell>
          <cell r="G230"/>
          <cell r="H230">
            <v>117.67</v>
          </cell>
          <cell r="I230">
            <v>46.4</v>
          </cell>
        </row>
        <row r="231">
          <cell r="A231">
            <v>454225</v>
          </cell>
          <cell r="B231" t="str">
            <v>AT4021-WH 4LTR REC I/C TUB (WHITE)</v>
          </cell>
          <cell r="C231">
            <v>1</v>
          </cell>
          <cell r="D231" t="str">
            <v>INJ</v>
          </cell>
          <cell r="E231" t="str">
            <v>SM240</v>
          </cell>
          <cell r="F231">
            <v>60</v>
          </cell>
          <cell r="G231"/>
          <cell r="H231">
            <v>60</v>
          </cell>
          <cell r="I231">
            <v>25</v>
          </cell>
        </row>
        <row r="232">
          <cell r="A232">
            <v>453990</v>
          </cell>
          <cell r="B232" t="str">
            <v>AT6018-WH 6LTR BUDS I/C TUB (WHITE)</v>
          </cell>
          <cell r="C232">
            <v>1</v>
          </cell>
          <cell r="D232" t="str">
            <v>INJ</v>
          </cell>
          <cell r="E232" t="str">
            <v>SM240</v>
          </cell>
          <cell r="F232">
            <v>177</v>
          </cell>
          <cell r="G232"/>
          <cell r="H232">
            <v>177</v>
          </cell>
          <cell r="I232">
            <v>24</v>
          </cell>
        </row>
        <row r="233">
          <cell r="A233">
            <v>584529</v>
          </cell>
          <cell r="B233" t="str">
            <v>AT6018-WH 6LTR BUDS I/C TUB (WHITE) 2.0</v>
          </cell>
          <cell r="C233">
            <v>1</v>
          </cell>
          <cell r="D233" t="str">
            <v>INJ</v>
          </cell>
          <cell r="E233" t="str">
            <v>SM240</v>
          </cell>
          <cell r="F233">
            <v>177</v>
          </cell>
          <cell r="G233"/>
          <cell r="H233"/>
          <cell r="I233">
            <v>24</v>
          </cell>
        </row>
        <row r="234">
          <cell r="A234">
            <v>476794</v>
          </cell>
          <cell r="B234" t="str">
            <v>AY0067-NA 60ML PLASTIC SCOOP</v>
          </cell>
          <cell r="C234">
            <v>2</v>
          </cell>
          <cell r="D234" t="str">
            <v>INJ</v>
          </cell>
          <cell r="E234" t="str">
            <v>SM398</v>
          </cell>
          <cell r="F234">
            <v>9.9</v>
          </cell>
          <cell r="G234"/>
          <cell r="H234">
            <v>10.5</v>
          </cell>
          <cell r="I234">
            <v>11.6</v>
          </cell>
        </row>
        <row r="235">
          <cell r="A235">
            <v>588241</v>
          </cell>
          <cell r="B235" t="str">
            <v>AY0102 RUBBER INSERT (NATURAL) (S)</v>
          </cell>
          <cell r="C235">
            <v>0</v>
          </cell>
          <cell r="D235" t="str">
            <v>INJ</v>
          </cell>
          <cell r="E235" t="str">
            <v>PT560</v>
          </cell>
          <cell r="F235">
            <v>2.0880000000000001</v>
          </cell>
          <cell r="G235"/>
          <cell r="H235"/>
          <cell r="I235">
            <v>17</v>
          </cell>
        </row>
        <row r="236">
          <cell r="A236">
            <v>480195</v>
          </cell>
          <cell r="B236" t="str">
            <v>AY0102 RUBBER INSERT (NATURAL) (V)</v>
          </cell>
          <cell r="C236">
            <v>4</v>
          </cell>
          <cell r="D236" t="str">
            <v>INJ</v>
          </cell>
          <cell r="E236" t="str">
            <v>PT560</v>
          </cell>
          <cell r="F236">
            <v>2.2000000000000002</v>
          </cell>
          <cell r="G236"/>
          <cell r="H236">
            <v>1.5</v>
          </cell>
          <cell r="I236">
            <v>17</v>
          </cell>
        </row>
        <row r="237">
          <cell r="A237">
            <v>453878</v>
          </cell>
          <cell r="B237" t="str">
            <v>AY0715-BR 1KG HONEY HANDLE (BROWN)</v>
          </cell>
          <cell r="C237">
            <v>4</v>
          </cell>
          <cell r="D237" t="str">
            <v>INJ</v>
          </cell>
          <cell r="E237" t="str">
            <v>PP6331</v>
          </cell>
          <cell r="F237">
            <v>4.3999999999999995</v>
          </cell>
          <cell r="G237"/>
          <cell r="H237">
            <v>4.3999999999999995</v>
          </cell>
          <cell r="I237">
            <v>17</v>
          </cell>
        </row>
        <row r="238">
          <cell r="A238">
            <v>453879</v>
          </cell>
          <cell r="B238" t="str">
            <v>AY0751-YL 1KG HONEY HANDLE (YELLOW)</v>
          </cell>
          <cell r="C238">
            <v>4</v>
          </cell>
          <cell r="D238" t="str">
            <v>INJ</v>
          </cell>
          <cell r="E238" t="str">
            <v>SM6331</v>
          </cell>
          <cell r="F238">
            <v>4.3999999999999995</v>
          </cell>
          <cell r="G238"/>
          <cell r="H238">
            <v>4.3</v>
          </cell>
          <cell r="I238">
            <v>17</v>
          </cell>
        </row>
        <row r="239">
          <cell r="A239">
            <v>454198</v>
          </cell>
          <cell r="B239" t="str">
            <v>AY0921-NA INSERT (NATURAL)</v>
          </cell>
          <cell r="C239">
            <v>8</v>
          </cell>
          <cell r="D239" t="str">
            <v>INJ</v>
          </cell>
          <cell r="E239" t="str">
            <v>LLDPE6201</v>
          </cell>
          <cell r="F239">
            <v>1.8</v>
          </cell>
          <cell r="G239"/>
          <cell r="H239">
            <v>1.8</v>
          </cell>
          <cell r="I239">
            <v>32.799999999999997</v>
          </cell>
        </row>
        <row r="240">
          <cell r="A240">
            <v>621407</v>
          </cell>
          <cell r="B240" t="str">
            <v>T-0226-BR-HERS-PP</v>
          </cell>
          <cell r="C240">
            <v>2</v>
          </cell>
          <cell r="D240" t="str">
            <v>INJ</v>
          </cell>
          <cell r="E240" t="str">
            <v>SM840</v>
          </cell>
          <cell r="F240">
            <v>27.8</v>
          </cell>
          <cell r="G240"/>
          <cell r="H240">
            <v>27.8</v>
          </cell>
          <cell r="I240">
            <v>17.8</v>
          </cell>
        </row>
        <row r="241">
          <cell r="A241">
            <v>621409</v>
          </cell>
          <cell r="B241" t="str">
            <v>L-0226-BR-HERS-PP</v>
          </cell>
          <cell r="C241">
            <v>4</v>
          </cell>
          <cell r="D241" t="str">
            <v>INJ</v>
          </cell>
          <cell r="E241" t="str">
            <v>SM840</v>
          </cell>
          <cell r="F241">
            <v>7</v>
          </cell>
          <cell r="G241"/>
          <cell r="H241">
            <v>7</v>
          </cell>
          <cell r="I241">
            <v>40</v>
          </cell>
        </row>
        <row r="242">
          <cell r="A242">
            <v>322439</v>
          </cell>
          <cell r="B242" t="str">
            <v>BA28-0355-A-Q-CL</v>
          </cell>
          <cell r="C242">
            <v>4</v>
          </cell>
          <cell r="D242" t="str">
            <v>ISBM</v>
          </cell>
          <cell r="E242" t="str">
            <v>PET</v>
          </cell>
          <cell r="F242">
            <v>30.2</v>
          </cell>
          <cell r="G242"/>
          <cell r="H242">
            <v>30.2</v>
          </cell>
          <cell r="I242">
            <v>27</v>
          </cell>
        </row>
        <row r="243">
          <cell r="A243">
            <v>322456</v>
          </cell>
          <cell r="B243" t="str">
            <v>BA28-0500-S-Q-CL</v>
          </cell>
          <cell r="C243">
            <v>4</v>
          </cell>
          <cell r="D243" t="str">
            <v>ISBM</v>
          </cell>
          <cell r="E243" t="str">
            <v>PET</v>
          </cell>
          <cell r="F243">
            <v>26.1</v>
          </cell>
          <cell r="G243"/>
          <cell r="H243">
            <v>26.1</v>
          </cell>
          <cell r="I243">
            <v>22</v>
          </cell>
        </row>
        <row r="244">
          <cell r="A244">
            <v>322462</v>
          </cell>
          <cell r="B244" t="str">
            <v>BA28-0550-UP-S-CL</v>
          </cell>
          <cell r="C244">
            <v>4</v>
          </cell>
          <cell r="D244" t="str">
            <v>ISBM</v>
          </cell>
          <cell r="E244" t="str">
            <v>PET</v>
          </cell>
          <cell r="F244">
            <v>41.9</v>
          </cell>
          <cell r="G244"/>
          <cell r="H244">
            <v>41.9</v>
          </cell>
          <cell r="I244">
            <v>22</v>
          </cell>
        </row>
        <row r="245">
          <cell r="A245">
            <v>322463</v>
          </cell>
          <cell r="B245" t="str">
            <v>BA28-0600-R-R-CL</v>
          </cell>
          <cell r="C245">
            <v>4</v>
          </cell>
          <cell r="D245" t="str">
            <v>ISBM</v>
          </cell>
          <cell r="E245" t="str">
            <v>PET</v>
          </cell>
          <cell r="F245">
            <v>40</v>
          </cell>
          <cell r="G245"/>
          <cell r="H245">
            <v>40</v>
          </cell>
          <cell r="I245">
            <v>22</v>
          </cell>
        </row>
        <row r="246">
          <cell r="A246">
            <v>322465</v>
          </cell>
          <cell r="B246" t="str">
            <v>BA28-0640-R-R-CL</v>
          </cell>
          <cell r="C246">
            <v>4</v>
          </cell>
          <cell r="D246" t="str">
            <v>ISBM</v>
          </cell>
          <cell r="E246" t="str">
            <v>PET</v>
          </cell>
          <cell r="F246">
            <v>30.1</v>
          </cell>
          <cell r="G246"/>
          <cell r="H246">
            <v>30.1</v>
          </cell>
          <cell r="I246">
            <v>24</v>
          </cell>
        </row>
        <row r="247">
          <cell r="A247">
            <v>322482</v>
          </cell>
          <cell r="B247" t="str">
            <v>BA28-1100-UP-S-CL</v>
          </cell>
          <cell r="C247">
            <v>4</v>
          </cell>
          <cell r="D247" t="str">
            <v>ISBM</v>
          </cell>
          <cell r="E247" t="str">
            <v>PET</v>
          </cell>
          <cell r="F247">
            <v>51.2</v>
          </cell>
          <cell r="G247"/>
          <cell r="H247">
            <v>31</v>
          </cell>
          <cell r="I247">
            <v>17.68</v>
          </cell>
        </row>
        <row r="248">
          <cell r="A248">
            <v>601608</v>
          </cell>
          <cell r="B248" t="str">
            <v>BA32-0640-R2-R-CL</v>
          </cell>
          <cell r="C248">
            <v>4</v>
          </cell>
          <cell r="D248" t="str">
            <v>ISBM</v>
          </cell>
          <cell r="E248" t="str">
            <v>PET</v>
          </cell>
          <cell r="F248">
            <v>32</v>
          </cell>
          <cell r="G248"/>
          <cell r="H248">
            <v>32</v>
          </cell>
          <cell r="I248">
            <v>27.6</v>
          </cell>
        </row>
        <row r="249">
          <cell r="A249">
            <v>523813</v>
          </cell>
          <cell r="B249" t="str">
            <v>BA32-0750-W-R-CL</v>
          </cell>
          <cell r="C249">
            <v>4</v>
          </cell>
          <cell r="D249" t="str">
            <v>ISBM</v>
          </cell>
          <cell r="E249" t="str">
            <v>PET</v>
          </cell>
          <cell r="F249">
            <v>40.799999999999997</v>
          </cell>
          <cell r="G249"/>
          <cell r="H249">
            <v>41.3</v>
          </cell>
          <cell r="I249">
            <v>22</v>
          </cell>
        </row>
        <row r="250">
          <cell r="A250">
            <v>532976</v>
          </cell>
          <cell r="B250" t="str">
            <v>BA32-1000-R1-R-CL</v>
          </cell>
          <cell r="C250">
            <v>4</v>
          </cell>
          <cell r="D250" t="str">
            <v>ISBM</v>
          </cell>
          <cell r="E250" t="str">
            <v>PET</v>
          </cell>
          <cell r="F250">
            <v>41.6</v>
          </cell>
          <cell r="G250"/>
          <cell r="H250">
            <v>41.5</v>
          </cell>
          <cell r="I250">
            <v>25.56</v>
          </cell>
        </row>
        <row r="251">
          <cell r="A251">
            <v>606768</v>
          </cell>
          <cell r="B251" t="str">
            <v>BA32-1000-R2-R-CL-KKM</v>
          </cell>
          <cell r="C251">
            <v>4</v>
          </cell>
          <cell r="D251" t="str">
            <v>ISBM</v>
          </cell>
          <cell r="E251" t="str">
            <v>PET</v>
          </cell>
          <cell r="F251">
            <v>32</v>
          </cell>
          <cell r="G251"/>
          <cell r="H251">
            <v>32</v>
          </cell>
          <cell r="I251">
            <v>25.56</v>
          </cell>
        </row>
        <row r="252">
          <cell r="A252">
            <v>379514</v>
          </cell>
          <cell r="B252" t="str">
            <v>BA32-1000-R-R-CL</v>
          </cell>
          <cell r="C252">
            <v>4</v>
          </cell>
          <cell r="D252" t="str">
            <v>ISBM</v>
          </cell>
          <cell r="E252" t="str">
            <v>PET</v>
          </cell>
          <cell r="F252">
            <v>40</v>
          </cell>
          <cell r="G252"/>
          <cell r="H252">
            <v>41.13</v>
          </cell>
          <cell r="I252">
            <v>23.2</v>
          </cell>
        </row>
        <row r="253">
          <cell r="A253">
            <v>322478</v>
          </cell>
          <cell r="B253" t="str">
            <v>BA32-1000-S-S-CL</v>
          </cell>
          <cell r="C253">
            <v>4</v>
          </cell>
          <cell r="D253" t="str">
            <v>ISBM</v>
          </cell>
          <cell r="E253" t="str">
            <v>PET</v>
          </cell>
          <cell r="F253">
            <v>41.5</v>
          </cell>
          <cell r="G253"/>
          <cell r="H253">
            <v>30.5</v>
          </cell>
          <cell r="I253">
            <v>24</v>
          </cell>
        </row>
        <row r="254">
          <cell r="A254">
            <v>504598</v>
          </cell>
          <cell r="B254" t="str">
            <v>BAA28-0265-AA-SCC-CL</v>
          </cell>
          <cell r="C254">
            <v>4</v>
          </cell>
          <cell r="D254" t="str">
            <v>ISBM</v>
          </cell>
          <cell r="E254" t="str">
            <v>PET</v>
          </cell>
          <cell r="F254">
            <v>28</v>
          </cell>
          <cell r="G254"/>
          <cell r="H254">
            <v>30.2</v>
          </cell>
          <cell r="I254">
            <v>22.24</v>
          </cell>
        </row>
        <row r="255">
          <cell r="A255">
            <v>324162</v>
          </cell>
          <cell r="B255" t="str">
            <v>BAA28-0355-A-Q-CL</v>
          </cell>
          <cell r="C255">
            <v>4</v>
          </cell>
          <cell r="D255" t="str">
            <v>ISBM</v>
          </cell>
          <cell r="E255" t="str">
            <v>PET</v>
          </cell>
          <cell r="F255">
            <v>28</v>
          </cell>
          <cell r="G255"/>
          <cell r="H255">
            <v>30.5</v>
          </cell>
          <cell r="I255">
            <v>28.08</v>
          </cell>
        </row>
        <row r="256">
          <cell r="A256">
            <v>340461</v>
          </cell>
          <cell r="B256" t="str">
            <v>BAA28-0355-AR-Q-CL</v>
          </cell>
          <cell r="C256">
            <v>4</v>
          </cell>
          <cell r="D256" t="str">
            <v>ISBM</v>
          </cell>
          <cell r="E256" t="str">
            <v>PET</v>
          </cell>
          <cell r="F256">
            <v>24.9</v>
          </cell>
          <cell r="G256"/>
          <cell r="H256">
            <v>29.6</v>
          </cell>
          <cell r="I256">
            <v>28.04</v>
          </cell>
        </row>
        <row r="257">
          <cell r="A257">
            <v>324863</v>
          </cell>
          <cell r="B257" t="str">
            <v>BAA28-0355-FFN3-Q-CL</v>
          </cell>
          <cell r="C257">
            <v>4</v>
          </cell>
          <cell r="D257" t="str">
            <v>ISBM</v>
          </cell>
          <cell r="E257" t="str">
            <v>PET</v>
          </cell>
          <cell r="F257">
            <v>30.4</v>
          </cell>
          <cell r="G257"/>
          <cell r="H257">
            <v>30.5</v>
          </cell>
          <cell r="I257">
            <v>28.4</v>
          </cell>
        </row>
        <row r="258">
          <cell r="A258">
            <v>343313</v>
          </cell>
          <cell r="B258" t="str">
            <v>BAA28-0355-FFN4-Q-CL</v>
          </cell>
          <cell r="C258">
            <v>4</v>
          </cell>
          <cell r="D258" t="str">
            <v>ISBM</v>
          </cell>
          <cell r="E258" t="str">
            <v>PET</v>
          </cell>
          <cell r="F258">
            <v>30.9</v>
          </cell>
          <cell r="G258"/>
          <cell r="H258">
            <v>12.5</v>
          </cell>
          <cell r="I258">
            <v>27.8</v>
          </cell>
        </row>
        <row r="259">
          <cell r="A259">
            <v>322440</v>
          </cell>
          <cell r="B259" t="str">
            <v>BAA28-0355-FFN-Q-CL</v>
          </cell>
          <cell r="C259">
            <v>4</v>
          </cell>
          <cell r="D259" t="str">
            <v>ISBM</v>
          </cell>
          <cell r="E259" t="str">
            <v>PET</v>
          </cell>
          <cell r="F259">
            <v>28</v>
          </cell>
          <cell r="G259"/>
          <cell r="H259">
            <v>30.4</v>
          </cell>
          <cell r="I259">
            <v>27</v>
          </cell>
        </row>
        <row r="260">
          <cell r="A260">
            <v>322384</v>
          </cell>
          <cell r="B260" t="str">
            <v>BB38-0060-R-R-AM</v>
          </cell>
          <cell r="C260">
            <v>4</v>
          </cell>
          <cell r="D260" t="str">
            <v>ISBM</v>
          </cell>
          <cell r="E260" t="str">
            <v>PET</v>
          </cell>
          <cell r="F260">
            <v>12.5</v>
          </cell>
          <cell r="G260"/>
          <cell r="H260">
            <v>12.5</v>
          </cell>
          <cell r="I260">
            <v>17.920000000000002</v>
          </cell>
        </row>
        <row r="261">
          <cell r="A261">
            <v>322383</v>
          </cell>
          <cell r="B261" t="str">
            <v>BB38-0060-R-R-CL</v>
          </cell>
          <cell r="C261">
            <v>4</v>
          </cell>
          <cell r="D261" t="str">
            <v>ISBM</v>
          </cell>
          <cell r="E261" t="str">
            <v>PET</v>
          </cell>
          <cell r="F261">
            <v>12.5</v>
          </cell>
          <cell r="G261"/>
          <cell r="H261">
            <v>12.5</v>
          </cell>
          <cell r="I261">
            <v>17.920000000000002</v>
          </cell>
        </row>
        <row r="262">
          <cell r="A262">
            <v>586058</v>
          </cell>
          <cell r="B262" t="str">
            <v>BB38-0060-R-R-WH</v>
          </cell>
          <cell r="C262">
            <v>4</v>
          </cell>
          <cell r="D262" t="str">
            <v>ISBM</v>
          </cell>
          <cell r="E262" t="str">
            <v>PET</v>
          </cell>
          <cell r="F262">
            <v>12.5</v>
          </cell>
          <cell r="G262"/>
          <cell r="H262">
            <v>12.5</v>
          </cell>
          <cell r="I262">
            <v>17.920000000000002</v>
          </cell>
        </row>
        <row r="263">
          <cell r="A263">
            <v>322390</v>
          </cell>
          <cell r="B263" t="str">
            <v>BB38-0090-R-R-AM</v>
          </cell>
          <cell r="C263">
            <v>4</v>
          </cell>
          <cell r="D263" t="str">
            <v>ISBM</v>
          </cell>
          <cell r="E263" t="str">
            <v>PET</v>
          </cell>
          <cell r="F263">
            <v>12.5</v>
          </cell>
          <cell r="G263"/>
          <cell r="H263">
            <v>12.5</v>
          </cell>
          <cell r="I263">
            <v>18.64</v>
          </cell>
        </row>
        <row r="264">
          <cell r="A264">
            <v>322389</v>
          </cell>
          <cell r="B264" t="str">
            <v>BB38-0090-R-R-CL</v>
          </cell>
          <cell r="C264">
            <v>4</v>
          </cell>
          <cell r="D264" t="str">
            <v>ISBM</v>
          </cell>
          <cell r="E264" t="str">
            <v>PET</v>
          </cell>
          <cell r="F264">
            <v>12.5</v>
          </cell>
          <cell r="G264"/>
          <cell r="H264">
            <v>12.5</v>
          </cell>
          <cell r="I264">
            <v>18.64</v>
          </cell>
        </row>
        <row r="265">
          <cell r="A265">
            <v>322403</v>
          </cell>
          <cell r="B265" t="str">
            <v>BB38-0145-C-R-CL</v>
          </cell>
          <cell r="C265">
            <v>4</v>
          </cell>
          <cell r="D265" t="str">
            <v>ISBM</v>
          </cell>
          <cell r="E265" t="str">
            <v>PET</v>
          </cell>
          <cell r="F265">
            <v>16</v>
          </cell>
          <cell r="G265"/>
          <cell r="H265">
            <v>16</v>
          </cell>
          <cell r="I265">
            <v>20</v>
          </cell>
        </row>
        <row r="266">
          <cell r="A266">
            <v>322404</v>
          </cell>
          <cell r="B266" t="str">
            <v>BB38-0150-C-R-CL</v>
          </cell>
          <cell r="C266">
            <v>4</v>
          </cell>
          <cell r="D266" t="str">
            <v>ISBM</v>
          </cell>
          <cell r="E266" t="str">
            <v>PET</v>
          </cell>
          <cell r="F266">
            <v>17</v>
          </cell>
          <cell r="G266"/>
          <cell r="H266">
            <v>16.899999999999999</v>
          </cell>
          <cell r="I266">
            <v>16</v>
          </cell>
        </row>
        <row r="267">
          <cell r="A267">
            <v>324194</v>
          </cell>
          <cell r="B267" t="str">
            <v>BB38-0165-RH-R-AM</v>
          </cell>
          <cell r="C267">
            <v>4</v>
          </cell>
          <cell r="D267" t="str">
            <v>ISBM</v>
          </cell>
          <cell r="E267" t="str">
            <v>PET</v>
          </cell>
          <cell r="F267">
            <v>17</v>
          </cell>
          <cell r="G267"/>
          <cell r="H267">
            <v>16.899999999999999</v>
          </cell>
          <cell r="I267">
            <v>18.32</v>
          </cell>
        </row>
        <row r="268">
          <cell r="A268">
            <v>322408</v>
          </cell>
          <cell r="B268" t="str">
            <v>BB38-0165-RH-R-CL</v>
          </cell>
          <cell r="C268">
            <v>4</v>
          </cell>
          <cell r="D268" t="str">
            <v>ISBM</v>
          </cell>
          <cell r="E268" t="str">
            <v>PET</v>
          </cell>
          <cell r="F268">
            <v>16</v>
          </cell>
          <cell r="G268"/>
          <cell r="H268">
            <v>16</v>
          </cell>
          <cell r="I268">
            <v>18.32</v>
          </cell>
        </row>
        <row r="269">
          <cell r="A269">
            <v>322491</v>
          </cell>
          <cell r="B269" t="str">
            <v>BB38-0250-FN-R-CL</v>
          </cell>
          <cell r="C269">
            <v>4</v>
          </cell>
          <cell r="D269" t="str">
            <v>ISBM</v>
          </cell>
          <cell r="E269" t="str">
            <v>PET</v>
          </cell>
          <cell r="F269">
            <v>21</v>
          </cell>
          <cell r="G269"/>
          <cell r="H269">
            <v>21</v>
          </cell>
          <cell r="I269">
            <v>17</v>
          </cell>
        </row>
        <row r="270">
          <cell r="A270">
            <v>322488</v>
          </cell>
          <cell r="B270" t="str">
            <v>BB38-0250-FS-R-CL</v>
          </cell>
          <cell r="C270">
            <v>4</v>
          </cell>
          <cell r="D270" t="str">
            <v>ISBM</v>
          </cell>
          <cell r="E270" t="str">
            <v>PET</v>
          </cell>
          <cell r="F270">
            <v>22.5</v>
          </cell>
          <cell r="G270"/>
          <cell r="H270">
            <v>20.6</v>
          </cell>
          <cell r="I270">
            <v>14</v>
          </cell>
        </row>
        <row r="271">
          <cell r="A271">
            <v>322490</v>
          </cell>
          <cell r="B271" t="str">
            <v>BB38-0250-RJ-R-CL</v>
          </cell>
          <cell r="C271">
            <v>4</v>
          </cell>
          <cell r="D271" t="str">
            <v>ISBM</v>
          </cell>
          <cell r="E271" t="str">
            <v>PET</v>
          </cell>
          <cell r="F271">
            <v>23</v>
          </cell>
          <cell r="G271"/>
          <cell r="H271">
            <v>23</v>
          </cell>
          <cell r="I271">
            <v>18.52</v>
          </cell>
        </row>
        <row r="272">
          <cell r="A272">
            <v>322486</v>
          </cell>
          <cell r="B272" t="str">
            <v>BB38-0250-RM-R-CL</v>
          </cell>
          <cell r="C272">
            <v>4</v>
          </cell>
          <cell r="D272" t="str">
            <v>ISBM</v>
          </cell>
          <cell r="E272" t="str">
            <v>PET</v>
          </cell>
          <cell r="F272">
            <v>27</v>
          </cell>
          <cell r="G272"/>
          <cell r="H272">
            <v>16.8</v>
          </cell>
          <cell r="I272">
            <v>24</v>
          </cell>
        </row>
        <row r="273">
          <cell r="A273">
            <v>322487</v>
          </cell>
          <cell r="B273" t="str">
            <v>BB38-0250-R-R-CL</v>
          </cell>
          <cell r="C273">
            <v>4</v>
          </cell>
          <cell r="D273" t="str">
            <v>ISBM</v>
          </cell>
          <cell r="E273" t="str">
            <v>PET</v>
          </cell>
          <cell r="F273">
            <v>27</v>
          </cell>
          <cell r="G273"/>
          <cell r="H273">
            <v>20.6</v>
          </cell>
          <cell r="I273">
            <v>24</v>
          </cell>
        </row>
        <row r="274">
          <cell r="A274">
            <v>324207</v>
          </cell>
          <cell r="B274" t="str">
            <v>BB38-0250-R-R-WH</v>
          </cell>
          <cell r="C274">
            <v>4</v>
          </cell>
          <cell r="D274" t="str">
            <v>ISBM</v>
          </cell>
          <cell r="E274" t="str">
            <v>PET</v>
          </cell>
          <cell r="F274">
            <v>27</v>
          </cell>
          <cell r="G274"/>
          <cell r="H274">
            <v>27</v>
          </cell>
          <cell r="I274">
            <v>18.32</v>
          </cell>
        </row>
        <row r="275">
          <cell r="A275">
            <v>324212</v>
          </cell>
          <cell r="B275" t="str">
            <v>BB38-0250-S-S-CL</v>
          </cell>
          <cell r="C275">
            <v>4</v>
          </cell>
          <cell r="D275" t="str">
            <v>ISBM</v>
          </cell>
          <cell r="E275" t="str">
            <v>PET</v>
          </cell>
          <cell r="F275">
            <v>16</v>
          </cell>
          <cell r="G275"/>
          <cell r="H275">
            <v>16</v>
          </cell>
          <cell r="I275">
            <v>18.32</v>
          </cell>
        </row>
        <row r="276">
          <cell r="A276">
            <v>322489</v>
          </cell>
          <cell r="B276" t="str">
            <v>BB38-0250-SS-R-CL</v>
          </cell>
          <cell r="C276">
            <v>4</v>
          </cell>
          <cell r="D276" t="str">
            <v>ISBM</v>
          </cell>
          <cell r="E276" t="str">
            <v>PET</v>
          </cell>
          <cell r="F276">
            <v>20</v>
          </cell>
          <cell r="G276"/>
          <cell r="H276">
            <v>27.5</v>
          </cell>
          <cell r="I276">
            <v>14</v>
          </cell>
        </row>
        <row r="277">
          <cell r="A277">
            <v>322515</v>
          </cell>
          <cell r="B277" t="str">
            <v>BB38-03000-RB3-S-CL</v>
          </cell>
          <cell r="C277">
            <v>2</v>
          </cell>
          <cell r="D277" t="str">
            <v>ISBM</v>
          </cell>
          <cell r="E277" t="str">
            <v>PET</v>
          </cell>
          <cell r="F277">
            <v>73.400000000000006</v>
          </cell>
          <cell r="G277"/>
          <cell r="H277">
            <v>26.78</v>
          </cell>
          <cell r="I277">
            <v>15</v>
          </cell>
        </row>
        <row r="278">
          <cell r="A278">
            <v>322426</v>
          </cell>
          <cell r="B278" t="str">
            <v>BB38-0300-C-R-CL</v>
          </cell>
          <cell r="C278">
            <v>4</v>
          </cell>
          <cell r="D278" t="str">
            <v>ISBM</v>
          </cell>
          <cell r="E278" t="str">
            <v>PET</v>
          </cell>
          <cell r="F278">
            <v>27</v>
          </cell>
          <cell r="G278"/>
          <cell r="H278">
            <v>27</v>
          </cell>
          <cell r="I278">
            <v>18.52</v>
          </cell>
        </row>
        <row r="279">
          <cell r="A279">
            <v>322494</v>
          </cell>
          <cell r="B279" t="str">
            <v>BB38-0300-RJ-R-CL</v>
          </cell>
          <cell r="C279">
            <v>4</v>
          </cell>
          <cell r="D279" t="str">
            <v>ISBM</v>
          </cell>
          <cell r="E279" t="str">
            <v>PET</v>
          </cell>
          <cell r="F279">
            <v>29</v>
          </cell>
          <cell r="G279"/>
          <cell r="H279">
            <v>29</v>
          </cell>
          <cell r="I279">
            <v>14</v>
          </cell>
        </row>
        <row r="280">
          <cell r="A280">
            <v>326953</v>
          </cell>
          <cell r="B280" t="str">
            <v>BB38-0350-SB-Q-CL</v>
          </cell>
          <cell r="C280">
            <v>4</v>
          </cell>
          <cell r="D280" t="str">
            <v>ISBM</v>
          </cell>
          <cell r="E280" t="str">
            <v>PET</v>
          </cell>
          <cell r="F280">
            <v>27</v>
          </cell>
          <cell r="G280"/>
          <cell r="H280">
            <v>27.09</v>
          </cell>
          <cell r="I280">
            <v>24</v>
          </cell>
        </row>
        <row r="281">
          <cell r="A281">
            <v>322505</v>
          </cell>
          <cell r="B281" t="str">
            <v>BB38-0500-PM-R-CL</v>
          </cell>
          <cell r="C281">
            <v>4</v>
          </cell>
          <cell r="D281" t="str">
            <v>ISBM</v>
          </cell>
          <cell r="E281" t="str">
            <v>PET</v>
          </cell>
          <cell r="F281">
            <v>27</v>
          </cell>
          <cell r="G281"/>
          <cell r="H281">
            <v>31</v>
          </cell>
          <cell r="I281">
            <v>27.96</v>
          </cell>
        </row>
        <row r="282">
          <cell r="A282">
            <v>322507</v>
          </cell>
          <cell r="B282" t="str">
            <v>BB38-0500-RC-R-CL</v>
          </cell>
          <cell r="C282">
            <v>4</v>
          </cell>
          <cell r="D282" t="str">
            <v>ISBM</v>
          </cell>
          <cell r="E282" t="str">
            <v>PET</v>
          </cell>
          <cell r="F282">
            <v>27</v>
          </cell>
          <cell r="G282"/>
          <cell r="H282">
            <v>31</v>
          </cell>
          <cell r="I282">
            <v>26.96</v>
          </cell>
        </row>
        <row r="283">
          <cell r="A283">
            <v>322506</v>
          </cell>
          <cell r="B283" t="str">
            <v>BB38-0500-R-R-CL</v>
          </cell>
          <cell r="C283">
            <v>4</v>
          </cell>
          <cell r="D283" t="str">
            <v>ISBM</v>
          </cell>
          <cell r="E283" t="str">
            <v>PET</v>
          </cell>
          <cell r="F283">
            <v>32</v>
          </cell>
          <cell r="G283"/>
          <cell r="H283">
            <v>32</v>
          </cell>
          <cell r="I283">
            <v>25.64</v>
          </cell>
        </row>
        <row r="284">
          <cell r="A284">
            <v>324682</v>
          </cell>
          <cell r="B284" t="str">
            <v>BB38-0500-R-R-WH</v>
          </cell>
          <cell r="C284">
            <v>4</v>
          </cell>
          <cell r="D284" t="str">
            <v>ISBM</v>
          </cell>
          <cell r="E284" t="str">
            <v>PET</v>
          </cell>
          <cell r="F284">
            <v>33</v>
          </cell>
          <cell r="G284"/>
          <cell r="H284">
            <v>33</v>
          </cell>
          <cell r="I284">
            <v>23.972000000000001</v>
          </cell>
        </row>
        <row r="285">
          <cell r="A285">
            <v>322509</v>
          </cell>
          <cell r="B285" t="str">
            <v>BB38-0500-S-S-CL</v>
          </cell>
          <cell r="C285">
            <v>4</v>
          </cell>
          <cell r="D285" t="str">
            <v>ISBM</v>
          </cell>
          <cell r="E285" t="str">
            <v>PET</v>
          </cell>
          <cell r="F285">
            <v>32</v>
          </cell>
          <cell r="G285"/>
          <cell r="H285">
            <v>32</v>
          </cell>
          <cell r="I285">
            <v>25.92</v>
          </cell>
        </row>
        <row r="286">
          <cell r="A286">
            <v>322511</v>
          </cell>
          <cell r="B286" t="str">
            <v>BB38-0750-H-R-CL</v>
          </cell>
          <cell r="C286">
            <v>4</v>
          </cell>
          <cell r="D286" t="str">
            <v>ISBM</v>
          </cell>
          <cell r="E286" t="str">
            <v>PET</v>
          </cell>
          <cell r="F286">
            <v>44.8</v>
          </cell>
          <cell r="G286"/>
          <cell r="H286">
            <v>44.8</v>
          </cell>
          <cell r="I286">
            <v>23.6</v>
          </cell>
        </row>
        <row r="287">
          <cell r="A287">
            <v>322512</v>
          </cell>
          <cell r="B287" t="str">
            <v>BB38-0750-RJ-R-CL</v>
          </cell>
          <cell r="C287">
            <v>4</v>
          </cell>
          <cell r="D287" t="str">
            <v>ISBM</v>
          </cell>
          <cell r="E287" t="str">
            <v>PET</v>
          </cell>
          <cell r="F287">
            <v>48.4</v>
          </cell>
          <cell r="G287"/>
          <cell r="H287">
            <v>48.4</v>
          </cell>
          <cell r="I287">
            <v>23</v>
          </cell>
        </row>
        <row r="288">
          <cell r="A288">
            <v>322514</v>
          </cell>
          <cell r="B288" t="str">
            <v>BB38-0810-SV-R-CL</v>
          </cell>
          <cell r="C288">
            <v>4</v>
          </cell>
          <cell r="D288" t="str">
            <v>ISBM</v>
          </cell>
          <cell r="E288" t="str">
            <v>PET</v>
          </cell>
          <cell r="F288">
            <v>37.700000000000003</v>
          </cell>
          <cell r="G288"/>
          <cell r="H288">
            <v>45.39</v>
          </cell>
          <cell r="I288">
            <v>30</v>
          </cell>
        </row>
        <row r="289">
          <cell r="A289">
            <v>322525</v>
          </cell>
          <cell r="B289" t="str">
            <v>BB38-1000-CN-R-CL</v>
          </cell>
          <cell r="C289">
            <v>4</v>
          </cell>
          <cell r="D289" t="str">
            <v>ISBM</v>
          </cell>
          <cell r="E289" t="str">
            <v>PET</v>
          </cell>
          <cell r="F289">
            <v>45</v>
          </cell>
          <cell r="G289"/>
          <cell r="H289">
            <v>45</v>
          </cell>
          <cell r="I289">
            <v>27</v>
          </cell>
        </row>
        <row r="290">
          <cell r="A290">
            <v>322521</v>
          </cell>
          <cell r="B290" t="str">
            <v>BB38-1000-C-R-CL</v>
          </cell>
          <cell r="C290">
            <v>4</v>
          </cell>
          <cell r="D290" t="str">
            <v>ISBM</v>
          </cell>
          <cell r="E290" t="str">
            <v>PET</v>
          </cell>
          <cell r="F290">
            <v>55</v>
          </cell>
          <cell r="G290"/>
          <cell r="H290">
            <v>56.95</v>
          </cell>
          <cell r="I290">
            <v>27.52</v>
          </cell>
        </row>
        <row r="291">
          <cell r="A291">
            <v>322523</v>
          </cell>
          <cell r="B291" t="str">
            <v>BB38-1000-GH-S-CL</v>
          </cell>
          <cell r="C291">
            <v>4</v>
          </cell>
          <cell r="D291" t="str">
            <v>ISBM</v>
          </cell>
          <cell r="E291" t="str">
            <v>PET</v>
          </cell>
          <cell r="F291">
            <v>47.9</v>
          </cell>
          <cell r="G291"/>
          <cell r="H291">
            <v>56.9</v>
          </cell>
          <cell r="I291">
            <v>30.36</v>
          </cell>
        </row>
        <row r="292">
          <cell r="A292">
            <v>322517</v>
          </cell>
          <cell r="B292" t="str">
            <v>BB38-1000-HC-S-CL</v>
          </cell>
          <cell r="C292">
            <v>4</v>
          </cell>
          <cell r="D292" t="str">
            <v>ISBM</v>
          </cell>
          <cell r="E292" t="str">
            <v>PET</v>
          </cell>
          <cell r="F292">
            <v>45.3</v>
          </cell>
          <cell r="G292"/>
          <cell r="H292">
            <v>45.3</v>
          </cell>
          <cell r="I292">
            <v>25.88</v>
          </cell>
        </row>
        <row r="293">
          <cell r="A293">
            <v>323077</v>
          </cell>
          <cell r="B293" t="str">
            <v>BB38-1000-H-R-CL(GREEN) (ASEM)</v>
          </cell>
          <cell r="C293">
            <v>4</v>
          </cell>
          <cell r="D293" t="str">
            <v>ISBM</v>
          </cell>
          <cell r="E293" t="str">
            <v>PET</v>
          </cell>
          <cell r="F293">
            <v>57.9</v>
          </cell>
          <cell r="G293"/>
          <cell r="H293">
            <v>56.89</v>
          </cell>
          <cell r="I293">
            <v>31.68</v>
          </cell>
        </row>
        <row r="294">
          <cell r="A294">
            <v>323079</v>
          </cell>
          <cell r="B294" t="str">
            <v>BB38-1000-H-R-CL(RED) (ASEM)</v>
          </cell>
          <cell r="C294">
            <v>4</v>
          </cell>
          <cell r="D294" t="str">
            <v>ISBM</v>
          </cell>
          <cell r="E294" t="str">
            <v>PET</v>
          </cell>
          <cell r="F294">
            <v>57.9</v>
          </cell>
          <cell r="G294"/>
          <cell r="H294">
            <v>57.9</v>
          </cell>
          <cell r="I294">
            <v>31.68</v>
          </cell>
        </row>
        <row r="295">
          <cell r="A295">
            <v>323081</v>
          </cell>
          <cell r="B295" t="str">
            <v>BB38-1000-H-R-CL(WHITE) (ASEM)</v>
          </cell>
          <cell r="C295">
            <v>4</v>
          </cell>
          <cell r="D295" t="str">
            <v>ISBM</v>
          </cell>
          <cell r="E295" t="str">
            <v>PET</v>
          </cell>
          <cell r="F295">
            <v>57.9</v>
          </cell>
          <cell r="G295"/>
          <cell r="H295">
            <v>56.9</v>
          </cell>
          <cell r="I295">
            <v>31.68</v>
          </cell>
        </row>
        <row r="296">
          <cell r="A296">
            <v>323083</v>
          </cell>
          <cell r="B296" t="str">
            <v>BB38-1000-H-R-CL(YELLOW) (ASEM)</v>
          </cell>
          <cell r="C296">
            <v>4</v>
          </cell>
          <cell r="D296" t="str">
            <v>ISBM</v>
          </cell>
          <cell r="E296" t="str">
            <v>PET</v>
          </cell>
          <cell r="F296">
            <v>57.9</v>
          </cell>
          <cell r="G296"/>
          <cell r="H296">
            <v>56.9</v>
          </cell>
          <cell r="I296">
            <v>31.68</v>
          </cell>
        </row>
        <row r="297">
          <cell r="A297">
            <v>322516</v>
          </cell>
          <cell r="B297" t="str">
            <v>BB38-1000-H-S-CL</v>
          </cell>
          <cell r="C297">
            <v>4</v>
          </cell>
          <cell r="D297" t="str">
            <v>ISBM</v>
          </cell>
          <cell r="E297" t="str">
            <v>PET</v>
          </cell>
          <cell r="F297">
            <v>56.9</v>
          </cell>
          <cell r="G297"/>
          <cell r="H297">
            <v>45.2</v>
          </cell>
          <cell r="I297">
            <v>23.24</v>
          </cell>
        </row>
        <row r="298">
          <cell r="A298">
            <v>322522</v>
          </cell>
          <cell r="B298" t="str">
            <v>BB38-1000-N-R-CL</v>
          </cell>
          <cell r="C298">
            <v>4</v>
          </cell>
          <cell r="D298" t="str">
            <v>ISBM</v>
          </cell>
          <cell r="E298" t="str">
            <v>PET</v>
          </cell>
          <cell r="F298">
            <v>45.2</v>
          </cell>
          <cell r="G298"/>
          <cell r="H298">
            <v>45.33</v>
          </cell>
          <cell r="I298">
            <v>25</v>
          </cell>
        </row>
        <row r="299">
          <cell r="A299">
            <v>323005</v>
          </cell>
          <cell r="B299" t="str">
            <v>BB38-1000-RH-R-CL</v>
          </cell>
          <cell r="C299">
            <v>4</v>
          </cell>
          <cell r="D299" t="str">
            <v>ISBM</v>
          </cell>
          <cell r="E299" t="str">
            <v>PET</v>
          </cell>
          <cell r="F299">
            <v>55</v>
          </cell>
          <cell r="G299"/>
          <cell r="H299">
            <v>45.28</v>
          </cell>
          <cell r="I299">
            <v>23.52</v>
          </cell>
        </row>
        <row r="300">
          <cell r="A300">
            <v>323089</v>
          </cell>
          <cell r="B300" t="str">
            <v>BB38-1000-RH-R-CL(GREEN) (ASEM)</v>
          </cell>
          <cell r="C300">
            <v>4</v>
          </cell>
          <cell r="D300" t="str">
            <v>ISBM</v>
          </cell>
          <cell r="E300" t="str">
            <v>PET</v>
          </cell>
          <cell r="F300">
            <v>56</v>
          </cell>
          <cell r="G300"/>
          <cell r="H300">
            <v>55.51</v>
          </cell>
          <cell r="I300">
            <v>23.52</v>
          </cell>
        </row>
        <row r="301">
          <cell r="A301">
            <v>323087</v>
          </cell>
          <cell r="B301" t="str">
            <v>BB38-1000-RH-R-CL(YELLOW) (ASEM)</v>
          </cell>
          <cell r="C301">
            <v>4</v>
          </cell>
          <cell r="D301" t="str">
            <v>ISBM</v>
          </cell>
          <cell r="E301" t="str">
            <v>PET</v>
          </cell>
          <cell r="F301">
            <v>56</v>
          </cell>
          <cell r="G301"/>
          <cell r="H301">
            <v>56</v>
          </cell>
          <cell r="I301">
            <v>23.52</v>
          </cell>
        </row>
        <row r="302">
          <cell r="A302">
            <v>325137</v>
          </cell>
          <cell r="B302" t="str">
            <v>BB38-1000-R-R-CL</v>
          </cell>
          <cell r="C302">
            <v>4</v>
          </cell>
          <cell r="D302" t="str">
            <v>ISBM</v>
          </cell>
          <cell r="E302" t="str">
            <v>PET</v>
          </cell>
          <cell r="F302">
            <v>44</v>
          </cell>
          <cell r="G302"/>
          <cell r="H302">
            <v>56.8</v>
          </cell>
          <cell r="I302">
            <v>30.4</v>
          </cell>
        </row>
        <row r="303">
          <cell r="A303">
            <v>329667</v>
          </cell>
          <cell r="B303" t="str">
            <v>BB38-1000-R-R-WH-HW</v>
          </cell>
          <cell r="C303">
            <v>4</v>
          </cell>
          <cell r="D303" t="str">
            <v>ISBM</v>
          </cell>
          <cell r="E303" t="str">
            <v>PET</v>
          </cell>
          <cell r="F303">
            <v>56.5</v>
          </cell>
          <cell r="G303"/>
          <cell r="H303">
            <v>56.5</v>
          </cell>
          <cell r="I303">
            <v>38.72</v>
          </cell>
        </row>
        <row r="304">
          <cell r="A304">
            <v>379517</v>
          </cell>
          <cell r="B304" t="str">
            <v>BB38-1000-R-R-WH-LW</v>
          </cell>
          <cell r="C304">
            <v>4</v>
          </cell>
          <cell r="D304" t="str">
            <v>ISBM</v>
          </cell>
          <cell r="E304" t="str">
            <v>PET</v>
          </cell>
          <cell r="F304">
            <v>44</v>
          </cell>
          <cell r="G304"/>
          <cell r="H304">
            <v>44</v>
          </cell>
          <cell r="I304">
            <v>29.4</v>
          </cell>
        </row>
        <row r="305">
          <cell r="A305">
            <v>322527</v>
          </cell>
          <cell r="B305" t="str">
            <v>BB38-1000-S-S-CL</v>
          </cell>
          <cell r="C305">
            <v>4</v>
          </cell>
          <cell r="D305" t="str">
            <v>ISBM</v>
          </cell>
          <cell r="E305" t="str">
            <v>PET</v>
          </cell>
          <cell r="F305">
            <v>45.3</v>
          </cell>
          <cell r="G305"/>
          <cell r="H305">
            <v>44.5</v>
          </cell>
          <cell r="I305">
            <v>30.12</v>
          </cell>
        </row>
        <row r="306">
          <cell r="A306">
            <v>555192</v>
          </cell>
          <cell r="B306" t="str">
            <v>BB38-1000-ST-R-CL-ITA</v>
          </cell>
          <cell r="C306">
            <v>4</v>
          </cell>
          <cell r="D306" t="str">
            <v>ISBM</v>
          </cell>
          <cell r="E306" t="str">
            <v>PET</v>
          </cell>
          <cell r="F306">
            <v>44</v>
          </cell>
          <cell r="G306"/>
          <cell r="H306">
            <v>76.2</v>
          </cell>
          <cell r="I306">
            <v>28</v>
          </cell>
        </row>
        <row r="307">
          <cell r="A307">
            <v>322447</v>
          </cell>
          <cell r="B307" t="str">
            <v>BB38-1500-H-R-CL</v>
          </cell>
          <cell r="C307">
            <v>2</v>
          </cell>
          <cell r="D307" t="str">
            <v>ISBM</v>
          </cell>
          <cell r="E307" t="str">
            <v>PET</v>
          </cell>
          <cell r="F307">
            <v>76.2</v>
          </cell>
          <cell r="G307"/>
          <cell r="H307">
            <v>76.2</v>
          </cell>
          <cell r="I307">
            <v>16</v>
          </cell>
        </row>
        <row r="308">
          <cell r="A308">
            <v>323094</v>
          </cell>
          <cell r="B308" t="str">
            <v>BB38-1500-H-R-CL(GREEN) (ASEM)</v>
          </cell>
          <cell r="C308">
            <v>4</v>
          </cell>
          <cell r="D308" t="str">
            <v>ISBM</v>
          </cell>
          <cell r="E308" t="str">
            <v>PET</v>
          </cell>
          <cell r="F308">
            <v>77.2</v>
          </cell>
          <cell r="G308"/>
          <cell r="H308">
            <v>77.2</v>
          </cell>
          <cell r="I308">
            <v>32</v>
          </cell>
        </row>
        <row r="309">
          <cell r="A309">
            <v>322534</v>
          </cell>
          <cell r="B309" t="str">
            <v>BB38-1500-S-S-CL (DEL)</v>
          </cell>
          <cell r="C309">
            <v>4</v>
          </cell>
          <cell r="D309" t="str">
            <v>ISBM</v>
          </cell>
          <cell r="E309" t="str">
            <v>PET</v>
          </cell>
          <cell r="F309">
            <v>35</v>
          </cell>
          <cell r="G309"/>
          <cell r="H309">
            <v>56.94</v>
          </cell>
          <cell r="I309">
            <v>23.24</v>
          </cell>
        </row>
        <row r="310">
          <cell r="A310">
            <v>324205</v>
          </cell>
          <cell r="B310" t="str">
            <v>BB38-1500-S-S-CL-HW</v>
          </cell>
          <cell r="C310">
            <v>2</v>
          </cell>
          <cell r="D310" t="str">
            <v>ISBM</v>
          </cell>
          <cell r="E310" t="str">
            <v>PET</v>
          </cell>
          <cell r="F310">
            <v>57</v>
          </cell>
          <cell r="G310"/>
          <cell r="H310">
            <v>45.04</v>
          </cell>
          <cell r="I310">
            <v>18</v>
          </cell>
        </row>
        <row r="311">
          <cell r="A311">
            <v>324211</v>
          </cell>
          <cell r="B311" t="str">
            <v>BB38-1500-S-S-CL-LW</v>
          </cell>
          <cell r="C311">
            <v>4</v>
          </cell>
          <cell r="D311" t="str">
            <v>ISBM</v>
          </cell>
          <cell r="E311" t="str">
            <v>PET</v>
          </cell>
          <cell r="F311">
            <v>44</v>
          </cell>
          <cell r="G311"/>
          <cell r="H311">
            <v>73.2</v>
          </cell>
          <cell r="I311">
            <v>36</v>
          </cell>
        </row>
        <row r="312">
          <cell r="A312">
            <v>322466</v>
          </cell>
          <cell r="B312" t="str">
            <v>BB38-2000-H-R-CL</v>
          </cell>
          <cell r="C312">
            <v>2</v>
          </cell>
          <cell r="D312" t="str">
            <v>ISBM</v>
          </cell>
          <cell r="E312" t="str">
            <v>PET</v>
          </cell>
          <cell r="F312">
            <v>74</v>
          </cell>
          <cell r="G312"/>
          <cell r="H312">
            <v>74</v>
          </cell>
          <cell r="I312">
            <v>33</v>
          </cell>
        </row>
        <row r="313">
          <cell r="A313">
            <v>323110</v>
          </cell>
          <cell r="B313" t="str">
            <v>BB38-2000-H-R-CL(GREEN) (ASEM)</v>
          </cell>
          <cell r="C313">
            <v>2</v>
          </cell>
          <cell r="D313" t="str">
            <v>ISBM</v>
          </cell>
          <cell r="E313" t="str">
            <v>PET</v>
          </cell>
          <cell r="F313">
            <v>75</v>
          </cell>
          <cell r="G313"/>
          <cell r="H313">
            <v>73.2</v>
          </cell>
          <cell r="I313">
            <v>33</v>
          </cell>
        </row>
        <row r="314">
          <cell r="A314">
            <v>323117</v>
          </cell>
          <cell r="B314" t="str">
            <v>BB38-2000-H-R-CL(RED) (ASEM)</v>
          </cell>
          <cell r="C314">
            <v>2</v>
          </cell>
          <cell r="D314" t="str">
            <v>ISBM</v>
          </cell>
          <cell r="E314" t="str">
            <v>PET</v>
          </cell>
          <cell r="F314">
            <v>75</v>
          </cell>
          <cell r="G314"/>
          <cell r="H314">
            <v>73.2</v>
          </cell>
          <cell r="I314">
            <v>33</v>
          </cell>
        </row>
        <row r="315">
          <cell r="A315">
            <v>323111</v>
          </cell>
          <cell r="B315" t="str">
            <v>BB38-2000-H-R-CL(WHITE) (ASEM)</v>
          </cell>
          <cell r="C315">
            <v>2</v>
          </cell>
          <cell r="D315" t="str">
            <v>ISBM</v>
          </cell>
          <cell r="E315" t="str">
            <v>PET</v>
          </cell>
          <cell r="F315">
            <v>75</v>
          </cell>
          <cell r="G315"/>
          <cell r="H315">
            <v>73.2</v>
          </cell>
          <cell r="I315">
            <v>33</v>
          </cell>
        </row>
        <row r="316">
          <cell r="A316">
            <v>323113</v>
          </cell>
          <cell r="B316" t="str">
            <v>BB38-2000-H-R-CL(YELLOW) (ASEM)</v>
          </cell>
          <cell r="C316">
            <v>2</v>
          </cell>
          <cell r="D316" t="str">
            <v>ISBM</v>
          </cell>
          <cell r="E316" t="str">
            <v>PET</v>
          </cell>
          <cell r="F316">
            <v>75</v>
          </cell>
          <cell r="G316"/>
          <cell r="H316">
            <v>73.2</v>
          </cell>
          <cell r="I316">
            <v>33</v>
          </cell>
        </row>
        <row r="317">
          <cell r="A317">
            <v>322559</v>
          </cell>
          <cell r="B317" t="str">
            <v>BB38-2000-HR-R-CL</v>
          </cell>
          <cell r="C317">
            <v>2</v>
          </cell>
          <cell r="D317" t="str">
            <v>ISBM</v>
          </cell>
          <cell r="E317" t="str">
            <v>PET</v>
          </cell>
          <cell r="F317">
            <v>74.2</v>
          </cell>
          <cell r="G317"/>
          <cell r="H317">
            <v>73.39</v>
          </cell>
          <cell r="I317">
            <v>31.94</v>
          </cell>
        </row>
        <row r="318">
          <cell r="A318">
            <v>325952</v>
          </cell>
          <cell r="B318" t="str">
            <v>BB38-2000-HR-R-CL (GREEN) (ASEM)</v>
          </cell>
          <cell r="C318">
            <v>2</v>
          </cell>
          <cell r="D318" t="str">
            <v>ISBM</v>
          </cell>
          <cell r="E318" t="str">
            <v>PET</v>
          </cell>
          <cell r="F318">
            <v>75.2</v>
          </cell>
          <cell r="G318"/>
          <cell r="H318">
            <v>73.2</v>
          </cell>
          <cell r="I318">
            <v>31.94</v>
          </cell>
        </row>
        <row r="319">
          <cell r="A319">
            <v>323107</v>
          </cell>
          <cell r="B319" t="str">
            <v>BB38-2000-HR-R-CL(RED) (ASEM)</v>
          </cell>
          <cell r="C319">
            <v>2</v>
          </cell>
          <cell r="D319" t="str">
            <v>ISBM</v>
          </cell>
          <cell r="E319" t="str">
            <v>PET</v>
          </cell>
          <cell r="F319">
            <v>75</v>
          </cell>
          <cell r="G319"/>
          <cell r="H319">
            <v>75</v>
          </cell>
          <cell r="I319">
            <v>31.94</v>
          </cell>
        </row>
        <row r="320">
          <cell r="A320">
            <v>323106</v>
          </cell>
          <cell r="B320" t="str">
            <v>BB38-2000-HR-R-CL(YELLOW) (ASEM)</v>
          </cell>
          <cell r="C320">
            <v>2</v>
          </cell>
          <cell r="D320" t="str">
            <v>ISBM</v>
          </cell>
          <cell r="E320" t="str">
            <v>PET</v>
          </cell>
          <cell r="F320">
            <v>75</v>
          </cell>
          <cell r="G320"/>
          <cell r="H320">
            <v>75</v>
          </cell>
          <cell r="I320">
            <v>31.94</v>
          </cell>
        </row>
        <row r="321">
          <cell r="A321">
            <v>322538</v>
          </cell>
          <cell r="B321" t="str">
            <v>BB38-2000-H-S-CL(RED) (ASEM)</v>
          </cell>
          <cell r="C321">
            <v>2</v>
          </cell>
          <cell r="D321" t="str">
            <v>ISBM</v>
          </cell>
          <cell r="E321" t="str">
            <v>PET</v>
          </cell>
          <cell r="F321">
            <v>75</v>
          </cell>
          <cell r="G321"/>
          <cell r="H321">
            <v>75</v>
          </cell>
          <cell r="I321">
            <v>31.94</v>
          </cell>
        </row>
        <row r="322">
          <cell r="A322">
            <v>322550</v>
          </cell>
          <cell r="B322" t="str">
            <v>BB38-2000-K2-S-CL</v>
          </cell>
          <cell r="C322">
            <v>2</v>
          </cell>
          <cell r="D322" t="str">
            <v>ISBM</v>
          </cell>
          <cell r="E322" t="str">
            <v>PET</v>
          </cell>
          <cell r="F322">
            <v>74</v>
          </cell>
          <cell r="G322"/>
          <cell r="H322">
            <v>74</v>
          </cell>
          <cell r="I322">
            <v>30</v>
          </cell>
        </row>
        <row r="323">
          <cell r="A323">
            <v>324218</v>
          </cell>
          <cell r="B323" t="str">
            <v>BB38-2000-RH-R-CL(GREEN) (ASEM)</v>
          </cell>
          <cell r="C323">
            <v>4</v>
          </cell>
          <cell r="D323" t="str">
            <v>ISBM</v>
          </cell>
          <cell r="E323" t="str">
            <v>PET</v>
          </cell>
          <cell r="F323">
            <v>77</v>
          </cell>
          <cell r="G323"/>
          <cell r="H323">
            <v>11</v>
          </cell>
          <cell r="I323">
            <v>42.4</v>
          </cell>
        </row>
        <row r="324">
          <cell r="A324">
            <v>435444</v>
          </cell>
          <cell r="B324" t="str">
            <v>BC28-0030-M-CL</v>
          </cell>
          <cell r="C324">
            <v>4</v>
          </cell>
          <cell r="D324" t="str">
            <v>ISBM</v>
          </cell>
          <cell r="E324" t="str">
            <v>PET</v>
          </cell>
          <cell r="F324">
            <v>11</v>
          </cell>
          <cell r="G324"/>
          <cell r="H324">
            <v>18.399999999999999</v>
          </cell>
          <cell r="I324">
            <v>15.44</v>
          </cell>
        </row>
        <row r="325">
          <cell r="A325">
            <v>586276</v>
          </cell>
          <cell r="B325" t="str">
            <v>BC28-0056-D-APH-LEB-604001</v>
          </cell>
          <cell r="C325">
            <v>6</v>
          </cell>
          <cell r="D325" t="str">
            <v>ISBM</v>
          </cell>
          <cell r="E325" t="str">
            <v>PPSB520Y</v>
          </cell>
          <cell r="F325">
            <v>12.3</v>
          </cell>
          <cell r="G325">
            <v>12.3</v>
          </cell>
          <cell r="H325">
            <v>12.3</v>
          </cell>
          <cell r="I325">
            <v>26</v>
          </cell>
        </row>
        <row r="326">
          <cell r="A326">
            <v>626988</v>
          </cell>
          <cell r="B326" t="str">
            <v>BC28-0056-D-APH-5081-1368-PP NO LOGO</v>
          </cell>
          <cell r="C326">
            <v>6</v>
          </cell>
          <cell r="D326" t="str">
            <v>ISBM</v>
          </cell>
          <cell r="E326" t="str">
            <v>PPSB520Y</v>
          </cell>
          <cell r="F326">
            <v>12.3</v>
          </cell>
          <cell r="G326">
            <v>12.3</v>
          </cell>
          <cell r="H326">
            <v>12.3</v>
          </cell>
          <cell r="I326">
            <v>26</v>
          </cell>
        </row>
        <row r="327">
          <cell r="A327">
            <v>558028</v>
          </cell>
          <cell r="B327" t="str">
            <v>BC28-0056-D-APH-LEB-604001-T</v>
          </cell>
          <cell r="C327">
            <v>6</v>
          </cell>
          <cell r="D327" t="str">
            <v>ISBM</v>
          </cell>
          <cell r="E327" t="str">
            <v>PPSB520Y</v>
          </cell>
          <cell r="F327">
            <v>12.3</v>
          </cell>
          <cell r="G327"/>
          <cell r="H327">
            <v>12.35</v>
          </cell>
          <cell r="I327">
            <v>17.52</v>
          </cell>
        </row>
        <row r="328">
          <cell r="A328">
            <v>584554</v>
          </cell>
          <cell r="B328" t="str">
            <v>BC28-0056-D-PET-LEB-605001</v>
          </cell>
          <cell r="C328">
            <v>7</v>
          </cell>
          <cell r="D328" t="str">
            <v>ISBM</v>
          </cell>
          <cell r="E328" t="str">
            <v>PPSB520Y</v>
          </cell>
          <cell r="F328">
            <v>17.399999999999999</v>
          </cell>
          <cell r="G328"/>
          <cell r="H328">
            <v>17.399999999999999</v>
          </cell>
          <cell r="I328">
            <v>17.010000000000002</v>
          </cell>
        </row>
        <row r="329">
          <cell r="A329">
            <v>325511</v>
          </cell>
          <cell r="B329" t="str">
            <v>BC28-0060-M-CL-HW</v>
          </cell>
          <cell r="C329">
            <v>4</v>
          </cell>
          <cell r="D329" t="str">
            <v>ISBM</v>
          </cell>
          <cell r="E329" t="str">
            <v>PET</v>
          </cell>
          <cell r="F329">
            <v>18.350000000000001</v>
          </cell>
          <cell r="G329"/>
          <cell r="H329">
            <v>18.350000000000001</v>
          </cell>
          <cell r="I329">
            <v>18.96</v>
          </cell>
        </row>
        <row r="330">
          <cell r="A330">
            <v>580324</v>
          </cell>
          <cell r="B330" t="str">
            <v>BC28-0060-M-R-AM-LW</v>
          </cell>
          <cell r="C330">
            <v>4</v>
          </cell>
          <cell r="D330" t="str">
            <v>ISBM</v>
          </cell>
          <cell r="E330" t="str">
            <v>PET</v>
          </cell>
          <cell r="F330">
            <v>11.3</v>
          </cell>
          <cell r="G330"/>
          <cell r="H330">
            <v>11.3</v>
          </cell>
          <cell r="I330">
            <v>19.239999999999998</v>
          </cell>
        </row>
        <row r="331">
          <cell r="A331">
            <v>322379</v>
          </cell>
          <cell r="B331" t="str">
            <v>BC28-0060-M-R-AM-LW</v>
          </cell>
          <cell r="C331">
            <v>4</v>
          </cell>
          <cell r="D331" t="str">
            <v>ISBM</v>
          </cell>
          <cell r="E331" t="str">
            <v>PET</v>
          </cell>
          <cell r="F331">
            <v>18.349999999999998</v>
          </cell>
          <cell r="G331"/>
          <cell r="H331">
            <v>11.3</v>
          </cell>
          <cell r="I331">
            <v>19.239999999999998</v>
          </cell>
        </row>
        <row r="332">
          <cell r="A332">
            <v>322382</v>
          </cell>
          <cell r="B332" t="str">
            <v>BC28-0060-M-R-CL-LW</v>
          </cell>
          <cell r="C332">
            <v>4</v>
          </cell>
          <cell r="D332" t="str">
            <v>ISBM</v>
          </cell>
          <cell r="E332" t="str">
            <v>PET</v>
          </cell>
          <cell r="F332">
            <v>11.3</v>
          </cell>
          <cell r="G332"/>
          <cell r="H332">
            <v>18.8</v>
          </cell>
          <cell r="I332">
            <v>15.44</v>
          </cell>
        </row>
        <row r="333">
          <cell r="A333">
            <v>549814</v>
          </cell>
          <cell r="B333" t="str">
            <v>BC28-0060-M-R-WH-HW</v>
          </cell>
          <cell r="C333">
            <v>4</v>
          </cell>
          <cell r="D333" t="str">
            <v>ISBM</v>
          </cell>
          <cell r="E333" t="str">
            <v>PET</v>
          </cell>
          <cell r="F333">
            <v>18.349999999999998</v>
          </cell>
          <cell r="G333"/>
          <cell r="H333">
            <v>11.3</v>
          </cell>
          <cell r="I333">
            <v>19.239999999999998</v>
          </cell>
        </row>
        <row r="334">
          <cell r="A334">
            <v>322380</v>
          </cell>
          <cell r="B334" t="str">
            <v>BC28-0060-M-R-WH-LW</v>
          </cell>
          <cell r="C334">
            <v>4</v>
          </cell>
          <cell r="D334" t="str">
            <v>ISBM</v>
          </cell>
          <cell r="E334" t="str">
            <v>PET</v>
          </cell>
          <cell r="F334">
            <v>11.3</v>
          </cell>
          <cell r="G334"/>
          <cell r="H334">
            <v>11.3</v>
          </cell>
          <cell r="I334">
            <v>19.239999999999998</v>
          </cell>
        </row>
        <row r="335">
          <cell r="A335">
            <v>322388</v>
          </cell>
          <cell r="B335" t="str">
            <v>BC28-0080-M-R-BR</v>
          </cell>
          <cell r="C335">
            <v>4</v>
          </cell>
          <cell r="D335" t="str">
            <v>ISBM</v>
          </cell>
          <cell r="E335" t="str">
            <v>PET</v>
          </cell>
          <cell r="F335">
            <v>18.8</v>
          </cell>
          <cell r="G335"/>
          <cell r="H335">
            <v>18.8</v>
          </cell>
          <cell r="I335">
            <v>20</v>
          </cell>
        </row>
        <row r="336">
          <cell r="A336">
            <v>471417</v>
          </cell>
          <cell r="B336" t="str">
            <v>BC28-0090-D-5040-0054</v>
          </cell>
          <cell r="C336">
            <v>7</v>
          </cell>
          <cell r="D336" t="str">
            <v>ISBM</v>
          </cell>
          <cell r="E336" t="str">
            <v>PET</v>
          </cell>
          <cell r="F336">
            <v>18.8</v>
          </cell>
          <cell r="G336"/>
          <cell r="H336">
            <v>18.8</v>
          </cell>
          <cell r="I336">
            <v>14.301000000000002</v>
          </cell>
        </row>
        <row r="337">
          <cell r="A337">
            <v>494371</v>
          </cell>
          <cell r="B337" t="str">
            <v>BC28-0090-D-5040-0529 NON-HP LOGO</v>
          </cell>
          <cell r="C337">
            <v>7</v>
          </cell>
          <cell r="D337" t="str">
            <v>ISBM</v>
          </cell>
          <cell r="E337" t="str">
            <v>PET</v>
          </cell>
          <cell r="F337">
            <v>18.8</v>
          </cell>
          <cell r="G337"/>
          <cell r="H337">
            <v>18.8</v>
          </cell>
          <cell r="I337">
            <v>15.049999999999999</v>
          </cell>
        </row>
        <row r="338">
          <cell r="A338">
            <v>552181</v>
          </cell>
          <cell r="B338" t="str">
            <v>BC28-0090-D-APH-5180-3538-PP-6 NOTCHES</v>
          </cell>
          <cell r="C338">
            <v>6</v>
          </cell>
          <cell r="D338" t="str">
            <v>ISBM</v>
          </cell>
          <cell r="E338" t="str">
            <v>PPSB520Y</v>
          </cell>
          <cell r="F338">
            <v>18.8</v>
          </cell>
          <cell r="G338"/>
          <cell r="H338">
            <v>18.8</v>
          </cell>
          <cell r="I338">
            <v>27</v>
          </cell>
        </row>
        <row r="339">
          <cell r="A339">
            <v>550076</v>
          </cell>
          <cell r="B339" t="str">
            <v>BC28-0090-D-APH-5040-0735-PP-6 NOTCHES(NON LOGO)</v>
          </cell>
          <cell r="C339">
            <v>6</v>
          </cell>
          <cell r="D339" t="str">
            <v>ISBM</v>
          </cell>
          <cell r="E339" t="str">
            <v>PPSB520Y</v>
          </cell>
          <cell r="F339">
            <v>18.8</v>
          </cell>
          <cell r="G339"/>
          <cell r="H339">
            <v>18.8</v>
          </cell>
          <cell r="I339">
            <v>22.5</v>
          </cell>
        </row>
        <row r="340">
          <cell r="A340">
            <v>596313</v>
          </cell>
          <cell r="B340" t="str">
            <v>BC28-0100-SK2-Q-CL-LW</v>
          </cell>
          <cell r="C340">
            <v>4</v>
          </cell>
          <cell r="D340" t="str">
            <v>ISBM</v>
          </cell>
          <cell r="E340" t="str">
            <v>PET</v>
          </cell>
          <cell r="F340">
            <v>15</v>
          </cell>
          <cell r="G340"/>
          <cell r="H340">
            <v>15</v>
          </cell>
          <cell r="I340">
            <v>20.8</v>
          </cell>
        </row>
        <row r="341">
          <cell r="A341">
            <v>466923</v>
          </cell>
          <cell r="B341" t="str">
            <v>BC28-0100-M-R-AM</v>
          </cell>
          <cell r="C341">
            <v>4</v>
          </cell>
          <cell r="D341" t="str">
            <v>ISBM</v>
          </cell>
          <cell r="E341" t="str">
            <v>PET</v>
          </cell>
          <cell r="F341">
            <v>19</v>
          </cell>
          <cell r="G341"/>
          <cell r="H341">
            <v>18.899999999999999</v>
          </cell>
          <cell r="I341">
            <v>20.8</v>
          </cell>
        </row>
        <row r="342">
          <cell r="A342">
            <v>324192</v>
          </cell>
          <cell r="B342" t="str">
            <v>BC28-0100-M-R-BR</v>
          </cell>
          <cell r="C342">
            <v>4</v>
          </cell>
          <cell r="D342" t="str">
            <v>ISBM</v>
          </cell>
          <cell r="E342" t="str">
            <v>PET</v>
          </cell>
          <cell r="F342">
            <v>11.299999999999999</v>
          </cell>
          <cell r="G342"/>
          <cell r="H342">
            <v>11.299999999999999</v>
          </cell>
          <cell r="I342">
            <v>16</v>
          </cell>
        </row>
        <row r="343">
          <cell r="A343">
            <v>322400</v>
          </cell>
          <cell r="B343" t="str">
            <v>BC28-0100-M-R-CL-HW</v>
          </cell>
          <cell r="C343">
            <v>4</v>
          </cell>
          <cell r="D343" t="str">
            <v>ISBM</v>
          </cell>
          <cell r="E343" t="str">
            <v>PET</v>
          </cell>
          <cell r="F343">
            <v>19</v>
          </cell>
          <cell r="G343"/>
          <cell r="H343">
            <v>18.600000000000001</v>
          </cell>
          <cell r="I343">
            <v>16</v>
          </cell>
        </row>
        <row r="344">
          <cell r="A344">
            <v>324193</v>
          </cell>
          <cell r="B344" t="str">
            <v>BC28-0100-M-R-CL-LW</v>
          </cell>
          <cell r="C344">
            <v>4</v>
          </cell>
          <cell r="D344" t="str">
            <v>ISBM</v>
          </cell>
          <cell r="E344" t="str">
            <v>PET</v>
          </cell>
          <cell r="F344">
            <v>11.3</v>
          </cell>
          <cell r="G344"/>
          <cell r="H344">
            <v>11.3</v>
          </cell>
          <cell r="I344">
            <v>16</v>
          </cell>
        </row>
        <row r="345">
          <cell r="A345">
            <v>324195</v>
          </cell>
          <cell r="B345" t="str">
            <v>BC28-0100-M-R-WH-HW</v>
          </cell>
          <cell r="C345">
            <v>4</v>
          </cell>
          <cell r="D345" t="str">
            <v>ISBM</v>
          </cell>
          <cell r="E345" t="str">
            <v>PET</v>
          </cell>
          <cell r="F345">
            <v>19</v>
          </cell>
          <cell r="G345"/>
          <cell r="H345">
            <v>18.5</v>
          </cell>
          <cell r="I345">
            <v>16</v>
          </cell>
        </row>
        <row r="346">
          <cell r="A346">
            <v>324197</v>
          </cell>
          <cell r="B346" t="str">
            <v>BC28-0100-M-R-WH-LW</v>
          </cell>
          <cell r="C346">
            <v>4</v>
          </cell>
          <cell r="D346" t="str">
            <v>ISBM</v>
          </cell>
          <cell r="E346" t="str">
            <v>PET</v>
          </cell>
          <cell r="F346">
            <v>11.3</v>
          </cell>
          <cell r="G346"/>
          <cell r="H346">
            <v>18.84</v>
          </cell>
          <cell r="I346">
            <v>16</v>
          </cell>
        </row>
        <row r="347">
          <cell r="A347">
            <v>502963</v>
          </cell>
          <cell r="B347" t="str">
            <v>BC28-0100-R-HV-R-AM</v>
          </cell>
          <cell r="C347">
            <v>4</v>
          </cell>
          <cell r="D347" t="str">
            <v>ISBM</v>
          </cell>
          <cell r="E347" t="str">
            <v>PET</v>
          </cell>
          <cell r="F347">
            <v>18.5</v>
          </cell>
          <cell r="G347"/>
          <cell r="H347">
            <v>18.8</v>
          </cell>
          <cell r="I347">
            <v>20.36</v>
          </cell>
        </row>
        <row r="348">
          <cell r="A348">
            <v>596313</v>
          </cell>
          <cell r="B348" t="str">
            <v>BC28-0100-SK-Q-CL-LW</v>
          </cell>
          <cell r="C348">
            <v>4</v>
          </cell>
          <cell r="D348" t="str">
            <v>ISBM</v>
          </cell>
          <cell r="E348" t="str">
            <v>PET</v>
          </cell>
          <cell r="F348"/>
          <cell r="G348"/>
          <cell r="H348"/>
          <cell r="I348">
            <v>20.36</v>
          </cell>
        </row>
        <row r="349">
          <cell r="A349">
            <v>388549</v>
          </cell>
          <cell r="B349" t="str">
            <v>BC28-0120-M-R-BR</v>
          </cell>
          <cell r="C349">
            <v>4</v>
          </cell>
          <cell r="D349" t="str">
            <v>ISBM</v>
          </cell>
          <cell r="E349" t="str">
            <v>PET</v>
          </cell>
          <cell r="F349">
            <v>19</v>
          </cell>
          <cell r="G349"/>
          <cell r="H349">
            <v>19</v>
          </cell>
          <cell r="I349">
            <v>16.128</v>
          </cell>
        </row>
        <row r="350">
          <cell r="A350">
            <v>322399</v>
          </cell>
          <cell r="B350" t="str">
            <v>BC28-0120-M-R-CL</v>
          </cell>
          <cell r="C350">
            <v>4</v>
          </cell>
          <cell r="D350" t="str">
            <v>ISBM</v>
          </cell>
          <cell r="E350" t="str">
            <v>PET</v>
          </cell>
          <cell r="F350">
            <v>19</v>
          </cell>
          <cell r="G350"/>
          <cell r="H350">
            <v>23</v>
          </cell>
          <cell r="I350">
            <v>20</v>
          </cell>
        </row>
        <row r="351">
          <cell r="A351">
            <v>543590</v>
          </cell>
          <cell r="B351" t="str">
            <v>BC28-0130-R-R-AM</v>
          </cell>
          <cell r="C351">
            <v>4</v>
          </cell>
          <cell r="D351" t="str">
            <v>ISBM</v>
          </cell>
          <cell r="E351" t="str">
            <v>PET</v>
          </cell>
          <cell r="F351">
            <v>19</v>
          </cell>
          <cell r="G351"/>
          <cell r="H351">
            <v>19</v>
          </cell>
          <cell r="I351">
            <v>18.72</v>
          </cell>
        </row>
        <row r="352">
          <cell r="A352">
            <v>597024</v>
          </cell>
          <cell r="B352" t="str">
            <v>BC28-0130-R-R-CL</v>
          </cell>
          <cell r="C352">
            <v>4</v>
          </cell>
          <cell r="D352" t="str">
            <v>ISBM</v>
          </cell>
          <cell r="E352" t="str">
            <v>PET</v>
          </cell>
          <cell r="F352">
            <v>19</v>
          </cell>
          <cell r="G352"/>
          <cell r="H352">
            <v>19</v>
          </cell>
          <cell r="I352">
            <v>20.76</v>
          </cell>
        </row>
        <row r="353">
          <cell r="A353">
            <v>414439</v>
          </cell>
          <cell r="B353" t="str">
            <v>BC28-0150-A1-Q-CL</v>
          </cell>
          <cell r="C353">
            <v>6</v>
          </cell>
          <cell r="D353" t="str">
            <v>ISBM</v>
          </cell>
          <cell r="E353" t="str">
            <v>PET</v>
          </cell>
          <cell r="F353">
            <v>15</v>
          </cell>
          <cell r="G353"/>
          <cell r="H353">
            <v>23</v>
          </cell>
          <cell r="I353">
            <v>15</v>
          </cell>
        </row>
        <row r="354">
          <cell r="A354">
            <v>340460</v>
          </cell>
          <cell r="B354" t="str">
            <v>BC28-0150-A3-Q-CL</v>
          </cell>
          <cell r="C354">
            <v>4</v>
          </cell>
          <cell r="D354" t="str">
            <v>ISBM</v>
          </cell>
          <cell r="E354" t="str">
            <v>PET</v>
          </cell>
          <cell r="F354">
            <v>15.05</v>
          </cell>
          <cell r="G354"/>
          <cell r="H354">
            <v>15.05</v>
          </cell>
          <cell r="I354">
            <v>20</v>
          </cell>
        </row>
        <row r="355">
          <cell r="A355">
            <v>330605</v>
          </cell>
          <cell r="B355" t="str">
            <v>BC28-0150-A-Q-CL-HW</v>
          </cell>
          <cell r="C355">
            <v>4</v>
          </cell>
          <cell r="D355" t="str">
            <v>ISBM</v>
          </cell>
          <cell r="E355" t="str">
            <v>PET</v>
          </cell>
          <cell r="F355">
            <v>19.399999999999999</v>
          </cell>
          <cell r="G355"/>
          <cell r="H355">
            <v>15</v>
          </cell>
          <cell r="I355">
            <v>20.52</v>
          </cell>
        </row>
        <row r="356">
          <cell r="A356">
            <v>324190</v>
          </cell>
          <cell r="B356" t="str">
            <v>BC28-0150-A-Q-CL-LW</v>
          </cell>
          <cell r="C356">
            <v>4</v>
          </cell>
          <cell r="D356" t="str">
            <v>ISBM</v>
          </cell>
          <cell r="E356" t="str">
            <v>PET</v>
          </cell>
          <cell r="F356">
            <v>15.5</v>
          </cell>
          <cell r="G356"/>
          <cell r="H356">
            <v>15.5</v>
          </cell>
          <cell r="I356">
            <v>34.119999999999997</v>
          </cell>
        </row>
        <row r="357">
          <cell r="A357">
            <v>326796</v>
          </cell>
          <cell r="B357" t="str">
            <v>BC28-0150-M-R-BR</v>
          </cell>
          <cell r="C357">
            <v>4</v>
          </cell>
          <cell r="D357" t="str">
            <v>ISBM</v>
          </cell>
          <cell r="E357" t="str">
            <v>PET</v>
          </cell>
          <cell r="F357">
            <v>23</v>
          </cell>
          <cell r="G357"/>
          <cell r="H357">
            <v>18.7</v>
          </cell>
          <cell r="I357">
            <v>19.68</v>
          </cell>
        </row>
        <row r="358">
          <cell r="A358">
            <v>322406</v>
          </cell>
          <cell r="B358" t="str">
            <v>BC28-0150-M-R-CL</v>
          </cell>
          <cell r="C358">
            <v>4</v>
          </cell>
          <cell r="D358" t="str">
            <v>ISBM</v>
          </cell>
          <cell r="E358" t="str">
            <v>PET</v>
          </cell>
          <cell r="F358">
            <v>23</v>
          </cell>
          <cell r="G358"/>
          <cell r="H358">
            <v>18.7</v>
          </cell>
          <cell r="I358">
            <v>20</v>
          </cell>
        </row>
        <row r="359">
          <cell r="A359">
            <v>324202</v>
          </cell>
          <cell r="B359" t="str">
            <v>BC28-0155-M-R-AM</v>
          </cell>
          <cell r="C359">
            <v>4</v>
          </cell>
          <cell r="D359" t="str">
            <v>ISBM</v>
          </cell>
          <cell r="E359" t="str">
            <v>PET</v>
          </cell>
          <cell r="F359">
            <v>18.700000000000003</v>
          </cell>
          <cell r="G359"/>
          <cell r="H359">
            <v>28</v>
          </cell>
          <cell r="I359">
            <v>20</v>
          </cell>
        </row>
        <row r="360">
          <cell r="A360">
            <v>322407</v>
          </cell>
          <cell r="B360" t="str">
            <v>BC28-0155-M-R-CL</v>
          </cell>
          <cell r="C360">
            <v>4</v>
          </cell>
          <cell r="D360" t="str">
            <v>ISBM</v>
          </cell>
          <cell r="E360" t="str">
            <v>PET</v>
          </cell>
          <cell r="F360">
            <v>18.7</v>
          </cell>
          <cell r="G360"/>
          <cell r="H360">
            <v>26.66</v>
          </cell>
          <cell r="I360">
            <v>20</v>
          </cell>
        </row>
        <row r="361">
          <cell r="A361">
            <v>486568</v>
          </cell>
          <cell r="B361" t="str">
            <v>BC28-0170-D-5040-0066</v>
          </cell>
          <cell r="C361">
            <v>7</v>
          </cell>
          <cell r="D361" t="str">
            <v>ISBM</v>
          </cell>
          <cell r="E361" t="str">
            <v>PET</v>
          </cell>
          <cell r="F361">
            <v>27.6</v>
          </cell>
          <cell r="G361"/>
          <cell r="H361">
            <v>27.6</v>
          </cell>
          <cell r="I361">
            <v>19.004999999999999</v>
          </cell>
        </row>
        <row r="362">
          <cell r="A362">
            <v>493995</v>
          </cell>
          <cell r="B362" t="str">
            <v>BC28-0170-D-5040-0530 NON-HP LOGO</v>
          </cell>
          <cell r="C362">
            <v>7</v>
          </cell>
          <cell r="D362" t="str">
            <v>ISBM</v>
          </cell>
          <cell r="E362" t="str">
            <v>PET</v>
          </cell>
          <cell r="F362">
            <v>27</v>
          </cell>
          <cell r="G362"/>
          <cell r="H362">
            <v>27.2</v>
          </cell>
          <cell r="I362">
            <v>23.099999999999998</v>
          </cell>
        </row>
        <row r="363">
          <cell r="A363">
            <v>558106</v>
          </cell>
          <cell r="B363" t="str">
            <v>BC28-0170-D-APH-5180-3539-6N-5mm Pitch</v>
          </cell>
          <cell r="C363">
            <v>6</v>
          </cell>
          <cell r="D363" t="str">
            <v>ISBM</v>
          </cell>
          <cell r="E363" t="str">
            <v>PPSB520Y</v>
          </cell>
          <cell r="F363">
            <v>28</v>
          </cell>
          <cell r="G363"/>
          <cell r="H363">
            <v>26</v>
          </cell>
          <cell r="I363">
            <v>42</v>
          </cell>
        </row>
        <row r="364">
          <cell r="A364">
            <v>555979</v>
          </cell>
          <cell r="B364" t="str">
            <v>BC28-0170-D-APH-5180-3539-PP-6 NOTCHES</v>
          </cell>
          <cell r="C364">
            <v>6</v>
          </cell>
          <cell r="D364" t="str">
            <v>ISBM</v>
          </cell>
          <cell r="E364" t="str">
            <v>PPSB520Y</v>
          </cell>
          <cell r="F364">
            <v>28</v>
          </cell>
          <cell r="G364"/>
          <cell r="H364">
            <v>28</v>
          </cell>
          <cell r="I364">
            <v>42</v>
          </cell>
        </row>
        <row r="365">
          <cell r="A365">
            <v>550077</v>
          </cell>
          <cell r="B365" t="str">
            <v>BC28-0170-D-APH-5040-0736-PP-6NOTCHES(NO LOGO)</v>
          </cell>
          <cell r="C365">
            <v>6</v>
          </cell>
          <cell r="D365" t="str">
            <v>ISBM</v>
          </cell>
          <cell r="E365" t="str">
            <v>PPSB520Y</v>
          </cell>
          <cell r="F365">
            <v>28</v>
          </cell>
          <cell r="G365"/>
          <cell r="H365">
            <v>28</v>
          </cell>
          <cell r="I365">
            <v>42</v>
          </cell>
        </row>
        <row r="366">
          <cell r="A366">
            <v>416201</v>
          </cell>
          <cell r="B366" t="str">
            <v>BC28-0200-M-R-BR</v>
          </cell>
          <cell r="C366">
            <v>4</v>
          </cell>
          <cell r="D366" t="str">
            <v>ISBM</v>
          </cell>
          <cell r="E366" t="str">
            <v>PET</v>
          </cell>
          <cell r="F366">
            <v>30</v>
          </cell>
          <cell r="G366"/>
          <cell r="H366">
            <v>20</v>
          </cell>
          <cell r="I366">
            <v>38.64</v>
          </cell>
        </row>
        <row r="367">
          <cell r="A367">
            <v>322413</v>
          </cell>
          <cell r="B367" t="str">
            <v>BC28-0200-M-R-CL</v>
          </cell>
          <cell r="C367">
            <v>4</v>
          </cell>
          <cell r="D367" t="str">
            <v>ISBM</v>
          </cell>
          <cell r="E367" t="str">
            <v>PET</v>
          </cell>
          <cell r="F367">
            <v>22.8</v>
          </cell>
          <cell r="G367"/>
          <cell r="H367">
            <v>23</v>
          </cell>
          <cell r="I367">
            <v>25.84</v>
          </cell>
        </row>
        <row r="368">
          <cell r="A368">
            <v>529003</v>
          </cell>
          <cell r="B368" t="str">
            <v>BC28-0200-R-R-CL</v>
          </cell>
          <cell r="C368">
            <v>4</v>
          </cell>
          <cell r="D368" t="str">
            <v>ISBM</v>
          </cell>
          <cell r="E368" t="str">
            <v>PET</v>
          </cell>
          <cell r="F368">
            <v>19</v>
          </cell>
          <cell r="G368"/>
          <cell r="H368">
            <v>18.899999999999999</v>
          </cell>
          <cell r="I368">
            <v>21</v>
          </cell>
        </row>
        <row r="369">
          <cell r="A369">
            <v>607338</v>
          </cell>
          <cell r="B369" t="str">
            <v>BC28-0200-R-R-CL HW</v>
          </cell>
          <cell r="C369">
            <v>4</v>
          </cell>
          <cell r="D369" t="str">
            <v>ISBM</v>
          </cell>
          <cell r="E369" t="str">
            <v>PET</v>
          </cell>
          <cell r="F369">
            <v>23</v>
          </cell>
          <cell r="G369"/>
          <cell r="H369">
            <v>23</v>
          </cell>
          <cell r="I369">
            <v>21</v>
          </cell>
        </row>
        <row r="370">
          <cell r="A370">
            <v>463202</v>
          </cell>
          <cell r="B370" t="str">
            <v>BC28-0200-SB-R-CL</v>
          </cell>
          <cell r="C370">
            <v>4</v>
          </cell>
          <cell r="D370" t="str">
            <v>ISBM</v>
          </cell>
          <cell r="E370" t="str">
            <v>PET</v>
          </cell>
          <cell r="F370">
            <v>23</v>
          </cell>
          <cell r="G370"/>
          <cell r="H370">
            <v>23</v>
          </cell>
          <cell r="I370">
            <v>22.92</v>
          </cell>
        </row>
        <row r="371">
          <cell r="A371">
            <v>342607</v>
          </cell>
          <cell r="B371" t="str">
            <v>BC28-0200-SB-R-OPAQUE BROWN</v>
          </cell>
          <cell r="C371">
            <v>4</v>
          </cell>
          <cell r="D371" t="str">
            <v>ISBM</v>
          </cell>
          <cell r="E371" t="str">
            <v>PET</v>
          </cell>
          <cell r="F371">
            <v>18.900000000000002</v>
          </cell>
          <cell r="G371"/>
          <cell r="H371">
            <v>24</v>
          </cell>
          <cell r="I371">
            <v>20.12</v>
          </cell>
        </row>
        <row r="372">
          <cell r="A372">
            <v>324199</v>
          </cell>
          <cell r="B372" t="str">
            <v>BC28-0250-M-R-AM</v>
          </cell>
          <cell r="C372">
            <v>4</v>
          </cell>
          <cell r="D372" t="str">
            <v>ISBM</v>
          </cell>
          <cell r="E372" t="str">
            <v>PET</v>
          </cell>
          <cell r="F372">
            <v>29.5</v>
          </cell>
          <cell r="G372"/>
          <cell r="H372">
            <v>29.5</v>
          </cell>
          <cell r="I372">
            <v>19.32</v>
          </cell>
        </row>
        <row r="373">
          <cell r="A373">
            <v>601939</v>
          </cell>
          <cell r="B373" t="str">
            <v>BC28-0250-M-R-AM-LW</v>
          </cell>
          <cell r="C373">
            <v>4</v>
          </cell>
          <cell r="D373" t="str">
            <v>ISBM</v>
          </cell>
          <cell r="E373" t="str">
            <v>PET</v>
          </cell>
          <cell r="F373">
            <v>22</v>
          </cell>
          <cell r="G373"/>
          <cell r="H373">
            <v>22</v>
          </cell>
          <cell r="I373">
            <v>19.32</v>
          </cell>
        </row>
        <row r="374">
          <cell r="A374">
            <v>416868</v>
          </cell>
          <cell r="B374" t="str">
            <v>BC28-0250-M-R-BR LW</v>
          </cell>
          <cell r="C374">
            <v>4</v>
          </cell>
          <cell r="D374" t="str">
            <v>ISBM</v>
          </cell>
          <cell r="E374" t="str">
            <v>PET</v>
          </cell>
          <cell r="F374">
            <v>24</v>
          </cell>
          <cell r="G374"/>
          <cell r="H374">
            <v>29.5</v>
          </cell>
          <cell r="I374">
            <v>28.4</v>
          </cell>
        </row>
        <row r="375">
          <cell r="A375">
            <v>324204</v>
          </cell>
          <cell r="B375" t="str">
            <v>BC28-0250-M-R-BR-HW</v>
          </cell>
          <cell r="C375">
            <v>4</v>
          </cell>
          <cell r="D375" t="str">
            <v>ISBM</v>
          </cell>
          <cell r="E375" t="str">
            <v>PET</v>
          </cell>
          <cell r="F375">
            <v>29.5</v>
          </cell>
          <cell r="G375"/>
          <cell r="H375">
            <v>23.34</v>
          </cell>
          <cell r="I375">
            <v>19.32</v>
          </cell>
        </row>
        <row r="376">
          <cell r="A376">
            <v>343762</v>
          </cell>
          <cell r="B376" t="str">
            <v>BC28-0250-M-R-CL HW</v>
          </cell>
          <cell r="C376">
            <v>4</v>
          </cell>
          <cell r="D376" t="str">
            <v>ISBM</v>
          </cell>
          <cell r="E376" t="str">
            <v>PET</v>
          </cell>
          <cell r="F376">
            <v>29.5</v>
          </cell>
          <cell r="G376"/>
          <cell r="H376">
            <v>23.06</v>
          </cell>
          <cell r="I376">
            <v>36.6</v>
          </cell>
        </row>
        <row r="377">
          <cell r="A377">
            <v>322421</v>
          </cell>
          <cell r="B377" t="str">
            <v>BC28-0250-M-R-CL LW</v>
          </cell>
          <cell r="C377">
            <v>4</v>
          </cell>
          <cell r="D377" t="str">
            <v>ISBM</v>
          </cell>
          <cell r="E377" t="str">
            <v>PET</v>
          </cell>
          <cell r="F377">
            <v>23</v>
          </cell>
          <cell r="G377"/>
          <cell r="H377">
            <v>23</v>
          </cell>
          <cell r="I377">
            <v>31</v>
          </cell>
        </row>
        <row r="378">
          <cell r="A378">
            <v>324179</v>
          </cell>
          <cell r="B378" t="str">
            <v>BC28-0250-S-S-CL</v>
          </cell>
          <cell r="C378">
            <v>4</v>
          </cell>
          <cell r="D378" t="str">
            <v>ISBM</v>
          </cell>
          <cell r="E378" t="str">
            <v>PET</v>
          </cell>
          <cell r="F378">
            <v>23</v>
          </cell>
          <cell r="G378"/>
          <cell r="H378">
            <v>23.6</v>
          </cell>
          <cell r="I378">
            <v>19.32</v>
          </cell>
        </row>
        <row r="379">
          <cell r="A379">
            <v>442034</v>
          </cell>
          <cell r="B379" t="str">
            <v>BC28-0250-Z-S-CL</v>
          </cell>
          <cell r="C379">
            <v>4</v>
          </cell>
          <cell r="D379" t="str">
            <v>ISBM</v>
          </cell>
          <cell r="E379" t="str">
            <v>PET</v>
          </cell>
          <cell r="F379">
            <v>23</v>
          </cell>
          <cell r="G379"/>
          <cell r="H379">
            <v>23</v>
          </cell>
          <cell r="I379">
            <v>22</v>
          </cell>
        </row>
        <row r="380">
          <cell r="A380">
            <v>324163</v>
          </cell>
          <cell r="B380" t="str">
            <v>BC28-0265-A-Q-CL</v>
          </cell>
          <cell r="C380">
            <v>4</v>
          </cell>
          <cell r="D380" t="str">
            <v>ISBM</v>
          </cell>
          <cell r="E380" t="str">
            <v>PET</v>
          </cell>
          <cell r="F380">
            <v>23.5</v>
          </cell>
          <cell r="G380"/>
          <cell r="H380">
            <v>24</v>
          </cell>
          <cell r="I380">
            <v>22.5</v>
          </cell>
        </row>
        <row r="381">
          <cell r="A381">
            <v>322423</v>
          </cell>
          <cell r="B381" t="str">
            <v>BC28-0265-RB-Q-CL</v>
          </cell>
          <cell r="C381">
            <v>4</v>
          </cell>
          <cell r="D381" t="str">
            <v>ISBM</v>
          </cell>
          <cell r="E381" t="str">
            <v>PET</v>
          </cell>
          <cell r="F381">
            <v>23</v>
          </cell>
          <cell r="G381"/>
          <cell r="H381">
            <v>23</v>
          </cell>
          <cell r="I381">
            <v>21</v>
          </cell>
        </row>
        <row r="382">
          <cell r="A382">
            <v>423213</v>
          </cell>
          <cell r="B382" t="str">
            <v>BC28-0265-SCC-A-Q-CL</v>
          </cell>
          <cell r="C382">
            <v>4</v>
          </cell>
          <cell r="D382" t="str">
            <v>ISBM</v>
          </cell>
          <cell r="E382" t="str">
            <v>PET</v>
          </cell>
          <cell r="F382">
            <v>23</v>
          </cell>
          <cell r="G382"/>
          <cell r="H382">
            <v>23</v>
          </cell>
          <cell r="I382">
            <v>22.5</v>
          </cell>
        </row>
        <row r="383">
          <cell r="A383">
            <v>544784</v>
          </cell>
          <cell r="B383" t="str">
            <v>BC28-0270-CW-R-CL</v>
          </cell>
          <cell r="C383">
            <v>4</v>
          </cell>
          <cell r="D383" t="str">
            <v>ISBM</v>
          </cell>
          <cell r="E383" t="str">
            <v>PET</v>
          </cell>
          <cell r="F383">
            <v>30</v>
          </cell>
          <cell r="G383"/>
          <cell r="H383">
            <v>23</v>
          </cell>
          <cell r="I383">
            <v>31.4</v>
          </cell>
        </row>
        <row r="384">
          <cell r="A384">
            <v>322999</v>
          </cell>
          <cell r="B384" t="str">
            <v>BC28-0270-CW-R-W</v>
          </cell>
          <cell r="C384">
            <v>4</v>
          </cell>
          <cell r="D384" t="str">
            <v>ISBM</v>
          </cell>
          <cell r="E384" t="str">
            <v>PET</v>
          </cell>
          <cell r="F384">
            <v>23</v>
          </cell>
          <cell r="G384"/>
          <cell r="H384">
            <v>23</v>
          </cell>
          <cell r="I384">
            <v>18</v>
          </cell>
        </row>
        <row r="385">
          <cell r="A385">
            <v>323000</v>
          </cell>
          <cell r="B385" t="str">
            <v>BC28-0270-CW-R-W (ASEM)</v>
          </cell>
          <cell r="C385">
            <v>4</v>
          </cell>
          <cell r="D385" t="str">
            <v>ISBM</v>
          </cell>
          <cell r="E385" t="str">
            <v>PET</v>
          </cell>
          <cell r="F385">
            <v>24</v>
          </cell>
          <cell r="G385"/>
          <cell r="H385">
            <v>23</v>
          </cell>
          <cell r="I385">
            <v>36</v>
          </cell>
        </row>
        <row r="386">
          <cell r="A386">
            <v>408094</v>
          </cell>
          <cell r="B386" t="str">
            <v>BC28-0270-KPD-Q-CL</v>
          </cell>
          <cell r="C386">
            <v>4</v>
          </cell>
          <cell r="D386" t="str">
            <v>ISBM</v>
          </cell>
          <cell r="E386" t="str">
            <v>PET</v>
          </cell>
          <cell r="F386">
            <v>23</v>
          </cell>
          <cell r="G386"/>
          <cell r="H386">
            <v>30</v>
          </cell>
          <cell r="I386">
            <v>26</v>
          </cell>
        </row>
        <row r="387">
          <cell r="A387">
            <v>324180</v>
          </cell>
          <cell r="B387" t="str">
            <v>BC28-0280-HD-Q-AM</v>
          </cell>
          <cell r="C387">
            <v>4</v>
          </cell>
          <cell r="D387" t="str">
            <v>ISBM</v>
          </cell>
          <cell r="E387" t="str">
            <v>PET</v>
          </cell>
          <cell r="F387">
            <v>23.7</v>
          </cell>
          <cell r="G387"/>
          <cell r="H387">
            <v>23</v>
          </cell>
          <cell r="I387">
            <v>19.32</v>
          </cell>
        </row>
        <row r="388">
          <cell r="A388">
            <v>401602</v>
          </cell>
          <cell r="B388" t="str">
            <v>BC28-0280-HD-R-CL-HW</v>
          </cell>
          <cell r="C388">
            <v>4</v>
          </cell>
          <cell r="D388" t="str">
            <v>ISBM</v>
          </cell>
          <cell r="E388" t="str">
            <v>PET</v>
          </cell>
          <cell r="F388">
            <v>30</v>
          </cell>
          <cell r="G388"/>
          <cell r="H388">
            <v>30</v>
          </cell>
          <cell r="I388">
            <v>34</v>
          </cell>
        </row>
        <row r="389">
          <cell r="A389">
            <v>322493</v>
          </cell>
          <cell r="B389" t="str">
            <v>BC28-0280-HD-R-CL-LW</v>
          </cell>
          <cell r="C389">
            <v>4</v>
          </cell>
          <cell r="D389" t="str">
            <v>ISBM</v>
          </cell>
          <cell r="E389" t="str">
            <v>PET</v>
          </cell>
          <cell r="F389">
            <v>23</v>
          </cell>
          <cell r="G389"/>
          <cell r="H389">
            <v>23</v>
          </cell>
          <cell r="I389">
            <v>22.5</v>
          </cell>
        </row>
        <row r="390">
          <cell r="A390">
            <v>409008</v>
          </cell>
          <cell r="B390" t="str">
            <v>BC28-0280-N-BR</v>
          </cell>
          <cell r="C390">
            <v>4</v>
          </cell>
          <cell r="D390" t="str">
            <v>ISBM</v>
          </cell>
          <cell r="E390" t="str">
            <v>PET</v>
          </cell>
          <cell r="F390">
            <v>23</v>
          </cell>
          <cell r="G390"/>
          <cell r="H390">
            <v>24.3</v>
          </cell>
          <cell r="I390">
            <v>23</v>
          </cell>
        </row>
        <row r="391">
          <cell r="A391">
            <v>407207</v>
          </cell>
          <cell r="B391" t="str">
            <v>BC28-0280-N-CL</v>
          </cell>
          <cell r="C391">
            <v>4</v>
          </cell>
          <cell r="D391" t="str">
            <v>ISBM</v>
          </cell>
          <cell r="E391" t="str">
            <v>PET</v>
          </cell>
          <cell r="F391">
            <v>23</v>
          </cell>
          <cell r="G391"/>
          <cell r="H391">
            <v>23</v>
          </cell>
          <cell r="I391">
            <v>24</v>
          </cell>
        </row>
        <row r="392">
          <cell r="A392">
            <v>322428</v>
          </cell>
          <cell r="B392" t="str">
            <v>BC28-0300-PC-R-CL</v>
          </cell>
          <cell r="C392">
            <v>4</v>
          </cell>
          <cell r="D392" t="str">
            <v>ISBM</v>
          </cell>
          <cell r="E392" t="str">
            <v>PET</v>
          </cell>
          <cell r="F392">
            <v>23</v>
          </cell>
          <cell r="G392"/>
          <cell r="H392">
            <v>23</v>
          </cell>
          <cell r="I392">
            <v>18</v>
          </cell>
        </row>
        <row r="393">
          <cell r="A393">
            <v>362356</v>
          </cell>
          <cell r="B393" t="str">
            <v>BC28-0300-RS-R-OM</v>
          </cell>
          <cell r="C393">
            <v>4</v>
          </cell>
          <cell r="D393" t="str">
            <v>ISBM</v>
          </cell>
          <cell r="E393" t="str">
            <v>PET</v>
          </cell>
          <cell r="F393">
            <v>36</v>
          </cell>
          <cell r="G393"/>
          <cell r="H393">
            <v>30</v>
          </cell>
          <cell r="I393">
            <v>35</v>
          </cell>
        </row>
        <row r="394">
          <cell r="A394">
            <v>326797</v>
          </cell>
          <cell r="B394" t="str">
            <v>BC28-0330-CSD-R-BR</v>
          </cell>
          <cell r="C394">
            <v>4</v>
          </cell>
          <cell r="D394" t="str">
            <v>ISBM</v>
          </cell>
          <cell r="E394" t="str">
            <v>PET</v>
          </cell>
          <cell r="F394">
            <v>30.5</v>
          </cell>
          <cell r="G394"/>
          <cell r="H394">
            <v>23.87</v>
          </cell>
          <cell r="I394">
            <v>21</v>
          </cell>
        </row>
        <row r="395">
          <cell r="A395">
            <v>429880</v>
          </cell>
          <cell r="B395" t="str">
            <v>BC28-0330-CSD-R-CL-HW</v>
          </cell>
          <cell r="C395">
            <v>4</v>
          </cell>
          <cell r="D395" t="str">
            <v>ISBM</v>
          </cell>
          <cell r="E395" t="str">
            <v>PET</v>
          </cell>
          <cell r="F395">
            <v>30</v>
          </cell>
          <cell r="G395"/>
          <cell r="H395">
            <v>31</v>
          </cell>
          <cell r="I395">
            <v>38.4</v>
          </cell>
        </row>
        <row r="396">
          <cell r="A396">
            <v>322495</v>
          </cell>
          <cell r="B396" t="str">
            <v>BC28-0330-CSD-R-CL-LW</v>
          </cell>
          <cell r="C396">
            <v>4</v>
          </cell>
          <cell r="D396" t="str">
            <v>ISBM</v>
          </cell>
          <cell r="E396" t="str">
            <v>PET</v>
          </cell>
          <cell r="F396">
            <v>24</v>
          </cell>
          <cell r="G396"/>
          <cell r="H396">
            <v>24.2</v>
          </cell>
          <cell r="I396">
            <v>33</v>
          </cell>
        </row>
        <row r="397">
          <cell r="A397">
            <v>555281</v>
          </cell>
          <cell r="B397" t="str">
            <v>BC28-0330-HD-Q-CL-HW</v>
          </cell>
          <cell r="C397">
            <v>4</v>
          </cell>
          <cell r="D397" t="str">
            <v>ISBM</v>
          </cell>
          <cell r="E397" t="str">
            <v>PET</v>
          </cell>
          <cell r="F397">
            <v>30</v>
          </cell>
          <cell r="G397"/>
          <cell r="H397">
            <v>30</v>
          </cell>
          <cell r="I397">
            <v>27</v>
          </cell>
        </row>
        <row r="398">
          <cell r="A398">
            <v>322497</v>
          </cell>
          <cell r="B398" t="str">
            <v>BC28-0330-HD-Q-CL-LW</v>
          </cell>
          <cell r="C398">
            <v>4</v>
          </cell>
          <cell r="D398" t="str">
            <v>ISBM</v>
          </cell>
          <cell r="E398" t="str">
            <v>PET</v>
          </cell>
          <cell r="F398">
            <v>23</v>
          </cell>
          <cell r="G398"/>
          <cell r="H398">
            <v>23.09</v>
          </cell>
          <cell r="I398">
            <v>24.28</v>
          </cell>
        </row>
        <row r="399">
          <cell r="A399">
            <v>322496</v>
          </cell>
          <cell r="B399" t="str">
            <v>BC28-0330-HF-S-CL</v>
          </cell>
          <cell r="C399">
            <v>4</v>
          </cell>
          <cell r="D399" t="str">
            <v>ISBM</v>
          </cell>
          <cell r="E399" t="str">
            <v>PET</v>
          </cell>
          <cell r="F399">
            <v>28.9</v>
          </cell>
          <cell r="G399"/>
          <cell r="H399">
            <v>28.9</v>
          </cell>
          <cell r="I399">
            <v>21.52</v>
          </cell>
        </row>
        <row r="400">
          <cell r="A400">
            <v>323027</v>
          </cell>
          <cell r="B400" t="str">
            <v>BC28-0330-POJ-R-CL</v>
          </cell>
          <cell r="C400">
            <v>4</v>
          </cell>
          <cell r="D400" t="str">
            <v>ISBM</v>
          </cell>
          <cell r="E400" t="str">
            <v>PET</v>
          </cell>
          <cell r="F400">
            <v>23.9</v>
          </cell>
          <cell r="G400"/>
          <cell r="H400">
            <v>29.15</v>
          </cell>
          <cell r="I400">
            <v>27.44</v>
          </cell>
        </row>
        <row r="401">
          <cell r="A401">
            <v>324124</v>
          </cell>
          <cell r="B401" t="str">
            <v>BC28-0330-P-R-AM</v>
          </cell>
          <cell r="C401">
            <v>4</v>
          </cell>
          <cell r="D401" t="str">
            <v>ISBM</v>
          </cell>
          <cell r="E401" t="str">
            <v>PET</v>
          </cell>
          <cell r="F401">
            <v>23</v>
          </cell>
          <cell r="G401"/>
          <cell r="H401">
            <v>23</v>
          </cell>
          <cell r="I401">
            <v>27.64</v>
          </cell>
        </row>
        <row r="402">
          <cell r="A402">
            <v>322499</v>
          </cell>
          <cell r="B402" t="str">
            <v>BC28-0330-P-R-CL</v>
          </cell>
          <cell r="C402">
            <v>4</v>
          </cell>
          <cell r="D402" t="str">
            <v>ISBM</v>
          </cell>
          <cell r="E402" t="str">
            <v>PET</v>
          </cell>
          <cell r="F402">
            <v>23</v>
          </cell>
          <cell r="G402"/>
          <cell r="H402">
            <v>23</v>
          </cell>
          <cell r="I402">
            <v>27.64</v>
          </cell>
        </row>
        <row r="403">
          <cell r="A403">
            <v>322500</v>
          </cell>
          <cell r="B403" t="str">
            <v>BC28-0350-AB-R-CL</v>
          </cell>
          <cell r="C403">
            <v>4</v>
          </cell>
          <cell r="D403" t="str">
            <v>ISBM</v>
          </cell>
          <cell r="E403" t="str">
            <v>PET</v>
          </cell>
          <cell r="F403">
            <v>20</v>
          </cell>
          <cell r="G403"/>
          <cell r="H403">
            <v>29.15</v>
          </cell>
          <cell r="I403">
            <v>21.56</v>
          </cell>
        </row>
        <row r="404">
          <cell r="A404">
            <v>329970</v>
          </cell>
          <cell r="B404" t="str">
            <v>BC28-0350-GE-R-AM</v>
          </cell>
          <cell r="C404">
            <v>4</v>
          </cell>
          <cell r="D404" t="str">
            <v>ISBM</v>
          </cell>
          <cell r="E404" t="str">
            <v>PET</v>
          </cell>
          <cell r="F404">
            <v>30</v>
          </cell>
          <cell r="G404"/>
          <cell r="H404">
            <v>30</v>
          </cell>
          <cell r="I404">
            <v>29.28</v>
          </cell>
        </row>
        <row r="405">
          <cell r="A405">
            <v>322434</v>
          </cell>
          <cell r="B405" t="str">
            <v>BC28-0350-GE-R-BL</v>
          </cell>
          <cell r="C405">
            <v>4</v>
          </cell>
          <cell r="D405" t="str">
            <v>ISBM</v>
          </cell>
          <cell r="E405" t="str">
            <v>PET</v>
          </cell>
          <cell r="F405">
            <v>30</v>
          </cell>
          <cell r="G405"/>
          <cell r="H405">
            <v>30</v>
          </cell>
          <cell r="I405">
            <v>34.72</v>
          </cell>
        </row>
        <row r="406">
          <cell r="A406">
            <v>620599</v>
          </cell>
          <cell r="B406" t="str">
            <v xml:space="preserve">BC28-0750-K4-R-CL (55g)  </v>
          </cell>
          <cell r="C406">
            <v>4</v>
          </cell>
          <cell r="D406" t="str">
            <v>ISBM</v>
          </cell>
          <cell r="E406" t="str">
            <v>PET</v>
          </cell>
          <cell r="F406">
            <v>55</v>
          </cell>
          <cell r="G406"/>
          <cell r="H406">
            <v>55</v>
          </cell>
          <cell r="I406">
            <v>28</v>
          </cell>
        </row>
        <row r="407">
          <cell r="A407">
            <v>620901</v>
          </cell>
          <cell r="B407" t="str">
            <v>BC28-0750-K4-R-CL-JAPAN (55g)</v>
          </cell>
          <cell r="C407">
            <v>4</v>
          </cell>
          <cell r="D407" t="str">
            <v>ISBM</v>
          </cell>
          <cell r="E407" t="str">
            <v>PET</v>
          </cell>
          <cell r="F407">
            <v>55</v>
          </cell>
          <cell r="G407"/>
          <cell r="H407">
            <v>55</v>
          </cell>
          <cell r="I407">
            <v>28</v>
          </cell>
        </row>
        <row r="408">
          <cell r="A408">
            <v>544852</v>
          </cell>
          <cell r="B408" t="str">
            <v>BC28-0350-GE-R-CL</v>
          </cell>
          <cell r="C408">
            <v>4</v>
          </cell>
          <cell r="D408" t="str">
            <v>ISBM</v>
          </cell>
          <cell r="E408" t="str">
            <v>PET</v>
          </cell>
          <cell r="F408">
            <v>30</v>
          </cell>
          <cell r="G408"/>
          <cell r="H408">
            <v>30</v>
          </cell>
          <cell r="I408">
            <v>30</v>
          </cell>
        </row>
        <row r="409">
          <cell r="A409">
            <v>324125</v>
          </cell>
          <cell r="B409" t="str">
            <v>BC28-0350-P-R-AM</v>
          </cell>
          <cell r="C409">
            <v>4</v>
          </cell>
          <cell r="D409" t="str">
            <v>ISBM</v>
          </cell>
          <cell r="E409" t="str">
            <v>PET</v>
          </cell>
          <cell r="F409">
            <v>22.8</v>
          </cell>
          <cell r="G409"/>
          <cell r="H409">
            <v>22.8</v>
          </cell>
          <cell r="I409">
            <v>34.72</v>
          </cell>
        </row>
        <row r="410">
          <cell r="A410">
            <v>322501</v>
          </cell>
          <cell r="B410" t="str">
            <v>BC28-0350-P-R-CL</v>
          </cell>
          <cell r="C410">
            <v>4</v>
          </cell>
          <cell r="D410" t="str">
            <v>ISBM</v>
          </cell>
          <cell r="E410" t="str">
            <v>PET</v>
          </cell>
          <cell r="F410">
            <v>22.8</v>
          </cell>
          <cell r="G410"/>
          <cell r="H410">
            <v>23.3</v>
          </cell>
          <cell r="I410">
            <v>27.64</v>
          </cell>
        </row>
        <row r="411">
          <cell r="A411">
            <v>480471</v>
          </cell>
          <cell r="B411" t="str">
            <v>BC28-0350-SB-R-CL</v>
          </cell>
          <cell r="C411">
            <v>4</v>
          </cell>
          <cell r="D411" t="str">
            <v>ISBM</v>
          </cell>
          <cell r="E411" t="str">
            <v>PET</v>
          </cell>
          <cell r="F411">
            <v>30</v>
          </cell>
          <cell r="G411"/>
          <cell r="H411">
            <v>24</v>
          </cell>
          <cell r="I411">
            <v>24.48</v>
          </cell>
        </row>
        <row r="412">
          <cell r="A412">
            <v>322438</v>
          </cell>
          <cell r="B412" t="str">
            <v>BC28-0355-A-Q-CL</v>
          </cell>
          <cell r="C412">
            <v>4</v>
          </cell>
          <cell r="D412" t="str">
            <v>ISBM</v>
          </cell>
          <cell r="E412" t="str">
            <v>PET</v>
          </cell>
          <cell r="F412">
            <v>23</v>
          </cell>
          <cell r="G412"/>
          <cell r="H412">
            <v>23</v>
          </cell>
          <cell r="I412">
            <v>22</v>
          </cell>
        </row>
        <row r="413">
          <cell r="A413">
            <v>665673</v>
          </cell>
          <cell r="B413" t="str">
            <v>C32- TOP CAP-RED-KKM</v>
          </cell>
          <cell r="C413">
            <v>8</v>
          </cell>
          <cell r="D413" t="str">
            <v>INJ</v>
          </cell>
          <cell r="E413" t="str">
            <v>SM398</v>
          </cell>
          <cell r="F413">
            <v>2.1</v>
          </cell>
          <cell r="G413"/>
          <cell r="H413">
            <v>2.1</v>
          </cell>
          <cell r="I413">
            <v>20</v>
          </cell>
        </row>
        <row r="414">
          <cell r="A414">
            <v>665672</v>
          </cell>
          <cell r="B414" t="str">
            <v>C32-2 PIECE-T.RED &amp;.B.RED-KKM (ASEM)-S</v>
          </cell>
          <cell r="C414">
            <v>1</v>
          </cell>
          <cell r="D414" t="str">
            <v>AEM</v>
          </cell>
          <cell r="E414" t="str">
            <v>SM398 / LLDPE6101 / HDPE6178</v>
          </cell>
          <cell r="F414">
            <v>5.9</v>
          </cell>
          <cell r="G414"/>
          <cell r="H414">
            <v>5.9</v>
          </cell>
          <cell r="I414">
            <v>9</v>
          </cell>
        </row>
        <row r="415">
          <cell r="A415">
            <v>665674</v>
          </cell>
          <cell r="B415" t="str">
            <v>C32- BOTTOM CAP-RED-KKM</v>
          </cell>
          <cell r="C415">
            <v>8</v>
          </cell>
          <cell r="D415" t="str">
            <v>INJ</v>
          </cell>
          <cell r="E415" t="str">
            <v>LLDPE6101 / HDPE6178</v>
          </cell>
          <cell r="F415">
            <v>3.8010000000000002</v>
          </cell>
          <cell r="G415"/>
          <cell r="H415">
            <v>3.8010000000000002</v>
          </cell>
          <cell r="I415">
            <v>30</v>
          </cell>
        </row>
        <row r="416">
          <cell r="A416">
            <v>666344</v>
          </cell>
          <cell r="B416" t="str">
            <v>BC28-0056-D-APH-5040-0756-PP</v>
          </cell>
          <cell r="C416">
            <v>6</v>
          </cell>
          <cell r="D416" t="str">
            <v>ISBM</v>
          </cell>
          <cell r="E416" t="str">
            <v>KingFa NC050</v>
          </cell>
          <cell r="F416">
            <v>12.3</v>
          </cell>
          <cell r="G416">
            <v>12.3</v>
          </cell>
          <cell r="H416">
            <v>12.3</v>
          </cell>
          <cell r="I416">
            <v>26</v>
          </cell>
        </row>
        <row r="417">
          <cell r="A417">
            <v>666343</v>
          </cell>
          <cell r="B417" t="str">
            <v>BC28-0170-D-APH-5180-3539-PP</v>
          </cell>
          <cell r="C417">
            <v>6</v>
          </cell>
          <cell r="D417" t="str">
            <v>ISBM</v>
          </cell>
          <cell r="E417" t="str">
            <v>KingFa NC050</v>
          </cell>
          <cell r="F417">
            <v>28</v>
          </cell>
          <cell r="G417"/>
          <cell r="H417">
            <v>28</v>
          </cell>
          <cell r="I417">
            <v>42</v>
          </cell>
        </row>
        <row r="418">
          <cell r="A418">
            <v>666342</v>
          </cell>
          <cell r="B418" t="str">
            <v>BC28-0090-D-APH-5180-3538-PP</v>
          </cell>
          <cell r="C418">
            <v>6</v>
          </cell>
          <cell r="D418" t="str">
            <v>ISBM</v>
          </cell>
          <cell r="E418" t="str">
            <v>KingFa NC050</v>
          </cell>
          <cell r="F418">
            <v>14.7</v>
          </cell>
          <cell r="G418"/>
          <cell r="H418">
            <v>14.7</v>
          </cell>
          <cell r="I418">
            <v>27</v>
          </cell>
        </row>
        <row r="419">
          <cell r="A419">
            <v>423215</v>
          </cell>
          <cell r="B419" t="str">
            <v>BC28-0355-SCC-A-Q-CL</v>
          </cell>
          <cell r="C419">
            <v>4</v>
          </cell>
          <cell r="D419" t="str">
            <v>ISBM</v>
          </cell>
          <cell r="E419" t="str">
            <v>PET</v>
          </cell>
          <cell r="F419">
            <v>24</v>
          </cell>
          <cell r="G419"/>
          <cell r="H419">
            <v>24</v>
          </cell>
          <cell r="I419">
            <v>22</v>
          </cell>
        </row>
        <row r="420">
          <cell r="A420">
            <v>408095</v>
          </cell>
          <cell r="B420" t="str">
            <v>BC28-0360-KPD-Q-CL</v>
          </cell>
          <cell r="C420">
            <v>4</v>
          </cell>
          <cell r="D420" t="str">
            <v>ISBM</v>
          </cell>
          <cell r="E420" t="str">
            <v>PET</v>
          </cell>
          <cell r="F420">
            <v>23</v>
          </cell>
          <cell r="G420"/>
          <cell r="H420">
            <v>23</v>
          </cell>
          <cell r="I420">
            <v>26</v>
          </cell>
        </row>
        <row r="421">
          <cell r="A421">
            <v>464690</v>
          </cell>
          <cell r="B421" t="str">
            <v>BC28-0375-K-R-BLACK</v>
          </cell>
          <cell r="C421">
            <v>4</v>
          </cell>
          <cell r="D421" t="str">
            <v>ISBM</v>
          </cell>
          <cell r="E421" t="str">
            <v>PET</v>
          </cell>
          <cell r="F421">
            <v>35.6</v>
          </cell>
          <cell r="G421"/>
          <cell r="H421">
            <v>35.6</v>
          </cell>
          <cell r="I421">
            <v>29</v>
          </cell>
        </row>
        <row r="422">
          <cell r="A422">
            <v>347623</v>
          </cell>
          <cell r="B422" t="str">
            <v>BC28-0375-K-R-CL</v>
          </cell>
          <cell r="C422">
            <v>4</v>
          </cell>
          <cell r="D422" t="str">
            <v>ISBM</v>
          </cell>
          <cell r="E422" t="str">
            <v>PET</v>
          </cell>
          <cell r="F422">
            <v>35.6</v>
          </cell>
          <cell r="G422"/>
          <cell r="H422">
            <v>35.6</v>
          </cell>
          <cell r="I422">
            <v>27</v>
          </cell>
        </row>
        <row r="423">
          <cell r="A423">
            <v>577492</v>
          </cell>
          <cell r="B423" t="str">
            <v>BC28-0375-K-R-Tinted Brown</v>
          </cell>
          <cell r="C423">
            <v>4</v>
          </cell>
          <cell r="D423" t="str">
            <v>ISBM</v>
          </cell>
          <cell r="E423" t="str">
            <v>PET</v>
          </cell>
          <cell r="F423">
            <v>35.6</v>
          </cell>
          <cell r="G423"/>
          <cell r="H423">
            <v>35.6</v>
          </cell>
          <cell r="I423">
            <v>27</v>
          </cell>
        </row>
        <row r="424">
          <cell r="A424">
            <v>529004</v>
          </cell>
          <cell r="B424" t="str">
            <v>BC28-0400-R-R-CL</v>
          </cell>
          <cell r="C424">
            <v>4</v>
          </cell>
          <cell r="D424" t="str">
            <v>ISBM</v>
          </cell>
          <cell r="E424" t="str">
            <v>PET</v>
          </cell>
          <cell r="F424">
            <v>31</v>
          </cell>
          <cell r="G424"/>
          <cell r="H424">
            <v>31</v>
          </cell>
          <cell r="I424">
            <v>29</v>
          </cell>
        </row>
        <row r="425">
          <cell r="A425">
            <v>322446</v>
          </cell>
          <cell r="B425" t="str">
            <v>BC28-0430-A-Q-CL</v>
          </cell>
          <cell r="C425">
            <v>4</v>
          </cell>
          <cell r="D425" t="str">
            <v>ISBM</v>
          </cell>
          <cell r="E425" t="str">
            <v>PET</v>
          </cell>
          <cell r="F425">
            <v>31</v>
          </cell>
          <cell r="G425"/>
          <cell r="H425">
            <v>44</v>
          </cell>
          <cell r="I425">
            <v>27</v>
          </cell>
        </row>
        <row r="426">
          <cell r="A426">
            <v>324178</v>
          </cell>
          <cell r="B426" t="str">
            <v>BC28-0450-FB-R-CL</v>
          </cell>
          <cell r="C426">
            <v>4</v>
          </cell>
          <cell r="D426" t="str">
            <v>ISBM</v>
          </cell>
          <cell r="E426" t="str">
            <v>PET</v>
          </cell>
          <cell r="F426">
            <v>23</v>
          </cell>
          <cell r="G426"/>
          <cell r="H426">
            <v>44</v>
          </cell>
          <cell r="I426">
            <v>25</v>
          </cell>
        </row>
        <row r="427">
          <cell r="A427">
            <v>580035</v>
          </cell>
          <cell r="B427" t="str">
            <v>BC28-0500-CSD-R-AM</v>
          </cell>
          <cell r="C427">
            <v>4</v>
          </cell>
          <cell r="D427" t="str">
            <v>ISBM</v>
          </cell>
          <cell r="E427" t="str">
            <v>PET</v>
          </cell>
          <cell r="F427">
            <v>44</v>
          </cell>
          <cell r="G427"/>
          <cell r="H427">
            <v>44</v>
          </cell>
          <cell r="I427">
            <v>28.88</v>
          </cell>
        </row>
        <row r="428">
          <cell r="A428">
            <v>322503</v>
          </cell>
          <cell r="B428" t="str">
            <v>BC28-0500-CSD-R-CL</v>
          </cell>
          <cell r="C428">
            <v>4</v>
          </cell>
          <cell r="D428" t="str">
            <v>ISBM</v>
          </cell>
          <cell r="E428" t="str">
            <v>PET</v>
          </cell>
          <cell r="F428">
            <v>44</v>
          </cell>
          <cell r="G428"/>
          <cell r="H428">
            <v>44</v>
          </cell>
          <cell r="I428">
            <v>28.88</v>
          </cell>
        </row>
        <row r="429">
          <cell r="A429">
            <v>558274</v>
          </cell>
          <cell r="B429" t="str">
            <v>BC28-0500-D-APH-621005-TR-144S</v>
          </cell>
          <cell r="C429">
            <v>1</v>
          </cell>
          <cell r="D429" t="str">
            <v>EBM</v>
          </cell>
          <cell r="E429" t="str">
            <v>MARLEXTR144</v>
          </cell>
          <cell r="F429">
            <v>86.5</v>
          </cell>
          <cell r="G429"/>
          <cell r="H429">
            <v>100.8</v>
          </cell>
          <cell r="I429">
            <v>45.5</v>
          </cell>
        </row>
        <row r="430">
          <cell r="A430">
            <v>558276</v>
          </cell>
          <cell r="B430" t="str">
            <v>BC28-0500-D-APH-621B05-HDPE5502</v>
          </cell>
          <cell r="C430">
            <v>1</v>
          </cell>
          <cell r="D430" t="str">
            <v>EBM</v>
          </cell>
          <cell r="E430" t="str">
            <v>HHM5202</v>
          </cell>
          <cell r="F430">
            <v>86.5</v>
          </cell>
          <cell r="G430"/>
          <cell r="H430">
            <v>45</v>
          </cell>
          <cell r="I430">
            <v>40</v>
          </cell>
        </row>
        <row r="431">
          <cell r="A431">
            <v>476105</v>
          </cell>
          <cell r="B431" t="str">
            <v>BC28-0500-GS-R-AM</v>
          </cell>
          <cell r="C431">
            <v>4</v>
          </cell>
          <cell r="D431" t="str">
            <v>ISBM</v>
          </cell>
          <cell r="E431" t="str">
            <v>PET</v>
          </cell>
          <cell r="F431">
            <v>44.9</v>
          </cell>
          <cell r="G431"/>
          <cell r="H431">
            <v>45</v>
          </cell>
          <cell r="I431">
            <v>32.04</v>
          </cell>
        </row>
        <row r="432">
          <cell r="A432">
            <v>666666</v>
          </cell>
          <cell r="B432" t="str">
            <v>BC28-0500-GS2-R-GR</v>
          </cell>
          <cell r="C432">
            <v>4</v>
          </cell>
          <cell r="D432" t="str">
            <v>ISBM</v>
          </cell>
          <cell r="E432" t="str">
            <v>PET</v>
          </cell>
          <cell r="F432">
            <v>44.9</v>
          </cell>
          <cell r="G432"/>
          <cell r="H432">
            <v>45</v>
          </cell>
          <cell r="I432">
            <v>32.04</v>
          </cell>
        </row>
        <row r="433">
          <cell r="A433">
            <v>409578</v>
          </cell>
          <cell r="B433" t="str">
            <v>BC28-0500-GS-R-GOLD</v>
          </cell>
          <cell r="C433">
            <v>4</v>
          </cell>
          <cell r="D433" t="str">
            <v>ISBM</v>
          </cell>
          <cell r="E433" t="str">
            <v>PET</v>
          </cell>
          <cell r="F433">
            <v>45</v>
          </cell>
          <cell r="G433"/>
          <cell r="H433">
            <v>23</v>
          </cell>
          <cell r="I433">
            <v>34</v>
          </cell>
        </row>
        <row r="434">
          <cell r="A434">
            <v>337998</v>
          </cell>
          <cell r="B434" t="str">
            <v>BC28-0500-KE-S-CL-HW</v>
          </cell>
          <cell r="C434">
            <v>4</v>
          </cell>
          <cell r="D434" t="str">
            <v>ISBM</v>
          </cell>
          <cell r="E434" t="str">
            <v>PET</v>
          </cell>
          <cell r="F434">
            <v>23</v>
          </cell>
          <cell r="G434"/>
          <cell r="H434">
            <v>23</v>
          </cell>
          <cell r="I434">
            <v>29</v>
          </cell>
        </row>
        <row r="435">
          <cell r="A435">
            <v>322508</v>
          </cell>
          <cell r="B435" t="str">
            <v>BC28-0500-KE-S-CL-LW</v>
          </cell>
          <cell r="C435">
            <v>4</v>
          </cell>
          <cell r="D435" t="str">
            <v>ISBM</v>
          </cell>
          <cell r="E435" t="str">
            <v>PET</v>
          </cell>
          <cell r="F435">
            <v>23</v>
          </cell>
          <cell r="G435"/>
          <cell r="H435">
            <v>32</v>
          </cell>
          <cell r="I435">
            <v>27</v>
          </cell>
        </row>
        <row r="436">
          <cell r="A436">
            <v>322504</v>
          </cell>
          <cell r="B436" t="str">
            <v>BC28-0500-P-R-CL</v>
          </cell>
          <cell r="C436">
            <v>4</v>
          </cell>
          <cell r="D436" t="str">
            <v>ISBM</v>
          </cell>
          <cell r="E436" t="str">
            <v>PET</v>
          </cell>
          <cell r="F436">
            <v>22.8</v>
          </cell>
          <cell r="G436"/>
          <cell r="H436">
            <v>22.8</v>
          </cell>
          <cell r="I436">
            <v>29</v>
          </cell>
        </row>
        <row r="437">
          <cell r="A437">
            <v>322455</v>
          </cell>
          <cell r="B437" t="str">
            <v>BC28-0500-RF-R-TB</v>
          </cell>
          <cell r="C437">
            <v>4</v>
          </cell>
          <cell r="D437" t="str">
            <v>ISBM</v>
          </cell>
          <cell r="E437" t="str">
            <v>PET</v>
          </cell>
          <cell r="F437">
            <v>23.3</v>
          </cell>
          <cell r="G437"/>
          <cell r="H437">
            <v>23.3</v>
          </cell>
          <cell r="I437">
            <v>21</v>
          </cell>
        </row>
        <row r="438">
          <cell r="A438">
            <v>432203</v>
          </cell>
          <cell r="B438" t="str">
            <v>BC28-0500-R-R-CL</v>
          </cell>
          <cell r="C438">
            <v>4</v>
          </cell>
          <cell r="D438" t="str">
            <v>ISBM</v>
          </cell>
          <cell r="E438" t="str">
            <v>PET</v>
          </cell>
          <cell r="F438">
            <v>32</v>
          </cell>
          <cell r="G438"/>
          <cell r="H438">
            <v>32</v>
          </cell>
          <cell r="I438">
            <v>27</v>
          </cell>
        </row>
        <row r="439">
          <cell r="A439">
            <v>427090</v>
          </cell>
          <cell r="B439" t="str">
            <v>BC28-0500-S-S-CL</v>
          </cell>
          <cell r="C439">
            <v>4</v>
          </cell>
          <cell r="D439" t="str">
            <v>ISBM</v>
          </cell>
          <cell r="E439" t="str">
            <v>PET</v>
          </cell>
          <cell r="F439">
            <v>24</v>
          </cell>
          <cell r="G439"/>
          <cell r="H439">
            <v>24</v>
          </cell>
          <cell r="I439">
            <v>26.8</v>
          </cell>
        </row>
        <row r="440">
          <cell r="A440">
            <v>322458</v>
          </cell>
          <cell r="B440" t="str">
            <v>BC28-0500-TT-R-CL</v>
          </cell>
          <cell r="C440">
            <v>4</v>
          </cell>
          <cell r="D440" t="str">
            <v>ISBM</v>
          </cell>
          <cell r="E440" t="str">
            <v>PET</v>
          </cell>
          <cell r="F440">
            <v>41.9</v>
          </cell>
          <cell r="G440"/>
          <cell r="H440">
            <v>44.23</v>
          </cell>
          <cell r="I440">
            <v>24.52</v>
          </cell>
        </row>
        <row r="441">
          <cell r="A441">
            <v>326798</v>
          </cell>
          <cell r="B441" t="str">
            <v>BC28-0500-WHF-R-AM</v>
          </cell>
          <cell r="C441">
            <v>4</v>
          </cell>
          <cell r="D441" t="str">
            <v>ISBM</v>
          </cell>
          <cell r="E441" t="str">
            <v>PET</v>
          </cell>
          <cell r="F441">
            <v>29.099999999999998</v>
          </cell>
          <cell r="G441"/>
          <cell r="H441">
            <v>44.05</v>
          </cell>
          <cell r="I441">
            <v>29.7</v>
          </cell>
        </row>
        <row r="442">
          <cell r="A442">
            <v>322450</v>
          </cell>
          <cell r="B442" t="str">
            <v>BC28-0500-WHF-R-CL</v>
          </cell>
          <cell r="C442">
            <v>4</v>
          </cell>
          <cell r="D442" t="str">
            <v>ISBM</v>
          </cell>
          <cell r="E442" t="str">
            <v>PET</v>
          </cell>
          <cell r="F442">
            <v>29</v>
          </cell>
          <cell r="G442"/>
          <cell r="H442">
            <v>44.5</v>
          </cell>
          <cell r="I442">
            <v>25.92</v>
          </cell>
        </row>
        <row r="443">
          <cell r="A443">
            <v>322451</v>
          </cell>
          <cell r="B443" t="str">
            <v>BC28-0500-WNHP-R-BR</v>
          </cell>
          <cell r="C443">
            <v>4</v>
          </cell>
          <cell r="D443" t="str">
            <v>ISBM</v>
          </cell>
          <cell r="E443" t="str">
            <v>PET</v>
          </cell>
          <cell r="F443">
            <v>45.6</v>
          </cell>
          <cell r="G443"/>
          <cell r="H443">
            <v>45.6</v>
          </cell>
          <cell r="I443">
            <v>29.84</v>
          </cell>
        </row>
        <row r="444">
          <cell r="A444">
            <v>393808</v>
          </cell>
          <cell r="B444" t="str">
            <v>BC28-0500-WNHP-R-CL</v>
          </cell>
          <cell r="C444">
            <v>4</v>
          </cell>
          <cell r="D444" t="str">
            <v>ISBM</v>
          </cell>
          <cell r="E444" t="str">
            <v>PET</v>
          </cell>
          <cell r="F444">
            <v>45.6</v>
          </cell>
          <cell r="G444"/>
          <cell r="H444">
            <v>45.6</v>
          </cell>
          <cell r="I444">
            <v>29.6</v>
          </cell>
        </row>
        <row r="445">
          <cell r="A445">
            <v>322449</v>
          </cell>
          <cell r="B445" t="str">
            <v>BC28-0500-W-R-CL</v>
          </cell>
          <cell r="C445">
            <v>4</v>
          </cell>
          <cell r="D445" t="str">
            <v>ISBM</v>
          </cell>
          <cell r="E445" t="str">
            <v>PET</v>
          </cell>
          <cell r="F445">
            <v>44.2</v>
          </cell>
          <cell r="G445"/>
          <cell r="H445">
            <v>44.2</v>
          </cell>
          <cell r="I445">
            <v>22</v>
          </cell>
        </row>
        <row r="446">
          <cell r="A446">
            <v>376698</v>
          </cell>
          <cell r="B446" t="str">
            <v>BC28-0500-W-R-VL</v>
          </cell>
          <cell r="C446">
            <v>4</v>
          </cell>
          <cell r="D446" t="str">
            <v>ISBM</v>
          </cell>
          <cell r="E446" t="str">
            <v>PET</v>
          </cell>
          <cell r="F446">
            <v>44.199999999999996</v>
          </cell>
          <cell r="G446"/>
          <cell r="H446">
            <v>44.199999999999996</v>
          </cell>
          <cell r="I446">
            <v>30.288</v>
          </cell>
        </row>
        <row r="447">
          <cell r="A447">
            <v>539101</v>
          </cell>
          <cell r="B447" t="str">
            <v>BC28-0750-D-R1-CL-NO LOGO</v>
          </cell>
          <cell r="C447">
            <v>4</v>
          </cell>
          <cell r="D447" t="str">
            <v>ISBM</v>
          </cell>
          <cell r="E447" t="str">
            <v>PET</v>
          </cell>
          <cell r="F447">
            <v>68</v>
          </cell>
          <cell r="G447"/>
          <cell r="H447">
            <v>68</v>
          </cell>
          <cell r="I447">
            <v>31.2</v>
          </cell>
        </row>
        <row r="448">
          <cell r="A448">
            <v>479856</v>
          </cell>
          <cell r="B448" t="str">
            <v>BC28-0750-D-R-CL (LOGO)</v>
          </cell>
          <cell r="C448">
            <v>4</v>
          </cell>
          <cell r="D448" t="str">
            <v>ISBM</v>
          </cell>
          <cell r="E448" t="str">
            <v>PET</v>
          </cell>
          <cell r="F448">
            <v>68</v>
          </cell>
          <cell r="G448"/>
          <cell r="H448">
            <v>68</v>
          </cell>
          <cell r="I448">
            <v>32</v>
          </cell>
        </row>
        <row r="449">
          <cell r="A449">
            <v>504840</v>
          </cell>
          <cell r="B449" t="str">
            <v>BC28-0750-D-R-CL-NO LOGO</v>
          </cell>
          <cell r="C449">
            <v>4</v>
          </cell>
          <cell r="D449" t="str">
            <v>ISBM</v>
          </cell>
          <cell r="E449" t="str">
            <v>PET</v>
          </cell>
          <cell r="F449">
            <v>68</v>
          </cell>
          <cell r="G449"/>
          <cell r="H449">
            <v>68</v>
          </cell>
          <cell r="I449">
            <v>32</v>
          </cell>
        </row>
        <row r="450">
          <cell r="A450">
            <v>409579</v>
          </cell>
          <cell r="B450" t="str">
            <v>BC28-0750-GS-R-BR</v>
          </cell>
          <cell r="C450">
            <v>4</v>
          </cell>
          <cell r="D450" t="str">
            <v>ISBM</v>
          </cell>
          <cell r="E450" t="str">
            <v>PET</v>
          </cell>
          <cell r="F450">
            <v>60</v>
          </cell>
          <cell r="G450"/>
          <cell r="H450">
            <v>60</v>
          </cell>
          <cell r="I450">
            <v>17</v>
          </cell>
        </row>
        <row r="451">
          <cell r="A451">
            <v>579613</v>
          </cell>
          <cell r="B451" t="str">
            <v>BC28-0750-GS-R-BR H/W</v>
          </cell>
          <cell r="C451">
            <v>4</v>
          </cell>
          <cell r="D451" t="str">
            <v>ISBM</v>
          </cell>
          <cell r="E451" t="str">
            <v>PET</v>
          </cell>
          <cell r="F451">
            <v>68</v>
          </cell>
          <cell r="G451"/>
          <cell r="H451">
            <v>68</v>
          </cell>
          <cell r="I451">
            <v>31.6</v>
          </cell>
        </row>
        <row r="452">
          <cell r="A452">
            <v>442310</v>
          </cell>
          <cell r="B452" t="str">
            <v>BC28-0750-GS-R-CL</v>
          </cell>
          <cell r="C452">
            <v>4</v>
          </cell>
          <cell r="D452" t="str">
            <v>ISBM</v>
          </cell>
          <cell r="E452" t="str">
            <v>PET</v>
          </cell>
          <cell r="F452">
            <v>68.8</v>
          </cell>
          <cell r="G452"/>
          <cell r="H452">
            <v>68.8</v>
          </cell>
          <cell r="I452">
            <v>33.840000000000003</v>
          </cell>
        </row>
        <row r="453">
          <cell r="A453">
            <v>361751</v>
          </cell>
          <cell r="B453" t="str">
            <v>BC28-0750-K2-R-CL-HW</v>
          </cell>
          <cell r="C453">
            <v>4</v>
          </cell>
          <cell r="D453" t="str">
            <v>ISBM</v>
          </cell>
          <cell r="E453" t="str">
            <v>PET</v>
          </cell>
          <cell r="F453">
            <v>68.8</v>
          </cell>
          <cell r="G453"/>
          <cell r="H453">
            <v>68</v>
          </cell>
          <cell r="I453">
            <v>29</v>
          </cell>
        </row>
        <row r="454">
          <cell r="A454">
            <v>347401</v>
          </cell>
          <cell r="B454" t="str">
            <v>BC28-0750-K2-R-CL-LW</v>
          </cell>
          <cell r="C454">
            <v>4</v>
          </cell>
          <cell r="D454" t="str">
            <v>ISBM</v>
          </cell>
          <cell r="E454" t="str">
            <v>PET</v>
          </cell>
          <cell r="F454">
            <v>54.1</v>
          </cell>
          <cell r="G454"/>
          <cell r="H454">
            <v>68</v>
          </cell>
          <cell r="I454">
            <v>29</v>
          </cell>
        </row>
        <row r="455">
          <cell r="A455">
            <v>620901</v>
          </cell>
          <cell r="B455" t="str">
            <v>BC28-0750-K4-R-CL-JAPAN</v>
          </cell>
          <cell r="C455">
            <v>4</v>
          </cell>
          <cell r="D455" t="str">
            <v>ISBM</v>
          </cell>
          <cell r="E455" t="str">
            <v>PET</v>
          </cell>
          <cell r="F455">
            <v>55</v>
          </cell>
          <cell r="G455"/>
          <cell r="H455">
            <v>55</v>
          </cell>
          <cell r="I455">
            <v>28</v>
          </cell>
        </row>
        <row r="456">
          <cell r="A456">
            <v>337471</v>
          </cell>
          <cell r="B456" t="str">
            <v>BC28-0750-K-R-CL</v>
          </cell>
          <cell r="C456">
            <v>4</v>
          </cell>
          <cell r="D456" t="str">
            <v>ISBM</v>
          </cell>
          <cell r="E456" t="str">
            <v>PET</v>
          </cell>
          <cell r="F456">
            <v>67.2</v>
          </cell>
          <cell r="G456"/>
          <cell r="H456">
            <v>55</v>
          </cell>
          <cell r="I456">
            <v>41.4</v>
          </cell>
        </row>
        <row r="457">
          <cell r="A457">
            <v>579684</v>
          </cell>
          <cell r="B457" t="str">
            <v>BC28-0750-W-R-CL</v>
          </cell>
          <cell r="C457">
            <v>4</v>
          </cell>
          <cell r="D457" t="str">
            <v>ISBM</v>
          </cell>
          <cell r="E457" t="str">
            <v>PET</v>
          </cell>
          <cell r="F457">
            <v>44</v>
          </cell>
          <cell r="G457"/>
          <cell r="H457">
            <v>54.25</v>
          </cell>
          <cell r="I457">
            <v>35</v>
          </cell>
        </row>
        <row r="458">
          <cell r="A458">
            <v>438155</v>
          </cell>
          <cell r="B458" t="str">
            <v>BC28-0850-SQ-R-CL</v>
          </cell>
          <cell r="C458">
            <v>4</v>
          </cell>
          <cell r="D458" t="str">
            <v>ISBM</v>
          </cell>
          <cell r="E458" t="str">
            <v>PET</v>
          </cell>
          <cell r="F458">
            <v>45</v>
          </cell>
          <cell r="G458"/>
          <cell r="H458">
            <v>44</v>
          </cell>
          <cell r="I458">
            <v>33.42</v>
          </cell>
        </row>
        <row r="459">
          <cell r="A459">
            <v>337470</v>
          </cell>
          <cell r="B459" t="str">
            <v>BC28-1000-K-R-CL</v>
          </cell>
          <cell r="C459">
            <v>4</v>
          </cell>
          <cell r="D459" t="str">
            <v>ISBM</v>
          </cell>
          <cell r="E459" t="str">
            <v>PET</v>
          </cell>
          <cell r="F459">
            <v>55</v>
          </cell>
          <cell r="G459"/>
          <cell r="H459">
            <v>55</v>
          </cell>
          <cell r="I459">
            <v>27</v>
          </cell>
        </row>
        <row r="460">
          <cell r="A460">
            <v>322529</v>
          </cell>
          <cell r="B460" t="str">
            <v>BC28-1000-SQ-S-CL</v>
          </cell>
          <cell r="C460">
            <v>4</v>
          </cell>
          <cell r="D460" t="str">
            <v>ISBM</v>
          </cell>
          <cell r="E460" t="str">
            <v>PET</v>
          </cell>
          <cell r="F460">
            <v>45</v>
          </cell>
          <cell r="G460"/>
          <cell r="H460">
            <v>55.02</v>
          </cell>
          <cell r="I460">
            <v>27.92</v>
          </cell>
        </row>
        <row r="461">
          <cell r="A461">
            <v>322528</v>
          </cell>
          <cell r="B461" t="str">
            <v>BC28-1000-S-S-CL</v>
          </cell>
          <cell r="C461">
            <v>4</v>
          </cell>
          <cell r="D461" t="str">
            <v>ISBM</v>
          </cell>
          <cell r="E461" t="str">
            <v>PET</v>
          </cell>
          <cell r="F461">
            <v>44.2</v>
          </cell>
          <cell r="G461"/>
          <cell r="H461">
            <v>44.2</v>
          </cell>
          <cell r="I461">
            <v>25</v>
          </cell>
        </row>
        <row r="462">
          <cell r="A462">
            <v>334550</v>
          </cell>
          <cell r="B462" t="str">
            <v>BC28-1000-S-S-COBALT BLUE</v>
          </cell>
          <cell r="C462">
            <v>4</v>
          </cell>
          <cell r="D462" t="str">
            <v>ISBM</v>
          </cell>
          <cell r="E462" t="str">
            <v>PET</v>
          </cell>
          <cell r="F462">
            <v>44.199999999999996</v>
          </cell>
          <cell r="G462"/>
          <cell r="H462">
            <v>44.199999999999996</v>
          </cell>
          <cell r="I462">
            <v>30</v>
          </cell>
        </row>
        <row r="463">
          <cell r="A463">
            <v>322530</v>
          </cell>
          <cell r="B463" t="str">
            <v>BC28-1000--R-CL</v>
          </cell>
          <cell r="C463">
            <v>4</v>
          </cell>
          <cell r="D463" t="str">
            <v>ISBM</v>
          </cell>
          <cell r="E463" t="str">
            <v>PET</v>
          </cell>
          <cell r="F463">
            <v>55</v>
          </cell>
          <cell r="G463"/>
          <cell r="H463">
            <v>55</v>
          </cell>
          <cell r="I463">
            <v>28</v>
          </cell>
        </row>
        <row r="464">
          <cell r="A464">
            <v>623934</v>
          </cell>
          <cell r="B464" t="str">
            <v>BC28-1000-SS-S-CL</v>
          </cell>
          <cell r="C464">
            <v>4</v>
          </cell>
          <cell r="D464" t="str">
            <v>ISBM</v>
          </cell>
          <cell r="E464" t="str">
            <v>PET</v>
          </cell>
          <cell r="F464">
            <v>44.2</v>
          </cell>
          <cell r="G464"/>
          <cell r="H464">
            <v>43</v>
          </cell>
          <cell r="I464">
            <v>28</v>
          </cell>
        </row>
        <row r="465">
          <cell r="A465">
            <v>541381</v>
          </cell>
          <cell r="B465" t="str">
            <v>BC28-1200-K-R-CL</v>
          </cell>
          <cell r="C465">
            <v>4</v>
          </cell>
          <cell r="D465" t="str">
            <v>ISBM</v>
          </cell>
          <cell r="E465" t="str">
            <v>PET</v>
          </cell>
          <cell r="F465">
            <v>55</v>
          </cell>
          <cell r="G465"/>
          <cell r="H465">
            <v>55</v>
          </cell>
          <cell r="I465">
            <v>30.08</v>
          </cell>
        </row>
        <row r="466">
          <cell r="A466">
            <v>521997</v>
          </cell>
          <cell r="B466" t="str">
            <v>BCX32-0750-W1-R-CL</v>
          </cell>
          <cell r="C466">
            <v>4</v>
          </cell>
          <cell r="D466" t="str">
            <v>ISBM</v>
          </cell>
          <cell r="E466" t="str">
            <v>PET</v>
          </cell>
          <cell r="F466">
            <v>44</v>
          </cell>
          <cell r="G466"/>
          <cell r="H466">
            <v>40.590000000000003</v>
          </cell>
          <cell r="I466">
            <v>27.04</v>
          </cell>
        </row>
        <row r="467">
          <cell r="A467">
            <v>322468</v>
          </cell>
          <cell r="B467" t="str">
            <v>BCX32-0750-W-R-CL</v>
          </cell>
          <cell r="C467">
            <v>4</v>
          </cell>
          <cell r="D467" t="str">
            <v>ISBM</v>
          </cell>
          <cell r="E467" t="str">
            <v>PET</v>
          </cell>
          <cell r="F467">
            <v>43</v>
          </cell>
          <cell r="G467"/>
          <cell r="H467">
            <v>43</v>
          </cell>
          <cell r="I467">
            <v>24.92</v>
          </cell>
        </row>
        <row r="468">
          <cell r="A468">
            <v>322475</v>
          </cell>
          <cell r="B468" t="str">
            <v>BCX32-1000-E-R-CL</v>
          </cell>
          <cell r="C468">
            <v>4</v>
          </cell>
          <cell r="D468" t="str">
            <v>ISBM</v>
          </cell>
          <cell r="E468" t="str">
            <v>PET</v>
          </cell>
          <cell r="F468">
            <v>53</v>
          </cell>
          <cell r="G468"/>
          <cell r="H468">
            <v>53</v>
          </cell>
          <cell r="I468">
            <v>28</v>
          </cell>
        </row>
        <row r="469">
          <cell r="A469">
            <v>323037</v>
          </cell>
          <cell r="B469" t="str">
            <v>BCY28-0400-T-R-WH</v>
          </cell>
          <cell r="C469">
            <v>4</v>
          </cell>
          <cell r="D469" t="str">
            <v>ISBM</v>
          </cell>
          <cell r="E469" t="str">
            <v>PET</v>
          </cell>
          <cell r="F469">
            <v>39.14</v>
          </cell>
          <cell r="G469"/>
          <cell r="H469">
            <v>39.1</v>
          </cell>
          <cell r="I469">
            <v>22</v>
          </cell>
        </row>
        <row r="470">
          <cell r="A470">
            <v>619711</v>
          </cell>
          <cell r="B470" t="str">
            <v>BCY28-0400-T-R-WH-POWER MAX</v>
          </cell>
          <cell r="C470">
            <v>1</v>
          </cell>
          <cell r="D470" t="str">
            <v>ISBM</v>
          </cell>
          <cell r="E470" t="str">
            <v>PET</v>
          </cell>
          <cell r="F470">
            <v>39.14</v>
          </cell>
          <cell r="G470"/>
          <cell r="H470">
            <v>39.1</v>
          </cell>
          <cell r="I470">
            <v>9</v>
          </cell>
        </row>
        <row r="471">
          <cell r="A471">
            <v>324294</v>
          </cell>
          <cell r="B471" t="str">
            <v>BCY28-0500-T2-R-CL</v>
          </cell>
          <cell r="C471">
            <v>4</v>
          </cell>
          <cell r="D471" t="str">
            <v>ISBM</v>
          </cell>
          <cell r="E471" t="str">
            <v>PET</v>
          </cell>
          <cell r="F471">
            <v>39.299999999999997</v>
          </cell>
          <cell r="G471"/>
          <cell r="H471">
            <v>40.6</v>
          </cell>
          <cell r="I471">
            <v>23.92</v>
          </cell>
        </row>
        <row r="472">
          <cell r="A472">
            <v>322457</v>
          </cell>
          <cell r="B472" t="str">
            <v>BCY28-0500-T-R-CL</v>
          </cell>
          <cell r="C472">
            <v>4</v>
          </cell>
          <cell r="D472" t="str">
            <v>ISBM</v>
          </cell>
          <cell r="E472" t="str">
            <v>PET</v>
          </cell>
          <cell r="F472">
            <v>40</v>
          </cell>
          <cell r="G472"/>
          <cell r="H472">
            <v>40.47</v>
          </cell>
          <cell r="I472">
            <v>26.2</v>
          </cell>
        </row>
        <row r="473">
          <cell r="A473">
            <v>322459</v>
          </cell>
          <cell r="B473" t="str">
            <v>BCY28-0500-TR-R-CL</v>
          </cell>
          <cell r="C473">
            <v>4</v>
          </cell>
          <cell r="D473" t="str">
            <v>ISBM</v>
          </cell>
          <cell r="E473" t="str">
            <v>PET</v>
          </cell>
          <cell r="F473">
            <v>40.5</v>
          </cell>
          <cell r="G473"/>
          <cell r="H473">
            <v>40.5</v>
          </cell>
          <cell r="I473">
            <v>22.5</v>
          </cell>
        </row>
        <row r="474">
          <cell r="A474">
            <v>322448</v>
          </cell>
          <cell r="B474" t="str">
            <v>BCY28-0500-W-R-CL</v>
          </cell>
          <cell r="C474">
            <v>4</v>
          </cell>
          <cell r="D474" t="str">
            <v>ISBM</v>
          </cell>
          <cell r="E474" t="str">
            <v>PET</v>
          </cell>
          <cell r="F474">
            <v>40</v>
          </cell>
          <cell r="G474"/>
          <cell r="H474">
            <v>40</v>
          </cell>
          <cell r="I474">
            <v>23</v>
          </cell>
        </row>
        <row r="475">
          <cell r="A475">
            <v>324191</v>
          </cell>
          <cell r="B475" t="str">
            <v>BCY28-0750-W-R-CL</v>
          </cell>
          <cell r="C475">
            <v>4</v>
          </cell>
          <cell r="D475" t="str">
            <v>ISBM</v>
          </cell>
          <cell r="E475" t="str">
            <v>PET</v>
          </cell>
          <cell r="F475">
            <v>44</v>
          </cell>
          <cell r="G475"/>
          <cell r="H475">
            <v>32</v>
          </cell>
          <cell r="I475">
            <v>27.9</v>
          </cell>
        </row>
        <row r="476">
          <cell r="A476">
            <v>324183</v>
          </cell>
          <cell r="B476" t="str">
            <v>BD24-0150-C-R-AM</v>
          </cell>
          <cell r="C476">
            <v>4</v>
          </cell>
          <cell r="D476" t="str">
            <v>ISBM</v>
          </cell>
          <cell r="E476" t="str">
            <v>PET</v>
          </cell>
          <cell r="F476">
            <v>36.729999999999997</v>
          </cell>
          <cell r="G476"/>
          <cell r="H476">
            <v>36.729999999999997</v>
          </cell>
          <cell r="I476">
            <v>34.119999999999997</v>
          </cell>
        </row>
        <row r="477">
          <cell r="A477">
            <v>399476</v>
          </cell>
          <cell r="B477" t="str">
            <v>BD24-0150-C-R-CL (HIGH NECK)</v>
          </cell>
          <cell r="C477">
            <v>4</v>
          </cell>
          <cell r="D477" t="str">
            <v>ISBM</v>
          </cell>
          <cell r="E477" t="str">
            <v>PET</v>
          </cell>
          <cell r="F477">
            <v>36.729999999999997</v>
          </cell>
          <cell r="G477"/>
          <cell r="H477">
            <v>36.729999999999997</v>
          </cell>
          <cell r="I477">
            <v>36</v>
          </cell>
        </row>
        <row r="478">
          <cell r="A478">
            <v>324185</v>
          </cell>
          <cell r="B478" t="str">
            <v>BD24-0150-C-R-CL (LOW NECK)</v>
          </cell>
          <cell r="C478">
            <v>4</v>
          </cell>
          <cell r="D478" t="str">
            <v>ISBM</v>
          </cell>
          <cell r="E478" t="str">
            <v>PET</v>
          </cell>
          <cell r="F478">
            <v>36.729999999999997</v>
          </cell>
          <cell r="G478"/>
          <cell r="H478">
            <v>36.729999999999997</v>
          </cell>
          <cell r="I478">
            <v>34.119999999999997</v>
          </cell>
        </row>
        <row r="479">
          <cell r="A479">
            <v>324186</v>
          </cell>
          <cell r="B479" t="str">
            <v>BD24-0150-C-R-DBL</v>
          </cell>
          <cell r="C479">
            <v>4</v>
          </cell>
          <cell r="D479" t="str">
            <v>ISBM</v>
          </cell>
          <cell r="E479" t="str">
            <v>PET</v>
          </cell>
          <cell r="F479">
            <v>36.729999999999997</v>
          </cell>
          <cell r="G479"/>
          <cell r="H479">
            <v>36.729999999999997</v>
          </cell>
          <cell r="I479">
            <v>34.119999999999997</v>
          </cell>
        </row>
        <row r="480">
          <cell r="A480">
            <v>324187</v>
          </cell>
          <cell r="B480" t="str">
            <v>BD24-0150-C-R-VL</v>
          </cell>
          <cell r="C480">
            <v>4</v>
          </cell>
          <cell r="D480" t="str">
            <v>ISBM</v>
          </cell>
          <cell r="E480" t="str">
            <v>PET</v>
          </cell>
          <cell r="F480">
            <v>36.729999999999997</v>
          </cell>
          <cell r="G480"/>
          <cell r="H480">
            <v>36.729999999999997</v>
          </cell>
          <cell r="I480">
            <v>34.119999999999997</v>
          </cell>
        </row>
        <row r="481">
          <cell r="A481">
            <v>324184</v>
          </cell>
          <cell r="B481" t="str">
            <v>BD24-0150-C-R-WH</v>
          </cell>
          <cell r="C481">
            <v>4</v>
          </cell>
          <cell r="D481" t="str">
            <v>ISBM</v>
          </cell>
          <cell r="E481" t="str">
            <v>PET</v>
          </cell>
          <cell r="F481">
            <v>36.729999999999997</v>
          </cell>
          <cell r="G481"/>
          <cell r="H481">
            <v>36.799999999999997</v>
          </cell>
          <cell r="I481">
            <v>34.119999999999997</v>
          </cell>
        </row>
        <row r="482">
          <cell r="A482">
            <v>324188</v>
          </cell>
          <cell r="B482" t="str">
            <v>BD24-0240-R-R-AM</v>
          </cell>
          <cell r="C482">
            <v>4</v>
          </cell>
          <cell r="D482" t="str">
            <v>ISBM</v>
          </cell>
          <cell r="E482" t="str">
            <v>PET</v>
          </cell>
          <cell r="F482">
            <v>36.800000000000004</v>
          </cell>
          <cell r="G482"/>
          <cell r="H482">
            <v>36.800000000000004</v>
          </cell>
          <cell r="I482">
            <v>35</v>
          </cell>
        </row>
        <row r="483">
          <cell r="A483">
            <v>322418</v>
          </cell>
          <cell r="B483" t="str">
            <v>BD24-0240-R-R-CL</v>
          </cell>
          <cell r="C483">
            <v>4</v>
          </cell>
          <cell r="D483" t="str">
            <v>ISBM</v>
          </cell>
          <cell r="E483" t="str">
            <v>PET</v>
          </cell>
          <cell r="F483">
            <v>36</v>
          </cell>
          <cell r="G483"/>
          <cell r="H483">
            <v>7.1</v>
          </cell>
          <cell r="I483">
            <v>35</v>
          </cell>
        </row>
        <row r="484">
          <cell r="A484">
            <v>324182</v>
          </cell>
          <cell r="B484" t="str">
            <v>BD24-0240-R-R-WH</v>
          </cell>
          <cell r="C484">
            <v>4</v>
          </cell>
          <cell r="D484" t="str">
            <v>ISBM</v>
          </cell>
          <cell r="E484" t="str">
            <v>PET</v>
          </cell>
          <cell r="F484">
            <v>36.800000000000004</v>
          </cell>
          <cell r="G484"/>
          <cell r="H484">
            <v>47.840000000000011</v>
          </cell>
          <cell r="I484">
            <v>35</v>
          </cell>
        </row>
        <row r="485">
          <cell r="A485">
            <v>590133</v>
          </cell>
          <cell r="B485" t="str">
            <v>BD24-D150-C-R-AM</v>
          </cell>
          <cell r="C485">
            <v>4</v>
          </cell>
          <cell r="D485" t="str">
            <v>ISBM</v>
          </cell>
          <cell r="E485" t="str">
            <v>PET</v>
          </cell>
          <cell r="F485">
            <v>36.729999999999997</v>
          </cell>
          <cell r="G485"/>
          <cell r="H485">
            <v>36.799999999999997</v>
          </cell>
          <cell r="I485">
            <v>36</v>
          </cell>
        </row>
        <row r="486">
          <cell r="A486">
            <v>522217</v>
          </cell>
          <cell r="B486" t="str">
            <v>BS0045- 45ML PE BTL (NATURAL)</v>
          </cell>
          <cell r="C486">
            <v>4</v>
          </cell>
          <cell r="D486" t="str">
            <v>EBM</v>
          </cell>
          <cell r="E486" t="str">
            <v>HDPE5403</v>
          </cell>
          <cell r="F486">
            <v>6</v>
          </cell>
          <cell r="G486"/>
          <cell r="H486">
            <v>6</v>
          </cell>
          <cell r="I486">
            <v>21.5</v>
          </cell>
        </row>
        <row r="487">
          <cell r="A487">
            <v>541511</v>
          </cell>
          <cell r="B487" t="str">
            <v>BS0045- 45ML PP BTL (NATURAL)</v>
          </cell>
          <cell r="C487">
            <v>4</v>
          </cell>
          <cell r="D487" t="str">
            <v>EBM</v>
          </cell>
          <cell r="E487" t="str">
            <v>PP855</v>
          </cell>
          <cell r="F487">
            <v>7.1</v>
          </cell>
          <cell r="G487"/>
          <cell r="H487">
            <v>27.3</v>
          </cell>
          <cell r="I487">
            <v>18</v>
          </cell>
        </row>
        <row r="488">
          <cell r="A488">
            <v>453884</v>
          </cell>
          <cell r="B488" t="str">
            <v>BS0045-WH 45ML PE BTL (WHITE)</v>
          </cell>
          <cell r="C488">
            <v>4</v>
          </cell>
          <cell r="D488" t="str">
            <v>EBM</v>
          </cell>
          <cell r="E488" t="str">
            <v>PP855</v>
          </cell>
          <cell r="F488">
            <v>6</v>
          </cell>
          <cell r="G488"/>
          <cell r="H488">
            <v>7.8000000000000007</v>
          </cell>
          <cell r="I488">
            <v>18</v>
          </cell>
        </row>
        <row r="489">
          <cell r="A489">
            <v>480192</v>
          </cell>
          <cell r="B489" t="str">
            <v>BS0102 100ML INK BTL (NATURAL)</v>
          </cell>
          <cell r="C489">
            <v>4</v>
          </cell>
          <cell r="D489" t="str">
            <v>EBM</v>
          </cell>
          <cell r="E489" t="str">
            <v>HDPE5403+LDPE265YZ</v>
          </cell>
          <cell r="F489">
            <v>15.2</v>
          </cell>
          <cell r="G489"/>
          <cell r="H489">
            <v>19.759999999999998</v>
          </cell>
          <cell r="I489">
            <v>21</v>
          </cell>
        </row>
        <row r="490">
          <cell r="A490">
            <v>453885</v>
          </cell>
          <cell r="B490" t="str">
            <v>BS0112-DBR 60ML HDPE BTL (D.BROWN)</v>
          </cell>
          <cell r="C490">
            <v>4</v>
          </cell>
          <cell r="D490" t="str">
            <v>EBM</v>
          </cell>
          <cell r="E490" t="str">
            <v>HDPE5403</v>
          </cell>
          <cell r="F490">
            <v>18</v>
          </cell>
          <cell r="G490"/>
          <cell r="H490">
            <v>12</v>
          </cell>
          <cell r="I490">
            <v>21.2</v>
          </cell>
        </row>
        <row r="491">
          <cell r="A491">
            <v>453886</v>
          </cell>
          <cell r="B491" t="str">
            <v>BS0112-WH 60ML HDPE BTL (WHITE)</v>
          </cell>
          <cell r="C491">
            <v>4</v>
          </cell>
          <cell r="D491" t="str">
            <v>EBM</v>
          </cell>
          <cell r="E491" t="str">
            <v>HDPE5403</v>
          </cell>
          <cell r="F491">
            <v>18</v>
          </cell>
          <cell r="G491"/>
          <cell r="H491">
            <v>23.400000000000002</v>
          </cell>
          <cell r="I491">
            <v>21.2</v>
          </cell>
        </row>
        <row r="492">
          <cell r="A492">
            <v>453887</v>
          </cell>
          <cell r="B492" t="str">
            <v>BS0121-NA 120ML PE BTL (NATURAL)</v>
          </cell>
          <cell r="C492">
            <v>4</v>
          </cell>
          <cell r="D492" t="str">
            <v>EBM</v>
          </cell>
          <cell r="E492" t="str">
            <v>MARLEX6007</v>
          </cell>
          <cell r="F492">
            <v>12</v>
          </cell>
          <cell r="G492"/>
          <cell r="H492">
            <v>15.600000000000001</v>
          </cell>
          <cell r="I492">
            <v>18</v>
          </cell>
        </row>
        <row r="493">
          <cell r="A493">
            <v>618592</v>
          </cell>
          <cell r="B493" t="str">
            <v xml:space="preserve">E22-0150-R-GY-HDPE </v>
          </cell>
          <cell r="C493">
            <v>4</v>
          </cell>
          <cell r="D493" t="str">
            <v>EBM</v>
          </cell>
          <cell r="E493" t="str">
            <v>MARLEX6007</v>
          </cell>
          <cell r="F493">
            <v>15</v>
          </cell>
          <cell r="G493"/>
          <cell r="H493">
            <v>26</v>
          </cell>
          <cell r="I493">
            <v>25</v>
          </cell>
        </row>
        <row r="494">
          <cell r="A494">
            <v>453888</v>
          </cell>
          <cell r="B494" t="str">
            <v>BS0155-NA 150ML PE BTL (NATURAL)</v>
          </cell>
          <cell r="C494">
            <v>4</v>
          </cell>
          <cell r="D494" t="str">
            <v>EBM</v>
          </cell>
          <cell r="E494" t="str">
            <v>HDPE5403</v>
          </cell>
          <cell r="F494">
            <v>20</v>
          </cell>
          <cell r="G494"/>
          <cell r="H494">
            <v>26</v>
          </cell>
          <cell r="I494">
            <v>20</v>
          </cell>
        </row>
        <row r="495">
          <cell r="A495">
            <v>454177</v>
          </cell>
          <cell r="B495" t="str">
            <v>BS0157-NA 150ML PP BTL (NATURAL)</v>
          </cell>
          <cell r="C495">
            <v>4</v>
          </cell>
          <cell r="D495" t="str">
            <v>EBM</v>
          </cell>
          <cell r="E495" t="str">
            <v>PP855</v>
          </cell>
          <cell r="F495">
            <v>18</v>
          </cell>
          <cell r="G495"/>
          <cell r="H495">
            <v>23.400000000000002</v>
          </cell>
          <cell r="I495">
            <v>17</v>
          </cell>
        </row>
        <row r="496">
          <cell r="A496">
            <v>453889</v>
          </cell>
          <cell r="B496" t="str">
            <v>BS0182-NA 180ML PP BTL (NATURAL)</v>
          </cell>
          <cell r="C496">
            <v>4</v>
          </cell>
          <cell r="D496" t="str">
            <v>EBM</v>
          </cell>
          <cell r="E496" t="str">
            <v>PP855</v>
          </cell>
          <cell r="F496">
            <v>17</v>
          </cell>
          <cell r="G496"/>
          <cell r="H496">
            <v>22.1</v>
          </cell>
          <cell r="I496">
            <v>20.7</v>
          </cell>
        </row>
        <row r="497">
          <cell r="A497">
            <v>453890</v>
          </cell>
          <cell r="B497" t="str">
            <v>BS0207-NA 200ML PE BTL (NATURAL)</v>
          </cell>
          <cell r="C497">
            <v>4</v>
          </cell>
          <cell r="D497" t="str">
            <v>EBM</v>
          </cell>
          <cell r="E497" t="str">
            <v>HDPE5403</v>
          </cell>
          <cell r="F497">
            <v>16</v>
          </cell>
          <cell r="G497"/>
          <cell r="H497">
            <v>20.8</v>
          </cell>
          <cell r="I497">
            <v>16.5</v>
          </cell>
        </row>
        <row r="498">
          <cell r="A498">
            <v>453891</v>
          </cell>
          <cell r="B498" t="str">
            <v>BS0209-NA 200ML PE BTL (NATURAL)</v>
          </cell>
          <cell r="C498">
            <v>4</v>
          </cell>
          <cell r="D498" t="str">
            <v>EBM</v>
          </cell>
          <cell r="E498" t="str">
            <v>HDPE5403</v>
          </cell>
          <cell r="F498">
            <v>19</v>
          </cell>
          <cell r="G498"/>
          <cell r="H498">
            <v>19.899999999999999</v>
          </cell>
          <cell r="I498">
            <v>20</v>
          </cell>
        </row>
        <row r="499">
          <cell r="A499">
            <v>453892</v>
          </cell>
          <cell r="B499" t="str">
            <v>BS0213-NA 200ML PE BTL (NATURAL)</v>
          </cell>
          <cell r="C499">
            <v>4</v>
          </cell>
          <cell r="D499" t="str">
            <v>EBM</v>
          </cell>
          <cell r="E499" t="str">
            <v>HDPE5403</v>
          </cell>
          <cell r="F499">
            <v>20</v>
          </cell>
          <cell r="G499"/>
          <cell r="H499">
            <v>26</v>
          </cell>
          <cell r="I499">
            <v>18</v>
          </cell>
        </row>
        <row r="500">
          <cell r="A500">
            <v>453893</v>
          </cell>
          <cell r="B500" t="str">
            <v>BS0213-NA 200ML PP BTL (NATURAL)</v>
          </cell>
          <cell r="C500">
            <v>4</v>
          </cell>
          <cell r="D500" t="str">
            <v>EBM</v>
          </cell>
          <cell r="E500" t="str">
            <v>PP855</v>
          </cell>
          <cell r="F500">
            <v>20</v>
          </cell>
          <cell r="G500"/>
          <cell r="H500">
            <v>20</v>
          </cell>
          <cell r="I500">
            <v>18</v>
          </cell>
        </row>
        <row r="501">
          <cell r="A501">
            <v>453894</v>
          </cell>
          <cell r="B501" t="str">
            <v>BS0215-NA 180ML PP BTL (NATURAL)</v>
          </cell>
          <cell r="C501">
            <v>4</v>
          </cell>
          <cell r="D501" t="str">
            <v>EBM</v>
          </cell>
          <cell r="E501" t="str">
            <v>PP855</v>
          </cell>
          <cell r="F501">
            <v>19</v>
          </cell>
          <cell r="G501"/>
          <cell r="H501">
            <v>34</v>
          </cell>
          <cell r="I501">
            <v>18</v>
          </cell>
        </row>
        <row r="502">
          <cell r="A502">
            <v>503660</v>
          </cell>
          <cell r="B502" t="str">
            <v>BS0215-WH 200ML PP BTL (WHITE)</v>
          </cell>
          <cell r="C502">
            <v>4</v>
          </cell>
          <cell r="D502" t="str">
            <v>EBM</v>
          </cell>
          <cell r="E502" t="str">
            <v>PP855</v>
          </cell>
          <cell r="F502">
            <v>21</v>
          </cell>
          <cell r="G502"/>
          <cell r="H502">
            <v>38.1</v>
          </cell>
          <cell r="I502">
            <v>21.4</v>
          </cell>
        </row>
        <row r="503">
          <cell r="A503">
            <v>453895</v>
          </cell>
          <cell r="B503" t="str">
            <v>BS0217-NA 200ML PE BTL (NATURAL)</v>
          </cell>
          <cell r="C503">
            <v>4</v>
          </cell>
          <cell r="D503" t="str">
            <v>EBM</v>
          </cell>
          <cell r="E503" t="str">
            <v>HDPE5403</v>
          </cell>
          <cell r="F503">
            <v>20.6</v>
          </cell>
          <cell r="G503"/>
          <cell r="H503">
            <v>33.5</v>
          </cell>
          <cell r="I503">
            <v>20.7</v>
          </cell>
        </row>
        <row r="504">
          <cell r="A504">
            <v>461195</v>
          </cell>
          <cell r="B504" t="str">
            <v>BS0223-NA 200ML PP BTL (NATURAL)</v>
          </cell>
          <cell r="C504">
            <v>4</v>
          </cell>
          <cell r="D504" t="str">
            <v>EBM</v>
          </cell>
          <cell r="E504" t="str">
            <v>PP855</v>
          </cell>
          <cell r="F504">
            <v>25</v>
          </cell>
          <cell r="G504"/>
          <cell r="H504">
            <v>38</v>
          </cell>
          <cell r="I504">
            <v>20</v>
          </cell>
        </row>
        <row r="505">
          <cell r="A505">
            <v>453896</v>
          </cell>
          <cell r="B505" t="str">
            <v>BS0239-NA 250ML PP BTL (NATURAL)</v>
          </cell>
          <cell r="C505">
            <v>4</v>
          </cell>
          <cell r="D505" t="str">
            <v>EBM</v>
          </cell>
          <cell r="E505" t="str">
            <v>PP855</v>
          </cell>
          <cell r="F505">
            <v>20</v>
          </cell>
          <cell r="G505"/>
          <cell r="H505">
            <v>21</v>
          </cell>
          <cell r="I505">
            <v>20</v>
          </cell>
        </row>
        <row r="506">
          <cell r="A506">
            <v>453897</v>
          </cell>
          <cell r="B506" t="str">
            <v>BS0252-NA 250ML PE BTL (NATURAL)</v>
          </cell>
          <cell r="C506">
            <v>4</v>
          </cell>
          <cell r="D506" t="str">
            <v>EBM</v>
          </cell>
          <cell r="E506" t="str">
            <v>HDPE5403</v>
          </cell>
          <cell r="F506">
            <v>19.399999999999999</v>
          </cell>
          <cell r="G506"/>
          <cell r="H506">
            <v>25.22</v>
          </cell>
          <cell r="I506">
            <v>18</v>
          </cell>
        </row>
        <row r="507">
          <cell r="A507">
            <v>453898</v>
          </cell>
          <cell r="B507" t="str">
            <v>BS0255-NA 250ML PE BTL (NATURAL)</v>
          </cell>
          <cell r="C507">
            <v>4</v>
          </cell>
          <cell r="D507" t="str">
            <v>EBM</v>
          </cell>
          <cell r="E507" t="str">
            <v>HDPE5403</v>
          </cell>
          <cell r="F507">
            <v>20.7</v>
          </cell>
          <cell r="G507"/>
          <cell r="H507">
            <v>30</v>
          </cell>
          <cell r="I507">
            <v>19.100000000000001</v>
          </cell>
        </row>
        <row r="508">
          <cell r="A508">
            <v>454881</v>
          </cell>
          <cell r="B508" t="str">
            <v>BS0255-NA 250ML PP BTL (NATURAL)</v>
          </cell>
          <cell r="C508">
            <v>4</v>
          </cell>
          <cell r="D508" t="str">
            <v>EBM</v>
          </cell>
          <cell r="E508" t="str">
            <v>PP855</v>
          </cell>
          <cell r="F508">
            <v>20.7</v>
          </cell>
          <cell r="G508"/>
          <cell r="H508">
            <v>26.91</v>
          </cell>
          <cell r="I508">
            <v>19.100000000000001</v>
          </cell>
        </row>
        <row r="509">
          <cell r="A509">
            <v>454883</v>
          </cell>
          <cell r="B509" t="str">
            <v>BS0256-NA 250ML PE BTL (NATURAL)</v>
          </cell>
          <cell r="C509">
            <v>4</v>
          </cell>
          <cell r="D509" t="str">
            <v>EBM</v>
          </cell>
          <cell r="E509" t="str">
            <v>PP855</v>
          </cell>
          <cell r="F509">
            <v>20</v>
          </cell>
          <cell r="G509"/>
          <cell r="H509">
            <v>26</v>
          </cell>
          <cell r="I509">
            <v>18.600000000000001</v>
          </cell>
        </row>
        <row r="510">
          <cell r="A510">
            <v>453899</v>
          </cell>
          <cell r="B510" t="str">
            <v>BS0259-NA 250ML PE BTL (NATURAL)</v>
          </cell>
          <cell r="C510">
            <v>4</v>
          </cell>
          <cell r="D510" t="str">
            <v>EBM</v>
          </cell>
          <cell r="E510" t="str">
            <v>HDPE5404</v>
          </cell>
          <cell r="F510">
            <v>20</v>
          </cell>
          <cell r="G510"/>
          <cell r="H510">
            <v>31</v>
          </cell>
          <cell r="I510">
            <v>18</v>
          </cell>
        </row>
        <row r="511">
          <cell r="A511">
            <v>453900</v>
          </cell>
          <cell r="B511" t="str">
            <v>BS0267-BR 250ML PP BTL (BROWN)</v>
          </cell>
          <cell r="C511">
            <v>4</v>
          </cell>
          <cell r="D511" t="str">
            <v>EBM</v>
          </cell>
          <cell r="E511" t="str">
            <v>PP855</v>
          </cell>
          <cell r="F511">
            <v>20.6</v>
          </cell>
          <cell r="G511"/>
          <cell r="H511">
            <v>26.78</v>
          </cell>
          <cell r="I511">
            <v>18</v>
          </cell>
        </row>
        <row r="512">
          <cell r="A512">
            <v>453901</v>
          </cell>
          <cell r="B512" t="str">
            <v>BS0267-NA 250ML PP BTL (NATURAL)</v>
          </cell>
          <cell r="C512">
            <v>4</v>
          </cell>
          <cell r="D512" t="str">
            <v>EBM</v>
          </cell>
          <cell r="E512" t="str">
            <v>PP855</v>
          </cell>
          <cell r="F512">
            <v>20.6</v>
          </cell>
          <cell r="G512"/>
          <cell r="H512">
            <v>25</v>
          </cell>
          <cell r="I512">
            <v>18</v>
          </cell>
        </row>
        <row r="513">
          <cell r="A513">
            <v>454224</v>
          </cell>
          <cell r="B513" t="str">
            <v>BS0269-NA 250ML PP BTL (NATURAL)</v>
          </cell>
          <cell r="C513">
            <v>4</v>
          </cell>
          <cell r="D513" t="str">
            <v>EBM</v>
          </cell>
          <cell r="E513" t="str">
            <v>PP855</v>
          </cell>
          <cell r="F513">
            <v>20</v>
          </cell>
          <cell r="G513"/>
          <cell r="H513">
            <v>60.5</v>
          </cell>
          <cell r="I513">
            <v>20.399999999999999</v>
          </cell>
        </row>
        <row r="514">
          <cell r="A514">
            <v>467002</v>
          </cell>
          <cell r="B514" t="str">
            <v>BS0281-NA 280ML PP BTL (NATURAL)</v>
          </cell>
          <cell r="C514">
            <v>4</v>
          </cell>
          <cell r="D514" t="str">
            <v>EBM</v>
          </cell>
          <cell r="E514" t="str">
            <v>PP855</v>
          </cell>
          <cell r="F514">
            <v>21</v>
          </cell>
          <cell r="G514"/>
          <cell r="H514">
            <v>37.5</v>
          </cell>
          <cell r="I514">
            <v>18</v>
          </cell>
        </row>
        <row r="515">
          <cell r="A515">
            <v>453811</v>
          </cell>
          <cell r="B515" t="str">
            <v>BS0300-NA GBB0300 HDPE BTL (NATURAL)</v>
          </cell>
          <cell r="C515">
            <v>1</v>
          </cell>
          <cell r="D515" t="str">
            <v>EBM</v>
          </cell>
          <cell r="E515" t="str">
            <v>HDPE5403</v>
          </cell>
          <cell r="F515">
            <v>38</v>
          </cell>
          <cell r="G515"/>
          <cell r="H515">
            <v>60.3</v>
          </cell>
          <cell r="I515">
            <v>30</v>
          </cell>
        </row>
        <row r="516">
          <cell r="A516">
            <v>453902</v>
          </cell>
          <cell r="B516" t="str">
            <v>BS0302-NA 300ML HDPE BTL (NATURAL)</v>
          </cell>
          <cell r="C516">
            <v>4</v>
          </cell>
          <cell r="D516" t="str">
            <v>EBM</v>
          </cell>
          <cell r="E516" t="str">
            <v>HDPE5403</v>
          </cell>
          <cell r="F516">
            <v>21</v>
          </cell>
          <cell r="G516"/>
          <cell r="H516">
            <v>24.6</v>
          </cell>
          <cell r="I516">
            <v>18</v>
          </cell>
        </row>
        <row r="517">
          <cell r="A517">
            <v>453903</v>
          </cell>
          <cell r="B517" t="str">
            <v>BS0302-NA 300ML PP BTL (NATURAL)</v>
          </cell>
          <cell r="C517">
            <v>4</v>
          </cell>
          <cell r="D517" t="str">
            <v>EBM</v>
          </cell>
          <cell r="E517" t="str">
            <v>PP855</v>
          </cell>
          <cell r="F517">
            <v>23.4</v>
          </cell>
          <cell r="G517"/>
          <cell r="H517">
            <v>28</v>
          </cell>
          <cell r="I517">
            <v>22.6</v>
          </cell>
        </row>
        <row r="518">
          <cell r="A518">
            <v>453904</v>
          </cell>
          <cell r="B518" t="str">
            <v>BS0307-NA 300ML PP BTL (NATURAL)</v>
          </cell>
          <cell r="C518">
            <v>4</v>
          </cell>
          <cell r="D518" t="str">
            <v>EBM</v>
          </cell>
          <cell r="E518" t="str">
            <v>PP855</v>
          </cell>
          <cell r="F518">
            <v>24</v>
          </cell>
          <cell r="G518"/>
          <cell r="H518">
            <v>25</v>
          </cell>
          <cell r="I518">
            <v>26.4</v>
          </cell>
        </row>
        <row r="519">
          <cell r="A519">
            <v>453905</v>
          </cell>
          <cell r="B519" t="str">
            <v>BS0308-NA 300ML PP BTL (NATURAL)</v>
          </cell>
          <cell r="C519">
            <v>4</v>
          </cell>
          <cell r="D519" t="str">
            <v>EBM</v>
          </cell>
          <cell r="E519" t="str">
            <v>PP855</v>
          </cell>
          <cell r="F519">
            <v>28</v>
          </cell>
          <cell r="G519"/>
          <cell r="H519">
            <v>26</v>
          </cell>
          <cell r="I519">
            <v>24.4</v>
          </cell>
        </row>
        <row r="520">
          <cell r="A520">
            <v>465634</v>
          </cell>
          <cell r="B520" t="str">
            <v>BS0308-WH 300ML PP BTL (WHITE)</v>
          </cell>
          <cell r="C520">
            <v>4</v>
          </cell>
          <cell r="D520" t="str">
            <v>EBM</v>
          </cell>
          <cell r="E520" t="str">
            <v>PP855</v>
          </cell>
          <cell r="F520">
            <v>28</v>
          </cell>
          <cell r="G520"/>
          <cell r="H520">
            <v>29</v>
          </cell>
          <cell r="I520">
            <v>19.100000000000001</v>
          </cell>
        </row>
        <row r="521">
          <cell r="A521">
            <v>459267</v>
          </cell>
          <cell r="B521" t="str">
            <v>BS0310 NA 310ML PP BTL (NATURAL)</v>
          </cell>
          <cell r="C521">
            <v>4</v>
          </cell>
          <cell r="D521" t="str">
            <v>EBM</v>
          </cell>
          <cell r="E521" t="str">
            <v>PP855</v>
          </cell>
          <cell r="F521">
            <v>23</v>
          </cell>
          <cell r="G521"/>
          <cell r="H521">
            <v>29.900000000000002</v>
          </cell>
          <cell r="I521">
            <v>18</v>
          </cell>
        </row>
        <row r="522">
          <cell r="A522">
            <v>453906</v>
          </cell>
          <cell r="B522" t="str">
            <v>BS0311-NA 300ML PP BTL (NATURAL)</v>
          </cell>
          <cell r="C522">
            <v>4</v>
          </cell>
          <cell r="D522" t="str">
            <v>EBM</v>
          </cell>
          <cell r="E522" t="str">
            <v>PP855</v>
          </cell>
          <cell r="F522">
            <v>28</v>
          </cell>
          <cell r="G522"/>
          <cell r="H522">
            <v>27</v>
          </cell>
          <cell r="I522">
            <v>18</v>
          </cell>
        </row>
        <row r="523">
          <cell r="A523">
            <v>453907</v>
          </cell>
          <cell r="B523" t="str">
            <v>BS0312-NA 300ML PP BTL (NATURAL)</v>
          </cell>
          <cell r="C523">
            <v>4</v>
          </cell>
          <cell r="D523" t="str">
            <v>EBM</v>
          </cell>
          <cell r="E523" t="str">
            <v>PP855</v>
          </cell>
          <cell r="F523">
            <v>23</v>
          </cell>
          <cell r="G523"/>
          <cell r="H523">
            <v>24</v>
          </cell>
          <cell r="I523">
            <v>20</v>
          </cell>
        </row>
        <row r="524">
          <cell r="A524">
            <v>453908</v>
          </cell>
          <cell r="B524" t="str">
            <v>BS0313-NA 250ML PP BTL (NATURAL)</v>
          </cell>
          <cell r="C524">
            <v>4</v>
          </cell>
          <cell r="D524" t="str">
            <v>EBM</v>
          </cell>
          <cell r="E524" t="str">
            <v>PP855</v>
          </cell>
          <cell r="F524">
            <v>26.8</v>
          </cell>
          <cell r="G524"/>
          <cell r="H524">
            <v>34.840000000000003</v>
          </cell>
          <cell r="I524">
            <v>18</v>
          </cell>
        </row>
        <row r="525">
          <cell r="A525">
            <v>453909</v>
          </cell>
          <cell r="B525" t="str">
            <v>BS0315-NA 310ML PP BTL (NATURAL)</v>
          </cell>
          <cell r="C525">
            <v>4</v>
          </cell>
          <cell r="D525" t="str">
            <v>EBM</v>
          </cell>
          <cell r="E525" t="str">
            <v>PP855</v>
          </cell>
          <cell r="F525">
            <v>23.3</v>
          </cell>
          <cell r="G525"/>
          <cell r="H525">
            <v>25.3</v>
          </cell>
          <cell r="I525">
            <v>24.1</v>
          </cell>
        </row>
        <row r="526">
          <cell r="A526">
            <v>461197</v>
          </cell>
          <cell r="B526" t="str">
            <v>BS0316-NA 310ML PP BTL (NATURAL)</v>
          </cell>
          <cell r="C526">
            <v>4</v>
          </cell>
          <cell r="D526" t="str">
            <v>EBM</v>
          </cell>
          <cell r="E526" t="str">
            <v>PP855</v>
          </cell>
          <cell r="F526">
            <v>23</v>
          </cell>
          <cell r="G526"/>
          <cell r="H526">
            <v>26</v>
          </cell>
          <cell r="I526">
            <v>18</v>
          </cell>
        </row>
        <row r="527">
          <cell r="A527">
            <v>453910</v>
          </cell>
          <cell r="B527" t="str">
            <v>BS0319-NA 310ML PP BTL (NATURAL)</v>
          </cell>
          <cell r="C527">
            <v>4</v>
          </cell>
          <cell r="D527" t="str">
            <v>EBM</v>
          </cell>
          <cell r="E527" t="str">
            <v>PP855</v>
          </cell>
          <cell r="F527">
            <v>21</v>
          </cell>
          <cell r="G527"/>
          <cell r="H527">
            <v>35</v>
          </cell>
          <cell r="I527">
            <v>18</v>
          </cell>
        </row>
        <row r="528">
          <cell r="A528">
            <v>493614</v>
          </cell>
          <cell r="B528" t="str">
            <v>BS0320-NA 320ML HOUSSY PP BTL (NATURAL)</v>
          </cell>
          <cell r="C528">
            <v>4</v>
          </cell>
          <cell r="D528" t="str">
            <v>EBM</v>
          </cell>
          <cell r="E528" t="str">
            <v>PP855</v>
          </cell>
          <cell r="F528">
            <v>21</v>
          </cell>
          <cell r="G528"/>
          <cell r="H528">
            <v>36</v>
          </cell>
          <cell r="I528">
            <v>18</v>
          </cell>
        </row>
        <row r="529">
          <cell r="A529">
            <v>453911</v>
          </cell>
          <cell r="B529" t="str">
            <v>BS0323-BR 300ML PP BTL (BROWN)</v>
          </cell>
          <cell r="C529">
            <v>4</v>
          </cell>
          <cell r="D529" t="str">
            <v>EBM</v>
          </cell>
          <cell r="E529" t="str">
            <v>SM198</v>
          </cell>
          <cell r="F529">
            <v>34</v>
          </cell>
          <cell r="G529"/>
          <cell r="H529">
            <v>44.2</v>
          </cell>
          <cell r="I529">
            <v>19</v>
          </cell>
        </row>
        <row r="530">
          <cell r="A530">
            <v>453912</v>
          </cell>
          <cell r="B530" t="str">
            <v>BS0323-NA 300ML PP BTL (NATURAL)</v>
          </cell>
          <cell r="C530">
            <v>4</v>
          </cell>
          <cell r="D530" t="str">
            <v>EBM</v>
          </cell>
          <cell r="E530" t="str">
            <v>SM199</v>
          </cell>
          <cell r="F530">
            <v>34</v>
          </cell>
          <cell r="G530"/>
          <cell r="H530">
            <v>44.2</v>
          </cell>
          <cell r="I530">
            <v>19</v>
          </cell>
        </row>
        <row r="531">
          <cell r="A531">
            <v>453913</v>
          </cell>
          <cell r="B531" t="str">
            <v>BS0323-RD 300ML PP BTL (RED)</v>
          </cell>
          <cell r="C531">
            <v>4</v>
          </cell>
          <cell r="D531" t="str">
            <v>EBM</v>
          </cell>
          <cell r="E531" t="str">
            <v>SM198</v>
          </cell>
          <cell r="F531">
            <v>34</v>
          </cell>
          <cell r="G531"/>
          <cell r="H531">
            <v>29.5</v>
          </cell>
          <cell r="I531">
            <v>19</v>
          </cell>
        </row>
        <row r="532">
          <cell r="A532">
            <v>453914</v>
          </cell>
          <cell r="B532" t="str">
            <v>BS0327-NA 350ML PP BTL (NATURAL)</v>
          </cell>
          <cell r="C532">
            <v>4</v>
          </cell>
          <cell r="D532" t="str">
            <v>EBM</v>
          </cell>
          <cell r="E532" t="str">
            <v>PP855</v>
          </cell>
          <cell r="F532">
            <v>28</v>
          </cell>
          <cell r="G532"/>
          <cell r="H532">
            <v>24</v>
          </cell>
          <cell r="I532">
            <v>22</v>
          </cell>
        </row>
        <row r="533">
          <cell r="A533">
            <v>453916</v>
          </cell>
          <cell r="B533" t="str">
            <v>BS0332-NA 300ML PP BTL HW (NATURAL)</v>
          </cell>
          <cell r="C533">
            <v>4</v>
          </cell>
          <cell r="D533" t="str">
            <v>EBM</v>
          </cell>
          <cell r="E533" t="str">
            <v>PP855</v>
          </cell>
          <cell r="F533">
            <v>29.5</v>
          </cell>
          <cell r="G533"/>
          <cell r="H533">
            <v>43.5</v>
          </cell>
          <cell r="I533">
            <v>21.1</v>
          </cell>
        </row>
        <row r="534">
          <cell r="A534">
            <v>453915</v>
          </cell>
          <cell r="B534" t="str">
            <v>BS0332-NA 300ML PP BTL LW (NATURAL)</v>
          </cell>
          <cell r="C534">
            <v>4</v>
          </cell>
          <cell r="D534" t="str">
            <v>EBM</v>
          </cell>
          <cell r="E534" t="str">
            <v>PP855</v>
          </cell>
          <cell r="F534">
            <v>24</v>
          </cell>
          <cell r="G534"/>
          <cell r="H534">
            <v>37.799999999999997</v>
          </cell>
          <cell r="I534">
            <v>30.54</v>
          </cell>
        </row>
        <row r="535">
          <cell r="A535">
            <v>453917</v>
          </cell>
          <cell r="B535" t="str">
            <v>BS0332-NA 300ML PP BTL PRESS-ON(NATURAL)</v>
          </cell>
          <cell r="C535">
            <v>4</v>
          </cell>
          <cell r="D535" t="str">
            <v>EBM</v>
          </cell>
          <cell r="E535" t="str">
            <v>PP855</v>
          </cell>
          <cell r="F535">
            <v>23</v>
          </cell>
          <cell r="G535"/>
          <cell r="H535">
            <v>29.900000000000002</v>
          </cell>
          <cell r="I535">
            <v>21.1</v>
          </cell>
        </row>
        <row r="536">
          <cell r="A536">
            <v>454228</v>
          </cell>
          <cell r="B536" t="str">
            <v>BS0333-NA 300ML PP BTL (NATURAL)</v>
          </cell>
          <cell r="C536">
            <v>4</v>
          </cell>
          <cell r="D536" t="str">
            <v>EBM</v>
          </cell>
          <cell r="E536" t="str">
            <v>PP855</v>
          </cell>
          <cell r="F536">
            <v>23</v>
          </cell>
          <cell r="G536"/>
          <cell r="H536">
            <v>40.200000000000003</v>
          </cell>
          <cell r="I536">
            <v>23</v>
          </cell>
        </row>
        <row r="537">
          <cell r="A537">
            <v>453918</v>
          </cell>
          <cell r="B537" t="str">
            <v>BS0336-NA 300ML PP BTL (NATURAL)</v>
          </cell>
          <cell r="C537">
            <v>4</v>
          </cell>
          <cell r="D537" t="str">
            <v>EBM</v>
          </cell>
          <cell r="E537" t="str">
            <v>PP855</v>
          </cell>
          <cell r="F537">
            <v>24</v>
          </cell>
          <cell r="G537"/>
          <cell r="H537">
            <v>31.200000000000003</v>
          </cell>
          <cell r="I537">
            <v>18</v>
          </cell>
        </row>
        <row r="538">
          <cell r="A538">
            <v>454259</v>
          </cell>
          <cell r="B538" t="str">
            <v>BS0336-WH 300ML PP BTL (WHITE)</v>
          </cell>
          <cell r="C538">
            <v>4</v>
          </cell>
          <cell r="D538" t="str">
            <v>EBM</v>
          </cell>
          <cell r="E538" t="str">
            <v>PP855</v>
          </cell>
          <cell r="F538">
            <v>24</v>
          </cell>
          <cell r="G538"/>
          <cell r="H538">
            <v>40.700000000000003</v>
          </cell>
          <cell r="I538">
            <v>18</v>
          </cell>
        </row>
        <row r="539">
          <cell r="A539">
            <v>453919</v>
          </cell>
          <cell r="B539" t="str">
            <v>BS0337-NA 300ML PP BTL (NATURAL)</v>
          </cell>
          <cell r="C539">
            <v>4</v>
          </cell>
          <cell r="D539" t="str">
            <v>EBM</v>
          </cell>
          <cell r="E539" t="str">
            <v>PP855</v>
          </cell>
          <cell r="F539">
            <v>23.6</v>
          </cell>
          <cell r="G539"/>
          <cell r="H539">
            <v>30.680000000000003</v>
          </cell>
          <cell r="I539">
            <v>20.3</v>
          </cell>
        </row>
        <row r="540">
          <cell r="A540">
            <v>453920</v>
          </cell>
          <cell r="B540" t="str">
            <v>BS0339-NA 300ML PP BTL (NATURAL)</v>
          </cell>
          <cell r="C540">
            <v>4</v>
          </cell>
          <cell r="D540" t="str">
            <v>EBM</v>
          </cell>
          <cell r="E540" t="str">
            <v>PP855</v>
          </cell>
          <cell r="F540">
            <v>28</v>
          </cell>
          <cell r="G540"/>
          <cell r="H540">
            <v>36.4</v>
          </cell>
          <cell r="I540">
            <v>19</v>
          </cell>
        </row>
        <row r="541">
          <cell r="A541">
            <v>453921</v>
          </cell>
          <cell r="B541" t="str">
            <v>BS0347-DBR 350ML PP BTL (D.BROWN)</v>
          </cell>
          <cell r="C541">
            <v>2</v>
          </cell>
          <cell r="D541" t="str">
            <v>EBM</v>
          </cell>
          <cell r="E541" t="str">
            <v>PP855</v>
          </cell>
          <cell r="F541">
            <v>31.7</v>
          </cell>
          <cell r="G541"/>
          <cell r="H541">
            <v>46</v>
          </cell>
          <cell r="I541">
            <v>20.100000000000001</v>
          </cell>
        </row>
        <row r="542">
          <cell r="A542">
            <v>528872</v>
          </cell>
          <cell r="B542" t="str">
            <v>BS0350-NA 350ML PP BTL (NATURAL) KEKO</v>
          </cell>
          <cell r="C542">
            <v>4</v>
          </cell>
          <cell r="D542" t="str">
            <v>EBM</v>
          </cell>
          <cell r="E542" t="str">
            <v>PP855</v>
          </cell>
          <cell r="F542">
            <v>35</v>
          </cell>
          <cell r="G542"/>
          <cell r="H542">
            <v>45.5</v>
          </cell>
          <cell r="I542">
            <v>25</v>
          </cell>
        </row>
        <row r="543">
          <cell r="A543">
            <v>531765</v>
          </cell>
          <cell r="B543" t="str">
            <v>BS0350-WH 350ML PP BTL (WHITE) KEKO</v>
          </cell>
          <cell r="C543">
            <v>4</v>
          </cell>
          <cell r="D543" t="str">
            <v>EBM</v>
          </cell>
          <cell r="E543" t="str">
            <v>PP855</v>
          </cell>
          <cell r="F543">
            <v>35.1</v>
          </cell>
          <cell r="G543"/>
          <cell r="H543">
            <v>24</v>
          </cell>
          <cell r="I543">
            <v>26.1</v>
          </cell>
        </row>
        <row r="544">
          <cell r="A544">
            <v>453922</v>
          </cell>
          <cell r="B544" t="str">
            <v>BS0352-NA 300ML PP BTL (NATURAL)</v>
          </cell>
          <cell r="C544">
            <v>4</v>
          </cell>
          <cell r="D544" t="str">
            <v>EBM</v>
          </cell>
          <cell r="E544" t="str">
            <v>PP855</v>
          </cell>
          <cell r="F544">
            <v>23</v>
          </cell>
          <cell r="G544"/>
          <cell r="H544">
            <v>29.900000000000002</v>
          </cell>
          <cell r="I544">
            <v>20</v>
          </cell>
        </row>
        <row r="545">
          <cell r="A545">
            <v>472338</v>
          </cell>
          <cell r="B545" t="str">
            <v>BS0353-NA 300ML PP BTL (NATURAL)</v>
          </cell>
          <cell r="C545">
            <v>4</v>
          </cell>
          <cell r="D545" t="str">
            <v>EBM</v>
          </cell>
          <cell r="E545" t="str">
            <v>PP855</v>
          </cell>
          <cell r="F545">
            <v>21</v>
          </cell>
          <cell r="G545"/>
          <cell r="H545">
            <v>27.3</v>
          </cell>
          <cell r="I545">
            <v>18</v>
          </cell>
        </row>
        <row r="546">
          <cell r="A546">
            <v>453923</v>
          </cell>
          <cell r="B546" t="str">
            <v>BS0361-NA 350ML PP BTL (NATURAL)</v>
          </cell>
          <cell r="C546">
            <v>4</v>
          </cell>
          <cell r="D546" t="str">
            <v>EBM</v>
          </cell>
          <cell r="E546" t="str">
            <v>PP855</v>
          </cell>
          <cell r="F546">
            <v>39.200000000000003</v>
          </cell>
          <cell r="G546"/>
          <cell r="H546">
            <v>60</v>
          </cell>
          <cell r="I546">
            <v>32.5</v>
          </cell>
        </row>
        <row r="547">
          <cell r="A547">
            <v>453924</v>
          </cell>
          <cell r="B547" t="str">
            <v>BS0362-NA 300ML PP BTL (NATURAL)</v>
          </cell>
          <cell r="C547">
            <v>4</v>
          </cell>
          <cell r="D547" t="str">
            <v>EBM</v>
          </cell>
          <cell r="E547" t="str">
            <v>PP855</v>
          </cell>
          <cell r="F547">
            <v>28</v>
          </cell>
          <cell r="G547"/>
          <cell r="H547">
            <v>28.5</v>
          </cell>
          <cell r="I547">
            <v>20</v>
          </cell>
        </row>
        <row r="548">
          <cell r="A548">
            <v>552603</v>
          </cell>
          <cell r="B548" t="str">
            <v>BS0367-NA 360ML PP BTL (NATURAL)</v>
          </cell>
          <cell r="C548">
            <v>4</v>
          </cell>
          <cell r="D548" t="str">
            <v>EBM</v>
          </cell>
          <cell r="E548" t="str">
            <v>PP855</v>
          </cell>
          <cell r="F548">
            <v>45</v>
          </cell>
          <cell r="G548"/>
          <cell r="H548">
            <v>36</v>
          </cell>
          <cell r="I548">
            <v>30</v>
          </cell>
        </row>
        <row r="549">
          <cell r="A549">
            <v>453925</v>
          </cell>
          <cell r="B549" t="str">
            <v>BS0391-NA 300ML PP BTL (NATURAL)</v>
          </cell>
          <cell r="C549">
            <v>1</v>
          </cell>
          <cell r="D549" t="str">
            <v>EBM</v>
          </cell>
          <cell r="E549" t="str">
            <v>PP855</v>
          </cell>
          <cell r="F549">
            <v>28</v>
          </cell>
          <cell r="G549"/>
          <cell r="H549">
            <v>58</v>
          </cell>
          <cell r="I549">
            <v>19</v>
          </cell>
        </row>
        <row r="550">
          <cell r="A550">
            <v>454241</v>
          </cell>
          <cell r="B550" t="str">
            <v>BS0468-NA 400ML PP BTL (NATURAL)</v>
          </cell>
          <cell r="C550">
            <v>4</v>
          </cell>
          <cell r="D550" t="str">
            <v>EBM</v>
          </cell>
          <cell r="E550" t="str">
            <v>PP855</v>
          </cell>
          <cell r="F550">
            <v>36</v>
          </cell>
          <cell r="G550"/>
          <cell r="H550">
            <v>46.800000000000004</v>
          </cell>
          <cell r="I550">
            <v>22.8</v>
          </cell>
        </row>
        <row r="551">
          <cell r="A551">
            <v>454183</v>
          </cell>
          <cell r="B551" t="str">
            <v>BS0478-BR 475ML PP BTL (BROWN)</v>
          </cell>
          <cell r="C551">
            <v>2</v>
          </cell>
          <cell r="D551" t="str">
            <v>EBM</v>
          </cell>
          <cell r="E551" t="str">
            <v>MARLEX6007</v>
          </cell>
          <cell r="F551">
            <v>38</v>
          </cell>
          <cell r="G551"/>
          <cell r="H551">
            <v>44.08</v>
          </cell>
          <cell r="I551">
            <v>20.9</v>
          </cell>
        </row>
        <row r="552">
          <cell r="A552">
            <v>454184</v>
          </cell>
          <cell r="B552" t="str">
            <v>BS0478-YL 475ML PP BTL (YELLOW)</v>
          </cell>
          <cell r="C552">
            <v>2</v>
          </cell>
          <cell r="D552" t="str">
            <v>EBM</v>
          </cell>
          <cell r="E552" t="str">
            <v>MARLEX6007</v>
          </cell>
          <cell r="F552">
            <v>38</v>
          </cell>
          <cell r="G552"/>
          <cell r="H552"/>
          <cell r="I552">
            <v>20.9</v>
          </cell>
        </row>
        <row r="553">
          <cell r="A553">
            <v>453926</v>
          </cell>
          <cell r="B553" t="str">
            <v>BS0507-NA 500ML PP BTL (NATURAL)</v>
          </cell>
          <cell r="C553">
            <v>2</v>
          </cell>
          <cell r="D553" t="str">
            <v>EBM</v>
          </cell>
          <cell r="E553" t="str">
            <v>PP855</v>
          </cell>
          <cell r="F553">
            <v>34</v>
          </cell>
          <cell r="G553"/>
          <cell r="H553">
            <v>31</v>
          </cell>
          <cell r="I553">
            <v>18</v>
          </cell>
        </row>
        <row r="554">
          <cell r="A554">
            <v>554304</v>
          </cell>
          <cell r="B554" t="str">
            <v>BS0507-NA 500ML PP BTL (NATURAL)</v>
          </cell>
          <cell r="C554">
            <v>2</v>
          </cell>
          <cell r="D554" t="str">
            <v>EBM</v>
          </cell>
          <cell r="E554" t="str">
            <v>PP855</v>
          </cell>
          <cell r="F554">
            <v>34</v>
          </cell>
          <cell r="G554"/>
          <cell r="H554">
            <v>61.2</v>
          </cell>
          <cell r="I554">
            <v>18</v>
          </cell>
        </row>
        <row r="555">
          <cell r="A555">
            <v>453927</v>
          </cell>
          <cell r="B555" t="str">
            <v>BS0513-NA 500ML PP BTL (NATURAL)</v>
          </cell>
          <cell r="C555">
            <v>2</v>
          </cell>
          <cell r="D555" t="str">
            <v>EBM</v>
          </cell>
          <cell r="E555" t="str">
            <v>PP855</v>
          </cell>
          <cell r="F555">
            <v>31.4</v>
          </cell>
          <cell r="G555"/>
          <cell r="H555">
            <v>67.8</v>
          </cell>
          <cell r="I555">
            <v>21.6</v>
          </cell>
        </row>
        <row r="556">
          <cell r="A556">
            <v>453928</v>
          </cell>
          <cell r="B556" t="str">
            <v>BS0521-NA 500ML PP BTL (NATURAL)</v>
          </cell>
          <cell r="C556">
            <v>2</v>
          </cell>
          <cell r="D556" t="str">
            <v>EBM</v>
          </cell>
          <cell r="E556" t="str">
            <v>PP855</v>
          </cell>
          <cell r="F556">
            <v>43</v>
          </cell>
          <cell r="G556"/>
          <cell r="H556">
            <v>61.41</v>
          </cell>
          <cell r="I556">
            <v>22.2</v>
          </cell>
        </row>
        <row r="557">
          <cell r="A557">
            <v>454217</v>
          </cell>
          <cell r="B557" t="str">
            <v>BS0551-NA 520ML PP BTL (NATURAL)</v>
          </cell>
          <cell r="C557">
            <v>1</v>
          </cell>
          <cell r="D557" t="str">
            <v>EBM</v>
          </cell>
          <cell r="E557" t="str">
            <v>PP855</v>
          </cell>
          <cell r="F557">
            <v>45</v>
          </cell>
          <cell r="G557"/>
          <cell r="H557">
            <v>64.81</v>
          </cell>
          <cell r="I557">
            <v>27.5</v>
          </cell>
        </row>
        <row r="558">
          <cell r="A558">
            <v>454217</v>
          </cell>
          <cell r="B558" t="str">
            <v>BS0571-NA 500ML PP BTL (NATURAL)</v>
          </cell>
          <cell r="C558">
            <v>4</v>
          </cell>
          <cell r="D558" t="str">
            <v>EBM</v>
          </cell>
          <cell r="E558" t="str">
            <v>PP855</v>
          </cell>
          <cell r="F558">
            <v>42</v>
          </cell>
          <cell r="G558"/>
          <cell r="H558">
            <v>62.28</v>
          </cell>
          <cell r="I558">
            <v>35</v>
          </cell>
        </row>
        <row r="559">
          <cell r="A559">
            <v>453934</v>
          </cell>
          <cell r="B559" t="str">
            <v>BS0591-NA 500ML PP BTL (NATURAL)</v>
          </cell>
          <cell r="C559">
            <v>1</v>
          </cell>
          <cell r="D559" t="str">
            <v>EBM</v>
          </cell>
          <cell r="E559" t="str">
            <v>PP855</v>
          </cell>
          <cell r="F559">
            <v>41</v>
          </cell>
          <cell r="G559"/>
          <cell r="H559">
            <v>53.300000000000004</v>
          </cell>
          <cell r="I559">
            <v>20</v>
          </cell>
        </row>
        <row r="560">
          <cell r="A560">
            <v>453935</v>
          </cell>
          <cell r="B560" t="str">
            <v>BS0751-NA 750ML PP BTL (NATURAL)</v>
          </cell>
          <cell r="C560">
            <v>2</v>
          </cell>
          <cell r="D560" t="str">
            <v>EBM</v>
          </cell>
          <cell r="E560" t="str">
            <v>PP855</v>
          </cell>
          <cell r="F560">
            <v>53.9</v>
          </cell>
          <cell r="G560"/>
          <cell r="H560">
            <v>77.5</v>
          </cell>
          <cell r="I560">
            <v>24.2</v>
          </cell>
        </row>
        <row r="561">
          <cell r="A561">
            <v>454192</v>
          </cell>
          <cell r="B561" t="str">
            <v>BS0757-NA 750ML HDPE BTL (NATURAL)</v>
          </cell>
          <cell r="C561">
            <v>4</v>
          </cell>
          <cell r="D561" t="str">
            <v>EBM</v>
          </cell>
          <cell r="E561" t="str">
            <v>MARLEX6007</v>
          </cell>
          <cell r="F561">
            <v>60</v>
          </cell>
          <cell r="G561"/>
          <cell r="H561">
            <v>78</v>
          </cell>
          <cell r="I561">
            <v>48.2</v>
          </cell>
        </row>
        <row r="562">
          <cell r="A562">
            <v>453936</v>
          </cell>
          <cell r="B562" t="str">
            <v>BS0875-NA 750ML PP BTL (NATURAL)</v>
          </cell>
          <cell r="C562">
            <v>2</v>
          </cell>
          <cell r="D562" t="str">
            <v>EBM</v>
          </cell>
          <cell r="E562" t="str">
            <v>PP855</v>
          </cell>
          <cell r="F562">
            <v>57.6</v>
          </cell>
          <cell r="G562"/>
          <cell r="H562">
            <v>45</v>
          </cell>
          <cell r="I562">
            <v>27.2</v>
          </cell>
        </row>
        <row r="563">
          <cell r="A563">
            <v>454221</v>
          </cell>
          <cell r="B563" t="str">
            <v>BS0921-BR 1KG PP BTL (BROWN)</v>
          </cell>
          <cell r="C563">
            <v>2</v>
          </cell>
          <cell r="D563" t="str">
            <v>EBM</v>
          </cell>
          <cell r="E563" t="str">
            <v>PP855</v>
          </cell>
          <cell r="F563">
            <v>44.699999999999996</v>
          </cell>
          <cell r="G563"/>
          <cell r="H563">
            <v>58.11</v>
          </cell>
          <cell r="I563">
            <v>21.6</v>
          </cell>
        </row>
        <row r="564">
          <cell r="A564">
            <v>453937</v>
          </cell>
          <cell r="B564" t="str">
            <v>BS0921-RD 1KG PP BTL (RED)</v>
          </cell>
          <cell r="C564">
            <v>2</v>
          </cell>
          <cell r="D564" t="str">
            <v>EBM</v>
          </cell>
          <cell r="E564" t="str">
            <v>MARLEX6007</v>
          </cell>
          <cell r="F564">
            <v>44.699999999999996</v>
          </cell>
          <cell r="G564"/>
          <cell r="H564">
            <v>58.11</v>
          </cell>
          <cell r="I564">
            <v>21.6</v>
          </cell>
        </row>
        <row r="565">
          <cell r="A565">
            <v>453938</v>
          </cell>
          <cell r="B565" t="str">
            <v>BS1012-BR 1LTR PP BTL (BROWN)</v>
          </cell>
          <cell r="C565">
            <v>2</v>
          </cell>
          <cell r="D565" t="str">
            <v>EBM</v>
          </cell>
          <cell r="E565" t="str">
            <v>PP855</v>
          </cell>
          <cell r="F565">
            <v>74.8</v>
          </cell>
          <cell r="G565"/>
          <cell r="H565">
            <v>54</v>
          </cell>
          <cell r="I565">
            <v>24</v>
          </cell>
        </row>
        <row r="566">
          <cell r="A566">
            <v>453939</v>
          </cell>
          <cell r="B566" t="str">
            <v>BS1012-NA 1LTR PP BTL (NATURAL)</v>
          </cell>
          <cell r="C566">
            <v>2</v>
          </cell>
          <cell r="D566" t="str">
            <v>EBM</v>
          </cell>
          <cell r="E566" t="str">
            <v>PP855</v>
          </cell>
          <cell r="F566">
            <v>74.8</v>
          </cell>
          <cell r="G566"/>
          <cell r="H566">
            <v>97.24</v>
          </cell>
          <cell r="I566">
            <v>28</v>
          </cell>
        </row>
        <row r="567">
          <cell r="A567">
            <v>453940</v>
          </cell>
          <cell r="B567" t="str">
            <v>BS1013-NA 1LTR PP BTL (NATURAL)</v>
          </cell>
          <cell r="C567">
            <v>2</v>
          </cell>
          <cell r="D567" t="str">
            <v>EBM</v>
          </cell>
          <cell r="E567" t="str">
            <v>PP855</v>
          </cell>
          <cell r="F567">
            <v>55</v>
          </cell>
          <cell r="G567"/>
          <cell r="H567">
            <v>61</v>
          </cell>
          <cell r="I567">
            <v>24</v>
          </cell>
        </row>
        <row r="568">
          <cell r="A568">
            <v>453941</v>
          </cell>
          <cell r="B568" t="str">
            <v>BS1013-WH 1LTR PP BTL (WHITE)</v>
          </cell>
          <cell r="C568">
            <v>2</v>
          </cell>
          <cell r="D568" t="str">
            <v>EBM</v>
          </cell>
          <cell r="E568" t="str">
            <v>SM199</v>
          </cell>
          <cell r="F568">
            <v>54</v>
          </cell>
          <cell r="G568"/>
          <cell r="H568">
            <v>66.8</v>
          </cell>
          <cell r="I568">
            <v>22</v>
          </cell>
        </row>
        <row r="569">
          <cell r="A569">
            <v>453942</v>
          </cell>
          <cell r="B569" t="str">
            <v>BS1015-NA 1LTR PE BTL (NATURAL)</v>
          </cell>
          <cell r="C569">
            <v>2</v>
          </cell>
          <cell r="D569" t="str">
            <v>EBM</v>
          </cell>
          <cell r="E569" t="str">
            <v>HDPE5403</v>
          </cell>
          <cell r="F569">
            <v>60</v>
          </cell>
          <cell r="G569"/>
          <cell r="H569">
            <v>79.5</v>
          </cell>
          <cell r="I569">
            <v>21</v>
          </cell>
        </row>
        <row r="570">
          <cell r="A570">
            <v>453943</v>
          </cell>
          <cell r="B570" t="str">
            <v>BS1016-NA 1LTR PP BTL (NATURAL)</v>
          </cell>
          <cell r="C570">
            <v>2</v>
          </cell>
          <cell r="D570" t="str">
            <v>EBM</v>
          </cell>
          <cell r="E570" t="str">
            <v>PP855</v>
          </cell>
          <cell r="F570">
            <v>67.5</v>
          </cell>
          <cell r="G570"/>
          <cell r="H570">
            <v>61.15</v>
          </cell>
          <cell r="I570">
            <v>28</v>
          </cell>
        </row>
        <row r="571">
          <cell r="A571">
            <v>453944</v>
          </cell>
          <cell r="B571" t="str">
            <v>BS1017-NA 1LTR HDPE BTL (NATURAL)</v>
          </cell>
          <cell r="C571">
            <v>2</v>
          </cell>
          <cell r="D571" t="str">
            <v>EBM</v>
          </cell>
          <cell r="E571" t="str">
            <v>MARLEX6007</v>
          </cell>
          <cell r="F571">
            <v>60</v>
          </cell>
          <cell r="G571"/>
          <cell r="H571">
            <v>79.2</v>
          </cell>
          <cell r="I571">
            <v>26</v>
          </cell>
        </row>
        <row r="572">
          <cell r="A572">
            <v>453945</v>
          </cell>
          <cell r="B572" t="str">
            <v>BS1017-WH 1LTR HDPE BTL (WHITE)</v>
          </cell>
          <cell r="C572">
            <v>2</v>
          </cell>
          <cell r="D572" t="str">
            <v>EBM</v>
          </cell>
          <cell r="E572" t="str">
            <v>MARLEX6007</v>
          </cell>
          <cell r="F572">
            <v>60</v>
          </cell>
          <cell r="G572"/>
          <cell r="H572">
            <v>82.2</v>
          </cell>
          <cell r="I572">
            <v>26</v>
          </cell>
        </row>
        <row r="573">
          <cell r="A573">
            <v>453946</v>
          </cell>
          <cell r="B573" t="str">
            <v>BS1019-NA 1LTR PP BTL (NATURAL)</v>
          </cell>
          <cell r="C573">
            <v>2</v>
          </cell>
          <cell r="D573" t="str">
            <v>EBM</v>
          </cell>
          <cell r="E573" t="str">
            <v>SM198</v>
          </cell>
          <cell r="F573">
            <v>62.4</v>
          </cell>
          <cell r="G573"/>
          <cell r="H573">
            <v>81.12</v>
          </cell>
          <cell r="I573">
            <v>24.8</v>
          </cell>
        </row>
        <row r="574">
          <cell r="A574">
            <v>454191</v>
          </cell>
          <cell r="B574" t="str">
            <v>BS1019-NA 1LTR PP BTL C/W NOZZLE CAP RED</v>
          </cell>
          <cell r="C574">
            <v>2</v>
          </cell>
          <cell r="D574" t="str">
            <v>EBM</v>
          </cell>
          <cell r="E574" t="str">
            <v>SM198</v>
          </cell>
          <cell r="F574">
            <v>63.4</v>
          </cell>
          <cell r="G574"/>
          <cell r="H574">
            <v>61</v>
          </cell>
          <cell r="I574">
            <v>24.8</v>
          </cell>
        </row>
        <row r="575">
          <cell r="A575">
            <v>453947</v>
          </cell>
          <cell r="B575" t="str">
            <v>BS1019-RD 1LTR PP BTL (RED)</v>
          </cell>
          <cell r="C575">
            <v>2</v>
          </cell>
          <cell r="D575" t="str">
            <v>EBM</v>
          </cell>
          <cell r="E575" t="str">
            <v>SM198</v>
          </cell>
          <cell r="F575">
            <v>62.4</v>
          </cell>
          <cell r="G575"/>
          <cell r="H575">
            <v>88.9</v>
          </cell>
          <cell r="I575">
            <v>24.8</v>
          </cell>
        </row>
        <row r="576">
          <cell r="A576">
            <v>453948</v>
          </cell>
          <cell r="B576" t="str">
            <v>BS1019-YL 1LTR PP BTL (YELLOW)</v>
          </cell>
          <cell r="C576">
            <v>2</v>
          </cell>
          <cell r="D576" t="str">
            <v>EBM</v>
          </cell>
          <cell r="E576" t="str">
            <v>SM199</v>
          </cell>
          <cell r="F576">
            <v>62.4</v>
          </cell>
          <cell r="G576"/>
          <cell r="H576">
            <v>51</v>
          </cell>
          <cell r="I576">
            <v>24.8</v>
          </cell>
        </row>
        <row r="577">
          <cell r="A577">
            <v>454279</v>
          </cell>
          <cell r="B577" t="str">
            <v>BS1021-NA 1LTR PP BTL (NATURAL)</v>
          </cell>
          <cell r="C577">
            <v>2</v>
          </cell>
          <cell r="D577" t="str">
            <v>EBM</v>
          </cell>
          <cell r="E577" t="str">
            <v>PP855</v>
          </cell>
          <cell r="F577">
            <v>87</v>
          </cell>
          <cell r="G577"/>
          <cell r="H577"/>
          <cell r="I577">
            <v>35.9</v>
          </cell>
        </row>
        <row r="578">
          <cell r="A578">
            <v>453949</v>
          </cell>
          <cell r="B578" t="str">
            <v>BS1526-NA 1.3KG NDC PP BTL (NATURAL)</v>
          </cell>
          <cell r="C578">
            <v>1</v>
          </cell>
          <cell r="D578" t="str">
            <v>EBM</v>
          </cell>
          <cell r="E578" t="str">
            <v>SM198</v>
          </cell>
          <cell r="F578">
            <v>51</v>
          </cell>
          <cell r="G578"/>
          <cell r="H578">
            <v>66.3</v>
          </cell>
          <cell r="I578">
            <v>28</v>
          </cell>
        </row>
        <row r="579">
          <cell r="A579">
            <v>453951</v>
          </cell>
          <cell r="B579" t="str">
            <v>BS2017-NA 2LTR HDPE BTL (NATURAL)</v>
          </cell>
          <cell r="C579">
            <v>1</v>
          </cell>
          <cell r="D579" t="str">
            <v>EBM</v>
          </cell>
          <cell r="E579" t="str">
            <v>MARLEX6007</v>
          </cell>
          <cell r="F579">
            <v>100</v>
          </cell>
          <cell r="G579"/>
          <cell r="H579">
            <v>130</v>
          </cell>
          <cell r="I579">
            <v>33</v>
          </cell>
        </row>
        <row r="580">
          <cell r="A580">
            <v>453952</v>
          </cell>
          <cell r="B580" t="str">
            <v>BS2019-NA 2LTR HDPE BTL (NATURAL)</v>
          </cell>
          <cell r="C580">
            <v>1</v>
          </cell>
          <cell r="D580" t="str">
            <v>EBM</v>
          </cell>
          <cell r="E580" t="str">
            <v>MARLEX6007</v>
          </cell>
          <cell r="F580">
            <v>121</v>
          </cell>
          <cell r="G580"/>
          <cell r="H580">
            <v>22.6</v>
          </cell>
          <cell r="I580">
            <v>13.5</v>
          </cell>
        </row>
        <row r="581">
          <cell r="A581">
            <v>454248</v>
          </cell>
          <cell r="B581" t="str">
            <v>BS2021-NA 2LTR HDPE BTL (NATURAL)</v>
          </cell>
          <cell r="C581">
            <v>1</v>
          </cell>
          <cell r="D581" t="str">
            <v>EBM</v>
          </cell>
          <cell r="E581" t="str">
            <v>MARLEX6007</v>
          </cell>
          <cell r="F581">
            <v>96</v>
          </cell>
          <cell r="G581"/>
          <cell r="H581">
            <v>31</v>
          </cell>
          <cell r="I581">
            <v>25.6</v>
          </cell>
        </row>
        <row r="582">
          <cell r="A582">
            <v>444555</v>
          </cell>
          <cell r="B582" t="str">
            <v>BS2200-NA 2.2LTR HDPE BTL (NATURAL)</v>
          </cell>
          <cell r="C582">
            <v>1</v>
          </cell>
          <cell r="D582" t="str">
            <v>EBM</v>
          </cell>
          <cell r="E582" t="str">
            <v>MARLEX6007</v>
          </cell>
          <cell r="F582">
            <v>122</v>
          </cell>
          <cell r="G582"/>
          <cell r="H582">
            <v>169.2</v>
          </cell>
          <cell r="I582">
            <v>39.799999999999997</v>
          </cell>
        </row>
        <row r="583">
          <cell r="A583">
            <v>324126</v>
          </cell>
          <cell r="B583" t="str">
            <v>BS38-0250-RJ-R-CL</v>
          </cell>
          <cell r="C583">
            <v>4</v>
          </cell>
          <cell r="D583" t="str">
            <v>ISBM</v>
          </cell>
          <cell r="E583" t="str">
            <v>PET</v>
          </cell>
          <cell r="F583">
            <v>22.6</v>
          </cell>
          <cell r="G583"/>
          <cell r="H583">
            <v>31</v>
          </cell>
          <cell r="I583">
            <v>16.04</v>
          </cell>
        </row>
        <row r="584">
          <cell r="A584">
            <v>438507</v>
          </cell>
          <cell r="B584" t="str">
            <v>BW38-0150-Z-Z-CL-CJA</v>
          </cell>
          <cell r="C584">
            <v>4</v>
          </cell>
          <cell r="D584" t="str">
            <v>ISBM</v>
          </cell>
          <cell r="E584" t="str">
            <v>PET</v>
          </cell>
          <cell r="F584">
            <v>31</v>
          </cell>
          <cell r="G584"/>
          <cell r="H584">
            <v>31.25</v>
          </cell>
          <cell r="I584">
            <v>29.6</v>
          </cell>
        </row>
        <row r="585">
          <cell r="A585">
            <v>368717</v>
          </cell>
          <cell r="B585" t="str">
            <v>BW38-0250-K-Q-CL</v>
          </cell>
          <cell r="C585">
            <v>4</v>
          </cell>
          <cell r="D585" t="str">
            <v>ISBM</v>
          </cell>
          <cell r="E585" t="str">
            <v>PET</v>
          </cell>
          <cell r="F585">
            <v>31</v>
          </cell>
          <cell r="G585"/>
          <cell r="H585">
            <v>29.8</v>
          </cell>
          <cell r="I585">
            <v>34.448</v>
          </cell>
        </row>
        <row r="586">
          <cell r="A586">
            <v>369308</v>
          </cell>
          <cell r="B586" t="str">
            <v>BW38-0280-LS-R-RED</v>
          </cell>
          <cell r="C586">
            <v>4</v>
          </cell>
          <cell r="D586" t="str">
            <v>ISBM</v>
          </cell>
          <cell r="E586" t="str">
            <v>PET</v>
          </cell>
          <cell r="F586">
            <v>31</v>
          </cell>
          <cell r="G586"/>
          <cell r="H586">
            <v>31</v>
          </cell>
          <cell r="I586">
            <v>28.4</v>
          </cell>
        </row>
        <row r="587">
          <cell r="A587">
            <v>324684</v>
          </cell>
          <cell r="B587" t="str">
            <v>BW38-0300-K-Q-CL</v>
          </cell>
          <cell r="C587">
            <v>4</v>
          </cell>
          <cell r="D587" t="str">
            <v>ISBM</v>
          </cell>
          <cell r="E587" t="str">
            <v>PET</v>
          </cell>
          <cell r="F587">
            <v>29.8</v>
          </cell>
          <cell r="G587"/>
          <cell r="H587">
            <v>31.3</v>
          </cell>
          <cell r="I587">
            <v>22.14</v>
          </cell>
        </row>
        <row r="588">
          <cell r="A588">
            <v>561718</v>
          </cell>
          <cell r="B588" t="str">
            <v>BW38-0350-SB-R-CL</v>
          </cell>
          <cell r="C588">
            <v>4</v>
          </cell>
          <cell r="D588" t="str">
            <v>ISBM</v>
          </cell>
          <cell r="E588" t="str">
            <v>PET</v>
          </cell>
          <cell r="F588">
            <v>31</v>
          </cell>
          <cell r="G588"/>
          <cell r="H588">
            <v>31.5</v>
          </cell>
          <cell r="I588">
            <v>28</v>
          </cell>
        </row>
        <row r="589">
          <cell r="A589">
            <v>324151</v>
          </cell>
          <cell r="B589" t="str">
            <v>BW38-0375-K-Q-CL</v>
          </cell>
          <cell r="C589">
            <v>4</v>
          </cell>
          <cell r="D589" t="str">
            <v>ISBM</v>
          </cell>
          <cell r="E589" t="str">
            <v>PET</v>
          </cell>
          <cell r="F589">
            <v>31.3</v>
          </cell>
          <cell r="G589"/>
          <cell r="H589">
            <v>31.5</v>
          </cell>
          <cell r="I589">
            <v>28</v>
          </cell>
        </row>
        <row r="590">
          <cell r="A590">
            <v>324683</v>
          </cell>
          <cell r="B590" t="str">
            <v>BW38-0500-K-Q-CL</v>
          </cell>
          <cell r="C590">
            <v>4</v>
          </cell>
          <cell r="D590" t="str">
            <v>ISBM</v>
          </cell>
          <cell r="E590" t="str">
            <v>PET</v>
          </cell>
          <cell r="F590">
            <v>31.5</v>
          </cell>
          <cell r="G590"/>
          <cell r="H590">
            <v>31.01</v>
          </cell>
          <cell r="I590">
            <v>21.62</v>
          </cell>
        </row>
        <row r="591">
          <cell r="A591">
            <v>324152</v>
          </cell>
          <cell r="B591" t="str">
            <v>BW38-0500-KT-Q-CL</v>
          </cell>
          <cell r="C591">
            <v>4</v>
          </cell>
          <cell r="D591" t="str">
            <v>ISBM</v>
          </cell>
          <cell r="E591" t="str">
            <v>PET</v>
          </cell>
          <cell r="F591">
            <v>31.5</v>
          </cell>
          <cell r="G591"/>
          <cell r="H591">
            <v>29.4</v>
          </cell>
          <cell r="I591">
            <v>36.4</v>
          </cell>
        </row>
        <row r="592">
          <cell r="A592">
            <v>369307</v>
          </cell>
          <cell r="B592" t="str">
            <v>BW38-0500-LS-R-RED</v>
          </cell>
          <cell r="C592">
            <v>4</v>
          </cell>
          <cell r="D592" t="str">
            <v>ISBM</v>
          </cell>
          <cell r="E592" t="str">
            <v>PET</v>
          </cell>
          <cell r="F592">
            <v>32</v>
          </cell>
          <cell r="G592"/>
          <cell r="H592">
            <v>32</v>
          </cell>
          <cell r="I592">
            <v>32.4</v>
          </cell>
        </row>
        <row r="593">
          <cell r="A593">
            <v>329555</v>
          </cell>
          <cell r="B593" t="str">
            <v>BW38-0510-K-Q-CL</v>
          </cell>
          <cell r="C593">
            <v>4</v>
          </cell>
          <cell r="D593" t="str">
            <v>ISBM</v>
          </cell>
          <cell r="E593" t="str">
            <v>PET</v>
          </cell>
          <cell r="F593">
            <v>29.4</v>
          </cell>
          <cell r="G593"/>
          <cell r="H593">
            <v>29.4</v>
          </cell>
          <cell r="I593">
            <v>21.32</v>
          </cell>
        </row>
        <row r="594">
          <cell r="A594">
            <v>322548</v>
          </cell>
          <cell r="B594" t="str">
            <v>BX28-2000-RH-S-CL</v>
          </cell>
          <cell r="C594">
            <v>4</v>
          </cell>
          <cell r="D594" t="str">
            <v>ISBM</v>
          </cell>
          <cell r="E594" t="str">
            <v>PET</v>
          </cell>
          <cell r="F594">
            <v>77</v>
          </cell>
          <cell r="G594"/>
          <cell r="H594">
            <v>15.31</v>
          </cell>
          <cell r="I594">
            <v>38.92</v>
          </cell>
        </row>
        <row r="595">
          <cell r="A595">
            <v>322386</v>
          </cell>
          <cell r="B595" t="str">
            <v>BX38-0075-R-R-AM</v>
          </cell>
          <cell r="C595">
            <v>4</v>
          </cell>
          <cell r="D595" t="str">
            <v>ISBM</v>
          </cell>
          <cell r="E595" t="str">
            <v>PET</v>
          </cell>
          <cell r="F595">
            <v>16</v>
          </cell>
          <cell r="G595"/>
          <cell r="H595">
            <v>16</v>
          </cell>
          <cell r="I595">
            <v>20</v>
          </cell>
        </row>
        <row r="596">
          <cell r="A596">
            <v>322385</v>
          </cell>
          <cell r="B596" t="str">
            <v>BX38-0075-R-R-CL</v>
          </cell>
          <cell r="C596">
            <v>4</v>
          </cell>
          <cell r="D596" t="str">
            <v>ISBM</v>
          </cell>
          <cell r="E596" t="str">
            <v>PET</v>
          </cell>
          <cell r="F596">
            <v>16</v>
          </cell>
          <cell r="G596"/>
          <cell r="H596">
            <v>16</v>
          </cell>
          <cell r="I596">
            <v>20</v>
          </cell>
        </row>
        <row r="597">
          <cell r="A597">
            <v>322387</v>
          </cell>
          <cell r="B597" t="str">
            <v>BX38-0075-R-R-WH</v>
          </cell>
          <cell r="C597">
            <v>4</v>
          </cell>
          <cell r="D597" t="str">
            <v>ISBM</v>
          </cell>
          <cell r="E597" t="str">
            <v>PET</v>
          </cell>
          <cell r="F597">
            <v>16</v>
          </cell>
          <cell r="G597"/>
          <cell r="H597">
            <v>16</v>
          </cell>
          <cell r="I597">
            <v>20</v>
          </cell>
        </row>
        <row r="598">
          <cell r="A598">
            <v>322391</v>
          </cell>
          <cell r="B598" t="str">
            <v>BX38-0100-BM-R-AM</v>
          </cell>
          <cell r="C598">
            <v>4</v>
          </cell>
          <cell r="D598" t="str">
            <v>ISBM</v>
          </cell>
          <cell r="E598" t="str">
            <v>PET</v>
          </cell>
          <cell r="F598">
            <v>20</v>
          </cell>
          <cell r="G598"/>
          <cell r="H598">
            <v>20</v>
          </cell>
          <cell r="I598">
            <v>20</v>
          </cell>
        </row>
        <row r="599">
          <cell r="A599">
            <v>322393</v>
          </cell>
          <cell r="B599" t="str">
            <v>BX38-0100-BM-R-BR</v>
          </cell>
          <cell r="C599">
            <v>4</v>
          </cell>
          <cell r="D599" t="str">
            <v>ISBM</v>
          </cell>
          <cell r="E599" t="str">
            <v>PET</v>
          </cell>
          <cell r="F599">
            <v>20</v>
          </cell>
          <cell r="G599"/>
          <cell r="H599">
            <v>20</v>
          </cell>
          <cell r="I599">
            <v>20</v>
          </cell>
        </row>
        <row r="600">
          <cell r="A600">
            <v>322392</v>
          </cell>
          <cell r="B600" t="str">
            <v>BX38-0100-BM-R-CL</v>
          </cell>
          <cell r="C600">
            <v>4</v>
          </cell>
          <cell r="D600" t="str">
            <v>ISBM</v>
          </cell>
          <cell r="E600" t="str">
            <v>PET</v>
          </cell>
          <cell r="F600">
            <v>20</v>
          </cell>
          <cell r="G600"/>
          <cell r="H600">
            <v>20</v>
          </cell>
          <cell r="I600">
            <v>20</v>
          </cell>
        </row>
        <row r="601">
          <cell r="A601">
            <v>322396</v>
          </cell>
          <cell r="B601" t="str">
            <v>BX38-0100C-B WHITE</v>
          </cell>
          <cell r="C601">
            <v>4</v>
          </cell>
          <cell r="D601" t="str">
            <v>ISBM</v>
          </cell>
          <cell r="E601" t="str">
            <v>PET</v>
          </cell>
          <cell r="F601">
            <v>20</v>
          </cell>
          <cell r="G601"/>
          <cell r="H601">
            <v>20</v>
          </cell>
          <cell r="I601">
            <v>21.76</v>
          </cell>
        </row>
        <row r="602">
          <cell r="A602">
            <v>322394</v>
          </cell>
          <cell r="B602" t="str">
            <v>BX38-0100-C-R-AM</v>
          </cell>
          <cell r="C602">
            <v>4</v>
          </cell>
          <cell r="D602" t="str">
            <v>ISBM</v>
          </cell>
          <cell r="E602" t="str">
            <v>PET</v>
          </cell>
          <cell r="F602">
            <v>20</v>
          </cell>
          <cell r="G602"/>
          <cell r="H602">
            <v>20</v>
          </cell>
          <cell r="I602">
            <v>19.14</v>
          </cell>
        </row>
        <row r="603">
          <cell r="A603">
            <v>324198</v>
          </cell>
          <cell r="B603" t="str">
            <v>BX38-0100-C-R-CL</v>
          </cell>
          <cell r="C603">
            <v>4</v>
          </cell>
          <cell r="D603" t="str">
            <v>ISBM</v>
          </cell>
          <cell r="E603" t="str">
            <v>PET</v>
          </cell>
          <cell r="F603">
            <v>20</v>
          </cell>
          <cell r="G603"/>
          <cell r="H603">
            <v>20</v>
          </cell>
          <cell r="I603">
            <v>19.5</v>
          </cell>
        </row>
        <row r="604">
          <cell r="A604">
            <v>322401</v>
          </cell>
          <cell r="B604" t="str">
            <v>BX38-0100-R-R-CL</v>
          </cell>
          <cell r="C604">
            <v>4</v>
          </cell>
          <cell r="D604" t="str">
            <v>ISBM</v>
          </cell>
          <cell r="E604" t="str">
            <v>PET</v>
          </cell>
          <cell r="F604">
            <v>15.5</v>
          </cell>
          <cell r="G604"/>
          <cell r="H604">
            <v>20.350000000000001</v>
          </cell>
          <cell r="I604">
            <v>19.920000000000002</v>
          </cell>
        </row>
        <row r="605">
          <cell r="A605">
            <v>322402</v>
          </cell>
          <cell r="B605" t="str">
            <v>BX38-0100-S-R-WH</v>
          </cell>
          <cell r="C605">
            <v>4</v>
          </cell>
          <cell r="D605" t="str">
            <v>ISBM</v>
          </cell>
          <cell r="E605" t="str">
            <v>PET</v>
          </cell>
          <cell r="F605">
            <v>20.400000000000002</v>
          </cell>
          <cell r="G605"/>
          <cell r="H605">
            <v>20</v>
          </cell>
          <cell r="I605">
            <v>20.12</v>
          </cell>
        </row>
        <row r="606">
          <cell r="A606">
            <v>344585</v>
          </cell>
          <cell r="B606" t="str">
            <v>BX38-0100-S-S-CL</v>
          </cell>
          <cell r="C606">
            <v>4</v>
          </cell>
          <cell r="D606" t="str">
            <v>ISBM</v>
          </cell>
          <cell r="E606" t="str">
            <v>PET</v>
          </cell>
          <cell r="F606">
            <v>20</v>
          </cell>
          <cell r="G606"/>
          <cell r="H606">
            <v>20</v>
          </cell>
          <cell r="I606">
            <v>22.36</v>
          </cell>
        </row>
        <row r="607">
          <cell r="A607">
            <v>324200</v>
          </cell>
          <cell r="B607" t="str">
            <v>BX38-0150-C-R-AM</v>
          </cell>
          <cell r="C607">
            <v>4</v>
          </cell>
          <cell r="D607" t="str">
            <v>ISBM</v>
          </cell>
          <cell r="E607" t="str">
            <v>PET</v>
          </cell>
          <cell r="F607">
            <v>20</v>
          </cell>
          <cell r="G607"/>
          <cell r="H607">
            <v>20</v>
          </cell>
          <cell r="I607">
            <v>21.64</v>
          </cell>
        </row>
        <row r="608">
          <cell r="A608">
            <v>322405</v>
          </cell>
          <cell r="B608" t="str">
            <v>BX38-0150-C-R-CL</v>
          </cell>
          <cell r="C608">
            <v>4</v>
          </cell>
          <cell r="D608" t="str">
            <v>ISBM</v>
          </cell>
          <cell r="E608" t="str">
            <v>PET</v>
          </cell>
          <cell r="F608">
            <v>20</v>
          </cell>
          <cell r="G608"/>
          <cell r="H608">
            <v>20</v>
          </cell>
          <cell r="I608">
            <v>21.64</v>
          </cell>
        </row>
        <row r="609">
          <cell r="A609">
            <v>611949</v>
          </cell>
          <cell r="B609" t="str">
            <v>BX38-0150-R-R-AM</v>
          </cell>
          <cell r="C609">
            <v>4</v>
          </cell>
          <cell r="D609" t="str">
            <v>ISBM</v>
          </cell>
          <cell r="E609" t="str">
            <v>PET</v>
          </cell>
          <cell r="F609">
            <v>20</v>
          </cell>
          <cell r="G609"/>
          <cell r="H609">
            <v>20</v>
          </cell>
          <cell r="I609">
            <v>21.64</v>
          </cell>
        </row>
        <row r="610">
          <cell r="A610">
            <v>324196</v>
          </cell>
          <cell r="B610" t="str">
            <v>BX38-0150-C-R-WH</v>
          </cell>
          <cell r="C610">
            <v>4</v>
          </cell>
          <cell r="D610" t="str">
            <v>ISBM</v>
          </cell>
          <cell r="E610" t="str">
            <v>PET</v>
          </cell>
          <cell r="F610">
            <v>20</v>
          </cell>
          <cell r="G610"/>
          <cell r="H610">
            <v>20</v>
          </cell>
          <cell r="I610">
            <v>21.64</v>
          </cell>
        </row>
        <row r="611">
          <cell r="A611">
            <v>599672</v>
          </cell>
          <cell r="B611" t="str">
            <v>BX38-0175-R-R-AM</v>
          </cell>
          <cell r="C611">
            <v>4</v>
          </cell>
          <cell r="D611" t="str">
            <v>ISBM</v>
          </cell>
          <cell r="E611" t="str">
            <v>PET</v>
          </cell>
          <cell r="F611">
            <v>20</v>
          </cell>
          <cell r="G611"/>
          <cell r="H611">
            <v>20</v>
          </cell>
          <cell r="I611">
            <v>21.64</v>
          </cell>
        </row>
        <row r="612">
          <cell r="A612">
            <v>322414</v>
          </cell>
          <cell r="B612" t="str">
            <v>BX38-0200-S-R-CL</v>
          </cell>
          <cell r="C612">
            <v>4</v>
          </cell>
          <cell r="D612" t="str">
            <v>ISBM</v>
          </cell>
          <cell r="E612" t="str">
            <v>PET</v>
          </cell>
          <cell r="F612">
            <v>20.6</v>
          </cell>
          <cell r="G612"/>
          <cell r="H612">
            <v>23</v>
          </cell>
          <cell r="I612">
            <v>22</v>
          </cell>
        </row>
        <row r="613">
          <cell r="A613">
            <v>603551</v>
          </cell>
          <cell r="B613" t="str">
            <v>BX38-0200-R-CL-DM</v>
          </cell>
          <cell r="C613">
            <v>4</v>
          </cell>
          <cell r="D613" t="str">
            <v>ISBM</v>
          </cell>
          <cell r="E613" t="str">
            <v>PET</v>
          </cell>
          <cell r="F613">
            <v>20.6</v>
          </cell>
          <cell r="G613"/>
          <cell r="H613">
            <v>20.6</v>
          </cell>
          <cell r="I613">
            <v>22</v>
          </cell>
        </row>
        <row r="614">
          <cell r="A614">
            <v>604853</v>
          </cell>
          <cell r="B614" t="str">
            <v>BX38-0200-R-CL-DM-GOLDEN KIWI-STRAWBERRY</v>
          </cell>
          <cell r="C614">
            <v>1</v>
          </cell>
          <cell r="D614" t="str">
            <v>ISBM</v>
          </cell>
          <cell r="E614" t="str">
            <v>PET</v>
          </cell>
          <cell r="F614">
            <v>20.6</v>
          </cell>
          <cell r="G614"/>
          <cell r="H614">
            <v>20.6</v>
          </cell>
          <cell r="I614">
            <v>9</v>
          </cell>
        </row>
        <row r="615">
          <cell r="A615">
            <v>322415</v>
          </cell>
          <cell r="B615" t="str">
            <v>BX38-0225-C-R-AM</v>
          </cell>
          <cell r="C615">
            <v>4</v>
          </cell>
          <cell r="D615" t="str">
            <v>ISBM</v>
          </cell>
          <cell r="E615" t="str">
            <v>PET</v>
          </cell>
          <cell r="F615">
            <v>30.2</v>
          </cell>
          <cell r="G615"/>
          <cell r="H615">
            <v>22.28</v>
          </cell>
          <cell r="I615">
            <v>18</v>
          </cell>
        </row>
        <row r="616">
          <cell r="A616">
            <v>322485</v>
          </cell>
          <cell r="B616" t="str">
            <v>BX38-0250-FM-R-CL</v>
          </cell>
          <cell r="C616">
            <v>4</v>
          </cell>
          <cell r="D616" t="str">
            <v>ISBM</v>
          </cell>
          <cell r="E616" t="str">
            <v>PET</v>
          </cell>
          <cell r="F616">
            <v>23</v>
          </cell>
          <cell r="G616"/>
          <cell r="H616">
            <v>29</v>
          </cell>
          <cell r="I616">
            <v>17</v>
          </cell>
        </row>
        <row r="617">
          <cell r="A617">
            <v>323015</v>
          </cell>
          <cell r="B617" t="str">
            <v>BX38-0250-FS-R-CL</v>
          </cell>
          <cell r="C617">
            <v>4</v>
          </cell>
          <cell r="D617" t="str">
            <v>ISBM</v>
          </cell>
          <cell r="E617" t="str">
            <v>PET</v>
          </cell>
          <cell r="F617">
            <v>22.5</v>
          </cell>
          <cell r="G617"/>
          <cell r="H617">
            <v>23</v>
          </cell>
          <cell r="I617">
            <v>14</v>
          </cell>
        </row>
        <row r="618">
          <cell r="A618">
            <v>400860</v>
          </cell>
          <cell r="B618" t="str">
            <v>BX38-0250-RJ-R-CL-HW</v>
          </cell>
          <cell r="C618">
            <v>4</v>
          </cell>
          <cell r="D618" t="str">
            <v>ISBM</v>
          </cell>
          <cell r="E618" t="str">
            <v>PET</v>
          </cell>
          <cell r="F618">
            <v>29</v>
          </cell>
          <cell r="G618"/>
          <cell r="H618">
            <v>29.27</v>
          </cell>
          <cell r="I618">
            <v>22</v>
          </cell>
        </row>
        <row r="619">
          <cell r="A619">
            <v>324215</v>
          </cell>
          <cell r="B619" t="str">
            <v>BX38-0250-RJ-R-CL-LW</v>
          </cell>
          <cell r="C619">
            <v>4</v>
          </cell>
          <cell r="D619" t="str">
            <v>ISBM</v>
          </cell>
          <cell r="E619" t="str">
            <v>PET</v>
          </cell>
          <cell r="F619">
            <v>23</v>
          </cell>
          <cell r="G619"/>
          <cell r="H619">
            <v>23</v>
          </cell>
          <cell r="I619">
            <v>20.12</v>
          </cell>
        </row>
        <row r="620">
          <cell r="A620">
            <v>324214</v>
          </cell>
          <cell r="B620" t="str">
            <v>BX38-0250-RM-R-CL</v>
          </cell>
          <cell r="C620">
            <v>4</v>
          </cell>
          <cell r="D620" t="str">
            <v>ISBM</v>
          </cell>
          <cell r="E620" t="str">
            <v>PET</v>
          </cell>
          <cell r="F620">
            <v>27</v>
          </cell>
          <cell r="G620"/>
          <cell r="H620">
            <v>29</v>
          </cell>
          <cell r="I620">
            <v>20.12</v>
          </cell>
        </row>
        <row r="621">
          <cell r="A621">
            <v>397405</v>
          </cell>
          <cell r="B621" t="str">
            <v>BX38-0250-R-R-CL-HW</v>
          </cell>
          <cell r="C621">
            <v>4</v>
          </cell>
          <cell r="D621" t="str">
            <v>ISBM</v>
          </cell>
          <cell r="E621" t="str">
            <v>PET</v>
          </cell>
          <cell r="F621">
            <v>29</v>
          </cell>
          <cell r="G621"/>
          <cell r="H621">
            <v>29</v>
          </cell>
          <cell r="I621">
            <v>24.4</v>
          </cell>
        </row>
        <row r="622">
          <cell r="A622">
            <v>328482</v>
          </cell>
          <cell r="B622" t="str">
            <v>BX38-0250-R-R-CL-LW</v>
          </cell>
          <cell r="C622">
            <v>4</v>
          </cell>
          <cell r="D622" t="str">
            <v>ISBM</v>
          </cell>
          <cell r="E622" t="str">
            <v>PET</v>
          </cell>
          <cell r="F622">
            <v>23</v>
          </cell>
          <cell r="G622"/>
          <cell r="H622">
            <v>23</v>
          </cell>
          <cell r="I622">
            <v>22</v>
          </cell>
        </row>
        <row r="623">
          <cell r="A623">
            <v>322492</v>
          </cell>
          <cell r="B623" t="str">
            <v>BX38-0250-SM-R-CL</v>
          </cell>
          <cell r="C623">
            <v>4</v>
          </cell>
          <cell r="D623" t="str">
            <v>ISBM</v>
          </cell>
          <cell r="E623" t="str">
            <v>PET</v>
          </cell>
          <cell r="F623">
            <v>23</v>
          </cell>
          <cell r="G623"/>
          <cell r="H623">
            <v>23</v>
          </cell>
          <cell r="I623">
            <v>22</v>
          </cell>
        </row>
        <row r="624">
          <cell r="A624">
            <v>597507</v>
          </cell>
          <cell r="B624" t="str">
            <v>BX38-0250-SM-R-WH</v>
          </cell>
          <cell r="C624">
            <v>4</v>
          </cell>
          <cell r="D624" t="str">
            <v>ISBM</v>
          </cell>
          <cell r="E624" t="str">
            <v>PET</v>
          </cell>
          <cell r="F624">
            <v>23</v>
          </cell>
          <cell r="G624"/>
          <cell r="H624">
            <v>23</v>
          </cell>
          <cell r="I624">
            <v>22</v>
          </cell>
        </row>
        <row r="625">
          <cell r="A625">
            <v>597508</v>
          </cell>
          <cell r="B625" t="str">
            <v>BX38-0250-SM-R-WH-ORI (ASEM)</v>
          </cell>
          <cell r="C625">
            <v>1</v>
          </cell>
          <cell r="D625" t="str">
            <v>ISBM</v>
          </cell>
          <cell r="E625" t="str">
            <v>PET</v>
          </cell>
          <cell r="F625">
            <v>23</v>
          </cell>
          <cell r="G625"/>
          <cell r="H625">
            <v>23</v>
          </cell>
          <cell r="I625">
            <v>9</v>
          </cell>
        </row>
        <row r="626">
          <cell r="A626">
            <v>597676</v>
          </cell>
          <cell r="B626" t="str">
            <v>BX38-0250-SM-R-WH  STW BERRY(ASEM)</v>
          </cell>
          <cell r="C626">
            <v>1</v>
          </cell>
          <cell r="D626" t="str">
            <v>ISBM</v>
          </cell>
          <cell r="E626" t="str">
            <v>PET</v>
          </cell>
          <cell r="F626">
            <v>23</v>
          </cell>
          <cell r="G626"/>
          <cell r="H626">
            <v>23</v>
          </cell>
          <cell r="I626">
            <v>9</v>
          </cell>
        </row>
        <row r="627">
          <cell r="A627">
            <v>597675</v>
          </cell>
          <cell r="B627" t="str">
            <v>BX38-0250-SM-R-WH  MIX BERRY(ASEM)</v>
          </cell>
          <cell r="C627">
            <v>1</v>
          </cell>
          <cell r="D627" t="str">
            <v>ISBM</v>
          </cell>
          <cell r="E627" t="str">
            <v>PET</v>
          </cell>
          <cell r="F627">
            <v>23</v>
          </cell>
          <cell r="G627"/>
          <cell r="H627">
            <v>23</v>
          </cell>
          <cell r="I627">
            <v>9</v>
          </cell>
        </row>
        <row r="628">
          <cell r="A628">
            <v>597674</v>
          </cell>
          <cell r="B628" t="str">
            <v>BX38-0250-SM-R-WH MANGO (ASEM)</v>
          </cell>
          <cell r="C628">
            <v>1</v>
          </cell>
          <cell r="D628" t="str">
            <v>ISBM</v>
          </cell>
          <cell r="E628" t="str">
            <v>PET</v>
          </cell>
          <cell r="F628">
            <v>23</v>
          </cell>
          <cell r="G628"/>
          <cell r="H628">
            <v>23</v>
          </cell>
          <cell r="I628">
            <v>9</v>
          </cell>
        </row>
        <row r="629">
          <cell r="A629">
            <v>657982</v>
          </cell>
          <cell r="B629" t="str">
            <v>BX38-0250-SM-R-WH-AYRAN (ASEM)</v>
          </cell>
          <cell r="C629">
            <v>1</v>
          </cell>
          <cell r="D629" t="str">
            <v>ISBM</v>
          </cell>
          <cell r="E629" t="str">
            <v>PET</v>
          </cell>
          <cell r="F629">
            <v>23</v>
          </cell>
          <cell r="G629"/>
          <cell r="H629">
            <v>23</v>
          </cell>
          <cell r="I629">
            <v>9</v>
          </cell>
        </row>
        <row r="630">
          <cell r="A630">
            <v>658124</v>
          </cell>
          <cell r="B630" t="str">
            <v>BX38-0250-SM-R-WH-MIXBERRY V2 (ASEM)</v>
          </cell>
          <cell r="C630">
            <v>1</v>
          </cell>
          <cell r="D630" t="str">
            <v>ISBM</v>
          </cell>
          <cell r="E630" t="str">
            <v>PET</v>
          </cell>
          <cell r="F630">
            <v>23</v>
          </cell>
          <cell r="G630"/>
          <cell r="H630">
            <v>23</v>
          </cell>
          <cell r="I630">
            <v>9</v>
          </cell>
        </row>
        <row r="631">
          <cell r="A631">
            <v>658159</v>
          </cell>
          <cell r="B631" t="str">
            <v>BX38-0250-SM-R-WH-MANGO V2 (ASEM)</v>
          </cell>
          <cell r="C631">
            <v>1</v>
          </cell>
          <cell r="D631" t="str">
            <v>ISBM</v>
          </cell>
          <cell r="E631" t="str">
            <v>PET</v>
          </cell>
          <cell r="F631">
            <v>23</v>
          </cell>
          <cell r="G631"/>
          <cell r="H631">
            <v>23</v>
          </cell>
          <cell r="I631">
            <v>9</v>
          </cell>
        </row>
        <row r="632">
          <cell r="A632">
            <v>658161</v>
          </cell>
          <cell r="B632" t="str">
            <v>BX38-0250-SM-R-WH-STWBERRY V2 (ASEM)</v>
          </cell>
          <cell r="C632">
            <v>1</v>
          </cell>
          <cell r="D632" t="str">
            <v>ISBM</v>
          </cell>
          <cell r="E632" t="str">
            <v>PET</v>
          </cell>
          <cell r="F632">
            <v>23</v>
          </cell>
          <cell r="G632"/>
          <cell r="H632">
            <v>23</v>
          </cell>
          <cell r="I632">
            <v>9</v>
          </cell>
        </row>
        <row r="633">
          <cell r="A633">
            <v>324203</v>
          </cell>
          <cell r="B633" t="str">
            <v>BX38-0300-C-R-AM</v>
          </cell>
          <cell r="C633">
            <v>4</v>
          </cell>
          <cell r="D633" t="str">
            <v>ISBM</v>
          </cell>
          <cell r="E633" t="str">
            <v>PET</v>
          </cell>
          <cell r="F633">
            <v>36</v>
          </cell>
          <cell r="G633"/>
          <cell r="H633">
            <v>29.1</v>
          </cell>
          <cell r="I633">
            <v>20.12</v>
          </cell>
        </row>
        <row r="634">
          <cell r="A634">
            <v>322427</v>
          </cell>
          <cell r="B634" t="str">
            <v>BX38-0300-C-R-CL</v>
          </cell>
          <cell r="C634">
            <v>4</v>
          </cell>
          <cell r="D634" t="str">
            <v>ISBM</v>
          </cell>
          <cell r="E634" t="str">
            <v>PET</v>
          </cell>
          <cell r="F634">
            <v>29</v>
          </cell>
          <cell r="G634"/>
          <cell r="H634">
            <v>29</v>
          </cell>
          <cell r="I634">
            <v>27.428000000000001</v>
          </cell>
        </row>
        <row r="635">
          <cell r="A635">
            <v>490532</v>
          </cell>
          <cell r="B635" t="str">
            <v>BX38-0300-R-R-CL</v>
          </cell>
          <cell r="C635">
            <v>4</v>
          </cell>
          <cell r="D635" t="str">
            <v>ISBM</v>
          </cell>
          <cell r="E635" t="str">
            <v>PET</v>
          </cell>
          <cell r="F635">
            <v>29</v>
          </cell>
          <cell r="G635"/>
          <cell r="H635">
            <v>29</v>
          </cell>
          <cell r="I635">
            <v>26.4</v>
          </cell>
        </row>
        <row r="636">
          <cell r="A636">
            <v>372120</v>
          </cell>
          <cell r="B636" t="str">
            <v>BX38-0320-KR-R-CL</v>
          </cell>
          <cell r="C636">
            <v>4</v>
          </cell>
          <cell r="D636" t="str">
            <v>ISBM</v>
          </cell>
          <cell r="E636" t="str">
            <v>PET</v>
          </cell>
          <cell r="F636">
            <v>29</v>
          </cell>
          <cell r="G636"/>
          <cell r="H636">
            <v>29</v>
          </cell>
          <cell r="I636">
            <v>23</v>
          </cell>
        </row>
        <row r="637">
          <cell r="A637">
            <v>409780</v>
          </cell>
          <cell r="B637" t="str">
            <v>BX38-0330-LJ-R-CL</v>
          </cell>
          <cell r="C637">
            <v>4</v>
          </cell>
          <cell r="D637" t="str">
            <v>ISBM</v>
          </cell>
          <cell r="E637" t="str">
            <v>PET</v>
          </cell>
          <cell r="F637">
            <v>29</v>
          </cell>
          <cell r="G637"/>
          <cell r="H637">
            <v>29</v>
          </cell>
          <cell r="I637">
            <v>24</v>
          </cell>
        </row>
        <row r="638">
          <cell r="A638">
            <v>410764</v>
          </cell>
          <cell r="B638" t="str">
            <v>BX38-0330-R-CL-MTB</v>
          </cell>
          <cell r="C638">
            <v>4</v>
          </cell>
          <cell r="D638" t="str">
            <v>ISBM</v>
          </cell>
          <cell r="E638" t="str">
            <v>PET</v>
          </cell>
          <cell r="F638">
            <v>29</v>
          </cell>
          <cell r="G638"/>
          <cell r="H638">
            <v>48</v>
          </cell>
          <cell r="I638">
            <v>22.4</v>
          </cell>
        </row>
        <row r="639">
          <cell r="A639">
            <v>428484</v>
          </cell>
          <cell r="B639" t="str">
            <v>BX38-0330-RJ2-R-CL</v>
          </cell>
          <cell r="C639">
            <v>4</v>
          </cell>
          <cell r="D639" t="str">
            <v>ISBM</v>
          </cell>
          <cell r="E639" t="str">
            <v>PET</v>
          </cell>
          <cell r="F639">
            <v>29</v>
          </cell>
          <cell r="G639"/>
          <cell r="H639">
            <v>29</v>
          </cell>
          <cell r="I639">
            <v>21.4</v>
          </cell>
        </row>
        <row r="640">
          <cell r="A640">
            <v>554979</v>
          </cell>
          <cell r="B640" t="str">
            <v>BX38-0330-Z-C-CL</v>
          </cell>
          <cell r="C640">
            <v>4</v>
          </cell>
          <cell r="D640" t="str">
            <v>ISBM</v>
          </cell>
          <cell r="E640" t="str">
            <v>PET</v>
          </cell>
          <cell r="F640">
            <v>29</v>
          </cell>
          <cell r="G640"/>
          <cell r="H640">
            <v>23</v>
          </cell>
          <cell r="I640">
            <v>24</v>
          </cell>
        </row>
        <row r="641">
          <cell r="A641">
            <v>426555</v>
          </cell>
          <cell r="B641" t="str">
            <v>BX38-0330-Z-S-CL-HW</v>
          </cell>
          <cell r="C641">
            <v>4</v>
          </cell>
          <cell r="D641" t="str">
            <v>ISBM</v>
          </cell>
          <cell r="E641" t="str">
            <v>PET</v>
          </cell>
          <cell r="F641">
            <v>29</v>
          </cell>
          <cell r="G641"/>
          <cell r="H641">
            <v>29</v>
          </cell>
          <cell r="I641">
            <v>22.72</v>
          </cell>
        </row>
        <row r="642">
          <cell r="A642">
            <v>457837</v>
          </cell>
          <cell r="B642" t="str">
            <v>BX38-0330-Z-S-CL-LW</v>
          </cell>
          <cell r="C642">
            <v>4</v>
          </cell>
          <cell r="D642" t="str">
            <v>ISBM</v>
          </cell>
          <cell r="E642" t="str">
            <v>PET</v>
          </cell>
          <cell r="F642">
            <v>23</v>
          </cell>
          <cell r="G642"/>
          <cell r="H642">
            <v>29</v>
          </cell>
          <cell r="I642">
            <v>20.399999999999999</v>
          </cell>
        </row>
        <row r="643">
          <cell r="A643">
            <v>561158</v>
          </cell>
          <cell r="B643" t="str">
            <v>BX38-0330-Z-S-WH-LW</v>
          </cell>
          <cell r="C643">
            <v>4</v>
          </cell>
          <cell r="D643" t="str">
            <v>ISBM</v>
          </cell>
          <cell r="E643" t="str">
            <v>PET</v>
          </cell>
          <cell r="F643">
            <v>23</v>
          </cell>
          <cell r="G643"/>
          <cell r="H643">
            <v>29</v>
          </cell>
          <cell r="I643">
            <v>20.399999999999999</v>
          </cell>
        </row>
        <row r="644">
          <cell r="A644">
            <v>449365</v>
          </cell>
          <cell r="B644" t="str">
            <v>BX38-0350-RJ-R-CL</v>
          </cell>
          <cell r="C644">
            <v>4</v>
          </cell>
          <cell r="D644" t="str">
            <v>ISBM</v>
          </cell>
          <cell r="E644" t="str">
            <v>PET</v>
          </cell>
          <cell r="F644">
            <v>29</v>
          </cell>
          <cell r="G644"/>
          <cell r="H644">
            <v>29</v>
          </cell>
          <cell r="I644">
            <v>21.6</v>
          </cell>
        </row>
        <row r="645">
          <cell r="A645">
            <v>504928</v>
          </cell>
          <cell r="B645" t="str">
            <v>BX38-0350-R-R-CL</v>
          </cell>
          <cell r="C645">
            <v>4</v>
          </cell>
          <cell r="D645" t="str">
            <v>ISBM</v>
          </cell>
          <cell r="E645" t="str">
            <v>PET</v>
          </cell>
          <cell r="F645">
            <v>29</v>
          </cell>
          <cell r="G645"/>
          <cell r="H645">
            <v>29</v>
          </cell>
          <cell r="I645">
            <v>27.6</v>
          </cell>
        </row>
        <row r="646">
          <cell r="A646">
            <v>322437</v>
          </cell>
          <cell r="B646" t="str">
            <v>BX38-0350-SB-R-CL</v>
          </cell>
          <cell r="C646">
            <v>4</v>
          </cell>
          <cell r="D646" t="str">
            <v>ISBM</v>
          </cell>
          <cell r="E646" t="str">
            <v>PET</v>
          </cell>
          <cell r="F646">
            <v>28</v>
          </cell>
          <cell r="G646"/>
          <cell r="H646">
            <v>29</v>
          </cell>
          <cell r="I646">
            <v>22</v>
          </cell>
        </row>
        <row r="647">
          <cell r="A647">
            <v>451191</v>
          </cell>
          <cell r="B647" t="str">
            <v>BX38-0350-Z-C-CL</v>
          </cell>
          <cell r="C647">
            <v>4</v>
          </cell>
          <cell r="D647" t="str">
            <v>ISBM</v>
          </cell>
          <cell r="E647" t="str">
            <v>PET</v>
          </cell>
          <cell r="F647">
            <v>29</v>
          </cell>
          <cell r="G647"/>
          <cell r="H647">
            <v>29</v>
          </cell>
          <cell r="I647">
            <v>24</v>
          </cell>
        </row>
        <row r="648">
          <cell r="A648">
            <v>449885</v>
          </cell>
          <cell r="B648" t="str">
            <v>BX38-0350-Z-R-CL-J3</v>
          </cell>
          <cell r="C648">
            <v>4</v>
          </cell>
          <cell r="D648" t="str">
            <v>ISBM</v>
          </cell>
          <cell r="E648" t="str">
            <v>PET</v>
          </cell>
          <cell r="F648">
            <v>29</v>
          </cell>
          <cell r="G648"/>
          <cell r="H648">
            <v>24</v>
          </cell>
          <cell r="I648">
            <v>24.72</v>
          </cell>
        </row>
        <row r="649">
          <cell r="A649">
            <v>436445</v>
          </cell>
          <cell r="B649" t="str">
            <v>BX38-0375-S-R-CL-HW</v>
          </cell>
          <cell r="C649">
            <v>4</v>
          </cell>
          <cell r="D649" t="str">
            <v>ISBM</v>
          </cell>
          <cell r="E649" t="str">
            <v>PET</v>
          </cell>
          <cell r="F649">
            <v>29</v>
          </cell>
          <cell r="G649"/>
          <cell r="H649">
            <v>29.22</v>
          </cell>
          <cell r="I649">
            <v>23.6</v>
          </cell>
        </row>
        <row r="650">
          <cell r="A650">
            <v>322502</v>
          </cell>
          <cell r="B650" t="str">
            <v>BX38-0375-S-R-CL-LW</v>
          </cell>
          <cell r="C650">
            <v>4</v>
          </cell>
          <cell r="D650" t="str">
            <v>ISBM</v>
          </cell>
          <cell r="E650" t="str">
            <v>PET</v>
          </cell>
          <cell r="F650">
            <v>24</v>
          </cell>
          <cell r="G650"/>
          <cell r="H650">
            <v>48</v>
          </cell>
          <cell r="I650">
            <v>18.52</v>
          </cell>
        </row>
        <row r="651">
          <cell r="A651">
            <v>336009</v>
          </cell>
          <cell r="B651" t="str">
            <v>BX38-0500-RC-R-CL</v>
          </cell>
          <cell r="C651">
            <v>4</v>
          </cell>
          <cell r="D651" t="str">
            <v>ISBM</v>
          </cell>
          <cell r="E651" t="str">
            <v>PET</v>
          </cell>
          <cell r="F651">
            <v>27</v>
          </cell>
          <cell r="G651"/>
          <cell r="H651">
            <v>29</v>
          </cell>
          <cell r="I651">
            <v>20</v>
          </cell>
        </row>
        <row r="652">
          <cell r="A652">
            <v>427379</v>
          </cell>
          <cell r="B652" t="str">
            <v>BX38-0500-S1-S-CL</v>
          </cell>
          <cell r="C652">
            <v>4</v>
          </cell>
          <cell r="D652" t="str">
            <v>ISBM</v>
          </cell>
          <cell r="E652" t="str">
            <v>PET</v>
          </cell>
          <cell r="F652">
            <v>29</v>
          </cell>
          <cell r="G652"/>
          <cell r="H652">
            <v>55</v>
          </cell>
          <cell r="I652">
            <v>26.56</v>
          </cell>
        </row>
        <row r="653">
          <cell r="A653">
            <v>404639</v>
          </cell>
          <cell r="B653" t="str">
            <v>BX38-0500-S-S-CL-HW</v>
          </cell>
          <cell r="C653">
            <v>4</v>
          </cell>
          <cell r="D653" t="str">
            <v>ISBM</v>
          </cell>
          <cell r="E653" t="str">
            <v>PET</v>
          </cell>
          <cell r="F653">
            <v>49</v>
          </cell>
          <cell r="G653"/>
          <cell r="H653">
            <v>49</v>
          </cell>
          <cell r="I653">
            <v>27.2</v>
          </cell>
        </row>
        <row r="654">
          <cell r="A654">
            <v>402305</v>
          </cell>
          <cell r="B654" t="str">
            <v>BX38-0500-S-S-CL-LW</v>
          </cell>
          <cell r="C654">
            <v>4</v>
          </cell>
          <cell r="D654" t="str">
            <v>ISBM</v>
          </cell>
          <cell r="E654" t="str">
            <v>PET</v>
          </cell>
          <cell r="F654">
            <v>29</v>
          </cell>
          <cell r="G654"/>
          <cell r="H654">
            <v>29</v>
          </cell>
          <cell r="I654">
            <v>22</v>
          </cell>
        </row>
        <row r="655">
          <cell r="A655">
            <v>549409</v>
          </cell>
          <cell r="B655" t="str">
            <v>BX38-0500-S-S-WH-HW</v>
          </cell>
          <cell r="C655">
            <v>4</v>
          </cell>
          <cell r="D655" t="str">
            <v>ISBM</v>
          </cell>
          <cell r="E655" t="str">
            <v>PET</v>
          </cell>
          <cell r="F655">
            <v>32</v>
          </cell>
          <cell r="G655"/>
          <cell r="H655">
            <v>32</v>
          </cell>
          <cell r="I655">
            <v>25.92</v>
          </cell>
        </row>
        <row r="656">
          <cell r="A656">
            <v>336372</v>
          </cell>
          <cell r="B656" t="str">
            <v>BX38-0640-R-R-CL</v>
          </cell>
          <cell r="C656">
            <v>4</v>
          </cell>
          <cell r="D656" t="str">
            <v>ISBM</v>
          </cell>
          <cell r="E656" t="str">
            <v>PET</v>
          </cell>
          <cell r="F656">
            <v>29.2</v>
          </cell>
          <cell r="G656"/>
          <cell r="H656">
            <v>48.5</v>
          </cell>
          <cell r="I656">
            <v>27</v>
          </cell>
        </row>
        <row r="657">
          <cell r="A657">
            <v>323071</v>
          </cell>
          <cell r="B657" t="str">
            <v>BX38-0750-H-R-CL(WHITE) (ASEM)</v>
          </cell>
          <cell r="C657">
            <v>4</v>
          </cell>
          <cell r="D657" t="str">
            <v>ISBM</v>
          </cell>
          <cell r="E657" t="str">
            <v>PET</v>
          </cell>
          <cell r="F657">
            <v>45.8</v>
          </cell>
          <cell r="G657"/>
          <cell r="H657">
            <v>45.8</v>
          </cell>
          <cell r="I657">
            <v>27</v>
          </cell>
        </row>
        <row r="658">
          <cell r="A658">
            <v>589412</v>
          </cell>
          <cell r="B658" t="str">
            <v xml:space="preserve">BX38-0750-RJ-R-CL </v>
          </cell>
          <cell r="C658">
            <v>4</v>
          </cell>
          <cell r="D658" t="str">
            <v>ISBM</v>
          </cell>
          <cell r="E658" t="str">
            <v>PET</v>
          </cell>
          <cell r="F658">
            <v>48.39</v>
          </cell>
          <cell r="G658"/>
          <cell r="H658">
            <v>48.39</v>
          </cell>
          <cell r="I658">
            <v>28</v>
          </cell>
        </row>
        <row r="659">
          <cell r="A659">
            <v>626029</v>
          </cell>
          <cell r="B659" t="str">
            <v xml:space="preserve">BX38-0750-R-WH </v>
          </cell>
          <cell r="C659">
            <v>4</v>
          </cell>
          <cell r="D659" t="str">
            <v>ISBM</v>
          </cell>
          <cell r="E659" t="str">
            <v>PET</v>
          </cell>
          <cell r="F659">
            <v>48.39</v>
          </cell>
          <cell r="G659"/>
          <cell r="H659">
            <v>48.39</v>
          </cell>
          <cell r="I659">
            <v>28</v>
          </cell>
        </row>
        <row r="660">
          <cell r="A660">
            <v>652202</v>
          </cell>
          <cell r="B660" t="str">
            <v>BX38-0750-R-WH -STRAW BERRY(ASEM)</v>
          </cell>
          <cell r="C660">
            <v>1</v>
          </cell>
          <cell r="D660" t="str">
            <v>ISBM</v>
          </cell>
          <cell r="E660" t="str">
            <v>PET</v>
          </cell>
          <cell r="F660">
            <v>48.39</v>
          </cell>
          <cell r="G660"/>
          <cell r="H660">
            <v>48.39</v>
          </cell>
          <cell r="I660">
            <v>9</v>
          </cell>
        </row>
        <row r="661">
          <cell r="A661">
            <v>652203</v>
          </cell>
          <cell r="B661" t="str">
            <v>BX38-0750-R-WH -MIX BERRY(ASEM)</v>
          </cell>
          <cell r="C661">
            <v>1</v>
          </cell>
          <cell r="D661" t="str">
            <v>ISBM</v>
          </cell>
          <cell r="E661" t="str">
            <v>PET</v>
          </cell>
          <cell r="F661">
            <v>48.39</v>
          </cell>
          <cell r="G661"/>
          <cell r="H661">
            <v>48.39</v>
          </cell>
          <cell r="I661">
            <v>9</v>
          </cell>
        </row>
        <row r="662">
          <cell r="A662">
            <v>652204</v>
          </cell>
          <cell r="B662" t="str">
            <v>BX38-0750-R-WH -MANGO(ASEM)</v>
          </cell>
          <cell r="C662">
            <v>1</v>
          </cell>
          <cell r="D662" t="str">
            <v>ISBM</v>
          </cell>
          <cell r="E662" t="str">
            <v>PET</v>
          </cell>
          <cell r="F662">
            <v>48.39</v>
          </cell>
          <cell r="G662"/>
          <cell r="H662">
            <v>48.39</v>
          </cell>
          <cell r="I662">
            <v>9</v>
          </cell>
        </row>
        <row r="663">
          <cell r="A663">
            <v>437808</v>
          </cell>
          <cell r="B663" t="str">
            <v>BX38-0850-GH-R-CL HW</v>
          </cell>
          <cell r="C663">
            <v>4</v>
          </cell>
          <cell r="D663" t="str">
            <v>ISBM</v>
          </cell>
          <cell r="E663" t="str">
            <v>PET</v>
          </cell>
          <cell r="F663">
            <v>55</v>
          </cell>
          <cell r="G663"/>
          <cell r="H663">
            <v>55</v>
          </cell>
          <cell r="I663">
            <v>30.8</v>
          </cell>
        </row>
        <row r="664">
          <cell r="A664">
            <v>341231</v>
          </cell>
          <cell r="B664" t="str">
            <v>BX38-0850-GH-R-CL-LW</v>
          </cell>
          <cell r="C664">
            <v>4</v>
          </cell>
          <cell r="D664" t="str">
            <v>ISBM</v>
          </cell>
          <cell r="E664" t="str">
            <v>PET</v>
          </cell>
          <cell r="F664">
            <v>48</v>
          </cell>
          <cell r="G664"/>
          <cell r="H664">
            <v>48.3</v>
          </cell>
          <cell r="I664">
            <v>28.96</v>
          </cell>
        </row>
        <row r="665">
          <cell r="A665">
            <v>324261</v>
          </cell>
          <cell r="B665" t="str">
            <v>BX38-1000-CN-R-CL</v>
          </cell>
          <cell r="C665">
            <v>4</v>
          </cell>
          <cell r="D665" t="str">
            <v>ISBM</v>
          </cell>
          <cell r="E665" t="str">
            <v>PET</v>
          </cell>
          <cell r="F665">
            <v>49</v>
          </cell>
          <cell r="G665"/>
          <cell r="H665">
            <v>49</v>
          </cell>
          <cell r="I665">
            <v>27</v>
          </cell>
        </row>
        <row r="666">
          <cell r="A666">
            <v>393922</v>
          </cell>
          <cell r="B666" t="str">
            <v>BX38-1000-C-R-CL-HW</v>
          </cell>
          <cell r="C666">
            <v>4</v>
          </cell>
          <cell r="D666" t="str">
            <v>ISBM</v>
          </cell>
          <cell r="E666" t="str">
            <v>PET</v>
          </cell>
          <cell r="F666">
            <v>55</v>
          </cell>
          <cell r="G666"/>
          <cell r="H666">
            <v>55</v>
          </cell>
          <cell r="I666">
            <v>33.200000000000003</v>
          </cell>
        </row>
        <row r="667">
          <cell r="A667">
            <v>324210</v>
          </cell>
          <cell r="B667" t="str">
            <v>BX38-1000-C-R-CL-LW</v>
          </cell>
          <cell r="C667">
            <v>4</v>
          </cell>
          <cell r="D667" t="str">
            <v>ISBM</v>
          </cell>
          <cell r="E667" t="str">
            <v>PET</v>
          </cell>
          <cell r="F667">
            <v>48.3</v>
          </cell>
          <cell r="G667"/>
          <cell r="H667">
            <v>48.4</v>
          </cell>
          <cell r="I667">
            <v>25</v>
          </cell>
        </row>
        <row r="668">
          <cell r="A668">
            <v>324208</v>
          </cell>
          <cell r="B668" t="str">
            <v>BX38-1000-C-R-WH</v>
          </cell>
          <cell r="C668">
            <v>4</v>
          </cell>
          <cell r="D668" t="str">
            <v>ISBM</v>
          </cell>
          <cell r="E668" t="str">
            <v>PET</v>
          </cell>
          <cell r="F668">
            <v>58.9</v>
          </cell>
          <cell r="G668"/>
          <cell r="H668">
            <v>58.9</v>
          </cell>
          <cell r="I668">
            <v>25</v>
          </cell>
        </row>
        <row r="669">
          <cell r="A669">
            <v>322556</v>
          </cell>
          <cell r="B669" t="str">
            <v>BX38-1000-GH-R-CL</v>
          </cell>
          <cell r="C669">
            <v>4</v>
          </cell>
          <cell r="D669" t="str">
            <v>ISBM</v>
          </cell>
          <cell r="E669" t="str">
            <v>PET</v>
          </cell>
          <cell r="F669">
            <v>48.9</v>
          </cell>
          <cell r="G669"/>
          <cell r="H669">
            <v>48.5</v>
          </cell>
          <cell r="I669">
            <v>27.6</v>
          </cell>
        </row>
        <row r="670">
          <cell r="A670">
            <v>323092</v>
          </cell>
          <cell r="B670" t="str">
            <v>BX38-1000-GH-R-CL(GREEN) (ASEM)</v>
          </cell>
          <cell r="C670">
            <v>4</v>
          </cell>
          <cell r="D670" t="str">
            <v>ISBM</v>
          </cell>
          <cell r="E670" t="str">
            <v>PET</v>
          </cell>
          <cell r="F670">
            <v>48.9</v>
          </cell>
          <cell r="G670"/>
          <cell r="H670">
            <v>48.9</v>
          </cell>
          <cell r="I670">
            <v>27.6</v>
          </cell>
        </row>
        <row r="671">
          <cell r="A671">
            <v>324206</v>
          </cell>
          <cell r="B671" t="str">
            <v>BX38-1000-HC-S-CL</v>
          </cell>
          <cell r="C671">
            <v>4</v>
          </cell>
          <cell r="D671" t="str">
            <v>ISBM</v>
          </cell>
          <cell r="E671" t="str">
            <v>PET</v>
          </cell>
          <cell r="F671">
            <v>48</v>
          </cell>
          <cell r="G671"/>
          <cell r="H671">
            <v>49</v>
          </cell>
          <cell r="I671">
            <v>25</v>
          </cell>
        </row>
        <row r="672">
          <cell r="A672">
            <v>347521</v>
          </cell>
          <cell r="B672" t="str">
            <v>BX38-1000-H-R-CL</v>
          </cell>
          <cell r="C672">
            <v>4</v>
          </cell>
          <cell r="D672" t="str">
            <v>ISBM</v>
          </cell>
          <cell r="E672" t="str">
            <v>PET</v>
          </cell>
          <cell r="F672">
            <v>48.2</v>
          </cell>
          <cell r="G672"/>
          <cell r="H672">
            <v>48.2</v>
          </cell>
          <cell r="I672">
            <v>29</v>
          </cell>
        </row>
        <row r="673">
          <cell r="A673">
            <v>347542</v>
          </cell>
          <cell r="B673" t="str">
            <v>BX38-1000-H-R-CL(YELLOW) ASEM</v>
          </cell>
          <cell r="C673">
            <v>4</v>
          </cell>
          <cell r="D673" t="str">
            <v>ISBM</v>
          </cell>
          <cell r="E673" t="str">
            <v>PET</v>
          </cell>
          <cell r="F673">
            <v>49.2</v>
          </cell>
          <cell r="G673"/>
          <cell r="H673">
            <v>49.2</v>
          </cell>
          <cell r="I673">
            <v>31.68</v>
          </cell>
        </row>
        <row r="674">
          <cell r="A674">
            <v>331676</v>
          </cell>
          <cell r="B674" t="str">
            <v>BX38-1000-N-R-CL</v>
          </cell>
          <cell r="C674">
            <v>4</v>
          </cell>
          <cell r="D674" t="str">
            <v>ISBM</v>
          </cell>
          <cell r="E674" t="str">
            <v>PET</v>
          </cell>
          <cell r="F674">
            <v>56</v>
          </cell>
          <cell r="G674"/>
          <cell r="H674">
            <v>58</v>
          </cell>
          <cell r="I674">
            <v>43.12</v>
          </cell>
        </row>
        <row r="675">
          <cell r="A675">
            <v>323009</v>
          </cell>
          <cell r="B675" t="str">
            <v>BX38-1000-RH-R-CL</v>
          </cell>
          <cell r="C675">
            <v>4</v>
          </cell>
          <cell r="D675" t="str">
            <v>ISBM</v>
          </cell>
          <cell r="E675" t="str">
            <v>PET</v>
          </cell>
          <cell r="F675">
            <v>45</v>
          </cell>
          <cell r="G675"/>
          <cell r="H675">
            <v>56.5</v>
          </cell>
          <cell r="I675">
            <v>26.4</v>
          </cell>
        </row>
        <row r="676">
          <cell r="A676">
            <v>398922</v>
          </cell>
          <cell r="B676" t="str">
            <v>BX38-1000-RH-R-CL (YELLOW) (ASEM)</v>
          </cell>
          <cell r="C676">
            <v>4</v>
          </cell>
          <cell r="D676" t="str">
            <v>ISBM</v>
          </cell>
          <cell r="E676" t="str">
            <v>PET</v>
          </cell>
          <cell r="F676">
            <v>46</v>
          </cell>
          <cell r="G676"/>
          <cell r="H676">
            <v>48.71</v>
          </cell>
          <cell r="I676">
            <v>26.4</v>
          </cell>
        </row>
        <row r="677">
          <cell r="A677">
            <v>323091</v>
          </cell>
          <cell r="B677" t="str">
            <v>BX38-1000-RH-R-CL(GREEN) (ASEM)</v>
          </cell>
          <cell r="C677">
            <v>4</v>
          </cell>
          <cell r="D677" t="str">
            <v>ISBM</v>
          </cell>
          <cell r="E677" t="str">
            <v>PET</v>
          </cell>
          <cell r="F677">
            <v>48.71</v>
          </cell>
          <cell r="G677"/>
          <cell r="H677">
            <v>48.71</v>
          </cell>
          <cell r="I677">
            <v>26.4</v>
          </cell>
        </row>
        <row r="678">
          <cell r="A678">
            <v>410269</v>
          </cell>
          <cell r="B678" t="str">
            <v>BX38-1000-RH-R-CL-WHT-ASEM</v>
          </cell>
          <cell r="C678">
            <v>4</v>
          </cell>
          <cell r="D678" t="str">
            <v>ISBM</v>
          </cell>
          <cell r="E678" t="str">
            <v>PET</v>
          </cell>
          <cell r="F678">
            <v>48.5</v>
          </cell>
          <cell r="G678"/>
          <cell r="H678">
            <v>49</v>
          </cell>
          <cell r="I678">
            <v>26.4</v>
          </cell>
        </row>
        <row r="679">
          <cell r="A679">
            <v>329228</v>
          </cell>
          <cell r="B679" t="str">
            <v>BX38-1000-RM-R-CL</v>
          </cell>
          <cell r="C679">
            <v>4</v>
          </cell>
          <cell r="D679" t="str">
            <v>ISBM</v>
          </cell>
          <cell r="E679" t="str">
            <v>PET</v>
          </cell>
          <cell r="F679">
            <v>56.4</v>
          </cell>
          <cell r="G679"/>
          <cell r="H679">
            <v>56.4</v>
          </cell>
          <cell r="I679">
            <v>40.68</v>
          </cell>
        </row>
        <row r="680">
          <cell r="A680">
            <v>324150</v>
          </cell>
          <cell r="B680" t="str">
            <v>BX38-1000-RN-R-CL</v>
          </cell>
          <cell r="C680">
            <v>4</v>
          </cell>
          <cell r="D680" t="str">
            <v>ISBM</v>
          </cell>
          <cell r="E680" t="str">
            <v>PET</v>
          </cell>
          <cell r="F680">
            <v>56.8</v>
          </cell>
          <cell r="G680"/>
          <cell r="H680">
            <v>56.5</v>
          </cell>
          <cell r="I680">
            <v>28.5</v>
          </cell>
        </row>
        <row r="681">
          <cell r="A681">
            <v>593537</v>
          </cell>
          <cell r="B681" t="str">
            <v>BX38-1000-RN-R-CL-rPET 0.2</v>
          </cell>
          <cell r="C681">
            <v>4</v>
          </cell>
          <cell r="D681" t="str">
            <v>ISBM</v>
          </cell>
          <cell r="E681" t="str">
            <v>rPET</v>
          </cell>
          <cell r="F681">
            <v>56.8</v>
          </cell>
          <cell r="G681"/>
          <cell r="H681">
            <v>56.5</v>
          </cell>
          <cell r="I681">
            <v>28.5</v>
          </cell>
        </row>
        <row r="682">
          <cell r="A682">
            <v>622636</v>
          </cell>
          <cell r="B682" t="str">
            <v>BX38-1000-RN-R-CL-rPET 1.0</v>
          </cell>
          <cell r="C682">
            <v>4</v>
          </cell>
          <cell r="D682" t="str">
            <v>ISBM</v>
          </cell>
          <cell r="E682" t="str">
            <v>rPET</v>
          </cell>
          <cell r="F682">
            <v>56.8</v>
          </cell>
          <cell r="G682"/>
          <cell r="H682">
            <v>56.5</v>
          </cell>
          <cell r="I682">
            <v>28.5</v>
          </cell>
        </row>
        <row r="683">
          <cell r="A683">
            <v>657222</v>
          </cell>
          <cell r="B683" t="str">
            <v>BX38-1000-RN-R-CL rPET 0.2-M2</v>
          </cell>
          <cell r="C683">
            <v>2</v>
          </cell>
          <cell r="D683" t="str">
            <v>ISBM</v>
          </cell>
          <cell r="E683" t="str">
            <v>rPET</v>
          </cell>
          <cell r="F683">
            <v>56.8</v>
          </cell>
          <cell r="G683"/>
          <cell r="H683">
            <v>56.5</v>
          </cell>
          <cell r="I683">
            <v>28.5</v>
          </cell>
        </row>
        <row r="684">
          <cell r="A684">
            <v>322520</v>
          </cell>
          <cell r="B684" t="str">
            <v>BX38-1000-RR-R-CL</v>
          </cell>
          <cell r="C684">
            <v>4</v>
          </cell>
          <cell r="D684" t="str">
            <v>ISBM</v>
          </cell>
          <cell r="E684" t="str">
            <v>rPET</v>
          </cell>
          <cell r="F684">
            <v>55</v>
          </cell>
          <cell r="G684"/>
          <cell r="H684">
            <v>55</v>
          </cell>
          <cell r="I684">
            <v>30</v>
          </cell>
        </row>
        <row r="685">
          <cell r="A685">
            <v>425348</v>
          </cell>
          <cell r="B685" t="str">
            <v>BX38-1000-S-S-CL</v>
          </cell>
          <cell r="C685">
            <v>4</v>
          </cell>
          <cell r="D685" t="str">
            <v>ISBM</v>
          </cell>
          <cell r="E685" t="str">
            <v>rPET</v>
          </cell>
          <cell r="F685">
            <v>48.5</v>
          </cell>
          <cell r="G685"/>
          <cell r="H685">
            <v>58.9</v>
          </cell>
          <cell r="I685">
            <v>28.76</v>
          </cell>
        </row>
        <row r="686">
          <cell r="A686">
            <v>549410</v>
          </cell>
          <cell r="B686" t="str">
            <v>BX38-1000-S-S-WH</v>
          </cell>
          <cell r="C686">
            <v>4</v>
          </cell>
          <cell r="D686" t="str">
            <v>ISBM</v>
          </cell>
          <cell r="E686" t="str">
            <v>rPET</v>
          </cell>
          <cell r="F686">
            <v>48</v>
          </cell>
          <cell r="G686"/>
          <cell r="H686">
            <v>48</v>
          </cell>
          <cell r="I686">
            <v>30.12</v>
          </cell>
        </row>
        <row r="687">
          <cell r="A687">
            <v>322531</v>
          </cell>
          <cell r="B687" t="str">
            <v>BX38-1083-RN-R-CL</v>
          </cell>
          <cell r="C687">
            <v>4</v>
          </cell>
          <cell r="D687" t="str">
            <v>ISBM</v>
          </cell>
          <cell r="E687" t="str">
            <v>rPET</v>
          </cell>
          <cell r="F687">
            <v>57</v>
          </cell>
          <cell r="G687"/>
          <cell r="H687">
            <v>77</v>
          </cell>
          <cell r="I687">
            <v>29</v>
          </cell>
        </row>
        <row r="688">
          <cell r="A688">
            <v>411761</v>
          </cell>
          <cell r="B688" t="str">
            <v>BX38-1500-H-R-CL-BLK-ASEM</v>
          </cell>
          <cell r="C688">
            <v>4</v>
          </cell>
          <cell r="D688" t="str">
            <v>ISBM</v>
          </cell>
          <cell r="E688" t="str">
            <v>rPET</v>
          </cell>
          <cell r="F688">
            <v>56.9</v>
          </cell>
          <cell r="G688"/>
          <cell r="H688">
            <v>55.9</v>
          </cell>
          <cell r="I688">
            <v>26</v>
          </cell>
        </row>
        <row r="689">
          <cell r="A689">
            <v>323011</v>
          </cell>
          <cell r="B689" t="str">
            <v>BX38-1500-H-R-CL-LW</v>
          </cell>
          <cell r="C689">
            <v>2</v>
          </cell>
          <cell r="D689" t="str">
            <v>ISBM</v>
          </cell>
          <cell r="E689" t="str">
            <v>rPET</v>
          </cell>
          <cell r="F689">
            <v>55.9</v>
          </cell>
          <cell r="G689"/>
          <cell r="H689">
            <v>55.9</v>
          </cell>
          <cell r="I689">
            <v>13</v>
          </cell>
        </row>
        <row r="690">
          <cell r="A690">
            <v>323102</v>
          </cell>
          <cell r="B690" t="str">
            <v>BX38-1500-H-R-CL-LW(GREEN) (ASEM)</v>
          </cell>
          <cell r="C690">
            <v>4</v>
          </cell>
          <cell r="D690" t="str">
            <v>ISBM</v>
          </cell>
          <cell r="E690" t="str">
            <v>PET</v>
          </cell>
          <cell r="F690">
            <v>56.9</v>
          </cell>
          <cell r="G690"/>
          <cell r="H690">
            <v>56.9</v>
          </cell>
          <cell r="I690">
            <v>26</v>
          </cell>
        </row>
        <row r="691">
          <cell r="A691">
            <v>323104</v>
          </cell>
          <cell r="B691" t="str">
            <v>BX38-1500-H-R-CL-LW(YELLOW) (ASEM)</v>
          </cell>
          <cell r="C691">
            <v>4</v>
          </cell>
          <cell r="D691" t="str">
            <v>ISBM</v>
          </cell>
          <cell r="E691" t="str">
            <v>PET</v>
          </cell>
          <cell r="F691">
            <v>56.9</v>
          </cell>
          <cell r="G691"/>
          <cell r="H691">
            <v>55.9</v>
          </cell>
          <cell r="I691">
            <v>26</v>
          </cell>
        </row>
        <row r="692">
          <cell r="A692">
            <v>650368</v>
          </cell>
          <cell r="B692" t="str">
            <v>BX38-1500-H-R-CL-LW(WHITE) (ASEM)</v>
          </cell>
          <cell r="C692">
            <v>4</v>
          </cell>
          <cell r="D692" t="str">
            <v>ISBM</v>
          </cell>
          <cell r="E692" t="str">
            <v>PET</v>
          </cell>
          <cell r="F692">
            <v>56.9</v>
          </cell>
          <cell r="G692"/>
          <cell r="H692">
            <v>56.9</v>
          </cell>
          <cell r="I692">
            <v>26</v>
          </cell>
        </row>
        <row r="693">
          <cell r="A693">
            <v>324638</v>
          </cell>
          <cell r="B693" t="str">
            <v>BX38-2000-GH-R-CL (GREEN) (ASEM)</v>
          </cell>
          <cell r="C693">
            <v>4</v>
          </cell>
          <cell r="D693" t="str">
            <v>ISBM</v>
          </cell>
          <cell r="E693" t="str">
            <v>PET</v>
          </cell>
          <cell r="F693">
            <v>77.5</v>
          </cell>
          <cell r="G693"/>
          <cell r="H693">
            <v>77.5</v>
          </cell>
          <cell r="I693">
            <v>36</v>
          </cell>
        </row>
        <row r="694">
          <cell r="A694">
            <v>324640</v>
          </cell>
          <cell r="B694" t="str">
            <v>BX38-2000-GH-R-CL (WIP)</v>
          </cell>
          <cell r="C694">
            <v>4</v>
          </cell>
          <cell r="D694" t="str">
            <v>ISBM</v>
          </cell>
          <cell r="E694" t="str">
            <v>PET</v>
          </cell>
          <cell r="F694">
            <v>77.5</v>
          </cell>
          <cell r="G694"/>
          <cell r="H694">
            <v>77.5</v>
          </cell>
          <cell r="I694">
            <v>36</v>
          </cell>
        </row>
        <row r="695">
          <cell r="A695">
            <v>322547</v>
          </cell>
          <cell r="B695" t="str">
            <v>BX38-2000-GH-S-CL</v>
          </cell>
          <cell r="C695">
            <v>4</v>
          </cell>
          <cell r="D695" t="str">
            <v>ISBM</v>
          </cell>
          <cell r="E695" t="str">
            <v>PET</v>
          </cell>
          <cell r="F695">
            <v>77</v>
          </cell>
          <cell r="G695"/>
          <cell r="H695">
            <v>77</v>
          </cell>
          <cell r="I695">
            <v>36</v>
          </cell>
        </row>
        <row r="696">
          <cell r="A696">
            <v>323012</v>
          </cell>
          <cell r="B696" t="str">
            <v>BX38-2000-H-R-CL-LW</v>
          </cell>
          <cell r="C696">
            <v>2</v>
          </cell>
          <cell r="D696" t="str">
            <v>ISBM</v>
          </cell>
          <cell r="E696" t="str">
            <v>PET</v>
          </cell>
          <cell r="F696">
            <v>55</v>
          </cell>
          <cell r="G696"/>
          <cell r="H696">
            <v>55</v>
          </cell>
          <cell r="I696">
            <v>17</v>
          </cell>
        </row>
        <row r="697">
          <cell r="A697">
            <v>323115</v>
          </cell>
          <cell r="B697" t="str">
            <v>BX38-2000-H-R-CL-LW (YELLOW) (ASEM)</v>
          </cell>
          <cell r="C697">
            <v>2</v>
          </cell>
          <cell r="D697" t="str">
            <v>ISBM</v>
          </cell>
          <cell r="E697" t="str">
            <v>PET</v>
          </cell>
          <cell r="F697">
            <v>56</v>
          </cell>
          <cell r="G697"/>
          <cell r="H697">
            <v>78</v>
          </cell>
          <cell r="I697">
            <v>17</v>
          </cell>
        </row>
        <row r="698">
          <cell r="A698">
            <v>424601</v>
          </cell>
          <cell r="B698" t="str">
            <v>BX38-2000-HR-R-CL</v>
          </cell>
          <cell r="C698">
            <v>2</v>
          </cell>
          <cell r="D698" t="str">
            <v>ISBM</v>
          </cell>
          <cell r="E698" t="str">
            <v>PET</v>
          </cell>
          <cell r="F698">
            <v>72</v>
          </cell>
          <cell r="G698"/>
          <cell r="H698">
            <v>72</v>
          </cell>
          <cell r="I698">
            <v>80.8</v>
          </cell>
        </row>
        <row r="699">
          <cell r="A699">
            <v>424597</v>
          </cell>
          <cell r="B699" t="str">
            <v>BX38-2000-HR-R-CL(RED)(ASEM)</v>
          </cell>
          <cell r="C699">
            <v>2</v>
          </cell>
          <cell r="D699" t="str">
            <v>ISBM</v>
          </cell>
          <cell r="E699" t="str">
            <v>PET</v>
          </cell>
          <cell r="F699">
            <v>73</v>
          </cell>
          <cell r="G699"/>
          <cell r="H699">
            <v>76</v>
          </cell>
          <cell r="I699">
            <v>40.4</v>
          </cell>
        </row>
        <row r="700">
          <cell r="A700">
            <v>618217</v>
          </cell>
          <cell r="B700" t="str">
            <v>BX38-2000-HR-R-CL(GREEN)(ASEM)</v>
          </cell>
          <cell r="C700">
            <v>2</v>
          </cell>
          <cell r="D700" t="str">
            <v>ISBM</v>
          </cell>
          <cell r="E700" t="str">
            <v>PET</v>
          </cell>
          <cell r="F700">
            <v>73</v>
          </cell>
          <cell r="G700"/>
          <cell r="H700">
            <v>76</v>
          </cell>
          <cell r="I700">
            <v>40.4</v>
          </cell>
        </row>
        <row r="701">
          <cell r="A701">
            <v>322398</v>
          </cell>
          <cell r="B701" t="str">
            <v>BX38-2000-H-S-CL</v>
          </cell>
          <cell r="C701">
            <v>4</v>
          </cell>
          <cell r="D701" t="str">
            <v>ISBM</v>
          </cell>
          <cell r="E701" t="str">
            <v>PET</v>
          </cell>
          <cell r="F701">
            <v>76.900000000000006</v>
          </cell>
          <cell r="G701"/>
          <cell r="H701">
            <v>72</v>
          </cell>
          <cell r="I701">
            <v>36</v>
          </cell>
        </row>
        <row r="702">
          <cell r="A702">
            <v>322541</v>
          </cell>
          <cell r="B702" t="str">
            <v>BX38-2000-H-S-CL(GREEN) (ASEM)</v>
          </cell>
          <cell r="C702">
            <v>4</v>
          </cell>
          <cell r="D702" t="str">
            <v>ISBM</v>
          </cell>
          <cell r="E702" t="str">
            <v>PET</v>
          </cell>
          <cell r="F702">
            <v>77.900000000000006</v>
          </cell>
          <cell r="G702"/>
          <cell r="H702">
            <v>77.900000000000006</v>
          </cell>
          <cell r="I702">
            <v>36</v>
          </cell>
        </row>
        <row r="703">
          <cell r="A703">
            <v>575317</v>
          </cell>
          <cell r="B703" t="str">
            <v>BX38-2000-H-S-CL(YELLOW) (ASEM)</v>
          </cell>
          <cell r="C703">
            <v>4</v>
          </cell>
          <cell r="D703" t="str">
            <v>ISBM</v>
          </cell>
          <cell r="E703" t="str">
            <v>PET</v>
          </cell>
          <cell r="F703">
            <v>77.900000000000006</v>
          </cell>
          <cell r="G703"/>
          <cell r="H703">
            <v>77</v>
          </cell>
          <cell r="I703">
            <v>36</v>
          </cell>
        </row>
        <row r="704">
          <cell r="A704">
            <v>324217</v>
          </cell>
          <cell r="B704" t="str">
            <v>BX38-2000-K2-S-CL</v>
          </cell>
          <cell r="C704">
            <v>2</v>
          </cell>
          <cell r="D704" t="str">
            <v>ISBM</v>
          </cell>
          <cell r="E704" t="str">
            <v>PET</v>
          </cell>
          <cell r="F704">
            <v>75.599999999999994</v>
          </cell>
          <cell r="G704"/>
          <cell r="H704">
            <v>77</v>
          </cell>
          <cell r="I704">
            <v>18</v>
          </cell>
        </row>
        <row r="705">
          <cell r="A705">
            <v>323132</v>
          </cell>
          <cell r="B705" t="str">
            <v>BX38-2000-RH-R-CL</v>
          </cell>
          <cell r="C705">
            <v>4</v>
          </cell>
          <cell r="D705" t="str">
            <v>ISBM</v>
          </cell>
          <cell r="E705" t="str">
            <v>PET</v>
          </cell>
          <cell r="F705">
            <v>76</v>
          </cell>
          <cell r="G705"/>
          <cell r="H705">
            <v>76</v>
          </cell>
          <cell r="I705">
            <v>35</v>
          </cell>
        </row>
        <row r="706">
          <cell r="A706">
            <v>441778</v>
          </cell>
          <cell r="B706" t="str">
            <v>BX38-2000-RH-R-CL (WHITE) (ASEM)</v>
          </cell>
          <cell r="C706">
            <v>4</v>
          </cell>
          <cell r="D706" t="str">
            <v>ISBM</v>
          </cell>
          <cell r="E706" t="str">
            <v>PET</v>
          </cell>
          <cell r="F706">
            <v>77</v>
          </cell>
          <cell r="G706"/>
          <cell r="H706">
            <v>77</v>
          </cell>
          <cell r="I706">
            <v>35</v>
          </cell>
        </row>
        <row r="707">
          <cell r="A707">
            <v>323133</v>
          </cell>
          <cell r="B707" t="str">
            <v>BX38-2000-RH-R-CL(GREEN) (ASEM)</v>
          </cell>
          <cell r="C707">
            <v>4</v>
          </cell>
          <cell r="D707" t="str">
            <v>ISBM</v>
          </cell>
          <cell r="E707" t="str">
            <v>PET</v>
          </cell>
          <cell r="F707">
            <v>77</v>
          </cell>
          <cell r="G707"/>
          <cell r="H707">
            <v>77</v>
          </cell>
          <cell r="I707">
            <v>35</v>
          </cell>
        </row>
        <row r="708">
          <cell r="A708">
            <v>323135</v>
          </cell>
          <cell r="B708" t="str">
            <v>BX38-2000-RH-R-CL(YELLOW) (ASEM)</v>
          </cell>
          <cell r="C708">
            <v>4</v>
          </cell>
          <cell r="D708" t="str">
            <v>ISBM</v>
          </cell>
          <cell r="E708" t="str">
            <v>PET</v>
          </cell>
          <cell r="F708">
            <v>77</v>
          </cell>
          <cell r="G708"/>
          <cell r="H708">
            <v>77</v>
          </cell>
          <cell r="I708">
            <v>35</v>
          </cell>
        </row>
        <row r="709">
          <cell r="A709">
            <v>414333</v>
          </cell>
          <cell r="B709" t="str">
            <v>BX38-2000-RH-R-CL-ORG-ASEM</v>
          </cell>
          <cell r="C709">
            <v>4</v>
          </cell>
          <cell r="D709" t="str">
            <v>ISBM</v>
          </cell>
          <cell r="E709" t="str">
            <v>PET</v>
          </cell>
          <cell r="F709">
            <v>77</v>
          </cell>
          <cell r="G709"/>
          <cell r="H709">
            <v>76</v>
          </cell>
          <cell r="I709">
            <v>35</v>
          </cell>
        </row>
        <row r="710">
          <cell r="A710">
            <v>361596</v>
          </cell>
          <cell r="B710" t="str">
            <v>BX38-2200-BL-H-R-CL (GREEN) ASEM</v>
          </cell>
          <cell r="C710">
            <v>2</v>
          </cell>
          <cell r="D710" t="str">
            <v>ISBM</v>
          </cell>
          <cell r="E710" t="str">
            <v>PET</v>
          </cell>
          <cell r="F710">
            <v>70.7</v>
          </cell>
          <cell r="G710"/>
          <cell r="H710">
            <v>69.7</v>
          </cell>
          <cell r="I710">
            <v>75.36</v>
          </cell>
        </row>
        <row r="711">
          <cell r="A711">
            <v>336740</v>
          </cell>
          <cell r="B711" t="str">
            <v>BX38-2200-BL-H-R-CL (WHITE) ASEM</v>
          </cell>
          <cell r="C711">
            <v>2</v>
          </cell>
          <cell r="D711" t="str">
            <v>ISBM</v>
          </cell>
          <cell r="E711" t="str">
            <v>PET</v>
          </cell>
          <cell r="F711">
            <v>70.7</v>
          </cell>
          <cell r="G711"/>
          <cell r="H711">
            <v>69.7</v>
          </cell>
          <cell r="I711">
            <v>75.36</v>
          </cell>
        </row>
        <row r="712">
          <cell r="A712">
            <v>336739</v>
          </cell>
          <cell r="B712" t="str">
            <v>BX38-2200-BL-R-CL</v>
          </cell>
          <cell r="C712">
            <v>2</v>
          </cell>
          <cell r="D712" t="str">
            <v>ISBM</v>
          </cell>
          <cell r="E712" t="str">
            <v>PET</v>
          </cell>
          <cell r="F712">
            <v>69.7</v>
          </cell>
          <cell r="G712"/>
          <cell r="H712"/>
          <cell r="I712">
            <v>37.68</v>
          </cell>
        </row>
        <row r="713">
          <cell r="A713">
            <v>362734</v>
          </cell>
          <cell r="B713" t="str">
            <v>BX38-2250-BL-R-CL</v>
          </cell>
          <cell r="C713">
            <v>2</v>
          </cell>
          <cell r="D713" t="str">
            <v>ISBM</v>
          </cell>
          <cell r="E713" t="str">
            <v>PET</v>
          </cell>
          <cell r="F713">
            <v>69.900000000000006</v>
          </cell>
          <cell r="G713"/>
          <cell r="H713">
            <v>69.900000000000006</v>
          </cell>
          <cell r="I713">
            <v>36.46</v>
          </cell>
        </row>
        <row r="714">
          <cell r="A714">
            <v>338957</v>
          </cell>
          <cell r="B714" t="str">
            <v>C110-HANDLE CAP GREY</v>
          </cell>
          <cell r="C714">
            <v>2</v>
          </cell>
          <cell r="D714" t="str">
            <v>INJ</v>
          </cell>
          <cell r="E714" t="str">
            <v>HDPE1010J</v>
          </cell>
          <cell r="F714">
            <v>48.26</v>
          </cell>
          <cell r="G714"/>
          <cell r="H714">
            <v>48.3</v>
          </cell>
          <cell r="I714">
            <v>36.799999999999997</v>
          </cell>
        </row>
        <row r="715">
          <cell r="A715">
            <v>322623</v>
          </cell>
          <cell r="B715" t="str">
            <v>C110-HANDLE CAP PINK</v>
          </cell>
          <cell r="C715">
            <v>2</v>
          </cell>
          <cell r="D715" t="str">
            <v>INJ</v>
          </cell>
          <cell r="E715" t="str">
            <v>HDPE1010J</v>
          </cell>
          <cell r="F715">
            <v>48.260000000000005</v>
          </cell>
          <cell r="G715"/>
          <cell r="H715">
            <v>48.3</v>
          </cell>
          <cell r="I715">
            <v>24.6</v>
          </cell>
        </row>
        <row r="716">
          <cell r="A716">
            <v>322615</v>
          </cell>
          <cell r="B716" t="str">
            <v>C110-HANDLE CAP RED</v>
          </cell>
          <cell r="C716">
            <v>2</v>
          </cell>
          <cell r="D716" t="str">
            <v>INJ</v>
          </cell>
          <cell r="E716" t="str">
            <v>HDPE1010J</v>
          </cell>
          <cell r="F716">
            <v>48.26</v>
          </cell>
          <cell r="G716"/>
          <cell r="H716">
            <v>48.26</v>
          </cell>
          <cell r="I716">
            <v>45</v>
          </cell>
        </row>
        <row r="717">
          <cell r="A717">
            <v>322605</v>
          </cell>
          <cell r="B717" t="str">
            <v>C28-C/S-FLIP TOP BLACK</v>
          </cell>
          <cell r="C717">
            <v>4</v>
          </cell>
          <cell r="D717" t="str">
            <v>INJ</v>
          </cell>
          <cell r="E717" t="str">
            <v>SM398</v>
          </cell>
          <cell r="F717">
            <v>4.8499999999999996</v>
          </cell>
          <cell r="G717"/>
          <cell r="H717">
            <v>4.6500000000000004</v>
          </cell>
          <cell r="I717">
            <v>16.2</v>
          </cell>
        </row>
        <row r="718">
          <cell r="A718">
            <v>322607</v>
          </cell>
          <cell r="B718" t="str">
            <v>C28-C/S-FLIP TOP BLUE</v>
          </cell>
          <cell r="C718">
            <v>4</v>
          </cell>
          <cell r="D718" t="str">
            <v>INJ</v>
          </cell>
          <cell r="E718" t="str">
            <v>SM398</v>
          </cell>
          <cell r="F718">
            <v>4.8499999999999996</v>
          </cell>
          <cell r="G718"/>
          <cell r="H718">
            <v>4.6500000000000004</v>
          </cell>
          <cell r="I718">
            <v>16.2</v>
          </cell>
        </row>
        <row r="719">
          <cell r="A719">
            <v>342604</v>
          </cell>
          <cell r="B719" t="str">
            <v>C28-C/S-FLIP TOP BROWN</v>
          </cell>
          <cell r="C719">
            <v>4</v>
          </cell>
          <cell r="D719" t="str">
            <v>INJ</v>
          </cell>
          <cell r="E719" t="str">
            <v>SM398</v>
          </cell>
          <cell r="F719">
            <v>4.8499999999999996</v>
          </cell>
          <cell r="G719"/>
          <cell r="H719">
            <v>4.6500000000000004</v>
          </cell>
          <cell r="I719">
            <v>16.2</v>
          </cell>
        </row>
        <row r="720">
          <cell r="A720">
            <v>322602</v>
          </cell>
          <cell r="B720" t="str">
            <v>C28-C/S-FLIP TOP D.GREEN</v>
          </cell>
          <cell r="C720">
            <v>4</v>
          </cell>
          <cell r="D720" t="str">
            <v>INJ</v>
          </cell>
          <cell r="E720" t="str">
            <v>SM398</v>
          </cell>
          <cell r="F720">
            <v>4.8499999999999996</v>
          </cell>
          <cell r="G720"/>
          <cell r="H720">
            <v>4.6500000000000004</v>
          </cell>
          <cell r="I720">
            <v>16.2</v>
          </cell>
        </row>
        <row r="721">
          <cell r="A721">
            <v>368040</v>
          </cell>
          <cell r="B721" t="str">
            <v>C28-C/S-FLIP TOP GOLD</v>
          </cell>
          <cell r="C721">
            <v>4</v>
          </cell>
          <cell r="D721" t="str">
            <v>INJ</v>
          </cell>
          <cell r="E721" t="str">
            <v>SM398</v>
          </cell>
          <cell r="F721">
            <v>4.8499999999999996</v>
          </cell>
          <cell r="G721"/>
          <cell r="H721">
            <v>4.6500000000000004</v>
          </cell>
          <cell r="I721">
            <v>16.2</v>
          </cell>
        </row>
        <row r="722">
          <cell r="A722">
            <v>323509</v>
          </cell>
          <cell r="B722" t="str">
            <v>C28-C/S-FLIP TOP GREEN</v>
          </cell>
          <cell r="C722">
            <v>4</v>
          </cell>
          <cell r="D722" t="str">
            <v>INJ</v>
          </cell>
          <cell r="E722" t="str">
            <v>SM398</v>
          </cell>
          <cell r="F722">
            <v>4.8499999999999996</v>
          </cell>
          <cell r="G722"/>
          <cell r="H722">
            <v>4.6500000000000004</v>
          </cell>
          <cell r="I722">
            <v>16.2</v>
          </cell>
        </row>
        <row r="723">
          <cell r="A723">
            <v>549292</v>
          </cell>
          <cell r="B723" t="str">
            <v>C28-C/S-FLIP TOP NATURAL</v>
          </cell>
          <cell r="C723">
            <v>4</v>
          </cell>
          <cell r="D723" t="str">
            <v>INJ</v>
          </cell>
          <cell r="E723" t="str">
            <v>SM398</v>
          </cell>
          <cell r="F723">
            <v>4.8499999999999996</v>
          </cell>
          <cell r="G723"/>
          <cell r="H723">
            <v>4.8499999999999996</v>
          </cell>
          <cell r="I723">
            <v>16.2</v>
          </cell>
        </row>
        <row r="724">
          <cell r="A724">
            <v>322611</v>
          </cell>
          <cell r="B724" t="str">
            <v>C28-C/S-FLIP TOP ORANGE</v>
          </cell>
          <cell r="C724">
            <v>4</v>
          </cell>
          <cell r="D724" t="str">
            <v>INJ</v>
          </cell>
          <cell r="E724" t="str">
            <v>SM398</v>
          </cell>
          <cell r="F724">
            <v>4.8499999999999996</v>
          </cell>
          <cell r="G724"/>
          <cell r="H724">
            <v>4.6500000000000004</v>
          </cell>
          <cell r="I724">
            <v>16.2</v>
          </cell>
        </row>
        <row r="725">
          <cell r="A725">
            <v>532300</v>
          </cell>
          <cell r="B725" t="str">
            <v>C28-C/S-FLIP TOP ORANGE 139148-18</v>
          </cell>
          <cell r="C725">
            <v>4</v>
          </cell>
          <cell r="D725" t="str">
            <v>INJ</v>
          </cell>
          <cell r="E725" t="str">
            <v>SM398</v>
          </cell>
          <cell r="F725">
            <v>4.8499999999999996</v>
          </cell>
          <cell r="G725"/>
          <cell r="H725">
            <v>4.8499999999999996</v>
          </cell>
          <cell r="I725">
            <v>16.2</v>
          </cell>
        </row>
        <row r="726">
          <cell r="A726">
            <v>322595</v>
          </cell>
          <cell r="B726" t="str">
            <v>C28-C/S-FLIP TOP RED</v>
          </cell>
          <cell r="C726">
            <v>4</v>
          </cell>
          <cell r="D726" t="str">
            <v>INJ</v>
          </cell>
          <cell r="E726" t="str">
            <v>SM398</v>
          </cell>
          <cell r="F726">
            <v>4.8499999999999996</v>
          </cell>
          <cell r="G726"/>
          <cell r="H726">
            <v>4.6500000000000004</v>
          </cell>
          <cell r="I726">
            <v>16.2</v>
          </cell>
        </row>
        <row r="727">
          <cell r="A727">
            <v>587779</v>
          </cell>
          <cell r="B727" t="str">
            <v>C28-C/S-FLIP TOP RED-S</v>
          </cell>
          <cell r="C727">
            <v>0</v>
          </cell>
          <cell r="D727" t="str">
            <v>INJ</v>
          </cell>
          <cell r="E727" t="str">
            <v>SM398</v>
          </cell>
          <cell r="F727">
            <v>4.8499999999999996</v>
          </cell>
          <cell r="G727"/>
          <cell r="H727">
            <v>4.8499999999999996</v>
          </cell>
          <cell r="I727">
            <v>16.2</v>
          </cell>
        </row>
        <row r="728">
          <cell r="A728">
            <v>322609</v>
          </cell>
          <cell r="B728" t="str">
            <v>C28-C/S-FLIP TOP VIOLET</v>
          </cell>
          <cell r="C728">
            <v>4</v>
          </cell>
          <cell r="D728" t="str">
            <v>INJ</v>
          </cell>
          <cell r="E728" t="str">
            <v>SM398</v>
          </cell>
          <cell r="F728">
            <v>4.8499999999999996</v>
          </cell>
          <cell r="G728"/>
          <cell r="H728">
            <v>4.6500000000000004</v>
          </cell>
          <cell r="I728">
            <v>16.2</v>
          </cell>
        </row>
        <row r="729">
          <cell r="A729">
            <v>322601</v>
          </cell>
          <cell r="B729" t="str">
            <v>C28-C/S-FLIP TOP WHITE</v>
          </cell>
          <cell r="C729">
            <v>4</v>
          </cell>
          <cell r="D729" t="str">
            <v>INJ</v>
          </cell>
          <cell r="E729" t="str">
            <v>SM398</v>
          </cell>
          <cell r="F729">
            <v>4.8499999999999996</v>
          </cell>
          <cell r="G729"/>
          <cell r="H729">
            <v>4.6500000000000004</v>
          </cell>
          <cell r="I729">
            <v>16.2</v>
          </cell>
        </row>
        <row r="730">
          <cell r="A730">
            <v>549760</v>
          </cell>
          <cell r="B730" t="str">
            <v>C28-C/S-FLIP TOP WHITE - PKG CENTRE</v>
          </cell>
          <cell r="C730">
            <v>4</v>
          </cell>
          <cell r="D730" t="str">
            <v>INJ</v>
          </cell>
          <cell r="E730" t="str">
            <v>SM398</v>
          </cell>
          <cell r="F730">
            <v>4.8499999999999996</v>
          </cell>
          <cell r="G730"/>
          <cell r="H730">
            <v>4.8499999999999996</v>
          </cell>
          <cell r="I730">
            <v>16.2</v>
          </cell>
        </row>
        <row r="731">
          <cell r="A731">
            <v>589040</v>
          </cell>
          <cell r="B731" t="str">
            <v>C28-C/S-FLIP TOP YELLOW (S)</v>
          </cell>
          <cell r="C731">
            <v>0</v>
          </cell>
          <cell r="D731" t="str">
            <v>INJ</v>
          </cell>
          <cell r="E731" t="str">
            <v>SM398</v>
          </cell>
          <cell r="F731">
            <v>4.8499999999999996</v>
          </cell>
          <cell r="G731"/>
          <cell r="H731">
            <v>4.6500000000000004</v>
          </cell>
          <cell r="I731">
            <v>16.2</v>
          </cell>
        </row>
        <row r="732">
          <cell r="A732">
            <v>322597</v>
          </cell>
          <cell r="B732" t="str">
            <v>C28-C/S-FLIP TOP YELLOW (V)</v>
          </cell>
          <cell r="C732">
            <v>4</v>
          </cell>
          <cell r="D732" t="str">
            <v>INJ</v>
          </cell>
          <cell r="E732" t="str">
            <v>SM398</v>
          </cell>
          <cell r="F732">
            <v>4.8499999999999996</v>
          </cell>
          <cell r="G732"/>
          <cell r="H732">
            <v>4.6500000000000004</v>
          </cell>
          <cell r="I732">
            <v>16.2</v>
          </cell>
        </row>
        <row r="733">
          <cell r="A733">
            <v>324220</v>
          </cell>
          <cell r="B733" t="str">
            <v>C28-CHILD PROFF CAP NATURAL (INNER)</v>
          </cell>
          <cell r="C733">
            <v>4</v>
          </cell>
          <cell r="D733" t="str">
            <v>INJ</v>
          </cell>
          <cell r="E733" t="str">
            <v>PP2300</v>
          </cell>
          <cell r="F733">
            <v>3.6</v>
          </cell>
          <cell r="G733"/>
          <cell r="H733">
            <v>3.6</v>
          </cell>
          <cell r="I733">
            <v>14</v>
          </cell>
        </row>
        <row r="734">
          <cell r="A734">
            <v>324158</v>
          </cell>
          <cell r="B734" t="str">
            <v>C28-CHILD PROFF CAP RED (TOP)</v>
          </cell>
          <cell r="C734">
            <v>4</v>
          </cell>
          <cell r="D734" t="str">
            <v>INJ</v>
          </cell>
          <cell r="E734" t="str">
            <v>PP2301</v>
          </cell>
          <cell r="F734">
            <v>2.9</v>
          </cell>
          <cell r="G734"/>
          <cell r="H734">
            <v>2.9</v>
          </cell>
          <cell r="I734">
            <v>16</v>
          </cell>
        </row>
        <row r="735">
          <cell r="A735">
            <v>336166</v>
          </cell>
          <cell r="B735" t="str">
            <v>C28-CHILD PROFF CAP WHITE (ASEM)</v>
          </cell>
          <cell r="C735">
            <v>4</v>
          </cell>
          <cell r="D735" t="str">
            <v>INJ</v>
          </cell>
          <cell r="E735" t="str">
            <v>HDPE1010J</v>
          </cell>
          <cell r="F735">
            <v>6.5</v>
          </cell>
          <cell r="G735"/>
          <cell r="H735">
            <v>7.5</v>
          </cell>
          <cell r="I735">
            <v>20</v>
          </cell>
        </row>
        <row r="736">
          <cell r="A736">
            <v>322613</v>
          </cell>
          <cell r="B736" t="str">
            <v>C28-CHILD PROFF CAP WHITE (INNER)</v>
          </cell>
          <cell r="C736">
            <v>4</v>
          </cell>
          <cell r="D736" t="str">
            <v>INJ</v>
          </cell>
          <cell r="E736" t="str">
            <v>HDPE1010J</v>
          </cell>
          <cell r="F736">
            <v>3.6</v>
          </cell>
          <cell r="G736"/>
          <cell r="H736">
            <v>3.6</v>
          </cell>
          <cell r="I736">
            <v>20</v>
          </cell>
        </row>
        <row r="737">
          <cell r="A737">
            <v>336167</v>
          </cell>
          <cell r="B737" t="str">
            <v>C28-CHILD PROFF CAP WHITE (TOP)</v>
          </cell>
          <cell r="C737">
            <v>4</v>
          </cell>
          <cell r="D737" t="str">
            <v>INJ</v>
          </cell>
          <cell r="E737" t="str">
            <v>HDPE1010J</v>
          </cell>
          <cell r="F737">
            <v>2.9</v>
          </cell>
          <cell r="G737"/>
          <cell r="H737">
            <v>2.9</v>
          </cell>
          <cell r="I737">
            <v>19.8</v>
          </cell>
        </row>
        <row r="738">
          <cell r="A738">
            <v>324221</v>
          </cell>
          <cell r="B738" t="str">
            <v>C28-CHILD PROFF CAP YELLOW (TOP)</v>
          </cell>
          <cell r="C738">
            <v>4</v>
          </cell>
          <cell r="D738" t="str">
            <v>INJ</v>
          </cell>
          <cell r="E738" t="str">
            <v>HDPE1010J</v>
          </cell>
          <cell r="F738">
            <v>2.9</v>
          </cell>
          <cell r="G738"/>
          <cell r="H738">
            <v>4</v>
          </cell>
          <cell r="I738">
            <v>18</v>
          </cell>
        </row>
        <row r="739">
          <cell r="A739">
            <v>415463</v>
          </cell>
          <cell r="B739" t="str">
            <v>C28-CHILD PROFF CAP-NATURAL-YELLOW-ASEM</v>
          </cell>
          <cell r="C739">
            <v>4</v>
          </cell>
          <cell r="D739" t="str">
            <v>INJ</v>
          </cell>
          <cell r="E739" t="str">
            <v>HDPE1010J</v>
          </cell>
          <cell r="F739">
            <v>6.5</v>
          </cell>
          <cell r="G739"/>
          <cell r="H739">
            <v>6.5</v>
          </cell>
          <cell r="I739">
            <v>18</v>
          </cell>
        </row>
        <row r="740">
          <cell r="A740">
            <v>401633</v>
          </cell>
          <cell r="B740" t="str">
            <v>C28-CONICAL CAP BLUE</v>
          </cell>
          <cell r="C740">
            <v>8</v>
          </cell>
          <cell r="D740" t="str">
            <v>INJ</v>
          </cell>
          <cell r="E740" t="str">
            <v>HDPE1010J</v>
          </cell>
          <cell r="F740">
            <v>0.30000000000000004</v>
          </cell>
          <cell r="G740"/>
          <cell r="H740">
            <v>2</v>
          </cell>
          <cell r="I740">
            <v>17.600000000000001</v>
          </cell>
        </row>
        <row r="741">
          <cell r="A741">
            <v>387397</v>
          </cell>
          <cell r="B741" t="str">
            <v>C28-CONICAL CAP GOLD</v>
          </cell>
          <cell r="C741">
            <v>8</v>
          </cell>
          <cell r="D741" t="str">
            <v>INJ</v>
          </cell>
          <cell r="E741" t="str">
            <v>HDPE1010J</v>
          </cell>
          <cell r="F741">
            <v>0.30000000000000004</v>
          </cell>
          <cell r="G741"/>
          <cell r="H741">
            <v>2</v>
          </cell>
          <cell r="I741">
            <v>17.600000000000001</v>
          </cell>
        </row>
        <row r="742">
          <cell r="A742">
            <v>333685</v>
          </cell>
          <cell r="B742" t="str">
            <v>C28-CONICAL CAP RED WIP</v>
          </cell>
          <cell r="C742">
            <v>8</v>
          </cell>
          <cell r="D742" t="str">
            <v>INJ</v>
          </cell>
          <cell r="E742" t="str">
            <v>HDPE1010J</v>
          </cell>
          <cell r="F742">
            <v>2.3000000000000003</v>
          </cell>
          <cell r="G742"/>
          <cell r="H742">
            <v>2</v>
          </cell>
          <cell r="I742">
            <v>17.600000000000001</v>
          </cell>
        </row>
        <row r="743">
          <cell r="A743">
            <v>324161</v>
          </cell>
          <cell r="B743" t="str">
            <v>C28-CONICAL CAP YELLOW</v>
          </cell>
          <cell r="C743">
            <v>8</v>
          </cell>
          <cell r="D743" t="str">
            <v>INJ</v>
          </cell>
          <cell r="E743" t="str">
            <v>HDPE1010J</v>
          </cell>
          <cell r="F743">
            <v>0.30000000000000004</v>
          </cell>
          <cell r="G743"/>
          <cell r="H743">
            <v>2.4</v>
          </cell>
          <cell r="I743">
            <v>17.600000000000001</v>
          </cell>
        </row>
        <row r="744">
          <cell r="A744">
            <v>324159</v>
          </cell>
          <cell r="B744" t="str">
            <v>C28-EZY CAP BLACK</v>
          </cell>
          <cell r="C744">
            <v>4</v>
          </cell>
          <cell r="D744" t="str">
            <v>INJ</v>
          </cell>
          <cell r="E744" t="str">
            <v>HDPE1010J</v>
          </cell>
          <cell r="F744">
            <v>6.4</v>
          </cell>
          <cell r="G744"/>
          <cell r="H744">
            <v>6.4</v>
          </cell>
          <cell r="I744">
            <v>10.52</v>
          </cell>
        </row>
        <row r="745">
          <cell r="A745">
            <v>401636</v>
          </cell>
          <cell r="B745" t="str">
            <v>C28-EZY CAP BLUE</v>
          </cell>
          <cell r="C745">
            <v>4</v>
          </cell>
          <cell r="D745" t="str">
            <v>INJ</v>
          </cell>
          <cell r="E745" t="str">
            <v>HDPE1010J</v>
          </cell>
          <cell r="F745">
            <v>6.4</v>
          </cell>
          <cell r="G745"/>
          <cell r="H745">
            <v>6.4</v>
          </cell>
          <cell r="I745">
            <v>10.52</v>
          </cell>
        </row>
        <row r="746">
          <cell r="A746">
            <v>442036</v>
          </cell>
          <cell r="B746" t="str">
            <v>C28-EZY CAP BLUE - PT.ATGN</v>
          </cell>
          <cell r="C746">
            <v>4</v>
          </cell>
          <cell r="D746" t="str">
            <v>INJ</v>
          </cell>
          <cell r="E746" t="str">
            <v>HDPE1010J</v>
          </cell>
          <cell r="F746">
            <v>6.4</v>
          </cell>
          <cell r="G746"/>
          <cell r="H746">
            <v>6.4</v>
          </cell>
          <cell r="I746">
            <v>10.52</v>
          </cell>
        </row>
        <row r="747">
          <cell r="A747">
            <v>387396</v>
          </cell>
          <cell r="B747" t="str">
            <v>C28-EZY CAP GOLD</v>
          </cell>
          <cell r="C747">
            <v>4</v>
          </cell>
          <cell r="D747" t="str">
            <v>INJ</v>
          </cell>
          <cell r="E747" t="str">
            <v>HDPE1010J</v>
          </cell>
          <cell r="F747">
            <v>6.4</v>
          </cell>
          <cell r="G747"/>
          <cell r="H747">
            <v>6.4</v>
          </cell>
          <cell r="I747">
            <v>10.52</v>
          </cell>
        </row>
        <row r="748">
          <cell r="A748">
            <v>324160</v>
          </cell>
          <cell r="B748" t="str">
            <v>C28-EZY CAP GREEN</v>
          </cell>
          <cell r="C748">
            <v>4</v>
          </cell>
          <cell r="D748" t="str">
            <v>INJ</v>
          </cell>
          <cell r="E748" t="str">
            <v>HDPE1010J</v>
          </cell>
          <cell r="F748">
            <v>6.4</v>
          </cell>
          <cell r="G748"/>
          <cell r="H748">
            <v>6.4</v>
          </cell>
          <cell r="I748">
            <v>10.52</v>
          </cell>
        </row>
        <row r="749">
          <cell r="A749">
            <v>322688</v>
          </cell>
          <cell r="B749" t="str">
            <v>C28-EZY CAP RED</v>
          </cell>
          <cell r="C749">
            <v>4</v>
          </cell>
          <cell r="D749" t="str">
            <v>INJ</v>
          </cell>
          <cell r="E749" t="str">
            <v>HDPE1010J</v>
          </cell>
          <cell r="F749">
            <v>6.4</v>
          </cell>
          <cell r="G749"/>
          <cell r="H749">
            <v>6.4</v>
          </cell>
          <cell r="I749">
            <v>10.52</v>
          </cell>
        </row>
        <row r="750">
          <cell r="A750">
            <v>322685</v>
          </cell>
          <cell r="B750" t="str">
            <v>C28-EZY CAP YELLOW</v>
          </cell>
          <cell r="C750">
            <v>4</v>
          </cell>
          <cell r="D750" t="str">
            <v>INJ</v>
          </cell>
          <cell r="E750" t="str">
            <v>HDPE1010J</v>
          </cell>
          <cell r="F750">
            <v>6.4</v>
          </cell>
          <cell r="G750"/>
          <cell r="H750">
            <v>6.4</v>
          </cell>
          <cell r="I750">
            <v>10.52</v>
          </cell>
        </row>
        <row r="751">
          <cell r="A751">
            <v>473865</v>
          </cell>
          <cell r="B751" t="str">
            <v>C28-EZY R/S CAP BLUE</v>
          </cell>
          <cell r="C751">
            <v>4</v>
          </cell>
          <cell r="D751" t="str">
            <v>INJ</v>
          </cell>
          <cell r="E751" t="str">
            <v>HDPE1010J</v>
          </cell>
          <cell r="F751">
            <v>6.4</v>
          </cell>
          <cell r="G751"/>
          <cell r="H751">
            <v>6.4</v>
          </cell>
          <cell r="I751">
            <v>10.52</v>
          </cell>
        </row>
        <row r="752">
          <cell r="A752">
            <v>473708</v>
          </cell>
          <cell r="B752" t="str">
            <v>C28-EZY R/S CAP BLUE W PET IND SEAL-ASEM</v>
          </cell>
          <cell r="C752">
            <v>4</v>
          </cell>
          <cell r="D752" t="str">
            <v>INJ</v>
          </cell>
          <cell r="E752" t="str">
            <v>HDPE1010J</v>
          </cell>
          <cell r="F752">
            <v>7.4</v>
          </cell>
          <cell r="G752"/>
          <cell r="H752">
            <v>7.4</v>
          </cell>
          <cell r="I752">
            <v>10.52</v>
          </cell>
        </row>
        <row r="753">
          <cell r="A753">
            <v>386731</v>
          </cell>
          <cell r="B753" t="str">
            <v>C28-EZY R/S CAP YEL W PP IND SEAL (ASEM)</v>
          </cell>
          <cell r="C753">
            <v>4</v>
          </cell>
          <cell r="D753" t="str">
            <v>INJ</v>
          </cell>
          <cell r="E753" t="str">
            <v>HDPE1010J</v>
          </cell>
          <cell r="F753">
            <v>7.4</v>
          </cell>
          <cell r="G753"/>
          <cell r="H753">
            <v>6.4</v>
          </cell>
          <cell r="I753">
            <v>10.52</v>
          </cell>
        </row>
        <row r="754">
          <cell r="A754">
            <v>384007</v>
          </cell>
          <cell r="B754" t="str">
            <v>C28-EZY R/S CAP YELLOW</v>
          </cell>
          <cell r="C754">
            <v>4</v>
          </cell>
          <cell r="D754" t="str">
            <v>INJ</v>
          </cell>
          <cell r="E754" t="str">
            <v>HDPE1010J</v>
          </cell>
          <cell r="F754">
            <v>6.4</v>
          </cell>
          <cell r="G754"/>
          <cell r="H754">
            <v>6.4</v>
          </cell>
          <cell r="I754">
            <v>42</v>
          </cell>
        </row>
        <row r="755">
          <cell r="A755">
            <v>529002</v>
          </cell>
          <cell r="B755" t="str">
            <v>C28-EZY R/S CAP YLW WITH IND. SEAL-ASSEM</v>
          </cell>
          <cell r="C755">
            <v>4</v>
          </cell>
          <cell r="D755" t="str">
            <v>INJ</v>
          </cell>
          <cell r="E755" t="str">
            <v>HDPE1010J</v>
          </cell>
          <cell r="F755">
            <v>7.4</v>
          </cell>
          <cell r="G755"/>
          <cell r="H755">
            <v>7.4</v>
          </cell>
          <cell r="I755">
            <v>10.52</v>
          </cell>
        </row>
        <row r="756">
          <cell r="A756">
            <v>322606</v>
          </cell>
          <cell r="B756" t="str">
            <v>C28-R/S-FLIP TOP BLUE</v>
          </cell>
          <cell r="C756">
            <v>4</v>
          </cell>
          <cell r="D756" t="str">
            <v>INJ</v>
          </cell>
          <cell r="E756" t="str">
            <v>HDPE1010J</v>
          </cell>
          <cell r="F756">
            <v>4.6499999999999995</v>
          </cell>
          <cell r="G756"/>
          <cell r="H756">
            <v>5</v>
          </cell>
          <cell r="I756">
            <v>16.2</v>
          </cell>
        </row>
        <row r="757">
          <cell r="A757">
            <v>402078</v>
          </cell>
          <cell r="B757" t="str">
            <v>C28-R/S-FLIP TOP CLEAR</v>
          </cell>
          <cell r="C757">
            <v>4</v>
          </cell>
          <cell r="D757" t="str">
            <v>INJ</v>
          </cell>
          <cell r="E757" t="str">
            <v>SM398</v>
          </cell>
          <cell r="F757">
            <v>4.6500000000000004</v>
          </cell>
          <cell r="G757"/>
          <cell r="H757">
            <v>5</v>
          </cell>
          <cell r="I757">
            <v>16.2</v>
          </cell>
        </row>
        <row r="758">
          <cell r="A758">
            <v>322612</v>
          </cell>
          <cell r="B758" t="str">
            <v>C28-R/S-FLIP TOP D.GREEN</v>
          </cell>
          <cell r="C758">
            <v>4</v>
          </cell>
          <cell r="D758" t="str">
            <v>INJ</v>
          </cell>
          <cell r="E758" t="str">
            <v>HDPE1010J</v>
          </cell>
          <cell r="F758">
            <v>4.6499999999999995</v>
          </cell>
          <cell r="G758"/>
          <cell r="H758">
            <v>5</v>
          </cell>
          <cell r="I758">
            <v>16.2</v>
          </cell>
        </row>
        <row r="759">
          <cell r="A759">
            <v>322603</v>
          </cell>
          <cell r="B759" t="str">
            <v>C28-R/S-FLIP TOP GREEN (C287185058)</v>
          </cell>
          <cell r="C759">
            <v>4</v>
          </cell>
          <cell r="D759" t="str">
            <v>INJ</v>
          </cell>
          <cell r="E759" t="str">
            <v>HDPE1010J</v>
          </cell>
          <cell r="F759">
            <v>4.6499999999999995</v>
          </cell>
          <cell r="G759"/>
          <cell r="H759">
            <v>4.6499999999999995</v>
          </cell>
          <cell r="I759">
            <v>16.2</v>
          </cell>
        </row>
        <row r="760">
          <cell r="A760">
            <v>322610</v>
          </cell>
          <cell r="B760" t="str">
            <v>C28-R/S-FLIP TOP ORANGE</v>
          </cell>
          <cell r="C760">
            <v>4</v>
          </cell>
          <cell r="D760" t="str">
            <v>INJ</v>
          </cell>
          <cell r="E760" t="str">
            <v>HDPE1010J</v>
          </cell>
          <cell r="F760">
            <v>4.6499999999999995</v>
          </cell>
          <cell r="G760"/>
          <cell r="H760">
            <v>4.7</v>
          </cell>
          <cell r="I760">
            <v>16.2</v>
          </cell>
        </row>
        <row r="761">
          <cell r="A761">
            <v>322594</v>
          </cell>
          <cell r="B761" t="str">
            <v>C28-R/S-FLIP TOP RED</v>
          </cell>
          <cell r="C761">
            <v>4</v>
          </cell>
          <cell r="D761" t="str">
            <v>INJ</v>
          </cell>
          <cell r="E761" t="str">
            <v>HDPE1010J</v>
          </cell>
          <cell r="F761">
            <v>4.6499999999999995</v>
          </cell>
          <cell r="G761"/>
          <cell r="H761">
            <v>5</v>
          </cell>
          <cell r="I761">
            <v>16.2</v>
          </cell>
        </row>
        <row r="762">
          <cell r="A762">
            <v>322608</v>
          </cell>
          <cell r="B762" t="str">
            <v>C28-R/S-FLIP TOP VIOLET</v>
          </cell>
          <cell r="C762">
            <v>4</v>
          </cell>
          <cell r="D762" t="str">
            <v>INJ</v>
          </cell>
          <cell r="E762" t="str">
            <v>HDPE1010J</v>
          </cell>
          <cell r="F762">
            <v>4.6499999999999995</v>
          </cell>
          <cell r="G762"/>
          <cell r="H762">
            <v>5</v>
          </cell>
          <cell r="I762">
            <v>16.2</v>
          </cell>
        </row>
        <row r="763">
          <cell r="A763">
            <v>322600</v>
          </cell>
          <cell r="B763" t="str">
            <v>C28-R/S-FLIP TOP WHITE</v>
          </cell>
          <cell r="C763">
            <v>4</v>
          </cell>
          <cell r="D763" t="str">
            <v>INJ</v>
          </cell>
          <cell r="E763" t="str">
            <v>HDPE1010J</v>
          </cell>
          <cell r="F763">
            <v>4.6499999999999995</v>
          </cell>
          <cell r="G763"/>
          <cell r="H763">
            <v>5</v>
          </cell>
          <cell r="I763">
            <v>16.2</v>
          </cell>
        </row>
        <row r="764">
          <cell r="A764">
            <v>322596</v>
          </cell>
          <cell r="B764" t="str">
            <v>C28-R/S-FLIP TOP YELLOW</v>
          </cell>
          <cell r="C764">
            <v>4</v>
          </cell>
          <cell r="D764" t="str">
            <v>INJ</v>
          </cell>
          <cell r="E764" t="str">
            <v>HDPE1010J</v>
          </cell>
          <cell r="F764">
            <v>4.6499999999999995</v>
          </cell>
          <cell r="G764"/>
          <cell r="H764">
            <v>5</v>
          </cell>
          <cell r="I764">
            <v>16.2</v>
          </cell>
        </row>
        <row r="765">
          <cell r="A765">
            <v>346917</v>
          </cell>
          <cell r="B765" t="str">
            <v>C28-R/S-FLIP TOP YELLOW (ASEM)</v>
          </cell>
          <cell r="C765">
            <v>4</v>
          </cell>
          <cell r="D765" t="str">
            <v>INJ</v>
          </cell>
          <cell r="E765" t="str">
            <v>HDPE1010J</v>
          </cell>
          <cell r="F765">
            <v>5.6499999999999995</v>
          </cell>
          <cell r="G765"/>
          <cell r="H765">
            <v>4.7</v>
          </cell>
          <cell r="I765">
            <v>16.2</v>
          </cell>
        </row>
        <row r="766">
          <cell r="A766">
            <v>387394</v>
          </cell>
          <cell r="B766" t="str">
            <v>C28-SPOUT CAP GOLD (WIP)</v>
          </cell>
          <cell r="C766">
            <v>4</v>
          </cell>
          <cell r="D766" t="str">
            <v>INJ</v>
          </cell>
          <cell r="E766" t="str">
            <v>HDPE1010J</v>
          </cell>
          <cell r="F766">
            <v>4.3</v>
          </cell>
          <cell r="G766"/>
          <cell r="H766">
            <v>4</v>
          </cell>
          <cell r="I766">
            <v>10.52</v>
          </cell>
        </row>
        <row r="767">
          <cell r="A767">
            <v>386730</v>
          </cell>
          <cell r="B767" t="str">
            <v>C28-SPOUT CAP R/S YELLOW (WIP)</v>
          </cell>
          <cell r="C767">
            <v>4</v>
          </cell>
          <cell r="D767" t="str">
            <v>INJ</v>
          </cell>
          <cell r="E767" t="str">
            <v>HDPE1010J</v>
          </cell>
          <cell r="F767">
            <v>4.3</v>
          </cell>
          <cell r="G767"/>
          <cell r="H767">
            <v>4</v>
          </cell>
          <cell r="I767">
            <v>10.52</v>
          </cell>
        </row>
        <row r="768">
          <cell r="A768">
            <v>333686</v>
          </cell>
          <cell r="B768" t="str">
            <v>C28-SPOUT CAP RED (WIP)</v>
          </cell>
          <cell r="C768">
            <v>4</v>
          </cell>
          <cell r="D768" t="str">
            <v>INJ</v>
          </cell>
          <cell r="E768" t="str">
            <v>HDPE1010J</v>
          </cell>
          <cell r="F768">
            <v>4.3</v>
          </cell>
          <cell r="G768"/>
          <cell r="H768">
            <v>4.3</v>
          </cell>
          <cell r="I768">
            <v>10.52</v>
          </cell>
        </row>
        <row r="769">
          <cell r="A769">
            <v>324297</v>
          </cell>
          <cell r="B769" t="str">
            <v>C28-SPOUT CAP YELLOW (WIP)</v>
          </cell>
          <cell r="C769">
            <v>4</v>
          </cell>
          <cell r="D769" t="str">
            <v>INJ</v>
          </cell>
          <cell r="E769" t="str">
            <v>HDPE1010J</v>
          </cell>
          <cell r="F769">
            <v>4.3</v>
          </cell>
          <cell r="G769"/>
          <cell r="H769">
            <v>4.17</v>
          </cell>
          <cell r="I769">
            <v>10.52</v>
          </cell>
        </row>
        <row r="770">
          <cell r="A770">
            <v>380964</v>
          </cell>
          <cell r="B770" t="str">
            <v>C32-2PIECE-WHITE</v>
          </cell>
          <cell r="C770">
            <v>4</v>
          </cell>
          <cell r="D770" t="str">
            <v>INJ</v>
          </cell>
          <cell r="E770" t="str">
            <v>HDPE1010J</v>
          </cell>
          <cell r="F770">
            <v>5.5000000000000009</v>
          </cell>
          <cell r="G770"/>
          <cell r="H770">
            <v>5.2</v>
          </cell>
          <cell r="I770">
            <v>16.8</v>
          </cell>
        </row>
        <row r="771">
          <cell r="A771">
            <v>324230</v>
          </cell>
          <cell r="B771" t="str">
            <v>C32-2PIECE-YELLOW</v>
          </cell>
          <cell r="C771">
            <v>4</v>
          </cell>
          <cell r="D771" t="str">
            <v>INJ</v>
          </cell>
          <cell r="E771" t="str">
            <v>HDPE1010J</v>
          </cell>
          <cell r="F771">
            <v>5.5</v>
          </cell>
          <cell r="G771"/>
          <cell r="H771">
            <v>5.2</v>
          </cell>
          <cell r="I771">
            <v>14.8</v>
          </cell>
        </row>
        <row r="772">
          <cell r="A772">
            <v>487478</v>
          </cell>
          <cell r="B772" t="str">
            <v>C35-R/S-F.TOP CARAMEL</v>
          </cell>
          <cell r="C772">
            <v>12</v>
          </cell>
          <cell r="D772" t="str">
            <v>INJ</v>
          </cell>
          <cell r="E772" t="str">
            <v>SM398</v>
          </cell>
          <cell r="F772">
            <v>5.7</v>
          </cell>
          <cell r="G772"/>
          <cell r="H772">
            <v>5.7</v>
          </cell>
          <cell r="I772">
            <v>29.04</v>
          </cell>
        </row>
        <row r="773">
          <cell r="A773">
            <v>487474</v>
          </cell>
          <cell r="B773" t="str">
            <v>C35-R/S-F.TOP CARAMEL W IND SEAL (ASEM)</v>
          </cell>
          <cell r="C773">
            <v>12</v>
          </cell>
          <cell r="D773" t="str">
            <v>INJ</v>
          </cell>
          <cell r="E773" t="str">
            <v>SM398</v>
          </cell>
          <cell r="F773">
            <v>5.86</v>
          </cell>
          <cell r="G773"/>
          <cell r="H773">
            <v>5.86</v>
          </cell>
          <cell r="I773">
            <v>29.04</v>
          </cell>
        </row>
        <row r="774">
          <cell r="A774">
            <v>487475</v>
          </cell>
          <cell r="B774" t="str">
            <v>C35-R/S-F.TOP D.CHOC</v>
          </cell>
          <cell r="C774">
            <v>12</v>
          </cell>
          <cell r="D774" t="str">
            <v>INJ</v>
          </cell>
          <cell r="E774" t="str">
            <v>SM399</v>
          </cell>
          <cell r="F774">
            <v>5.7</v>
          </cell>
          <cell r="G774"/>
          <cell r="H774">
            <v>5.7</v>
          </cell>
          <cell r="I774">
            <v>29.04</v>
          </cell>
        </row>
        <row r="775">
          <cell r="A775">
            <v>487472</v>
          </cell>
          <cell r="B775" t="str">
            <v>C35-R/S-F.TOP D.CHOC W IND SEAL (ASEM)</v>
          </cell>
          <cell r="C775">
            <v>12</v>
          </cell>
          <cell r="D775" t="str">
            <v>INJ</v>
          </cell>
          <cell r="E775" t="str">
            <v>SM398</v>
          </cell>
          <cell r="F775">
            <v>5.86</v>
          </cell>
          <cell r="G775"/>
          <cell r="H775">
            <v>5.86</v>
          </cell>
          <cell r="I775">
            <v>29.04</v>
          </cell>
        </row>
        <row r="776">
          <cell r="A776">
            <v>597677</v>
          </cell>
          <cell r="B776" t="str">
            <v>C35-R/S-F.TOP D.CHOC WITH PP SEAL (ASEM)</v>
          </cell>
          <cell r="C776">
            <v>12</v>
          </cell>
          <cell r="D776" t="str">
            <v>INJ</v>
          </cell>
          <cell r="E776" t="str">
            <v>SM398</v>
          </cell>
          <cell r="F776">
            <v>5.86</v>
          </cell>
          <cell r="G776"/>
          <cell r="H776">
            <v>5.86</v>
          </cell>
          <cell r="I776">
            <v>29.04</v>
          </cell>
        </row>
        <row r="777">
          <cell r="A777">
            <v>487473</v>
          </cell>
          <cell r="B777" t="str">
            <v>C35-R/S-F.TOP STRAW W IND SEAL (ASEM)</v>
          </cell>
          <cell r="C777">
            <v>12</v>
          </cell>
          <cell r="D777" t="str">
            <v>INJ</v>
          </cell>
          <cell r="E777" t="str">
            <v>SM398</v>
          </cell>
          <cell r="F777">
            <v>5.6</v>
          </cell>
          <cell r="G777"/>
          <cell r="H777">
            <v>5.6</v>
          </cell>
          <cell r="I777">
            <v>29.04</v>
          </cell>
        </row>
        <row r="778">
          <cell r="A778">
            <v>605737</v>
          </cell>
          <cell r="B778" t="str">
            <v>C35-R/S-F.TOP GOLD PNCK W  SEAL (ASEM)</v>
          </cell>
          <cell r="C778">
            <v>12</v>
          </cell>
          <cell r="D778" t="str">
            <v>INJ</v>
          </cell>
          <cell r="E778" t="str">
            <v>SM398</v>
          </cell>
          <cell r="F778">
            <v>5.6</v>
          </cell>
          <cell r="G778"/>
          <cell r="H778">
            <v>5.6</v>
          </cell>
          <cell r="I778">
            <v>29.04</v>
          </cell>
        </row>
        <row r="779">
          <cell r="A779">
            <v>606524</v>
          </cell>
          <cell r="B779" t="str">
            <v>C35-R/S-F.TOP D.CHOC W SEAL 2.0 (ASEM)</v>
          </cell>
          <cell r="C779">
            <v>12</v>
          </cell>
          <cell r="D779" t="str">
            <v>INJ</v>
          </cell>
          <cell r="E779" t="str">
            <v>SM398</v>
          </cell>
          <cell r="F779">
            <v>5.86</v>
          </cell>
          <cell r="G779"/>
          <cell r="H779">
            <v>5.86</v>
          </cell>
          <cell r="I779">
            <v>29.04</v>
          </cell>
        </row>
        <row r="780">
          <cell r="A780">
            <v>606528</v>
          </cell>
          <cell r="B780" t="str">
            <v>C35-R/S-F.TOP CARAMEL W SEAL 2.0 (ASEM)</v>
          </cell>
          <cell r="C780">
            <v>12</v>
          </cell>
          <cell r="D780" t="str">
            <v>INJ</v>
          </cell>
          <cell r="E780" t="str">
            <v>SM398</v>
          </cell>
          <cell r="F780">
            <v>5.86</v>
          </cell>
          <cell r="G780"/>
          <cell r="H780">
            <v>5.86</v>
          </cell>
          <cell r="I780">
            <v>29.04</v>
          </cell>
        </row>
        <row r="781">
          <cell r="A781">
            <v>606531</v>
          </cell>
          <cell r="B781" t="str">
            <v>C35-R/S-F.TOP STRAW W IND SEAL 2.0 (ASEM)</v>
          </cell>
          <cell r="C781">
            <v>12</v>
          </cell>
          <cell r="D781" t="str">
            <v>INJ</v>
          </cell>
          <cell r="E781" t="str">
            <v>SM398</v>
          </cell>
          <cell r="F781">
            <v>5.6</v>
          </cell>
          <cell r="G781"/>
          <cell r="H781">
            <v>5.6</v>
          </cell>
          <cell r="I781">
            <v>29.04</v>
          </cell>
        </row>
        <row r="782">
          <cell r="A782">
            <v>487476</v>
          </cell>
          <cell r="B782" t="str">
            <v>C35-R/S-F.TOP STRAWBERRY</v>
          </cell>
          <cell r="C782">
            <v>12</v>
          </cell>
          <cell r="D782" t="str">
            <v>INJ</v>
          </cell>
          <cell r="E782" t="str">
            <v>SM399</v>
          </cell>
          <cell r="F782">
            <v>5.7</v>
          </cell>
          <cell r="G782"/>
          <cell r="H782">
            <v>5.7</v>
          </cell>
          <cell r="I782">
            <v>29.04</v>
          </cell>
        </row>
        <row r="783">
          <cell r="A783">
            <v>575368</v>
          </cell>
          <cell r="B783" t="str">
            <v>C36-AL0512-PUNC-BEIGE C/W 3TAB (DELETE)</v>
          </cell>
          <cell r="C783">
            <v>0</v>
          </cell>
          <cell r="D783" t="str">
            <v>INJ</v>
          </cell>
          <cell r="E783" t="str">
            <v>PP6331</v>
          </cell>
          <cell r="F783">
            <v>4.5999999999999996</v>
          </cell>
          <cell r="G783"/>
          <cell r="H783">
            <v>4.5999999999999996</v>
          </cell>
          <cell r="I783">
            <v>14</v>
          </cell>
        </row>
        <row r="784">
          <cell r="A784">
            <v>576582</v>
          </cell>
          <cell r="B784" t="str">
            <v>C36-AL0512-PUNC-BEIGE C/W 3TAB IND SEAL</v>
          </cell>
          <cell r="C784">
            <v>0</v>
          </cell>
          <cell r="D784" t="str">
            <v>INJ</v>
          </cell>
          <cell r="E784" t="str">
            <v>PP6332</v>
          </cell>
          <cell r="F784">
            <v>4.5999999999999996</v>
          </cell>
          <cell r="G784"/>
          <cell r="H784">
            <v>4.5999999999999996</v>
          </cell>
          <cell r="I784">
            <v>14</v>
          </cell>
        </row>
        <row r="785">
          <cell r="A785">
            <v>575376</v>
          </cell>
          <cell r="B785" t="str">
            <v>C36-AL0512-PUNC-BLUE C/W 3TAB (DELETE)</v>
          </cell>
          <cell r="C785">
            <v>0</v>
          </cell>
          <cell r="D785" t="str">
            <v>INJ</v>
          </cell>
          <cell r="E785" t="str">
            <v>PP6333</v>
          </cell>
          <cell r="F785">
            <v>4.5999999999999996</v>
          </cell>
          <cell r="G785"/>
          <cell r="H785">
            <v>1</v>
          </cell>
          <cell r="I785">
            <v>14</v>
          </cell>
        </row>
        <row r="786">
          <cell r="A786">
            <v>576586</v>
          </cell>
          <cell r="B786" t="str">
            <v>C36-AL0512-PUNC-BLUE C/W 3TAB IND SEAL</v>
          </cell>
          <cell r="C786">
            <v>0</v>
          </cell>
          <cell r="D786" t="str">
            <v>INJ</v>
          </cell>
          <cell r="E786" t="str">
            <v>PP6334</v>
          </cell>
          <cell r="F786">
            <v>4.5999999999999996</v>
          </cell>
          <cell r="G786"/>
          <cell r="H786">
            <v>3.7</v>
          </cell>
          <cell r="I786">
            <v>14</v>
          </cell>
        </row>
        <row r="787">
          <cell r="A787">
            <v>386242</v>
          </cell>
          <cell r="B787" t="str">
            <v>C38 EZY CAP -T.RED &amp; B.YELLOW (LPM)</v>
          </cell>
          <cell r="C787">
            <v>2</v>
          </cell>
          <cell r="D787" t="str">
            <v>INJ</v>
          </cell>
          <cell r="E787" t="str">
            <v>HDPE1010J</v>
          </cell>
          <cell r="F787">
            <v>6.9999999999999991</v>
          </cell>
          <cell r="G787"/>
          <cell r="H787">
            <v>6.9</v>
          </cell>
          <cell r="I787">
            <v>21</v>
          </cell>
        </row>
        <row r="788">
          <cell r="A788">
            <v>564905</v>
          </cell>
          <cell r="B788" t="str">
            <v>C38-AL0478-R/S FTP BROWN W/ IND SEAL</v>
          </cell>
          <cell r="C788">
            <v>0</v>
          </cell>
          <cell r="D788" t="str">
            <v>INJ</v>
          </cell>
          <cell r="E788" t="str">
            <v>PP6331</v>
          </cell>
          <cell r="F788">
            <v>6.7</v>
          </cell>
          <cell r="G788"/>
          <cell r="H788">
            <v>6.7</v>
          </cell>
          <cell r="I788">
            <v>20</v>
          </cell>
        </row>
        <row r="789">
          <cell r="A789">
            <v>322689</v>
          </cell>
          <cell r="B789" t="str">
            <v>C38-EZY CAP YELLOW</v>
          </cell>
          <cell r="C789">
            <v>2</v>
          </cell>
          <cell r="D789" t="str">
            <v>INJ</v>
          </cell>
          <cell r="E789" t="str">
            <v>HDPE1010J</v>
          </cell>
          <cell r="F789">
            <v>1.7</v>
          </cell>
          <cell r="G789"/>
          <cell r="H789">
            <v>6.6</v>
          </cell>
          <cell r="I789">
            <v>21</v>
          </cell>
        </row>
        <row r="790">
          <cell r="A790">
            <v>388221</v>
          </cell>
          <cell r="B790" t="str">
            <v>C38-EZY CAP-T.R &amp; B.YEL W PE WAD (ASEM</v>
          </cell>
          <cell r="C790">
            <v>2</v>
          </cell>
          <cell r="D790" t="str">
            <v>INJ</v>
          </cell>
          <cell r="E790" t="str">
            <v>HDPE1010J</v>
          </cell>
          <cell r="F790">
            <v>7.94</v>
          </cell>
          <cell r="G790"/>
          <cell r="H790">
            <v>6.9</v>
          </cell>
          <cell r="I790">
            <v>21</v>
          </cell>
        </row>
        <row r="791">
          <cell r="A791">
            <v>379463</v>
          </cell>
          <cell r="B791" t="str">
            <v>C38-EZY CAP-T.R &amp; B.YEL W/ IND SEAL</v>
          </cell>
          <cell r="C791">
            <v>2</v>
          </cell>
          <cell r="D791" t="str">
            <v>INJ</v>
          </cell>
          <cell r="E791" t="str">
            <v>HDPE1010J</v>
          </cell>
          <cell r="F791">
            <v>7.9999999999999991</v>
          </cell>
          <cell r="G791"/>
          <cell r="H791">
            <v>6.9</v>
          </cell>
          <cell r="I791">
            <v>21</v>
          </cell>
        </row>
        <row r="792">
          <cell r="A792">
            <v>580540</v>
          </cell>
          <cell r="B792" t="str">
            <v>C38-FILTER CLEAR SMALL HOLE - S</v>
          </cell>
          <cell r="C792">
            <v>8</v>
          </cell>
          <cell r="D792" t="str">
            <v>INJ</v>
          </cell>
          <cell r="E792" t="str">
            <v>PP2300K</v>
          </cell>
          <cell r="F792">
            <v>1</v>
          </cell>
          <cell r="G792"/>
          <cell r="H792">
            <v>3.7</v>
          </cell>
          <cell r="I792">
            <v>8.8000000000000007</v>
          </cell>
        </row>
        <row r="793">
          <cell r="A793">
            <v>322692</v>
          </cell>
          <cell r="B793" t="str">
            <v>C38-FILTER CLEAR SMALL HOLE - V</v>
          </cell>
          <cell r="C793">
            <v>8</v>
          </cell>
          <cell r="D793" t="str">
            <v>INJ</v>
          </cell>
          <cell r="E793" t="str">
            <v>PP2300K</v>
          </cell>
          <cell r="F793">
            <v>1</v>
          </cell>
          <cell r="G793"/>
          <cell r="H793"/>
          <cell r="I793">
            <v>8.8000000000000007</v>
          </cell>
        </row>
        <row r="794">
          <cell r="A794">
            <v>386248</v>
          </cell>
          <cell r="B794" t="str">
            <v>C38-SPOUT CAP YELLOW WIP</v>
          </cell>
          <cell r="C794">
            <v>2</v>
          </cell>
          <cell r="D794" t="str">
            <v>INJ</v>
          </cell>
          <cell r="E794" t="str">
            <v>HDPE1010J</v>
          </cell>
          <cell r="F794">
            <v>4.6999999999999993</v>
          </cell>
          <cell r="G794"/>
          <cell r="H794">
            <v>4.6999999999999993</v>
          </cell>
          <cell r="I794">
            <v>21</v>
          </cell>
        </row>
        <row r="795">
          <cell r="A795">
            <v>324685</v>
          </cell>
          <cell r="B795" t="str">
            <v>C38-T/E-C/S ORANGE (LOOSE PACKING)</v>
          </cell>
          <cell r="C795">
            <v>8</v>
          </cell>
          <cell r="D795" t="str">
            <v>INJ</v>
          </cell>
          <cell r="E795" t="str">
            <v>HDPE1010J</v>
          </cell>
          <cell r="F795">
            <v>3.7</v>
          </cell>
          <cell r="G795"/>
          <cell r="H795">
            <v>3.7</v>
          </cell>
          <cell r="I795">
            <v>17.600000000000001</v>
          </cell>
        </row>
        <row r="796">
          <cell r="A796">
            <v>579681</v>
          </cell>
          <cell r="B796" t="str">
            <v>C38-T/E-C/S-BLACK - S</v>
          </cell>
          <cell r="C796">
            <v>0</v>
          </cell>
          <cell r="D796" t="str">
            <v>INJ</v>
          </cell>
          <cell r="E796" t="str">
            <v>HDPE1010J</v>
          </cell>
          <cell r="F796">
            <v>3.7</v>
          </cell>
          <cell r="G796"/>
          <cell r="H796">
            <v>3.7</v>
          </cell>
          <cell r="I796">
            <v>17.600000000000001</v>
          </cell>
        </row>
        <row r="797">
          <cell r="A797">
            <v>322671</v>
          </cell>
          <cell r="B797" t="str">
            <v>C38-T/E-C/S-BLACK - V</v>
          </cell>
          <cell r="C797">
            <v>8</v>
          </cell>
          <cell r="D797" t="str">
            <v>INJ</v>
          </cell>
          <cell r="E797" t="str">
            <v>HDPE1010J</v>
          </cell>
          <cell r="F797">
            <v>3.6999999999999997</v>
          </cell>
          <cell r="G797"/>
          <cell r="H797"/>
          <cell r="I797">
            <v>17.600000000000001</v>
          </cell>
        </row>
        <row r="798">
          <cell r="A798">
            <v>555193</v>
          </cell>
          <cell r="B798" t="str">
            <v>C38-T/E-C/S-BLACK-ITA</v>
          </cell>
          <cell r="C798">
            <v>8</v>
          </cell>
          <cell r="D798" t="str">
            <v>INJ</v>
          </cell>
          <cell r="E798" t="str">
            <v>HDPE1010J</v>
          </cell>
          <cell r="F798">
            <v>3.6999999999999997</v>
          </cell>
          <cell r="G798"/>
          <cell r="H798">
            <v>3.7</v>
          </cell>
          <cell r="I798">
            <v>17.600000000000001</v>
          </cell>
        </row>
        <row r="799">
          <cell r="A799">
            <v>322633</v>
          </cell>
          <cell r="B799" t="str">
            <v>C38-T/E-C/S-BLUE</v>
          </cell>
          <cell r="C799">
            <v>8</v>
          </cell>
          <cell r="D799" t="str">
            <v>INJ</v>
          </cell>
          <cell r="E799" t="str">
            <v>HDPE1010J</v>
          </cell>
          <cell r="F799">
            <v>3.7</v>
          </cell>
          <cell r="G799"/>
          <cell r="H799">
            <v>3.7</v>
          </cell>
          <cell r="I799">
            <v>17.600000000000001</v>
          </cell>
        </row>
        <row r="800">
          <cell r="A800">
            <v>322678</v>
          </cell>
          <cell r="B800" t="str">
            <v>C38-T/E-C/S-BRONZE</v>
          </cell>
          <cell r="C800">
            <v>8</v>
          </cell>
          <cell r="D800" t="str">
            <v>INJ</v>
          </cell>
          <cell r="E800" t="str">
            <v>HDPE1010J</v>
          </cell>
          <cell r="F800">
            <v>3.7</v>
          </cell>
          <cell r="G800"/>
          <cell r="H800">
            <v>3.7</v>
          </cell>
          <cell r="I800">
            <v>17.600000000000001</v>
          </cell>
        </row>
        <row r="801">
          <cell r="A801">
            <v>322668</v>
          </cell>
          <cell r="B801" t="str">
            <v>C38-T/E-C/S-BROWN</v>
          </cell>
          <cell r="C801">
            <v>8</v>
          </cell>
          <cell r="D801" t="str">
            <v>INJ</v>
          </cell>
          <cell r="E801" t="str">
            <v>HDPE1010J</v>
          </cell>
          <cell r="F801">
            <v>3.7</v>
          </cell>
          <cell r="G801"/>
          <cell r="H801">
            <v>3.7</v>
          </cell>
          <cell r="I801">
            <v>17.600000000000001</v>
          </cell>
        </row>
        <row r="802">
          <cell r="A802">
            <v>322639</v>
          </cell>
          <cell r="B802" t="str">
            <v>C38-T/E-C/S-GREEN</v>
          </cell>
          <cell r="C802">
            <v>8</v>
          </cell>
          <cell r="D802" t="str">
            <v>INJ</v>
          </cell>
          <cell r="E802" t="str">
            <v>HDPE1010J</v>
          </cell>
          <cell r="F802">
            <v>3.7</v>
          </cell>
          <cell r="G802"/>
          <cell r="H802">
            <v>3.7</v>
          </cell>
          <cell r="I802">
            <v>17.600000000000001</v>
          </cell>
        </row>
        <row r="803">
          <cell r="A803">
            <v>322580</v>
          </cell>
          <cell r="B803" t="str">
            <v>C38-T/E-C/S-ORANGE</v>
          </cell>
          <cell r="C803">
            <v>8</v>
          </cell>
          <cell r="D803" t="str">
            <v>INJ</v>
          </cell>
          <cell r="E803" t="str">
            <v>HDPE1010J</v>
          </cell>
          <cell r="F803">
            <v>3.7</v>
          </cell>
          <cell r="G803"/>
          <cell r="H803">
            <v>3.7</v>
          </cell>
          <cell r="I803">
            <v>17.600000000000001</v>
          </cell>
        </row>
        <row r="804">
          <cell r="A804">
            <v>322614</v>
          </cell>
          <cell r="B804" t="str">
            <v>C38-T/E-C/S-RED</v>
          </cell>
          <cell r="C804">
            <v>8</v>
          </cell>
          <cell r="D804" t="str">
            <v>INJ</v>
          </cell>
          <cell r="E804" t="str">
            <v>HDPE1010J</v>
          </cell>
          <cell r="F804">
            <v>3.7</v>
          </cell>
          <cell r="G804"/>
          <cell r="H804"/>
          <cell r="I804">
            <v>17.600000000000001</v>
          </cell>
        </row>
        <row r="805">
          <cell r="A805">
            <v>585907</v>
          </cell>
          <cell r="B805" t="str">
            <v>C38-T/E-C/S-RED-S</v>
          </cell>
          <cell r="C805">
            <v>0</v>
          </cell>
          <cell r="D805" t="str">
            <v>INJ</v>
          </cell>
          <cell r="E805" t="str">
            <v>HDPE1010J</v>
          </cell>
          <cell r="F805">
            <v>3.7</v>
          </cell>
          <cell r="G805"/>
          <cell r="H805">
            <v>4</v>
          </cell>
          <cell r="I805">
            <v>17.600000000000001</v>
          </cell>
        </row>
        <row r="806">
          <cell r="A806">
            <v>322684</v>
          </cell>
          <cell r="B806" t="str">
            <v>C38-T/E-C/S-SILVER</v>
          </cell>
          <cell r="C806">
            <v>8</v>
          </cell>
          <cell r="D806" t="str">
            <v>INJ</v>
          </cell>
          <cell r="E806" t="str">
            <v>HDPE1010J</v>
          </cell>
          <cell r="F806">
            <v>3.7</v>
          </cell>
          <cell r="G806"/>
          <cell r="H806">
            <v>3.7</v>
          </cell>
          <cell r="I806">
            <v>17.600000000000001</v>
          </cell>
        </row>
        <row r="807">
          <cell r="A807">
            <v>322624</v>
          </cell>
          <cell r="B807" t="str">
            <v>C38-T/E-C/S-VIOLET</v>
          </cell>
          <cell r="C807">
            <v>8</v>
          </cell>
          <cell r="D807" t="str">
            <v>INJ</v>
          </cell>
          <cell r="E807" t="str">
            <v>HDPE1010J</v>
          </cell>
          <cell r="F807">
            <v>3.7</v>
          </cell>
          <cell r="G807"/>
          <cell r="H807">
            <v>3.7</v>
          </cell>
          <cell r="I807">
            <v>17.600000000000001</v>
          </cell>
        </row>
        <row r="808">
          <cell r="A808">
            <v>322551</v>
          </cell>
          <cell r="B808" t="str">
            <v>C38-T/E-C/S-WHITE</v>
          </cell>
          <cell r="C808">
            <v>8</v>
          </cell>
          <cell r="D808" t="str">
            <v>INJ</v>
          </cell>
          <cell r="E808" t="str">
            <v>HDPE1010J</v>
          </cell>
          <cell r="F808">
            <v>3.7</v>
          </cell>
          <cell r="G808"/>
          <cell r="H808">
            <v>3.7</v>
          </cell>
          <cell r="I808">
            <v>17.600000000000001</v>
          </cell>
        </row>
        <row r="809">
          <cell r="A809">
            <v>322567</v>
          </cell>
          <cell r="B809" t="str">
            <v>C38-T/E-C/S-YELLOW - V</v>
          </cell>
          <cell r="C809">
            <v>8</v>
          </cell>
          <cell r="D809" t="str">
            <v>INJ</v>
          </cell>
          <cell r="E809" t="str">
            <v>HDPE1010J</v>
          </cell>
          <cell r="F809">
            <v>3.7</v>
          </cell>
          <cell r="G809"/>
          <cell r="H809">
            <v>3.7</v>
          </cell>
          <cell r="I809">
            <v>17.600000000000001</v>
          </cell>
        </row>
        <row r="810">
          <cell r="A810">
            <v>584790</v>
          </cell>
          <cell r="B810" t="str">
            <v>C38-T/E-C/S-YELLOW –S</v>
          </cell>
          <cell r="C810">
            <v>0</v>
          </cell>
          <cell r="D810" t="str">
            <v>INJ</v>
          </cell>
          <cell r="E810" t="str">
            <v>HDPE1010J</v>
          </cell>
          <cell r="F810">
            <v>3.7</v>
          </cell>
          <cell r="G810"/>
          <cell r="H810">
            <v>5</v>
          </cell>
          <cell r="I810">
            <v>17.600000000000001</v>
          </cell>
        </row>
        <row r="811">
          <cell r="A811">
            <v>412218</v>
          </cell>
          <cell r="B811" t="str">
            <v>C38-T/E-I/L-C/S-APPLE GREEN</v>
          </cell>
          <cell r="C811">
            <v>8</v>
          </cell>
          <cell r="D811" t="str">
            <v>INJ</v>
          </cell>
          <cell r="E811" t="str">
            <v>HDPE1010J</v>
          </cell>
          <cell r="F811">
            <v>3.75</v>
          </cell>
          <cell r="G811"/>
          <cell r="H811">
            <v>4</v>
          </cell>
          <cell r="I811">
            <v>17.600000000000001</v>
          </cell>
        </row>
        <row r="812">
          <cell r="A812">
            <v>322677</v>
          </cell>
          <cell r="B812" t="str">
            <v>C38-T/E-I/L-C/S-BLACK</v>
          </cell>
          <cell r="C812">
            <v>8</v>
          </cell>
          <cell r="D812" t="str">
            <v>INJ</v>
          </cell>
          <cell r="E812" t="str">
            <v>HDPE1010J</v>
          </cell>
          <cell r="F812">
            <v>3.75</v>
          </cell>
          <cell r="G812"/>
          <cell r="H812"/>
          <cell r="I812">
            <v>17.600000000000001</v>
          </cell>
        </row>
        <row r="813">
          <cell r="A813">
            <v>579651</v>
          </cell>
          <cell r="B813" t="str">
            <v>C38-T/E-I/L-C/S-BLACK (C) - S</v>
          </cell>
          <cell r="C813">
            <v>0</v>
          </cell>
          <cell r="D813" t="str">
            <v>INJ</v>
          </cell>
          <cell r="E813" t="str">
            <v>HDPE1010J</v>
          </cell>
          <cell r="F813">
            <v>4.7</v>
          </cell>
          <cell r="G813"/>
          <cell r="H813">
            <v>4.7</v>
          </cell>
          <cell r="I813">
            <v>17.600000000000001</v>
          </cell>
        </row>
        <row r="814">
          <cell r="A814">
            <v>563999</v>
          </cell>
          <cell r="B814" t="str">
            <v>C38-T/E-I/L-C/S-BLACK (C) - V</v>
          </cell>
          <cell r="C814">
            <v>8</v>
          </cell>
          <cell r="D814" t="str">
            <v>INJ</v>
          </cell>
          <cell r="E814" t="str">
            <v>HDPE1010J</v>
          </cell>
          <cell r="F814">
            <v>4.7</v>
          </cell>
          <cell r="G814"/>
          <cell r="H814">
            <v>4.7</v>
          </cell>
          <cell r="I814">
            <v>17.600000000000001</v>
          </cell>
        </row>
        <row r="815">
          <cell r="A815">
            <v>322638</v>
          </cell>
          <cell r="B815" t="str">
            <v>C38-T/E-I/L-C/S-BLUE</v>
          </cell>
          <cell r="C815">
            <v>8</v>
          </cell>
          <cell r="D815" t="str">
            <v>INJ</v>
          </cell>
          <cell r="E815" t="str">
            <v>HDPE1010J</v>
          </cell>
          <cell r="F815">
            <v>3.75</v>
          </cell>
          <cell r="G815"/>
          <cell r="H815">
            <v>4</v>
          </cell>
          <cell r="I815">
            <v>17.600000000000001</v>
          </cell>
        </row>
        <row r="816">
          <cell r="A816">
            <v>322682</v>
          </cell>
          <cell r="B816" t="str">
            <v>C38-T/E-I/L-C/S-BRONZE</v>
          </cell>
          <cell r="C816">
            <v>8</v>
          </cell>
          <cell r="D816" t="str">
            <v>INJ</v>
          </cell>
          <cell r="E816" t="str">
            <v>HDPE1010J</v>
          </cell>
          <cell r="F816">
            <v>3.75</v>
          </cell>
          <cell r="G816"/>
          <cell r="H816">
            <v>4</v>
          </cell>
          <cell r="I816">
            <v>17.600000000000001</v>
          </cell>
        </row>
        <row r="817">
          <cell r="A817">
            <v>411716</v>
          </cell>
          <cell r="B817" t="str">
            <v>C38-T/E-I/L-C/S-GOLD - V</v>
          </cell>
          <cell r="C817">
            <v>8</v>
          </cell>
          <cell r="D817" t="str">
            <v>INJ</v>
          </cell>
          <cell r="E817" t="str">
            <v>HDPE1010J</v>
          </cell>
          <cell r="F817">
            <v>3.75</v>
          </cell>
          <cell r="G817"/>
          <cell r="H817"/>
          <cell r="I817">
            <v>17.600000000000001</v>
          </cell>
        </row>
        <row r="818">
          <cell r="A818">
            <v>579879</v>
          </cell>
          <cell r="B818" t="str">
            <v>C38-T/E-I/L-C/S-GOLD (C) - S</v>
          </cell>
          <cell r="C818">
            <v>0</v>
          </cell>
          <cell r="D818" t="str">
            <v>INJ</v>
          </cell>
          <cell r="E818" t="str">
            <v>HDPE1010J</v>
          </cell>
          <cell r="F818">
            <v>4.7</v>
          </cell>
          <cell r="G818"/>
          <cell r="H818">
            <v>4</v>
          </cell>
          <cell r="I818">
            <v>17.600000000000001</v>
          </cell>
        </row>
        <row r="819">
          <cell r="A819">
            <v>322643</v>
          </cell>
          <cell r="B819" t="str">
            <v>C38-T/E-I/L-C/S-GREEN</v>
          </cell>
          <cell r="C819">
            <v>8</v>
          </cell>
          <cell r="D819" t="str">
            <v>INJ</v>
          </cell>
          <cell r="E819" t="str">
            <v>HDPE1010J</v>
          </cell>
          <cell r="F819">
            <v>3.75</v>
          </cell>
          <cell r="G819"/>
          <cell r="H819">
            <v>3.75</v>
          </cell>
          <cell r="I819">
            <v>17.600000000000001</v>
          </cell>
        </row>
        <row r="820">
          <cell r="A820">
            <v>577926</v>
          </cell>
          <cell r="B820" t="str">
            <v>C38-T/E-I/L-C/S-GREEN - S</v>
          </cell>
          <cell r="C820">
            <v>0</v>
          </cell>
          <cell r="D820" t="str">
            <v>INJ</v>
          </cell>
          <cell r="E820" t="str">
            <v>HDPE1010J</v>
          </cell>
          <cell r="F820">
            <v>3.75</v>
          </cell>
          <cell r="G820"/>
          <cell r="H820">
            <v>4</v>
          </cell>
          <cell r="I820">
            <v>17.600000000000001</v>
          </cell>
        </row>
        <row r="821">
          <cell r="A821">
            <v>579653</v>
          </cell>
          <cell r="B821" t="str">
            <v>C38-T/E-I/L-C/S-GREEN (C) – S</v>
          </cell>
          <cell r="C821">
            <v>0</v>
          </cell>
          <cell r="D821" t="str">
            <v>INJ</v>
          </cell>
          <cell r="E821" t="str">
            <v>HDPE1010J</v>
          </cell>
          <cell r="F821">
            <v>4.7</v>
          </cell>
          <cell r="G821"/>
          <cell r="H821">
            <v>4</v>
          </cell>
          <cell r="I821">
            <v>17.600000000000001</v>
          </cell>
        </row>
        <row r="822">
          <cell r="A822">
            <v>471353</v>
          </cell>
          <cell r="B822" t="str">
            <v>C38-T/E-I/L-C/S-GREEN (C) - V</v>
          </cell>
          <cell r="C822">
            <v>8</v>
          </cell>
          <cell r="D822" t="str">
            <v>INJ</v>
          </cell>
          <cell r="E822" t="str">
            <v>HDPE1010J</v>
          </cell>
          <cell r="F822">
            <v>4.7</v>
          </cell>
          <cell r="G822"/>
          <cell r="H822">
            <v>4.7</v>
          </cell>
          <cell r="I822">
            <v>17.600000000000001</v>
          </cell>
        </row>
        <row r="823">
          <cell r="A823">
            <v>449174</v>
          </cell>
          <cell r="B823" t="str">
            <v>C38-T/E-I/L-C/S-L.GOLD</v>
          </cell>
          <cell r="C823">
            <v>8</v>
          </cell>
          <cell r="D823" t="str">
            <v>INJ</v>
          </cell>
          <cell r="E823" t="str">
            <v>HDPE1010J</v>
          </cell>
          <cell r="F823">
            <v>3.75</v>
          </cell>
          <cell r="G823"/>
          <cell r="H823">
            <v>3.75</v>
          </cell>
          <cell r="I823">
            <v>17.600000000000001</v>
          </cell>
        </row>
        <row r="824">
          <cell r="A824">
            <v>424693</v>
          </cell>
          <cell r="B824" t="str">
            <v>C38-T/E-I/L-C/S-LIGHT RED</v>
          </cell>
          <cell r="C824">
            <v>8</v>
          </cell>
          <cell r="D824" t="str">
            <v>INJ</v>
          </cell>
          <cell r="E824" t="str">
            <v>HDPE1010J</v>
          </cell>
          <cell r="F824">
            <v>3.75</v>
          </cell>
          <cell r="G824"/>
          <cell r="H824">
            <v>4</v>
          </cell>
          <cell r="I824">
            <v>17.600000000000001</v>
          </cell>
        </row>
        <row r="825">
          <cell r="A825">
            <v>322583</v>
          </cell>
          <cell r="B825" t="str">
            <v>C38-T/E-I/L-C/S-ORANGE</v>
          </cell>
          <cell r="C825">
            <v>8</v>
          </cell>
          <cell r="D825" t="str">
            <v>INJ</v>
          </cell>
          <cell r="E825" t="str">
            <v>HDPE1010J</v>
          </cell>
          <cell r="F825">
            <v>3.75</v>
          </cell>
          <cell r="G825"/>
          <cell r="H825"/>
          <cell r="I825">
            <v>17.600000000000001</v>
          </cell>
        </row>
        <row r="826">
          <cell r="A826">
            <v>579877</v>
          </cell>
          <cell r="B826" t="str">
            <v>C38-T/E-I/L-C/S-ORANGE (C) - S</v>
          </cell>
          <cell r="C826">
            <v>0</v>
          </cell>
          <cell r="D826" t="str">
            <v>INJ</v>
          </cell>
          <cell r="E826" t="str">
            <v>HDPE1010J</v>
          </cell>
          <cell r="F826">
            <v>4.7</v>
          </cell>
          <cell r="G826"/>
          <cell r="H826">
            <v>4</v>
          </cell>
          <cell r="I826">
            <v>17.600000000000001</v>
          </cell>
        </row>
        <row r="827">
          <cell r="A827">
            <v>563998</v>
          </cell>
          <cell r="B827" t="str">
            <v>C38-T/E-I/L-C/S-ORANGE (C) - V</v>
          </cell>
          <cell r="C827">
            <v>8</v>
          </cell>
          <cell r="D827" t="str">
            <v>INJ</v>
          </cell>
          <cell r="E827" t="str">
            <v>HDPE1010J</v>
          </cell>
          <cell r="F827">
            <v>4.7</v>
          </cell>
          <cell r="G827"/>
          <cell r="H827">
            <v>4.7</v>
          </cell>
          <cell r="I827">
            <v>17.600000000000001</v>
          </cell>
        </row>
        <row r="828">
          <cell r="A828">
            <v>414983</v>
          </cell>
          <cell r="B828" t="str">
            <v>C38-T/E-I/L-C/S-PEARL VIOLET</v>
          </cell>
          <cell r="C828">
            <v>8</v>
          </cell>
          <cell r="D828" t="str">
            <v>INJ</v>
          </cell>
          <cell r="E828" t="str">
            <v>HDPE1010J</v>
          </cell>
          <cell r="F828">
            <v>3.75</v>
          </cell>
          <cell r="G828"/>
          <cell r="H828">
            <v>3.75</v>
          </cell>
          <cell r="I828">
            <v>17.600000000000001</v>
          </cell>
        </row>
        <row r="829">
          <cell r="A829">
            <v>322620</v>
          </cell>
          <cell r="B829" t="str">
            <v>C38-T/E-I/L-C/S-RED</v>
          </cell>
          <cell r="C829">
            <v>8</v>
          </cell>
          <cell r="D829" t="str">
            <v>INJ</v>
          </cell>
          <cell r="E829" t="str">
            <v>HDPE1010J</v>
          </cell>
          <cell r="F829">
            <v>3.75</v>
          </cell>
          <cell r="G829"/>
          <cell r="H829">
            <v>4</v>
          </cell>
          <cell r="I829">
            <v>17.600000000000001</v>
          </cell>
        </row>
        <row r="830">
          <cell r="A830">
            <v>324154</v>
          </cell>
          <cell r="B830" t="str">
            <v>C38-T/E-I/L-C/S-VIOLET</v>
          </cell>
          <cell r="C830">
            <v>8</v>
          </cell>
          <cell r="D830" t="str">
            <v>INJ</v>
          </cell>
          <cell r="E830" t="str">
            <v>HDPE1010J</v>
          </cell>
          <cell r="F830">
            <v>3.75</v>
          </cell>
          <cell r="G830"/>
          <cell r="H830">
            <v>3.75</v>
          </cell>
          <cell r="I830">
            <v>17.600000000000001</v>
          </cell>
        </row>
        <row r="831">
          <cell r="A831">
            <v>322558</v>
          </cell>
          <cell r="B831" t="str">
            <v>C38-T/E-I/L-C/S-WHITE</v>
          </cell>
          <cell r="C831">
            <v>8</v>
          </cell>
          <cell r="D831" t="str">
            <v>INJ</v>
          </cell>
          <cell r="E831" t="str">
            <v>HDPE1010J</v>
          </cell>
          <cell r="F831">
            <v>3.75</v>
          </cell>
          <cell r="G831"/>
          <cell r="H831">
            <v>4</v>
          </cell>
          <cell r="I831">
            <v>17.600000000000001</v>
          </cell>
        </row>
        <row r="832">
          <cell r="A832">
            <v>580047</v>
          </cell>
          <cell r="B832" t="str">
            <v>C38-T/E-I/L-C/S-WHITE (C) - S</v>
          </cell>
          <cell r="C832">
            <v>0</v>
          </cell>
          <cell r="D832" t="str">
            <v>INJ</v>
          </cell>
          <cell r="E832" t="str">
            <v>HDPE1010J</v>
          </cell>
          <cell r="F832">
            <v>4.7</v>
          </cell>
          <cell r="G832"/>
          <cell r="H832">
            <v>5</v>
          </cell>
          <cell r="I832">
            <v>17.600000000000001</v>
          </cell>
        </row>
        <row r="833">
          <cell r="A833">
            <v>111111</v>
          </cell>
          <cell r="B833" t="str">
            <v>C38-T/E-I/L-C/S-WHITE (E) - V</v>
          </cell>
          <cell r="C833">
            <v>8</v>
          </cell>
          <cell r="D833" t="str">
            <v>INJ</v>
          </cell>
          <cell r="E833" t="str">
            <v>HDPE1010J</v>
          </cell>
          <cell r="F833">
            <v>4.7</v>
          </cell>
          <cell r="G833"/>
          <cell r="H833">
            <v>4.7</v>
          </cell>
          <cell r="I833">
            <v>17.600000000000001</v>
          </cell>
        </row>
        <row r="834">
          <cell r="A834">
            <v>322573</v>
          </cell>
          <cell r="B834" t="str">
            <v>C38-T/E-I/L-C/S-YELLOW</v>
          </cell>
          <cell r="C834">
            <v>8</v>
          </cell>
          <cell r="D834" t="str">
            <v>INJ</v>
          </cell>
          <cell r="E834" t="str">
            <v>HDPE1010J</v>
          </cell>
          <cell r="F834">
            <v>3.75</v>
          </cell>
          <cell r="G834"/>
          <cell r="H834"/>
          <cell r="I834">
            <v>17.600000000000001</v>
          </cell>
        </row>
        <row r="835">
          <cell r="A835">
            <v>579878</v>
          </cell>
          <cell r="B835" t="str">
            <v>C38-T/E-I/L-C/S-YELLOW (C) - S</v>
          </cell>
          <cell r="C835">
            <v>0</v>
          </cell>
          <cell r="D835" t="str">
            <v>INJ</v>
          </cell>
          <cell r="E835" t="str">
            <v>HDPE1010J</v>
          </cell>
          <cell r="F835">
            <v>4.7</v>
          </cell>
          <cell r="G835"/>
          <cell r="H835">
            <v>3.8</v>
          </cell>
          <cell r="I835">
            <v>17.600000000000001</v>
          </cell>
        </row>
        <row r="836">
          <cell r="A836">
            <v>481769</v>
          </cell>
          <cell r="B836" t="str">
            <v>C38-T/E-I/L-C/S-YELLOW (C) - V</v>
          </cell>
          <cell r="C836">
            <v>8</v>
          </cell>
          <cell r="D836" t="str">
            <v>INJ</v>
          </cell>
          <cell r="E836" t="str">
            <v>HDPE1010J</v>
          </cell>
          <cell r="F836">
            <v>4.7</v>
          </cell>
          <cell r="G836"/>
          <cell r="H836">
            <v>4.7</v>
          </cell>
          <cell r="I836">
            <v>17.600000000000001</v>
          </cell>
        </row>
        <row r="837">
          <cell r="A837">
            <v>322574</v>
          </cell>
          <cell r="B837" t="str">
            <v>C38-T/E-I/L-C/S-YELLOW(24433374)NESTLE V</v>
          </cell>
          <cell r="C837">
            <v>8</v>
          </cell>
          <cell r="D837" t="str">
            <v>INJ</v>
          </cell>
          <cell r="E837" t="str">
            <v>HDPE1010J</v>
          </cell>
          <cell r="F837">
            <v>4.7</v>
          </cell>
          <cell r="G837"/>
          <cell r="H837">
            <v>5</v>
          </cell>
          <cell r="I837">
            <v>17.600000000000001</v>
          </cell>
        </row>
        <row r="838">
          <cell r="A838">
            <v>578505</v>
          </cell>
          <cell r="B838" t="str">
            <v>C38-T/E-I/L-C/S-YELLOW(24433374)NESTLE-S</v>
          </cell>
          <cell r="C838">
            <v>0</v>
          </cell>
          <cell r="D838" t="str">
            <v>INJ</v>
          </cell>
          <cell r="E838" t="str">
            <v>HDPE1010J</v>
          </cell>
          <cell r="F838">
            <v>4.7</v>
          </cell>
          <cell r="G838"/>
          <cell r="H838">
            <v>3.3</v>
          </cell>
          <cell r="I838">
            <v>17.600000000000001</v>
          </cell>
        </row>
        <row r="839">
          <cell r="A839">
            <v>322675</v>
          </cell>
          <cell r="B839" t="str">
            <v>C38-T/E-I/L-R/S-BLACK</v>
          </cell>
          <cell r="C839">
            <v>8</v>
          </cell>
          <cell r="D839" t="str">
            <v>INJ</v>
          </cell>
          <cell r="E839" t="str">
            <v>HDPE1010J</v>
          </cell>
          <cell r="F839">
            <v>3.87</v>
          </cell>
          <cell r="G839"/>
          <cell r="H839">
            <v>4</v>
          </cell>
          <cell r="I839">
            <v>17.600000000000001</v>
          </cell>
        </row>
        <row r="840">
          <cell r="A840">
            <v>449366</v>
          </cell>
          <cell r="B840" t="str">
            <v>C38-T/E-I/L-R/S-BLACK W P.E WAD (ASEM)</v>
          </cell>
          <cell r="C840">
            <v>8</v>
          </cell>
          <cell r="D840" t="str">
            <v>INJ</v>
          </cell>
          <cell r="E840" t="str">
            <v>HDPE1010J</v>
          </cell>
          <cell r="F840">
            <v>4.87</v>
          </cell>
          <cell r="G840"/>
          <cell r="H840">
            <v>4.87</v>
          </cell>
          <cell r="I840">
            <v>17.600000000000001</v>
          </cell>
        </row>
        <row r="841">
          <cell r="A841">
            <v>322636</v>
          </cell>
          <cell r="B841" t="str">
            <v>C38-T/E-I/L-R/S-BLUE</v>
          </cell>
          <cell r="C841">
            <v>8</v>
          </cell>
          <cell r="D841" t="str">
            <v>INJ</v>
          </cell>
          <cell r="E841" t="str">
            <v>HDPE1010J</v>
          </cell>
          <cell r="F841">
            <v>3.87</v>
          </cell>
          <cell r="G841"/>
          <cell r="H841">
            <v>3.87</v>
          </cell>
          <cell r="I841">
            <v>17.600000000000001</v>
          </cell>
        </row>
        <row r="842">
          <cell r="A842">
            <v>477022</v>
          </cell>
          <cell r="B842" t="str">
            <v>C38-T/E-I/L-R/S-BRONZE</v>
          </cell>
          <cell r="C842">
            <v>8</v>
          </cell>
          <cell r="D842" t="str">
            <v>INJ</v>
          </cell>
          <cell r="E842" t="str">
            <v>HDPE1010J</v>
          </cell>
          <cell r="F842">
            <v>3.87</v>
          </cell>
          <cell r="G842"/>
          <cell r="H842">
            <v>3.87</v>
          </cell>
          <cell r="I842">
            <v>17.600000000000001</v>
          </cell>
        </row>
        <row r="843">
          <cell r="A843">
            <v>322577</v>
          </cell>
          <cell r="B843" t="str">
            <v>C38-T/E-I/L-R/S-GOLD</v>
          </cell>
          <cell r="C843">
            <v>8</v>
          </cell>
          <cell r="D843" t="str">
            <v>INJ</v>
          </cell>
          <cell r="E843" t="str">
            <v>HDPE1010J</v>
          </cell>
          <cell r="F843">
            <v>3.87</v>
          </cell>
          <cell r="G843"/>
          <cell r="H843">
            <v>3.87</v>
          </cell>
          <cell r="I843">
            <v>17.600000000000001</v>
          </cell>
        </row>
        <row r="844">
          <cell r="A844">
            <v>322641</v>
          </cell>
          <cell r="B844" t="str">
            <v>C38-T/E-I/L-R/S-GREEN</v>
          </cell>
          <cell r="C844">
            <v>8</v>
          </cell>
          <cell r="D844" t="str">
            <v>INJ</v>
          </cell>
          <cell r="E844" t="str">
            <v>HDPE1010J</v>
          </cell>
          <cell r="F844">
            <v>3.87</v>
          </cell>
          <cell r="G844"/>
          <cell r="H844">
            <v>3.87</v>
          </cell>
          <cell r="I844">
            <v>17.600000000000001</v>
          </cell>
        </row>
        <row r="845">
          <cell r="A845">
            <v>338383</v>
          </cell>
          <cell r="B845" t="str">
            <v>C38-T/E-I/L-R/S-GREEN W IND SEAL (ASEM)</v>
          </cell>
          <cell r="C845">
            <v>8</v>
          </cell>
          <cell r="D845" t="str">
            <v>INJ</v>
          </cell>
          <cell r="E845" t="str">
            <v>HDPE1010J</v>
          </cell>
          <cell r="F845">
            <v>4.87</v>
          </cell>
          <cell r="G845"/>
          <cell r="H845">
            <v>3.8</v>
          </cell>
          <cell r="I845">
            <v>17.600000000000001</v>
          </cell>
        </row>
        <row r="846">
          <cell r="A846">
            <v>322582</v>
          </cell>
          <cell r="B846" t="str">
            <v>C38-T/E-I/L-R/S-ORANGE</v>
          </cell>
          <cell r="C846">
            <v>8</v>
          </cell>
          <cell r="D846" t="str">
            <v>INJ</v>
          </cell>
          <cell r="E846" t="str">
            <v>HDPE1010J</v>
          </cell>
          <cell r="F846">
            <v>3.87</v>
          </cell>
          <cell r="G846"/>
          <cell r="H846">
            <v>4</v>
          </cell>
          <cell r="I846">
            <v>17.600000000000001</v>
          </cell>
        </row>
        <row r="847">
          <cell r="A847">
            <v>322618</v>
          </cell>
          <cell r="B847" t="str">
            <v>C38-T/E-I/L-R/S-RED</v>
          </cell>
          <cell r="C847">
            <v>8</v>
          </cell>
          <cell r="D847" t="str">
            <v>INJ</v>
          </cell>
          <cell r="E847" t="str">
            <v>HDPE1010J</v>
          </cell>
          <cell r="F847">
            <v>3.87</v>
          </cell>
          <cell r="G847"/>
          <cell r="H847">
            <v>4</v>
          </cell>
          <cell r="I847">
            <v>17.600000000000001</v>
          </cell>
        </row>
        <row r="848">
          <cell r="A848">
            <v>322690</v>
          </cell>
          <cell r="B848" t="str">
            <v>C38-T/E-I/L-R/S-SP GOLD</v>
          </cell>
          <cell r="C848">
            <v>8</v>
          </cell>
          <cell r="D848" t="str">
            <v>INJ</v>
          </cell>
          <cell r="E848" t="str">
            <v>HDPE1010J</v>
          </cell>
          <cell r="F848">
            <v>3.87</v>
          </cell>
          <cell r="G848"/>
          <cell r="H848">
            <v>3.87</v>
          </cell>
          <cell r="I848">
            <v>17.600000000000001</v>
          </cell>
        </row>
        <row r="849">
          <cell r="A849">
            <v>322631</v>
          </cell>
          <cell r="B849" t="str">
            <v>C38-T/E-I/L-R/S-VIOLET</v>
          </cell>
          <cell r="C849">
            <v>8</v>
          </cell>
          <cell r="D849" t="str">
            <v>INJ</v>
          </cell>
          <cell r="E849" t="str">
            <v>HDPE1010J</v>
          </cell>
          <cell r="F849">
            <v>3.87</v>
          </cell>
          <cell r="G849"/>
          <cell r="H849">
            <v>3.87</v>
          </cell>
          <cell r="I849">
            <v>17.600000000000001</v>
          </cell>
        </row>
        <row r="850">
          <cell r="A850">
            <v>322553</v>
          </cell>
          <cell r="B850" t="str">
            <v>C38-T/E-I/L-R/S-WHITE</v>
          </cell>
          <cell r="C850">
            <v>8</v>
          </cell>
          <cell r="D850" t="str">
            <v>INJ</v>
          </cell>
          <cell r="E850" t="str">
            <v>HDPE1010J</v>
          </cell>
          <cell r="F850">
            <v>3.87</v>
          </cell>
          <cell r="G850"/>
          <cell r="H850">
            <v>4</v>
          </cell>
          <cell r="I850">
            <v>17.600000000000001</v>
          </cell>
        </row>
        <row r="851">
          <cell r="A851">
            <v>322564</v>
          </cell>
          <cell r="B851" t="str">
            <v>C38-T/E-I/L-R/S-WHITE WITH P.E WAD (ASEM</v>
          </cell>
          <cell r="C851">
            <v>8</v>
          </cell>
          <cell r="D851" t="str">
            <v>INJ</v>
          </cell>
          <cell r="E851" t="str">
            <v>HDPE1010J</v>
          </cell>
          <cell r="F851">
            <v>4.87</v>
          </cell>
          <cell r="G851"/>
          <cell r="H851">
            <v>4</v>
          </cell>
          <cell r="I851">
            <v>17.600000000000001</v>
          </cell>
        </row>
        <row r="852">
          <cell r="A852">
            <v>581013</v>
          </cell>
          <cell r="B852" t="str">
            <v>C38-T/E-I/L-R/S-YELLOW – S</v>
          </cell>
          <cell r="C852">
            <v>0</v>
          </cell>
          <cell r="D852" t="str">
            <v>INJ</v>
          </cell>
          <cell r="E852" t="str">
            <v>HDPE1010J</v>
          </cell>
          <cell r="F852">
            <v>3.87</v>
          </cell>
          <cell r="G852"/>
          <cell r="H852">
            <v>3.87</v>
          </cell>
          <cell r="I852">
            <v>17.600000000000001</v>
          </cell>
        </row>
        <row r="853">
          <cell r="A853">
            <v>322571</v>
          </cell>
          <cell r="B853" t="str">
            <v>C38-T/E-I/L-R/S-YELLOW – V</v>
          </cell>
          <cell r="C853">
            <v>8</v>
          </cell>
          <cell r="D853" t="str">
            <v>INJ</v>
          </cell>
          <cell r="E853" t="str">
            <v>HDPE1010J</v>
          </cell>
          <cell r="F853">
            <v>3.87</v>
          </cell>
          <cell r="G853"/>
          <cell r="H853">
            <v>3.87</v>
          </cell>
          <cell r="I853">
            <v>17.600000000000001</v>
          </cell>
        </row>
        <row r="854">
          <cell r="A854">
            <v>340540</v>
          </cell>
          <cell r="B854" t="str">
            <v>C38-T/E-R/S RED WITH P.E WAD (ASEM)</v>
          </cell>
          <cell r="C854">
            <v>8</v>
          </cell>
          <cell r="D854" t="str">
            <v>INJ</v>
          </cell>
          <cell r="E854" t="str">
            <v>HDPE1010J</v>
          </cell>
          <cell r="F854">
            <v>4.3000000000000007</v>
          </cell>
          <cell r="G854"/>
          <cell r="H854">
            <v>3.3</v>
          </cell>
          <cell r="I854">
            <v>17.600000000000001</v>
          </cell>
        </row>
        <row r="855">
          <cell r="A855">
            <v>322670</v>
          </cell>
          <cell r="B855" t="str">
            <v>C38-T/E-R/S-BLACK</v>
          </cell>
          <cell r="C855">
            <v>8</v>
          </cell>
          <cell r="D855" t="str">
            <v>INJ</v>
          </cell>
          <cell r="E855" t="str">
            <v>HDPE1010J</v>
          </cell>
          <cell r="F855">
            <v>3.3000000000000003</v>
          </cell>
          <cell r="G855"/>
          <cell r="H855">
            <v>3.5</v>
          </cell>
          <cell r="I855">
            <v>17.600000000000001</v>
          </cell>
        </row>
        <row r="856">
          <cell r="A856">
            <v>322634</v>
          </cell>
          <cell r="B856" t="str">
            <v>C38-T/E-R/S-BLUE</v>
          </cell>
          <cell r="C856">
            <v>8</v>
          </cell>
          <cell r="D856" t="str">
            <v>INJ</v>
          </cell>
          <cell r="E856" t="str">
            <v>HDPE1010J</v>
          </cell>
          <cell r="F856">
            <v>3.3000000000000003</v>
          </cell>
          <cell r="G856"/>
          <cell r="H856">
            <v>3.3</v>
          </cell>
          <cell r="I856">
            <v>17.600000000000001</v>
          </cell>
        </row>
        <row r="857">
          <cell r="A857">
            <v>331854</v>
          </cell>
          <cell r="B857" t="str">
            <v>C38-T/E-R/S-BLUE WITH P.E WAD (ASEM)</v>
          </cell>
          <cell r="C857">
            <v>8</v>
          </cell>
          <cell r="D857" t="str">
            <v>INJ</v>
          </cell>
          <cell r="E857" t="str">
            <v>HDPE1010J</v>
          </cell>
          <cell r="F857">
            <v>4.3000000000000007</v>
          </cell>
          <cell r="G857"/>
          <cell r="H857">
            <v>3.3</v>
          </cell>
          <cell r="I857">
            <v>17.600000000000001</v>
          </cell>
        </row>
        <row r="858">
          <cell r="A858">
            <v>579654</v>
          </cell>
          <cell r="B858" t="str">
            <v>C38-T/E-R/S-GREEN - S</v>
          </cell>
          <cell r="C858">
            <v>0</v>
          </cell>
          <cell r="D858" t="str">
            <v>INJ</v>
          </cell>
          <cell r="E858" t="str">
            <v>HDPE1010J</v>
          </cell>
          <cell r="F858">
            <v>3.3000000000000003</v>
          </cell>
          <cell r="G858"/>
          <cell r="H858">
            <v>31</v>
          </cell>
          <cell r="I858">
            <v>17.600000000000001</v>
          </cell>
        </row>
        <row r="859">
          <cell r="A859">
            <v>322644</v>
          </cell>
          <cell r="B859" t="str">
            <v>C38-T/E-R/S-GREEN - V</v>
          </cell>
          <cell r="C859">
            <v>8</v>
          </cell>
          <cell r="D859" t="str">
            <v>INJ</v>
          </cell>
          <cell r="E859" t="str">
            <v>HDPE1010J</v>
          </cell>
          <cell r="F859">
            <v>3.3000000000000003</v>
          </cell>
          <cell r="G859"/>
          <cell r="H859">
            <v>3.3000000000000003</v>
          </cell>
          <cell r="I859">
            <v>17.600000000000001</v>
          </cell>
        </row>
        <row r="860">
          <cell r="A860">
            <v>328687</v>
          </cell>
          <cell r="B860" t="str">
            <v>C38-T/E-R/S-GREEN WITH P.E WAD (ASEM)</v>
          </cell>
          <cell r="C860">
            <v>8</v>
          </cell>
          <cell r="D860" t="str">
            <v>INJ</v>
          </cell>
          <cell r="E860" t="str">
            <v>HDPE1010J</v>
          </cell>
          <cell r="F860">
            <v>4.3000000000000007</v>
          </cell>
          <cell r="G860"/>
          <cell r="H860">
            <v>3.3</v>
          </cell>
          <cell r="I860">
            <v>17.600000000000001</v>
          </cell>
        </row>
        <row r="861">
          <cell r="A861">
            <v>322584</v>
          </cell>
          <cell r="B861" t="str">
            <v>C38-T/E-R/S-ORANGE</v>
          </cell>
          <cell r="C861">
            <v>8</v>
          </cell>
          <cell r="D861" t="str">
            <v>INJ</v>
          </cell>
          <cell r="E861" t="str">
            <v>HDPE1010J</v>
          </cell>
          <cell r="F861">
            <v>3.3000000000000003</v>
          </cell>
          <cell r="G861"/>
          <cell r="H861">
            <v>3.3</v>
          </cell>
          <cell r="I861">
            <v>17.600000000000001</v>
          </cell>
        </row>
        <row r="862">
          <cell r="A862">
            <v>577726</v>
          </cell>
          <cell r="B862" t="str">
            <v>C38-T/E-R/S-ORANGE-S</v>
          </cell>
          <cell r="C862">
            <v>0</v>
          </cell>
          <cell r="D862" t="str">
            <v>INJ</v>
          </cell>
          <cell r="E862" t="str">
            <v>HDPE1010J</v>
          </cell>
          <cell r="F862">
            <v>3.3000000000000003</v>
          </cell>
          <cell r="G862"/>
          <cell r="H862">
            <v>30.5</v>
          </cell>
          <cell r="I862">
            <v>17.600000000000001</v>
          </cell>
        </row>
        <row r="863">
          <cell r="A863">
            <v>322616</v>
          </cell>
          <cell r="B863" t="str">
            <v>C38-T/E-R/S-RED</v>
          </cell>
          <cell r="C863">
            <v>8</v>
          </cell>
          <cell r="D863" t="str">
            <v>INJ</v>
          </cell>
          <cell r="E863" t="str">
            <v>HDPE1010J</v>
          </cell>
          <cell r="F863">
            <v>3.3000000000000003</v>
          </cell>
          <cell r="G863"/>
          <cell r="H863">
            <v>3.3</v>
          </cell>
          <cell r="I863">
            <v>17.600000000000001</v>
          </cell>
        </row>
        <row r="864">
          <cell r="A864">
            <v>322683</v>
          </cell>
          <cell r="B864" t="str">
            <v>C38-T/E-R/S-SILVER</v>
          </cell>
          <cell r="C864">
            <v>8</v>
          </cell>
          <cell r="D864" t="str">
            <v>INJ</v>
          </cell>
          <cell r="E864" t="str">
            <v>HDPE1010J</v>
          </cell>
          <cell r="F864">
            <v>3.3000000000000003</v>
          </cell>
          <cell r="G864"/>
          <cell r="H864">
            <v>3.3</v>
          </cell>
          <cell r="I864">
            <v>17.600000000000001</v>
          </cell>
        </row>
        <row r="865">
          <cell r="A865">
            <v>322625</v>
          </cell>
          <cell r="B865" t="str">
            <v>C38-T/E-R/S-VIOLET</v>
          </cell>
          <cell r="C865">
            <v>8</v>
          </cell>
          <cell r="D865" t="str">
            <v>INJ</v>
          </cell>
          <cell r="E865" t="str">
            <v>HDPE1010J</v>
          </cell>
          <cell r="F865">
            <v>3.3000000000000003</v>
          </cell>
          <cell r="G865"/>
          <cell r="H865">
            <v>3.3000000000000003</v>
          </cell>
          <cell r="I865">
            <v>17.600000000000001</v>
          </cell>
        </row>
        <row r="866">
          <cell r="A866">
            <v>322561</v>
          </cell>
          <cell r="B866" t="str">
            <v>C38-T/E-R/S-WHITE</v>
          </cell>
          <cell r="C866">
            <v>8</v>
          </cell>
          <cell r="D866" t="str">
            <v>INJ</v>
          </cell>
          <cell r="E866" t="str">
            <v>HDPE1010J</v>
          </cell>
          <cell r="F866">
            <v>3.3000000000000003</v>
          </cell>
          <cell r="G866"/>
          <cell r="H866">
            <v>3.3</v>
          </cell>
          <cell r="I866">
            <v>17.600000000000001</v>
          </cell>
        </row>
        <row r="867">
          <cell r="A867">
            <v>322560</v>
          </cell>
          <cell r="B867" t="str">
            <v>C38-T/E-R/S-WHITE WITH PE WAD (ASEM)</v>
          </cell>
          <cell r="C867">
            <v>8</v>
          </cell>
          <cell r="D867" t="str">
            <v>INJ</v>
          </cell>
          <cell r="E867" t="str">
            <v>HDPE1010J</v>
          </cell>
          <cell r="F867">
            <v>4.3000000000000007</v>
          </cell>
          <cell r="G867"/>
          <cell r="H867">
            <v>3.3</v>
          </cell>
          <cell r="I867">
            <v>17.600000000000001</v>
          </cell>
        </row>
        <row r="868">
          <cell r="A868">
            <v>322576</v>
          </cell>
          <cell r="B868" t="str">
            <v>C38-T/E-R/S-YELLOW</v>
          </cell>
          <cell r="C868">
            <v>8</v>
          </cell>
          <cell r="D868" t="str">
            <v>INJ</v>
          </cell>
          <cell r="E868" t="str">
            <v>HDPE1010J</v>
          </cell>
          <cell r="F868">
            <v>3.3000000000000003</v>
          </cell>
          <cell r="G868"/>
          <cell r="H868">
            <v>3.3</v>
          </cell>
          <cell r="I868">
            <v>17.600000000000001</v>
          </cell>
        </row>
        <row r="869">
          <cell r="A869">
            <v>334551</v>
          </cell>
          <cell r="B869" t="str">
            <v>C38-T/E-R/S-YELLOW WITH P.E. WAD (ASEM)</v>
          </cell>
          <cell r="C869">
            <v>8</v>
          </cell>
          <cell r="D869" t="str">
            <v>INJ</v>
          </cell>
          <cell r="E869" t="str">
            <v>HDPE1010J</v>
          </cell>
          <cell r="F869">
            <v>4.3000000000000007</v>
          </cell>
          <cell r="G869"/>
          <cell r="H869">
            <v>3.3</v>
          </cell>
          <cell r="I869">
            <v>17.600000000000001</v>
          </cell>
        </row>
        <row r="870">
          <cell r="A870">
            <v>322562</v>
          </cell>
          <cell r="B870" t="str">
            <v>C38-TEAR SEAL WHITE CAP</v>
          </cell>
          <cell r="C870">
            <v>8</v>
          </cell>
          <cell r="D870" t="str">
            <v>INJ</v>
          </cell>
          <cell r="E870" t="str">
            <v>LLDPE6201</v>
          </cell>
          <cell r="F870">
            <v>4.6999999999999993</v>
          </cell>
          <cell r="G870"/>
          <cell r="H870">
            <v>4.7</v>
          </cell>
          <cell r="I870">
            <v>4.6399999999999997</v>
          </cell>
        </row>
        <row r="871">
          <cell r="A871">
            <v>520334</v>
          </cell>
          <cell r="B871" t="str">
            <v>C54-SNAP ON CAP - WHITE (LJ)</v>
          </cell>
          <cell r="C871">
            <v>4</v>
          </cell>
          <cell r="D871" t="str">
            <v>INJ</v>
          </cell>
          <cell r="E871" t="str">
            <v>PP2300K</v>
          </cell>
          <cell r="F871">
            <v>10</v>
          </cell>
          <cell r="G871"/>
          <cell r="H871">
            <v>9.75</v>
          </cell>
          <cell r="I871">
            <v>16.5</v>
          </cell>
        </row>
        <row r="872">
          <cell r="A872">
            <v>546292</v>
          </cell>
          <cell r="B872" t="str">
            <v>C56-Gold Screw Cap</v>
          </cell>
          <cell r="C872">
            <v>4</v>
          </cell>
          <cell r="D872" t="str">
            <v>INJ</v>
          </cell>
          <cell r="E872" t="str">
            <v>SM6331</v>
          </cell>
          <cell r="F872">
            <v>5.1000000000000005</v>
          </cell>
          <cell r="G872"/>
          <cell r="H872">
            <v>5.1000000000000005</v>
          </cell>
          <cell r="I872">
            <v>18.399999999999999</v>
          </cell>
        </row>
        <row r="873">
          <cell r="A873">
            <v>565885</v>
          </cell>
          <cell r="B873" t="str">
            <v>C56-Gold Screw Cap with Aluminium Wad</v>
          </cell>
          <cell r="C873">
            <v>0</v>
          </cell>
          <cell r="D873" t="str">
            <v>INJ</v>
          </cell>
          <cell r="E873" t="str">
            <v>SM6331</v>
          </cell>
          <cell r="F873">
            <v>6.1000000000000005</v>
          </cell>
          <cell r="G873"/>
          <cell r="H873">
            <v>6.1000000000000005</v>
          </cell>
          <cell r="I873">
            <v>18.399999999999999</v>
          </cell>
        </row>
        <row r="874">
          <cell r="A874">
            <v>546271</v>
          </cell>
          <cell r="B874" t="str">
            <v>C56-Gold Screw Cap with Paper Wad</v>
          </cell>
          <cell r="C874">
            <v>4</v>
          </cell>
          <cell r="D874" t="str">
            <v>INJ</v>
          </cell>
          <cell r="E874" t="str">
            <v>SM6331</v>
          </cell>
          <cell r="F874">
            <v>6.1000000000000005</v>
          </cell>
          <cell r="G874"/>
          <cell r="H874">
            <v>4.8</v>
          </cell>
          <cell r="I874">
            <v>18.399999999999999</v>
          </cell>
        </row>
        <row r="875">
          <cell r="A875">
            <v>322694</v>
          </cell>
          <cell r="B875" t="str">
            <v>C63-BUNG CLEAR</v>
          </cell>
          <cell r="C875">
            <v>4</v>
          </cell>
          <cell r="D875" t="str">
            <v>INJ</v>
          </cell>
          <cell r="E875" t="str">
            <v>LLDPE6201</v>
          </cell>
          <cell r="F875">
            <v>2.8</v>
          </cell>
          <cell r="G875"/>
          <cell r="H875">
            <v>2.8</v>
          </cell>
          <cell r="I875">
            <v>9.5</v>
          </cell>
        </row>
        <row r="876">
          <cell r="A876">
            <v>322698</v>
          </cell>
          <cell r="B876" t="str">
            <v>C63-BUNG GOLD</v>
          </cell>
          <cell r="C876">
            <v>4</v>
          </cell>
          <cell r="D876" t="str">
            <v>INJ</v>
          </cell>
          <cell r="E876" t="str">
            <v>LLDPE6201</v>
          </cell>
          <cell r="F876">
            <v>2.8000000000000003</v>
          </cell>
          <cell r="G876"/>
          <cell r="H876">
            <v>2.8</v>
          </cell>
          <cell r="I876">
            <v>9.5</v>
          </cell>
        </row>
        <row r="877">
          <cell r="A877">
            <v>322695</v>
          </cell>
          <cell r="B877" t="str">
            <v>C63-BUNG WHITE</v>
          </cell>
          <cell r="C877">
            <v>4</v>
          </cell>
          <cell r="D877" t="str">
            <v>INJ</v>
          </cell>
          <cell r="E877" t="str">
            <v>LLDPE6201</v>
          </cell>
          <cell r="F877">
            <v>2.8000000000000003</v>
          </cell>
          <cell r="G877"/>
          <cell r="H877">
            <v>2.8</v>
          </cell>
          <cell r="I877">
            <v>9.5</v>
          </cell>
        </row>
        <row r="878">
          <cell r="A878">
            <v>322659</v>
          </cell>
          <cell r="B878" t="str">
            <v>C63-D/C 3H BLUE</v>
          </cell>
          <cell r="C878">
            <v>2</v>
          </cell>
          <cell r="D878" t="str">
            <v>INJ</v>
          </cell>
          <cell r="E878" t="str">
            <v>PP2300</v>
          </cell>
          <cell r="F878">
            <v>15.1</v>
          </cell>
          <cell r="G878"/>
          <cell r="H878">
            <v>15.1</v>
          </cell>
          <cell r="I878">
            <v>6.76</v>
          </cell>
        </row>
        <row r="879">
          <cell r="A879">
            <v>411346</v>
          </cell>
          <cell r="B879" t="str">
            <v>C63-D/C 3H BROWN W ACT SEAL (ASEM)</v>
          </cell>
          <cell r="C879">
            <v>2</v>
          </cell>
          <cell r="D879" t="str">
            <v>INJ</v>
          </cell>
          <cell r="E879" t="str">
            <v>PP2300</v>
          </cell>
          <cell r="F879">
            <v>16.100000000000001</v>
          </cell>
          <cell r="G879"/>
          <cell r="H879">
            <v>16.100000000000001</v>
          </cell>
          <cell r="I879">
            <v>11</v>
          </cell>
        </row>
        <row r="880">
          <cell r="A880">
            <v>322658</v>
          </cell>
          <cell r="B880" t="str">
            <v>C63-D/C 3H ORANGE</v>
          </cell>
          <cell r="C880">
            <v>2</v>
          </cell>
          <cell r="D880" t="str">
            <v>INJ</v>
          </cell>
          <cell r="E880" t="str">
            <v>PP2300</v>
          </cell>
          <cell r="F880">
            <v>15.1</v>
          </cell>
          <cell r="G880"/>
          <cell r="H880">
            <v>15.1</v>
          </cell>
          <cell r="I880">
            <v>6.76</v>
          </cell>
        </row>
        <row r="881">
          <cell r="A881">
            <v>322656</v>
          </cell>
          <cell r="B881" t="str">
            <v>C63-D/C 3H RED</v>
          </cell>
          <cell r="C881">
            <v>2</v>
          </cell>
          <cell r="D881" t="str">
            <v>INJ</v>
          </cell>
          <cell r="E881" t="str">
            <v>PP2300</v>
          </cell>
          <cell r="F881">
            <v>15.1</v>
          </cell>
          <cell r="G881"/>
          <cell r="H881">
            <v>13.85</v>
          </cell>
          <cell r="I881">
            <v>6.76</v>
          </cell>
        </row>
        <row r="882">
          <cell r="A882">
            <v>322657</v>
          </cell>
          <cell r="B882" t="str">
            <v>C63-D/C 3H WHITE</v>
          </cell>
          <cell r="C882">
            <v>2</v>
          </cell>
          <cell r="D882" t="str">
            <v>INJ</v>
          </cell>
          <cell r="E882" t="str">
            <v>PP2300</v>
          </cell>
          <cell r="F882">
            <v>15.1</v>
          </cell>
          <cell r="G882"/>
          <cell r="H882">
            <v>13.85</v>
          </cell>
          <cell r="I882">
            <v>6.76</v>
          </cell>
        </row>
        <row r="883">
          <cell r="A883">
            <v>322655</v>
          </cell>
          <cell r="B883" t="str">
            <v>C63-D/C 3H YELLOW</v>
          </cell>
          <cell r="C883">
            <v>2</v>
          </cell>
          <cell r="D883" t="str">
            <v>INJ</v>
          </cell>
          <cell r="E883" t="str">
            <v>PP2300</v>
          </cell>
          <cell r="F883">
            <v>15.1</v>
          </cell>
          <cell r="G883"/>
          <cell r="H883">
            <v>15.1</v>
          </cell>
          <cell r="I883">
            <v>6.76</v>
          </cell>
        </row>
        <row r="884">
          <cell r="A884">
            <v>519157</v>
          </cell>
          <cell r="B884" t="str">
            <v>C63-D/C 6H BLACK (BOTTOM)</v>
          </cell>
          <cell r="C884">
            <v>4</v>
          </cell>
          <cell r="D884" t="str">
            <v>INJ</v>
          </cell>
          <cell r="E884" t="str">
            <v>PP2300</v>
          </cell>
          <cell r="F884">
            <v>8.1999999999999993</v>
          </cell>
          <cell r="G884"/>
          <cell r="H884">
            <v>8.1999999999999993</v>
          </cell>
          <cell r="I884">
            <v>16.88</v>
          </cell>
        </row>
        <row r="885">
          <cell r="A885">
            <v>519158</v>
          </cell>
          <cell r="B885" t="str">
            <v>C63-D/C 6H BLACK (TOP)</v>
          </cell>
          <cell r="C885">
            <v>4</v>
          </cell>
          <cell r="D885" t="str">
            <v>INJ</v>
          </cell>
          <cell r="E885" t="str">
            <v>PP2300</v>
          </cell>
          <cell r="F885">
            <v>4.5999999999999996</v>
          </cell>
          <cell r="G885"/>
          <cell r="H885">
            <v>4.5999999999999996</v>
          </cell>
          <cell r="I885">
            <v>17.8</v>
          </cell>
        </row>
        <row r="886">
          <cell r="A886">
            <v>328487</v>
          </cell>
          <cell r="B886" t="str">
            <v>C63-D/C 6H BLACK W IND SEAL W/EAR (ASEM)</v>
          </cell>
          <cell r="C886">
            <v>4</v>
          </cell>
          <cell r="D886" t="str">
            <v>INJ</v>
          </cell>
          <cell r="E886" t="str">
            <v>PP2300</v>
          </cell>
          <cell r="F886">
            <v>13.84</v>
          </cell>
          <cell r="G886"/>
          <cell r="H886">
            <v>13</v>
          </cell>
          <cell r="I886">
            <v>12</v>
          </cell>
        </row>
        <row r="887">
          <cell r="A887">
            <v>338315</v>
          </cell>
          <cell r="B887" t="str">
            <v>C63-D/C 6H D.BLUE (BOTTOM)</v>
          </cell>
          <cell r="C887">
            <v>4</v>
          </cell>
          <cell r="D887" t="str">
            <v>INJ</v>
          </cell>
          <cell r="E887" t="str">
            <v>PP2300</v>
          </cell>
          <cell r="F887">
            <v>8.1999999999999993</v>
          </cell>
          <cell r="G887"/>
          <cell r="H887">
            <v>8</v>
          </cell>
          <cell r="I887">
            <v>16.88</v>
          </cell>
        </row>
        <row r="888">
          <cell r="A888">
            <v>373387</v>
          </cell>
          <cell r="B888" t="str">
            <v>C63-D/C 6H D.BLUE (TOP)</v>
          </cell>
          <cell r="C888">
            <v>4</v>
          </cell>
          <cell r="D888" t="str">
            <v>INJ</v>
          </cell>
          <cell r="E888" t="str">
            <v>PP2300</v>
          </cell>
          <cell r="F888">
            <v>4.5999999999999996</v>
          </cell>
          <cell r="G888"/>
          <cell r="H888">
            <v>5</v>
          </cell>
          <cell r="I888">
            <v>17.8</v>
          </cell>
        </row>
        <row r="889">
          <cell r="A889">
            <v>387467</v>
          </cell>
          <cell r="B889" t="str">
            <v>C63-D/C 6H D.GREEN</v>
          </cell>
          <cell r="C889">
            <v>4</v>
          </cell>
          <cell r="D889" t="str">
            <v>INJ</v>
          </cell>
          <cell r="E889" t="str">
            <v>PP2300</v>
          </cell>
          <cell r="F889">
            <v>12.84</v>
          </cell>
          <cell r="G889"/>
          <cell r="H889">
            <v>12.6</v>
          </cell>
          <cell r="I889">
            <v>20</v>
          </cell>
        </row>
        <row r="890">
          <cell r="A890">
            <v>387468</v>
          </cell>
          <cell r="B890" t="str">
            <v>C63-D/C 6H D.GREEN (BOTTOM)</v>
          </cell>
          <cell r="C890">
            <v>4</v>
          </cell>
          <cell r="D890" t="str">
            <v>INJ</v>
          </cell>
          <cell r="E890" t="str">
            <v>PP2300</v>
          </cell>
          <cell r="F890">
            <v>8.1999999999999993</v>
          </cell>
          <cell r="G890"/>
          <cell r="H890">
            <v>8.1999999999999993</v>
          </cell>
          <cell r="I890">
            <v>16.88</v>
          </cell>
        </row>
        <row r="891">
          <cell r="A891">
            <v>387469</v>
          </cell>
          <cell r="B891" t="str">
            <v>C63-D/C 6H D.GREEN (TOP)</v>
          </cell>
          <cell r="C891">
            <v>4</v>
          </cell>
          <cell r="D891" t="str">
            <v>INJ</v>
          </cell>
          <cell r="E891" t="str">
            <v>PP2300</v>
          </cell>
          <cell r="F891">
            <v>4.5999999999999996</v>
          </cell>
          <cell r="G891"/>
          <cell r="H891">
            <v>4.5999999999999996</v>
          </cell>
          <cell r="I891">
            <v>17.8</v>
          </cell>
        </row>
        <row r="892">
          <cell r="A892">
            <v>324223</v>
          </cell>
          <cell r="B892" t="str">
            <v>C63-D/C 6H L.BLUE (BOTTOM)</v>
          </cell>
          <cell r="C892">
            <v>4</v>
          </cell>
          <cell r="D892" t="str">
            <v>INJ</v>
          </cell>
          <cell r="E892" t="str">
            <v>PP2300</v>
          </cell>
          <cell r="F892">
            <v>8.1999999999999993</v>
          </cell>
          <cell r="G892"/>
          <cell r="H892">
            <v>8.1999999999999993</v>
          </cell>
          <cell r="I892">
            <v>16.88</v>
          </cell>
        </row>
        <row r="893">
          <cell r="A893">
            <v>338312</v>
          </cell>
          <cell r="B893" t="str">
            <v>C63-D/C 6H L.BLUE (NEMAR) (TOP)</v>
          </cell>
          <cell r="C893">
            <v>4</v>
          </cell>
          <cell r="D893" t="str">
            <v>INJ</v>
          </cell>
          <cell r="E893" t="str">
            <v>PP2300</v>
          </cell>
          <cell r="F893">
            <v>4.5999999999999996</v>
          </cell>
          <cell r="G893"/>
          <cell r="H893">
            <v>4.5999999999999996</v>
          </cell>
          <cell r="I893">
            <v>17.8</v>
          </cell>
        </row>
        <row r="894">
          <cell r="A894">
            <v>324222</v>
          </cell>
          <cell r="B894" t="str">
            <v>C63-D/C 6H ORANGE (BOTTOM)</v>
          </cell>
          <cell r="C894">
            <v>4</v>
          </cell>
          <cell r="D894" t="str">
            <v>INJ</v>
          </cell>
          <cell r="E894" t="str">
            <v>PP2300</v>
          </cell>
          <cell r="F894">
            <v>8.1999999999999993</v>
          </cell>
          <cell r="G894"/>
          <cell r="H894">
            <v>13</v>
          </cell>
          <cell r="I894">
            <v>16.88</v>
          </cell>
        </row>
        <row r="895">
          <cell r="A895">
            <v>373369</v>
          </cell>
          <cell r="B895" t="str">
            <v>C63-D/C 6H ORANGE (TOP)</v>
          </cell>
          <cell r="C895">
            <v>4</v>
          </cell>
          <cell r="D895" t="str">
            <v>INJ</v>
          </cell>
          <cell r="E895" t="str">
            <v>PP2300</v>
          </cell>
          <cell r="F895">
            <v>4.5999999999999996</v>
          </cell>
          <cell r="G895"/>
          <cell r="H895">
            <v>4.5999999999999996</v>
          </cell>
          <cell r="I895">
            <v>17.8</v>
          </cell>
        </row>
        <row r="896">
          <cell r="A896">
            <v>324224</v>
          </cell>
          <cell r="B896" t="str">
            <v>C63-D/C 6H YELLOW (BOTTOM)</v>
          </cell>
          <cell r="C896">
            <v>4</v>
          </cell>
          <cell r="D896" t="str">
            <v>INJ</v>
          </cell>
          <cell r="E896" t="str">
            <v>PP2300</v>
          </cell>
          <cell r="F896">
            <v>8.1999999999999993</v>
          </cell>
          <cell r="G896"/>
          <cell r="H896">
            <v>13</v>
          </cell>
          <cell r="I896">
            <v>16.88</v>
          </cell>
        </row>
        <row r="897">
          <cell r="A897">
            <v>324225</v>
          </cell>
          <cell r="B897" t="str">
            <v>C63-D/C 6H YELLOW (NEMAR) (TOP)</v>
          </cell>
          <cell r="C897">
            <v>4</v>
          </cell>
          <cell r="D897" t="str">
            <v>INJ</v>
          </cell>
          <cell r="E897" t="str">
            <v>PP2300</v>
          </cell>
          <cell r="F897">
            <v>4.5999999999999996</v>
          </cell>
          <cell r="G897"/>
          <cell r="H897">
            <v>13</v>
          </cell>
          <cell r="I897">
            <v>17.8</v>
          </cell>
        </row>
        <row r="898">
          <cell r="A898">
            <v>373385</v>
          </cell>
          <cell r="B898" t="str">
            <v>C63-D/C 6H YELLOW (TOP)</v>
          </cell>
          <cell r="C898">
            <v>4</v>
          </cell>
          <cell r="D898" t="str">
            <v>INJ</v>
          </cell>
          <cell r="E898" t="str">
            <v>PP2300</v>
          </cell>
          <cell r="F898">
            <v>4.5999999999999996</v>
          </cell>
          <cell r="G898"/>
          <cell r="H898">
            <v>4.5999999999999996</v>
          </cell>
          <cell r="I898">
            <v>17.8</v>
          </cell>
        </row>
        <row r="899">
          <cell r="A899">
            <v>322647</v>
          </cell>
          <cell r="B899" t="str">
            <v>C63-D/C 7H BLACK</v>
          </cell>
          <cell r="C899">
            <v>4</v>
          </cell>
          <cell r="D899" t="str">
            <v>INJ</v>
          </cell>
          <cell r="E899" t="str">
            <v>PP2300</v>
          </cell>
          <cell r="F899">
            <v>13.200000000000001</v>
          </cell>
          <cell r="G899"/>
          <cell r="H899">
            <v>13.2</v>
          </cell>
          <cell r="I899">
            <v>20</v>
          </cell>
        </row>
        <row r="900">
          <cell r="A900">
            <v>334752</v>
          </cell>
          <cell r="B900" t="str">
            <v>C63-D/C 7H BLACK W ACT SEAL (ASEM)</v>
          </cell>
          <cell r="C900">
            <v>4</v>
          </cell>
          <cell r="D900" t="str">
            <v>INJ</v>
          </cell>
          <cell r="E900" t="str">
            <v>PP2300</v>
          </cell>
          <cell r="F900">
            <v>14.200000000000001</v>
          </cell>
          <cell r="G900"/>
          <cell r="H900">
            <v>14.200000000000001</v>
          </cell>
          <cell r="I900">
            <v>20</v>
          </cell>
        </row>
        <row r="901">
          <cell r="A901">
            <v>328469</v>
          </cell>
          <cell r="B901" t="str">
            <v>C63-D/C 7H BLACK W IND SEAL W/EAR (ASEM)</v>
          </cell>
          <cell r="C901">
            <v>4</v>
          </cell>
          <cell r="D901" t="str">
            <v>INJ</v>
          </cell>
          <cell r="E901" t="str">
            <v>PP2300</v>
          </cell>
          <cell r="F901">
            <v>14.200000000000001</v>
          </cell>
          <cell r="G901"/>
          <cell r="H901">
            <v>14.200000000000001</v>
          </cell>
          <cell r="I901">
            <v>20</v>
          </cell>
        </row>
        <row r="902">
          <cell r="A902">
            <v>322650</v>
          </cell>
          <cell r="B902" t="str">
            <v>C63-D/C 7H BLUE</v>
          </cell>
          <cell r="C902">
            <v>4</v>
          </cell>
          <cell r="D902" t="str">
            <v>INJ</v>
          </cell>
          <cell r="E902" t="str">
            <v>PP2300</v>
          </cell>
          <cell r="F902">
            <v>13.200000000000001</v>
          </cell>
          <cell r="G902"/>
          <cell r="H902">
            <v>13.2</v>
          </cell>
          <cell r="I902">
            <v>20</v>
          </cell>
        </row>
        <row r="903">
          <cell r="A903">
            <v>338313</v>
          </cell>
          <cell r="B903" t="str">
            <v>C63-D/C 7H BLUE (NEMAR) (TOP)</v>
          </cell>
          <cell r="C903">
            <v>4</v>
          </cell>
          <cell r="D903" t="str">
            <v>INJ</v>
          </cell>
          <cell r="E903" t="str">
            <v>PP2300</v>
          </cell>
          <cell r="F903">
            <v>4.5999999999999996</v>
          </cell>
          <cell r="G903"/>
          <cell r="H903">
            <v>4.5999999999999996</v>
          </cell>
          <cell r="I903">
            <v>17.8</v>
          </cell>
        </row>
        <row r="904">
          <cell r="A904">
            <v>365134</v>
          </cell>
          <cell r="B904" t="str">
            <v>C63-D/C 7H BLUE W ACT SEAL (ASEM)</v>
          </cell>
          <cell r="C904">
            <v>4</v>
          </cell>
          <cell r="D904" t="str">
            <v>INJ</v>
          </cell>
          <cell r="E904" t="str">
            <v>PP2300</v>
          </cell>
          <cell r="F904">
            <v>14.200000000000001</v>
          </cell>
          <cell r="G904"/>
          <cell r="H904">
            <v>13.2</v>
          </cell>
          <cell r="I904">
            <v>20</v>
          </cell>
        </row>
        <row r="905">
          <cell r="A905">
            <v>452298</v>
          </cell>
          <cell r="B905" t="str">
            <v>C63-D/C 7H BLUE W IND SEAL W/EAR (ASEM)</v>
          </cell>
          <cell r="C905">
            <v>4</v>
          </cell>
          <cell r="D905" t="str">
            <v>INJ</v>
          </cell>
          <cell r="E905" t="str">
            <v>PP2300</v>
          </cell>
          <cell r="F905">
            <v>14.200000000000001</v>
          </cell>
          <cell r="G905"/>
          <cell r="H905">
            <v>14.200000000000001</v>
          </cell>
          <cell r="I905">
            <v>20</v>
          </cell>
        </row>
        <row r="906">
          <cell r="A906">
            <v>389517</v>
          </cell>
          <cell r="B906" t="str">
            <v>C63-D/C 7H D.BLUE</v>
          </cell>
          <cell r="C906">
            <v>4</v>
          </cell>
          <cell r="D906" t="str">
            <v>INJ</v>
          </cell>
          <cell r="E906" t="str">
            <v>PP2300</v>
          </cell>
          <cell r="F906">
            <v>13.200000000000001</v>
          </cell>
          <cell r="G906"/>
          <cell r="H906">
            <v>13.2</v>
          </cell>
          <cell r="I906">
            <v>20</v>
          </cell>
        </row>
        <row r="907">
          <cell r="A907">
            <v>324219</v>
          </cell>
          <cell r="B907" t="str">
            <v>C63-D/C 7H GREEN</v>
          </cell>
          <cell r="C907">
            <v>4</v>
          </cell>
          <cell r="D907" t="str">
            <v>INJ</v>
          </cell>
          <cell r="E907" t="str">
            <v>PP2300</v>
          </cell>
          <cell r="F907">
            <v>13.200000000000001</v>
          </cell>
          <cell r="G907"/>
          <cell r="H907">
            <v>13.2</v>
          </cell>
          <cell r="I907">
            <v>20</v>
          </cell>
        </row>
        <row r="908">
          <cell r="A908">
            <v>322665</v>
          </cell>
          <cell r="B908" t="str">
            <v>C63-D/C 7H GREY</v>
          </cell>
          <cell r="C908">
            <v>4</v>
          </cell>
          <cell r="D908" t="str">
            <v>INJ</v>
          </cell>
          <cell r="E908" t="str">
            <v>PP2300</v>
          </cell>
          <cell r="F908">
            <v>13.200000000000001</v>
          </cell>
          <cell r="G908"/>
          <cell r="H908">
            <v>13.2</v>
          </cell>
          <cell r="I908">
            <v>20</v>
          </cell>
        </row>
        <row r="909">
          <cell r="A909">
            <v>334768</v>
          </cell>
          <cell r="B909" t="str">
            <v>C63-D/C 7H MAROON</v>
          </cell>
          <cell r="C909">
            <v>4</v>
          </cell>
          <cell r="D909" t="str">
            <v>INJ</v>
          </cell>
          <cell r="E909" t="str">
            <v>PP2300</v>
          </cell>
          <cell r="F909">
            <v>13.200000000000001</v>
          </cell>
          <cell r="G909"/>
          <cell r="H909">
            <v>13.200000000000001</v>
          </cell>
          <cell r="I909">
            <v>20</v>
          </cell>
        </row>
        <row r="910">
          <cell r="A910">
            <v>334731</v>
          </cell>
          <cell r="B910" t="str">
            <v>C63-D/C 7H MAROON W ACT SEAL (ASEM)</v>
          </cell>
          <cell r="C910">
            <v>4</v>
          </cell>
          <cell r="D910" t="str">
            <v>INJ</v>
          </cell>
          <cell r="E910" t="str">
            <v>PP2300</v>
          </cell>
          <cell r="F910">
            <v>14.200000000000001</v>
          </cell>
          <cell r="G910"/>
          <cell r="H910">
            <v>14.200000000000001</v>
          </cell>
          <cell r="I910">
            <v>20</v>
          </cell>
        </row>
        <row r="911">
          <cell r="A911">
            <v>425688</v>
          </cell>
          <cell r="B911" t="str">
            <v>C63-D/C 7H ORANGE</v>
          </cell>
          <cell r="C911">
            <v>4</v>
          </cell>
          <cell r="D911" t="str">
            <v>INJ</v>
          </cell>
          <cell r="E911" t="str">
            <v>PP2300</v>
          </cell>
          <cell r="F911">
            <v>13.200000000000001</v>
          </cell>
          <cell r="G911"/>
          <cell r="H911">
            <v>13</v>
          </cell>
          <cell r="I911">
            <v>20</v>
          </cell>
        </row>
        <row r="912">
          <cell r="A912">
            <v>478369</v>
          </cell>
          <cell r="B912" t="str">
            <v>C63-D/C 7H PRO.YELLOW W ACT SEAL (ASEM)</v>
          </cell>
          <cell r="C912">
            <v>4</v>
          </cell>
          <cell r="D912" t="str">
            <v>INJ</v>
          </cell>
          <cell r="E912" t="str">
            <v>PP2300</v>
          </cell>
          <cell r="F912">
            <v>14.200000000000001</v>
          </cell>
          <cell r="G912"/>
          <cell r="H912">
            <v>14.200000000000001</v>
          </cell>
          <cell r="I912">
            <v>20</v>
          </cell>
        </row>
        <row r="913">
          <cell r="A913">
            <v>459161</v>
          </cell>
          <cell r="B913" t="str">
            <v>C63-D/C 7H PROCESS YELLOW</v>
          </cell>
          <cell r="C913">
            <v>4</v>
          </cell>
          <cell r="D913" t="str">
            <v>INJ</v>
          </cell>
          <cell r="E913" t="str">
            <v>PP2300</v>
          </cell>
          <cell r="F913">
            <v>13.200000000000001</v>
          </cell>
          <cell r="G913"/>
          <cell r="H913">
            <v>13.2</v>
          </cell>
          <cell r="I913">
            <v>20</v>
          </cell>
        </row>
        <row r="914">
          <cell r="A914">
            <v>322646</v>
          </cell>
          <cell r="B914" t="str">
            <v>C63-D/C 7H RED</v>
          </cell>
          <cell r="C914">
            <v>4</v>
          </cell>
          <cell r="D914" t="str">
            <v>INJ</v>
          </cell>
          <cell r="E914" t="str">
            <v>PP2300</v>
          </cell>
          <cell r="F914">
            <v>13.200000000000001</v>
          </cell>
          <cell r="G914"/>
          <cell r="H914">
            <v>13.2</v>
          </cell>
          <cell r="I914">
            <v>20</v>
          </cell>
        </row>
        <row r="915">
          <cell r="A915">
            <v>322653</v>
          </cell>
          <cell r="B915" t="str">
            <v>C63-D/C 7H RED MAGGI</v>
          </cell>
          <cell r="C915">
            <v>4</v>
          </cell>
          <cell r="D915" t="str">
            <v>INJ</v>
          </cell>
          <cell r="E915" t="str">
            <v>PP2300</v>
          </cell>
          <cell r="F915">
            <v>13.200000000000001</v>
          </cell>
          <cell r="G915"/>
          <cell r="H915">
            <v>13.200000000000001</v>
          </cell>
          <cell r="I915">
            <v>20</v>
          </cell>
        </row>
        <row r="916">
          <cell r="A916">
            <v>322654</v>
          </cell>
          <cell r="B916" t="str">
            <v>C63-D/C 7H RED MAGGI WITH UNI-GARD (ASEM</v>
          </cell>
          <cell r="C916">
            <v>4</v>
          </cell>
          <cell r="D916" t="str">
            <v>INJ</v>
          </cell>
          <cell r="E916" t="str">
            <v>PP2300</v>
          </cell>
          <cell r="F916">
            <v>14.200000000000001</v>
          </cell>
          <cell r="G916"/>
          <cell r="H916">
            <v>13.2</v>
          </cell>
          <cell r="I916">
            <v>20</v>
          </cell>
        </row>
        <row r="917">
          <cell r="A917">
            <v>324298</v>
          </cell>
          <cell r="B917" t="str">
            <v>C63-D/C 7H RED W IND SEAL W/EAR (ASEM)</v>
          </cell>
          <cell r="C917">
            <v>4</v>
          </cell>
          <cell r="D917" t="str">
            <v>INJ</v>
          </cell>
          <cell r="E917" t="str">
            <v>PP2300</v>
          </cell>
          <cell r="F917">
            <v>14.200000000000001</v>
          </cell>
          <cell r="G917"/>
          <cell r="H917">
            <v>13.2</v>
          </cell>
          <cell r="I917">
            <v>20</v>
          </cell>
        </row>
        <row r="918">
          <cell r="A918">
            <v>540600</v>
          </cell>
          <cell r="B918" t="str">
            <v>C63-D/C 7H RED-ACTIVATED SEAL (ASSEM)</v>
          </cell>
          <cell r="C918">
            <v>4</v>
          </cell>
          <cell r="D918" t="str">
            <v>INJ</v>
          </cell>
          <cell r="E918" t="str">
            <v>PP2300</v>
          </cell>
          <cell r="F918">
            <v>14.200000000000001</v>
          </cell>
          <cell r="G918"/>
          <cell r="H918">
            <v>14.200000000000001</v>
          </cell>
          <cell r="I918">
            <v>20</v>
          </cell>
        </row>
        <row r="919">
          <cell r="A919">
            <v>322666</v>
          </cell>
          <cell r="B919" t="str">
            <v>C63-D/C 7H SILVER</v>
          </cell>
          <cell r="C919">
            <v>4</v>
          </cell>
          <cell r="D919" t="str">
            <v>INJ</v>
          </cell>
          <cell r="E919" t="str">
            <v>PP2300</v>
          </cell>
          <cell r="F919">
            <v>13.200000000000001</v>
          </cell>
          <cell r="G919"/>
          <cell r="H919">
            <v>13.2</v>
          </cell>
          <cell r="I919">
            <v>20</v>
          </cell>
        </row>
        <row r="920">
          <cell r="A920">
            <v>345184</v>
          </cell>
          <cell r="B920" t="str">
            <v>C63-D/C 7H SILVER W IND SEAL W/EAR(ASEM)</v>
          </cell>
          <cell r="C920">
            <v>4</v>
          </cell>
          <cell r="D920" t="str">
            <v>INJ</v>
          </cell>
          <cell r="E920" t="str">
            <v>PP2300</v>
          </cell>
          <cell r="F920">
            <v>14.200000000000001</v>
          </cell>
          <cell r="G920"/>
          <cell r="H920">
            <v>13.2</v>
          </cell>
          <cell r="I920">
            <v>20</v>
          </cell>
        </row>
        <row r="921">
          <cell r="A921">
            <v>543625</v>
          </cell>
          <cell r="B921" t="str">
            <v>C63-D/C 7H TEAL GREEN PMS3262C</v>
          </cell>
          <cell r="C921">
            <v>4</v>
          </cell>
          <cell r="D921" t="str">
            <v>INJ</v>
          </cell>
          <cell r="E921" t="str">
            <v>PP2300</v>
          </cell>
          <cell r="F921">
            <v>13.200000000000001</v>
          </cell>
          <cell r="G921"/>
          <cell r="H921">
            <v>13.200000000000001</v>
          </cell>
          <cell r="I921">
            <v>20</v>
          </cell>
        </row>
        <row r="922">
          <cell r="A922">
            <v>325544</v>
          </cell>
          <cell r="B922" t="str">
            <v>C63-D/C 7H WH W/O LOGO I/S WIV EAR(ASEM)</v>
          </cell>
          <cell r="C922">
            <v>4</v>
          </cell>
          <cell r="D922" t="str">
            <v>INJ</v>
          </cell>
          <cell r="E922" t="str">
            <v>PP2300</v>
          </cell>
          <cell r="F922">
            <v>14.200000000000001</v>
          </cell>
          <cell r="G922"/>
          <cell r="H922">
            <v>14.200000000000001</v>
          </cell>
          <cell r="I922">
            <v>20</v>
          </cell>
        </row>
        <row r="923">
          <cell r="A923">
            <v>322648</v>
          </cell>
          <cell r="B923" t="str">
            <v>C63-D/C 7H WHITE</v>
          </cell>
          <cell r="C923">
            <v>4</v>
          </cell>
          <cell r="D923" t="str">
            <v>INJ</v>
          </cell>
          <cell r="E923" t="str">
            <v>PP2300</v>
          </cell>
          <cell r="F923">
            <v>13.200000000000001</v>
          </cell>
          <cell r="G923"/>
          <cell r="H923">
            <v>13.2</v>
          </cell>
          <cell r="I923">
            <v>20</v>
          </cell>
        </row>
        <row r="924">
          <cell r="A924">
            <v>362713</v>
          </cell>
          <cell r="B924" t="str">
            <v>C63-D/C 7H WHITE W IND SEAL W/EAR (ASEM)</v>
          </cell>
          <cell r="C924">
            <v>4</v>
          </cell>
          <cell r="D924" t="str">
            <v>INJ</v>
          </cell>
          <cell r="E924" t="str">
            <v>PP2300</v>
          </cell>
          <cell r="F924">
            <v>14.200000000000001</v>
          </cell>
          <cell r="G924"/>
          <cell r="H924">
            <v>13.2</v>
          </cell>
          <cell r="I924">
            <v>20</v>
          </cell>
        </row>
        <row r="925">
          <cell r="A925">
            <v>322649</v>
          </cell>
          <cell r="B925" t="str">
            <v>C63-D/C 7H YELLOW</v>
          </cell>
          <cell r="C925">
            <v>4</v>
          </cell>
          <cell r="D925" t="str">
            <v>INJ</v>
          </cell>
          <cell r="E925" t="str">
            <v>PP2300</v>
          </cell>
          <cell r="F925">
            <v>13.200000000000001</v>
          </cell>
          <cell r="G925"/>
          <cell r="H925">
            <v>13.2</v>
          </cell>
          <cell r="I925">
            <v>20</v>
          </cell>
        </row>
        <row r="926">
          <cell r="A926">
            <v>412041</v>
          </cell>
          <cell r="B926" t="str">
            <v>C63-D/C-3H-BROWN</v>
          </cell>
          <cell r="C926">
            <v>2</v>
          </cell>
          <cell r="D926" t="str">
            <v>INJ</v>
          </cell>
          <cell r="E926" t="str">
            <v>PP2300</v>
          </cell>
          <cell r="F926">
            <v>15.1</v>
          </cell>
          <cell r="G926"/>
          <cell r="H926">
            <v>15.1</v>
          </cell>
          <cell r="I926">
            <v>23.4</v>
          </cell>
        </row>
        <row r="927">
          <cell r="A927">
            <v>322680</v>
          </cell>
          <cell r="B927" t="str">
            <v>C63-T/E-R/S BERYLS BRONZE</v>
          </cell>
          <cell r="C927">
            <v>4</v>
          </cell>
          <cell r="D927" t="str">
            <v>INJ</v>
          </cell>
          <cell r="E927" t="str">
            <v>HDPE1010J</v>
          </cell>
          <cell r="F927">
            <v>7.3000000000000007</v>
          </cell>
          <cell r="G927"/>
          <cell r="H927">
            <v>7</v>
          </cell>
          <cell r="I927">
            <v>15.3</v>
          </cell>
        </row>
        <row r="928">
          <cell r="A928">
            <v>337709</v>
          </cell>
          <cell r="B928" t="str">
            <v>C63-T/E-R/S BERYLS GOLD</v>
          </cell>
          <cell r="C928">
            <v>4</v>
          </cell>
          <cell r="D928" t="str">
            <v>INJ</v>
          </cell>
          <cell r="E928" t="str">
            <v>HDPE1010J</v>
          </cell>
          <cell r="F928">
            <v>7.3000000000000007</v>
          </cell>
          <cell r="G928"/>
          <cell r="H928">
            <v>7</v>
          </cell>
          <cell r="I928">
            <v>15.3</v>
          </cell>
        </row>
        <row r="929">
          <cell r="A929">
            <v>322674</v>
          </cell>
          <cell r="B929" t="str">
            <v>C63-T/E-R/S BLACK WITH P.E WAD (ASEM)</v>
          </cell>
          <cell r="C929">
            <v>4</v>
          </cell>
          <cell r="D929" t="str">
            <v>INJ</v>
          </cell>
          <cell r="E929" t="str">
            <v>HDPE1010J</v>
          </cell>
          <cell r="F929">
            <v>10.3</v>
          </cell>
          <cell r="G929"/>
          <cell r="H929">
            <v>7</v>
          </cell>
          <cell r="I929">
            <v>12</v>
          </cell>
        </row>
        <row r="930">
          <cell r="A930">
            <v>361239</v>
          </cell>
          <cell r="B930" t="str">
            <v>C63-T/E-R/S PRO.BLUE</v>
          </cell>
          <cell r="C930">
            <v>4</v>
          </cell>
          <cell r="D930" t="str">
            <v>INJ</v>
          </cell>
          <cell r="E930" t="str">
            <v>HDPE1010J</v>
          </cell>
          <cell r="F930">
            <v>7.3000000000000007</v>
          </cell>
          <cell r="G930"/>
          <cell r="H930">
            <v>7.3000000000000007</v>
          </cell>
          <cell r="I930">
            <v>15.3</v>
          </cell>
        </row>
        <row r="931">
          <cell r="A931">
            <v>359998</v>
          </cell>
          <cell r="B931" t="str">
            <v>C63-T/E-R/S PRO.BLUE WITH P.E WAD (ASEM)</v>
          </cell>
          <cell r="C931">
            <v>4</v>
          </cell>
          <cell r="D931" t="str">
            <v>INJ</v>
          </cell>
          <cell r="E931" t="str">
            <v>HDPE1010J</v>
          </cell>
          <cell r="F931">
            <v>8.3000000000000007</v>
          </cell>
          <cell r="G931"/>
          <cell r="H931"/>
          <cell r="I931">
            <v>15.3</v>
          </cell>
        </row>
        <row r="932">
          <cell r="A932">
            <v>455983</v>
          </cell>
          <cell r="B932" t="str">
            <v>C63-T/E-R/S YLW W IND SEAL W/EAR (ASEM)</v>
          </cell>
          <cell r="C932">
            <v>4</v>
          </cell>
          <cell r="D932" t="str">
            <v>INJ</v>
          </cell>
          <cell r="E932" t="str">
            <v>HDPE1010J</v>
          </cell>
          <cell r="F932">
            <v>8.3000000000000007</v>
          </cell>
          <cell r="G932"/>
          <cell r="H932">
            <v>8</v>
          </cell>
          <cell r="I932">
            <v>15.3</v>
          </cell>
        </row>
        <row r="933">
          <cell r="A933">
            <v>326415</v>
          </cell>
          <cell r="B933" t="str">
            <v>C63-T/E-R/S-APPLE GREEN</v>
          </cell>
          <cell r="C933">
            <v>4</v>
          </cell>
          <cell r="D933" t="str">
            <v>INJ</v>
          </cell>
          <cell r="E933" t="str">
            <v>HDPE1010J</v>
          </cell>
          <cell r="F933">
            <v>7.3000000000000007</v>
          </cell>
          <cell r="G933"/>
          <cell r="H933">
            <v>7</v>
          </cell>
          <cell r="I933">
            <v>15.3</v>
          </cell>
        </row>
        <row r="934">
          <cell r="A934">
            <v>322672</v>
          </cell>
          <cell r="B934" t="str">
            <v>C63-T/E-R/S-BLACK</v>
          </cell>
          <cell r="C934">
            <v>4</v>
          </cell>
          <cell r="D934" t="str">
            <v>INJ</v>
          </cell>
          <cell r="E934" t="str">
            <v>HDPE1010J</v>
          </cell>
          <cell r="F934">
            <v>7.3000000000000007</v>
          </cell>
          <cell r="G934"/>
          <cell r="H934">
            <v>7</v>
          </cell>
          <cell r="I934">
            <v>15.3</v>
          </cell>
        </row>
        <row r="935">
          <cell r="A935">
            <v>502881</v>
          </cell>
          <cell r="B935" t="str">
            <v>C63-T/E-R/S-BLACK W ACT SEAL (ASEM) - V</v>
          </cell>
          <cell r="C935">
            <v>4</v>
          </cell>
          <cell r="D935" t="str">
            <v>INJ</v>
          </cell>
          <cell r="E935" t="str">
            <v>HDPE1010J</v>
          </cell>
          <cell r="F935">
            <v>8.3000000000000007</v>
          </cell>
          <cell r="G935"/>
          <cell r="H935">
            <v>8.3000000000000007</v>
          </cell>
          <cell r="I935">
            <v>15.3</v>
          </cell>
        </row>
        <row r="936">
          <cell r="A936">
            <v>475572</v>
          </cell>
          <cell r="B936" t="str">
            <v>C63-T/E-R/S-BLACK W/ IND SEAL W/ EAR</v>
          </cell>
          <cell r="C936">
            <v>4</v>
          </cell>
          <cell r="D936" t="str">
            <v>INJ</v>
          </cell>
          <cell r="E936" t="str">
            <v>HDPE1010J</v>
          </cell>
          <cell r="F936">
            <v>8.3000000000000007</v>
          </cell>
          <cell r="G936"/>
          <cell r="H936">
            <v>7</v>
          </cell>
          <cell r="I936">
            <v>15.2</v>
          </cell>
        </row>
        <row r="937">
          <cell r="A937">
            <v>322635</v>
          </cell>
          <cell r="B937" t="str">
            <v>C63-T/E-R/S-BLUE</v>
          </cell>
          <cell r="C937">
            <v>4</v>
          </cell>
          <cell r="D937" t="str">
            <v>INJ</v>
          </cell>
          <cell r="E937" t="str">
            <v>HDPE1010J</v>
          </cell>
          <cell r="F937">
            <v>7.3000000000000007</v>
          </cell>
          <cell r="G937"/>
          <cell r="H937">
            <v>7</v>
          </cell>
          <cell r="I937">
            <v>15.3</v>
          </cell>
        </row>
        <row r="938">
          <cell r="A938">
            <v>322679</v>
          </cell>
          <cell r="B938" t="str">
            <v>C63-T/E-R/S-BRONZE</v>
          </cell>
          <cell r="C938">
            <v>4</v>
          </cell>
          <cell r="D938" t="str">
            <v>INJ</v>
          </cell>
          <cell r="E938" t="str">
            <v>HDPE1010J</v>
          </cell>
          <cell r="F938">
            <v>7.3000000000000007</v>
          </cell>
          <cell r="G938"/>
          <cell r="H938">
            <v>7</v>
          </cell>
          <cell r="I938">
            <v>15.3</v>
          </cell>
        </row>
        <row r="939">
          <cell r="A939">
            <v>324156</v>
          </cell>
          <cell r="B939" t="str">
            <v>C63-T/E-R/S-BROWN</v>
          </cell>
          <cell r="C939">
            <v>4</v>
          </cell>
          <cell r="D939" t="str">
            <v>INJ</v>
          </cell>
          <cell r="E939" t="str">
            <v>HDPE1010J</v>
          </cell>
          <cell r="F939">
            <v>7.3000000000000007</v>
          </cell>
          <cell r="G939"/>
          <cell r="H939">
            <v>7</v>
          </cell>
          <cell r="I939">
            <v>15.3</v>
          </cell>
        </row>
        <row r="940">
          <cell r="A940">
            <v>555128</v>
          </cell>
          <cell r="B940" t="str">
            <v>C63-T/E-R/S-BROWN WITH ACT SEAL (ASEM)</v>
          </cell>
          <cell r="C940">
            <v>4</v>
          </cell>
          <cell r="D940" t="str">
            <v>INJ</v>
          </cell>
          <cell r="E940" t="str">
            <v>HDPE1010J</v>
          </cell>
          <cell r="F940">
            <v>8.3000000000000007</v>
          </cell>
          <cell r="G940"/>
          <cell r="H940">
            <v>7.8</v>
          </cell>
          <cell r="I940">
            <v>15.3</v>
          </cell>
        </row>
        <row r="941">
          <cell r="A941">
            <v>324155</v>
          </cell>
          <cell r="B941" t="str">
            <v>C63-T/E-R/S-D.GREEN</v>
          </cell>
          <cell r="C941">
            <v>4</v>
          </cell>
          <cell r="D941" t="str">
            <v>INJ</v>
          </cell>
          <cell r="E941" t="str">
            <v>HDPE1010J</v>
          </cell>
          <cell r="F941">
            <v>7.3000000000000007</v>
          </cell>
          <cell r="G941"/>
          <cell r="H941">
            <v>7</v>
          </cell>
          <cell r="I941">
            <v>15.3</v>
          </cell>
        </row>
        <row r="942">
          <cell r="A942">
            <v>472132</v>
          </cell>
          <cell r="B942" t="str">
            <v>C63-T/E-R/S-D.GREEN W IND SEAL (ASEM)</v>
          </cell>
          <cell r="C942">
            <v>4</v>
          </cell>
          <cell r="D942" t="str">
            <v>INJ</v>
          </cell>
          <cell r="E942" t="str">
            <v>HDPE1010J</v>
          </cell>
          <cell r="F942">
            <v>8.3000000000000007</v>
          </cell>
          <cell r="G942"/>
          <cell r="H942">
            <v>7</v>
          </cell>
          <cell r="I942">
            <v>15.3</v>
          </cell>
        </row>
        <row r="943">
          <cell r="A943">
            <v>322632</v>
          </cell>
          <cell r="B943" t="str">
            <v>C63-T/E-R/S-GOLD</v>
          </cell>
          <cell r="C943">
            <v>4</v>
          </cell>
          <cell r="D943" t="str">
            <v>INJ</v>
          </cell>
          <cell r="E943" t="str">
            <v>HDPE1010J</v>
          </cell>
          <cell r="F943">
            <v>7.3000000000000007</v>
          </cell>
          <cell r="G943"/>
          <cell r="H943">
            <v>7</v>
          </cell>
          <cell r="I943">
            <v>15.3</v>
          </cell>
        </row>
        <row r="944">
          <cell r="A944">
            <v>478691</v>
          </cell>
          <cell r="B944" t="str">
            <v>C63-T/E-R/S-GOLD 9048</v>
          </cell>
          <cell r="C944">
            <v>4</v>
          </cell>
          <cell r="D944" t="str">
            <v>INJ</v>
          </cell>
          <cell r="E944" t="str">
            <v>HDPE1010J</v>
          </cell>
          <cell r="F944">
            <v>7.3000000000000007</v>
          </cell>
          <cell r="G944"/>
          <cell r="H944">
            <v>7.01</v>
          </cell>
          <cell r="I944">
            <v>15.3</v>
          </cell>
        </row>
        <row r="945">
          <cell r="A945">
            <v>478933</v>
          </cell>
          <cell r="B945" t="str">
            <v>C63-T/E-R/S-GOLD 9048 W ACT SEAL (ASEM)</v>
          </cell>
          <cell r="C945">
            <v>4</v>
          </cell>
          <cell r="D945" t="str">
            <v>INJ</v>
          </cell>
          <cell r="E945" t="str">
            <v>HDPE1010J</v>
          </cell>
          <cell r="F945">
            <v>8.3000000000000007</v>
          </cell>
          <cell r="G945"/>
          <cell r="H945"/>
          <cell r="I945">
            <v>15.3</v>
          </cell>
        </row>
        <row r="946">
          <cell r="A946">
            <v>322640</v>
          </cell>
          <cell r="B946" t="str">
            <v>C63-T/E-R/S-GREEN</v>
          </cell>
          <cell r="C946">
            <v>4</v>
          </cell>
          <cell r="D946" t="str">
            <v>INJ</v>
          </cell>
          <cell r="E946" t="str">
            <v>HDPE1010J</v>
          </cell>
          <cell r="F946">
            <v>7.3000000000000007</v>
          </cell>
          <cell r="G946"/>
          <cell r="H946">
            <v>7</v>
          </cell>
          <cell r="I946">
            <v>15.3</v>
          </cell>
        </row>
        <row r="947">
          <cell r="A947">
            <v>322581</v>
          </cell>
          <cell r="B947" t="str">
            <v>C63-T/E-R/S-ORANGE</v>
          </cell>
          <cell r="C947">
            <v>4</v>
          </cell>
          <cell r="D947" t="str">
            <v>INJ</v>
          </cell>
          <cell r="E947" t="str">
            <v>HDPE1010J</v>
          </cell>
          <cell r="F947">
            <v>7.3000000000000007</v>
          </cell>
          <cell r="G947"/>
          <cell r="H947">
            <v>7</v>
          </cell>
          <cell r="I947">
            <v>15.3</v>
          </cell>
        </row>
        <row r="948">
          <cell r="A948">
            <v>330922</v>
          </cell>
          <cell r="B948" t="str">
            <v>C63-T/E-R/S-PINK</v>
          </cell>
          <cell r="C948">
            <v>4</v>
          </cell>
          <cell r="D948" t="str">
            <v>INJ</v>
          </cell>
          <cell r="E948" t="str">
            <v>HDPE1010J</v>
          </cell>
          <cell r="F948">
            <v>7.3000000000000007</v>
          </cell>
          <cell r="G948"/>
          <cell r="H948">
            <v>7</v>
          </cell>
          <cell r="I948">
            <v>15.3</v>
          </cell>
        </row>
        <row r="949">
          <cell r="A949">
            <v>322617</v>
          </cell>
          <cell r="B949" t="str">
            <v>C63-T/E-R/S-RED</v>
          </cell>
          <cell r="C949">
            <v>4</v>
          </cell>
          <cell r="D949" t="str">
            <v>INJ</v>
          </cell>
          <cell r="E949" t="str">
            <v>HDPE1010J</v>
          </cell>
          <cell r="F949">
            <v>7.3000000000000007</v>
          </cell>
          <cell r="G949"/>
          <cell r="H949">
            <v>7</v>
          </cell>
          <cell r="I949">
            <v>15.3</v>
          </cell>
        </row>
        <row r="950">
          <cell r="A950">
            <v>335770</v>
          </cell>
          <cell r="B950" t="str">
            <v>C63-T/E-R/S-RED (BERYLS)</v>
          </cell>
          <cell r="C950">
            <v>4</v>
          </cell>
          <cell r="D950" t="str">
            <v>INJ</v>
          </cell>
          <cell r="E950" t="str">
            <v>HDPE1010J</v>
          </cell>
          <cell r="F950">
            <v>7.3000000000000007</v>
          </cell>
          <cell r="G950"/>
          <cell r="H950">
            <v>7.3000000000000007</v>
          </cell>
          <cell r="I950">
            <v>15.3</v>
          </cell>
        </row>
        <row r="951">
          <cell r="A951">
            <v>322626</v>
          </cell>
          <cell r="B951" t="str">
            <v>C63-T/E-R/S-VIOLET</v>
          </cell>
          <cell r="C951">
            <v>4</v>
          </cell>
          <cell r="D951" t="str">
            <v>INJ</v>
          </cell>
          <cell r="E951" t="str">
            <v>HDPE1010J</v>
          </cell>
          <cell r="F951">
            <v>7.3000000000000007</v>
          </cell>
          <cell r="G951"/>
          <cell r="H951">
            <v>7</v>
          </cell>
          <cell r="I951">
            <v>15.3</v>
          </cell>
        </row>
        <row r="952">
          <cell r="A952">
            <v>545429</v>
          </cell>
          <cell r="B952" t="str">
            <v>C63-T/E-R/S-VIOLET 2.0</v>
          </cell>
          <cell r="C952">
            <v>4</v>
          </cell>
          <cell r="D952" t="str">
            <v>INJ</v>
          </cell>
          <cell r="E952" t="str">
            <v>HDPE1010J</v>
          </cell>
          <cell r="F952">
            <v>7.3000000000000007</v>
          </cell>
          <cell r="G952"/>
          <cell r="H952">
            <v>7.3000000000000007</v>
          </cell>
          <cell r="I952">
            <v>15.3</v>
          </cell>
        </row>
        <row r="953">
          <cell r="A953">
            <v>322552</v>
          </cell>
          <cell r="B953" t="str">
            <v>C63-T/E-R/S-WHITE</v>
          </cell>
          <cell r="C953">
            <v>4</v>
          </cell>
          <cell r="D953" t="str">
            <v>INJ</v>
          </cell>
          <cell r="E953" t="str">
            <v>HDPE1010J</v>
          </cell>
          <cell r="F953">
            <v>7.3000000000000007</v>
          </cell>
          <cell r="G953"/>
          <cell r="H953">
            <v>7</v>
          </cell>
          <cell r="I953">
            <v>15.3</v>
          </cell>
        </row>
        <row r="954">
          <cell r="A954">
            <v>329665</v>
          </cell>
          <cell r="B954" t="str">
            <v>C63-T/E-R/S-WHITE WITH ACT SEAL (ASEM)</v>
          </cell>
          <cell r="C954">
            <v>4</v>
          </cell>
          <cell r="D954" t="str">
            <v>INJ</v>
          </cell>
          <cell r="E954" t="str">
            <v>HDPE1010J</v>
          </cell>
          <cell r="F954">
            <v>8.3000000000000007</v>
          </cell>
          <cell r="G954"/>
          <cell r="H954">
            <v>8.3000000000000007</v>
          </cell>
          <cell r="I954">
            <v>15.3</v>
          </cell>
        </row>
        <row r="955">
          <cell r="A955">
            <v>322557</v>
          </cell>
          <cell r="B955" t="str">
            <v>C63-T/E-R/S-WHITE WITH P.E WAD (ASEM) -V</v>
          </cell>
          <cell r="C955">
            <v>4</v>
          </cell>
          <cell r="D955" t="str">
            <v>INJ</v>
          </cell>
          <cell r="E955" t="str">
            <v>HDPE1010J</v>
          </cell>
          <cell r="F955">
            <v>10.3</v>
          </cell>
          <cell r="G955"/>
          <cell r="H955">
            <v>7.2</v>
          </cell>
          <cell r="I955">
            <v>12</v>
          </cell>
        </row>
        <row r="956">
          <cell r="A956">
            <v>439887</v>
          </cell>
          <cell r="B956" t="str">
            <v>C63-T/E-R/S-WHT W IND SEAL W/EAR (ASEM)</v>
          </cell>
          <cell r="C956">
            <v>4</v>
          </cell>
          <cell r="D956" t="str">
            <v>INJ</v>
          </cell>
          <cell r="E956" t="str">
            <v>HDPE1010J</v>
          </cell>
          <cell r="F956">
            <v>8.3000000000000007</v>
          </cell>
          <cell r="G956"/>
          <cell r="H956">
            <v>7</v>
          </cell>
          <cell r="I956">
            <v>15.3</v>
          </cell>
        </row>
        <row r="957">
          <cell r="A957">
            <v>322568</v>
          </cell>
          <cell r="B957" t="str">
            <v>C63-T/E-R/S-YELLOW</v>
          </cell>
          <cell r="C957">
            <v>4</v>
          </cell>
          <cell r="D957" t="str">
            <v>INJ</v>
          </cell>
          <cell r="E957" t="str">
            <v>HDPE1010J</v>
          </cell>
          <cell r="F957">
            <v>7.3000000000000007</v>
          </cell>
          <cell r="G957"/>
          <cell r="H957">
            <v>7</v>
          </cell>
          <cell r="I957">
            <v>15.3</v>
          </cell>
        </row>
        <row r="958">
          <cell r="A958">
            <v>432636</v>
          </cell>
          <cell r="B958" t="str">
            <v>C63-T/E-R/S-YELLOW TAMIN</v>
          </cell>
          <cell r="C958">
            <v>4</v>
          </cell>
          <cell r="D958" t="str">
            <v>INJ</v>
          </cell>
          <cell r="E958" t="str">
            <v>HDPE1010J</v>
          </cell>
          <cell r="F958">
            <v>7.3000000000000007</v>
          </cell>
          <cell r="G958"/>
          <cell r="H958">
            <v>7.2</v>
          </cell>
          <cell r="I958">
            <v>15.3</v>
          </cell>
        </row>
        <row r="959">
          <cell r="A959">
            <v>432569</v>
          </cell>
          <cell r="B959" t="str">
            <v>C63-T/E-R/S-YELLOW TAMIN W PPR WAD-ASEM</v>
          </cell>
          <cell r="C959">
            <v>4</v>
          </cell>
          <cell r="D959" t="str">
            <v>INJ</v>
          </cell>
          <cell r="E959" t="str">
            <v>HDPE1010J</v>
          </cell>
          <cell r="F959">
            <v>8.3000000000000007</v>
          </cell>
          <cell r="G959"/>
          <cell r="H959">
            <v>49</v>
          </cell>
          <cell r="I959">
            <v>15.3</v>
          </cell>
        </row>
        <row r="960">
          <cell r="A960">
            <v>322570</v>
          </cell>
          <cell r="B960" t="str">
            <v>C63-T/E-R/S-YELLOW WITH P.E WAD (ASEM)</v>
          </cell>
          <cell r="C960">
            <v>4</v>
          </cell>
          <cell r="D960" t="str">
            <v>INJ</v>
          </cell>
          <cell r="E960" t="str">
            <v>HDPE1010J</v>
          </cell>
          <cell r="F960">
            <v>8.3000000000000007</v>
          </cell>
          <cell r="G960"/>
          <cell r="H960">
            <v>56.9</v>
          </cell>
          <cell r="I960">
            <v>15.3</v>
          </cell>
        </row>
        <row r="961">
          <cell r="A961">
            <v>333702</v>
          </cell>
          <cell r="B961" t="str">
            <v>C90-T/E-I/L-R/S-A-BLUE</v>
          </cell>
          <cell r="C961">
            <v>2</v>
          </cell>
          <cell r="D961" t="str">
            <v>INJ</v>
          </cell>
          <cell r="E961" t="str">
            <v>HDPE1010J</v>
          </cell>
          <cell r="F961">
            <v>16.2</v>
          </cell>
          <cell r="G961"/>
          <cell r="H961">
            <v>16.2</v>
          </cell>
          <cell r="I961">
            <v>35</v>
          </cell>
        </row>
        <row r="962">
          <cell r="A962">
            <v>333690</v>
          </cell>
          <cell r="B962" t="str">
            <v>C90-T/E-I/L-R/S-A-GREEN</v>
          </cell>
          <cell r="C962">
            <v>2</v>
          </cell>
          <cell r="D962" t="str">
            <v>INJ</v>
          </cell>
          <cell r="E962" t="str">
            <v>HDPE1010J</v>
          </cell>
          <cell r="F962">
            <v>16.2</v>
          </cell>
          <cell r="G962"/>
          <cell r="H962">
            <v>16.2</v>
          </cell>
          <cell r="I962">
            <v>35</v>
          </cell>
        </row>
        <row r="963">
          <cell r="A963">
            <v>333703</v>
          </cell>
          <cell r="B963" t="str">
            <v>C90-T/E-I/L-R/S-A-ORANGE</v>
          </cell>
          <cell r="C963">
            <v>2</v>
          </cell>
          <cell r="D963" t="str">
            <v>INJ</v>
          </cell>
          <cell r="E963" t="str">
            <v>HDPE1010J</v>
          </cell>
          <cell r="F963">
            <v>16.2</v>
          </cell>
          <cell r="G963"/>
          <cell r="H963">
            <v>16.2</v>
          </cell>
          <cell r="I963">
            <v>35</v>
          </cell>
        </row>
        <row r="964">
          <cell r="A964">
            <v>542692</v>
          </cell>
          <cell r="B964" t="str">
            <v>EBK38-0375-K-Q-B.YL-PE(S0376)</v>
          </cell>
          <cell r="C964">
            <v>2</v>
          </cell>
          <cell r="D964" t="str">
            <v>EBM</v>
          </cell>
          <cell r="E964" t="str">
            <v>HDPE5403+LDPE265YZ</v>
          </cell>
          <cell r="F964">
            <v>29.5</v>
          </cell>
          <cell r="G964"/>
          <cell r="H964">
            <v>30.72</v>
          </cell>
          <cell r="I964">
            <v>23</v>
          </cell>
        </row>
        <row r="965">
          <cell r="A965">
            <v>552986</v>
          </cell>
          <cell r="B965" t="str">
            <v>EBK38-0375-K-Q-BL-PE(S0376)</v>
          </cell>
          <cell r="C965">
            <v>2</v>
          </cell>
          <cell r="D965" t="str">
            <v>EBM</v>
          </cell>
          <cell r="E965" t="str">
            <v>HDPE5403+LDPE265YZ</v>
          </cell>
          <cell r="F965">
            <v>29.5</v>
          </cell>
          <cell r="G965"/>
          <cell r="H965">
            <v>38.35</v>
          </cell>
          <cell r="I965">
            <v>23</v>
          </cell>
        </row>
        <row r="966">
          <cell r="A966">
            <v>474380</v>
          </cell>
          <cell r="B966" t="str">
            <v>EBK38-0375-K-Q-BR-PP(S0376)</v>
          </cell>
          <cell r="C966">
            <v>2</v>
          </cell>
          <cell r="D966" t="str">
            <v>EBM</v>
          </cell>
          <cell r="E966" t="str">
            <v>PP855</v>
          </cell>
          <cell r="F966">
            <v>30</v>
          </cell>
          <cell r="G966"/>
          <cell r="H966">
            <v>30</v>
          </cell>
          <cell r="I966">
            <v>23</v>
          </cell>
        </row>
        <row r="967">
          <cell r="A967">
            <v>454227</v>
          </cell>
          <cell r="B967" t="str">
            <v>EBK38-0375-K-Q-YL-PE(S0376)</v>
          </cell>
          <cell r="C967">
            <v>2</v>
          </cell>
          <cell r="D967" t="str">
            <v>EBM</v>
          </cell>
          <cell r="E967" t="str">
            <v>HDPE5403+LDPE265YZ</v>
          </cell>
          <cell r="F967">
            <v>29.5</v>
          </cell>
          <cell r="G967"/>
          <cell r="H967">
            <v>38.35</v>
          </cell>
          <cell r="I967">
            <v>23</v>
          </cell>
        </row>
        <row r="968">
          <cell r="A968">
            <v>605461</v>
          </cell>
          <cell r="B968" t="str">
            <v>EBK38-0375-K-Q-NA-PP(S0376)</v>
          </cell>
          <cell r="C968">
            <v>2</v>
          </cell>
          <cell r="D968" t="str">
            <v>EBM</v>
          </cell>
          <cell r="E968" t="str">
            <v>PP855</v>
          </cell>
          <cell r="F968">
            <v>29.5</v>
          </cell>
          <cell r="G968"/>
          <cell r="H968">
            <v>38.35</v>
          </cell>
          <cell r="I968">
            <v>23</v>
          </cell>
        </row>
        <row r="969">
          <cell r="A969">
            <v>576247</v>
          </cell>
          <cell r="B969" t="str">
            <v>EBK38-0450-S-S-NA-PP</v>
          </cell>
          <cell r="C969">
            <v>2</v>
          </cell>
          <cell r="D969" t="str">
            <v>EBM</v>
          </cell>
          <cell r="E969" t="str">
            <v>PP855</v>
          </cell>
          <cell r="F969">
            <v>50</v>
          </cell>
          <cell r="G969"/>
          <cell r="H969">
            <v>40</v>
          </cell>
          <cell r="I969">
            <v>25</v>
          </cell>
        </row>
        <row r="970">
          <cell r="A970">
            <v>453930</v>
          </cell>
          <cell r="B970" t="str">
            <v>EBK38-0500-K-Q-BE-PE(S0576)</v>
          </cell>
          <cell r="C970">
            <v>2</v>
          </cell>
          <cell r="D970" t="str">
            <v>EBM</v>
          </cell>
          <cell r="E970" t="str">
            <v>HDPE5403+LDPE265YZ</v>
          </cell>
          <cell r="F970">
            <v>39.5</v>
          </cell>
          <cell r="G970"/>
          <cell r="H970">
            <v>56.9</v>
          </cell>
          <cell r="I970">
            <v>21.2</v>
          </cell>
        </row>
        <row r="971">
          <cell r="A971">
            <v>453931</v>
          </cell>
          <cell r="B971" t="str">
            <v>EBK38-0500-K-Q-BR-PE(S0576)</v>
          </cell>
          <cell r="C971">
            <v>2</v>
          </cell>
          <cell r="D971" t="str">
            <v>EBM</v>
          </cell>
          <cell r="E971" t="str">
            <v>HDPE5403+LDPE265YZ</v>
          </cell>
          <cell r="F971">
            <v>39.5</v>
          </cell>
          <cell r="G971"/>
          <cell r="H971">
            <v>59.4</v>
          </cell>
          <cell r="I971">
            <v>21.2</v>
          </cell>
        </row>
        <row r="972">
          <cell r="A972">
            <v>453932</v>
          </cell>
          <cell r="B972" t="str">
            <v>EBK38-0500-K-Q-NA-PE(S0576)</v>
          </cell>
          <cell r="C972">
            <v>2</v>
          </cell>
          <cell r="D972" t="str">
            <v>EBM</v>
          </cell>
          <cell r="E972" t="str">
            <v>HDPE5403+LDPE265YZ</v>
          </cell>
          <cell r="F972">
            <v>39.5</v>
          </cell>
          <cell r="G972"/>
          <cell r="H972">
            <v>56.9</v>
          </cell>
          <cell r="I972">
            <v>22.3</v>
          </cell>
        </row>
        <row r="973">
          <cell r="A973">
            <v>453933</v>
          </cell>
          <cell r="B973" t="str">
            <v>EBK38-0500-K-Q-YL-PE(S0576)</v>
          </cell>
          <cell r="C973">
            <v>2</v>
          </cell>
          <cell r="D973" t="str">
            <v>EBM</v>
          </cell>
          <cell r="E973" t="str">
            <v>HDPE5403+LDPE265YZ</v>
          </cell>
          <cell r="F973">
            <v>39.5</v>
          </cell>
          <cell r="G973"/>
          <cell r="H973">
            <v>59</v>
          </cell>
          <cell r="I973">
            <v>21.2</v>
          </cell>
        </row>
        <row r="974">
          <cell r="A974">
            <v>580564</v>
          </cell>
          <cell r="B974" t="str">
            <v>EBK38-1000-K-S-WH-PE(S1017)</v>
          </cell>
          <cell r="C974">
            <v>2</v>
          </cell>
          <cell r="D974" t="str">
            <v>EBM</v>
          </cell>
          <cell r="E974" t="str">
            <v>MARLEX6007</v>
          </cell>
          <cell r="F974">
            <v>62.7</v>
          </cell>
          <cell r="G974"/>
          <cell r="H974">
            <v>89</v>
          </cell>
          <cell r="I974">
            <v>26</v>
          </cell>
        </row>
        <row r="975">
          <cell r="A975">
            <v>587447</v>
          </cell>
          <cell r="B975" t="str">
            <v>EBK38-2000-K-R-WH-PE-M&amp;G</v>
          </cell>
          <cell r="C975">
            <v>1</v>
          </cell>
          <cell r="D975" t="str">
            <v>EBM</v>
          </cell>
          <cell r="E975" t="str">
            <v>MARLEX6007</v>
          </cell>
          <cell r="F975">
            <v>130</v>
          </cell>
          <cell r="G975"/>
          <cell r="H975">
            <v>148.69999999999999</v>
          </cell>
          <cell r="I975">
            <v>38</v>
          </cell>
        </row>
        <row r="976">
          <cell r="A976">
            <v>618578</v>
          </cell>
          <cell r="B976" t="str">
            <v>EBK38-2000-K-R-BE-PE-M&amp;G</v>
          </cell>
          <cell r="C976">
            <v>1</v>
          </cell>
          <cell r="D976" t="str">
            <v>EBM</v>
          </cell>
          <cell r="E976" t="str">
            <v>MARLEX6007</v>
          </cell>
          <cell r="F976">
            <v>130</v>
          </cell>
          <cell r="G976"/>
          <cell r="H976">
            <v>148.69999999999999</v>
          </cell>
          <cell r="I976">
            <v>38</v>
          </cell>
        </row>
        <row r="977">
          <cell r="A977">
            <v>618580</v>
          </cell>
          <cell r="B977" t="str">
            <v>EBK38-2000-K-R-WH-PE-R2-M&amp;G</v>
          </cell>
          <cell r="C977">
            <v>1</v>
          </cell>
          <cell r="D977" t="str">
            <v>EBM</v>
          </cell>
          <cell r="E977" t="str">
            <v>MARLEX6007</v>
          </cell>
          <cell r="F977">
            <v>130</v>
          </cell>
          <cell r="G977"/>
          <cell r="H977">
            <v>148.69999999999999</v>
          </cell>
          <cell r="I977">
            <v>38</v>
          </cell>
        </row>
        <row r="978">
          <cell r="A978">
            <v>617187</v>
          </cell>
          <cell r="B978" t="str">
            <v>EBK38-2012-K-S-CREAM-HDPE-DVG</v>
          </cell>
          <cell r="C978">
            <v>1</v>
          </cell>
          <cell r="D978" t="str">
            <v>EBM</v>
          </cell>
          <cell r="E978" t="str">
            <v>MARLEX6007</v>
          </cell>
          <cell r="F978">
            <v>122</v>
          </cell>
          <cell r="G978"/>
          <cell r="H978">
            <v>180</v>
          </cell>
          <cell r="I978">
            <v>34</v>
          </cell>
        </row>
        <row r="979">
          <cell r="A979">
            <v>573943</v>
          </cell>
          <cell r="B979" t="str">
            <v>EBK38-2000-K-S-WH-PE(S2012)</v>
          </cell>
          <cell r="C979">
            <v>1</v>
          </cell>
          <cell r="D979" t="str">
            <v>EBM</v>
          </cell>
          <cell r="E979" t="str">
            <v>MARLEX6007</v>
          </cell>
          <cell r="F979">
            <v>122</v>
          </cell>
          <cell r="G979"/>
          <cell r="H979">
            <v>180</v>
          </cell>
          <cell r="I979">
            <v>34</v>
          </cell>
        </row>
        <row r="980">
          <cell r="A980">
            <v>617187</v>
          </cell>
          <cell r="B980" t="str">
            <v>EBK38-2000-K-S-CREAM-PE DVG</v>
          </cell>
          <cell r="C980">
            <v>1</v>
          </cell>
          <cell r="D980" t="str">
            <v>EBM</v>
          </cell>
          <cell r="E980" t="str">
            <v>MARLEX6007</v>
          </cell>
          <cell r="F980">
            <v>122</v>
          </cell>
          <cell r="G980"/>
          <cell r="H980">
            <v>180</v>
          </cell>
          <cell r="I980">
            <v>34</v>
          </cell>
        </row>
        <row r="981">
          <cell r="A981">
            <v>580580</v>
          </cell>
          <cell r="B981" t="str">
            <v>EBK38-2017-K-S-WHITE-PE(S2017)</v>
          </cell>
          <cell r="C981">
            <v>1</v>
          </cell>
          <cell r="D981" t="str">
            <v>EBM</v>
          </cell>
          <cell r="E981" t="str">
            <v>MARLEX6007</v>
          </cell>
          <cell r="F981">
            <v>103</v>
          </cell>
          <cell r="G981"/>
          <cell r="H981">
            <v>139.80000000000001</v>
          </cell>
          <cell r="I981">
            <v>33</v>
          </cell>
        </row>
        <row r="982">
          <cell r="A982">
            <v>593730</v>
          </cell>
          <cell r="B982" t="str">
            <v>EBK38-2200-K-S-NA-PE(S2200)</v>
          </cell>
          <cell r="C982">
            <v>1</v>
          </cell>
          <cell r="D982" t="str">
            <v>EBM</v>
          </cell>
          <cell r="E982" t="str">
            <v>MARLEX6007</v>
          </cell>
          <cell r="F982">
            <v>103</v>
          </cell>
          <cell r="G982"/>
          <cell r="H982"/>
          <cell r="I982">
            <v>33</v>
          </cell>
        </row>
        <row r="983">
          <cell r="A983">
            <v>578476</v>
          </cell>
          <cell r="B983" t="str">
            <v>ECT28-0360-KF-S-NA-PP</v>
          </cell>
          <cell r="C983">
            <v>4</v>
          </cell>
          <cell r="D983" t="str">
            <v>EBM</v>
          </cell>
          <cell r="E983" t="str">
            <v>PP855</v>
          </cell>
          <cell r="F983">
            <v>30</v>
          </cell>
          <cell r="G983"/>
          <cell r="H983"/>
          <cell r="I983">
            <v>30</v>
          </cell>
        </row>
        <row r="984">
          <cell r="A984">
            <v>609313</v>
          </cell>
          <cell r="B984" t="str">
            <v>J550S HAZELNUTS</v>
          </cell>
          <cell r="C984">
            <v>4</v>
          </cell>
          <cell r="D984" t="str">
            <v>ISBM</v>
          </cell>
          <cell r="E984" t="str">
            <v>PET</v>
          </cell>
          <cell r="F984">
            <v>35</v>
          </cell>
          <cell r="G984"/>
          <cell r="H984">
            <v>35</v>
          </cell>
          <cell r="I984">
            <v>36</v>
          </cell>
        </row>
        <row r="985">
          <cell r="A985">
            <v>609314</v>
          </cell>
          <cell r="B985" t="str">
            <v>J550S FRUIT &amp; NUTS</v>
          </cell>
          <cell r="C985">
            <v>4</v>
          </cell>
          <cell r="D985" t="str">
            <v>ISBM</v>
          </cell>
          <cell r="E985" t="str">
            <v>PET</v>
          </cell>
          <cell r="F985">
            <v>35</v>
          </cell>
          <cell r="G985"/>
          <cell r="H985">
            <v>35</v>
          </cell>
          <cell r="I985">
            <v>9</v>
          </cell>
        </row>
        <row r="986">
          <cell r="A986">
            <v>591265</v>
          </cell>
          <cell r="B986" t="str">
            <v>JG63-0175-R-R-AM KNR PED CHIC MYSG(BVI)</v>
          </cell>
          <cell r="C986">
            <v>1</v>
          </cell>
          <cell r="D986" t="str">
            <v>ISBM</v>
          </cell>
          <cell r="E986" t="str">
            <v>PET</v>
          </cell>
          <cell r="F986">
            <v>24</v>
          </cell>
          <cell r="G986"/>
          <cell r="H986">
            <v>24</v>
          </cell>
          <cell r="I986">
            <v>9</v>
          </cell>
        </row>
        <row r="987">
          <cell r="A987">
            <v>591266</v>
          </cell>
          <cell r="B987" t="str">
            <v>JG63-0175-R-R-AM KNR I.BILIS MYSG (BVI)</v>
          </cell>
          <cell r="C987">
            <v>1</v>
          </cell>
          <cell r="D987" t="str">
            <v>ISBM</v>
          </cell>
          <cell r="E987" t="str">
            <v>PET</v>
          </cell>
          <cell r="F987">
            <v>24</v>
          </cell>
          <cell r="G987"/>
          <cell r="H987">
            <v>24</v>
          </cell>
          <cell r="I987">
            <v>9</v>
          </cell>
        </row>
        <row r="988">
          <cell r="A988">
            <v>532981</v>
          </cell>
          <cell r="B988" t="str">
            <v>JG63-0175-R-R-AM</v>
          </cell>
          <cell r="C988">
            <v>4</v>
          </cell>
          <cell r="D988" t="str">
            <v>ISBM</v>
          </cell>
          <cell r="E988" t="str">
            <v>PET</v>
          </cell>
          <cell r="F988">
            <v>24</v>
          </cell>
          <cell r="G988"/>
          <cell r="H988">
            <v>24.45</v>
          </cell>
          <cell r="I988">
            <v>20</v>
          </cell>
        </row>
        <row r="989">
          <cell r="A989">
            <v>591265</v>
          </cell>
          <cell r="B989" t="str">
            <v>JG63-0175-R-R-AM KNR PED CHIC MYSG(BVI)</v>
          </cell>
          <cell r="C989">
            <v>1</v>
          </cell>
          <cell r="D989" t="str">
            <v>ISBM</v>
          </cell>
          <cell r="E989" t="str">
            <v>PET</v>
          </cell>
          <cell r="F989">
            <v>24</v>
          </cell>
          <cell r="G989"/>
          <cell r="H989">
            <v>24.45</v>
          </cell>
          <cell r="I989">
            <v>9</v>
          </cell>
        </row>
        <row r="990">
          <cell r="A990">
            <v>555879</v>
          </cell>
          <cell r="B990" t="str">
            <v>JG63-0175-R-R-AM KNR PED CHIC NAMSG 120G (BVI)</v>
          </cell>
          <cell r="C990">
            <v>1</v>
          </cell>
          <cell r="D990" t="str">
            <v>ISBM</v>
          </cell>
          <cell r="E990" t="str">
            <v>PET</v>
          </cell>
          <cell r="F990">
            <v>24</v>
          </cell>
          <cell r="G990"/>
          <cell r="H990">
            <v>24.45</v>
          </cell>
          <cell r="I990">
            <v>9</v>
          </cell>
        </row>
        <row r="991">
          <cell r="A991">
            <v>591269</v>
          </cell>
          <cell r="B991" t="str">
            <v>JG63-0175-R-R-AM KNR PED CHIC NAMSG(BVI)</v>
          </cell>
          <cell r="C991">
            <v>1</v>
          </cell>
          <cell r="D991" t="str">
            <v>ISBM</v>
          </cell>
          <cell r="E991" t="str">
            <v>PET</v>
          </cell>
          <cell r="F991">
            <v>24</v>
          </cell>
          <cell r="G991"/>
          <cell r="H991">
            <v>24.45</v>
          </cell>
          <cell r="I991">
            <v>9</v>
          </cell>
        </row>
        <row r="992">
          <cell r="A992">
            <v>591268</v>
          </cell>
          <cell r="B992" t="str">
            <v>JG63-0175-R-R-AM KNR PED TOM YAM(BVI)</v>
          </cell>
          <cell r="C992">
            <v>1</v>
          </cell>
          <cell r="D992" t="str">
            <v>ISBM</v>
          </cell>
          <cell r="E992" t="str">
            <v>PET</v>
          </cell>
          <cell r="F992">
            <v>24</v>
          </cell>
          <cell r="G992"/>
          <cell r="H992">
            <v>24</v>
          </cell>
          <cell r="I992">
            <v>9</v>
          </cell>
        </row>
        <row r="993">
          <cell r="A993">
            <v>591266</v>
          </cell>
          <cell r="B993" t="str">
            <v>JG63-0175-R-R-AM KNR PWD I.BILIS MYSG 120G(BVI)</v>
          </cell>
          <cell r="C993">
            <v>1</v>
          </cell>
          <cell r="D993" t="str">
            <v>ISBM</v>
          </cell>
          <cell r="E993" t="str">
            <v>PET</v>
          </cell>
          <cell r="F993">
            <v>24</v>
          </cell>
          <cell r="G993"/>
          <cell r="H993">
            <v>24</v>
          </cell>
          <cell r="I993">
            <v>9</v>
          </cell>
        </row>
        <row r="994">
          <cell r="A994">
            <v>579471</v>
          </cell>
          <cell r="B994" t="str">
            <v>JJ63-0155-TH-R-CL</v>
          </cell>
          <cell r="C994">
            <v>4</v>
          </cell>
          <cell r="D994" t="str">
            <v>ISBM</v>
          </cell>
          <cell r="E994" t="str">
            <v>PET</v>
          </cell>
          <cell r="F994">
            <v>24</v>
          </cell>
          <cell r="G994"/>
          <cell r="H994">
            <v>24</v>
          </cell>
          <cell r="I994">
            <v>23</v>
          </cell>
        </row>
        <row r="995">
          <cell r="A995">
            <v>531331</v>
          </cell>
          <cell r="B995" t="str">
            <v>JJ63-0175-R-R-CL</v>
          </cell>
          <cell r="C995">
            <v>4</v>
          </cell>
          <cell r="D995" t="str">
            <v>ISBM</v>
          </cell>
          <cell r="E995" t="str">
            <v>PET</v>
          </cell>
          <cell r="F995">
            <v>24</v>
          </cell>
          <cell r="G995"/>
          <cell r="H995">
            <v>24</v>
          </cell>
          <cell r="I995">
            <v>22.08</v>
          </cell>
        </row>
        <row r="996">
          <cell r="A996">
            <v>325299</v>
          </cell>
          <cell r="B996" t="str">
            <v>JJ63-0190-EH-Q-CL-HW</v>
          </cell>
          <cell r="C996">
            <v>4</v>
          </cell>
          <cell r="D996" t="str">
            <v>ISBM</v>
          </cell>
          <cell r="E996" t="str">
            <v>PET</v>
          </cell>
          <cell r="F996">
            <v>24</v>
          </cell>
          <cell r="G996"/>
          <cell r="H996">
            <v>24</v>
          </cell>
          <cell r="I996">
            <v>21.34</v>
          </cell>
        </row>
        <row r="997">
          <cell r="A997">
            <v>322409</v>
          </cell>
          <cell r="B997" t="str">
            <v>JJ63-0190-E-Q-CL-LW</v>
          </cell>
          <cell r="C997">
            <v>4</v>
          </cell>
          <cell r="D997" t="str">
            <v>ISBM</v>
          </cell>
          <cell r="E997" t="str">
            <v>PET</v>
          </cell>
          <cell r="F997">
            <v>24</v>
          </cell>
          <cell r="G997"/>
          <cell r="H997">
            <v>24</v>
          </cell>
          <cell r="I997">
            <v>20</v>
          </cell>
        </row>
        <row r="998">
          <cell r="A998">
            <v>616191</v>
          </cell>
          <cell r="B998" t="str">
            <v>JJ63-0190-E-Q-CL-LW CRISPY (ASEM)V3</v>
          </cell>
          <cell r="C998">
            <v>4</v>
          </cell>
          <cell r="D998" t="str">
            <v>ISBM</v>
          </cell>
          <cell r="E998" t="str">
            <v>PET</v>
          </cell>
          <cell r="F998">
            <v>24</v>
          </cell>
          <cell r="G998"/>
          <cell r="H998">
            <v>24</v>
          </cell>
          <cell r="I998">
            <v>9</v>
          </cell>
        </row>
        <row r="999">
          <cell r="A999">
            <v>623876</v>
          </cell>
          <cell r="B999" t="str">
            <v>JJ63-0190-E-Q-CL-LW CRISPY (ASEM)V4</v>
          </cell>
          <cell r="C999">
            <v>1</v>
          </cell>
          <cell r="D999" t="str">
            <v>ISBM</v>
          </cell>
          <cell r="E999" t="str">
            <v>PET</v>
          </cell>
          <cell r="F999">
            <v>24</v>
          </cell>
          <cell r="G999"/>
          <cell r="H999">
            <v>24</v>
          </cell>
          <cell r="I999">
            <v>9</v>
          </cell>
        </row>
        <row r="1000">
          <cell r="A1000">
            <v>623880</v>
          </cell>
          <cell r="B1000" t="str">
            <v>JJ63-0190-E-Q-CL-LW HAZEL NUT (ASEM)</v>
          </cell>
          <cell r="C1000">
            <v>1</v>
          </cell>
          <cell r="D1000" t="str">
            <v>ISBM</v>
          </cell>
          <cell r="E1000" t="str">
            <v>PET</v>
          </cell>
          <cell r="F1000">
            <v>24</v>
          </cell>
          <cell r="G1000"/>
          <cell r="H1000">
            <v>24</v>
          </cell>
          <cell r="I1000">
            <v>9</v>
          </cell>
        </row>
        <row r="1001">
          <cell r="A1001">
            <v>623882</v>
          </cell>
          <cell r="B1001" t="str">
            <v>JJ63-0190-E-Q-CL-LW SALT CML  (ASEM)</v>
          </cell>
          <cell r="C1001">
            <v>1</v>
          </cell>
          <cell r="D1001" t="str">
            <v>ISBM</v>
          </cell>
          <cell r="E1001" t="str">
            <v>PET</v>
          </cell>
          <cell r="F1001">
            <v>24</v>
          </cell>
          <cell r="G1001"/>
          <cell r="H1001">
            <v>24</v>
          </cell>
          <cell r="I1001">
            <v>9</v>
          </cell>
        </row>
        <row r="1002">
          <cell r="A1002">
            <v>322412</v>
          </cell>
          <cell r="B1002" t="str">
            <v>JJ63-0200-R-R-CL</v>
          </cell>
          <cell r="C1002">
            <v>4</v>
          </cell>
          <cell r="D1002" t="str">
            <v>ISBM</v>
          </cell>
          <cell r="E1002" t="str">
            <v>PET</v>
          </cell>
          <cell r="F1002">
            <v>24</v>
          </cell>
          <cell r="G1002"/>
          <cell r="H1002">
            <v>24.3</v>
          </cell>
          <cell r="I1002">
            <v>20</v>
          </cell>
        </row>
        <row r="1003">
          <cell r="A1003">
            <v>330920</v>
          </cell>
          <cell r="B1003" t="str">
            <v>JJ63-0200-R-R-CL FANCY FONDANT (ASEM)</v>
          </cell>
          <cell r="C1003">
            <v>1</v>
          </cell>
          <cell r="D1003" t="str">
            <v>ISBM</v>
          </cell>
          <cell r="E1003" t="str">
            <v>PET</v>
          </cell>
          <cell r="F1003">
            <v>24</v>
          </cell>
          <cell r="G1003"/>
          <cell r="H1003">
            <v>24</v>
          </cell>
          <cell r="I1003">
            <v>36</v>
          </cell>
        </row>
        <row r="1004">
          <cell r="A1004">
            <v>591270</v>
          </cell>
          <cell r="B1004" t="str">
            <v>JG63-0175-R-R-AM KNR PWD I.BILIS NAMSG(BVI)</v>
          </cell>
          <cell r="C1004">
            <v>1</v>
          </cell>
          <cell r="D1004" t="str">
            <v>ISBM</v>
          </cell>
          <cell r="E1004" t="str">
            <v>PET</v>
          </cell>
          <cell r="F1004">
            <v>24</v>
          </cell>
          <cell r="G1004"/>
          <cell r="H1004">
            <v>24</v>
          </cell>
          <cell r="I1004">
            <v>9</v>
          </cell>
        </row>
        <row r="1005">
          <cell r="A1005">
            <v>322411</v>
          </cell>
          <cell r="B1005" t="str">
            <v>JJ63-0200-S-Q-CL</v>
          </cell>
          <cell r="C1005">
            <v>4</v>
          </cell>
          <cell r="D1005" t="str">
            <v>ISBM</v>
          </cell>
          <cell r="E1005" t="str">
            <v>PET</v>
          </cell>
          <cell r="F1005">
            <v>24</v>
          </cell>
          <cell r="G1005"/>
          <cell r="H1005">
            <v>24</v>
          </cell>
          <cell r="I1005">
            <v>20.12</v>
          </cell>
        </row>
        <row r="1006">
          <cell r="A1006">
            <v>324169</v>
          </cell>
          <cell r="B1006" t="str">
            <v>JJ63-0235-RN-R-BR</v>
          </cell>
          <cell r="C1006">
            <v>4</v>
          </cell>
          <cell r="D1006" t="str">
            <v>ISBM</v>
          </cell>
          <cell r="E1006" t="str">
            <v>PET</v>
          </cell>
          <cell r="F1006">
            <v>26.900000000000002</v>
          </cell>
          <cell r="G1006"/>
          <cell r="H1006">
            <v>24.8</v>
          </cell>
          <cell r="I1006">
            <v>20.12</v>
          </cell>
        </row>
        <row r="1007">
          <cell r="A1007">
            <v>322417</v>
          </cell>
          <cell r="B1007" t="str">
            <v>JJ63-0235-RN-R-CL</v>
          </cell>
          <cell r="C1007">
            <v>4</v>
          </cell>
          <cell r="D1007" t="str">
            <v>ISBM</v>
          </cell>
          <cell r="E1007" t="str">
            <v>PET</v>
          </cell>
          <cell r="F1007">
            <v>26.9</v>
          </cell>
          <cell r="G1007"/>
          <cell r="H1007">
            <v>24.8</v>
          </cell>
          <cell r="I1007">
            <v>20.12</v>
          </cell>
        </row>
        <row r="1008">
          <cell r="A1008">
            <v>322416</v>
          </cell>
          <cell r="B1008" t="str">
            <v>JJ63-0235-R-R-CL</v>
          </cell>
          <cell r="C1008">
            <v>4</v>
          </cell>
          <cell r="D1008" t="str">
            <v>ISBM</v>
          </cell>
          <cell r="E1008" t="str">
            <v>PET</v>
          </cell>
          <cell r="F1008">
            <v>24</v>
          </cell>
          <cell r="G1008"/>
          <cell r="H1008">
            <v>24</v>
          </cell>
          <cell r="I1008">
            <v>22</v>
          </cell>
        </row>
        <row r="1009">
          <cell r="A1009">
            <v>661980</v>
          </cell>
          <cell r="B1009" t="str">
            <v>JJ63-0310-R-R-BR</v>
          </cell>
          <cell r="C1009">
            <v>4</v>
          </cell>
          <cell r="D1009" t="str">
            <v>ISBM</v>
          </cell>
          <cell r="E1009" t="str">
            <v>PET</v>
          </cell>
          <cell r="F1009">
            <v>24.9</v>
          </cell>
          <cell r="G1009"/>
          <cell r="H1009">
            <v>24</v>
          </cell>
          <cell r="I1009">
            <v>22</v>
          </cell>
        </row>
        <row r="1010">
          <cell r="A1010">
            <v>322419</v>
          </cell>
          <cell r="B1010" t="str">
            <v>JJ63-0240-R-R-CL</v>
          </cell>
          <cell r="C1010">
            <v>4</v>
          </cell>
          <cell r="D1010" t="str">
            <v>ISBM</v>
          </cell>
          <cell r="E1010" t="str">
            <v>PET</v>
          </cell>
          <cell r="F1010">
            <v>24.8</v>
          </cell>
          <cell r="G1010"/>
          <cell r="H1010">
            <v>24.18</v>
          </cell>
          <cell r="I1010">
            <v>18.2</v>
          </cell>
        </row>
        <row r="1011">
          <cell r="A1011">
            <v>567312</v>
          </cell>
          <cell r="B1011" t="str">
            <v>JJ63-0240-R-R-CL GOLD PAINT (ASEM)</v>
          </cell>
          <cell r="C1011">
            <v>4</v>
          </cell>
          <cell r="D1011" t="str">
            <v>ISBM</v>
          </cell>
          <cell r="E1011" t="str">
            <v>PET</v>
          </cell>
          <cell r="F1011">
            <v>24.8</v>
          </cell>
          <cell r="G1011"/>
          <cell r="H1011">
            <v>24.18</v>
          </cell>
          <cell r="I1011">
            <v>9</v>
          </cell>
        </row>
        <row r="1012">
          <cell r="A1012">
            <v>616595</v>
          </cell>
          <cell r="B1012" t="str">
            <v>JJ63-0240-R-R-CL-ANTILEAK WF (ASEM)</v>
          </cell>
          <cell r="C1012">
            <v>4</v>
          </cell>
          <cell r="D1012" t="str">
            <v>ISBM</v>
          </cell>
          <cell r="E1012" t="str">
            <v>PET</v>
          </cell>
          <cell r="F1012">
            <v>24.8</v>
          </cell>
          <cell r="G1012"/>
          <cell r="H1012">
            <v>24.18</v>
          </cell>
          <cell r="I1012">
            <v>18.2</v>
          </cell>
        </row>
        <row r="1013">
          <cell r="A1013">
            <v>611060</v>
          </cell>
          <cell r="B1013" t="str">
            <v>JJ63-0240-RS-R-CL-HW-HIGH DOME</v>
          </cell>
          <cell r="C1013">
            <v>4</v>
          </cell>
          <cell r="D1013" t="str">
            <v>ISBM</v>
          </cell>
          <cell r="E1013" t="str">
            <v>PET</v>
          </cell>
          <cell r="F1013">
            <v>34</v>
          </cell>
          <cell r="G1013"/>
          <cell r="H1013">
            <v>34</v>
          </cell>
          <cell r="I1013">
            <v>22</v>
          </cell>
        </row>
        <row r="1014">
          <cell r="A1014">
            <v>322420</v>
          </cell>
          <cell r="B1014" t="str">
            <v>JJ63-0240-RS-R-CL</v>
          </cell>
          <cell r="C1014">
            <v>4</v>
          </cell>
          <cell r="D1014" t="str">
            <v>ISBM</v>
          </cell>
          <cell r="E1014" t="str">
            <v>PET</v>
          </cell>
          <cell r="F1014">
            <v>34</v>
          </cell>
          <cell r="G1014"/>
          <cell r="H1014">
            <v>34</v>
          </cell>
          <cell r="I1014">
            <v>22</v>
          </cell>
        </row>
        <row r="1015">
          <cell r="A1015">
            <v>324174</v>
          </cell>
          <cell r="B1015" t="str">
            <v>JJ63-0250-R-R-CL</v>
          </cell>
          <cell r="C1015">
            <v>4</v>
          </cell>
          <cell r="D1015" t="str">
            <v>ISBM</v>
          </cell>
          <cell r="E1015" t="str">
            <v>PET</v>
          </cell>
          <cell r="F1015">
            <v>24</v>
          </cell>
          <cell r="G1015"/>
          <cell r="H1015">
            <v>24</v>
          </cell>
          <cell r="I1015">
            <v>20.12</v>
          </cell>
        </row>
        <row r="1016">
          <cell r="A1016">
            <v>326794</v>
          </cell>
          <cell r="B1016" t="str">
            <v>JJ63-0250-S-Q-BR</v>
          </cell>
          <cell r="C1016">
            <v>4</v>
          </cell>
          <cell r="D1016" t="str">
            <v>ISBM</v>
          </cell>
          <cell r="E1016" t="str">
            <v>PET</v>
          </cell>
          <cell r="F1016">
            <v>34.5</v>
          </cell>
          <cell r="G1016"/>
          <cell r="H1016">
            <v>33</v>
          </cell>
          <cell r="I1016">
            <v>21.68</v>
          </cell>
        </row>
        <row r="1017">
          <cell r="A1017">
            <v>619726</v>
          </cell>
          <cell r="B1017" t="str">
            <v>C25-FLIP TOP SNAP ON ROUND-RED</v>
          </cell>
          <cell r="C1017">
            <v>8</v>
          </cell>
          <cell r="D1017" t="str">
            <v>INJ</v>
          </cell>
          <cell r="E1017" t="str">
            <v>LDPE</v>
          </cell>
          <cell r="F1017">
            <v>4</v>
          </cell>
          <cell r="G1017"/>
          <cell r="H1017">
            <v>4</v>
          </cell>
          <cell r="I1017">
            <v>20</v>
          </cell>
        </row>
        <row r="1018">
          <cell r="A1018">
            <v>361597</v>
          </cell>
          <cell r="B1018" t="str">
            <v>JJ63-0250-S-Q-BR-HW</v>
          </cell>
          <cell r="C1018">
            <v>4</v>
          </cell>
          <cell r="D1018" t="str">
            <v>ISBM</v>
          </cell>
          <cell r="E1018" t="str">
            <v>PET</v>
          </cell>
          <cell r="F1018">
            <v>34</v>
          </cell>
          <cell r="G1018"/>
          <cell r="H1018">
            <v>33</v>
          </cell>
          <cell r="I1018">
            <v>21.68</v>
          </cell>
        </row>
        <row r="1019">
          <cell r="A1019">
            <v>522196</v>
          </cell>
          <cell r="B1019" t="str">
            <v>JJ63-0250-S-Q-BR-HW (KIWI LOGO)</v>
          </cell>
          <cell r="C1019">
            <v>4</v>
          </cell>
          <cell r="D1019" t="str">
            <v>ISBM</v>
          </cell>
          <cell r="E1019" t="str">
            <v>PET</v>
          </cell>
          <cell r="F1019">
            <v>34</v>
          </cell>
          <cell r="G1019"/>
          <cell r="H1019">
            <v>24</v>
          </cell>
          <cell r="I1019">
            <v>21.68</v>
          </cell>
        </row>
        <row r="1020">
          <cell r="A1020">
            <v>322422</v>
          </cell>
          <cell r="B1020" t="str">
            <v>JJ63-0250-S-Q-CL-HW</v>
          </cell>
          <cell r="C1020">
            <v>4</v>
          </cell>
          <cell r="D1020" t="str">
            <v>ISBM</v>
          </cell>
          <cell r="E1020" t="str">
            <v>PET</v>
          </cell>
          <cell r="F1020">
            <v>34</v>
          </cell>
          <cell r="G1020"/>
          <cell r="H1020">
            <v>34</v>
          </cell>
          <cell r="I1020">
            <v>21.68</v>
          </cell>
        </row>
        <row r="1021">
          <cell r="A1021">
            <v>555586</v>
          </cell>
          <cell r="B1021" t="str">
            <v>JJ63-0250-S-Q-CL-LW</v>
          </cell>
          <cell r="C1021">
            <v>4</v>
          </cell>
          <cell r="D1021" t="str">
            <v>ISBM</v>
          </cell>
          <cell r="E1021" t="str">
            <v>PET</v>
          </cell>
          <cell r="F1021">
            <v>24</v>
          </cell>
          <cell r="G1021"/>
          <cell r="H1021">
            <v>24.3</v>
          </cell>
          <cell r="I1021">
            <v>21.68</v>
          </cell>
        </row>
        <row r="1022">
          <cell r="A1022">
            <v>322424</v>
          </cell>
          <cell r="B1022" t="str">
            <v>JJ63-0270-E-Q-CL</v>
          </cell>
          <cell r="C1022">
            <v>4</v>
          </cell>
          <cell r="D1022" t="str">
            <v>ISBM</v>
          </cell>
          <cell r="E1022" t="str">
            <v>PET</v>
          </cell>
          <cell r="F1022">
            <v>34.5</v>
          </cell>
          <cell r="G1022"/>
          <cell r="H1022">
            <v>34.5</v>
          </cell>
          <cell r="I1022">
            <v>18</v>
          </cell>
        </row>
        <row r="1023">
          <cell r="A1023">
            <v>359999</v>
          </cell>
          <cell r="B1023" t="str">
            <v>JJ63-0275-FB-R-CL</v>
          </cell>
          <cell r="C1023">
            <v>4</v>
          </cell>
          <cell r="D1023" t="str">
            <v>ISBM</v>
          </cell>
          <cell r="E1023" t="str">
            <v>PET</v>
          </cell>
          <cell r="F1023">
            <v>24.3</v>
          </cell>
          <cell r="G1023"/>
          <cell r="H1023">
            <v>24</v>
          </cell>
          <cell r="I1023">
            <v>22</v>
          </cell>
        </row>
        <row r="1024">
          <cell r="A1024">
            <v>322425</v>
          </cell>
          <cell r="B1024" t="str">
            <v>JJ63-0275-R-R-CL</v>
          </cell>
          <cell r="C1024">
            <v>4</v>
          </cell>
          <cell r="D1024" t="str">
            <v>ISBM</v>
          </cell>
          <cell r="E1024" t="str">
            <v>PET</v>
          </cell>
          <cell r="F1024">
            <v>24.5</v>
          </cell>
          <cell r="G1024"/>
          <cell r="H1024">
            <v>24.87</v>
          </cell>
          <cell r="I1024">
            <v>16.96</v>
          </cell>
        </row>
        <row r="1025">
          <cell r="A1025">
            <v>385514</v>
          </cell>
          <cell r="B1025" t="str">
            <v>JJ63-0300-DH-R-CL</v>
          </cell>
          <cell r="C1025">
            <v>4</v>
          </cell>
          <cell r="D1025" t="str">
            <v>ISBM</v>
          </cell>
          <cell r="E1025" t="str">
            <v>PET</v>
          </cell>
          <cell r="F1025">
            <v>24</v>
          </cell>
          <cell r="G1025"/>
          <cell r="H1025">
            <v>24</v>
          </cell>
          <cell r="I1025">
            <v>17</v>
          </cell>
        </row>
        <row r="1026">
          <cell r="A1026">
            <v>322430</v>
          </cell>
          <cell r="B1026" t="str">
            <v>JJ63-0300-RH-R-CL</v>
          </cell>
          <cell r="C1026">
            <v>4</v>
          </cell>
          <cell r="D1026" t="str">
            <v>ISBM</v>
          </cell>
          <cell r="E1026" t="str">
            <v>PET</v>
          </cell>
          <cell r="F1026">
            <v>34.5</v>
          </cell>
          <cell r="G1026"/>
          <cell r="H1026">
            <v>34.299999999999997</v>
          </cell>
          <cell r="I1026">
            <v>20</v>
          </cell>
        </row>
        <row r="1027">
          <cell r="A1027">
            <v>322429</v>
          </cell>
          <cell r="B1027" t="str">
            <v>JJ63-0300-R-R-CL</v>
          </cell>
          <cell r="C1027">
            <v>4</v>
          </cell>
          <cell r="D1027" t="str">
            <v>ISBM</v>
          </cell>
          <cell r="E1027" t="str">
            <v>PET</v>
          </cell>
          <cell r="F1027">
            <v>24</v>
          </cell>
          <cell r="G1027"/>
          <cell r="H1027">
            <v>24.93</v>
          </cell>
          <cell r="I1027">
            <v>16.96</v>
          </cell>
        </row>
        <row r="1028">
          <cell r="A1028">
            <v>322431</v>
          </cell>
          <cell r="B1028" t="str">
            <v>JJ63-0310-R-R-CL</v>
          </cell>
          <cell r="C1028">
            <v>4</v>
          </cell>
          <cell r="D1028" t="str">
            <v>ISBM</v>
          </cell>
          <cell r="E1028" t="str">
            <v>PET</v>
          </cell>
          <cell r="F1028">
            <v>24.9</v>
          </cell>
          <cell r="G1028"/>
          <cell r="H1028">
            <v>24.9</v>
          </cell>
          <cell r="I1028">
            <v>20</v>
          </cell>
        </row>
        <row r="1029">
          <cell r="A1029">
            <v>597509</v>
          </cell>
          <cell r="B1029" t="str">
            <v>JJ63-0310-R-R-WH</v>
          </cell>
          <cell r="C1029">
            <v>4</v>
          </cell>
          <cell r="D1029" t="str">
            <v>ISBM</v>
          </cell>
          <cell r="E1029" t="str">
            <v>PET</v>
          </cell>
          <cell r="F1029">
            <v>24.9</v>
          </cell>
          <cell r="G1029"/>
          <cell r="H1029">
            <v>24.9</v>
          </cell>
          <cell r="I1029">
            <v>20</v>
          </cell>
        </row>
        <row r="1030">
          <cell r="A1030">
            <v>597510</v>
          </cell>
          <cell r="B1030" t="str">
            <v>JJ63-0310-R-R-WH (ASEM)</v>
          </cell>
          <cell r="C1030">
            <v>4</v>
          </cell>
          <cell r="D1030" t="str">
            <v>ISBM</v>
          </cell>
          <cell r="E1030" t="str">
            <v>PET</v>
          </cell>
          <cell r="F1030">
            <v>24.9</v>
          </cell>
          <cell r="G1030"/>
          <cell r="H1030">
            <v>24.9</v>
          </cell>
          <cell r="I1030">
            <v>9</v>
          </cell>
        </row>
        <row r="1031">
          <cell r="A1031">
            <v>650112</v>
          </cell>
          <cell r="B1031" t="str">
            <v>JJ63-0310-R-R-WH CHEESE(ASEM)</v>
          </cell>
          <cell r="C1031">
            <v>1</v>
          </cell>
          <cell r="D1031" t="str">
            <v>ISBM</v>
          </cell>
          <cell r="E1031" t="str">
            <v>PET</v>
          </cell>
          <cell r="F1031">
            <v>24.9</v>
          </cell>
          <cell r="G1031"/>
          <cell r="H1031">
            <v>24.9</v>
          </cell>
          <cell r="I1031">
            <v>9</v>
          </cell>
        </row>
        <row r="1032">
          <cell r="A1032">
            <v>322433</v>
          </cell>
          <cell r="B1032" t="str">
            <v>JJ63-0320-R-R-CL</v>
          </cell>
          <cell r="C1032">
            <v>1</v>
          </cell>
          <cell r="D1032" t="str">
            <v>ISBM</v>
          </cell>
          <cell r="E1032" t="str">
            <v>PET</v>
          </cell>
          <cell r="F1032">
            <v>34.5</v>
          </cell>
          <cell r="G1032"/>
          <cell r="H1032">
            <v>34</v>
          </cell>
          <cell r="I1032">
            <v>15.64</v>
          </cell>
        </row>
        <row r="1033">
          <cell r="A1033">
            <v>322432</v>
          </cell>
          <cell r="B1033" t="str">
            <v>JJ63-0320-S-Q-CL</v>
          </cell>
          <cell r="C1033">
            <v>4</v>
          </cell>
          <cell r="D1033" t="str">
            <v>ISBM</v>
          </cell>
          <cell r="E1033" t="str">
            <v>PET</v>
          </cell>
          <cell r="F1033">
            <v>34.5</v>
          </cell>
          <cell r="G1033"/>
          <cell r="H1033">
            <v>32.97</v>
          </cell>
          <cell r="I1033">
            <v>16.079999999999998</v>
          </cell>
        </row>
        <row r="1034">
          <cell r="A1034">
            <v>602720</v>
          </cell>
          <cell r="B1034" t="str">
            <v>JJ63-0320-S-Q-AM</v>
          </cell>
          <cell r="C1034">
            <v>4</v>
          </cell>
          <cell r="D1034" t="str">
            <v>ISBM</v>
          </cell>
          <cell r="E1034" t="str">
            <v>PET</v>
          </cell>
          <cell r="F1034">
            <v>34.5</v>
          </cell>
          <cell r="G1034"/>
          <cell r="H1034">
            <v>32.97</v>
          </cell>
          <cell r="I1034">
            <v>16.079999999999998</v>
          </cell>
        </row>
        <row r="1035">
          <cell r="A1035">
            <v>414241</v>
          </cell>
          <cell r="B1035" t="str">
            <v>JJ63-0330-EH-E-CL</v>
          </cell>
          <cell r="C1035">
            <v>4</v>
          </cell>
          <cell r="D1035" t="str">
            <v>ISBM</v>
          </cell>
          <cell r="E1035" t="str">
            <v>PET</v>
          </cell>
          <cell r="F1035">
            <v>34.5</v>
          </cell>
          <cell r="G1035"/>
          <cell r="H1035">
            <v>34</v>
          </cell>
          <cell r="I1035">
            <v>22.4</v>
          </cell>
        </row>
        <row r="1036">
          <cell r="A1036">
            <v>324145</v>
          </cell>
          <cell r="B1036" t="str">
            <v>JJ63-0336-K-R-CL</v>
          </cell>
          <cell r="C1036">
            <v>4</v>
          </cell>
          <cell r="D1036" t="str">
            <v>ISBM</v>
          </cell>
          <cell r="E1036" t="str">
            <v>PET</v>
          </cell>
          <cell r="F1036">
            <v>34.5</v>
          </cell>
          <cell r="G1036"/>
          <cell r="H1036">
            <v>33.68</v>
          </cell>
          <cell r="I1036">
            <v>16.079999999999998</v>
          </cell>
        </row>
        <row r="1037">
          <cell r="A1037">
            <v>324177</v>
          </cell>
          <cell r="B1037" t="str">
            <v>JJ63-0350-EH-R-CL</v>
          </cell>
          <cell r="C1037">
            <v>4</v>
          </cell>
          <cell r="D1037" t="str">
            <v>ISBM</v>
          </cell>
          <cell r="E1037" t="str">
            <v>PET</v>
          </cell>
          <cell r="F1037">
            <v>34.5</v>
          </cell>
          <cell r="G1037"/>
          <cell r="H1037">
            <v>34.5</v>
          </cell>
          <cell r="I1037">
            <v>22</v>
          </cell>
        </row>
        <row r="1038">
          <cell r="A1038">
            <v>525036</v>
          </cell>
          <cell r="B1038" t="str">
            <v>JJ63-0350-EH-R-CL ASEM ORIGINAL 350G</v>
          </cell>
          <cell r="C1038">
            <v>4</v>
          </cell>
          <cell r="D1038" t="str">
            <v>ISBM</v>
          </cell>
          <cell r="E1038" t="str">
            <v>PET</v>
          </cell>
          <cell r="F1038">
            <v>35.5</v>
          </cell>
          <cell r="G1038"/>
          <cell r="H1038">
            <v>35.5</v>
          </cell>
          <cell r="I1038">
            <v>9</v>
          </cell>
        </row>
        <row r="1039">
          <cell r="A1039">
            <v>505282</v>
          </cell>
          <cell r="B1039" t="str">
            <v>JJ63-0350EH-R-R-CL-S &amp; P COCONUT SPREAD</v>
          </cell>
          <cell r="C1039">
            <v>1</v>
          </cell>
          <cell r="D1039" t="str">
            <v>ISBM</v>
          </cell>
          <cell r="E1039" t="str">
            <v>PET</v>
          </cell>
          <cell r="F1039">
            <v>34.5</v>
          </cell>
          <cell r="G1039"/>
          <cell r="H1039">
            <v>34.5</v>
          </cell>
          <cell r="I1039">
            <v>36</v>
          </cell>
        </row>
        <row r="1040">
          <cell r="A1040">
            <v>623885</v>
          </cell>
          <cell r="B1040" t="str">
            <v>JJ63-0350EH-R-R-CL-CRISPY(ASEM)</v>
          </cell>
          <cell r="C1040">
            <v>1</v>
          </cell>
          <cell r="D1040" t="str">
            <v>ISBM</v>
          </cell>
          <cell r="E1040" t="str">
            <v>PET</v>
          </cell>
          <cell r="F1040">
            <v>34.5</v>
          </cell>
          <cell r="G1040"/>
          <cell r="H1040">
            <v>34.5</v>
          </cell>
          <cell r="I1040">
            <v>36</v>
          </cell>
        </row>
        <row r="1041">
          <cell r="A1041">
            <v>623886</v>
          </cell>
          <cell r="B1041" t="str">
            <v>JJ63-0350EH-R-R-CL-HAZEL NUT(ASEM)</v>
          </cell>
          <cell r="C1041">
            <v>1</v>
          </cell>
          <cell r="D1041" t="str">
            <v>ISBM</v>
          </cell>
          <cell r="E1041" t="str">
            <v>PET</v>
          </cell>
          <cell r="F1041">
            <v>34.5</v>
          </cell>
          <cell r="G1041"/>
          <cell r="H1041">
            <v>34.5</v>
          </cell>
          <cell r="I1041">
            <v>36</v>
          </cell>
        </row>
        <row r="1042">
          <cell r="A1042">
            <v>623887</v>
          </cell>
          <cell r="B1042" t="str">
            <v>JJ63-0350EH-R-R-CL-SALT CML</v>
          </cell>
          <cell r="C1042">
            <v>1</v>
          </cell>
          <cell r="D1042" t="str">
            <v>ISBM</v>
          </cell>
          <cell r="E1042" t="str">
            <v>PET</v>
          </cell>
          <cell r="F1042">
            <v>34.5</v>
          </cell>
          <cell r="G1042"/>
          <cell r="H1042">
            <v>34.5</v>
          </cell>
          <cell r="I1042">
            <v>9</v>
          </cell>
        </row>
        <row r="1043">
          <cell r="A1043">
            <v>468170</v>
          </cell>
          <cell r="B1043" t="str">
            <v>JJ63-0350EH-R-R-CL-SALTED CARAMEL</v>
          </cell>
          <cell r="C1043">
            <v>1</v>
          </cell>
          <cell r="D1043" t="str">
            <v>ISBM</v>
          </cell>
          <cell r="E1043" t="str">
            <v>PET</v>
          </cell>
          <cell r="F1043">
            <v>34.5</v>
          </cell>
          <cell r="G1043"/>
          <cell r="H1043">
            <v>34.5</v>
          </cell>
          <cell r="I1043">
            <v>36</v>
          </cell>
        </row>
        <row r="1044">
          <cell r="A1044">
            <v>322435</v>
          </cell>
          <cell r="B1044" t="str">
            <v>JJ63-0350-NH-R-CL</v>
          </cell>
          <cell r="C1044">
            <v>4</v>
          </cell>
          <cell r="D1044" t="str">
            <v>ISBM</v>
          </cell>
          <cell r="E1044" t="str">
            <v>PET</v>
          </cell>
          <cell r="F1044">
            <v>34.5</v>
          </cell>
          <cell r="G1044"/>
          <cell r="H1044">
            <v>34.5</v>
          </cell>
          <cell r="I1044">
            <v>22</v>
          </cell>
        </row>
        <row r="1045">
          <cell r="A1045">
            <v>590337</v>
          </cell>
          <cell r="B1045" t="str">
            <v>JJ63-0350-R-R-AM</v>
          </cell>
          <cell r="C1045">
            <v>4</v>
          </cell>
          <cell r="D1045" t="str">
            <v>ISBM</v>
          </cell>
          <cell r="E1045" t="str">
            <v>PET</v>
          </cell>
          <cell r="F1045">
            <v>32.82</v>
          </cell>
          <cell r="G1045"/>
          <cell r="H1045">
            <v>32.82</v>
          </cell>
          <cell r="I1045">
            <v>20</v>
          </cell>
        </row>
        <row r="1046">
          <cell r="A1046">
            <v>322436</v>
          </cell>
          <cell r="B1046" t="str">
            <v>JJ63-0350-R-R-CL</v>
          </cell>
          <cell r="C1046">
            <v>4</v>
          </cell>
          <cell r="D1046" t="str">
            <v>ISBM</v>
          </cell>
          <cell r="E1046" t="str">
            <v>PET</v>
          </cell>
          <cell r="F1046">
            <v>33.659999999999997</v>
          </cell>
          <cell r="G1046"/>
          <cell r="H1046">
            <v>33.659999999999997</v>
          </cell>
          <cell r="I1046">
            <v>20</v>
          </cell>
        </row>
        <row r="1047">
          <cell r="A1047">
            <v>322441</v>
          </cell>
          <cell r="B1047" t="str">
            <v>JJ63-0375-SH-Q-CL</v>
          </cell>
          <cell r="C1047">
            <v>4</v>
          </cell>
          <cell r="D1047" t="str">
            <v>ISBM</v>
          </cell>
          <cell r="E1047" t="str">
            <v>PET</v>
          </cell>
          <cell r="F1047">
            <v>34.5</v>
          </cell>
          <cell r="G1047"/>
          <cell r="H1047">
            <v>34.5</v>
          </cell>
          <cell r="I1047">
            <v>16.88</v>
          </cell>
        </row>
        <row r="1048">
          <cell r="A1048">
            <v>331207</v>
          </cell>
          <cell r="B1048" t="str">
            <v>JJ63-0375-S-S-BR-HW</v>
          </cell>
          <cell r="C1048">
            <v>4</v>
          </cell>
          <cell r="D1048" t="str">
            <v>ISBM</v>
          </cell>
          <cell r="E1048" t="str">
            <v>PET</v>
          </cell>
          <cell r="F1048">
            <v>34.5</v>
          </cell>
          <cell r="G1048"/>
          <cell r="H1048">
            <v>34.5</v>
          </cell>
          <cell r="I1048">
            <v>16</v>
          </cell>
        </row>
        <row r="1049">
          <cell r="A1049">
            <v>324166</v>
          </cell>
          <cell r="B1049" t="str">
            <v>JJ63-0400-EH-R-AM</v>
          </cell>
          <cell r="C1049">
            <v>4</v>
          </cell>
          <cell r="D1049" t="str">
            <v>ISBM</v>
          </cell>
          <cell r="E1049" t="str">
            <v>PET</v>
          </cell>
          <cell r="F1049">
            <v>34.5</v>
          </cell>
          <cell r="G1049"/>
          <cell r="H1049">
            <v>33.26</v>
          </cell>
          <cell r="I1049">
            <v>17.440000000000001</v>
          </cell>
        </row>
        <row r="1050">
          <cell r="A1050">
            <v>322442</v>
          </cell>
          <cell r="B1050" t="str">
            <v>JJ63-0400-EH-R-CL</v>
          </cell>
          <cell r="C1050">
            <v>4</v>
          </cell>
          <cell r="D1050" t="str">
            <v>ISBM</v>
          </cell>
          <cell r="E1050" t="str">
            <v>PET</v>
          </cell>
          <cell r="F1050">
            <v>34.5</v>
          </cell>
          <cell r="G1050"/>
          <cell r="H1050">
            <v>34.04</v>
          </cell>
          <cell r="I1050">
            <v>17.440000000000001</v>
          </cell>
        </row>
        <row r="1051">
          <cell r="A1051">
            <v>322443</v>
          </cell>
          <cell r="B1051" t="str">
            <v>JJ63-0400-HX-H-CL</v>
          </cell>
          <cell r="C1051">
            <v>4</v>
          </cell>
          <cell r="D1051" t="str">
            <v>ISBM</v>
          </cell>
          <cell r="E1051" t="str">
            <v>PET</v>
          </cell>
          <cell r="F1051">
            <v>34.5</v>
          </cell>
          <cell r="G1051"/>
          <cell r="H1051">
            <v>32.74</v>
          </cell>
          <cell r="I1051">
            <v>15.84</v>
          </cell>
        </row>
        <row r="1052">
          <cell r="A1052">
            <v>322444</v>
          </cell>
          <cell r="B1052" t="str">
            <v>JJ63-0400-RH-R-CL</v>
          </cell>
          <cell r="C1052">
            <v>4</v>
          </cell>
          <cell r="D1052" t="str">
            <v>ISBM</v>
          </cell>
          <cell r="E1052" t="str">
            <v>PET</v>
          </cell>
          <cell r="F1052">
            <v>34.5</v>
          </cell>
          <cell r="G1052"/>
          <cell r="H1052">
            <v>32.74</v>
          </cell>
          <cell r="I1052">
            <v>23</v>
          </cell>
        </row>
        <row r="1053">
          <cell r="A1053">
            <v>324171</v>
          </cell>
          <cell r="B1053" t="str">
            <v>JJ63-0400-SH-S-AM</v>
          </cell>
          <cell r="C1053">
            <v>4</v>
          </cell>
          <cell r="D1053" t="str">
            <v>ISBM</v>
          </cell>
          <cell r="E1053" t="str">
            <v>PET</v>
          </cell>
          <cell r="F1053">
            <v>33</v>
          </cell>
          <cell r="G1053"/>
          <cell r="H1053">
            <v>32.700000000000003</v>
          </cell>
          <cell r="I1053">
            <v>22</v>
          </cell>
        </row>
        <row r="1054">
          <cell r="A1054">
            <v>372952</v>
          </cell>
          <cell r="B1054" t="str">
            <v>JJ63-0400-SH-S-AM (KIWI LOGO)</v>
          </cell>
          <cell r="C1054">
            <v>4</v>
          </cell>
          <cell r="D1054" t="str">
            <v>ISBM</v>
          </cell>
          <cell r="E1054" t="str">
            <v>PET</v>
          </cell>
          <cell r="F1054">
            <v>33</v>
          </cell>
          <cell r="G1054"/>
          <cell r="H1054">
            <v>32.74</v>
          </cell>
          <cell r="I1054">
            <v>22</v>
          </cell>
        </row>
        <row r="1055">
          <cell r="A1055">
            <v>322445</v>
          </cell>
          <cell r="B1055" t="str">
            <v>JJ63-0400-SH-S-CL</v>
          </cell>
          <cell r="C1055">
            <v>4</v>
          </cell>
          <cell r="D1055" t="str">
            <v>ISBM</v>
          </cell>
          <cell r="E1055" t="str">
            <v>PET</v>
          </cell>
          <cell r="F1055">
            <v>33</v>
          </cell>
          <cell r="G1055"/>
          <cell r="H1055">
            <v>32.74</v>
          </cell>
          <cell r="I1055">
            <v>22</v>
          </cell>
        </row>
        <row r="1056">
          <cell r="A1056">
            <v>620994</v>
          </cell>
          <cell r="B1056" t="str">
            <v>JJ63-0400-SH-S-CL-rPET</v>
          </cell>
          <cell r="C1056">
            <v>4</v>
          </cell>
          <cell r="D1056" t="str">
            <v>ISBM</v>
          </cell>
          <cell r="E1056" t="str">
            <v>rPET</v>
          </cell>
          <cell r="F1056">
            <v>33</v>
          </cell>
          <cell r="G1056"/>
          <cell r="H1056">
            <v>32.74</v>
          </cell>
          <cell r="I1056">
            <v>22</v>
          </cell>
        </row>
        <row r="1057">
          <cell r="A1057">
            <v>372951</v>
          </cell>
          <cell r="B1057" t="str">
            <v>JJ63-0400-SH-S-CL (KIWI LOGO)</v>
          </cell>
          <cell r="C1057">
            <v>4</v>
          </cell>
          <cell r="D1057" t="str">
            <v>ISBM</v>
          </cell>
          <cell r="E1057" t="str">
            <v>PET</v>
          </cell>
          <cell r="F1057">
            <v>33</v>
          </cell>
          <cell r="G1057"/>
          <cell r="H1057">
            <v>45.32</v>
          </cell>
          <cell r="I1057">
            <v>22</v>
          </cell>
        </row>
        <row r="1058">
          <cell r="A1058">
            <v>324165</v>
          </cell>
          <cell r="B1058" t="str">
            <v>JJ63-0400-SH-S-WH</v>
          </cell>
          <cell r="C1058">
            <v>4</v>
          </cell>
          <cell r="D1058" t="str">
            <v>ISBM</v>
          </cell>
          <cell r="E1058" t="str">
            <v>PET</v>
          </cell>
          <cell r="F1058">
            <v>33</v>
          </cell>
          <cell r="G1058"/>
          <cell r="H1058">
            <v>32.56</v>
          </cell>
          <cell r="I1058">
            <v>22</v>
          </cell>
        </row>
        <row r="1059">
          <cell r="A1059">
            <v>358860</v>
          </cell>
          <cell r="B1059" t="str">
            <v>JJ63-0425-E-R-CL</v>
          </cell>
          <cell r="C1059">
            <v>4</v>
          </cell>
          <cell r="D1059" t="str">
            <v>ISBM</v>
          </cell>
          <cell r="E1059" t="str">
            <v>PET</v>
          </cell>
          <cell r="F1059">
            <v>45.3</v>
          </cell>
          <cell r="G1059"/>
          <cell r="H1059">
            <v>34</v>
          </cell>
          <cell r="I1059">
            <v>32.68</v>
          </cell>
        </row>
        <row r="1060">
          <cell r="A1060">
            <v>323039</v>
          </cell>
          <cell r="B1060" t="str">
            <v>JJ63-0475-FFN-R-CL</v>
          </cell>
          <cell r="C1060">
            <v>4</v>
          </cell>
          <cell r="D1060" t="str">
            <v>ISBM</v>
          </cell>
          <cell r="E1060" t="str">
            <v>PET</v>
          </cell>
          <cell r="F1060">
            <v>34.5</v>
          </cell>
          <cell r="G1060"/>
          <cell r="H1060">
            <v>33</v>
          </cell>
          <cell r="I1060">
            <v>26.12</v>
          </cell>
        </row>
        <row r="1061">
          <cell r="A1061">
            <v>345523</v>
          </cell>
          <cell r="B1061" t="str">
            <v>JJ63-0475-FFN-R-CL-PEACH MENGKUDU (ASEM)</v>
          </cell>
          <cell r="C1061">
            <v>1</v>
          </cell>
          <cell r="D1061" t="str">
            <v>ISBM</v>
          </cell>
          <cell r="E1061" t="str">
            <v>PET</v>
          </cell>
          <cell r="F1061">
            <v>34.5</v>
          </cell>
          <cell r="G1061"/>
          <cell r="H1061">
            <v>33</v>
          </cell>
          <cell r="I1061">
            <v>9</v>
          </cell>
        </row>
        <row r="1062">
          <cell r="A1062">
            <v>427378</v>
          </cell>
          <cell r="B1062" t="str">
            <v>JJ63-0500-E-R-CL</v>
          </cell>
          <cell r="C1062">
            <v>4</v>
          </cell>
          <cell r="D1062" t="str">
            <v>ISBM</v>
          </cell>
          <cell r="E1062" t="str">
            <v>PET</v>
          </cell>
          <cell r="F1062">
            <v>34.5</v>
          </cell>
          <cell r="G1062"/>
          <cell r="H1062">
            <v>40.22</v>
          </cell>
          <cell r="I1062">
            <v>20.48</v>
          </cell>
        </row>
        <row r="1063">
          <cell r="A1063">
            <v>410102</v>
          </cell>
          <cell r="B1063" t="str">
            <v>JJ63-0500-HX-H-CL</v>
          </cell>
          <cell r="C1063">
            <v>4</v>
          </cell>
          <cell r="D1063" t="str">
            <v>ISBM</v>
          </cell>
          <cell r="E1063" t="str">
            <v>PET</v>
          </cell>
          <cell r="F1063">
            <v>34.5</v>
          </cell>
          <cell r="G1063"/>
          <cell r="H1063">
            <v>33</v>
          </cell>
          <cell r="I1063">
            <v>18.8</v>
          </cell>
        </row>
        <row r="1064">
          <cell r="A1064">
            <v>324168</v>
          </cell>
          <cell r="B1064" t="str">
            <v>JJ63-0500-M-R-AM</v>
          </cell>
          <cell r="C1064">
            <v>4</v>
          </cell>
          <cell r="D1064" t="str">
            <v>ISBM</v>
          </cell>
          <cell r="E1064" t="str">
            <v>PET</v>
          </cell>
          <cell r="F1064">
            <v>40</v>
          </cell>
          <cell r="G1064"/>
          <cell r="H1064">
            <v>34.5</v>
          </cell>
          <cell r="I1064">
            <v>22</v>
          </cell>
        </row>
        <row r="1065">
          <cell r="A1065">
            <v>322453</v>
          </cell>
          <cell r="B1065" t="str">
            <v>JJ63-0500-M-R-CL</v>
          </cell>
          <cell r="C1065">
            <v>4</v>
          </cell>
          <cell r="D1065" t="str">
            <v>ISBM</v>
          </cell>
          <cell r="E1065" t="str">
            <v>PET</v>
          </cell>
          <cell r="F1065">
            <v>34.5</v>
          </cell>
          <cell r="G1065"/>
          <cell r="H1065">
            <v>34.5</v>
          </cell>
          <cell r="I1065">
            <v>22</v>
          </cell>
        </row>
        <row r="1066">
          <cell r="A1066">
            <v>576559</v>
          </cell>
          <cell r="B1066" t="str">
            <v>JJ63-0500-M-R-CL-HW</v>
          </cell>
          <cell r="C1066">
            <v>4</v>
          </cell>
          <cell r="D1066" t="str">
            <v>ISBM</v>
          </cell>
          <cell r="E1066" t="str">
            <v>PET</v>
          </cell>
          <cell r="F1066">
            <v>45</v>
          </cell>
          <cell r="G1066"/>
          <cell r="H1066">
            <v>33.97</v>
          </cell>
          <cell r="I1066">
            <v>29</v>
          </cell>
        </row>
        <row r="1067">
          <cell r="A1067">
            <v>557349</v>
          </cell>
          <cell r="B1067" t="str">
            <v>JJ63-0500-RH-R-AM</v>
          </cell>
          <cell r="C1067">
            <v>4</v>
          </cell>
          <cell r="D1067" t="str">
            <v>ISBM</v>
          </cell>
          <cell r="E1067" t="str">
            <v>PET</v>
          </cell>
          <cell r="F1067">
            <v>34.5</v>
          </cell>
          <cell r="G1067"/>
          <cell r="H1067">
            <v>33.6</v>
          </cell>
          <cell r="I1067">
            <v>18</v>
          </cell>
        </row>
        <row r="1068">
          <cell r="A1068">
            <v>322452</v>
          </cell>
          <cell r="B1068" t="str">
            <v>JJ63-0500-RH-R-CL</v>
          </cell>
          <cell r="C1068">
            <v>4</v>
          </cell>
          <cell r="D1068" t="str">
            <v>ISBM</v>
          </cell>
          <cell r="E1068" t="str">
            <v>PET</v>
          </cell>
          <cell r="F1068">
            <v>34.5</v>
          </cell>
          <cell r="G1068"/>
          <cell r="H1068">
            <v>33.11</v>
          </cell>
          <cell r="I1068">
            <v>18.04</v>
          </cell>
        </row>
        <row r="1069">
          <cell r="A1069">
            <v>557186</v>
          </cell>
          <cell r="B1069" t="str">
            <v>JJ63-0500-RH-R-CL-MAGGI MARIDOR</v>
          </cell>
          <cell r="C1069">
            <v>1</v>
          </cell>
          <cell r="D1069" t="str">
            <v>ISBM</v>
          </cell>
          <cell r="E1069" t="str">
            <v>PET</v>
          </cell>
          <cell r="F1069">
            <v>34</v>
          </cell>
          <cell r="G1069"/>
          <cell r="H1069">
            <v>34</v>
          </cell>
          <cell r="I1069">
            <v>9</v>
          </cell>
        </row>
        <row r="1070">
          <cell r="A1070">
            <v>322454</v>
          </cell>
          <cell r="B1070" t="str">
            <v>JJ63-0500-S-Q-CL</v>
          </cell>
          <cell r="C1070">
            <v>4</v>
          </cell>
          <cell r="D1070" t="str">
            <v>ISBM</v>
          </cell>
          <cell r="E1070" t="str">
            <v>PET</v>
          </cell>
          <cell r="F1070">
            <v>34.5</v>
          </cell>
          <cell r="G1070"/>
          <cell r="H1070">
            <v>34.5</v>
          </cell>
          <cell r="I1070">
            <v>22</v>
          </cell>
        </row>
        <row r="1071">
          <cell r="A1071">
            <v>324176</v>
          </cell>
          <cell r="B1071" t="str">
            <v>JJ63-0550-HX-H-CL</v>
          </cell>
          <cell r="C1071">
            <v>4</v>
          </cell>
          <cell r="D1071" t="str">
            <v>ISBM</v>
          </cell>
          <cell r="E1071" t="str">
            <v>PET</v>
          </cell>
          <cell r="F1071">
            <v>34.5</v>
          </cell>
          <cell r="G1071"/>
          <cell r="H1071">
            <v>34</v>
          </cell>
          <cell r="I1071">
            <v>20</v>
          </cell>
        </row>
        <row r="1072">
          <cell r="A1072">
            <v>322461</v>
          </cell>
          <cell r="B1072" t="str">
            <v>JJ63-0550-R-R-CL</v>
          </cell>
          <cell r="C1072">
            <v>4</v>
          </cell>
          <cell r="D1072" t="str">
            <v>ISBM</v>
          </cell>
          <cell r="E1072" t="str">
            <v>PET</v>
          </cell>
          <cell r="F1072">
            <v>34.5</v>
          </cell>
          <cell r="G1072"/>
          <cell r="H1072">
            <v>34</v>
          </cell>
          <cell r="I1072">
            <v>20</v>
          </cell>
        </row>
        <row r="1073">
          <cell r="A1073">
            <v>441809</v>
          </cell>
          <cell r="B1073" t="str">
            <v>JJ63-0550-S-Q-CL</v>
          </cell>
          <cell r="C1073">
            <v>4</v>
          </cell>
          <cell r="D1073" t="str">
            <v>ISBM</v>
          </cell>
          <cell r="E1073" t="str">
            <v>PET</v>
          </cell>
          <cell r="F1073">
            <v>33.67</v>
          </cell>
          <cell r="G1073"/>
          <cell r="H1073">
            <v>34</v>
          </cell>
          <cell r="I1073">
            <v>18</v>
          </cell>
        </row>
        <row r="1074">
          <cell r="A1074">
            <v>623133</v>
          </cell>
          <cell r="B1074" t="str">
            <v>JJ63-0550-S-Q-CL ALMOND D24 (ASEM)</v>
          </cell>
          <cell r="C1074">
            <v>1</v>
          </cell>
          <cell r="D1074" t="str">
            <v>ISBM</v>
          </cell>
          <cell r="E1074" t="str">
            <v>PET</v>
          </cell>
          <cell r="F1074">
            <v>34</v>
          </cell>
          <cell r="G1074"/>
          <cell r="H1074">
            <v>34</v>
          </cell>
          <cell r="I1074">
            <v>9</v>
          </cell>
        </row>
        <row r="1075">
          <cell r="A1075">
            <v>623135</v>
          </cell>
          <cell r="B1075" t="str">
            <v>JJ63-0550-S-Q-CL FRUIT&amp;NUTS D24 (ASEM)</v>
          </cell>
          <cell r="C1075">
            <v>1</v>
          </cell>
          <cell r="D1075" t="str">
            <v>ISBM</v>
          </cell>
          <cell r="E1075" t="str">
            <v>PET</v>
          </cell>
          <cell r="F1075">
            <v>34.200000000000003</v>
          </cell>
          <cell r="G1075"/>
          <cell r="H1075">
            <v>34.200000000000003</v>
          </cell>
          <cell r="I1075">
            <v>9</v>
          </cell>
        </row>
        <row r="1076">
          <cell r="A1076">
            <v>623134</v>
          </cell>
          <cell r="B1076" t="str">
            <v>JJ63-0550-S-Q-CL HAZELNUTS D24 (ASEM)</v>
          </cell>
          <cell r="C1076">
            <v>1</v>
          </cell>
          <cell r="D1076" t="str">
            <v>ISBM</v>
          </cell>
          <cell r="E1076" t="str">
            <v>PET</v>
          </cell>
          <cell r="F1076">
            <v>33.42</v>
          </cell>
          <cell r="G1076"/>
          <cell r="H1076">
            <v>33.42</v>
          </cell>
          <cell r="I1076">
            <v>9</v>
          </cell>
        </row>
        <row r="1077">
          <cell r="A1077">
            <v>609312</v>
          </cell>
          <cell r="B1077" t="str">
            <v>JJ63-0550-S-Q-CL ALMOND MSI (ASEM)</v>
          </cell>
          <cell r="C1077">
            <v>1</v>
          </cell>
          <cell r="D1077" t="str">
            <v>ISBM</v>
          </cell>
          <cell r="E1077" t="str">
            <v>PET</v>
          </cell>
          <cell r="F1077">
            <v>34</v>
          </cell>
          <cell r="G1077"/>
          <cell r="H1077">
            <v>34</v>
          </cell>
          <cell r="I1077">
            <v>9</v>
          </cell>
        </row>
        <row r="1078">
          <cell r="A1078">
            <v>609313</v>
          </cell>
          <cell r="B1078" t="str">
            <v>JJ63-0550-S-Q-CL HAZELNUTS MSI (ASEM)</v>
          </cell>
          <cell r="C1078">
            <v>1</v>
          </cell>
          <cell r="D1078" t="str">
            <v>ISBM</v>
          </cell>
          <cell r="E1078" t="str">
            <v>PET</v>
          </cell>
          <cell r="F1078">
            <v>33.42</v>
          </cell>
          <cell r="G1078"/>
          <cell r="H1078">
            <v>33.42</v>
          </cell>
          <cell r="I1078">
            <v>9</v>
          </cell>
        </row>
        <row r="1079">
          <cell r="A1079">
            <v>322464</v>
          </cell>
          <cell r="B1079" t="str">
            <v>JJ63-0600-HX-H-CL</v>
          </cell>
          <cell r="C1079">
            <v>4</v>
          </cell>
          <cell r="D1079" t="str">
            <v>ISBM</v>
          </cell>
          <cell r="E1079" t="str">
            <v>PET</v>
          </cell>
          <cell r="F1079">
            <v>34.5</v>
          </cell>
          <cell r="G1079"/>
          <cell r="H1079">
            <v>34.200000000000003</v>
          </cell>
          <cell r="I1079">
            <v>20.399999999999999</v>
          </cell>
        </row>
        <row r="1080">
          <cell r="A1080">
            <v>647684</v>
          </cell>
          <cell r="B1080" t="str">
            <v>JJ63-0600OT-CL-HCSB-PET</v>
          </cell>
          <cell r="C1080">
            <v>4</v>
          </cell>
          <cell r="D1080" t="str">
            <v>ISBM</v>
          </cell>
          <cell r="E1080" t="str">
            <v>PET</v>
          </cell>
          <cell r="F1080">
            <v>34.5</v>
          </cell>
          <cell r="G1080"/>
          <cell r="H1080">
            <v>34.200000000000003</v>
          </cell>
          <cell r="I1080">
            <v>20.399999999999999</v>
          </cell>
        </row>
        <row r="1081">
          <cell r="A1081">
            <v>324173</v>
          </cell>
          <cell r="B1081" t="str">
            <v>JJ63-0600-RH-R-CL</v>
          </cell>
          <cell r="C1081">
            <v>4</v>
          </cell>
          <cell r="D1081" t="str">
            <v>ISBM</v>
          </cell>
          <cell r="E1081" t="str">
            <v>PET</v>
          </cell>
          <cell r="F1081">
            <v>34.5</v>
          </cell>
          <cell r="G1081"/>
          <cell r="H1081">
            <v>34</v>
          </cell>
          <cell r="I1081">
            <v>20.399999999999999</v>
          </cell>
        </row>
        <row r="1082">
          <cell r="A1082">
            <v>324167</v>
          </cell>
          <cell r="B1082" t="str">
            <v>JJ63-0600-RH-R-WH</v>
          </cell>
          <cell r="C1082">
            <v>4</v>
          </cell>
          <cell r="D1082" t="str">
            <v>ISBM</v>
          </cell>
          <cell r="E1082" t="str">
            <v>PET</v>
          </cell>
          <cell r="F1082">
            <v>34.5</v>
          </cell>
          <cell r="G1082"/>
          <cell r="H1082">
            <v>34</v>
          </cell>
          <cell r="I1082">
            <v>20.399999999999999</v>
          </cell>
        </row>
        <row r="1083">
          <cell r="A1083">
            <v>323046</v>
          </cell>
          <cell r="B1083" t="str">
            <v>JJ63-0650-CB-R-CL</v>
          </cell>
          <cell r="C1083">
            <v>4</v>
          </cell>
          <cell r="D1083" t="str">
            <v>ISBM</v>
          </cell>
          <cell r="E1083" t="str">
            <v>PET</v>
          </cell>
          <cell r="F1083">
            <v>34.5</v>
          </cell>
          <cell r="G1083"/>
          <cell r="H1083">
            <v>44</v>
          </cell>
          <cell r="I1083">
            <v>22</v>
          </cell>
        </row>
        <row r="1084">
          <cell r="A1084">
            <v>561358</v>
          </cell>
          <cell r="B1084" t="str">
            <v>JJ63-0650-HX-H-CL</v>
          </cell>
          <cell r="C1084">
            <v>4</v>
          </cell>
          <cell r="D1084" t="str">
            <v>ISBM</v>
          </cell>
          <cell r="E1084" t="str">
            <v>PET</v>
          </cell>
          <cell r="F1084">
            <v>34.5</v>
          </cell>
          <cell r="G1084"/>
          <cell r="H1084">
            <v>35</v>
          </cell>
          <cell r="I1084">
            <v>20.399999999999999</v>
          </cell>
        </row>
        <row r="1085">
          <cell r="A1085">
            <v>647556</v>
          </cell>
          <cell r="B1085" t="str">
            <v>JJ63-0650-HD-CL</v>
          </cell>
          <cell r="C1085">
            <v>4</v>
          </cell>
          <cell r="D1085" t="str">
            <v>ISBM</v>
          </cell>
          <cell r="E1085" t="str">
            <v>PET</v>
          </cell>
          <cell r="F1085">
            <v>34.5</v>
          </cell>
          <cell r="G1085"/>
          <cell r="H1085">
            <v>35</v>
          </cell>
          <cell r="I1085">
            <v>20.399999999999999</v>
          </cell>
        </row>
        <row r="1086">
          <cell r="A1086">
            <v>322467</v>
          </cell>
          <cell r="B1086" t="str">
            <v>JJ63-0650-S-S-CL</v>
          </cell>
          <cell r="C1086">
            <v>4</v>
          </cell>
          <cell r="D1086" t="str">
            <v>ISBM</v>
          </cell>
          <cell r="E1086" t="str">
            <v>PET</v>
          </cell>
          <cell r="F1086">
            <v>44</v>
          </cell>
          <cell r="G1086"/>
          <cell r="H1086">
            <v>33</v>
          </cell>
          <cell r="I1086">
            <v>16</v>
          </cell>
        </row>
        <row r="1087">
          <cell r="A1087">
            <v>324175</v>
          </cell>
          <cell r="B1087" t="str">
            <v>JJ63-0660-S-S-CL</v>
          </cell>
          <cell r="C1087">
            <v>4</v>
          </cell>
          <cell r="D1087" t="str">
            <v>ISBM</v>
          </cell>
          <cell r="E1087" t="str">
            <v>PET</v>
          </cell>
          <cell r="F1087">
            <v>44</v>
          </cell>
          <cell r="G1087"/>
          <cell r="H1087">
            <v>33</v>
          </cell>
          <cell r="I1087">
            <v>20.399999999999999</v>
          </cell>
        </row>
        <row r="1088">
          <cell r="A1088">
            <v>324143</v>
          </cell>
          <cell r="B1088" t="str">
            <v>JJ63-0681-BR-R-CL</v>
          </cell>
          <cell r="C1088">
            <v>4</v>
          </cell>
          <cell r="D1088" t="str">
            <v>ISBM</v>
          </cell>
          <cell r="E1088" t="str">
            <v>PET</v>
          </cell>
          <cell r="F1088">
            <v>34.5</v>
          </cell>
          <cell r="G1088"/>
          <cell r="H1088">
            <v>45.3</v>
          </cell>
          <cell r="I1088">
            <v>18.04</v>
          </cell>
        </row>
        <row r="1089">
          <cell r="A1089">
            <v>442642</v>
          </cell>
          <cell r="B1089" t="str">
            <v>JJ63-0700-HX-H-CL</v>
          </cell>
          <cell r="C1089">
            <v>4</v>
          </cell>
          <cell r="D1089" t="str">
            <v>ISBM</v>
          </cell>
          <cell r="E1089" t="str">
            <v>PET</v>
          </cell>
          <cell r="F1089">
            <v>34.5</v>
          </cell>
          <cell r="G1089"/>
          <cell r="H1089">
            <v>34.5</v>
          </cell>
          <cell r="I1089">
            <v>17.440000000000001</v>
          </cell>
        </row>
        <row r="1090">
          <cell r="A1090">
            <v>604365</v>
          </cell>
          <cell r="B1090" t="str">
            <v>JJ63-0310-R-R-CL-HW</v>
          </cell>
          <cell r="C1090">
            <v>4</v>
          </cell>
          <cell r="D1090" t="str">
            <v>ISBM</v>
          </cell>
          <cell r="E1090" t="str">
            <v>PET</v>
          </cell>
          <cell r="F1090">
            <v>45.3</v>
          </cell>
          <cell r="G1090"/>
          <cell r="H1090">
            <v>44.7</v>
          </cell>
          <cell r="I1090">
            <v>24</v>
          </cell>
        </row>
        <row r="1091">
          <cell r="A1091">
            <v>324144</v>
          </cell>
          <cell r="B1091" t="str">
            <v>JJ63-0724-K-R-CL</v>
          </cell>
          <cell r="C1091">
            <v>4</v>
          </cell>
          <cell r="D1091" t="str">
            <v>ISBM</v>
          </cell>
          <cell r="E1091" t="str">
            <v>PET</v>
          </cell>
          <cell r="F1091">
            <v>45.3</v>
          </cell>
          <cell r="G1091"/>
          <cell r="H1091">
            <v>44.7</v>
          </cell>
          <cell r="I1091">
            <v>24</v>
          </cell>
        </row>
        <row r="1092">
          <cell r="A1092">
            <v>324172</v>
          </cell>
          <cell r="B1092" t="str">
            <v>JJ63-0750-BR-R-CL</v>
          </cell>
          <cell r="C1092">
            <v>4</v>
          </cell>
          <cell r="D1092" t="str">
            <v>ISBM</v>
          </cell>
          <cell r="E1092" t="str">
            <v>PET</v>
          </cell>
          <cell r="F1092">
            <v>34.5</v>
          </cell>
          <cell r="G1092"/>
          <cell r="H1092">
            <v>47.47</v>
          </cell>
          <cell r="I1092">
            <v>16.2</v>
          </cell>
        </row>
        <row r="1093">
          <cell r="A1093">
            <v>359741</v>
          </cell>
          <cell r="B1093" t="str">
            <v>JJ63-0750-DH-H-CL</v>
          </cell>
          <cell r="C1093">
            <v>4</v>
          </cell>
          <cell r="D1093" t="str">
            <v>ISBM</v>
          </cell>
          <cell r="E1093" t="str">
            <v>PET</v>
          </cell>
          <cell r="F1093">
            <v>44.7</v>
          </cell>
          <cell r="G1093"/>
          <cell r="H1093">
            <v>33.700000000000003</v>
          </cell>
          <cell r="I1093">
            <v>29.6</v>
          </cell>
        </row>
        <row r="1094">
          <cell r="A1094">
            <v>354668</v>
          </cell>
          <cell r="B1094" t="str">
            <v>JJ63-0750-HX-H-CL-HW</v>
          </cell>
          <cell r="C1094">
            <v>4</v>
          </cell>
          <cell r="D1094" t="str">
            <v>ISBM</v>
          </cell>
          <cell r="E1094" t="str">
            <v>PET</v>
          </cell>
          <cell r="F1094">
            <v>34.5</v>
          </cell>
          <cell r="G1094"/>
          <cell r="H1094">
            <v>33</v>
          </cell>
          <cell r="I1094">
            <v>29.4</v>
          </cell>
        </row>
        <row r="1095">
          <cell r="A1095">
            <v>322471</v>
          </cell>
          <cell r="B1095" t="str">
            <v>JJ63-0750-HX-H-CL-LW</v>
          </cell>
          <cell r="C1095">
            <v>4</v>
          </cell>
          <cell r="D1095" t="str">
            <v>ISBM</v>
          </cell>
          <cell r="E1095" t="str">
            <v>PET</v>
          </cell>
          <cell r="F1095">
            <v>34.5</v>
          </cell>
          <cell r="G1095"/>
          <cell r="H1095">
            <v>34.5</v>
          </cell>
          <cell r="I1095">
            <v>16.2</v>
          </cell>
        </row>
        <row r="1096">
          <cell r="A1096">
            <v>431387</v>
          </cell>
          <cell r="B1096" t="str">
            <v>JJ63-0750-OT-H-CL</v>
          </cell>
          <cell r="C1096">
            <v>4</v>
          </cell>
          <cell r="D1096" t="str">
            <v>ISBM</v>
          </cell>
          <cell r="E1096" t="str">
            <v>PET</v>
          </cell>
          <cell r="F1096">
            <v>34.5</v>
          </cell>
          <cell r="G1096"/>
          <cell r="H1096">
            <v>35</v>
          </cell>
          <cell r="I1096">
            <v>17.52</v>
          </cell>
        </row>
        <row r="1097">
          <cell r="A1097">
            <v>346274</v>
          </cell>
          <cell r="B1097" t="str">
            <v>JJ63-0750-R-R-BR-HW</v>
          </cell>
          <cell r="C1097">
            <v>4</v>
          </cell>
          <cell r="D1097" t="str">
            <v>ISBM</v>
          </cell>
          <cell r="E1097" t="str">
            <v>PET</v>
          </cell>
          <cell r="F1097">
            <v>45.1</v>
          </cell>
          <cell r="G1097"/>
          <cell r="H1097">
            <v>32.4</v>
          </cell>
          <cell r="I1097">
            <v>34.6</v>
          </cell>
        </row>
        <row r="1098">
          <cell r="A1098">
            <v>343462</v>
          </cell>
          <cell r="B1098" t="str">
            <v>JJ63-0750-R-R-CL-HW</v>
          </cell>
          <cell r="C1098">
            <v>4</v>
          </cell>
          <cell r="D1098" t="str">
            <v>ISBM</v>
          </cell>
          <cell r="E1098" t="str">
            <v>PET</v>
          </cell>
          <cell r="F1098">
            <v>45</v>
          </cell>
          <cell r="G1098"/>
          <cell r="H1098">
            <v>32.4</v>
          </cell>
          <cell r="I1098">
            <v>27.16</v>
          </cell>
        </row>
        <row r="1099">
          <cell r="A1099">
            <v>323072</v>
          </cell>
          <cell r="B1099" t="str">
            <v>JJ63-0750-R-R-CL-LW</v>
          </cell>
          <cell r="C1099">
            <v>4</v>
          </cell>
          <cell r="D1099" t="str">
            <v>ISBM</v>
          </cell>
          <cell r="E1099" t="str">
            <v>PET</v>
          </cell>
          <cell r="F1099">
            <v>34.5</v>
          </cell>
          <cell r="G1099"/>
          <cell r="H1099">
            <v>34.5</v>
          </cell>
          <cell r="I1099">
            <v>16.2</v>
          </cell>
        </row>
        <row r="1100">
          <cell r="A1100">
            <v>616880</v>
          </cell>
          <cell r="B1100" t="str">
            <v>JJ63-0750-R-R-CL-LW CK 3.0 C MOCHA (ASEM)</v>
          </cell>
          <cell r="C1100">
            <v>1</v>
          </cell>
          <cell r="D1100" t="str">
            <v>ISBM</v>
          </cell>
          <cell r="E1100" t="str">
            <v>PET</v>
          </cell>
          <cell r="F1100">
            <v>34.5</v>
          </cell>
          <cell r="G1100"/>
          <cell r="H1100">
            <v>34.5</v>
          </cell>
          <cell r="I1100">
            <v>9</v>
          </cell>
        </row>
        <row r="1101">
          <cell r="A1101">
            <v>592128</v>
          </cell>
          <cell r="B1101" t="str">
            <v>JJ63-0750-R-R-CL-LW CK 2.0 A-ALMD (ASEM)</v>
          </cell>
          <cell r="C1101">
            <v>4</v>
          </cell>
          <cell r="D1101" t="str">
            <v>ISBM</v>
          </cell>
          <cell r="E1101" t="str">
            <v>PET</v>
          </cell>
          <cell r="F1101">
            <v>34.5</v>
          </cell>
          <cell r="G1101"/>
          <cell r="H1101">
            <v>34.5</v>
          </cell>
          <cell r="I1101">
            <v>9</v>
          </cell>
        </row>
        <row r="1102">
          <cell r="A1102">
            <v>606902</v>
          </cell>
          <cell r="B1102" t="str">
            <v>JJ63-0750-R-R-CL-LW CK 2.0 C-ALMD (ASEM)</v>
          </cell>
          <cell r="C1102">
            <v>4</v>
          </cell>
          <cell r="D1102" t="str">
            <v>ISBM</v>
          </cell>
          <cell r="E1102" t="str">
            <v>PET</v>
          </cell>
          <cell r="F1102">
            <v>34.5</v>
          </cell>
          <cell r="G1102"/>
          <cell r="H1102">
            <v>34.5</v>
          </cell>
          <cell r="I1102">
            <v>9</v>
          </cell>
        </row>
        <row r="1103">
          <cell r="A1103">
            <v>616879</v>
          </cell>
          <cell r="B1103" t="str">
            <v>JJ63-0750-R-R-CL-LW CK 3.0 C-ALMD (ASEM)</v>
          </cell>
          <cell r="C1103">
            <v>1</v>
          </cell>
          <cell r="D1103" t="str">
            <v>ISBM</v>
          </cell>
          <cell r="E1103" t="str">
            <v>PET</v>
          </cell>
          <cell r="F1103">
            <v>34.5</v>
          </cell>
          <cell r="G1103"/>
          <cell r="H1103">
            <v>34.5</v>
          </cell>
          <cell r="I1103">
            <v>9</v>
          </cell>
        </row>
        <row r="1104">
          <cell r="A1104">
            <v>324170</v>
          </cell>
          <cell r="B1104" t="str">
            <v>JJ63-0750-SHX-S-CL</v>
          </cell>
          <cell r="C1104">
            <v>4</v>
          </cell>
          <cell r="D1104" t="str">
            <v>ISBM</v>
          </cell>
          <cell r="E1104" t="str">
            <v>PET</v>
          </cell>
          <cell r="F1104">
            <v>35</v>
          </cell>
          <cell r="G1104"/>
          <cell r="H1104">
            <v>35</v>
          </cell>
          <cell r="I1104">
            <v>16.2</v>
          </cell>
        </row>
        <row r="1105">
          <cell r="A1105">
            <v>371002</v>
          </cell>
          <cell r="B1105" t="str">
            <v>JJ63-0813-FC-R-CL</v>
          </cell>
          <cell r="C1105">
            <v>4</v>
          </cell>
          <cell r="D1105" t="str">
            <v>ISBM</v>
          </cell>
          <cell r="E1105" t="str">
            <v>PET</v>
          </cell>
          <cell r="F1105">
            <v>44.5</v>
          </cell>
          <cell r="G1105"/>
          <cell r="H1105">
            <v>44</v>
          </cell>
          <cell r="I1105">
            <v>20.8</v>
          </cell>
        </row>
        <row r="1106">
          <cell r="A1106">
            <v>322474</v>
          </cell>
          <cell r="B1106" t="str">
            <v>JJ63-0850-RH-R-CL</v>
          </cell>
          <cell r="C1106">
            <v>4</v>
          </cell>
          <cell r="D1106" t="str">
            <v>ISBM</v>
          </cell>
          <cell r="E1106" t="str">
            <v>PET</v>
          </cell>
          <cell r="F1106">
            <v>44</v>
          </cell>
          <cell r="G1106"/>
          <cell r="H1106">
            <v>44</v>
          </cell>
          <cell r="I1106">
            <v>28.56</v>
          </cell>
        </row>
        <row r="1107">
          <cell r="A1107">
            <v>438275</v>
          </cell>
          <cell r="B1107" t="str">
            <v>JJ63-1000-E-E-WH</v>
          </cell>
          <cell r="C1107">
            <v>4</v>
          </cell>
          <cell r="D1107" t="str">
            <v>ISBM</v>
          </cell>
          <cell r="E1107" t="str">
            <v>PET</v>
          </cell>
          <cell r="F1107">
            <v>44</v>
          </cell>
          <cell r="G1107"/>
          <cell r="H1107">
            <v>45</v>
          </cell>
          <cell r="I1107">
            <v>26.18</v>
          </cell>
        </row>
        <row r="1108">
          <cell r="A1108">
            <v>322477</v>
          </cell>
          <cell r="B1108" t="str">
            <v>JJ63-1000-E-R-CL</v>
          </cell>
          <cell r="C1108">
            <v>4</v>
          </cell>
          <cell r="D1108" t="str">
            <v>ISBM</v>
          </cell>
          <cell r="E1108" t="str">
            <v>PET</v>
          </cell>
          <cell r="F1108">
            <v>44</v>
          </cell>
          <cell r="G1108"/>
          <cell r="H1108">
            <v>44</v>
          </cell>
          <cell r="I1108">
            <v>26</v>
          </cell>
        </row>
        <row r="1109">
          <cell r="A1109">
            <v>329664</v>
          </cell>
          <cell r="B1109" t="str">
            <v>JJ63-1000-SR-S-CL (648)</v>
          </cell>
          <cell r="C1109">
            <v>4</v>
          </cell>
          <cell r="D1109" t="str">
            <v>ISBM</v>
          </cell>
          <cell r="E1109" t="str">
            <v>PET</v>
          </cell>
          <cell r="F1109">
            <v>45.2</v>
          </cell>
          <cell r="G1109"/>
          <cell r="H1109">
            <v>95.2</v>
          </cell>
          <cell r="I1109">
            <v>29.52</v>
          </cell>
        </row>
        <row r="1110">
          <cell r="A1110">
            <v>475541</v>
          </cell>
          <cell r="B1110" t="str">
            <v>JJ63-1000-S-S-CL</v>
          </cell>
          <cell r="C1110">
            <v>4</v>
          </cell>
          <cell r="D1110" t="str">
            <v>ISBM</v>
          </cell>
          <cell r="E1110" t="str">
            <v>PET</v>
          </cell>
          <cell r="F1110">
            <v>44</v>
          </cell>
          <cell r="G1110"/>
          <cell r="H1110">
            <v>44</v>
          </cell>
          <cell r="I1110">
            <v>25</v>
          </cell>
        </row>
        <row r="1111">
          <cell r="A1111">
            <v>588272</v>
          </cell>
          <cell r="B1111" t="str">
            <v>JK57-0350-R-CL-KEKO</v>
          </cell>
          <cell r="C1111">
            <v>2</v>
          </cell>
          <cell r="D1111" t="str">
            <v>BRAVAN</v>
          </cell>
          <cell r="E1111" t="str">
            <v>PET CAN</v>
          </cell>
          <cell r="F1111">
            <v>18</v>
          </cell>
          <cell r="G1111"/>
          <cell r="H1111">
            <v>24</v>
          </cell>
          <cell r="I1111">
            <v>6.8</v>
          </cell>
        </row>
        <row r="1112">
          <cell r="A1112">
            <v>647596</v>
          </cell>
          <cell r="B1112" t="str">
            <v>JK57-0300-R-CL-JJ-PET</v>
          </cell>
          <cell r="C1112">
            <v>2</v>
          </cell>
          <cell r="D1112" t="str">
            <v>BRAVAN</v>
          </cell>
          <cell r="E1112" t="str">
            <v>PET CAN</v>
          </cell>
          <cell r="F1112">
            <v>17.03</v>
          </cell>
          <cell r="G1112"/>
          <cell r="H1112">
            <v>24.22</v>
          </cell>
          <cell r="I1112">
            <v>6.8</v>
          </cell>
        </row>
        <row r="1113">
          <cell r="A1113">
            <v>334730</v>
          </cell>
          <cell r="B1113" t="str">
            <v>JL63-1000-E-R-CL</v>
          </cell>
          <cell r="C1113">
            <v>4</v>
          </cell>
          <cell r="D1113" t="str">
            <v>ISBM</v>
          </cell>
          <cell r="E1113" t="str">
            <v>PET</v>
          </cell>
          <cell r="F1113">
            <v>44</v>
          </cell>
          <cell r="G1113"/>
          <cell r="H1113">
            <v>150.19999999999999</v>
          </cell>
          <cell r="I1113">
            <v>25</v>
          </cell>
        </row>
        <row r="1114">
          <cell r="A1114">
            <v>333708</v>
          </cell>
          <cell r="B1114" t="str">
            <v>JN90-2480-N-R-CL FOX LABEL</v>
          </cell>
          <cell r="C1114">
            <v>3</v>
          </cell>
          <cell r="D1114" t="str">
            <v>ISBM</v>
          </cell>
          <cell r="E1114" t="str">
            <v>PET</v>
          </cell>
          <cell r="F1114">
            <v>96.2</v>
          </cell>
          <cell r="G1114"/>
          <cell r="H1114">
            <v>96.2</v>
          </cell>
          <cell r="I1114">
            <v>30</v>
          </cell>
        </row>
        <row r="1115">
          <cell r="A1115">
            <v>339243</v>
          </cell>
          <cell r="B1115" t="str">
            <v>JN90-2480-N-R-CL FOX LB + ORG CAP</v>
          </cell>
          <cell r="C1115">
            <v>3</v>
          </cell>
          <cell r="D1115" t="str">
            <v>ISBM</v>
          </cell>
          <cell r="E1115" t="str">
            <v>PET</v>
          </cell>
          <cell r="F1115">
            <v>97.2</v>
          </cell>
          <cell r="G1115"/>
          <cell r="H1115">
            <v>95.2</v>
          </cell>
          <cell r="I1115">
            <v>30</v>
          </cell>
        </row>
        <row r="1116">
          <cell r="A1116">
            <v>333704</v>
          </cell>
          <cell r="B1116" t="str">
            <v>JN90-2480-N-R-CL MILO LABEL</v>
          </cell>
          <cell r="C1116">
            <v>3</v>
          </cell>
          <cell r="D1116" t="str">
            <v>ISBM</v>
          </cell>
          <cell r="E1116" t="str">
            <v>PET</v>
          </cell>
          <cell r="F1116">
            <v>96.2</v>
          </cell>
          <cell r="G1116"/>
          <cell r="H1116">
            <v>96.2</v>
          </cell>
          <cell r="I1116">
            <v>30</v>
          </cell>
        </row>
        <row r="1117">
          <cell r="A1117">
            <v>337767</v>
          </cell>
          <cell r="B1117" t="str">
            <v>JN90-2480-N-R-CL MILO LABEL NEW</v>
          </cell>
          <cell r="C1117">
            <v>3</v>
          </cell>
          <cell r="D1117" t="str">
            <v>ISBM</v>
          </cell>
          <cell r="E1117" t="str">
            <v>PET</v>
          </cell>
          <cell r="F1117">
            <v>96.2</v>
          </cell>
          <cell r="G1117"/>
          <cell r="H1117">
            <v>95.2</v>
          </cell>
          <cell r="I1117">
            <v>30</v>
          </cell>
        </row>
        <row r="1118">
          <cell r="A1118">
            <v>339222</v>
          </cell>
          <cell r="B1118" t="str">
            <v>JN90-2480-N-R-CL MILO LB + GRN CAP</v>
          </cell>
          <cell r="C1118">
            <v>3</v>
          </cell>
          <cell r="D1118" t="str">
            <v>ISBM</v>
          </cell>
          <cell r="E1118" t="str">
            <v>PET</v>
          </cell>
          <cell r="F1118">
            <v>97.2</v>
          </cell>
          <cell r="G1118"/>
          <cell r="H1118">
            <v>97.2</v>
          </cell>
          <cell r="I1118">
            <v>30</v>
          </cell>
        </row>
        <row r="1119">
          <cell r="A1119">
            <v>333706</v>
          </cell>
          <cell r="B1119" t="str">
            <v>JN90-2480-N-R-CL POLO LABEL</v>
          </cell>
          <cell r="C1119">
            <v>3</v>
          </cell>
          <cell r="D1119" t="str">
            <v>ISBM</v>
          </cell>
          <cell r="E1119" t="str">
            <v>PET</v>
          </cell>
          <cell r="F1119">
            <v>96.2</v>
          </cell>
          <cell r="G1119"/>
          <cell r="H1119">
            <v>95.2</v>
          </cell>
          <cell r="I1119">
            <v>30</v>
          </cell>
        </row>
        <row r="1120">
          <cell r="A1120">
            <v>339242</v>
          </cell>
          <cell r="B1120" t="str">
            <v>JN90-2480-N-R-CL POLO LB + BL CAP</v>
          </cell>
          <cell r="C1120">
            <v>3</v>
          </cell>
          <cell r="D1120" t="str">
            <v>ISBM</v>
          </cell>
          <cell r="E1120" t="str">
            <v>PET</v>
          </cell>
          <cell r="F1120">
            <v>97.2</v>
          </cell>
          <cell r="G1120"/>
          <cell r="H1120">
            <v>24.3</v>
          </cell>
          <cell r="I1120">
            <v>30</v>
          </cell>
        </row>
        <row r="1121">
          <cell r="A1121">
            <v>333745</v>
          </cell>
          <cell r="B1121" t="str">
            <v>JN90-2480-R-R-CL</v>
          </cell>
          <cell r="C1121">
            <v>3</v>
          </cell>
          <cell r="D1121" t="str">
            <v>ISBM</v>
          </cell>
          <cell r="E1121" t="str">
            <v>PET</v>
          </cell>
          <cell r="F1121">
            <v>95.2</v>
          </cell>
          <cell r="G1121"/>
          <cell r="H1121">
            <v>95.2</v>
          </cell>
          <cell r="I1121">
            <v>30</v>
          </cell>
        </row>
        <row r="1122">
          <cell r="A1122">
            <v>557213</v>
          </cell>
          <cell r="B1122" t="str">
            <v>JN90-2480-R-R-CL CRUNCH 16G LABEL</v>
          </cell>
          <cell r="C1122">
            <v>3</v>
          </cell>
          <cell r="D1122" t="str">
            <v>ISBM</v>
          </cell>
          <cell r="E1122" t="str">
            <v>PET</v>
          </cell>
          <cell r="F1122">
            <v>98.2</v>
          </cell>
          <cell r="G1122"/>
          <cell r="H1122">
            <v>24.3</v>
          </cell>
          <cell r="I1122">
            <v>30</v>
          </cell>
        </row>
        <row r="1123">
          <cell r="A1123">
            <v>589461</v>
          </cell>
          <cell r="B1123" t="str">
            <v>JO97-2200-R-G.BL-PET-SIZE3-OUJI</v>
          </cell>
          <cell r="C1123">
            <v>2</v>
          </cell>
          <cell r="D1123" t="str">
            <v>OUJI</v>
          </cell>
          <cell r="E1123" t="str">
            <v>PET</v>
          </cell>
          <cell r="F1123">
            <v>118</v>
          </cell>
          <cell r="G1123"/>
          <cell r="H1123">
            <v>118</v>
          </cell>
          <cell r="I1123">
            <v>14</v>
          </cell>
        </row>
        <row r="1124">
          <cell r="A1124">
            <v>590665</v>
          </cell>
          <cell r="B1124" t="str">
            <v>JO97-2200-R-WHITE-PET-SIZE3-OUJI</v>
          </cell>
          <cell r="C1124">
            <v>2</v>
          </cell>
          <cell r="D1124" t="str">
            <v>OUJI</v>
          </cell>
          <cell r="E1124" t="str">
            <v>PET</v>
          </cell>
          <cell r="F1124">
            <v>118</v>
          </cell>
          <cell r="G1124"/>
          <cell r="H1124">
            <v>118</v>
          </cell>
          <cell r="I1124">
            <v>14</v>
          </cell>
        </row>
        <row r="1125">
          <cell r="A1125">
            <v>594832</v>
          </cell>
          <cell r="B1125" t="str">
            <v>JO97-1700-R-G.BL-PET-SIZE 1-OUJI</v>
          </cell>
          <cell r="C1125">
            <v>2</v>
          </cell>
          <cell r="D1125" t="str">
            <v>OUJI</v>
          </cell>
          <cell r="E1125" t="str">
            <v>PET</v>
          </cell>
          <cell r="F1125">
            <v>95</v>
          </cell>
          <cell r="G1125"/>
          <cell r="H1125">
            <v>95</v>
          </cell>
          <cell r="I1125">
            <v>14</v>
          </cell>
        </row>
        <row r="1126">
          <cell r="A1126">
            <v>594833</v>
          </cell>
          <cell r="B1126" t="str">
            <v>JO97-1700-R-WHITE-PET-SIZE 1-OUJI</v>
          </cell>
          <cell r="C1126">
            <v>2</v>
          </cell>
          <cell r="D1126" t="str">
            <v>OUJI</v>
          </cell>
          <cell r="E1126" t="str">
            <v>PET</v>
          </cell>
          <cell r="F1126">
            <v>95</v>
          </cell>
          <cell r="G1126"/>
          <cell r="H1126">
            <v>95</v>
          </cell>
          <cell r="I1126">
            <v>14</v>
          </cell>
        </row>
        <row r="1127">
          <cell r="A1127">
            <v>324216</v>
          </cell>
          <cell r="B1127" t="str">
            <v>JW110-4100-R-R-AM</v>
          </cell>
          <cell r="C1127">
            <v>1</v>
          </cell>
          <cell r="D1127" t="str">
            <v>ISBM</v>
          </cell>
          <cell r="E1127" t="str">
            <v>PET</v>
          </cell>
          <cell r="F1127">
            <v>150.19999999999999</v>
          </cell>
          <cell r="G1127"/>
          <cell r="H1127">
            <v>150.19999999999999</v>
          </cell>
          <cell r="I1127">
            <v>36</v>
          </cell>
        </row>
        <row r="1128">
          <cell r="A1128">
            <v>322484</v>
          </cell>
          <cell r="B1128" t="str">
            <v>JW110-5000-S-S-CL</v>
          </cell>
          <cell r="C1128">
            <v>1</v>
          </cell>
          <cell r="D1128" t="str">
            <v>ISBM</v>
          </cell>
          <cell r="E1128" t="str">
            <v>PET</v>
          </cell>
          <cell r="F1128">
            <v>142.6</v>
          </cell>
          <cell r="G1128"/>
          <cell r="H1128">
            <v>24</v>
          </cell>
          <cell r="I1128">
            <v>9</v>
          </cell>
        </row>
        <row r="1129">
          <cell r="A1129">
            <v>331136</v>
          </cell>
          <cell r="B1129" t="str">
            <v>JX63-0200-R-R-CL</v>
          </cell>
          <cell r="C1129">
            <v>4</v>
          </cell>
          <cell r="D1129" t="str">
            <v>ISBM</v>
          </cell>
          <cell r="E1129" t="str">
            <v>PET</v>
          </cell>
          <cell r="F1129">
            <v>30</v>
          </cell>
          <cell r="G1129"/>
          <cell r="H1129">
            <v>26.9</v>
          </cell>
          <cell r="I1129">
            <v>23</v>
          </cell>
        </row>
        <row r="1130">
          <cell r="A1130">
            <v>324142</v>
          </cell>
          <cell r="B1130" t="str">
            <v>JX63-0235-RN-R-BR</v>
          </cell>
          <cell r="C1130">
            <v>4</v>
          </cell>
          <cell r="D1130" t="str">
            <v>ISBM</v>
          </cell>
          <cell r="E1130" t="str">
            <v>PET</v>
          </cell>
          <cell r="F1130">
            <v>27</v>
          </cell>
          <cell r="G1130"/>
          <cell r="H1130">
            <v>28.7</v>
          </cell>
          <cell r="I1130">
            <v>22</v>
          </cell>
        </row>
        <row r="1131">
          <cell r="A1131">
            <v>326771</v>
          </cell>
          <cell r="B1131" t="str">
            <v>JX63-0235-R-R-CL</v>
          </cell>
          <cell r="C1131">
            <v>4</v>
          </cell>
          <cell r="D1131" t="str">
            <v>ISBM</v>
          </cell>
          <cell r="E1131" t="str">
            <v>PET</v>
          </cell>
          <cell r="F1131">
            <v>24</v>
          </cell>
          <cell r="G1131"/>
          <cell r="H1131">
            <v>26.97</v>
          </cell>
          <cell r="I1131">
            <v>21.68</v>
          </cell>
        </row>
        <row r="1132">
          <cell r="A1132">
            <v>326273</v>
          </cell>
          <cell r="B1132" t="str">
            <v>JX63-0240-RSN-R-CL</v>
          </cell>
          <cell r="C1132">
            <v>4</v>
          </cell>
          <cell r="D1132" t="str">
            <v>ISBM</v>
          </cell>
          <cell r="E1132" t="str">
            <v>PET</v>
          </cell>
          <cell r="F1132">
            <v>27</v>
          </cell>
          <cell r="G1132"/>
          <cell r="H1132">
            <v>29.1</v>
          </cell>
          <cell r="I1132">
            <v>18.559999999999999</v>
          </cell>
        </row>
        <row r="1133">
          <cell r="A1133">
            <v>355328</v>
          </cell>
          <cell r="B1133" t="str">
            <v>JX63-0320-A-S-AM</v>
          </cell>
          <cell r="C1133">
            <v>4</v>
          </cell>
          <cell r="D1133" t="str">
            <v>ISBM</v>
          </cell>
          <cell r="E1133" t="str">
            <v>PET</v>
          </cell>
          <cell r="F1133">
            <v>28.7</v>
          </cell>
          <cell r="G1133"/>
          <cell r="H1133">
            <v>28.7</v>
          </cell>
          <cell r="I1133">
            <v>22</v>
          </cell>
        </row>
        <row r="1134">
          <cell r="A1134">
            <v>411344</v>
          </cell>
          <cell r="B1134" t="str">
            <v>JX63-0350-R-R-CL</v>
          </cell>
          <cell r="C1134">
            <v>4</v>
          </cell>
          <cell r="D1134" t="str">
            <v>ISBM</v>
          </cell>
          <cell r="E1134" t="str">
            <v>PET</v>
          </cell>
          <cell r="F1134">
            <v>29.1</v>
          </cell>
          <cell r="G1134"/>
          <cell r="H1134">
            <v>30</v>
          </cell>
          <cell r="I1134">
            <v>34</v>
          </cell>
        </row>
        <row r="1135">
          <cell r="A1135">
            <v>355327</v>
          </cell>
          <cell r="B1135" t="str">
            <v>JX63-0400-S-S-AM</v>
          </cell>
          <cell r="C1135">
            <v>4</v>
          </cell>
          <cell r="D1135" t="str">
            <v>ISBM</v>
          </cell>
          <cell r="E1135" t="str">
            <v>PET</v>
          </cell>
          <cell r="F1135">
            <v>29</v>
          </cell>
          <cell r="G1135"/>
          <cell r="H1135">
            <v>29.5</v>
          </cell>
          <cell r="I1135">
            <v>22.76</v>
          </cell>
        </row>
        <row r="1136">
          <cell r="A1136">
            <v>324108</v>
          </cell>
          <cell r="B1136" t="str">
            <v>JX63-0475-FFN-R-CL</v>
          </cell>
          <cell r="C1136">
            <v>4</v>
          </cell>
          <cell r="D1136" t="str">
            <v>ISBM</v>
          </cell>
          <cell r="E1136" t="str">
            <v>PET</v>
          </cell>
          <cell r="F1136">
            <v>29</v>
          </cell>
          <cell r="G1136"/>
          <cell r="H1136">
            <v>28.5</v>
          </cell>
          <cell r="I1136">
            <v>27.388000000000002</v>
          </cell>
        </row>
        <row r="1137">
          <cell r="A1137">
            <v>334480</v>
          </cell>
          <cell r="B1137" t="str">
            <v>JX63-0500-S-S-CL</v>
          </cell>
          <cell r="C1137">
            <v>4</v>
          </cell>
          <cell r="D1137" t="str">
            <v>ISBM</v>
          </cell>
          <cell r="E1137" t="str">
            <v>PET</v>
          </cell>
          <cell r="F1137">
            <v>29.5</v>
          </cell>
          <cell r="G1137"/>
          <cell r="H1137">
            <v>44</v>
          </cell>
          <cell r="I1137">
            <v>22</v>
          </cell>
        </row>
        <row r="1138">
          <cell r="A1138">
            <v>328420</v>
          </cell>
          <cell r="B1138" t="str">
            <v>JX63-0531-RN-R-CL</v>
          </cell>
          <cell r="C1138">
            <v>4</v>
          </cell>
          <cell r="D1138" t="str">
            <v>ISBM</v>
          </cell>
          <cell r="E1138" t="str">
            <v>PET</v>
          </cell>
          <cell r="F1138">
            <v>28.5</v>
          </cell>
          <cell r="G1138"/>
          <cell r="H1138">
            <v>28.5</v>
          </cell>
          <cell r="I1138">
            <v>21.12</v>
          </cell>
        </row>
        <row r="1139">
          <cell r="A1139">
            <v>365091</v>
          </cell>
          <cell r="B1139" t="str">
            <v>JX63-1000-E-R-CL</v>
          </cell>
          <cell r="C1139">
            <v>4</v>
          </cell>
          <cell r="D1139" t="str">
            <v>ISBM</v>
          </cell>
          <cell r="E1139" t="str">
            <v>PET</v>
          </cell>
          <cell r="F1139">
            <v>44</v>
          </cell>
          <cell r="G1139"/>
          <cell r="H1139">
            <v>44</v>
          </cell>
          <cell r="I1139">
            <v>28.64</v>
          </cell>
        </row>
        <row r="1140">
          <cell r="A1140">
            <v>588637</v>
          </cell>
          <cell r="B1140" t="str">
            <v>PF-JK57-24-82-KEKO</v>
          </cell>
          <cell r="C1140">
            <v>6</v>
          </cell>
          <cell r="D1140" t="str">
            <v>INJ</v>
          </cell>
          <cell r="E1140" t="str">
            <v>PET PF CAN</v>
          </cell>
          <cell r="F1140">
            <v>24.6</v>
          </cell>
          <cell r="G1140"/>
          <cell r="H1140">
            <v>24.6</v>
          </cell>
          <cell r="I1140">
            <v>26</v>
          </cell>
        </row>
        <row r="1141">
          <cell r="A1141">
            <v>588637</v>
          </cell>
          <cell r="B1141" t="str">
            <v>PF-JK57-24-82-KEKO</v>
          </cell>
          <cell r="C1141">
            <v>6</v>
          </cell>
          <cell r="D1141" t="str">
            <v>INJ</v>
          </cell>
          <cell r="E1141" t="str">
            <v>PET PF CAN</v>
          </cell>
          <cell r="F1141">
            <v>24.6</v>
          </cell>
          <cell r="G1141"/>
          <cell r="H1141">
            <v>24.6</v>
          </cell>
          <cell r="I1141">
            <v>26</v>
          </cell>
        </row>
        <row r="1142">
          <cell r="A1142">
            <v>550363</v>
          </cell>
          <cell r="B1142" t="str">
            <v>Z- 35G PET PREFORM</v>
          </cell>
          <cell r="C1142">
            <v>1</v>
          </cell>
          <cell r="D1142" t="str">
            <v>INJ</v>
          </cell>
          <cell r="E1142" t="str">
            <v>PET PF CAN</v>
          </cell>
          <cell r="F1142">
            <v>35</v>
          </cell>
          <cell r="G1142"/>
          <cell r="H1142"/>
          <cell r="I1142">
            <v>10</v>
          </cell>
        </row>
        <row r="1143">
          <cell r="A1143">
            <v>322699</v>
          </cell>
          <cell r="B1143" t="str">
            <v>Z-28-EZY CAP COVER</v>
          </cell>
          <cell r="C1143">
            <v>2</v>
          </cell>
          <cell r="D1143" t="str">
            <v>INJ</v>
          </cell>
          <cell r="E1143" t="str">
            <v>SM398</v>
          </cell>
          <cell r="F1143">
            <v>2</v>
          </cell>
          <cell r="G1143"/>
          <cell r="H1143">
            <v>2</v>
          </cell>
          <cell r="I1143">
            <v>13</v>
          </cell>
        </row>
        <row r="1144">
          <cell r="A1144">
            <v>411790</v>
          </cell>
          <cell r="B1144" t="str">
            <v>Z-38MM-PP-HANDLE-BLK</v>
          </cell>
          <cell r="C1144">
            <v>8</v>
          </cell>
          <cell r="D1144" t="str">
            <v>INJ</v>
          </cell>
          <cell r="E1144" t="str">
            <v>PP2300</v>
          </cell>
          <cell r="F1144">
            <v>11.4</v>
          </cell>
          <cell r="G1144"/>
          <cell r="H1144">
            <v>11</v>
          </cell>
          <cell r="I1144">
            <v>28</v>
          </cell>
        </row>
        <row r="1145">
          <cell r="A1145">
            <v>322691</v>
          </cell>
          <cell r="B1145" t="str">
            <v>Z-COMM CUP</v>
          </cell>
          <cell r="C1145">
            <v>8</v>
          </cell>
          <cell r="D1145" t="str">
            <v>INJ</v>
          </cell>
          <cell r="E1145" t="str">
            <v>SM398</v>
          </cell>
          <cell r="F1145">
            <v>1.7</v>
          </cell>
          <cell r="G1145"/>
          <cell r="H1145">
            <v>1.7</v>
          </cell>
          <cell r="I1145">
            <v>20</v>
          </cell>
        </row>
        <row r="1146">
          <cell r="A1146">
            <v>323084</v>
          </cell>
          <cell r="B1146" t="str">
            <v>Z-HANDLE - BLUE</v>
          </cell>
          <cell r="C1146">
            <v>8</v>
          </cell>
          <cell r="D1146" t="str">
            <v>INJ</v>
          </cell>
          <cell r="E1146" t="str">
            <v>PP2300</v>
          </cell>
          <cell r="F1146">
            <v>11.39</v>
          </cell>
          <cell r="G1146"/>
          <cell r="H1146">
            <v>11</v>
          </cell>
          <cell r="I1146">
            <v>30</v>
          </cell>
        </row>
        <row r="1147">
          <cell r="A1147">
            <v>322540</v>
          </cell>
          <cell r="B1147" t="str">
            <v>Z-HANDLE - GREEN</v>
          </cell>
          <cell r="C1147">
            <v>8</v>
          </cell>
          <cell r="D1147" t="str">
            <v>INJ</v>
          </cell>
          <cell r="E1147" t="str">
            <v>PP2300</v>
          </cell>
          <cell r="F1147">
            <v>11.39</v>
          </cell>
          <cell r="G1147"/>
          <cell r="H1147">
            <v>11</v>
          </cell>
          <cell r="I1147">
            <v>33</v>
          </cell>
        </row>
        <row r="1148">
          <cell r="A1148">
            <v>322537</v>
          </cell>
          <cell r="B1148" t="str">
            <v>Z-HANDLE - RED</v>
          </cell>
          <cell r="C1148">
            <v>8</v>
          </cell>
          <cell r="D1148" t="str">
            <v>INJ</v>
          </cell>
          <cell r="E1148" t="str">
            <v>PP2300</v>
          </cell>
          <cell r="F1148">
            <v>11.39</v>
          </cell>
          <cell r="G1148"/>
          <cell r="H1148">
            <v>11</v>
          </cell>
          <cell r="I1148">
            <v>33</v>
          </cell>
        </row>
        <row r="1149">
          <cell r="A1149">
            <v>322542</v>
          </cell>
          <cell r="B1149" t="str">
            <v>Z-HANDLE - WHITE</v>
          </cell>
          <cell r="C1149">
            <v>8</v>
          </cell>
          <cell r="D1149" t="str">
            <v>INJ</v>
          </cell>
          <cell r="E1149" t="str">
            <v>PP2300</v>
          </cell>
          <cell r="F1149">
            <v>11.39</v>
          </cell>
          <cell r="G1149"/>
          <cell r="H1149">
            <v>11</v>
          </cell>
          <cell r="I1149">
            <v>33</v>
          </cell>
        </row>
        <row r="1150">
          <cell r="A1150">
            <v>322535</v>
          </cell>
          <cell r="B1150" t="str">
            <v>Z-HANDLE - YELLOW</v>
          </cell>
          <cell r="C1150">
            <v>8</v>
          </cell>
          <cell r="D1150" t="str">
            <v>INJ</v>
          </cell>
          <cell r="E1150" t="str">
            <v>PP2300</v>
          </cell>
          <cell r="F1150">
            <v>11.39</v>
          </cell>
          <cell r="G1150"/>
          <cell r="H1150">
            <v>11</v>
          </cell>
          <cell r="I1150">
            <v>30</v>
          </cell>
        </row>
        <row r="1151">
          <cell r="A1151">
            <v>414321</v>
          </cell>
          <cell r="B1151" t="str">
            <v>Z-HANDLE-ORANGE</v>
          </cell>
          <cell r="C1151">
            <v>8</v>
          </cell>
          <cell r="D1151" t="str">
            <v>INJ</v>
          </cell>
          <cell r="E1151" t="str">
            <v>PP2300</v>
          </cell>
          <cell r="F1151">
            <v>11.39</v>
          </cell>
          <cell r="G1151"/>
          <cell r="H1151">
            <v>11.39</v>
          </cell>
          <cell r="I1151">
            <v>28.72</v>
          </cell>
        </row>
        <row r="1152">
          <cell r="A1152">
            <v>414818</v>
          </cell>
          <cell r="B1152" t="str">
            <v>Z-HANDLE-VIOLET</v>
          </cell>
          <cell r="C1152">
            <v>8</v>
          </cell>
          <cell r="D1152" t="str">
            <v>INJ</v>
          </cell>
          <cell r="E1152" t="str">
            <v>PP2300</v>
          </cell>
          <cell r="F1152">
            <v>11.39</v>
          </cell>
          <cell r="G1152"/>
          <cell r="H1152">
            <v>11</v>
          </cell>
          <cell r="I1152">
            <v>28.8</v>
          </cell>
        </row>
        <row r="1153">
          <cell r="A1153">
            <v>604327</v>
          </cell>
          <cell r="B1153" t="str">
            <v>PF-BX38-0056-0130-CL-PET</v>
          </cell>
          <cell r="C1153">
            <v>6</v>
          </cell>
          <cell r="D1153" t="str">
            <v>INJ</v>
          </cell>
          <cell r="E1153" t="str">
            <v xml:space="preserve">PET </v>
          </cell>
          <cell r="F1153">
            <v>55.9</v>
          </cell>
          <cell r="G1153"/>
          <cell r="H1153">
            <v>55.9</v>
          </cell>
          <cell r="I1153">
            <v>37.5</v>
          </cell>
        </row>
        <row r="1154">
          <cell r="A1154">
            <v>655555</v>
          </cell>
          <cell r="B1154" t="str">
            <v>PFA32-0410-CL-PET-HF</v>
          </cell>
          <cell r="C1154">
            <v>8</v>
          </cell>
          <cell r="D1154" t="str">
            <v>INJ</v>
          </cell>
          <cell r="E1154" t="str">
            <v>PET CZ333</v>
          </cell>
          <cell r="F1154">
            <v>31</v>
          </cell>
          <cell r="G1154"/>
          <cell r="H1154">
            <v>31</v>
          </cell>
          <cell r="I1154">
            <v>37.5</v>
          </cell>
        </row>
        <row r="1155">
          <cell r="A1155">
            <v>644444</v>
          </cell>
          <cell r="B1155" t="str">
            <v>PF-A250-HF</v>
          </cell>
          <cell r="C1155">
            <v>12</v>
          </cell>
          <cell r="D1155" t="str">
            <v>INJ</v>
          </cell>
          <cell r="E1155" t="str">
            <v>PET CZ333</v>
          </cell>
          <cell r="F1155">
            <v>20</v>
          </cell>
          <cell r="G1155"/>
          <cell r="H1155">
            <v>20</v>
          </cell>
          <cell r="I1155">
            <v>37.5</v>
          </cell>
        </row>
        <row r="1156">
          <cell r="A1156">
            <v>612060</v>
          </cell>
          <cell r="B1156" t="str">
            <v>BS0155-NA-KEFIR-M.KISAH</v>
          </cell>
          <cell r="C1156">
            <v>4</v>
          </cell>
          <cell r="D1156" t="str">
            <v>INJ</v>
          </cell>
          <cell r="E1156" t="str">
            <v>HDPE5403A</v>
          </cell>
          <cell r="F1156">
            <v>20</v>
          </cell>
          <cell r="G1156"/>
          <cell r="H1156">
            <v>20</v>
          </cell>
          <cell r="I1156">
            <v>9</v>
          </cell>
        </row>
        <row r="1157">
          <cell r="A1157">
            <v>612132</v>
          </cell>
          <cell r="B1157" t="str">
            <v>BS0155-NA-KEFIR-BERRIES</v>
          </cell>
          <cell r="C1157">
            <v>4</v>
          </cell>
          <cell r="D1157" t="str">
            <v>INJ</v>
          </cell>
          <cell r="E1157" t="str">
            <v>HDPE5403A</v>
          </cell>
          <cell r="F1157">
            <v>20</v>
          </cell>
          <cell r="G1157"/>
          <cell r="H1157">
            <v>20</v>
          </cell>
          <cell r="I1157">
            <v>9</v>
          </cell>
        </row>
        <row r="1158">
          <cell r="A1158">
            <v>612135</v>
          </cell>
          <cell r="B1158" t="str">
            <v>BS0155-NA-KEFIR-MANGGA PIC</v>
          </cell>
          <cell r="C1158">
            <v>4</v>
          </cell>
          <cell r="D1158" t="str">
            <v>INJ</v>
          </cell>
          <cell r="E1158" t="str">
            <v>HDPE5403A</v>
          </cell>
          <cell r="F1158">
            <v>20</v>
          </cell>
          <cell r="G1158"/>
          <cell r="H1158">
            <v>20</v>
          </cell>
          <cell r="I1158">
            <v>9</v>
          </cell>
        </row>
        <row r="1159">
          <cell r="A1159">
            <v>612317</v>
          </cell>
          <cell r="B1159" t="str">
            <v>AL0512-BK-36MM CAP (BLACK) W/IND SEAL</v>
          </cell>
          <cell r="C1159"/>
          <cell r="D1159" t="str">
            <v>INJ</v>
          </cell>
          <cell r="E1159"/>
          <cell r="F1159"/>
          <cell r="G1159"/>
          <cell r="H1159"/>
          <cell r="I1159"/>
        </row>
        <row r="1160">
          <cell r="A1160">
            <v>611847</v>
          </cell>
          <cell r="B1160" t="str">
            <v>CF54-0050-R-YL WITH PE LINER RING (ASEM)</v>
          </cell>
          <cell r="C1160">
            <v>4</v>
          </cell>
          <cell r="D1160" t="str">
            <v>INJ</v>
          </cell>
          <cell r="E1160" t="str">
            <v>HDPE5403A</v>
          </cell>
          <cell r="F1160">
            <v>16.3</v>
          </cell>
          <cell r="G1160"/>
          <cell r="H1160">
            <v>16.3</v>
          </cell>
          <cell r="I1160">
            <v>37</v>
          </cell>
        </row>
        <row r="1161">
          <cell r="A1161" t="str">
            <v>593537-M2</v>
          </cell>
          <cell r="B1161" t="str">
            <v>BX38-1000-RN-R-CL-rPET 0.2-M2</v>
          </cell>
          <cell r="C1161">
            <v>2</v>
          </cell>
          <cell r="D1161" t="str">
            <v>BRAVAN</v>
          </cell>
          <cell r="E1161" t="str">
            <v>rPET</v>
          </cell>
          <cell r="F1161">
            <v>56.8</v>
          </cell>
          <cell r="G1161"/>
          <cell r="H1161">
            <v>56.5</v>
          </cell>
          <cell r="I1161">
            <v>10</v>
          </cell>
        </row>
        <row r="1162">
          <cell r="A1162">
            <v>611846</v>
          </cell>
          <cell r="B1162" t="str">
            <v>B54-5000-S-CL-HDPE</v>
          </cell>
          <cell r="C1162">
            <v>2</v>
          </cell>
          <cell r="D1162" t="str">
            <v>EBM</v>
          </cell>
          <cell r="E1162" t="str">
            <v>MARLEX50100</v>
          </cell>
          <cell r="F1162">
            <v>329</v>
          </cell>
          <cell r="G1162"/>
          <cell r="H1162">
            <v>453</v>
          </cell>
          <cell r="I1162">
            <v>40.1</v>
          </cell>
        </row>
        <row r="1163">
          <cell r="A1163">
            <v>645097</v>
          </cell>
          <cell r="B1163" t="str">
            <v>E44-7800-S-NA-FMC-HDPE</v>
          </cell>
          <cell r="C1163">
            <v>2</v>
          </cell>
          <cell r="D1163" t="str">
            <v>EBM</v>
          </cell>
          <cell r="E1163" t="str">
            <v>MARLEX5502</v>
          </cell>
          <cell r="F1163">
            <v>280</v>
          </cell>
          <cell r="G1163"/>
          <cell r="H1163">
            <v>440.5</v>
          </cell>
          <cell r="I1163">
            <v>40.1</v>
          </cell>
        </row>
        <row r="1164">
          <cell r="A1164">
            <v>645095</v>
          </cell>
          <cell r="B1164" t="str">
            <v>E44-3900-S-NA-FMC-HDPE</v>
          </cell>
          <cell r="C1164">
            <v>2</v>
          </cell>
          <cell r="D1164" t="str">
            <v>EBM</v>
          </cell>
          <cell r="E1164" t="str">
            <v>MARLEX5502</v>
          </cell>
          <cell r="F1164">
            <v>190</v>
          </cell>
          <cell r="G1164"/>
          <cell r="H1164">
            <v>317</v>
          </cell>
          <cell r="I1164">
            <v>45</v>
          </cell>
        </row>
        <row r="1165">
          <cell r="A1165">
            <v>558275</v>
          </cell>
          <cell r="B1165" t="str">
            <v>BC28-0500-D-APH-5040-0758-rHDPE</v>
          </cell>
          <cell r="C1165">
            <v>1</v>
          </cell>
          <cell r="D1165" t="str">
            <v>EBM</v>
          </cell>
          <cell r="E1165" t="str">
            <v>MARLEXTR144+rHDPE GH6100(R75)</v>
          </cell>
          <cell r="F1165">
            <v>86.5</v>
          </cell>
          <cell r="G1165"/>
          <cell r="H1165">
            <v>100.8</v>
          </cell>
          <cell r="I1165">
            <v>45</v>
          </cell>
        </row>
        <row r="1166">
          <cell r="A1166">
            <v>613594</v>
          </cell>
          <cell r="B1166" t="str">
            <v>JJ63-0190-Q-CL-LW-CRISPY(ASEM)V2</v>
          </cell>
          <cell r="C1166">
            <v>1</v>
          </cell>
          <cell r="D1166" t="str">
            <v>ISBM</v>
          </cell>
          <cell r="E1166" t="str">
            <v>PET</v>
          </cell>
          <cell r="F1166">
            <v>24</v>
          </cell>
          <cell r="G1166"/>
          <cell r="H1166">
            <v>24</v>
          </cell>
          <cell r="I1166">
            <v>9</v>
          </cell>
        </row>
        <row r="1167">
          <cell r="A1167">
            <v>600646</v>
          </cell>
          <cell r="B1167" t="str">
            <v>BC28-0500-GS2-R-AM</v>
          </cell>
          <cell r="C1167">
            <v>4</v>
          </cell>
          <cell r="D1167" t="str">
            <v>ISBM</v>
          </cell>
          <cell r="E1167" t="str">
            <v>PET</v>
          </cell>
          <cell r="F1167">
            <v>44</v>
          </cell>
          <cell r="G1167"/>
          <cell r="H1167">
            <v>44</v>
          </cell>
          <cell r="I1167">
            <v>30</v>
          </cell>
        </row>
        <row r="1168">
          <cell r="A1168">
            <v>620901</v>
          </cell>
          <cell r="B1168" t="str">
            <v>BC28-0750-K4-R-CL-JAPAN</v>
          </cell>
          <cell r="C1168">
            <v>4</v>
          </cell>
          <cell r="D1168" t="str">
            <v>EBM</v>
          </cell>
          <cell r="E1168" t="str">
            <v>PET</v>
          </cell>
          <cell r="F1168">
            <v>103</v>
          </cell>
          <cell r="G1168"/>
          <cell r="H1168">
            <v>139.80000000000001</v>
          </cell>
          <cell r="I1168">
            <v>33</v>
          </cell>
        </row>
        <row r="1169">
          <cell r="A1169">
            <v>606767</v>
          </cell>
          <cell r="B1169" t="str">
            <v>JJ63-0336-K-R-CL-HW</v>
          </cell>
          <cell r="C1169">
            <v>4</v>
          </cell>
          <cell r="D1169" t="str">
            <v>EBM</v>
          </cell>
          <cell r="E1169" t="str">
            <v>PET</v>
          </cell>
          <cell r="F1169">
            <v>103</v>
          </cell>
          <cell r="G1169"/>
          <cell r="H1169">
            <v>139.80000000000001</v>
          </cell>
          <cell r="I1169">
            <v>33</v>
          </cell>
        </row>
        <row r="1170">
          <cell r="A1170">
            <v>617192</v>
          </cell>
          <cell r="B1170" t="str">
            <v>EBK38-2017-K-S-BEIGE-HDPE</v>
          </cell>
          <cell r="C1170">
            <v>1</v>
          </cell>
          <cell r="D1170" t="str">
            <v>EBM</v>
          </cell>
          <cell r="E1170" t="str">
            <v>MARLEX6007</v>
          </cell>
          <cell r="F1170">
            <v>103</v>
          </cell>
          <cell r="G1170"/>
          <cell r="H1170">
            <v>139.80000000000001</v>
          </cell>
          <cell r="I1170">
            <v>33</v>
          </cell>
        </row>
        <row r="1171">
          <cell r="A1171">
            <v>645098</v>
          </cell>
          <cell r="B1171" t="str">
            <v xml:space="preserve">BC28-0035-D-LEO-601001-PP </v>
          </cell>
          <cell r="C1171">
            <v>6</v>
          </cell>
          <cell r="D1171" t="str">
            <v>ISBM</v>
          </cell>
          <cell r="E1171" t="str">
            <v>PPSB520Y</v>
          </cell>
          <cell r="F1171">
            <v>11</v>
          </cell>
          <cell r="G1171"/>
          <cell r="H1171">
            <v>11</v>
          </cell>
          <cell r="I1171">
            <v>28</v>
          </cell>
        </row>
        <row r="1172">
          <cell r="A1172">
            <v>604327</v>
          </cell>
          <cell r="B1172" t="str">
            <v>PF-BX38-0056-0130-CL-PET</v>
          </cell>
          <cell r="C1172">
            <v>6</v>
          </cell>
          <cell r="D1172" t="str">
            <v>INJ</v>
          </cell>
          <cell r="E1172" t="str">
            <v>PET</v>
          </cell>
          <cell r="F1172">
            <v>55.9</v>
          </cell>
          <cell r="G1172"/>
          <cell r="H1172">
            <v>55.9</v>
          </cell>
          <cell r="I1172">
            <v>37.5</v>
          </cell>
        </row>
        <row r="1173">
          <cell r="A1173">
            <v>647556</v>
          </cell>
          <cell r="B1173" t="str">
            <v>JJ63-0650HD-CL-PET</v>
          </cell>
          <cell r="C1173">
            <v>4</v>
          </cell>
          <cell r="D1173" t="str">
            <v>ISBM</v>
          </cell>
          <cell r="E1173" t="str">
            <v>PET</v>
          </cell>
          <cell r="F1173">
            <v>33</v>
          </cell>
          <cell r="G1173"/>
          <cell r="H1173">
            <v>33</v>
          </cell>
          <cell r="I1173">
            <v>22</v>
          </cell>
        </row>
        <row r="1174">
          <cell r="A1174">
            <v>650585</v>
          </cell>
          <cell r="B1174" t="str">
            <v>INSULATION CUP 5.0 NATURE</v>
          </cell>
          <cell r="C1174">
            <v>16</v>
          </cell>
          <cell r="D1174" t="str">
            <v>INJ</v>
          </cell>
          <cell r="E1174" t="str">
            <v>PA66</v>
          </cell>
          <cell r="F1174">
            <v>9</v>
          </cell>
          <cell r="G1174"/>
          <cell r="H1174">
            <v>9</v>
          </cell>
          <cell r="I1174">
            <v>13.3</v>
          </cell>
        </row>
        <row r="1175">
          <cell r="A1175">
            <v>620941</v>
          </cell>
          <cell r="B1175" t="str">
            <v xml:space="preserve"> JJ63-0200-R-R-CL 2.0 FANCY FONDANT (ASEM) </v>
          </cell>
          <cell r="C1175">
            <v>1</v>
          </cell>
          <cell r="D1175" t="str">
            <v>ISBM</v>
          </cell>
          <cell r="E1175" t="str">
            <v>PET</v>
          </cell>
          <cell r="F1175">
            <v>24</v>
          </cell>
          <cell r="G1175"/>
          <cell r="H1175">
            <v>24</v>
          </cell>
          <cell r="I1175">
            <v>36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CE51-ECC3-4C4B-BD0F-020BA4354694}">
  <sheetPr>
    <tabColor rgb="FF00B050"/>
    <pageSetUpPr fitToPage="1"/>
  </sheetPr>
  <dimension ref="A1:EE796"/>
  <sheetViews>
    <sheetView tabSelected="1" zoomScale="50" zoomScaleNormal="50" zoomScaleSheetLayoutView="50" workbookViewId="0">
      <pane xSplit="8" ySplit="5" topLeftCell="DU11" activePane="bottomRight" state="frozen"/>
      <selection pane="topRight" activeCell="I1" sqref="I1"/>
      <selection pane="bottomLeft" activeCell="A6" sqref="A6"/>
      <selection pane="bottomRight" activeCell="DY24" sqref="DY24"/>
    </sheetView>
  </sheetViews>
  <sheetFormatPr defaultColWidth="9.1796875" defaultRowHeight="12.75" customHeight="1" outlineLevelCol="1"/>
  <cols>
    <col min="1" max="1" width="9.7265625" style="139" customWidth="1"/>
    <col min="2" max="2" width="13.1796875" style="139" customWidth="1"/>
    <col min="3" max="3" width="37.26953125" style="17" customWidth="1" outlineLevel="1"/>
    <col min="4" max="4" width="44.81640625" style="17" customWidth="1" outlineLevel="1"/>
    <col min="5" max="5" width="18.453125" style="17" customWidth="1" outlineLevel="1"/>
    <col min="6" max="6" width="66.81640625" style="17" customWidth="1"/>
    <col min="7" max="7" width="21.453125" style="17" customWidth="1" outlineLevel="1"/>
    <col min="8" max="8" width="18.7265625" style="17" customWidth="1" outlineLevel="1"/>
    <col min="9" max="9" width="10.453125" style="17" customWidth="1" outlineLevel="1"/>
    <col min="10" max="11" width="12.54296875" style="17" customWidth="1" outlineLevel="1"/>
    <col min="12" max="12" width="13.7265625" style="17" customWidth="1" outlineLevel="1"/>
    <col min="13" max="13" width="17.453125" style="17" customWidth="1" outlineLevel="1"/>
    <col min="14" max="14" width="17.26953125" style="17" customWidth="1"/>
    <col min="15" max="15" width="17.54296875" style="17" customWidth="1"/>
    <col min="16" max="16" width="15.1796875" style="17" customWidth="1"/>
    <col min="17" max="17" width="16.81640625" style="17" customWidth="1" outlineLevel="1"/>
    <col min="18" max="18" width="16.1796875" style="17" customWidth="1" outlineLevel="1"/>
    <col min="19" max="19" width="19" style="17" customWidth="1" outlineLevel="1"/>
    <col min="20" max="20" width="19.1796875" style="17" customWidth="1" outlineLevel="1"/>
    <col min="21" max="21" width="16.1796875" style="17" customWidth="1" outlineLevel="1"/>
    <col min="22" max="22" width="12.81640625" style="17" customWidth="1" outlineLevel="1"/>
    <col min="23" max="23" width="10.26953125" style="17" customWidth="1" outlineLevel="1"/>
    <col min="24" max="24" width="18.453125" style="17" customWidth="1" outlineLevel="1"/>
    <col min="25" max="25" width="10.26953125" style="17" customWidth="1" outlineLevel="1"/>
    <col min="26" max="26" width="14.7265625" style="17" customWidth="1" outlineLevel="1"/>
    <col min="27" max="27" width="11.54296875" style="17" customWidth="1" outlineLevel="1"/>
    <col min="28" max="28" width="13.453125" style="17" customWidth="1" outlineLevel="1"/>
    <col min="29" max="29" width="13.81640625" style="18" customWidth="1" outlineLevel="1"/>
    <col min="30" max="31" width="9.54296875" style="17" customWidth="1" outlineLevel="1"/>
    <col min="32" max="32" width="10.453125" style="17" customWidth="1" outlineLevel="1"/>
    <col min="33" max="33" width="12.26953125" style="17" customWidth="1" outlineLevel="1"/>
    <col min="34" max="34" width="11.26953125" style="17" customWidth="1" outlineLevel="1"/>
    <col min="35" max="35" width="16.54296875" style="17" customWidth="1" outlineLevel="1"/>
    <col min="36" max="36" width="116.453125" style="17" customWidth="1" outlineLevel="1"/>
    <col min="37" max="37" width="12.1796875" style="17" customWidth="1" outlineLevel="1"/>
    <col min="38" max="38" width="15.54296875" style="17" customWidth="1" outlineLevel="1"/>
    <col min="39" max="39" width="12.453125" style="17" customWidth="1" outlineLevel="1"/>
    <col min="40" max="40" width="16.26953125" style="17" customWidth="1" outlineLevel="1"/>
    <col min="41" max="41" width="19.7265625" style="17" customWidth="1" outlineLevel="1"/>
    <col min="42" max="42" width="17" style="140" customWidth="1" outlineLevel="1"/>
    <col min="43" max="43" width="17.453125" style="141" customWidth="1" outlineLevel="1"/>
    <col min="44" max="44" width="17.453125" style="142" customWidth="1" outlineLevel="1"/>
    <col min="45" max="45" width="17.453125" style="141" customWidth="1" outlineLevel="1"/>
    <col min="46" max="46" width="17.453125" style="142" customWidth="1" outlineLevel="1"/>
    <col min="47" max="47" width="16.26953125" style="17" customWidth="1" outlineLevel="1"/>
    <col min="48" max="48" width="17" style="17" customWidth="1" outlineLevel="1"/>
    <col min="49" max="49" width="14.453125" style="17" customWidth="1" outlineLevel="1"/>
    <col min="50" max="50" width="14.26953125" style="17" customWidth="1" outlineLevel="1"/>
    <col min="51" max="51" width="19.453125" style="17" customWidth="1" outlineLevel="1"/>
    <col min="52" max="52" width="22" style="17" customWidth="1"/>
    <col min="53" max="53" width="20.54296875" style="17" customWidth="1"/>
    <col min="54" max="54" width="19.54296875" style="17" customWidth="1"/>
    <col min="55" max="55" width="11.453125" style="17" customWidth="1"/>
    <col min="56" max="56" width="28.81640625" style="17" bestFit="1" customWidth="1"/>
    <col min="57" max="57" width="26.54296875" style="17" bestFit="1" customWidth="1"/>
    <col min="58" max="58" width="18.453125" style="17" customWidth="1"/>
    <col min="59" max="59" width="15.453125" style="17" customWidth="1"/>
    <col min="60" max="60" width="34.1796875" style="17" customWidth="1"/>
    <col min="61" max="64" width="25.1796875" style="17" customWidth="1"/>
    <col min="65" max="65" width="15" style="17" customWidth="1"/>
    <col min="66" max="66" width="12" style="17" customWidth="1"/>
    <col min="67" max="67" width="16.54296875" style="17" customWidth="1"/>
    <col min="68" max="68" width="14.81640625" style="17" customWidth="1"/>
    <col min="69" max="69" width="9.1796875" style="17" customWidth="1"/>
    <col min="70" max="70" width="14.81640625" style="17" customWidth="1"/>
    <col min="71" max="71" width="9.1796875" style="17" customWidth="1"/>
    <col min="72" max="72" width="14.81640625" style="17" customWidth="1"/>
    <col min="73" max="73" width="9.1796875" style="17" customWidth="1"/>
    <col min="74" max="74" width="19" style="17" customWidth="1"/>
    <col min="75" max="75" width="9.1796875" style="17" customWidth="1"/>
    <col min="76" max="76" width="14.81640625" style="17" customWidth="1"/>
    <col min="77" max="77" width="9.1796875" style="17" customWidth="1"/>
    <col min="78" max="78" width="18.26953125" style="17" customWidth="1"/>
    <col min="79" max="79" width="9.1796875" style="17" customWidth="1"/>
    <col min="80" max="80" width="33.54296875" style="17" customWidth="1"/>
    <col min="81" max="85" width="22.54296875" style="17" customWidth="1"/>
    <col min="86" max="86" width="9.7265625" style="17" customWidth="1"/>
    <col min="87" max="87" width="14.1796875" style="17" customWidth="1"/>
    <col min="88" max="88" width="20.54296875" style="17" customWidth="1"/>
    <col min="89" max="89" width="18.453125" style="17" customWidth="1"/>
    <col min="90" max="90" width="15.453125" style="17" customWidth="1"/>
    <col min="91" max="91" width="49.81640625" style="17" customWidth="1"/>
    <col min="92" max="95" width="25.1796875" style="17" customWidth="1"/>
    <col min="96" max="96" width="11.54296875" style="17" bestFit="1" customWidth="1"/>
    <col min="97" max="97" width="14" style="17" customWidth="1"/>
    <col min="98" max="98" width="16.54296875" style="17" customWidth="1"/>
    <col min="99" max="99" width="14.81640625" style="17" customWidth="1"/>
    <col min="100" max="100" width="9.1796875" style="17" customWidth="1"/>
    <col min="101" max="101" width="14.81640625" style="17" customWidth="1"/>
    <col min="102" max="102" width="9.1796875" style="17" customWidth="1"/>
    <col min="103" max="103" width="14.81640625" style="17" customWidth="1"/>
    <col min="104" max="104" width="9.1796875" style="17" customWidth="1"/>
    <col min="105" max="105" width="19" style="17" customWidth="1"/>
    <col min="106" max="106" width="9.1796875" style="17" customWidth="1"/>
    <col min="107" max="107" width="14.81640625" style="17" customWidth="1"/>
    <col min="108" max="108" width="9.1796875" style="17" customWidth="1"/>
    <col min="109" max="109" width="18.26953125" style="17" customWidth="1"/>
    <col min="110" max="110" width="9.1796875" style="17" customWidth="1"/>
    <col min="111" max="111" width="33.54296875" style="17" customWidth="1"/>
    <col min="112" max="116" width="22.54296875" style="17" customWidth="1"/>
    <col min="117" max="117" width="9.1796875" style="17" customWidth="1"/>
    <col min="118" max="118" width="14.1796875" style="18" customWidth="1"/>
    <col min="119" max="119" width="0.1796875" style="18" customWidth="1"/>
    <col min="120" max="120" width="23.26953125" style="18" customWidth="1"/>
    <col min="121" max="121" width="18.7265625" style="17" customWidth="1"/>
    <col min="122" max="125" width="17.1796875" style="19" customWidth="1"/>
    <col min="126" max="126" width="17.7265625" style="17" customWidth="1"/>
    <col min="127" max="127" width="23.81640625" style="17" customWidth="1"/>
    <col min="128" max="128" width="9.1796875" style="17" customWidth="1"/>
    <col min="129" max="129" width="133.1796875" style="17" customWidth="1"/>
    <col min="130" max="130" width="0.26953125" style="17" customWidth="1"/>
    <col min="131" max="135" width="9.1796875" style="17" customWidth="1"/>
    <col min="136" max="136" width="6.1796875" style="17" customWidth="1"/>
    <col min="137" max="16384" width="9.1796875" style="17"/>
  </cols>
  <sheetData>
    <row r="1" spans="1:135" s="26" customFormat="1" ht="0.75" customHeight="1" thickBot="1">
      <c r="A1" s="56"/>
      <c r="C1" s="27"/>
      <c r="D1" s="28"/>
      <c r="F1" s="29"/>
      <c r="G1" s="30"/>
      <c r="H1" s="30"/>
      <c r="I1" s="28"/>
      <c r="J1" s="28"/>
      <c r="K1" s="28"/>
      <c r="L1" s="30"/>
      <c r="M1" s="27"/>
      <c r="N1" s="27">
        <v>0</v>
      </c>
      <c r="O1" s="27"/>
      <c r="P1" s="31"/>
      <c r="Q1" s="27"/>
      <c r="R1" s="28"/>
      <c r="S1" s="25"/>
      <c r="T1" s="28"/>
      <c r="U1" s="28"/>
      <c r="V1" s="27"/>
      <c r="W1" s="27"/>
      <c r="X1" s="28"/>
      <c r="Y1" s="27"/>
      <c r="Z1" s="32"/>
      <c r="AA1" s="28"/>
      <c r="AB1" s="28"/>
      <c r="AC1" s="33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34"/>
      <c r="AU1" s="28"/>
      <c r="AV1" s="28"/>
      <c r="AW1" s="28"/>
      <c r="AX1" s="28"/>
      <c r="AY1" s="28"/>
      <c r="AZ1" s="28"/>
      <c r="BA1" s="28"/>
      <c r="BB1" s="28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N1" s="34"/>
      <c r="DO1" s="34"/>
      <c r="DP1" s="34"/>
      <c r="DR1" s="36"/>
      <c r="DS1" s="36"/>
      <c r="DT1" s="36"/>
      <c r="DU1" s="36"/>
    </row>
    <row r="2" spans="1:135" s="13" customFormat="1" ht="33" customHeight="1" thickBot="1">
      <c r="A2" s="37"/>
      <c r="B2" s="38"/>
      <c r="C2" s="75" t="s">
        <v>1199</v>
      </c>
      <c r="D2" s="143" t="s">
        <v>1286</v>
      </c>
      <c r="E2" s="39"/>
      <c r="F2" s="39"/>
      <c r="G2" s="39"/>
      <c r="H2" s="39"/>
      <c r="I2" s="40"/>
      <c r="J2" s="40"/>
      <c r="K2" s="40"/>
      <c r="L2" s="41"/>
      <c r="M2" s="38"/>
      <c r="N2" s="38"/>
      <c r="O2" s="39"/>
      <c r="P2" s="40"/>
      <c r="Q2" s="40"/>
      <c r="R2" s="40"/>
      <c r="S2" s="42"/>
      <c r="T2" s="40"/>
      <c r="U2" s="40"/>
      <c r="V2" s="39"/>
      <c r="W2" s="38"/>
      <c r="X2" s="40"/>
      <c r="Y2" s="38"/>
      <c r="Z2" s="40"/>
      <c r="AA2" s="40"/>
      <c r="AB2" s="40"/>
      <c r="AC2" s="43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14" t="s">
        <v>1314</v>
      </c>
      <c r="AU2" s="40"/>
      <c r="AW2" s="44"/>
      <c r="AX2" s="44">
        <v>262.5</v>
      </c>
      <c r="AY2" s="40"/>
      <c r="AZ2" s="44"/>
      <c r="BA2" s="40"/>
      <c r="BB2" s="40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 t="s">
        <v>1163</v>
      </c>
      <c r="BN2" s="45"/>
      <c r="BO2" s="45"/>
      <c r="BP2" s="46"/>
      <c r="BQ2" s="45"/>
      <c r="BR2" s="46">
        <v>11.736875000000001</v>
      </c>
      <c r="BS2" s="45"/>
      <c r="BT2" s="45"/>
      <c r="BU2" s="45"/>
      <c r="BV2" s="46">
        <v>7.2943087010455434</v>
      </c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 t="s">
        <v>1163</v>
      </c>
      <c r="CQ2" s="45"/>
      <c r="CR2" s="45"/>
      <c r="CS2" s="45"/>
      <c r="CT2" s="45"/>
      <c r="CU2" s="45" t="s">
        <v>1163</v>
      </c>
      <c r="CV2" s="45"/>
      <c r="CW2" s="45" t="s">
        <v>1163</v>
      </c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N2" s="14" t="e">
        <f>#REF!</f>
        <v>#REF!</v>
      </c>
      <c r="DO2" s="14"/>
      <c r="DP2" s="14"/>
      <c r="DR2" s="47"/>
      <c r="DS2" s="47"/>
      <c r="DT2" s="47"/>
      <c r="DU2" s="47"/>
    </row>
    <row r="3" spans="1:135" s="13" customFormat="1" ht="31.5" customHeight="1" thickBot="1">
      <c r="A3" s="38"/>
      <c r="B3" s="48"/>
      <c r="C3" s="76" t="s">
        <v>1200</v>
      </c>
      <c r="D3" s="143" t="s">
        <v>1260</v>
      </c>
      <c r="E3" s="49"/>
      <c r="F3" s="49"/>
      <c r="G3" s="49"/>
      <c r="H3" s="49"/>
      <c r="I3" s="50"/>
      <c r="J3" s="50"/>
      <c r="K3" s="50"/>
      <c r="L3" s="49"/>
      <c r="M3" s="49"/>
      <c r="N3" s="49"/>
      <c r="O3" s="49"/>
      <c r="P3" s="50"/>
      <c r="Q3" s="50"/>
      <c r="R3" s="50"/>
      <c r="S3" s="49"/>
      <c r="T3" s="50"/>
      <c r="U3" s="50"/>
      <c r="V3" s="49"/>
      <c r="W3" s="49"/>
      <c r="X3" s="50"/>
      <c r="Y3" s="49"/>
      <c r="Z3" s="50"/>
      <c r="AA3" s="50"/>
      <c r="AB3" s="50"/>
      <c r="AC3" s="51"/>
      <c r="AD3" s="49"/>
      <c r="AE3" s="49"/>
      <c r="AF3" s="49"/>
      <c r="AG3" s="49"/>
      <c r="AH3" s="49"/>
      <c r="AI3" s="49"/>
      <c r="AJ3" s="38"/>
      <c r="AK3" s="38"/>
      <c r="AL3" s="38"/>
      <c r="AM3" s="38"/>
      <c r="AN3" s="38"/>
      <c r="AO3" s="38"/>
      <c r="AU3" s="40"/>
      <c r="AV3" s="40"/>
      <c r="AW3" s="52"/>
      <c r="AX3" s="40"/>
      <c r="AY3" s="40"/>
      <c r="AZ3" s="40"/>
      <c r="BA3" s="40"/>
      <c r="BB3" s="40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4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 t="s">
        <v>1163</v>
      </c>
      <c r="CV3" s="53"/>
      <c r="CW3" s="53" t="s">
        <v>1163</v>
      </c>
      <c r="CX3" s="53" t="s">
        <v>1163</v>
      </c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N3" s="55" t="s">
        <v>1194</v>
      </c>
      <c r="DR3" s="47"/>
      <c r="DS3" s="47"/>
      <c r="DT3" s="47"/>
      <c r="DU3" s="47"/>
    </row>
    <row r="4" spans="1:135" s="62" customFormat="1" ht="36" customHeight="1" thickBot="1">
      <c r="A4" s="270" t="s">
        <v>1178</v>
      </c>
      <c r="B4" s="271" t="s">
        <v>306</v>
      </c>
      <c r="C4" s="272" t="s">
        <v>1283</v>
      </c>
      <c r="D4" s="274" t="s">
        <v>286</v>
      </c>
      <c r="E4" s="276" t="s">
        <v>1099</v>
      </c>
      <c r="F4" s="275" t="s">
        <v>1315</v>
      </c>
      <c r="G4" s="288" t="s">
        <v>1100</v>
      </c>
      <c r="H4" s="289"/>
      <c r="I4" s="292" t="s">
        <v>1101</v>
      </c>
      <c r="J4" s="294" t="s">
        <v>319</v>
      </c>
      <c r="K4" s="293" t="s">
        <v>305</v>
      </c>
      <c r="L4" s="270" t="s">
        <v>1257</v>
      </c>
      <c r="M4" s="295" t="s">
        <v>1248</v>
      </c>
      <c r="N4" s="287" t="s">
        <v>1247</v>
      </c>
      <c r="O4" s="287" t="s">
        <v>1252</v>
      </c>
      <c r="P4" s="298" t="s">
        <v>316</v>
      </c>
      <c r="Q4" s="300" t="s">
        <v>323</v>
      </c>
      <c r="R4" s="279" t="s">
        <v>288</v>
      </c>
      <c r="S4" s="270" t="s">
        <v>1033</v>
      </c>
      <c r="T4" s="279" t="s">
        <v>297</v>
      </c>
      <c r="U4" s="279" t="s">
        <v>317</v>
      </c>
      <c r="V4" s="301" t="s">
        <v>1189</v>
      </c>
      <c r="W4" s="270" t="s">
        <v>1249</v>
      </c>
      <c r="X4" s="279" t="s">
        <v>304</v>
      </c>
      <c r="Y4" s="270" t="s">
        <v>1138</v>
      </c>
      <c r="Z4" s="279" t="s">
        <v>1287</v>
      </c>
      <c r="AA4" s="302" t="s">
        <v>1102</v>
      </c>
      <c r="AB4" s="279" t="s">
        <v>318</v>
      </c>
      <c r="AC4" s="275" t="s">
        <v>1103</v>
      </c>
      <c r="AD4" s="270" t="s">
        <v>1104</v>
      </c>
      <c r="AE4" s="270"/>
      <c r="AF4" s="270"/>
      <c r="AG4" s="270" t="s">
        <v>1105</v>
      </c>
      <c r="AH4" s="270"/>
      <c r="AI4" s="92" t="s">
        <v>1245</v>
      </c>
      <c r="AJ4" s="283" t="s">
        <v>311</v>
      </c>
      <c r="AK4" s="93"/>
      <c r="AL4" s="93"/>
      <c r="AM4" s="57"/>
      <c r="AN4" s="94"/>
      <c r="AO4" s="88"/>
      <c r="AP4" s="95"/>
      <c r="AQ4" s="82"/>
      <c r="AR4" s="95"/>
      <c r="AS4" s="82"/>
      <c r="AT4" s="95"/>
      <c r="AU4" s="96" t="s">
        <v>334</v>
      </c>
      <c r="AV4" s="280" t="s">
        <v>1097</v>
      </c>
      <c r="AW4" s="282"/>
      <c r="AX4" s="97" t="s">
        <v>329</v>
      </c>
      <c r="AY4" s="280" t="s">
        <v>1098</v>
      </c>
      <c r="AZ4" s="281"/>
      <c r="BA4" s="282"/>
      <c r="BB4" s="98"/>
      <c r="BC4" s="285" t="s">
        <v>1088</v>
      </c>
      <c r="BD4" s="286"/>
      <c r="BE4" s="286"/>
      <c r="BF4" s="286"/>
      <c r="BG4" s="286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9" t="s">
        <v>1251</v>
      </c>
      <c r="CI4" s="60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N4" s="277" t="s">
        <v>1074</v>
      </c>
      <c r="DO4" s="277" t="s">
        <v>1193</v>
      </c>
      <c r="DP4" s="277" t="s">
        <v>1191</v>
      </c>
      <c r="DQ4" s="277" t="s">
        <v>316</v>
      </c>
      <c r="DR4" s="277" t="s">
        <v>1192</v>
      </c>
      <c r="DS4" s="297" t="s">
        <v>1195</v>
      </c>
      <c r="DT4" s="297" t="s">
        <v>1196</v>
      </c>
      <c r="DU4" s="297" t="s">
        <v>1198</v>
      </c>
      <c r="DV4" s="297" t="s">
        <v>1197</v>
      </c>
      <c r="DW4" s="263" t="s">
        <v>1226</v>
      </c>
      <c r="DX4" s="263"/>
      <c r="DY4" s="263" t="s">
        <v>311</v>
      </c>
      <c r="DZ4" s="15"/>
      <c r="EA4" s="15"/>
      <c r="EB4" s="15"/>
      <c r="EC4" s="15"/>
      <c r="ED4" s="15"/>
      <c r="EE4" s="15"/>
    </row>
    <row r="5" spans="1:135" s="62" customFormat="1" ht="42.75" customHeight="1">
      <c r="A5" s="270"/>
      <c r="B5" s="271"/>
      <c r="C5" s="273"/>
      <c r="D5" s="275"/>
      <c r="E5" s="276"/>
      <c r="F5" s="275"/>
      <c r="G5" s="290"/>
      <c r="H5" s="291"/>
      <c r="I5" s="292"/>
      <c r="J5" s="274"/>
      <c r="K5" s="293"/>
      <c r="L5" s="270"/>
      <c r="M5" s="296"/>
      <c r="N5" s="287"/>
      <c r="O5" s="287"/>
      <c r="P5" s="299"/>
      <c r="Q5" s="300"/>
      <c r="R5" s="279"/>
      <c r="S5" s="270"/>
      <c r="T5" s="279"/>
      <c r="U5" s="279"/>
      <c r="V5" s="301"/>
      <c r="W5" s="270"/>
      <c r="X5" s="279"/>
      <c r="Y5" s="270"/>
      <c r="Z5" s="279"/>
      <c r="AA5" s="302"/>
      <c r="AB5" s="279"/>
      <c r="AC5" s="275"/>
      <c r="AD5" s="99" t="s">
        <v>307</v>
      </c>
      <c r="AE5" s="99" t="s">
        <v>308</v>
      </c>
      <c r="AF5" s="99" t="s">
        <v>309</v>
      </c>
      <c r="AG5" s="99" t="s">
        <v>1254</v>
      </c>
      <c r="AH5" s="99" t="s">
        <v>310</v>
      </c>
      <c r="AI5" s="92" t="s">
        <v>1244</v>
      </c>
      <c r="AJ5" s="284"/>
      <c r="AK5" s="77" t="s">
        <v>1250</v>
      </c>
      <c r="AL5" s="63" t="s">
        <v>312</v>
      </c>
      <c r="AM5" s="64" t="s">
        <v>314</v>
      </c>
      <c r="AN5" s="78" t="s">
        <v>324</v>
      </c>
      <c r="AO5" s="89" t="s">
        <v>1302</v>
      </c>
      <c r="AP5" s="81" t="s">
        <v>1091</v>
      </c>
      <c r="AQ5" s="80" t="s">
        <v>1092</v>
      </c>
      <c r="AR5" s="63" t="s">
        <v>1093</v>
      </c>
      <c r="AS5" s="80" t="s">
        <v>1094</v>
      </c>
      <c r="AT5" s="63" t="s">
        <v>1095</v>
      </c>
      <c r="AU5" s="97" t="s">
        <v>328</v>
      </c>
      <c r="AV5" s="97" t="s">
        <v>325</v>
      </c>
      <c r="AW5" s="97" t="s">
        <v>326</v>
      </c>
      <c r="AX5" s="96" t="s">
        <v>318</v>
      </c>
      <c r="AY5" s="97" t="s">
        <v>330</v>
      </c>
      <c r="AZ5" s="97" t="s">
        <v>327</v>
      </c>
      <c r="BA5" s="96" t="s">
        <v>1327</v>
      </c>
      <c r="BB5" s="96" t="s">
        <v>1328</v>
      </c>
      <c r="BC5" s="65" t="s">
        <v>1060</v>
      </c>
      <c r="BD5" s="66" t="s">
        <v>1061</v>
      </c>
      <c r="BE5" s="67" t="s">
        <v>1062</v>
      </c>
      <c r="BF5" s="68" t="s">
        <v>1063</v>
      </c>
      <c r="BG5" s="69" t="s">
        <v>198</v>
      </c>
      <c r="BH5" s="69" t="s">
        <v>1064</v>
      </c>
      <c r="BI5" s="70" t="s">
        <v>1065</v>
      </c>
      <c r="BJ5" s="71" t="s">
        <v>1066</v>
      </c>
      <c r="BK5" s="71" t="s">
        <v>1067</v>
      </c>
      <c r="BL5" s="72" t="s">
        <v>1068</v>
      </c>
      <c r="BM5" s="66" t="s">
        <v>1069</v>
      </c>
      <c r="BN5" s="67" t="s">
        <v>1070</v>
      </c>
      <c r="BO5" s="67" t="s">
        <v>1071</v>
      </c>
      <c r="BP5" s="67" t="s">
        <v>1072</v>
      </c>
      <c r="BQ5" s="67" t="s">
        <v>1073</v>
      </c>
      <c r="BR5" s="67" t="s">
        <v>1074</v>
      </c>
      <c r="BS5" s="67" t="s">
        <v>1073</v>
      </c>
      <c r="BT5" s="67" t="s">
        <v>1075</v>
      </c>
      <c r="BU5" s="67" t="s">
        <v>1076</v>
      </c>
      <c r="BV5" s="67" t="s">
        <v>1077</v>
      </c>
      <c r="BW5" s="67" t="s">
        <v>1076</v>
      </c>
      <c r="BX5" s="67" t="s">
        <v>1078</v>
      </c>
      <c r="BY5" s="67" t="s">
        <v>1073</v>
      </c>
      <c r="BZ5" s="67" t="s">
        <v>1079</v>
      </c>
      <c r="CA5" s="67" t="s">
        <v>1073</v>
      </c>
      <c r="CB5" s="68" t="s">
        <v>1080</v>
      </c>
      <c r="CC5" s="70" t="s">
        <v>1081</v>
      </c>
      <c r="CD5" s="71" t="s">
        <v>1082</v>
      </c>
      <c r="CE5" s="71" t="s">
        <v>1083</v>
      </c>
      <c r="CF5" s="72" t="s">
        <v>1084</v>
      </c>
      <c r="CG5" s="72" t="s">
        <v>1085</v>
      </c>
      <c r="CH5" s="66" t="s">
        <v>1060</v>
      </c>
      <c r="CI5" s="66" t="s">
        <v>1061</v>
      </c>
      <c r="CJ5" s="67" t="s">
        <v>1062</v>
      </c>
      <c r="CK5" s="68" t="s">
        <v>1063</v>
      </c>
      <c r="CL5" s="69" t="s">
        <v>198</v>
      </c>
      <c r="CM5" s="69" t="s">
        <v>1064</v>
      </c>
      <c r="CN5" s="70" t="s">
        <v>1065</v>
      </c>
      <c r="CO5" s="71" t="s">
        <v>1066</v>
      </c>
      <c r="CP5" s="71" t="s">
        <v>1067</v>
      </c>
      <c r="CQ5" s="72" t="s">
        <v>1068</v>
      </c>
      <c r="CR5" s="66" t="s">
        <v>1069</v>
      </c>
      <c r="CS5" s="67" t="s">
        <v>1070</v>
      </c>
      <c r="CT5" s="67" t="s">
        <v>1071</v>
      </c>
      <c r="CU5" s="67" t="s">
        <v>1072</v>
      </c>
      <c r="CV5" s="67" t="s">
        <v>1073</v>
      </c>
      <c r="CW5" s="67" t="s">
        <v>1074</v>
      </c>
      <c r="CX5" s="67" t="s">
        <v>1073</v>
      </c>
      <c r="CY5" s="67" t="s">
        <v>1075</v>
      </c>
      <c r="CZ5" s="67" t="s">
        <v>1076</v>
      </c>
      <c r="DA5" s="67" t="s">
        <v>1077</v>
      </c>
      <c r="DB5" s="67" t="s">
        <v>1076</v>
      </c>
      <c r="DC5" s="67" t="s">
        <v>1078</v>
      </c>
      <c r="DD5" s="67" t="s">
        <v>1073</v>
      </c>
      <c r="DE5" s="67" t="s">
        <v>1079</v>
      </c>
      <c r="DF5" s="67" t="s">
        <v>1073</v>
      </c>
      <c r="DG5" s="68" t="s">
        <v>1080</v>
      </c>
      <c r="DH5" s="70" t="s">
        <v>1081</v>
      </c>
      <c r="DI5" s="71" t="s">
        <v>1082</v>
      </c>
      <c r="DJ5" s="71" t="s">
        <v>1083</v>
      </c>
      <c r="DK5" s="72" t="s">
        <v>1084</v>
      </c>
      <c r="DL5" s="72" t="s">
        <v>1085</v>
      </c>
      <c r="DN5" s="278"/>
      <c r="DO5" s="278"/>
      <c r="DP5" s="278"/>
      <c r="DQ5" s="278"/>
      <c r="DR5" s="278"/>
      <c r="DS5" s="278"/>
      <c r="DT5" s="278"/>
      <c r="DU5" s="278"/>
      <c r="DV5" s="278"/>
      <c r="DW5" s="263"/>
      <c r="DX5" s="263"/>
      <c r="DY5" s="263"/>
      <c r="DZ5" s="15"/>
      <c r="EA5" s="15"/>
      <c r="EB5" s="15"/>
      <c r="EC5" s="15"/>
      <c r="ED5" s="15"/>
      <c r="EE5" s="15"/>
    </row>
    <row r="6" spans="1:135" s="74" customFormat="1" ht="33" customHeight="1">
      <c r="A6" s="188" t="s">
        <v>1410</v>
      </c>
      <c r="B6" s="100" t="s">
        <v>1337</v>
      </c>
      <c r="C6" s="90" t="s">
        <v>1414</v>
      </c>
      <c r="D6" s="101" t="str">
        <f>VLOOKUP(E6,'Reference Card '!A:E,5,FALSE)</f>
        <v>PET</v>
      </c>
      <c r="E6" s="102">
        <v>322471</v>
      </c>
      <c r="F6" s="103" t="str">
        <f>VLOOKUP(E6,'[1]Reference Card '!A:B,2,FALSE)</f>
        <v>JJ63-0750-HX-H-CL-LW</v>
      </c>
      <c r="G6" s="104">
        <v>10703385</v>
      </c>
      <c r="H6" s="105" t="s">
        <v>1246</v>
      </c>
      <c r="I6" s="85">
        <f>VLOOKUP(E6,'[1]Reference Card '!A:C,3,FALSE)</f>
        <v>4</v>
      </c>
      <c r="J6" s="106">
        <f>VLOOKUP(E6,'[1]Reference Card '!A:H,8,FALSE)</f>
        <v>34.5</v>
      </c>
      <c r="K6" s="106">
        <f>VLOOKUP(E6,'[1]Reference Card '!A:F,6,FALSE)</f>
        <v>34.5</v>
      </c>
      <c r="L6" s="86">
        <v>1625</v>
      </c>
      <c r="M6" s="86">
        <v>22176</v>
      </c>
      <c r="N6" s="86">
        <v>0</v>
      </c>
      <c r="O6" s="86">
        <v>0</v>
      </c>
      <c r="P6" s="107">
        <f t="shared" ref="P6" si="0">L6*I6</f>
        <v>6500</v>
      </c>
      <c r="Q6" s="87">
        <v>6468</v>
      </c>
      <c r="R6" s="108">
        <f t="shared" ref="R6" si="1">(Q6*K6)/1000</f>
        <v>223.14599999999999</v>
      </c>
      <c r="S6" s="86">
        <v>22176</v>
      </c>
      <c r="T6" s="107">
        <f t="shared" ref="T6" si="2">IF(M6="Sample","-",IF(M6="RTFN","-",M6-S6))</f>
        <v>0</v>
      </c>
      <c r="U6" s="109">
        <f t="shared" ref="U6" si="3">(P6*K6)/1000</f>
        <v>224.25</v>
      </c>
      <c r="V6" s="108">
        <v>0</v>
      </c>
      <c r="W6" s="86">
        <v>0</v>
      </c>
      <c r="X6" s="110">
        <f t="shared" ref="X6" si="4">W6/U6</f>
        <v>0</v>
      </c>
      <c r="Y6" s="86">
        <v>1</v>
      </c>
      <c r="Z6" s="111">
        <f t="shared" ref="Z6" si="5">Y6/U6</f>
        <v>4.459308807134894E-3</v>
      </c>
      <c r="AA6" s="109">
        <v>22.8</v>
      </c>
      <c r="AB6" s="112">
        <f t="shared" ref="AB6" si="6">AA6/3600*L6</f>
        <v>10.291666666666666</v>
      </c>
      <c r="AC6" s="112">
        <f>VLOOKUP(E6,'[2]Reference Card '!A:I,9,FALSE)</f>
        <v>16.2</v>
      </c>
      <c r="AD6" s="113"/>
      <c r="AE6" s="113"/>
      <c r="AF6" s="113"/>
      <c r="AG6" s="113"/>
      <c r="AH6" s="113"/>
      <c r="AI6" s="135"/>
      <c r="AJ6" s="114" t="s">
        <v>1438</v>
      </c>
      <c r="AK6" s="114"/>
      <c r="AL6" s="113"/>
      <c r="AM6" s="113">
        <v>2</v>
      </c>
      <c r="AN6" s="113">
        <v>5</v>
      </c>
      <c r="AO6" s="115">
        <f t="shared" ref="AO6" si="7">(U6-R6-W6-Y6-AM6-AN6)-(O6*K6/1000)</f>
        <v>-6.8959999999999866</v>
      </c>
      <c r="AP6" s="227" t="s">
        <v>1205</v>
      </c>
      <c r="AQ6" s="79" t="s">
        <v>1406</v>
      </c>
      <c r="AR6" s="189" t="s">
        <v>1089</v>
      </c>
      <c r="AS6" s="79" t="s">
        <v>1406</v>
      </c>
      <c r="AT6" s="189" t="s">
        <v>1090</v>
      </c>
      <c r="AU6" s="73">
        <f t="shared" ref="AU6" si="8">(Y6+W6+AM6+AN6)*1000/K6</f>
        <v>231.8840579710145</v>
      </c>
      <c r="AV6" s="116">
        <f t="shared" ref="AV6" si="9">Q6+AU6</f>
        <v>6699.884057971014</v>
      </c>
      <c r="AW6" s="116">
        <f t="shared" ref="AW6" si="10">3600/AA6*I6</f>
        <v>631.57894736842104</v>
      </c>
      <c r="AX6" s="73">
        <f t="shared" ref="AX6" si="11">(AV6/AW6)+AY6</f>
        <v>10.608149758454106</v>
      </c>
      <c r="AY6" s="73">
        <f t="shared" ref="AY6" si="12">AG6+AH6+AI6</f>
        <v>0</v>
      </c>
      <c r="AZ6" s="116">
        <f t="shared" ref="AZ6" si="13">Q6</f>
        <v>6468</v>
      </c>
      <c r="BA6" s="116">
        <f t="shared" ref="BA6" si="14">AU6</f>
        <v>231.8840579710145</v>
      </c>
      <c r="BB6" s="117">
        <f t="shared" ref="BB6" si="15">BA6/AZ6</f>
        <v>3.5850967527986159E-2</v>
      </c>
      <c r="BC6" s="118">
        <v>712</v>
      </c>
      <c r="BD6" s="118"/>
      <c r="BE6" s="90">
        <f t="shared" ref="BE6" si="16">G6</f>
        <v>10703385</v>
      </c>
      <c r="BF6" s="119" t="s">
        <v>1096</v>
      </c>
      <c r="BG6" s="120">
        <f t="shared" ref="BG6" si="17">E6</f>
        <v>322471</v>
      </c>
      <c r="BH6" s="121" t="str">
        <f t="shared" ref="BH6" si="18">F6</f>
        <v>JJ63-0750-HX-H-CL-LW</v>
      </c>
      <c r="BI6" s="122" t="str">
        <f t="shared" ref="BI6" si="19">AQ6</f>
        <v>05.08.2026</v>
      </c>
      <c r="BJ6" s="119" t="str">
        <f t="shared" ref="BJ6" si="20">AR6</f>
        <v>06:00:00</v>
      </c>
      <c r="BK6" s="122" t="str">
        <f t="shared" ref="BK6" si="21">AS6</f>
        <v>05.08.2026</v>
      </c>
      <c r="BL6" s="119" t="str">
        <f t="shared" ref="BL6" si="22">AT6</f>
        <v>18:00:00</v>
      </c>
      <c r="BM6" s="123">
        <f t="shared" ref="BM6" si="23">ROUNDDOWN(Q6+AU6,0)</f>
        <v>6699</v>
      </c>
      <c r="BN6" s="118">
        <v>0</v>
      </c>
      <c r="BO6" s="118" t="s">
        <v>1086</v>
      </c>
      <c r="BP6" s="118"/>
      <c r="BQ6" s="118" t="s">
        <v>1087</v>
      </c>
      <c r="BR6" s="124">
        <f t="shared" ref="BR6" si="24">(AV6/AW6)+AY6</f>
        <v>10.608149758454106</v>
      </c>
      <c r="BS6" s="124" t="s">
        <v>1087</v>
      </c>
      <c r="BT6" s="124">
        <f t="shared" ref="BT6" si="25">(AV6/AW6)+AY6</f>
        <v>10.608149758454106</v>
      </c>
      <c r="BU6" s="124" t="s">
        <v>1087</v>
      </c>
      <c r="BV6" s="124">
        <f t="shared" ref="BV6" si="26">(AV6/AW6)+AY6</f>
        <v>10.608149758454106</v>
      </c>
      <c r="BW6" s="118" t="s">
        <v>1087</v>
      </c>
      <c r="BX6" s="118"/>
      <c r="BY6" s="118" t="s">
        <v>1087</v>
      </c>
      <c r="BZ6" s="118"/>
      <c r="CA6" s="118" t="s">
        <v>1087</v>
      </c>
      <c r="CB6" s="118"/>
      <c r="CC6" s="118"/>
      <c r="CD6" s="118"/>
      <c r="CE6" s="118"/>
      <c r="CF6" s="118"/>
      <c r="CG6" s="118"/>
      <c r="CH6" s="118">
        <v>712</v>
      </c>
      <c r="CI6" s="118"/>
      <c r="CJ6" s="118">
        <f t="shared" ref="CJ6" si="27">G6</f>
        <v>10703385</v>
      </c>
      <c r="CK6" s="119" t="s">
        <v>1106</v>
      </c>
      <c r="CL6" s="120">
        <f t="shared" ref="CL6" si="28">E6</f>
        <v>322471</v>
      </c>
      <c r="CM6" s="121" t="str">
        <f t="shared" ref="CM6" si="29">F6</f>
        <v>JJ63-0750-HX-H-CL-LW</v>
      </c>
      <c r="CN6" s="122" t="str">
        <f t="shared" ref="CN6" si="30">AQ6</f>
        <v>05.08.2026</v>
      </c>
      <c r="CO6" s="125" t="str">
        <f t="shared" ref="CO6" si="31">AR6</f>
        <v>06:00:00</v>
      </c>
      <c r="CP6" s="122" t="str">
        <f t="shared" ref="CP6" si="32">AS6</f>
        <v>05.08.2026</v>
      </c>
      <c r="CQ6" s="125" t="str">
        <f t="shared" ref="CQ6" si="33">AT6</f>
        <v>18:00:00</v>
      </c>
      <c r="CR6" s="123">
        <f t="shared" ref="CR6" si="34">ROUNDDOWN(AZ6,0)</f>
        <v>6468</v>
      </c>
      <c r="CS6" s="126">
        <f t="shared" ref="CS6" si="35">ROUNDDOWN(BA6,0)</f>
        <v>231</v>
      </c>
      <c r="CT6" s="118" t="s">
        <v>1086</v>
      </c>
      <c r="CU6" s="118"/>
      <c r="CV6" s="118" t="s">
        <v>1087</v>
      </c>
      <c r="CW6" s="127"/>
      <c r="CX6" s="118" t="s">
        <v>1087</v>
      </c>
      <c r="CY6" s="127"/>
      <c r="CZ6" s="118" t="s">
        <v>1087</v>
      </c>
      <c r="DA6" s="127"/>
      <c r="DB6" s="118" t="s">
        <v>1087</v>
      </c>
      <c r="DC6" s="118"/>
      <c r="DD6" s="118" t="s">
        <v>1087</v>
      </c>
      <c r="DE6" s="118"/>
      <c r="DF6" s="118" t="s">
        <v>1087</v>
      </c>
      <c r="DG6" s="118"/>
      <c r="DH6" s="118"/>
      <c r="DI6" s="118"/>
      <c r="DJ6" s="118"/>
      <c r="DK6" s="118"/>
      <c r="DL6" s="118"/>
      <c r="DM6" s="62"/>
      <c r="DN6" s="90" t="str">
        <f t="shared" ref="DN6" si="36">B6</f>
        <v>A5</v>
      </c>
      <c r="DO6" s="90" t="str">
        <f t="shared" ref="DO6" si="37">F6</f>
        <v>JJ63-0750-HX-H-CL-LW</v>
      </c>
      <c r="DP6" s="128">
        <f t="shared" ref="DP6" si="38">(3600/AC6)*I6*12*0.98</f>
        <v>10453.333333333334</v>
      </c>
      <c r="DQ6" s="129">
        <f t="shared" ref="DQ6" si="39">P6</f>
        <v>6500</v>
      </c>
      <c r="DR6" s="130">
        <f t="shared" ref="DR6" si="40">DQ6/DP6*100</f>
        <v>62.181122448979586</v>
      </c>
      <c r="DS6" s="131">
        <f t="shared" ref="DS6" si="41">Y6</f>
        <v>1</v>
      </c>
      <c r="DT6" s="131">
        <f t="shared" ref="DT6" si="42">Z6</f>
        <v>4.459308807134894E-3</v>
      </c>
      <c r="DU6" s="132">
        <f t="shared" ref="DU6" si="43">SUM(AG6:AI6)</f>
        <v>0</v>
      </c>
      <c r="DV6" s="133">
        <f t="shared" ref="DV6" si="44">SUM(AD6:AF6)</f>
        <v>0</v>
      </c>
      <c r="DW6" s="261">
        <f t="shared" ref="DW6" si="45">Y6+W6+AM6+AN6/U6*100</f>
        <v>5.229654403567447</v>
      </c>
      <c r="DX6" s="262"/>
      <c r="DY6" s="134" t="str">
        <f t="shared" ref="DY6" si="46">AJ6</f>
        <v>Run well.Stop 4.15pm.c/order.</v>
      </c>
      <c r="DZ6" s="15"/>
      <c r="EA6" s="15"/>
      <c r="EB6" s="15"/>
      <c r="EC6" s="15"/>
      <c r="ED6" s="15"/>
      <c r="EE6" s="15"/>
    </row>
    <row r="7" spans="1:135" s="74" customFormat="1" ht="33" customHeight="1">
      <c r="A7" s="188" t="s">
        <v>1410</v>
      </c>
      <c r="B7" s="100" t="s">
        <v>1337</v>
      </c>
      <c r="C7" s="90" t="s">
        <v>1378</v>
      </c>
      <c r="D7" s="101" t="str">
        <f>VLOOKUP(E7,'Reference Card '!A:E,5,FALSE)</f>
        <v>PET</v>
      </c>
      <c r="E7" s="102">
        <v>324173</v>
      </c>
      <c r="F7" s="103" t="str">
        <f>VLOOKUP(E7,'[1]Reference Card '!A:B,2,FALSE)</f>
        <v>JJ63-0600-RH-R-CL</v>
      </c>
      <c r="G7" s="104">
        <v>10704263</v>
      </c>
      <c r="H7" s="105" t="s">
        <v>1246</v>
      </c>
      <c r="I7" s="85">
        <f>VLOOKUP(E7,'[1]Reference Card '!A:C,3,FALSE)</f>
        <v>4</v>
      </c>
      <c r="J7" s="106">
        <f>VLOOKUP(E7,'[1]Reference Card '!A:H,8,FALSE)</f>
        <v>34</v>
      </c>
      <c r="K7" s="106">
        <f>VLOOKUP(E7,'[1]Reference Card '!A:F,6,FALSE)</f>
        <v>34.5</v>
      </c>
      <c r="L7" s="86">
        <v>0</v>
      </c>
      <c r="M7" s="86">
        <v>31500</v>
      </c>
      <c r="N7" s="86">
        <v>0</v>
      </c>
      <c r="O7" s="86">
        <v>0</v>
      </c>
      <c r="P7" s="107">
        <f t="shared" ref="P7" si="47">L7*I7</f>
        <v>0</v>
      </c>
      <c r="Q7" s="87">
        <v>0</v>
      </c>
      <c r="R7" s="108">
        <f t="shared" ref="R7" si="48">(Q7*K7)/1000</f>
        <v>0</v>
      </c>
      <c r="S7" s="86">
        <v>0</v>
      </c>
      <c r="T7" s="107">
        <f t="shared" ref="T7" si="49">IF(M7="Sample","-",IF(M7="RTFN","-",M7-S7))</f>
        <v>31500</v>
      </c>
      <c r="U7" s="109">
        <f t="shared" ref="U7" si="50">(P7*K7)/1000</f>
        <v>0</v>
      </c>
      <c r="V7" s="108">
        <v>0</v>
      </c>
      <c r="W7" s="86">
        <v>5.5</v>
      </c>
      <c r="X7" s="110" t="e">
        <f t="shared" ref="X7" si="51">W7/U7</f>
        <v>#DIV/0!</v>
      </c>
      <c r="Y7" s="86">
        <v>0</v>
      </c>
      <c r="Z7" s="111" t="e">
        <f t="shared" ref="Z7" si="52">Y7/U7</f>
        <v>#DIV/0!</v>
      </c>
      <c r="AA7" s="109">
        <v>22.8</v>
      </c>
      <c r="AB7" s="112">
        <f t="shared" ref="AB7" si="53">AA7/3600*L7</f>
        <v>0</v>
      </c>
      <c r="AC7" s="112">
        <f>VLOOKUP(E7,'[2]Reference Card '!A:I,9,FALSE)</f>
        <v>20.399999999999999</v>
      </c>
      <c r="AD7" s="113"/>
      <c r="AE7" s="113"/>
      <c r="AF7" s="113">
        <v>1.5</v>
      </c>
      <c r="AG7" s="113"/>
      <c r="AH7" s="113">
        <v>0.25</v>
      </c>
      <c r="AI7" s="135"/>
      <c r="AJ7" s="114" t="s">
        <v>1445</v>
      </c>
      <c r="AK7" s="114"/>
      <c r="AL7" s="113"/>
      <c r="AM7" s="113">
        <v>5</v>
      </c>
      <c r="AN7" s="113">
        <v>4</v>
      </c>
      <c r="AO7" s="115">
        <f t="shared" ref="AO7" si="54">(U7-R7-W7-Y7-AM7-AN7)-(O7*K7/1000)</f>
        <v>-14.5</v>
      </c>
      <c r="AP7" s="227" t="s">
        <v>1205</v>
      </c>
      <c r="AQ7" s="79" t="s">
        <v>1406</v>
      </c>
      <c r="AR7" s="189" t="s">
        <v>1089</v>
      </c>
      <c r="AS7" s="79" t="s">
        <v>1406</v>
      </c>
      <c r="AT7" s="189" t="s">
        <v>1090</v>
      </c>
      <c r="AU7" s="73">
        <f t="shared" ref="AU7:AU37" si="55">(Y7+W7+AM7+AN7)*1000/K7</f>
        <v>420.28985507246375</v>
      </c>
      <c r="AV7" s="116">
        <f t="shared" ref="AV7:AV37" si="56">Q7+AU7</f>
        <v>420.28985507246375</v>
      </c>
      <c r="AW7" s="116">
        <f t="shared" ref="AW7:AW37" si="57">3600/AA7*I7</f>
        <v>631.57894736842104</v>
      </c>
      <c r="AX7" s="73">
        <f t="shared" ref="AX7:AX37" si="58">(AV7/AW7)+AY7</f>
        <v>0.91545893719806759</v>
      </c>
      <c r="AY7" s="73">
        <f t="shared" ref="AY7:AY37" si="59">AG7+AH7+AI7</f>
        <v>0.25</v>
      </c>
      <c r="AZ7" s="116">
        <f t="shared" ref="AZ7:AZ37" si="60">Q7</f>
        <v>0</v>
      </c>
      <c r="BA7" s="116">
        <f t="shared" ref="BA7:BA37" si="61">AU7</f>
        <v>420.28985507246375</v>
      </c>
      <c r="BB7" s="117" t="e">
        <f t="shared" ref="BB7:BB37" si="62">BA7/AZ7</f>
        <v>#DIV/0!</v>
      </c>
      <c r="BC7" s="118">
        <v>712</v>
      </c>
      <c r="BD7" s="118"/>
      <c r="BE7" s="90">
        <f t="shared" ref="BE7:BE37" si="63">G7</f>
        <v>10704263</v>
      </c>
      <c r="BF7" s="119" t="s">
        <v>1096</v>
      </c>
      <c r="BG7" s="120">
        <f t="shared" ref="BG7:BG37" si="64">E7</f>
        <v>324173</v>
      </c>
      <c r="BH7" s="121" t="str">
        <f t="shared" ref="BH7:BH37" si="65">F7</f>
        <v>JJ63-0600-RH-R-CL</v>
      </c>
      <c r="BI7" s="122" t="str">
        <f t="shared" ref="BI7:BI37" si="66">AQ7</f>
        <v>05.08.2026</v>
      </c>
      <c r="BJ7" s="119" t="str">
        <f t="shared" ref="BJ7:BJ37" si="67">AR7</f>
        <v>06:00:00</v>
      </c>
      <c r="BK7" s="122" t="str">
        <f t="shared" ref="BK7:BK37" si="68">AS7</f>
        <v>05.08.2026</v>
      </c>
      <c r="BL7" s="119" t="str">
        <f t="shared" ref="BL7:BL37" si="69">AT7</f>
        <v>18:00:00</v>
      </c>
      <c r="BM7" s="123">
        <f t="shared" ref="BM7:BM37" si="70">ROUNDDOWN(Q7+AU7,0)</f>
        <v>420</v>
      </c>
      <c r="BN7" s="118">
        <v>0</v>
      </c>
      <c r="BO7" s="118" t="s">
        <v>1086</v>
      </c>
      <c r="BP7" s="118"/>
      <c r="BQ7" s="118" t="s">
        <v>1087</v>
      </c>
      <c r="BR7" s="124">
        <f t="shared" ref="BR7:BR37" si="71">(AV7/AW7)+AY7</f>
        <v>0.91545893719806759</v>
      </c>
      <c r="BS7" s="124" t="s">
        <v>1087</v>
      </c>
      <c r="BT7" s="124">
        <f t="shared" ref="BT7:BT37" si="72">(AV7/AW7)+AY7</f>
        <v>0.91545893719806759</v>
      </c>
      <c r="BU7" s="124" t="s">
        <v>1087</v>
      </c>
      <c r="BV7" s="124">
        <f t="shared" ref="BV7:BV37" si="73">(AV7/AW7)+AY7</f>
        <v>0.91545893719806759</v>
      </c>
      <c r="BW7" s="118" t="s">
        <v>1087</v>
      </c>
      <c r="BX7" s="118"/>
      <c r="BY7" s="118" t="s">
        <v>1087</v>
      </c>
      <c r="BZ7" s="118"/>
      <c r="CA7" s="118" t="s">
        <v>1087</v>
      </c>
      <c r="CB7" s="118"/>
      <c r="CC7" s="118"/>
      <c r="CD7" s="118"/>
      <c r="CE7" s="118"/>
      <c r="CF7" s="118"/>
      <c r="CG7" s="118"/>
      <c r="CH7" s="118">
        <v>712</v>
      </c>
      <c r="CI7" s="118"/>
      <c r="CJ7" s="118">
        <f t="shared" ref="CJ7:CJ37" si="74">G7</f>
        <v>10704263</v>
      </c>
      <c r="CK7" s="119" t="s">
        <v>1106</v>
      </c>
      <c r="CL7" s="120">
        <f t="shared" ref="CL7:CL37" si="75">E7</f>
        <v>324173</v>
      </c>
      <c r="CM7" s="121" t="str">
        <f t="shared" ref="CM7:CM37" si="76">F7</f>
        <v>JJ63-0600-RH-R-CL</v>
      </c>
      <c r="CN7" s="122" t="str">
        <f t="shared" ref="CN7:CN37" si="77">AQ7</f>
        <v>05.08.2026</v>
      </c>
      <c r="CO7" s="125" t="str">
        <f t="shared" ref="CO7:CO37" si="78">AR7</f>
        <v>06:00:00</v>
      </c>
      <c r="CP7" s="122" t="str">
        <f t="shared" ref="CP7:CP37" si="79">AS7</f>
        <v>05.08.2026</v>
      </c>
      <c r="CQ7" s="125" t="str">
        <f t="shared" ref="CQ7:CQ37" si="80">AT7</f>
        <v>18:00:00</v>
      </c>
      <c r="CR7" s="123">
        <f t="shared" ref="CR7:CR37" si="81">ROUNDDOWN(AZ7,0)</f>
        <v>0</v>
      </c>
      <c r="CS7" s="126">
        <f t="shared" ref="CS7:CS37" si="82">ROUNDDOWN(BA7,0)</f>
        <v>420</v>
      </c>
      <c r="CT7" s="118" t="s">
        <v>1086</v>
      </c>
      <c r="CU7" s="118"/>
      <c r="CV7" s="118" t="s">
        <v>1087</v>
      </c>
      <c r="CW7" s="127"/>
      <c r="CX7" s="118" t="s">
        <v>1087</v>
      </c>
      <c r="CY7" s="127"/>
      <c r="CZ7" s="118" t="s">
        <v>1087</v>
      </c>
      <c r="DA7" s="127"/>
      <c r="DB7" s="118" t="s">
        <v>1087</v>
      </c>
      <c r="DC7" s="118"/>
      <c r="DD7" s="118" t="s">
        <v>1087</v>
      </c>
      <c r="DE7" s="118"/>
      <c r="DF7" s="118" t="s">
        <v>1087</v>
      </c>
      <c r="DG7" s="118"/>
      <c r="DH7" s="118"/>
      <c r="DI7" s="118"/>
      <c r="DJ7" s="118"/>
      <c r="DK7" s="118"/>
      <c r="DL7" s="118"/>
      <c r="DM7" s="62"/>
      <c r="DN7" s="90" t="str">
        <f t="shared" ref="DN7" si="83">B7</f>
        <v>A5</v>
      </c>
      <c r="DO7" s="90" t="str">
        <f t="shared" ref="DO7" si="84">F7</f>
        <v>JJ63-0600-RH-R-CL</v>
      </c>
      <c r="DP7" s="128">
        <f t="shared" ref="DP7" si="85">(3600/AC7)*I7*12*0.98</f>
        <v>8301.1764705882342</v>
      </c>
      <c r="DQ7" s="129">
        <f t="shared" ref="DQ7" si="86">P7</f>
        <v>0</v>
      </c>
      <c r="DR7" s="130">
        <f t="shared" ref="DR7" si="87">DQ7/DP7*100</f>
        <v>0</v>
      </c>
      <c r="DS7" s="131">
        <f t="shared" ref="DS7" si="88">Y7</f>
        <v>0</v>
      </c>
      <c r="DT7" s="131" t="e">
        <f t="shared" ref="DT7" si="89">Z7</f>
        <v>#DIV/0!</v>
      </c>
      <c r="DU7" s="132">
        <f t="shared" ref="DU7" si="90">SUM(AG7:AI7)</f>
        <v>0.25</v>
      </c>
      <c r="DV7" s="133">
        <f t="shared" ref="DV7" si="91">SUM(AD7:AF7)</f>
        <v>1.5</v>
      </c>
      <c r="DW7" s="261" t="e">
        <f t="shared" ref="DW7" si="92">Y7+W7+AM7+AN7/U7*100</f>
        <v>#DIV/0!</v>
      </c>
      <c r="DX7" s="262"/>
      <c r="DY7" s="134" t="str">
        <f t="shared" ref="DY7" si="93">AJ7</f>
        <v>Start 7.30pm.</v>
      </c>
      <c r="DZ7" s="15"/>
      <c r="EA7" s="15"/>
      <c r="EB7" s="15"/>
      <c r="EC7" s="15"/>
      <c r="ED7" s="15"/>
      <c r="EE7" s="15"/>
    </row>
    <row r="8" spans="1:135" s="74" customFormat="1" ht="33" customHeight="1">
      <c r="A8" s="188" t="s">
        <v>1410</v>
      </c>
      <c r="B8" s="100" t="s">
        <v>1334</v>
      </c>
      <c r="C8" s="90" t="s">
        <v>1416</v>
      </c>
      <c r="D8" s="101" t="str">
        <f>VLOOKUP(E8,'Reference Card '!A:E,5,FALSE)</f>
        <v>PET</v>
      </c>
      <c r="E8" s="102">
        <v>322493</v>
      </c>
      <c r="F8" s="103" t="str">
        <f>VLOOKUP(E8,'[1]Reference Card '!A:B,2,FALSE)</f>
        <v>BC28-0280-HD-R-CL-LW</v>
      </c>
      <c r="G8" s="104">
        <v>10704264</v>
      </c>
      <c r="H8" s="105" t="s">
        <v>1246</v>
      </c>
      <c r="I8" s="85">
        <f>VLOOKUP(E8,'[1]Reference Card '!A:C,3,FALSE)</f>
        <v>4</v>
      </c>
      <c r="J8" s="106">
        <f>VLOOKUP(E8,'[1]Reference Card '!A:H,8,FALSE)</f>
        <v>23</v>
      </c>
      <c r="K8" s="106">
        <f>VLOOKUP(E8,'[1]Reference Card '!A:F,6,FALSE)</f>
        <v>23</v>
      </c>
      <c r="L8" s="86">
        <v>1590</v>
      </c>
      <c r="M8" s="86">
        <v>30600</v>
      </c>
      <c r="N8" s="86">
        <v>1275</v>
      </c>
      <c r="O8" s="86">
        <v>1105</v>
      </c>
      <c r="P8" s="107">
        <f t="shared" ref="P8" si="94">L8*I8</f>
        <v>6360</v>
      </c>
      <c r="Q8" s="87">
        <v>6375</v>
      </c>
      <c r="R8" s="108">
        <f t="shared" ref="R8" si="95">(Q8*K8)/1000</f>
        <v>146.625</v>
      </c>
      <c r="S8" s="86">
        <v>25330</v>
      </c>
      <c r="T8" s="107">
        <f t="shared" ref="T8" si="96">IF(M8="Sample","-",IF(M8="RTFN","-",M8-S8))</f>
        <v>5270</v>
      </c>
      <c r="U8" s="109">
        <f t="shared" ref="U8" si="97">(P8*K8)/1000</f>
        <v>146.28</v>
      </c>
      <c r="V8" s="108">
        <f t="shared" ref="V8:V21" si="98">(J8-K8)*P8/1000</f>
        <v>0</v>
      </c>
      <c r="W8" s="86">
        <v>0</v>
      </c>
      <c r="X8" s="110">
        <f t="shared" ref="X8" si="99">W8/U8</f>
        <v>0</v>
      </c>
      <c r="Y8" s="86">
        <v>3.5</v>
      </c>
      <c r="Z8" s="111">
        <f t="shared" ref="Z8" si="100">Y8/U8</f>
        <v>2.3926715887339349E-2</v>
      </c>
      <c r="AA8" s="109">
        <v>26.9</v>
      </c>
      <c r="AB8" s="112">
        <f t="shared" ref="AB8" si="101">AA8/3600*L8</f>
        <v>11.880833333333333</v>
      </c>
      <c r="AC8" s="112">
        <f>VLOOKUP(E8,'[2]Reference Card '!A:I,9,FALSE)</f>
        <v>22.5</v>
      </c>
      <c r="AD8" s="113"/>
      <c r="AE8" s="113"/>
      <c r="AF8" s="113"/>
      <c r="AG8" s="113"/>
      <c r="AH8" s="135"/>
      <c r="AI8" s="135"/>
      <c r="AJ8" s="114" t="s">
        <v>1401</v>
      </c>
      <c r="AK8" s="114"/>
      <c r="AL8" s="113"/>
      <c r="AM8" s="113">
        <v>3</v>
      </c>
      <c r="AN8" s="113">
        <v>4</v>
      </c>
      <c r="AO8" s="115">
        <f t="shared" ref="AO8:AO28" si="102">(U8-R8-W8-Y8-AM8-AN8)-(O8*K8/1000)</f>
        <v>-36.26</v>
      </c>
      <c r="AP8" s="227" t="s">
        <v>1205</v>
      </c>
      <c r="AQ8" s="79" t="s">
        <v>1406</v>
      </c>
      <c r="AR8" s="189" t="s">
        <v>1089</v>
      </c>
      <c r="AS8" s="79" t="s">
        <v>1406</v>
      </c>
      <c r="AT8" s="189" t="s">
        <v>1090</v>
      </c>
      <c r="AU8" s="73">
        <f t="shared" si="55"/>
        <v>456.52173913043481</v>
      </c>
      <c r="AV8" s="116">
        <f t="shared" si="56"/>
        <v>6831.521739130435</v>
      </c>
      <c r="AW8" s="116">
        <f t="shared" si="57"/>
        <v>535.31598513011159</v>
      </c>
      <c r="AX8" s="73">
        <f t="shared" si="58"/>
        <v>12.761662137681158</v>
      </c>
      <c r="AY8" s="73">
        <f t="shared" si="59"/>
        <v>0</v>
      </c>
      <c r="AZ8" s="116">
        <f t="shared" si="60"/>
        <v>6375</v>
      </c>
      <c r="BA8" s="116">
        <f t="shared" si="61"/>
        <v>456.52173913043481</v>
      </c>
      <c r="BB8" s="117">
        <f t="shared" si="62"/>
        <v>7.1611253196930957E-2</v>
      </c>
      <c r="BC8" s="118">
        <v>712</v>
      </c>
      <c r="BD8" s="118"/>
      <c r="BE8" s="90">
        <f t="shared" si="63"/>
        <v>10704264</v>
      </c>
      <c r="BF8" s="119" t="s">
        <v>1096</v>
      </c>
      <c r="BG8" s="120">
        <f t="shared" si="64"/>
        <v>322493</v>
      </c>
      <c r="BH8" s="121" t="str">
        <f t="shared" si="65"/>
        <v>BC28-0280-HD-R-CL-LW</v>
      </c>
      <c r="BI8" s="122" t="str">
        <f t="shared" si="66"/>
        <v>05.08.2026</v>
      </c>
      <c r="BJ8" s="119" t="str">
        <f t="shared" si="67"/>
        <v>06:00:00</v>
      </c>
      <c r="BK8" s="122" t="str">
        <f t="shared" si="68"/>
        <v>05.08.2026</v>
      </c>
      <c r="BL8" s="119" t="str">
        <f t="shared" si="69"/>
        <v>18:00:00</v>
      </c>
      <c r="BM8" s="123">
        <f t="shared" si="70"/>
        <v>6831</v>
      </c>
      <c r="BN8" s="118">
        <v>0</v>
      </c>
      <c r="BO8" s="118" t="s">
        <v>1086</v>
      </c>
      <c r="BP8" s="118"/>
      <c r="BQ8" s="118" t="s">
        <v>1087</v>
      </c>
      <c r="BR8" s="124">
        <f t="shared" si="71"/>
        <v>12.761662137681158</v>
      </c>
      <c r="BS8" s="124" t="s">
        <v>1087</v>
      </c>
      <c r="BT8" s="124">
        <f t="shared" si="72"/>
        <v>12.761662137681158</v>
      </c>
      <c r="BU8" s="124" t="s">
        <v>1087</v>
      </c>
      <c r="BV8" s="124">
        <f t="shared" si="73"/>
        <v>12.761662137681158</v>
      </c>
      <c r="BW8" s="118" t="s">
        <v>1087</v>
      </c>
      <c r="BX8" s="118"/>
      <c r="BY8" s="118" t="s">
        <v>1087</v>
      </c>
      <c r="BZ8" s="118"/>
      <c r="CA8" s="118" t="s">
        <v>1087</v>
      </c>
      <c r="CB8" s="118"/>
      <c r="CC8" s="118"/>
      <c r="CD8" s="118"/>
      <c r="CE8" s="118"/>
      <c r="CF8" s="118"/>
      <c r="CG8" s="118"/>
      <c r="CH8" s="118">
        <v>712</v>
      </c>
      <c r="CI8" s="118"/>
      <c r="CJ8" s="118">
        <f t="shared" si="74"/>
        <v>10704264</v>
      </c>
      <c r="CK8" s="119" t="s">
        <v>1106</v>
      </c>
      <c r="CL8" s="120">
        <f t="shared" si="75"/>
        <v>322493</v>
      </c>
      <c r="CM8" s="121" t="str">
        <f t="shared" si="76"/>
        <v>BC28-0280-HD-R-CL-LW</v>
      </c>
      <c r="CN8" s="122" t="str">
        <f t="shared" si="77"/>
        <v>05.08.2026</v>
      </c>
      <c r="CO8" s="125" t="str">
        <f t="shared" si="78"/>
        <v>06:00:00</v>
      </c>
      <c r="CP8" s="122" t="str">
        <f t="shared" si="79"/>
        <v>05.08.2026</v>
      </c>
      <c r="CQ8" s="125" t="str">
        <f t="shared" si="80"/>
        <v>18:00:00</v>
      </c>
      <c r="CR8" s="123">
        <f t="shared" si="81"/>
        <v>6375</v>
      </c>
      <c r="CS8" s="126">
        <f t="shared" si="82"/>
        <v>456</v>
      </c>
      <c r="CT8" s="118" t="s">
        <v>1086</v>
      </c>
      <c r="CU8" s="118"/>
      <c r="CV8" s="118" t="s">
        <v>1087</v>
      </c>
      <c r="CW8" s="127"/>
      <c r="CX8" s="118" t="s">
        <v>1087</v>
      </c>
      <c r="CY8" s="127"/>
      <c r="CZ8" s="118" t="s">
        <v>1087</v>
      </c>
      <c r="DA8" s="127"/>
      <c r="DB8" s="118" t="s">
        <v>1087</v>
      </c>
      <c r="DC8" s="118"/>
      <c r="DD8" s="118" t="s">
        <v>1087</v>
      </c>
      <c r="DE8" s="118"/>
      <c r="DF8" s="118" t="s">
        <v>1087</v>
      </c>
      <c r="DG8" s="118"/>
      <c r="DH8" s="118"/>
      <c r="DI8" s="118"/>
      <c r="DJ8" s="118"/>
      <c r="DK8" s="118"/>
      <c r="DL8" s="118"/>
      <c r="DM8" s="62"/>
      <c r="DN8" s="90" t="str">
        <f t="shared" ref="DN8" si="103">B8</f>
        <v>A6</v>
      </c>
      <c r="DO8" s="90" t="str">
        <f t="shared" ref="DO8" si="104">F8</f>
        <v>BC28-0280-HD-R-CL-LW</v>
      </c>
      <c r="DP8" s="128">
        <f t="shared" ref="DP8" si="105">(3600/AC8)*I8*12*0.98</f>
        <v>7526.4</v>
      </c>
      <c r="DQ8" s="129">
        <f t="shared" ref="DQ8" si="106">P8</f>
        <v>6360</v>
      </c>
      <c r="DR8" s="130">
        <f t="shared" ref="DR8" si="107">DQ8/DP8*100</f>
        <v>84.502551020408163</v>
      </c>
      <c r="DS8" s="131">
        <f t="shared" ref="DS8" si="108">Y8</f>
        <v>3.5</v>
      </c>
      <c r="DT8" s="131">
        <f t="shared" ref="DT8" si="109">Z8</f>
        <v>2.3926715887339349E-2</v>
      </c>
      <c r="DU8" s="132">
        <f t="shared" ref="DU8" si="110">SUM(AG8:AI8)</f>
        <v>0</v>
      </c>
      <c r="DV8" s="133">
        <f t="shared" ref="DV8" si="111">SUM(AD8:AF8)</f>
        <v>0</v>
      </c>
      <c r="DW8" s="261">
        <f t="shared" ref="DW8" si="112">Y8+W8+AM8+AN8/U8*100</f>
        <v>9.2344818156959256</v>
      </c>
      <c r="DX8" s="262"/>
      <c r="DY8" s="134" t="str">
        <f t="shared" ref="DY8" si="113">AJ8</f>
        <v>Base deform.L.test.</v>
      </c>
      <c r="DZ8" s="15"/>
      <c r="EA8" s="15"/>
      <c r="EB8" s="15"/>
      <c r="EC8" s="15"/>
      <c r="ED8" s="15"/>
      <c r="EE8" s="15"/>
    </row>
    <row r="9" spans="1:135" s="74" customFormat="1" ht="33" customHeight="1">
      <c r="A9" s="188" t="s">
        <v>1410</v>
      </c>
      <c r="B9" s="100" t="s">
        <v>1409</v>
      </c>
      <c r="C9" s="90" t="s">
        <v>1378</v>
      </c>
      <c r="D9" s="101" t="str">
        <f>VLOOKUP(E9,'Reference Card '!A:E,5,FALSE)</f>
        <v>PET</v>
      </c>
      <c r="E9" s="102">
        <v>324212</v>
      </c>
      <c r="F9" s="103" t="str">
        <f>VLOOKUP(E9,'[1]Reference Card '!A:B,2,FALSE)</f>
        <v>BB38-0250-S-S-CL</v>
      </c>
      <c r="G9" s="104">
        <v>10704834</v>
      </c>
      <c r="H9" s="105" t="s">
        <v>1246</v>
      </c>
      <c r="I9" s="85">
        <f>VLOOKUP(E9,'[1]Reference Card '!A:C,3,FALSE)</f>
        <v>4</v>
      </c>
      <c r="J9" s="106">
        <f>VLOOKUP(E9,'[1]Reference Card '!A:H,8,FALSE)</f>
        <v>16</v>
      </c>
      <c r="K9" s="106">
        <f>VLOOKUP(E9,'[1]Reference Card '!A:F,6,FALSE)</f>
        <v>16</v>
      </c>
      <c r="L9" s="86">
        <v>0</v>
      </c>
      <c r="M9" s="86">
        <v>25600</v>
      </c>
      <c r="N9" s="86">
        <v>0</v>
      </c>
      <c r="O9" s="86">
        <v>0</v>
      </c>
      <c r="P9" s="107">
        <f t="shared" ref="P9" si="114">L9*I9</f>
        <v>0</v>
      </c>
      <c r="Q9" s="87">
        <v>0</v>
      </c>
      <c r="R9" s="108">
        <f t="shared" ref="R9" si="115">(Q9*K9)/1000</f>
        <v>0</v>
      </c>
      <c r="S9" s="86">
        <v>0</v>
      </c>
      <c r="T9" s="107">
        <f t="shared" ref="T9" si="116">IF(M9="Sample","-",IF(M9="RTFN","-",M9-S9))</f>
        <v>25600</v>
      </c>
      <c r="U9" s="109">
        <f t="shared" ref="U9" si="117">(P9*K9)/1000</f>
        <v>0</v>
      </c>
      <c r="V9" s="108">
        <f t="shared" ref="V9" si="118">(J9-K9)*P9/1000</f>
        <v>0</v>
      </c>
      <c r="W9" s="86">
        <v>0</v>
      </c>
      <c r="X9" s="110" t="e">
        <f t="shared" ref="X9" si="119">W9/U9</f>
        <v>#DIV/0!</v>
      </c>
      <c r="Y9" s="86">
        <v>0</v>
      </c>
      <c r="Z9" s="111" t="e">
        <f t="shared" ref="Z9" si="120">Y9/U9</f>
        <v>#DIV/0!</v>
      </c>
      <c r="AA9" s="109">
        <v>26.9</v>
      </c>
      <c r="AB9" s="112">
        <f t="shared" ref="AB9" si="121">AA9/3600*L9</f>
        <v>0</v>
      </c>
      <c r="AC9" s="112">
        <f>VLOOKUP(E9,'[2]Reference Card '!A:I,9,FALSE)</f>
        <v>18.32</v>
      </c>
      <c r="AD9" s="113">
        <v>5.5</v>
      </c>
      <c r="AE9" s="113"/>
      <c r="AF9" s="113"/>
      <c r="AG9" s="113">
        <v>4</v>
      </c>
      <c r="AH9" s="135">
        <v>2.5</v>
      </c>
      <c r="AI9" s="135"/>
      <c r="AJ9" s="114" t="s">
        <v>1443</v>
      </c>
      <c r="AK9" s="114"/>
      <c r="AL9" s="113"/>
      <c r="AM9" s="113"/>
      <c r="AN9" s="113"/>
      <c r="AO9" s="115">
        <f t="shared" ref="AO9" si="122">(U9-R9-W9-Y9-AM9-AN9)-(O9*K9/1000)</f>
        <v>0</v>
      </c>
      <c r="AP9" s="227" t="s">
        <v>1205</v>
      </c>
      <c r="AQ9" s="79" t="s">
        <v>1406</v>
      </c>
      <c r="AR9" s="189" t="s">
        <v>1089</v>
      </c>
      <c r="AS9" s="79" t="s">
        <v>1406</v>
      </c>
      <c r="AT9" s="189" t="s">
        <v>1090</v>
      </c>
      <c r="AU9" s="73">
        <f t="shared" si="55"/>
        <v>0</v>
      </c>
      <c r="AV9" s="116">
        <f t="shared" si="56"/>
        <v>0</v>
      </c>
      <c r="AW9" s="116">
        <f t="shared" si="57"/>
        <v>535.31598513011159</v>
      </c>
      <c r="AX9" s="73">
        <f t="shared" si="58"/>
        <v>6.5</v>
      </c>
      <c r="AY9" s="73">
        <f t="shared" si="59"/>
        <v>6.5</v>
      </c>
      <c r="AZ9" s="116">
        <f t="shared" si="60"/>
        <v>0</v>
      </c>
      <c r="BA9" s="116">
        <f t="shared" si="61"/>
        <v>0</v>
      </c>
      <c r="BB9" s="117" t="e">
        <f t="shared" si="62"/>
        <v>#DIV/0!</v>
      </c>
      <c r="BC9" s="118">
        <v>712</v>
      </c>
      <c r="BD9" s="118"/>
      <c r="BE9" s="90">
        <f t="shared" si="63"/>
        <v>10704834</v>
      </c>
      <c r="BF9" s="119" t="s">
        <v>1096</v>
      </c>
      <c r="BG9" s="120">
        <f t="shared" si="64"/>
        <v>324212</v>
      </c>
      <c r="BH9" s="121" t="str">
        <f t="shared" si="65"/>
        <v>BB38-0250-S-S-CL</v>
      </c>
      <c r="BI9" s="122" t="str">
        <f t="shared" si="66"/>
        <v>05.08.2026</v>
      </c>
      <c r="BJ9" s="119" t="str">
        <f t="shared" si="67"/>
        <v>06:00:00</v>
      </c>
      <c r="BK9" s="122" t="str">
        <f t="shared" si="68"/>
        <v>05.08.2026</v>
      </c>
      <c r="BL9" s="119" t="str">
        <f t="shared" si="69"/>
        <v>18:00:00</v>
      </c>
      <c r="BM9" s="123">
        <f t="shared" si="70"/>
        <v>0</v>
      </c>
      <c r="BN9" s="118">
        <v>0</v>
      </c>
      <c r="BO9" s="118" t="s">
        <v>1086</v>
      </c>
      <c r="BP9" s="118"/>
      <c r="BQ9" s="118" t="s">
        <v>1087</v>
      </c>
      <c r="BR9" s="124">
        <f t="shared" si="71"/>
        <v>6.5</v>
      </c>
      <c r="BS9" s="124" t="s">
        <v>1087</v>
      </c>
      <c r="BT9" s="124">
        <f t="shared" si="72"/>
        <v>6.5</v>
      </c>
      <c r="BU9" s="124" t="s">
        <v>1087</v>
      </c>
      <c r="BV9" s="124">
        <f t="shared" si="73"/>
        <v>6.5</v>
      </c>
      <c r="BW9" s="118" t="s">
        <v>1087</v>
      </c>
      <c r="BX9" s="118"/>
      <c r="BY9" s="118" t="s">
        <v>1087</v>
      </c>
      <c r="BZ9" s="118"/>
      <c r="CA9" s="118" t="s">
        <v>1087</v>
      </c>
      <c r="CB9" s="118"/>
      <c r="CC9" s="118"/>
      <c r="CD9" s="118"/>
      <c r="CE9" s="118"/>
      <c r="CF9" s="118"/>
      <c r="CG9" s="118"/>
      <c r="CH9" s="118">
        <v>712</v>
      </c>
      <c r="CI9" s="118"/>
      <c r="CJ9" s="118">
        <f t="shared" si="74"/>
        <v>10704834</v>
      </c>
      <c r="CK9" s="119" t="s">
        <v>1106</v>
      </c>
      <c r="CL9" s="120">
        <f t="shared" si="75"/>
        <v>324212</v>
      </c>
      <c r="CM9" s="121" t="str">
        <f t="shared" si="76"/>
        <v>BB38-0250-S-S-CL</v>
      </c>
      <c r="CN9" s="122" t="str">
        <f t="shared" si="77"/>
        <v>05.08.2026</v>
      </c>
      <c r="CO9" s="125" t="str">
        <f t="shared" si="78"/>
        <v>06:00:00</v>
      </c>
      <c r="CP9" s="122" t="str">
        <f t="shared" si="79"/>
        <v>05.08.2026</v>
      </c>
      <c r="CQ9" s="125" t="str">
        <f t="shared" si="80"/>
        <v>18:00:00</v>
      </c>
      <c r="CR9" s="123">
        <f t="shared" si="81"/>
        <v>0</v>
      </c>
      <c r="CS9" s="126">
        <f t="shared" si="82"/>
        <v>0</v>
      </c>
      <c r="CT9" s="118" t="s">
        <v>1086</v>
      </c>
      <c r="CU9" s="118"/>
      <c r="CV9" s="118" t="s">
        <v>1087</v>
      </c>
      <c r="CW9" s="127"/>
      <c r="CX9" s="118" t="s">
        <v>1087</v>
      </c>
      <c r="CY9" s="127"/>
      <c r="CZ9" s="118" t="s">
        <v>1087</v>
      </c>
      <c r="DA9" s="127"/>
      <c r="DB9" s="118" t="s">
        <v>1087</v>
      </c>
      <c r="DC9" s="118"/>
      <c r="DD9" s="118" t="s">
        <v>1087</v>
      </c>
      <c r="DE9" s="118"/>
      <c r="DF9" s="118" t="s">
        <v>1087</v>
      </c>
      <c r="DG9" s="118"/>
      <c r="DH9" s="118"/>
      <c r="DI9" s="118"/>
      <c r="DJ9" s="118"/>
      <c r="DK9" s="118"/>
      <c r="DL9" s="118"/>
      <c r="DM9" s="62"/>
      <c r="DN9" s="90" t="str">
        <f t="shared" ref="DN9" si="123">B9</f>
        <v>A7</v>
      </c>
      <c r="DO9" s="90" t="str">
        <f t="shared" ref="DO9" si="124">F9</f>
        <v>BB38-0250-S-S-CL</v>
      </c>
      <c r="DP9" s="128">
        <f t="shared" ref="DP9" si="125">(3600/AC9)*I9*12*0.98</f>
        <v>9243.6681222707412</v>
      </c>
      <c r="DQ9" s="129">
        <f t="shared" ref="DQ9" si="126">P9</f>
        <v>0</v>
      </c>
      <c r="DR9" s="130">
        <f t="shared" ref="DR9" si="127">DQ9/DP9*100</f>
        <v>0</v>
      </c>
      <c r="DS9" s="131">
        <f t="shared" ref="DS9" si="128">Y9</f>
        <v>0</v>
      </c>
      <c r="DT9" s="131" t="e">
        <f t="shared" ref="DT9" si="129">Z9</f>
        <v>#DIV/0!</v>
      </c>
      <c r="DU9" s="132">
        <f t="shared" ref="DU9" si="130">SUM(AG9:AI9)</f>
        <v>6.5</v>
      </c>
      <c r="DV9" s="133">
        <f t="shared" ref="DV9" si="131">SUM(AD9:AF9)</f>
        <v>5.5</v>
      </c>
      <c r="DW9" s="261" t="e">
        <f t="shared" ref="DW9" si="132">Y9+W9+AM9+AN9/U9*100</f>
        <v>#DIV/0!</v>
      </c>
      <c r="DX9" s="262"/>
      <c r="DY9" s="134" t="str">
        <f t="shared" ref="DY9" si="133">AJ9</f>
        <v>mntc service mc oil.Under tech start up.</v>
      </c>
      <c r="DZ9" s="15"/>
      <c r="EA9" s="15"/>
      <c r="EB9" s="15"/>
      <c r="EC9" s="15"/>
      <c r="ED9" s="15"/>
      <c r="EE9" s="15"/>
    </row>
    <row r="10" spans="1:135" s="74" customFormat="1" ht="33" customHeight="1">
      <c r="A10" s="188" t="s">
        <v>1410</v>
      </c>
      <c r="B10" s="100" t="s">
        <v>1240</v>
      </c>
      <c r="C10" s="90" t="s">
        <v>1412</v>
      </c>
      <c r="D10" s="101" t="str">
        <f>VLOOKUP(E10,'Reference Card '!A:E,5,FALSE)</f>
        <v>PET</v>
      </c>
      <c r="E10" s="102">
        <v>347623</v>
      </c>
      <c r="F10" s="103" t="str">
        <f>VLOOKUP(E10,'[1]Reference Card '!A:B,2,FALSE)</f>
        <v>BC28-0375-K-R-CL</v>
      </c>
      <c r="G10" s="104">
        <v>10704679</v>
      </c>
      <c r="H10" s="105" t="s">
        <v>1246</v>
      </c>
      <c r="I10" s="85">
        <f>VLOOKUP(E10,'[1]Reference Card '!A:C,3,FALSE)</f>
        <v>4</v>
      </c>
      <c r="J10" s="185">
        <f>VLOOKUP(E10,'[1]Reference Card '!A:H,8,FALSE)</f>
        <v>35.6</v>
      </c>
      <c r="K10" s="185">
        <f>VLOOKUP(E10,'[1]Reference Card '!A:F,6,FALSE)</f>
        <v>35.6</v>
      </c>
      <c r="L10" s="86">
        <v>1674</v>
      </c>
      <c r="M10" s="86">
        <v>38640</v>
      </c>
      <c r="N10" s="86">
        <v>5152</v>
      </c>
      <c r="O10" s="86">
        <v>736</v>
      </c>
      <c r="P10" s="107">
        <f t="shared" ref="P10" si="134">L10*I10</f>
        <v>6696</v>
      </c>
      <c r="Q10" s="87">
        <v>11040</v>
      </c>
      <c r="R10" s="108">
        <f t="shared" ref="R10" si="135">(Q10*K10)/1000</f>
        <v>393.024</v>
      </c>
      <c r="S10" s="86">
        <v>11776</v>
      </c>
      <c r="T10" s="107">
        <f t="shared" ref="T10" si="136">IF(M10="Sample","-",IF(M10="RTFN","-",M10-S10))</f>
        <v>26864</v>
      </c>
      <c r="U10" s="109">
        <f t="shared" ref="U10" si="137">(P10*K10)/1000</f>
        <v>238.3776</v>
      </c>
      <c r="V10" s="108">
        <f t="shared" ref="V10" si="138">(J10-K10)*P10/1000</f>
        <v>0</v>
      </c>
      <c r="W10" s="86">
        <v>0</v>
      </c>
      <c r="X10" s="110">
        <f t="shared" ref="X10" si="139">W10/U10</f>
        <v>0</v>
      </c>
      <c r="Y10" s="86">
        <v>2.6</v>
      </c>
      <c r="Z10" s="111">
        <f t="shared" ref="Z10" si="140">Y10/U10</f>
        <v>1.0907065093364478E-2</v>
      </c>
      <c r="AA10" s="109">
        <v>25.4</v>
      </c>
      <c r="AB10" s="112">
        <f t="shared" ref="AB10" si="141">AA10/3600*L10</f>
        <v>11.811</v>
      </c>
      <c r="AC10" s="112">
        <f>VLOOKUP(E10,'[2]Reference Card '!A:I,9,FALSE)</f>
        <v>27</v>
      </c>
      <c r="AD10" s="113"/>
      <c r="AE10" s="113"/>
      <c r="AF10" s="113"/>
      <c r="AG10" s="113"/>
      <c r="AH10" s="113"/>
      <c r="AI10" s="135"/>
      <c r="AJ10" s="114" t="s">
        <v>1432</v>
      </c>
      <c r="AK10" s="114"/>
      <c r="AL10" s="113"/>
      <c r="AM10" s="113"/>
      <c r="AN10" s="113"/>
      <c r="AO10" s="115">
        <f t="shared" ref="AO10" si="142">(U10-R10-W10-Y10-AM10-AN10)-(O10*K10/1000)</f>
        <v>-183.44800000000001</v>
      </c>
      <c r="AP10" s="227" t="s">
        <v>1205</v>
      </c>
      <c r="AQ10" s="79" t="s">
        <v>1406</v>
      </c>
      <c r="AR10" s="189" t="s">
        <v>1089</v>
      </c>
      <c r="AS10" s="79" t="s">
        <v>1406</v>
      </c>
      <c r="AT10" s="189" t="s">
        <v>1090</v>
      </c>
      <c r="AU10" s="73">
        <f t="shared" si="55"/>
        <v>73.033707865168537</v>
      </c>
      <c r="AV10" s="116">
        <f t="shared" si="56"/>
        <v>11113.033707865168</v>
      </c>
      <c r="AW10" s="116">
        <f t="shared" si="57"/>
        <v>566.92913385826773</v>
      </c>
      <c r="AX10" s="73">
        <f t="shared" si="58"/>
        <v>19.602156679151062</v>
      </c>
      <c r="AY10" s="73">
        <f t="shared" si="59"/>
        <v>0</v>
      </c>
      <c r="AZ10" s="116">
        <f t="shared" si="60"/>
        <v>11040</v>
      </c>
      <c r="BA10" s="116">
        <f t="shared" si="61"/>
        <v>73.033707865168537</v>
      </c>
      <c r="BB10" s="117">
        <f t="shared" si="62"/>
        <v>6.6153720892362803E-3</v>
      </c>
      <c r="BC10" s="118">
        <v>712</v>
      </c>
      <c r="BD10" s="118"/>
      <c r="BE10" s="90">
        <f t="shared" si="63"/>
        <v>10704679</v>
      </c>
      <c r="BF10" s="119" t="s">
        <v>1096</v>
      </c>
      <c r="BG10" s="120">
        <f t="shared" si="64"/>
        <v>347623</v>
      </c>
      <c r="BH10" s="121" t="str">
        <f t="shared" si="65"/>
        <v>BC28-0375-K-R-CL</v>
      </c>
      <c r="BI10" s="122" t="str">
        <f t="shared" si="66"/>
        <v>05.08.2026</v>
      </c>
      <c r="BJ10" s="119" t="str">
        <f t="shared" si="67"/>
        <v>06:00:00</v>
      </c>
      <c r="BK10" s="122" t="str">
        <f t="shared" si="68"/>
        <v>05.08.2026</v>
      </c>
      <c r="BL10" s="119" t="str">
        <f t="shared" si="69"/>
        <v>18:00:00</v>
      </c>
      <c r="BM10" s="123">
        <f t="shared" si="70"/>
        <v>11113</v>
      </c>
      <c r="BN10" s="118">
        <v>0</v>
      </c>
      <c r="BO10" s="118" t="s">
        <v>1086</v>
      </c>
      <c r="BP10" s="118"/>
      <c r="BQ10" s="118" t="s">
        <v>1087</v>
      </c>
      <c r="BR10" s="124">
        <f t="shared" si="71"/>
        <v>19.602156679151062</v>
      </c>
      <c r="BS10" s="124" t="s">
        <v>1087</v>
      </c>
      <c r="BT10" s="124">
        <f t="shared" si="72"/>
        <v>19.602156679151062</v>
      </c>
      <c r="BU10" s="124" t="s">
        <v>1087</v>
      </c>
      <c r="BV10" s="124">
        <f t="shared" si="73"/>
        <v>19.602156679151062</v>
      </c>
      <c r="BW10" s="118" t="s">
        <v>1087</v>
      </c>
      <c r="BX10" s="118"/>
      <c r="BY10" s="118" t="s">
        <v>1087</v>
      </c>
      <c r="BZ10" s="118"/>
      <c r="CA10" s="118" t="s">
        <v>1087</v>
      </c>
      <c r="CB10" s="118"/>
      <c r="CC10" s="118"/>
      <c r="CD10" s="118"/>
      <c r="CE10" s="118"/>
      <c r="CF10" s="118"/>
      <c r="CG10" s="118"/>
      <c r="CH10" s="118">
        <v>712</v>
      </c>
      <c r="CI10" s="118"/>
      <c r="CJ10" s="118">
        <f t="shared" si="74"/>
        <v>10704679</v>
      </c>
      <c r="CK10" s="119" t="s">
        <v>1106</v>
      </c>
      <c r="CL10" s="120">
        <f t="shared" si="75"/>
        <v>347623</v>
      </c>
      <c r="CM10" s="121" t="str">
        <f t="shared" si="76"/>
        <v>BC28-0375-K-R-CL</v>
      </c>
      <c r="CN10" s="122" t="str">
        <f t="shared" si="77"/>
        <v>05.08.2026</v>
      </c>
      <c r="CO10" s="125" t="str">
        <f t="shared" si="78"/>
        <v>06:00:00</v>
      </c>
      <c r="CP10" s="122" t="str">
        <f t="shared" si="79"/>
        <v>05.08.2026</v>
      </c>
      <c r="CQ10" s="125" t="str">
        <f t="shared" si="80"/>
        <v>18:00:00</v>
      </c>
      <c r="CR10" s="123">
        <f t="shared" si="81"/>
        <v>11040</v>
      </c>
      <c r="CS10" s="126">
        <f t="shared" si="82"/>
        <v>73</v>
      </c>
      <c r="CT10" s="118" t="s">
        <v>1086</v>
      </c>
      <c r="CU10" s="118"/>
      <c r="CV10" s="118" t="s">
        <v>1087</v>
      </c>
      <c r="CW10" s="127"/>
      <c r="CX10" s="118" t="s">
        <v>1087</v>
      </c>
      <c r="CY10" s="127"/>
      <c r="CZ10" s="118" t="s">
        <v>1087</v>
      </c>
      <c r="DA10" s="127"/>
      <c r="DB10" s="118" t="s">
        <v>1087</v>
      </c>
      <c r="DC10" s="118"/>
      <c r="DD10" s="118" t="s">
        <v>1087</v>
      </c>
      <c r="DE10" s="118"/>
      <c r="DF10" s="118" t="s">
        <v>1087</v>
      </c>
      <c r="DG10" s="118"/>
      <c r="DH10" s="118"/>
      <c r="DI10" s="118"/>
      <c r="DJ10" s="118"/>
      <c r="DK10" s="118"/>
      <c r="DL10" s="118"/>
      <c r="DM10" s="62"/>
      <c r="DN10" s="90" t="str">
        <f t="shared" ref="DN10" si="143">B10</f>
        <v>A9</v>
      </c>
      <c r="DO10" s="90" t="str">
        <f t="shared" ref="DO10" si="144">F10</f>
        <v>BC28-0375-K-R-CL</v>
      </c>
      <c r="DP10" s="128">
        <f t="shared" ref="DP10" si="145">(3600/AC10)*I10*12*0.98</f>
        <v>6272</v>
      </c>
      <c r="DQ10" s="129">
        <f t="shared" ref="DQ10" si="146">P10</f>
        <v>6696</v>
      </c>
      <c r="DR10" s="130">
        <f t="shared" ref="DR10" si="147">DQ10/DP10*100</f>
        <v>106.76020408163265</v>
      </c>
      <c r="DS10" s="131">
        <f t="shared" ref="DS10" si="148">Y10</f>
        <v>2.6</v>
      </c>
      <c r="DT10" s="131">
        <f t="shared" ref="DT10" si="149">Z10</f>
        <v>1.0907065093364478E-2</v>
      </c>
      <c r="DU10" s="132">
        <f t="shared" ref="DU10" si="150">SUM(AG10:AI10)</f>
        <v>0</v>
      </c>
      <c r="DV10" s="133">
        <f t="shared" ref="DV10" si="151">SUM(AD10:AF10)</f>
        <v>0</v>
      </c>
      <c r="DW10" s="261">
        <f t="shared" ref="DW10" si="152">Y10+W10+AM10+AN10/U10*100</f>
        <v>2.6</v>
      </c>
      <c r="DX10" s="262"/>
      <c r="DY10" s="134" t="str">
        <f t="shared" ref="DY10" si="153">AJ10</f>
        <v>Run well.l.test.</v>
      </c>
      <c r="DZ10" s="15"/>
      <c r="EA10" s="15"/>
      <c r="EB10" s="15"/>
      <c r="EC10" s="15"/>
      <c r="ED10" s="15"/>
      <c r="EE10" s="15"/>
    </row>
    <row r="11" spans="1:135" s="74" customFormat="1" ht="33" customHeight="1">
      <c r="A11" s="188" t="s">
        <v>1410</v>
      </c>
      <c r="B11" s="100" t="s">
        <v>1333</v>
      </c>
      <c r="C11" s="90" t="s">
        <v>1417</v>
      </c>
      <c r="D11" s="101" t="str">
        <f>VLOOKUP(E11,'Reference Card '!A:E,5,FALSE)</f>
        <v>PET</v>
      </c>
      <c r="E11" s="102">
        <v>532981</v>
      </c>
      <c r="F11" s="103" t="str">
        <f>VLOOKUP(E11,'[1]Reference Card '!A:B,2,FALSE)</f>
        <v>JG63-0175-R-R-AM</v>
      </c>
      <c r="G11" s="104">
        <v>10703864</v>
      </c>
      <c r="H11" s="105" t="s">
        <v>1246</v>
      </c>
      <c r="I11" s="85">
        <f>VLOOKUP(E11,'[1]Reference Card '!A:C,3,FALSE)</f>
        <v>4</v>
      </c>
      <c r="J11" s="106">
        <f>VLOOKUP(E11,'[1]Reference Card '!A:H,8,FALSE)</f>
        <v>24.45</v>
      </c>
      <c r="K11" s="106">
        <f>VLOOKUP(E11,'[1]Reference Card '!A:F,6,FALSE)</f>
        <v>24</v>
      </c>
      <c r="L11" s="86">
        <v>710</v>
      </c>
      <c r="M11" s="86">
        <v>87552</v>
      </c>
      <c r="N11" s="86">
        <v>4560</v>
      </c>
      <c r="O11" s="86">
        <v>1824</v>
      </c>
      <c r="P11" s="107">
        <f t="shared" ref="P11" si="154">L11*I11</f>
        <v>2840</v>
      </c>
      <c r="Q11" s="87">
        <v>5472</v>
      </c>
      <c r="R11" s="108">
        <f t="shared" ref="R11" si="155">(Q11*K11)/1000</f>
        <v>131.328</v>
      </c>
      <c r="S11" s="86">
        <v>62016</v>
      </c>
      <c r="T11" s="107">
        <f t="shared" ref="T11" si="156">IF(M11="Sample","-",IF(M11="RTFN","-",M11-S11))</f>
        <v>25536</v>
      </c>
      <c r="U11" s="109">
        <f t="shared" ref="U11" si="157">(P11*K11)/1000</f>
        <v>68.16</v>
      </c>
      <c r="V11" s="108">
        <v>0</v>
      </c>
      <c r="W11" s="86">
        <v>0</v>
      </c>
      <c r="X11" s="110">
        <f t="shared" ref="X11" si="158">W11/U11</f>
        <v>0</v>
      </c>
      <c r="Y11" s="86">
        <v>2.5</v>
      </c>
      <c r="Z11" s="111">
        <f t="shared" ref="Z11" si="159">Y11/U11</f>
        <v>3.6678403755868547E-2</v>
      </c>
      <c r="AA11" s="109">
        <v>22</v>
      </c>
      <c r="AB11" s="112">
        <f>AA11/3600*L11</f>
        <v>4.3388888888888895</v>
      </c>
      <c r="AC11" s="112">
        <f>VLOOKUP(E11,'[2]Reference Card '!A:I,9,FALSE)</f>
        <v>20</v>
      </c>
      <c r="AD11" s="113"/>
      <c r="AE11" s="113"/>
      <c r="AF11" s="113"/>
      <c r="AG11" s="113">
        <v>7</v>
      </c>
      <c r="AH11" s="135"/>
      <c r="AI11" s="135"/>
      <c r="AJ11" s="114" t="s">
        <v>1439</v>
      </c>
      <c r="AK11" s="114"/>
      <c r="AL11" s="113"/>
      <c r="AM11" s="113">
        <v>12</v>
      </c>
      <c r="AN11" s="113">
        <v>12</v>
      </c>
      <c r="AO11" s="115">
        <f t="shared" ref="AO11" si="160">(U11-R11-W11-Y11-AM11-AN11)-(O11*K11/1000)</f>
        <v>-133.44400000000002</v>
      </c>
      <c r="AP11" s="227" t="s">
        <v>1205</v>
      </c>
      <c r="AQ11" s="79" t="s">
        <v>1406</v>
      </c>
      <c r="AR11" s="189" t="s">
        <v>1089</v>
      </c>
      <c r="AS11" s="79" t="s">
        <v>1406</v>
      </c>
      <c r="AT11" s="189" t="s">
        <v>1090</v>
      </c>
      <c r="AU11" s="73">
        <f t="shared" si="55"/>
        <v>1104.1666666666667</v>
      </c>
      <c r="AV11" s="116">
        <f t="shared" si="56"/>
        <v>6576.166666666667</v>
      </c>
      <c r="AW11" s="116">
        <f t="shared" si="57"/>
        <v>654.5454545454545</v>
      </c>
      <c r="AX11" s="73">
        <f t="shared" si="58"/>
        <v>17.046921296296297</v>
      </c>
      <c r="AY11" s="73">
        <f t="shared" si="59"/>
        <v>7</v>
      </c>
      <c r="AZ11" s="116">
        <f t="shared" si="60"/>
        <v>5472</v>
      </c>
      <c r="BA11" s="116">
        <f t="shared" si="61"/>
        <v>1104.1666666666667</v>
      </c>
      <c r="BB11" s="117">
        <f t="shared" si="62"/>
        <v>0.20178484405458091</v>
      </c>
      <c r="BC11" s="118">
        <v>712</v>
      </c>
      <c r="BD11" s="118"/>
      <c r="BE11" s="90">
        <f t="shared" si="63"/>
        <v>10703864</v>
      </c>
      <c r="BF11" s="119" t="s">
        <v>1096</v>
      </c>
      <c r="BG11" s="120">
        <f t="shared" si="64"/>
        <v>532981</v>
      </c>
      <c r="BH11" s="121" t="str">
        <f t="shared" si="65"/>
        <v>JG63-0175-R-R-AM</v>
      </c>
      <c r="BI11" s="122" t="str">
        <f t="shared" si="66"/>
        <v>05.08.2026</v>
      </c>
      <c r="BJ11" s="119" t="str">
        <f t="shared" si="67"/>
        <v>06:00:00</v>
      </c>
      <c r="BK11" s="122" t="str">
        <f t="shared" si="68"/>
        <v>05.08.2026</v>
      </c>
      <c r="BL11" s="119" t="str">
        <f t="shared" si="69"/>
        <v>18:00:00</v>
      </c>
      <c r="BM11" s="123">
        <f t="shared" si="70"/>
        <v>6576</v>
      </c>
      <c r="BN11" s="118">
        <v>0</v>
      </c>
      <c r="BO11" s="118" t="s">
        <v>1086</v>
      </c>
      <c r="BP11" s="118"/>
      <c r="BQ11" s="118" t="s">
        <v>1087</v>
      </c>
      <c r="BR11" s="124">
        <f t="shared" si="71"/>
        <v>17.046921296296297</v>
      </c>
      <c r="BS11" s="124" t="s">
        <v>1087</v>
      </c>
      <c r="BT11" s="124">
        <f t="shared" si="72"/>
        <v>17.046921296296297</v>
      </c>
      <c r="BU11" s="124" t="s">
        <v>1087</v>
      </c>
      <c r="BV11" s="124">
        <f t="shared" si="73"/>
        <v>17.046921296296297</v>
      </c>
      <c r="BW11" s="118" t="s">
        <v>1087</v>
      </c>
      <c r="BX11" s="118"/>
      <c r="BY11" s="118" t="s">
        <v>1087</v>
      </c>
      <c r="BZ11" s="118"/>
      <c r="CA11" s="118" t="s">
        <v>1087</v>
      </c>
      <c r="CB11" s="118"/>
      <c r="CC11" s="118"/>
      <c r="CD11" s="118"/>
      <c r="CE11" s="118"/>
      <c r="CF11" s="118"/>
      <c r="CG11" s="118"/>
      <c r="CH11" s="118">
        <v>712</v>
      </c>
      <c r="CI11" s="118"/>
      <c r="CJ11" s="118">
        <f t="shared" si="74"/>
        <v>10703864</v>
      </c>
      <c r="CK11" s="119" t="s">
        <v>1106</v>
      </c>
      <c r="CL11" s="120">
        <f t="shared" si="75"/>
        <v>532981</v>
      </c>
      <c r="CM11" s="121" t="str">
        <f t="shared" si="76"/>
        <v>JG63-0175-R-R-AM</v>
      </c>
      <c r="CN11" s="122" t="str">
        <f t="shared" si="77"/>
        <v>05.08.2026</v>
      </c>
      <c r="CO11" s="125" t="str">
        <f t="shared" si="78"/>
        <v>06:00:00</v>
      </c>
      <c r="CP11" s="122" t="str">
        <f t="shared" si="79"/>
        <v>05.08.2026</v>
      </c>
      <c r="CQ11" s="125" t="str">
        <f t="shared" si="80"/>
        <v>18:00:00</v>
      </c>
      <c r="CR11" s="123">
        <f t="shared" si="81"/>
        <v>5472</v>
      </c>
      <c r="CS11" s="126">
        <f t="shared" si="82"/>
        <v>1104</v>
      </c>
      <c r="CT11" s="118" t="s">
        <v>1086</v>
      </c>
      <c r="CU11" s="118"/>
      <c r="CV11" s="118" t="s">
        <v>1087</v>
      </c>
      <c r="CW11" s="127"/>
      <c r="CX11" s="118" t="s">
        <v>1087</v>
      </c>
      <c r="CY11" s="127"/>
      <c r="CZ11" s="118" t="s">
        <v>1087</v>
      </c>
      <c r="DA11" s="127"/>
      <c r="DB11" s="118" t="s">
        <v>1087</v>
      </c>
      <c r="DC11" s="118"/>
      <c r="DD11" s="118" t="s">
        <v>1087</v>
      </c>
      <c r="DE11" s="118"/>
      <c r="DF11" s="118" t="s">
        <v>1087</v>
      </c>
      <c r="DG11" s="118"/>
      <c r="DH11" s="118"/>
      <c r="DI11" s="118"/>
      <c r="DJ11" s="118"/>
      <c r="DK11" s="118"/>
      <c r="DL11" s="118"/>
      <c r="DM11" s="62"/>
      <c r="DN11" s="90" t="str">
        <f t="shared" ref="DN11" si="161">B11</f>
        <v>A10</v>
      </c>
      <c r="DO11" s="90" t="str">
        <f t="shared" ref="DO11" si="162">F11</f>
        <v>JG63-0175-R-R-AM</v>
      </c>
      <c r="DP11" s="128">
        <f t="shared" ref="DP11" si="163">(3600/AC11)*I11*12*0.98</f>
        <v>8467.2000000000007</v>
      </c>
      <c r="DQ11" s="129">
        <f t="shared" ref="DQ11" si="164">P11</f>
        <v>2840</v>
      </c>
      <c r="DR11" s="130">
        <f t="shared" ref="DR11" si="165">DQ11/DP11*100</f>
        <v>33.541194255479965</v>
      </c>
      <c r="DS11" s="131">
        <f t="shared" ref="DS11" si="166">Y11</f>
        <v>2.5</v>
      </c>
      <c r="DT11" s="131">
        <f t="shared" ref="DT11" si="167">Z11</f>
        <v>3.6678403755868547E-2</v>
      </c>
      <c r="DU11" s="132">
        <f t="shared" ref="DU11" si="168">SUM(AG11:AI11)</f>
        <v>7</v>
      </c>
      <c r="DV11" s="133">
        <f t="shared" ref="DV11" si="169">SUM(AD11:AF11)</f>
        <v>0</v>
      </c>
      <c r="DW11" s="186">
        <f t="shared" ref="DW11" si="170">Y11+W11+AM11+AN11/U11*100</f>
        <v>32.105633802816904</v>
      </c>
      <c r="DX11" s="187"/>
      <c r="DY11" s="134" t="str">
        <f t="shared" ref="DY11" si="171">AJ11</f>
        <v>Charging problem.Stop 9am-4pm.Under mntc.</v>
      </c>
      <c r="DZ11" s="15"/>
      <c r="EA11" s="15"/>
      <c r="EB11" s="15"/>
      <c r="EC11" s="15"/>
      <c r="ED11" s="15"/>
      <c r="EE11" s="15"/>
    </row>
    <row r="12" spans="1:135" s="74" customFormat="1" ht="33" customHeight="1">
      <c r="A12" s="188" t="s">
        <v>1410</v>
      </c>
      <c r="B12" s="100" t="s">
        <v>1367</v>
      </c>
      <c r="C12" s="90" t="s">
        <v>1415</v>
      </c>
      <c r="D12" s="101" t="str">
        <f>VLOOKUP(E12,'Reference Card '!A:E,5,FALSE)</f>
        <v>PET</v>
      </c>
      <c r="E12" s="102">
        <v>543590</v>
      </c>
      <c r="F12" s="103" t="str">
        <f>VLOOKUP(E12,'[1]Reference Card '!A:B,2,FALSE)</f>
        <v>BC28-0130-R-R-AM</v>
      </c>
      <c r="G12" s="104">
        <v>10702380</v>
      </c>
      <c r="H12" s="105" t="s">
        <v>1246</v>
      </c>
      <c r="I12" s="85">
        <f>VLOOKUP(E12,'[1]Reference Card '!A:C,3,FALSE)</f>
        <v>4</v>
      </c>
      <c r="J12" s="106">
        <f>VLOOKUP(E12,'[1]Reference Card '!A:H,8,FALSE)</f>
        <v>19</v>
      </c>
      <c r="K12" s="106">
        <f>VLOOKUP(E12,'[1]Reference Card '!A:F,6,FALSE)</f>
        <v>19</v>
      </c>
      <c r="L12" s="86">
        <v>2086</v>
      </c>
      <c r="M12" s="86">
        <v>120120</v>
      </c>
      <c r="N12" s="86">
        <v>2464</v>
      </c>
      <c r="O12" s="86">
        <v>3388</v>
      </c>
      <c r="P12" s="107">
        <f t="shared" ref="P12" si="172">L12*I12</f>
        <v>8344</v>
      </c>
      <c r="Q12" s="87">
        <v>7392</v>
      </c>
      <c r="R12" s="108">
        <f t="shared" ref="R12" si="173">(Q12*K12)/1000</f>
        <v>140.44800000000001</v>
      </c>
      <c r="S12" s="86">
        <v>99484</v>
      </c>
      <c r="T12" s="107">
        <f t="shared" ref="T12" si="174">IF(M12="Sample","-",IF(M12="RTFN","-",M12-S12))</f>
        <v>20636</v>
      </c>
      <c r="U12" s="109">
        <f t="shared" ref="U12" si="175">(P12*K12)/1000</f>
        <v>158.536</v>
      </c>
      <c r="V12" s="108">
        <f t="shared" ref="V12" si="176">(J12-K12)*P12/1000</f>
        <v>0</v>
      </c>
      <c r="W12" s="86">
        <v>0</v>
      </c>
      <c r="X12" s="110">
        <f t="shared" ref="X12" si="177">W12/U12</f>
        <v>0</v>
      </c>
      <c r="Y12" s="86">
        <v>0.5</v>
      </c>
      <c r="Z12" s="111">
        <f t="shared" ref="Z12" si="178">Y12/U12</f>
        <v>3.1538577988595648E-3</v>
      </c>
      <c r="AA12" s="109">
        <v>20.2</v>
      </c>
      <c r="AB12" s="112">
        <f>AA12/3600*L12</f>
        <v>11.704777777777778</v>
      </c>
      <c r="AC12" s="112">
        <f>VLOOKUP(E12,'[2]Reference Card '!A:I,9,FALSE)</f>
        <v>18.72</v>
      </c>
      <c r="AD12" s="113"/>
      <c r="AE12" s="113"/>
      <c r="AF12" s="113"/>
      <c r="AG12" s="113"/>
      <c r="AH12" s="135"/>
      <c r="AI12" s="135"/>
      <c r="AJ12" s="114" t="s">
        <v>1349</v>
      </c>
      <c r="AK12" s="114"/>
      <c r="AL12" s="113"/>
      <c r="AM12" s="113">
        <v>5</v>
      </c>
      <c r="AN12" s="113">
        <v>5</v>
      </c>
      <c r="AO12" s="115">
        <f t="shared" ref="AO12" si="179">(U12-R12-W12-Y12-AM12-AN12)-(O12*K12/1000)</f>
        <v>-56.784000000000006</v>
      </c>
      <c r="AP12" s="227" t="s">
        <v>1205</v>
      </c>
      <c r="AQ12" s="79" t="s">
        <v>1406</v>
      </c>
      <c r="AR12" s="189" t="s">
        <v>1089</v>
      </c>
      <c r="AS12" s="79" t="s">
        <v>1406</v>
      </c>
      <c r="AT12" s="189" t="s">
        <v>1090</v>
      </c>
      <c r="AU12" s="73">
        <f t="shared" si="55"/>
        <v>552.63157894736844</v>
      </c>
      <c r="AV12" s="116">
        <f t="shared" si="56"/>
        <v>7944.6315789473683</v>
      </c>
      <c r="AW12" s="116">
        <f t="shared" si="57"/>
        <v>712.87128712871288</v>
      </c>
      <c r="AX12" s="73">
        <f t="shared" si="58"/>
        <v>11.144552631578946</v>
      </c>
      <c r="AY12" s="73">
        <f t="shared" si="59"/>
        <v>0</v>
      </c>
      <c r="AZ12" s="116">
        <f t="shared" si="60"/>
        <v>7392</v>
      </c>
      <c r="BA12" s="116">
        <f t="shared" si="61"/>
        <v>552.63157894736844</v>
      </c>
      <c r="BB12" s="117">
        <f t="shared" si="62"/>
        <v>7.4760765550239236E-2</v>
      </c>
      <c r="BC12" s="118">
        <v>712</v>
      </c>
      <c r="BD12" s="118"/>
      <c r="BE12" s="90">
        <f t="shared" si="63"/>
        <v>10702380</v>
      </c>
      <c r="BF12" s="119" t="s">
        <v>1096</v>
      </c>
      <c r="BG12" s="120">
        <f t="shared" si="64"/>
        <v>543590</v>
      </c>
      <c r="BH12" s="121" t="str">
        <f t="shared" si="65"/>
        <v>BC28-0130-R-R-AM</v>
      </c>
      <c r="BI12" s="122" t="str">
        <f t="shared" si="66"/>
        <v>05.08.2026</v>
      </c>
      <c r="BJ12" s="119" t="str">
        <f t="shared" si="67"/>
        <v>06:00:00</v>
      </c>
      <c r="BK12" s="122" t="str">
        <f t="shared" si="68"/>
        <v>05.08.2026</v>
      </c>
      <c r="BL12" s="119" t="str">
        <f t="shared" si="69"/>
        <v>18:00:00</v>
      </c>
      <c r="BM12" s="123">
        <f t="shared" si="70"/>
        <v>7944</v>
      </c>
      <c r="BN12" s="118">
        <v>0</v>
      </c>
      <c r="BO12" s="118" t="s">
        <v>1086</v>
      </c>
      <c r="BP12" s="118"/>
      <c r="BQ12" s="118" t="s">
        <v>1087</v>
      </c>
      <c r="BR12" s="124">
        <f t="shared" si="71"/>
        <v>11.144552631578946</v>
      </c>
      <c r="BS12" s="124" t="s">
        <v>1087</v>
      </c>
      <c r="BT12" s="124">
        <f t="shared" si="72"/>
        <v>11.144552631578946</v>
      </c>
      <c r="BU12" s="124" t="s">
        <v>1087</v>
      </c>
      <c r="BV12" s="124">
        <f t="shared" si="73"/>
        <v>11.144552631578946</v>
      </c>
      <c r="BW12" s="118" t="s">
        <v>1087</v>
      </c>
      <c r="BX12" s="118"/>
      <c r="BY12" s="118" t="s">
        <v>1087</v>
      </c>
      <c r="BZ12" s="118"/>
      <c r="CA12" s="118" t="s">
        <v>1087</v>
      </c>
      <c r="CB12" s="118"/>
      <c r="CC12" s="118"/>
      <c r="CD12" s="118"/>
      <c r="CE12" s="118"/>
      <c r="CF12" s="118"/>
      <c r="CG12" s="118"/>
      <c r="CH12" s="118">
        <v>712</v>
      </c>
      <c r="CI12" s="118"/>
      <c r="CJ12" s="118">
        <f t="shared" si="74"/>
        <v>10702380</v>
      </c>
      <c r="CK12" s="119" t="s">
        <v>1106</v>
      </c>
      <c r="CL12" s="120">
        <f t="shared" si="75"/>
        <v>543590</v>
      </c>
      <c r="CM12" s="121" t="str">
        <f t="shared" si="76"/>
        <v>BC28-0130-R-R-AM</v>
      </c>
      <c r="CN12" s="122" t="str">
        <f t="shared" si="77"/>
        <v>05.08.2026</v>
      </c>
      <c r="CO12" s="125" t="str">
        <f t="shared" si="78"/>
        <v>06:00:00</v>
      </c>
      <c r="CP12" s="122" t="str">
        <f t="shared" si="79"/>
        <v>05.08.2026</v>
      </c>
      <c r="CQ12" s="125" t="str">
        <f t="shared" si="80"/>
        <v>18:00:00</v>
      </c>
      <c r="CR12" s="123">
        <f t="shared" si="81"/>
        <v>7392</v>
      </c>
      <c r="CS12" s="126">
        <f t="shared" si="82"/>
        <v>552</v>
      </c>
      <c r="CT12" s="118" t="s">
        <v>1086</v>
      </c>
      <c r="CU12" s="118"/>
      <c r="CV12" s="118" t="s">
        <v>1087</v>
      </c>
      <c r="CW12" s="127"/>
      <c r="CX12" s="118" t="s">
        <v>1087</v>
      </c>
      <c r="CY12" s="127"/>
      <c r="CZ12" s="118" t="s">
        <v>1087</v>
      </c>
      <c r="DA12" s="127"/>
      <c r="DB12" s="118" t="s">
        <v>1087</v>
      </c>
      <c r="DC12" s="118"/>
      <c r="DD12" s="118" t="s">
        <v>1087</v>
      </c>
      <c r="DE12" s="118"/>
      <c r="DF12" s="118" t="s">
        <v>1087</v>
      </c>
      <c r="DG12" s="118"/>
      <c r="DH12" s="118"/>
      <c r="DI12" s="118"/>
      <c r="DJ12" s="118"/>
      <c r="DK12" s="118"/>
      <c r="DL12" s="118"/>
      <c r="DM12" s="62"/>
      <c r="DN12" s="90" t="str">
        <f t="shared" ref="DN12" si="180">B12</f>
        <v>A12</v>
      </c>
      <c r="DO12" s="90" t="str">
        <f t="shared" ref="DO12" si="181">F12</f>
        <v>BC28-0130-R-R-AM</v>
      </c>
      <c r="DP12" s="128">
        <f t="shared" ref="DP12" si="182">(3600/AC12)*I12*12*0.98</f>
        <v>9046.1538461538457</v>
      </c>
      <c r="DQ12" s="129">
        <f t="shared" ref="DQ12" si="183">P12</f>
        <v>8344</v>
      </c>
      <c r="DR12" s="130">
        <f t="shared" ref="DR12" si="184">DQ12/DP12*100</f>
        <v>92.238095238095241</v>
      </c>
      <c r="DS12" s="131">
        <f t="shared" ref="DS12" si="185">Y12</f>
        <v>0.5</v>
      </c>
      <c r="DT12" s="131">
        <f t="shared" ref="DT12" si="186">Z12</f>
        <v>3.1538577988595648E-3</v>
      </c>
      <c r="DU12" s="132">
        <f t="shared" ref="DU12" si="187">SUM(AG12:AI12)</f>
        <v>0</v>
      </c>
      <c r="DV12" s="133">
        <f t="shared" ref="DV12" si="188">SUM(AD12:AF12)</f>
        <v>0</v>
      </c>
      <c r="DW12" s="186">
        <f t="shared" ref="DW12" si="189">Y12+W12+AM12+AN12/U12*100</f>
        <v>8.6538577988595655</v>
      </c>
      <c r="DX12" s="187"/>
      <c r="DY12" s="134" t="str">
        <f t="shared" ref="DY12" si="190">AJ12</f>
        <v>Run well.L.test.</v>
      </c>
      <c r="DZ12" s="15"/>
      <c r="EA12" s="15"/>
      <c r="EB12" s="15"/>
      <c r="EC12" s="15"/>
      <c r="ED12" s="15"/>
      <c r="EE12" s="15"/>
    </row>
    <row r="13" spans="1:135" s="74" customFormat="1" ht="33" customHeight="1">
      <c r="A13" s="188" t="s">
        <v>1410</v>
      </c>
      <c r="B13" s="163" t="s">
        <v>1323</v>
      </c>
      <c r="C13" s="164" t="s">
        <v>1418</v>
      </c>
      <c r="D13" s="101" t="str">
        <f>VLOOKUP(E13,'Reference Card '!A:E,5,FALSE)</f>
        <v>rPET</v>
      </c>
      <c r="E13" s="165">
        <v>593537</v>
      </c>
      <c r="F13" s="166" t="str">
        <f>VLOOKUP(E13,'[1]Reference Card '!A:B,2,FALSE)</f>
        <v>BX38-1000-RN-R-CL-rPET 0.2</v>
      </c>
      <c r="G13" s="191">
        <v>10704764</v>
      </c>
      <c r="H13" s="167" t="s">
        <v>1246</v>
      </c>
      <c r="I13" s="85">
        <f>VLOOKUP(E13,'[1]Reference Card '!A:C,3,FALSE)</f>
        <v>4</v>
      </c>
      <c r="J13" s="168">
        <f>VLOOKUP(E13,'[1]Reference Card '!A:H,8,FALSE)</f>
        <v>56.5</v>
      </c>
      <c r="K13" s="168">
        <f>VLOOKUP(E13,'[1]Reference Card '!A:F,6,FALSE)</f>
        <v>56.8</v>
      </c>
      <c r="L13" s="86">
        <v>1501</v>
      </c>
      <c r="M13" s="190">
        <v>69000</v>
      </c>
      <c r="N13" s="86">
        <v>3450</v>
      </c>
      <c r="O13" s="86">
        <v>115</v>
      </c>
      <c r="P13" s="169">
        <f t="shared" ref="P13" si="191">L13*I13</f>
        <v>6004</v>
      </c>
      <c r="Q13" s="87">
        <v>9200</v>
      </c>
      <c r="R13" s="170">
        <f t="shared" ref="R13" si="192">(Q13*K13)/1000</f>
        <v>522.55999999999995</v>
      </c>
      <c r="S13" s="86">
        <v>9315</v>
      </c>
      <c r="T13" s="169">
        <f t="shared" ref="T13" si="193">IF(M13="Sample","-",IF(M13="RTFN","-",M13-S13))</f>
        <v>59685</v>
      </c>
      <c r="U13" s="171">
        <f t="shared" ref="U13" si="194">(P13*K13)/1000</f>
        <v>341.02719999999999</v>
      </c>
      <c r="V13" s="108">
        <v>0</v>
      </c>
      <c r="W13" s="86">
        <v>0</v>
      </c>
      <c r="X13" s="172">
        <f t="shared" ref="X13" si="195">W13/U13</f>
        <v>0</v>
      </c>
      <c r="Y13" s="86">
        <v>7.8</v>
      </c>
      <c r="Z13" s="173">
        <f t="shared" ref="Z13" si="196">Y13/U13</f>
        <v>2.2872075893066595E-2</v>
      </c>
      <c r="AA13" s="171">
        <v>29</v>
      </c>
      <c r="AB13" s="174">
        <f>AA13/3600*L13</f>
        <v>12.091388888888888</v>
      </c>
      <c r="AC13" s="174">
        <f>VLOOKUP(E13,'[2]Reference Card '!A:I,9,FALSE)</f>
        <v>28.5</v>
      </c>
      <c r="AD13" s="175"/>
      <c r="AE13" s="175"/>
      <c r="AF13" s="175"/>
      <c r="AG13" s="175"/>
      <c r="AH13" s="175"/>
      <c r="AI13" s="176"/>
      <c r="AJ13" s="114" t="s">
        <v>1442</v>
      </c>
      <c r="AK13" s="177"/>
      <c r="AL13" s="175"/>
      <c r="AM13" s="175"/>
      <c r="AN13" s="175"/>
      <c r="AO13" s="115">
        <f t="shared" si="102"/>
        <v>-195.86479999999997</v>
      </c>
      <c r="AP13" s="227" t="s">
        <v>1205</v>
      </c>
      <c r="AQ13" s="79" t="s">
        <v>1406</v>
      </c>
      <c r="AR13" s="189" t="s">
        <v>1089</v>
      </c>
      <c r="AS13" s="79" t="s">
        <v>1406</v>
      </c>
      <c r="AT13" s="189" t="s">
        <v>1090</v>
      </c>
      <c r="AU13" s="73">
        <f t="shared" si="55"/>
        <v>137.32394366197184</v>
      </c>
      <c r="AV13" s="116">
        <f t="shared" si="56"/>
        <v>9337.3239436619715</v>
      </c>
      <c r="AW13" s="116">
        <f t="shared" si="57"/>
        <v>496.55172413793105</v>
      </c>
      <c r="AX13" s="73">
        <f t="shared" si="58"/>
        <v>18.804332942097027</v>
      </c>
      <c r="AY13" s="73">
        <f t="shared" si="59"/>
        <v>0</v>
      </c>
      <c r="AZ13" s="116">
        <f t="shared" si="60"/>
        <v>9200</v>
      </c>
      <c r="BA13" s="116">
        <f t="shared" si="61"/>
        <v>137.32394366197184</v>
      </c>
      <c r="BB13" s="117">
        <f t="shared" si="62"/>
        <v>1.4926515615431721E-2</v>
      </c>
      <c r="BC13" s="118">
        <v>712</v>
      </c>
      <c r="BD13" s="118"/>
      <c r="BE13" s="90">
        <f t="shared" si="63"/>
        <v>10704764</v>
      </c>
      <c r="BF13" s="119" t="s">
        <v>1096</v>
      </c>
      <c r="BG13" s="120">
        <f t="shared" si="64"/>
        <v>593537</v>
      </c>
      <c r="BH13" s="121" t="str">
        <f t="shared" si="65"/>
        <v>BX38-1000-RN-R-CL-rPET 0.2</v>
      </c>
      <c r="BI13" s="122" t="str">
        <f t="shared" si="66"/>
        <v>05.08.2026</v>
      </c>
      <c r="BJ13" s="119" t="str">
        <f t="shared" si="67"/>
        <v>06:00:00</v>
      </c>
      <c r="BK13" s="122" t="str">
        <f t="shared" si="68"/>
        <v>05.08.2026</v>
      </c>
      <c r="BL13" s="119" t="str">
        <f t="shared" si="69"/>
        <v>18:00:00</v>
      </c>
      <c r="BM13" s="123">
        <f t="shared" si="70"/>
        <v>9337</v>
      </c>
      <c r="BN13" s="118">
        <v>0</v>
      </c>
      <c r="BO13" s="118" t="s">
        <v>1086</v>
      </c>
      <c r="BP13" s="118"/>
      <c r="BQ13" s="118" t="s">
        <v>1087</v>
      </c>
      <c r="BR13" s="124">
        <f t="shared" si="71"/>
        <v>18.804332942097027</v>
      </c>
      <c r="BS13" s="124" t="s">
        <v>1087</v>
      </c>
      <c r="BT13" s="124">
        <f t="shared" si="72"/>
        <v>18.804332942097027</v>
      </c>
      <c r="BU13" s="124" t="s">
        <v>1087</v>
      </c>
      <c r="BV13" s="124">
        <f t="shared" si="73"/>
        <v>18.804332942097027</v>
      </c>
      <c r="BW13" s="118" t="s">
        <v>1087</v>
      </c>
      <c r="BX13" s="118"/>
      <c r="BY13" s="118" t="s">
        <v>1087</v>
      </c>
      <c r="BZ13" s="118"/>
      <c r="CA13" s="118" t="s">
        <v>1087</v>
      </c>
      <c r="CB13" s="118"/>
      <c r="CC13" s="118"/>
      <c r="CD13" s="118"/>
      <c r="CE13" s="118"/>
      <c r="CF13" s="118"/>
      <c r="CG13" s="118"/>
      <c r="CH13" s="118">
        <v>712</v>
      </c>
      <c r="CI13" s="118"/>
      <c r="CJ13" s="118">
        <f t="shared" si="74"/>
        <v>10704764</v>
      </c>
      <c r="CK13" s="119" t="s">
        <v>1106</v>
      </c>
      <c r="CL13" s="120">
        <f t="shared" si="75"/>
        <v>593537</v>
      </c>
      <c r="CM13" s="121" t="str">
        <f t="shared" si="76"/>
        <v>BX38-1000-RN-R-CL-rPET 0.2</v>
      </c>
      <c r="CN13" s="122" t="str">
        <f t="shared" si="77"/>
        <v>05.08.2026</v>
      </c>
      <c r="CO13" s="125" t="str">
        <f t="shared" si="78"/>
        <v>06:00:00</v>
      </c>
      <c r="CP13" s="122" t="str">
        <f t="shared" si="79"/>
        <v>05.08.2026</v>
      </c>
      <c r="CQ13" s="125" t="str">
        <f t="shared" si="80"/>
        <v>18:00:00</v>
      </c>
      <c r="CR13" s="123">
        <f t="shared" si="81"/>
        <v>9200</v>
      </c>
      <c r="CS13" s="126">
        <f t="shared" si="82"/>
        <v>137</v>
      </c>
      <c r="CT13" s="118" t="s">
        <v>1086</v>
      </c>
      <c r="CU13" s="118"/>
      <c r="CV13" s="118" t="s">
        <v>1087</v>
      </c>
      <c r="CW13" s="127"/>
      <c r="CX13" s="118" t="s">
        <v>1087</v>
      </c>
      <c r="CY13" s="127"/>
      <c r="CZ13" s="118" t="s">
        <v>1087</v>
      </c>
      <c r="DA13" s="127"/>
      <c r="DB13" s="118" t="s">
        <v>1087</v>
      </c>
      <c r="DC13" s="118"/>
      <c r="DD13" s="118" t="s">
        <v>1087</v>
      </c>
      <c r="DE13" s="118"/>
      <c r="DF13" s="118" t="s">
        <v>1087</v>
      </c>
      <c r="DG13" s="118"/>
      <c r="DH13" s="118"/>
      <c r="DI13" s="118"/>
      <c r="DJ13" s="118"/>
      <c r="DK13" s="118"/>
      <c r="DL13" s="118"/>
      <c r="DM13" s="62"/>
      <c r="DN13" s="164" t="str">
        <f t="shared" ref="DN13" si="197">B13</f>
        <v>A13</v>
      </c>
      <c r="DO13" s="164" t="str">
        <f t="shared" ref="DO13" si="198">F13</f>
        <v>BX38-1000-RN-R-CL-rPET 0.2</v>
      </c>
      <c r="DP13" s="178">
        <f t="shared" ref="DP13" si="199">(3600/AC13)*I13*12*0.98</f>
        <v>5941.894736842105</v>
      </c>
      <c r="DQ13" s="179">
        <f t="shared" ref="DQ13" si="200">P13</f>
        <v>6004</v>
      </c>
      <c r="DR13" s="180">
        <f t="shared" ref="DR13" si="201">DQ13/DP13*100</f>
        <v>101.0452097505669</v>
      </c>
      <c r="DS13" s="181">
        <f t="shared" ref="DS13" si="202">Y13</f>
        <v>7.8</v>
      </c>
      <c r="DT13" s="181">
        <f t="shared" ref="DT13" si="203">Z13</f>
        <v>2.2872075893066595E-2</v>
      </c>
      <c r="DU13" s="182">
        <f t="shared" ref="DU13" si="204">SUM(AG13:AI13)</f>
        <v>0</v>
      </c>
      <c r="DV13" s="183">
        <f t="shared" ref="DV13" si="205">SUM(AD13:AF13)</f>
        <v>0</v>
      </c>
      <c r="DW13" s="266">
        <f t="shared" ref="DW13" si="206">Y13+W13+AM13+AN13/U13*100</f>
        <v>7.8</v>
      </c>
      <c r="DX13" s="267"/>
      <c r="DY13" s="184" t="str">
        <f t="shared" ref="DY13" si="207">AJ13</f>
        <v>Lip white mark.L.test.</v>
      </c>
      <c r="DZ13" s="15"/>
      <c r="EA13" s="15"/>
      <c r="EB13" s="15"/>
      <c r="EC13" s="15"/>
      <c r="ED13" s="15"/>
      <c r="EE13" s="15"/>
    </row>
    <row r="14" spans="1:135" s="74" customFormat="1" ht="33" customHeight="1">
      <c r="A14" s="188" t="s">
        <v>1410</v>
      </c>
      <c r="B14" s="100" t="s">
        <v>1259</v>
      </c>
      <c r="C14" s="90" t="s">
        <v>1419</v>
      </c>
      <c r="D14" s="101" t="str">
        <f>VLOOKUP(E14,'Reference Card '!A:E,5,FALSE)</f>
        <v>KingFa NC050</v>
      </c>
      <c r="E14" s="102">
        <v>666344</v>
      </c>
      <c r="F14" s="103" t="s">
        <v>1338</v>
      </c>
      <c r="G14" s="104">
        <v>10703060</v>
      </c>
      <c r="H14" s="105" t="s">
        <v>1246</v>
      </c>
      <c r="I14" s="85">
        <f>VLOOKUP(E14,'[1]Reference Card '!A:C,3,FALSE)</f>
        <v>6</v>
      </c>
      <c r="J14" s="106">
        <v>12.3</v>
      </c>
      <c r="K14" s="106">
        <v>12.3</v>
      </c>
      <c r="L14" s="86">
        <v>1564</v>
      </c>
      <c r="M14" s="86">
        <v>162000</v>
      </c>
      <c r="N14" s="86">
        <v>4455</v>
      </c>
      <c r="O14" s="86">
        <v>5670</v>
      </c>
      <c r="P14" s="107">
        <f t="shared" ref="P14" si="208">L14*I14</f>
        <v>9384</v>
      </c>
      <c r="Q14" s="87">
        <v>8100</v>
      </c>
      <c r="R14" s="108">
        <f t="shared" ref="R14" si="209">(Q14*K14)/1000</f>
        <v>99.63</v>
      </c>
      <c r="S14" s="86">
        <v>119070</v>
      </c>
      <c r="T14" s="107">
        <f t="shared" ref="T14" si="210">IF(M14="Sample","-",IF(M14="RTFN","-",M14-S14))</f>
        <v>42930</v>
      </c>
      <c r="U14" s="109">
        <f t="shared" ref="U14" si="211">(P14*K14)/1000</f>
        <v>115.42320000000001</v>
      </c>
      <c r="V14" s="108">
        <f t="shared" si="98"/>
        <v>0</v>
      </c>
      <c r="W14" s="86">
        <v>0</v>
      </c>
      <c r="X14" s="110">
        <f t="shared" ref="X14" si="212">W14/U14</f>
        <v>0</v>
      </c>
      <c r="Y14" s="86">
        <v>0.8</v>
      </c>
      <c r="Z14" s="111">
        <f t="shared" ref="Z14" si="213">Y14/U14</f>
        <v>6.9310156017161192E-3</v>
      </c>
      <c r="AA14" s="109">
        <v>27.8</v>
      </c>
      <c r="AB14" s="112">
        <f t="shared" ref="AB14" si="214">AA14/3600*L14</f>
        <v>12.077555555555556</v>
      </c>
      <c r="AC14" s="112">
        <f>VLOOKUP(E14,'[2]Reference Card '!A:I,9,FALSE)</f>
        <v>26</v>
      </c>
      <c r="AD14" s="113"/>
      <c r="AE14" s="113"/>
      <c r="AF14" s="113"/>
      <c r="AG14" s="113"/>
      <c r="AH14" s="135"/>
      <c r="AI14" s="135"/>
      <c r="AJ14" s="114" t="s">
        <v>1349</v>
      </c>
      <c r="AK14" s="114"/>
      <c r="AL14" s="113"/>
      <c r="AM14" s="113"/>
      <c r="AN14" s="113"/>
      <c r="AO14" s="115">
        <f t="shared" si="102"/>
        <v>-54.747799999999984</v>
      </c>
      <c r="AP14" s="227" t="s">
        <v>1205</v>
      </c>
      <c r="AQ14" s="79" t="s">
        <v>1406</v>
      </c>
      <c r="AR14" s="189" t="s">
        <v>1089</v>
      </c>
      <c r="AS14" s="79" t="s">
        <v>1406</v>
      </c>
      <c r="AT14" s="189" t="s">
        <v>1090</v>
      </c>
      <c r="AU14" s="73">
        <f t="shared" si="55"/>
        <v>65.040650406504056</v>
      </c>
      <c r="AV14" s="116">
        <f t="shared" si="56"/>
        <v>8165.040650406504</v>
      </c>
      <c r="AW14" s="116">
        <f t="shared" si="57"/>
        <v>776.97841726618708</v>
      </c>
      <c r="AX14" s="73">
        <f t="shared" si="58"/>
        <v>10.508709725986149</v>
      </c>
      <c r="AY14" s="73">
        <f t="shared" si="59"/>
        <v>0</v>
      </c>
      <c r="AZ14" s="116">
        <f t="shared" si="60"/>
        <v>8100</v>
      </c>
      <c r="BA14" s="116">
        <f t="shared" si="61"/>
        <v>65.040650406504056</v>
      </c>
      <c r="BB14" s="117">
        <f t="shared" si="62"/>
        <v>8.0297099267288962E-3</v>
      </c>
      <c r="BC14" s="118">
        <v>712</v>
      </c>
      <c r="BD14" s="118"/>
      <c r="BE14" s="90">
        <f t="shared" si="63"/>
        <v>10703060</v>
      </c>
      <c r="BF14" s="119" t="s">
        <v>1096</v>
      </c>
      <c r="BG14" s="120">
        <f t="shared" si="64"/>
        <v>666344</v>
      </c>
      <c r="BH14" s="121" t="str">
        <f t="shared" si="65"/>
        <v>BC28-0056-D-APH-5040-0756-PP</v>
      </c>
      <c r="BI14" s="122" t="str">
        <f t="shared" si="66"/>
        <v>05.08.2026</v>
      </c>
      <c r="BJ14" s="119" t="str">
        <f t="shared" si="67"/>
        <v>06:00:00</v>
      </c>
      <c r="BK14" s="122" t="str">
        <f t="shared" si="68"/>
        <v>05.08.2026</v>
      </c>
      <c r="BL14" s="119" t="str">
        <f t="shared" si="69"/>
        <v>18:00:00</v>
      </c>
      <c r="BM14" s="123">
        <f t="shared" si="70"/>
        <v>8165</v>
      </c>
      <c r="BN14" s="118">
        <v>0</v>
      </c>
      <c r="BO14" s="118" t="s">
        <v>1086</v>
      </c>
      <c r="BP14" s="118"/>
      <c r="BQ14" s="118" t="s">
        <v>1087</v>
      </c>
      <c r="BR14" s="124">
        <f t="shared" si="71"/>
        <v>10.508709725986149</v>
      </c>
      <c r="BS14" s="124" t="s">
        <v>1087</v>
      </c>
      <c r="BT14" s="124">
        <f t="shared" si="72"/>
        <v>10.508709725986149</v>
      </c>
      <c r="BU14" s="124" t="s">
        <v>1087</v>
      </c>
      <c r="BV14" s="124">
        <f t="shared" si="73"/>
        <v>10.508709725986149</v>
      </c>
      <c r="BW14" s="118" t="s">
        <v>1087</v>
      </c>
      <c r="BX14" s="118"/>
      <c r="BY14" s="118" t="s">
        <v>1087</v>
      </c>
      <c r="BZ14" s="118"/>
      <c r="CA14" s="118" t="s">
        <v>1087</v>
      </c>
      <c r="CB14" s="118"/>
      <c r="CC14" s="118"/>
      <c r="CD14" s="118"/>
      <c r="CE14" s="118"/>
      <c r="CF14" s="118"/>
      <c r="CG14" s="118"/>
      <c r="CH14" s="118">
        <v>712</v>
      </c>
      <c r="CI14" s="118"/>
      <c r="CJ14" s="118">
        <f t="shared" si="74"/>
        <v>10703060</v>
      </c>
      <c r="CK14" s="119" t="s">
        <v>1106</v>
      </c>
      <c r="CL14" s="120">
        <f t="shared" si="75"/>
        <v>666344</v>
      </c>
      <c r="CM14" s="121" t="str">
        <f t="shared" si="76"/>
        <v>BC28-0056-D-APH-5040-0756-PP</v>
      </c>
      <c r="CN14" s="122" t="str">
        <f t="shared" si="77"/>
        <v>05.08.2026</v>
      </c>
      <c r="CO14" s="125" t="str">
        <f t="shared" si="78"/>
        <v>06:00:00</v>
      </c>
      <c r="CP14" s="122" t="str">
        <f t="shared" si="79"/>
        <v>05.08.2026</v>
      </c>
      <c r="CQ14" s="125" t="str">
        <f t="shared" si="80"/>
        <v>18:00:00</v>
      </c>
      <c r="CR14" s="123">
        <f t="shared" si="81"/>
        <v>8100</v>
      </c>
      <c r="CS14" s="126">
        <f t="shared" si="82"/>
        <v>65</v>
      </c>
      <c r="CT14" s="118" t="s">
        <v>1086</v>
      </c>
      <c r="CU14" s="118"/>
      <c r="CV14" s="118" t="s">
        <v>1087</v>
      </c>
      <c r="CW14" s="127"/>
      <c r="CX14" s="118" t="s">
        <v>1087</v>
      </c>
      <c r="CY14" s="127"/>
      <c r="CZ14" s="118" t="s">
        <v>1087</v>
      </c>
      <c r="DA14" s="127"/>
      <c r="DB14" s="118" t="s">
        <v>1087</v>
      </c>
      <c r="DC14" s="118"/>
      <c r="DD14" s="118" t="s">
        <v>1087</v>
      </c>
      <c r="DE14" s="118"/>
      <c r="DF14" s="118" t="s">
        <v>1087</v>
      </c>
      <c r="DG14" s="118"/>
      <c r="DH14" s="118"/>
      <c r="DI14" s="118"/>
      <c r="DJ14" s="118"/>
      <c r="DK14" s="118"/>
      <c r="DL14" s="118"/>
      <c r="DM14" s="62"/>
      <c r="DN14" s="90" t="str">
        <f t="shared" ref="DN14" si="215">B14</f>
        <v>A14</v>
      </c>
      <c r="DO14" s="90" t="str">
        <f t="shared" ref="DO14" si="216">F14</f>
        <v>BC28-0056-D-APH-5040-0756-PP</v>
      </c>
      <c r="DP14" s="128">
        <f t="shared" ref="DP14" si="217">(3600/AC14)*I14*12*0.98</f>
        <v>9769.8461538461543</v>
      </c>
      <c r="DQ14" s="129">
        <f t="shared" ref="DQ14" si="218">P14</f>
        <v>9384</v>
      </c>
      <c r="DR14" s="130">
        <f t="shared" ref="DR14" si="219">DQ14/DP14*100</f>
        <v>96.050642479213906</v>
      </c>
      <c r="DS14" s="131">
        <f t="shared" ref="DS14" si="220">Y14</f>
        <v>0.8</v>
      </c>
      <c r="DT14" s="131">
        <f t="shared" ref="DT14" si="221">Z14</f>
        <v>6.9310156017161192E-3</v>
      </c>
      <c r="DU14" s="132">
        <f t="shared" ref="DU14" si="222">SUM(AG14:AI14)</f>
        <v>0</v>
      </c>
      <c r="DV14" s="133">
        <f t="shared" ref="DV14" si="223">SUM(AD14:AF14)</f>
        <v>0</v>
      </c>
      <c r="DW14" s="261">
        <f t="shared" ref="DW14" si="224">Y14+W14+AM14+AN14/U14*100</f>
        <v>0.8</v>
      </c>
      <c r="DX14" s="262"/>
      <c r="DY14" s="134" t="str">
        <f t="shared" ref="DY14" si="225">AJ14</f>
        <v>Run well.L.test.</v>
      </c>
      <c r="DZ14" s="15"/>
      <c r="EA14" s="15"/>
      <c r="EB14" s="15"/>
      <c r="EC14" s="15"/>
      <c r="ED14" s="15"/>
      <c r="EE14" s="15"/>
    </row>
    <row r="15" spans="1:135" s="74" customFormat="1" ht="33" customHeight="1">
      <c r="A15" s="188" t="s">
        <v>1410</v>
      </c>
      <c r="B15" s="100" t="s">
        <v>1344</v>
      </c>
      <c r="C15" s="90" t="s">
        <v>1420</v>
      </c>
      <c r="D15" s="101" t="str">
        <f>VLOOKUP(E15,'Reference Card '!A:E,5,FALSE)</f>
        <v>PET</v>
      </c>
      <c r="E15" s="102">
        <v>323092</v>
      </c>
      <c r="F15" s="103" t="str">
        <f>VLOOKUP(E15,'[1]Reference Card '!A:B,2,FALSE)</f>
        <v>BX38-1000-GH-R-CL(GREEN) (ASEM)</v>
      </c>
      <c r="G15" s="104">
        <v>10703678</v>
      </c>
      <c r="H15" s="105" t="s">
        <v>1246</v>
      </c>
      <c r="I15" s="85">
        <f>VLOOKUP(E15,'[1]Reference Card '!A:C,3,FALSE)</f>
        <v>4</v>
      </c>
      <c r="J15" s="185">
        <f>VLOOKUP(E15,'[1]Reference Card '!A:H,8,FALSE)</f>
        <v>48.9</v>
      </c>
      <c r="K15" s="185">
        <f>VLOOKUP(E15,'[1]Reference Card '!A:F,6,FALSE)</f>
        <v>48.9</v>
      </c>
      <c r="L15" s="86">
        <v>1409</v>
      </c>
      <c r="M15" s="86">
        <v>40950</v>
      </c>
      <c r="N15" s="86">
        <v>105</v>
      </c>
      <c r="O15" s="86">
        <v>420</v>
      </c>
      <c r="P15" s="107">
        <f t="shared" ref="P15:P16" si="226">L15*I15</f>
        <v>5636</v>
      </c>
      <c r="Q15" s="87">
        <v>5250</v>
      </c>
      <c r="R15" s="108">
        <f t="shared" ref="R15:R16" si="227">(Q15*K15)/1000</f>
        <v>256.72500000000002</v>
      </c>
      <c r="S15" s="86">
        <v>36645</v>
      </c>
      <c r="T15" s="107">
        <f t="shared" ref="T15:T16" si="228">IF(M15="Sample","-",IF(M15="RTFN","-",M15-S15))</f>
        <v>4305</v>
      </c>
      <c r="U15" s="109">
        <f t="shared" ref="U15:U16" si="229">(P15*K15)/1000</f>
        <v>275.60039999999998</v>
      </c>
      <c r="V15" s="108">
        <f t="shared" ref="V15:V16" si="230">(J15-K15)*P15/1000</f>
        <v>0</v>
      </c>
      <c r="W15" s="86">
        <v>0</v>
      </c>
      <c r="X15" s="110">
        <f t="shared" ref="X15:X16" si="231">W15/U15</f>
        <v>0</v>
      </c>
      <c r="Y15" s="86">
        <v>3.5</v>
      </c>
      <c r="Z15" s="111">
        <f t="shared" ref="Z15:Z16" si="232">Y15/U15</f>
        <v>1.2699546154504856E-2</v>
      </c>
      <c r="AA15" s="109">
        <v>29.1</v>
      </c>
      <c r="AB15" s="112">
        <f t="shared" ref="AB15:AB16" si="233">AA15/3600*L15</f>
        <v>11.389416666666666</v>
      </c>
      <c r="AC15" s="112">
        <f>VLOOKUP(E15,'[2]Reference Card '!A:I,9,FALSE)</f>
        <v>27.6</v>
      </c>
      <c r="AD15" s="113"/>
      <c r="AE15" s="113"/>
      <c r="AF15" s="113"/>
      <c r="AG15" s="113"/>
      <c r="AH15" s="113"/>
      <c r="AI15" s="135"/>
      <c r="AJ15" s="114" t="s">
        <v>1440</v>
      </c>
      <c r="AK15" s="114"/>
      <c r="AL15" s="113"/>
      <c r="AM15" s="113">
        <v>3</v>
      </c>
      <c r="AN15" s="113">
        <v>7</v>
      </c>
      <c r="AO15" s="115">
        <f t="shared" ref="AO15:AO16" si="234">(U15-R15-W15-Y15-AM15-AN15)-(O15*K15/1000)</f>
        <v>-15.162600000000044</v>
      </c>
      <c r="AP15" s="227" t="s">
        <v>1205</v>
      </c>
      <c r="AQ15" s="79" t="s">
        <v>1406</v>
      </c>
      <c r="AR15" s="189" t="s">
        <v>1089</v>
      </c>
      <c r="AS15" s="79" t="s">
        <v>1406</v>
      </c>
      <c r="AT15" s="189" t="s">
        <v>1090</v>
      </c>
      <c r="AU15" s="73">
        <f t="shared" si="55"/>
        <v>276.07361963190186</v>
      </c>
      <c r="AV15" s="116">
        <f t="shared" si="56"/>
        <v>5526.0736196319021</v>
      </c>
      <c r="AW15" s="116">
        <f t="shared" si="57"/>
        <v>494.84536082474227</v>
      </c>
      <c r="AX15" s="73">
        <f t="shared" si="58"/>
        <v>11.167273773006135</v>
      </c>
      <c r="AY15" s="73">
        <f t="shared" si="59"/>
        <v>0</v>
      </c>
      <c r="AZ15" s="116">
        <f t="shared" si="60"/>
        <v>5250</v>
      </c>
      <c r="BA15" s="116">
        <f t="shared" si="61"/>
        <v>276.07361963190186</v>
      </c>
      <c r="BB15" s="117">
        <f t="shared" si="62"/>
        <v>5.2585451358457498E-2</v>
      </c>
      <c r="BC15" s="118">
        <v>712</v>
      </c>
      <c r="BD15" s="118"/>
      <c r="BE15" s="90">
        <f t="shared" si="63"/>
        <v>10703678</v>
      </c>
      <c r="BF15" s="119" t="s">
        <v>1096</v>
      </c>
      <c r="BG15" s="120">
        <f t="shared" si="64"/>
        <v>323092</v>
      </c>
      <c r="BH15" s="121" t="str">
        <f t="shared" si="65"/>
        <v>BX38-1000-GH-R-CL(GREEN) (ASEM)</v>
      </c>
      <c r="BI15" s="122" t="str">
        <f t="shared" si="66"/>
        <v>05.08.2026</v>
      </c>
      <c r="BJ15" s="119" t="str">
        <f t="shared" si="67"/>
        <v>06:00:00</v>
      </c>
      <c r="BK15" s="122" t="str">
        <f t="shared" si="68"/>
        <v>05.08.2026</v>
      </c>
      <c r="BL15" s="119" t="str">
        <f t="shared" si="69"/>
        <v>18:00:00</v>
      </c>
      <c r="BM15" s="123">
        <f t="shared" si="70"/>
        <v>5526</v>
      </c>
      <c r="BN15" s="118">
        <v>0</v>
      </c>
      <c r="BO15" s="118" t="s">
        <v>1086</v>
      </c>
      <c r="BP15" s="118"/>
      <c r="BQ15" s="118" t="s">
        <v>1087</v>
      </c>
      <c r="BR15" s="124">
        <f t="shared" si="71"/>
        <v>11.167273773006135</v>
      </c>
      <c r="BS15" s="124" t="s">
        <v>1087</v>
      </c>
      <c r="BT15" s="124">
        <f t="shared" si="72"/>
        <v>11.167273773006135</v>
      </c>
      <c r="BU15" s="124" t="s">
        <v>1087</v>
      </c>
      <c r="BV15" s="124">
        <f t="shared" si="73"/>
        <v>11.167273773006135</v>
      </c>
      <c r="BW15" s="118" t="s">
        <v>1087</v>
      </c>
      <c r="BX15" s="118"/>
      <c r="BY15" s="118" t="s">
        <v>1087</v>
      </c>
      <c r="BZ15" s="118"/>
      <c r="CA15" s="118" t="s">
        <v>1087</v>
      </c>
      <c r="CB15" s="118"/>
      <c r="CC15" s="118"/>
      <c r="CD15" s="118"/>
      <c r="CE15" s="118"/>
      <c r="CF15" s="118"/>
      <c r="CG15" s="118"/>
      <c r="CH15" s="118">
        <v>712</v>
      </c>
      <c r="CI15" s="118"/>
      <c r="CJ15" s="118">
        <f t="shared" si="74"/>
        <v>10703678</v>
      </c>
      <c r="CK15" s="119" t="s">
        <v>1106</v>
      </c>
      <c r="CL15" s="120">
        <f t="shared" si="75"/>
        <v>323092</v>
      </c>
      <c r="CM15" s="121" t="str">
        <f t="shared" si="76"/>
        <v>BX38-1000-GH-R-CL(GREEN) (ASEM)</v>
      </c>
      <c r="CN15" s="122" t="str">
        <f t="shared" si="77"/>
        <v>05.08.2026</v>
      </c>
      <c r="CO15" s="125" t="str">
        <f t="shared" si="78"/>
        <v>06:00:00</v>
      </c>
      <c r="CP15" s="122" t="str">
        <f t="shared" si="79"/>
        <v>05.08.2026</v>
      </c>
      <c r="CQ15" s="125" t="str">
        <f t="shared" si="80"/>
        <v>18:00:00</v>
      </c>
      <c r="CR15" s="123">
        <f t="shared" si="81"/>
        <v>5250</v>
      </c>
      <c r="CS15" s="126">
        <f t="shared" si="82"/>
        <v>276</v>
      </c>
      <c r="CT15" s="118" t="s">
        <v>1086</v>
      </c>
      <c r="CU15" s="118"/>
      <c r="CV15" s="118" t="s">
        <v>1087</v>
      </c>
      <c r="CW15" s="127"/>
      <c r="CX15" s="118" t="s">
        <v>1087</v>
      </c>
      <c r="CY15" s="127"/>
      <c r="CZ15" s="118" t="s">
        <v>1087</v>
      </c>
      <c r="DA15" s="127"/>
      <c r="DB15" s="118" t="s">
        <v>1087</v>
      </c>
      <c r="DC15" s="118"/>
      <c r="DD15" s="118" t="s">
        <v>1087</v>
      </c>
      <c r="DE15" s="118"/>
      <c r="DF15" s="118" t="s">
        <v>1087</v>
      </c>
      <c r="DG15" s="118"/>
      <c r="DH15" s="118"/>
      <c r="DI15" s="118"/>
      <c r="DJ15" s="118"/>
      <c r="DK15" s="118"/>
      <c r="DL15" s="118"/>
      <c r="DM15" s="62"/>
      <c r="DN15" s="90" t="str">
        <f t="shared" ref="DN15:DN16" si="235">B15</f>
        <v>A15</v>
      </c>
      <c r="DO15" s="90" t="str">
        <f t="shared" ref="DO15:DO16" si="236">F15</f>
        <v>BX38-1000-GH-R-CL(GREEN) (ASEM)</v>
      </c>
      <c r="DP15" s="128">
        <f t="shared" ref="DP15:DP16" si="237">(3600/AC15)*I15*12*0.98</f>
        <v>6135.652173913044</v>
      </c>
      <c r="DQ15" s="129">
        <f t="shared" ref="DQ15:DQ16" si="238">P15</f>
        <v>5636</v>
      </c>
      <c r="DR15" s="130">
        <f t="shared" ref="DR15:DR16" si="239">DQ15/DP15*100</f>
        <v>91.856575963718811</v>
      </c>
      <c r="DS15" s="131">
        <f t="shared" ref="DS15:DS16" si="240">Y15</f>
        <v>3.5</v>
      </c>
      <c r="DT15" s="131">
        <f t="shared" ref="DT15:DT16" si="241">Z15</f>
        <v>1.2699546154504856E-2</v>
      </c>
      <c r="DU15" s="132">
        <f t="shared" ref="DU15:DU16" si="242">SUM(AG15:AI15)</f>
        <v>0</v>
      </c>
      <c r="DV15" s="133">
        <f t="shared" ref="DV15:DV16" si="243">SUM(AD15:AF15)</f>
        <v>0</v>
      </c>
      <c r="DW15" s="261">
        <f t="shared" ref="DW15:DW16" si="244">Y15+W15+AM15+AN15/U15*100</f>
        <v>9.039909230900971</v>
      </c>
      <c r="DX15" s="262"/>
      <c r="DY15" s="134" t="str">
        <f t="shared" ref="DY15:DY16" si="245">AJ15</f>
        <v>Oily mark at lip area.</v>
      </c>
      <c r="DZ15" s="15"/>
      <c r="EA15" s="15"/>
      <c r="EB15" s="15"/>
      <c r="EC15" s="15"/>
      <c r="ED15" s="15"/>
      <c r="EE15" s="15"/>
    </row>
    <row r="16" spans="1:135" s="74" customFormat="1" ht="33" customHeight="1">
      <c r="A16" s="188" t="s">
        <v>1410</v>
      </c>
      <c r="B16" s="100" t="s">
        <v>1210</v>
      </c>
      <c r="C16" s="79" t="s">
        <v>1378</v>
      </c>
      <c r="D16" s="101" t="str">
        <f>VLOOKUP(E16,'Reference Card '!A:E,5,FALSE)</f>
        <v>PPSB520Y</v>
      </c>
      <c r="E16" s="146">
        <v>552181</v>
      </c>
      <c r="F16" s="103" t="str">
        <f>VLOOKUP(E16,'[1]Reference Card '!A:B,2,FALSE)</f>
        <v>BC28-0090-D-APH-5180-3538-PP-6 NOTCHES</v>
      </c>
      <c r="G16" s="147">
        <v>10704299</v>
      </c>
      <c r="H16" s="148" t="s">
        <v>1246</v>
      </c>
      <c r="I16" s="85">
        <f>VLOOKUP(E16,'[1]Reference Card '!A:C,3,FALSE)</f>
        <v>6</v>
      </c>
      <c r="J16" s="185">
        <f>VLOOKUP(E16,'[1]Reference Card '!A:H,8,FALSE)</f>
        <v>14.7</v>
      </c>
      <c r="K16" s="185">
        <f>VLOOKUP(E16,'[1]Reference Card '!A:F,6,FALSE)</f>
        <v>14.7</v>
      </c>
      <c r="L16" s="86">
        <v>0</v>
      </c>
      <c r="M16" s="86">
        <v>54000</v>
      </c>
      <c r="N16" s="86">
        <v>5400</v>
      </c>
      <c r="O16" s="86">
        <v>0</v>
      </c>
      <c r="P16" s="149">
        <f t="shared" si="226"/>
        <v>0</v>
      </c>
      <c r="Q16" s="87">
        <v>5400</v>
      </c>
      <c r="R16" s="150">
        <f t="shared" si="227"/>
        <v>79.38</v>
      </c>
      <c r="S16" s="86">
        <v>54000</v>
      </c>
      <c r="T16" s="149">
        <f t="shared" si="228"/>
        <v>0</v>
      </c>
      <c r="U16" s="151">
        <f t="shared" si="229"/>
        <v>0</v>
      </c>
      <c r="V16" s="108">
        <f t="shared" si="230"/>
        <v>0</v>
      </c>
      <c r="W16" s="86">
        <v>0</v>
      </c>
      <c r="X16" s="152" t="e">
        <f t="shared" si="231"/>
        <v>#DIV/0!</v>
      </c>
      <c r="Y16" s="86">
        <v>0</v>
      </c>
      <c r="Z16" s="153" t="e">
        <f t="shared" si="232"/>
        <v>#DIV/0!</v>
      </c>
      <c r="AA16" s="151">
        <v>29.8</v>
      </c>
      <c r="AB16" s="154">
        <f t="shared" si="233"/>
        <v>0</v>
      </c>
      <c r="AC16" s="154">
        <f>VLOOKUP(E16,'[2]Reference Card '!A:I,9,FALSE)</f>
        <v>27</v>
      </c>
      <c r="AD16" s="155"/>
      <c r="AE16" s="155"/>
      <c r="AF16" s="155"/>
      <c r="AG16" s="155"/>
      <c r="AH16" s="113"/>
      <c r="AI16" s="135"/>
      <c r="AJ16" s="114" t="s">
        <v>1433</v>
      </c>
      <c r="AK16" s="228"/>
      <c r="AL16" s="155"/>
      <c r="AM16" s="155"/>
      <c r="AN16" s="155"/>
      <c r="AO16" s="115">
        <f t="shared" si="234"/>
        <v>-79.38</v>
      </c>
      <c r="AP16" s="227" t="s">
        <v>1205</v>
      </c>
      <c r="AQ16" s="79" t="s">
        <v>1406</v>
      </c>
      <c r="AR16" s="189" t="s">
        <v>1089</v>
      </c>
      <c r="AS16" s="79" t="s">
        <v>1406</v>
      </c>
      <c r="AT16" s="189" t="s">
        <v>1090</v>
      </c>
      <c r="AU16" s="73">
        <f t="shared" si="55"/>
        <v>0</v>
      </c>
      <c r="AV16" s="116">
        <f t="shared" si="56"/>
        <v>5400</v>
      </c>
      <c r="AW16" s="116">
        <f t="shared" si="57"/>
        <v>724.83221476510062</v>
      </c>
      <c r="AX16" s="73">
        <f t="shared" si="58"/>
        <v>7.45</v>
      </c>
      <c r="AY16" s="73">
        <f t="shared" si="59"/>
        <v>0</v>
      </c>
      <c r="AZ16" s="116">
        <f t="shared" si="60"/>
        <v>5400</v>
      </c>
      <c r="BA16" s="116">
        <f t="shared" si="61"/>
        <v>0</v>
      </c>
      <c r="BB16" s="117">
        <f t="shared" si="62"/>
        <v>0</v>
      </c>
      <c r="BC16" s="118">
        <v>712</v>
      </c>
      <c r="BD16" s="118"/>
      <c r="BE16" s="90">
        <f t="shared" si="63"/>
        <v>10704299</v>
      </c>
      <c r="BF16" s="119" t="s">
        <v>1096</v>
      </c>
      <c r="BG16" s="120">
        <f t="shared" si="64"/>
        <v>552181</v>
      </c>
      <c r="BH16" s="121" t="str">
        <f t="shared" si="65"/>
        <v>BC28-0090-D-APH-5180-3538-PP-6 NOTCHES</v>
      </c>
      <c r="BI16" s="122" t="str">
        <f t="shared" si="66"/>
        <v>05.08.2026</v>
      </c>
      <c r="BJ16" s="119" t="str">
        <f t="shared" si="67"/>
        <v>06:00:00</v>
      </c>
      <c r="BK16" s="122" t="str">
        <f t="shared" si="68"/>
        <v>05.08.2026</v>
      </c>
      <c r="BL16" s="119" t="str">
        <f t="shared" si="69"/>
        <v>18:00:00</v>
      </c>
      <c r="BM16" s="123">
        <f t="shared" si="70"/>
        <v>5400</v>
      </c>
      <c r="BN16" s="118">
        <v>0</v>
      </c>
      <c r="BO16" s="118" t="s">
        <v>1086</v>
      </c>
      <c r="BP16" s="118"/>
      <c r="BQ16" s="118" t="s">
        <v>1087</v>
      </c>
      <c r="BR16" s="124">
        <f t="shared" si="71"/>
        <v>7.45</v>
      </c>
      <c r="BS16" s="124" t="s">
        <v>1087</v>
      </c>
      <c r="BT16" s="124">
        <f t="shared" si="72"/>
        <v>7.45</v>
      </c>
      <c r="BU16" s="124" t="s">
        <v>1087</v>
      </c>
      <c r="BV16" s="124">
        <f t="shared" si="73"/>
        <v>7.45</v>
      </c>
      <c r="BW16" s="118" t="s">
        <v>1087</v>
      </c>
      <c r="BX16" s="118"/>
      <c r="BY16" s="118" t="s">
        <v>1087</v>
      </c>
      <c r="BZ16" s="118"/>
      <c r="CA16" s="118" t="s">
        <v>1087</v>
      </c>
      <c r="CB16" s="118"/>
      <c r="CC16" s="118"/>
      <c r="CD16" s="118"/>
      <c r="CE16" s="118"/>
      <c r="CF16" s="118"/>
      <c r="CG16" s="118"/>
      <c r="CH16" s="118">
        <v>712</v>
      </c>
      <c r="CI16" s="118"/>
      <c r="CJ16" s="118">
        <f t="shared" si="74"/>
        <v>10704299</v>
      </c>
      <c r="CK16" s="119" t="s">
        <v>1106</v>
      </c>
      <c r="CL16" s="120">
        <f t="shared" si="75"/>
        <v>552181</v>
      </c>
      <c r="CM16" s="121" t="str">
        <f t="shared" si="76"/>
        <v>BC28-0090-D-APH-5180-3538-PP-6 NOTCHES</v>
      </c>
      <c r="CN16" s="122" t="str">
        <f t="shared" si="77"/>
        <v>05.08.2026</v>
      </c>
      <c r="CO16" s="125" t="str">
        <f t="shared" si="78"/>
        <v>06:00:00</v>
      </c>
      <c r="CP16" s="122" t="str">
        <f t="shared" si="79"/>
        <v>05.08.2026</v>
      </c>
      <c r="CQ16" s="125" t="str">
        <f t="shared" si="80"/>
        <v>18:00:00</v>
      </c>
      <c r="CR16" s="123">
        <f t="shared" si="81"/>
        <v>5400</v>
      </c>
      <c r="CS16" s="126">
        <f t="shared" si="82"/>
        <v>0</v>
      </c>
      <c r="CT16" s="118" t="s">
        <v>1086</v>
      </c>
      <c r="CU16" s="118"/>
      <c r="CV16" s="118" t="s">
        <v>1087</v>
      </c>
      <c r="CW16" s="127"/>
      <c r="CX16" s="118" t="s">
        <v>1087</v>
      </c>
      <c r="CY16" s="127"/>
      <c r="CZ16" s="118" t="s">
        <v>1087</v>
      </c>
      <c r="DA16" s="127"/>
      <c r="DB16" s="118" t="s">
        <v>1087</v>
      </c>
      <c r="DC16" s="118"/>
      <c r="DD16" s="118" t="s">
        <v>1087</v>
      </c>
      <c r="DE16" s="118"/>
      <c r="DF16" s="118" t="s">
        <v>1087</v>
      </c>
      <c r="DG16" s="118"/>
      <c r="DH16" s="118"/>
      <c r="DI16" s="118"/>
      <c r="DJ16" s="118"/>
      <c r="DK16" s="118"/>
      <c r="DL16" s="118"/>
      <c r="DM16" s="62"/>
      <c r="DN16" s="79" t="str">
        <f t="shared" si="235"/>
        <v>A16</v>
      </c>
      <c r="DO16" s="79" t="str">
        <f t="shared" si="236"/>
        <v>BC28-0090-D-APH-5180-3538-PP-6 NOTCHES</v>
      </c>
      <c r="DP16" s="156">
        <f t="shared" si="237"/>
        <v>9408</v>
      </c>
      <c r="DQ16" s="157">
        <f t="shared" si="238"/>
        <v>0</v>
      </c>
      <c r="DR16" s="158">
        <f t="shared" si="239"/>
        <v>0</v>
      </c>
      <c r="DS16" s="159">
        <f t="shared" si="240"/>
        <v>0</v>
      </c>
      <c r="DT16" s="159" t="e">
        <f t="shared" si="241"/>
        <v>#DIV/0!</v>
      </c>
      <c r="DU16" s="160">
        <f t="shared" si="242"/>
        <v>0</v>
      </c>
      <c r="DV16" s="161">
        <f t="shared" si="243"/>
        <v>0</v>
      </c>
      <c r="DW16" s="268" t="e">
        <f t="shared" si="244"/>
        <v>#DIV/0!</v>
      </c>
      <c r="DX16" s="269"/>
      <c r="DY16" s="162" t="str">
        <f t="shared" si="245"/>
        <v>Inward.</v>
      </c>
      <c r="DZ16" s="15"/>
      <c r="EA16" s="15"/>
      <c r="EB16" s="15"/>
      <c r="EC16" s="15"/>
      <c r="ED16" s="15"/>
      <c r="EE16" s="15"/>
    </row>
    <row r="17" spans="1:135" s="74" customFormat="1" ht="33" customHeight="1">
      <c r="A17" s="188" t="s">
        <v>1410</v>
      </c>
      <c r="B17" s="100" t="s">
        <v>1210</v>
      </c>
      <c r="C17" s="79" t="s">
        <v>1411</v>
      </c>
      <c r="D17" s="101" t="str">
        <f>VLOOKUP(E17,'Reference Card '!A:E,5,FALSE)</f>
        <v>PPSB520Y</v>
      </c>
      <c r="E17" s="146">
        <v>552181</v>
      </c>
      <c r="F17" s="103" t="str">
        <f>VLOOKUP(E17,'[1]Reference Card '!A:B,2,FALSE)</f>
        <v>BC28-0090-D-APH-5180-3538-PP-6 NOTCHES</v>
      </c>
      <c r="G17" s="147">
        <v>10704833</v>
      </c>
      <c r="H17" s="148" t="s">
        <v>1246</v>
      </c>
      <c r="I17" s="85">
        <f>VLOOKUP(E17,'[1]Reference Card '!A:C,3,FALSE)</f>
        <v>6</v>
      </c>
      <c r="J17" s="185">
        <f>VLOOKUP(E17,'[1]Reference Card '!A:H,8,FALSE)</f>
        <v>14.7</v>
      </c>
      <c r="K17" s="185">
        <f>VLOOKUP(E17,'[1]Reference Card '!A:F,6,FALSE)</f>
        <v>14.7</v>
      </c>
      <c r="L17" s="86">
        <v>862</v>
      </c>
      <c r="M17" s="86">
        <v>54000</v>
      </c>
      <c r="N17" s="86">
        <v>5670</v>
      </c>
      <c r="O17" s="86">
        <v>0</v>
      </c>
      <c r="P17" s="149">
        <f t="shared" ref="P17:P18" si="246">L17*I17</f>
        <v>5172</v>
      </c>
      <c r="Q17" s="87">
        <v>10800</v>
      </c>
      <c r="R17" s="150">
        <f t="shared" ref="R17:R18" si="247">(Q17*K17)/1000</f>
        <v>158.76</v>
      </c>
      <c r="S17" s="86">
        <v>10800</v>
      </c>
      <c r="T17" s="149">
        <f t="shared" ref="T17:T18" si="248">IF(M17="Sample","-",IF(M17="RTFN","-",M17-S17))</f>
        <v>43200</v>
      </c>
      <c r="U17" s="151">
        <f t="shared" ref="U17:U18" si="249">(P17*K17)/1000</f>
        <v>76.028399999999991</v>
      </c>
      <c r="V17" s="108">
        <f t="shared" ref="V17:V18" si="250">(J17-K17)*P17/1000</f>
        <v>0</v>
      </c>
      <c r="W17" s="86">
        <v>0</v>
      </c>
      <c r="X17" s="152">
        <f t="shared" ref="X17:X18" si="251">W17/U17</f>
        <v>0</v>
      </c>
      <c r="Y17" s="86">
        <v>0.6</v>
      </c>
      <c r="Z17" s="153">
        <f t="shared" ref="Z17:Z18" si="252">Y17/U17</f>
        <v>7.8917878056094827E-3</v>
      </c>
      <c r="AA17" s="151">
        <v>29.8</v>
      </c>
      <c r="AB17" s="154">
        <f t="shared" ref="AB17:AB18" si="253">AA17/3600*L17</f>
        <v>7.1354444444444445</v>
      </c>
      <c r="AC17" s="154">
        <f>VLOOKUP(E17,'[2]Reference Card '!A:I,9,FALSE)</f>
        <v>27</v>
      </c>
      <c r="AD17" s="155"/>
      <c r="AE17" s="155"/>
      <c r="AF17" s="155"/>
      <c r="AG17" s="155"/>
      <c r="AH17" s="113"/>
      <c r="AI17" s="135"/>
      <c r="AJ17" s="114" t="s">
        <v>1434</v>
      </c>
      <c r="AK17" s="228"/>
      <c r="AL17" s="155"/>
      <c r="AM17" s="155"/>
      <c r="AN17" s="155"/>
      <c r="AO17" s="115">
        <f t="shared" ref="AO17:AO18" si="254">(U17-R17-W17-Y17-AM17-AN17)-(O17*K17/1000)</f>
        <v>-83.331599999999995</v>
      </c>
      <c r="AP17" s="227" t="s">
        <v>1205</v>
      </c>
      <c r="AQ17" s="79" t="s">
        <v>1406</v>
      </c>
      <c r="AR17" s="189" t="s">
        <v>1089</v>
      </c>
      <c r="AS17" s="79" t="s">
        <v>1406</v>
      </c>
      <c r="AT17" s="189" t="s">
        <v>1090</v>
      </c>
      <c r="AU17" s="73">
        <f t="shared" si="55"/>
        <v>40.816326530612244</v>
      </c>
      <c r="AV17" s="116">
        <f t="shared" si="56"/>
        <v>10840.816326530612</v>
      </c>
      <c r="AW17" s="116">
        <f t="shared" si="57"/>
        <v>724.83221476510062</v>
      </c>
      <c r="AX17" s="73">
        <f t="shared" si="58"/>
        <v>14.956311413454271</v>
      </c>
      <c r="AY17" s="73">
        <f t="shared" si="59"/>
        <v>0</v>
      </c>
      <c r="AZ17" s="116">
        <f t="shared" si="60"/>
        <v>10800</v>
      </c>
      <c r="BA17" s="116">
        <f t="shared" si="61"/>
        <v>40.816326530612244</v>
      </c>
      <c r="BB17" s="117">
        <f t="shared" si="62"/>
        <v>3.779289493575208E-3</v>
      </c>
      <c r="BC17" s="118">
        <v>712</v>
      </c>
      <c r="BD17" s="118"/>
      <c r="BE17" s="90">
        <f t="shared" si="63"/>
        <v>10704833</v>
      </c>
      <c r="BF17" s="119" t="s">
        <v>1096</v>
      </c>
      <c r="BG17" s="120">
        <f t="shared" si="64"/>
        <v>552181</v>
      </c>
      <c r="BH17" s="121" t="str">
        <f t="shared" si="65"/>
        <v>BC28-0090-D-APH-5180-3538-PP-6 NOTCHES</v>
      </c>
      <c r="BI17" s="122" t="str">
        <f t="shared" si="66"/>
        <v>05.08.2026</v>
      </c>
      <c r="BJ17" s="119" t="str">
        <f t="shared" si="67"/>
        <v>06:00:00</v>
      </c>
      <c r="BK17" s="122" t="str">
        <f t="shared" si="68"/>
        <v>05.08.2026</v>
      </c>
      <c r="BL17" s="119" t="str">
        <f t="shared" si="69"/>
        <v>18:00:00</v>
      </c>
      <c r="BM17" s="123">
        <f t="shared" si="70"/>
        <v>10840</v>
      </c>
      <c r="BN17" s="118">
        <v>0</v>
      </c>
      <c r="BO17" s="118" t="s">
        <v>1086</v>
      </c>
      <c r="BP17" s="118"/>
      <c r="BQ17" s="118" t="s">
        <v>1087</v>
      </c>
      <c r="BR17" s="124">
        <f t="shared" si="71"/>
        <v>14.956311413454271</v>
      </c>
      <c r="BS17" s="124" t="s">
        <v>1087</v>
      </c>
      <c r="BT17" s="124">
        <f t="shared" si="72"/>
        <v>14.956311413454271</v>
      </c>
      <c r="BU17" s="124" t="s">
        <v>1087</v>
      </c>
      <c r="BV17" s="124">
        <f t="shared" si="73"/>
        <v>14.956311413454271</v>
      </c>
      <c r="BW17" s="118" t="s">
        <v>1087</v>
      </c>
      <c r="BX17" s="118"/>
      <c r="BY17" s="118" t="s">
        <v>1087</v>
      </c>
      <c r="BZ17" s="118"/>
      <c r="CA17" s="118" t="s">
        <v>1087</v>
      </c>
      <c r="CB17" s="118"/>
      <c r="CC17" s="118"/>
      <c r="CD17" s="118"/>
      <c r="CE17" s="118"/>
      <c r="CF17" s="118"/>
      <c r="CG17" s="118"/>
      <c r="CH17" s="118">
        <v>712</v>
      </c>
      <c r="CI17" s="118"/>
      <c r="CJ17" s="118">
        <f t="shared" si="74"/>
        <v>10704833</v>
      </c>
      <c r="CK17" s="119" t="s">
        <v>1106</v>
      </c>
      <c r="CL17" s="120">
        <f t="shared" si="75"/>
        <v>552181</v>
      </c>
      <c r="CM17" s="121" t="str">
        <f t="shared" si="76"/>
        <v>BC28-0090-D-APH-5180-3538-PP-6 NOTCHES</v>
      </c>
      <c r="CN17" s="122" t="str">
        <f t="shared" si="77"/>
        <v>05.08.2026</v>
      </c>
      <c r="CO17" s="125" t="str">
        <f t="shared" si="78"/>
        <v>06:00:00</v>
      </c>
      <c r="CP17" s="122" t="str">
        <f t="shared" si="79"/>
        <v>05.08.2026</v>
      </c>
      <c r="CQ17" s="125" t="str">
        <f t="shared" si="80"/>
        <v>18:00:00</v>
      </c>
      <c r="CR17" s="123">
        <f t="shared" si="81"/>
        <v>10800</v>
      </c>
      <c r="CS17" s="126">
        <f t="shared" si="82"/>
        <v>40</v>
      </c>
      <c r="CT17" s="118" t="s">
        <v>1086</v>
      </c>
      <c r="CU17" s="118"/>
      <c r="CV17" s="118" t="s">
        <v>1087</v>
      </c>
      <c r="CW17" s="127"/>
      <c r="CX17" s="118" t="s">
        <v>1087</v>
      </c>
      <c r="CY17" s="127"/>
      <c r="CZ17" s="118" t="s">
        <v>1087</v>
      </c>
      <c r="DA17" s="127"/>
      <c r="DB17" s="118" t="s">
        <v>1087</v>
      </c>
      <c r="DC17" s="118"/>
      <c r="DD17" s="118" t="s">
        <v>1087</v>
      </c>
      <c r="DE17" s="118"/>
      <c r="DF17" s="118" t="s">
        <v>1087</v>
      </c>
      <c r="DG17" s="118"/>
      <c r="DH17" s="118"/>
      <c r="DI17" s="118"/>
      <c r="DJ17" s="118"/>
      <c r="DK17" s="118"/>
      <c r="DL17" s="118"/>
      <c r="DM17" s="62"/>
      <c r="DN17" s="79" t="str">
        <f t="shared" ref="DN17:DN18" si="255">B17</f>
        <v>A16</v>
      </c>
      <c r="DO17" s="79" t="str">
        <f t="shared" ref="DO17:DO18" si="256">F17</f>
        <v>BC28-0090-D-APH-5180-3538-PP-6 NOTCHES</v>
      </c>
      <c r="DP17" s="156">
        <f t="shared" ref="DP17:DP18" si="257">(3600/AC17)*I17*12*0.98</f>
        <v>9408</v>
      </c>
      <c r="DQ17" s="157">
        <f t="shared" ref="DQ17:DQ18" si="258">P17</f>
        <v>5172</v>
      </c>
      <c r="DR17" s="158">
        <f t="shared" ref="DR17:DR18" si="259">DQ17/DP17*100</f>
        <v>54.974489795918366</v>
      </c>
      <c r="DS17" s="159">
        <f t="shared" ref="DS17:DS18" si="260">Y17</f>
        <v>0.6</v>
      </c>
      <c r="DT17" s="159">
        <f t="shared" ref="DT17:DT18" si="261">Z17</f>
        <v>7.8917878056094827E-3</v>
      </c>
      <c r="DU17" s="160">
        <f t="shared" ref="DU17:DU18" si="262">SUM(AG17:AI17)</f>
        <v>0</v>
      </c>
      <c r="DV17" s="161">
        <f t="shared" ref="DV17:DV18" si="263">SUM(AD17:AF17)</f>
        <v>0</v>
      </c>
      <c r="DW17" s="268">
        <f t="shared" ref="DW17:DW18" si="264">Y17+W17+AM17+AN17/U17*100</f>
        <v>0.6</v>
      </c>
      <c r="DX17" s="269"/>
      <c r="DY17" s="162" t="str">
        <f t="shared" ref="DY17:DY18" si="265">AJ17</f>
        <v>Stop 1pm.Change mtrl PCR.</v>
      </c>
      <c r="DZ17" s="15"/>
      <c r="EA17" s="15"/>
      <c r="EB17" s="15"/>
      <c r="EC17" s="15"/>
      <c r="ED17" s="15"/>
      <c r="EE17" s="15"/>
    </row>
    <row r="18" spans="1:135" s="74" customFormat="1" ht="33" customHeight="1">
      <c r="A18" s="188" t="s">
        <v>1410</v>
      </c>
      <c r="B18" s="100" t="s">
        <v>1210</v>
      </c>
      <c r="C18" s="90" t="s">
        <v>1411</v>
      </c>
      <c r="D18" s="101" t="str">
        <f>VLOOKUP(E18,'Reference Card '!A:E,5,FALSE)</f>
        <v>KingFa NC050</v>
      </c>
      <c r="E18" s="102">
        <v>666342</v>
      </c>
      <c r="F18" s="103" t="str">
        <f>VLOOKUP(E18,'[1]Reference Card '!A:B,2,FALSE)</f>
        <v>BC28-0090-D-APH-5180-3538-PCR</v>
      </c>
      <c r="G18" s="104">
        <v>10704854</v>
      </c>
      <c r="H18" s="105" t="s">
        <v>1246</v>
      </c>
      <c r="I18" s="85">
        <f>VLOOKUP(E18,'[1]Reference Card '!A:C,3,FALSE)</f>
        <v>6</v>
      </c>
      <c r="J18" s="185">
        <f>VLOOKUP(E18,'[1]Reference Card '!A:H,8,FALSE)</f>
        <v>14.7</v>
      </c>
      <c r="K18" s="185">
        <f>VLOOKUP(E18,'[1]Reference Card '!A:F,6,FALSE)</f>
        <v>14.7</v>
      </c>
      <c r="L18" s="86">
        <v>0</v>
      </c>
      <c r="M18" s="86">
        <v>108000</v>
      </c>
      <c r="N18" s="86">
        <v>0</v>
      </c>
      <c r="O18" s="86">
        <v>0</v>
      </c>
      <c r="P18" s="107">
        <f t="shared" si="246"/>
        <v>0</v>
      </c>
      <c r="Q18" s="87">
        <v>0</v>
      </c>
      <c r="R18" s="108">
        <f t="shared" si="247"/>
        <v>0</v>
      </c>
      <c r="S18" s="86">
        <v>0</v>
      </c>
      <c r="T18" s="107">
        <f t="shared" si="248"/>
        <v>108000</v>
      </c>
      <c r="U18" s="109">
        <f t="shared" si="249"/>
        <v>0</v>
      </c>
      <c r="V18" s="108">
        <f t="shared" si="250"/>
        <v>0</v>
      </c>
      <c r="W18" s="86">
        <v>21</v>
      </c>
      <c r="X18" s="110" t="e">
        <f t="shared" si="251"/>
        <v>#DIV/0!</v>
      </c>
      <c r="Y18" s="86">
        <v>0</v>
      </c>
      <c r="Z18" s="111" t="e">
        <f t="shared" si="252"/>
        <v>#DIV/0!</v>
      </c>
      <c r="AA18" s="109">
        <v>29</v>
      </c>
      <c r="AB18" s="112">
        <f t="shared" si="253"/>
        <v>0</v>
      </c>
      <c r="AC18" s="112">
        <f>VLOOKUP(E18,'[2]Reference Card '!A:I,9,FALSE)</f>
        <v>27</v>
      </c>
      <c r="AD18" s="113"/>
      <c r="AE18" s="113"/>
      <c r="AF18" s="113"/>
      <c r="AG18" s="113"/>
      <c r="AH18" s="113">
        <v>5</v>
      </c>
      <c r="AI18" s="135"/>
      <c r="AJ18" s="114" t="s">
        <v>1371</v>
      </c>
      <c r="AK18" s="114"/>
      <c r="AL18" s="113"/>
      <c r="AM18" s="113"/>
      <c r="AN18" s="113"/>
      <c r="AO18" s="115">
        <f t="shared" si="254"/>
        <v>-21</v>
      </c>
      <c r="AP18" s="227" t="s">
        <v>1205</v>
      </c>
      <c r="AQ18" s="79" t="s">
        <v>1406</v>
      </c>
      <c r="AR18" s="189" t="s">
        <v>1089</v>
      </c>
      <c r="AS18" s="79" t="s">
        <v>1406</v>
      </c>
      <c r="AT18" s="189" t="s">
        <v>1090</v>
      </c>
      <c r="AU18" s="73">
        <f t="shared" si="55"/>
        <v>1428.5714285714287</v>
      </c>
      <c r="AV18" s="116">
        <f t="shared" si="56"/>
        <v>1428.5714285714287</v>
      </c>
      <c r="AW18" s="116">
        <f t="shared" si="57"/>
        <v>744.82758620689651</v>
      </c>
      <c r="AX18" s="73">
        <f t="shared" si="58"/>
        <v>6.9179894179894177</v>
      </c>
      <c r="AY18" s="73">
        <f t="shared" si="59"/>
        <v>5</v>
      </c>
      <c r="AZ18" s="116">
        <f t="shared" si="60"/>
        <v>0</v>
      </c>
      <c r="BA18" s="116">
        <f t="shared" si="61"/>
        <v>1428.5714285714287</v>
      </c>
      <c r="BB18" s="117" t="e">
        <f t="shared" si="62"/>
        <v>#DIV/0!</v>
      </c>
      <c r="BC18" s="118">
        <v>712</v>
      </c>
      <c r="BD18" s="118"/>
      <c r="BE18" s="90">
        <f t="shared" si="63"/>
        <v>10704854</v>
      </c>
      <c r="BF18" s="119" t="s">
        <v>1096</v>
      </c>
      <c r="BG18" s="120">
        <f t="shared" si="64"/>
        <v>666342</v>
      </c>
      <c r="BH18" s="121" t="str">
        <f t="shared" si="65"/>
        <v>BC28-0090-D-APH-5180-3538-PCR</v>
      </c>
      <c r="BI18" s="122" t="str">
        <f t="shared" si="66"/>
        <v>05.08.2026</v>
      </c>
      <c r="BJ18" s="119" t="str">
        <f t="shared" si="67"/>
        <v>06:00:00</v>
      </c>
      <c r="BK18" s="122" t="str">
        <f t="shared" si="68"/>
        <v>05.08.2026</v>
      </c>
      <c r="BL18" s="119" t="str">
        <f t="shared" si="69"/>
        <v>18:00:00</v>
      </c>
      <c r="BM18" s="123">
        <f t="shared" si="70"/>
        <v>1428</v>
      </c>
      <c r="BN18" s="118">
        <v>0</v>
      </c>
      <c r="BO18" s="118" t="s">
        <v>1086</v>
      </c>
      <c r="BP18" s="118"/>
      <c r="BQ18" s="118" t="s">
        <v>1087</v>
      </c>
      <c r="BR18" s="124">
        <f t="shared" si="71"/>
        <v>6.9179894179894177</v>
      </c>
      <c r="BS18" s="124" t="s">
        <v>1087</v>
      </c>
      <c r="BT18" s="124">
        <f t="shared" si="72"/>
        <v>6.9179894179894177</v>
      </c>
      <c r="BU18" s="124" t="s">
        <v>1087</v>
      </c>
      <c r="BV18" s="124">
        <f t="shared" si="73"/>
        <v>6.9179894179894177</v>
      </c>
      <c r="BW18" s="118" t="s">
        <v>1087</v>
      </c>
      <c r="BX18" s="118"/>
      <c r="BY18" s="118" t="s">
        <v>1087</v>
      </c>
      <c r="BZ18" s="118"/>
      <c r="CA18" s="118" t="s">
        <v>1087</v>
      </c>
      <c r="CB18" s="118"/>
      <c r="CC18" s="118"/>
      <c r="CD18" s="118"/>
      <c r="CE18" s="118"/>
      <c r="CF18" s="118"/>
      <c r="CG18" s="118"/>
      <c r="CH18" s="118">
        <v>712</v>
      </c>
      <c r="CI18" s="118"/>
      <c r="CJ18" s="118">
        <f t="shared" si="74"/>
        <v>10704854</v>
      </c>
      <c r="CK18" s="119" t="s">
        <v>1106</v>
      </c>
      <c r="CL18" s="120">
        <f t="shared" si="75"/>
        <v>666342</v>
      </c>
      <c r="CM18" s="121" t="str">
        <f t="shared" si="76"/>
        <v>BC28-0090-D-APH-5180-3538-PCR</v>
      </c>
      <c r="CN18" s="122" t="str">
        <f t="shared" si="77"/>
        <v>05.08.2026</v>
      </c>
      <c r="CO18" s="125" t="str">
        <f t="shared" si="78"/>
        <v>06:00:00</v>
      </c>
      <c r="CP18" s="122" t="str">
        <f t="shared" si="79"/>
        <v>05.08.2026</v>
      </c>
      <c r="CQ18" s="125" t="str">
        <f t="shared" si="80"/>
        <v>18:00:00</v>
      </c>
      <c r="CR18" s="123">
        <f t="shared" si="81"/>
        <v>0</v>
      </c>
      <c r="CS18" s="126">
        <f t="shared" si="82"/>
        <v>1428</v>
      </c>
      <c r="CT18" s="118" t="s">
        <v>1086</v>
      </c>
      <c r="CU18" s="118"/>
      <c r="CV18" s="118" t="s">
        <v>1087</v>
      </c>
      <c r="CW18" s="127"/>
      <c r="CX18" s="118" t="s">
        <v>1087</v>
      </c>
      <c r="CY18" s="127"/>
      <c r="CZ18" s="118" t="s">
        <v>1087</v>
      </c>
      <c r="DA18" s="127"/>
      <c r="DB18" s="118" t="s">
        <v>1087</v>
      </c>
      <c r="DC18" s="118"/>
      <c r="DD18" s="118" t="s">
        <v>1087</v>
      </c>
      <c r="DE18" s="118"/>
      <c r="DF18" s="118" t="s">
        <v>1087</v>
      </c>
      <c r="DG18" s="118"/>
      <c r="DH18" s="118"/>
      <c r="DI18" s="118"/>
      <c r="DJ18" s="118"/>
      <c r="DK18" s="118"/>
      <c r="DL18" s="118"/>
      <c r="DM18" s="62"/>
      <c r="DN18" s="90" t="str">
        <f t="shared" si="255"/>
        <v>A16</v>
      </c>
      <c r="DO18" s="90" t="str">
        <f t="shared" si="256"/>
        <v>BC28-0090-D-APH-5180-3538-PCR</v>
      </c>
      <c r="DP18" s="128">
        <f t="shared" si="257"/>
        <v>9408</v>
      </c>
      <c r="DQ18" s="129">
        <f t="shared" si="258"/>
        <v>0</v>
      </c>
      <c r="DR18" s="130">
        <f t="shared" si="259"/>
        <v>0</v>
      </c>
      <c r="DS18" s="131">
        <f t="shared" si="260"/>
        <v>0</v>
      </c>
      <c r="DT18" s="131" t="e">
        <f t="shared" si="261"/>
        <v>#DIV/0!</v>
      </c>
      <c r="DU18" s="132">
        <f t="shared" si="262"/>
        <v>5</v>
      </c>
      <c r="DV18" s="133">
        <f t="shared" si="263"/>
        <v>0</v>
      </c>
      <c r="DW18" s="261" t="e">
        <f t="shared" si="264"/>
        <v>#DIV/0!</v>
      </c>
      <c r="DX18" s="262"/>
      <c r="DY18" s="134" t="str">
        <f t="shared" si="265"/>
        <v>Under tech.Thickness.</v>
      </c>
      <c r="DZ18" s="15"/>
      <c r="EA18" s="15"/>
      <c r="EB18" s="15"/>
      <c r="EC18" s="15"/>
      <c r="ED18" s="15"/>
      <c r="EE18" s="15"/>
    </row>
    <row r="19" spans="1:135" s="74" customFormat="1" ht="33" customHeight="1">
      <c r="A19" s="188" t="s">
        <v>1410</v>
      </c>
      <c r="B19" s="100" t="s">
        <v>1345</v>
      </c>
      <c r="C19" s="90" t="s">
        <v>1413</v>
      </c>
      <c r="D19" s="101" t="str">
        <f>VLOOKUP(E19,'Reference Card '!A:E,5,FALSE)</f>
        <v>PET RECRON</v>
      </c>
      <c r="E19" s="102">
        <v>620599</v>
      </c>
      <c r="F19" s="103" t="str">
        <f>VLOOKUP(E19,'[1]Reference Card '!A:B,2,FALSE)</f>
        <v xml:space="preserve">BC28-0750-K4-R-CL (55g)  </v>
      </c>
      <c r="G19" s="104">
        <v>10703143</v>
      </c>
      <c r="H19" s="105" t="s">
        <v>1246</v>
      </c>
      <c r="I19" s="85">
        <f>VLOOKUP(E19,'[1]Reference Card '!A:C,3,FALSE)</f>
        <v>4</v>
      </c>
      <c r="J19" s="185">
        <f>VLOOKUP(E19,'[1]Reference Card '!A:H,8,FALSE)</f>
        <v>55</v>
      </c>
      <c r="K19" s="185">
        <f>VLOOKUP(E19,'[1]Reference Card '!A:F,6,FALSE)</f>
        <v>55</v>
      </c>
      <c r="L19" s="86">
        <v>1436</v>
      </c>
      <c r="M19" s="86">
        <v>72000</v>
      </c>
      <c r="N19" s="86">
        <v>675</v>
      </c>
      <c r="O19" s="86">
        <v>900</v>
      </c>
      <c r="P19" s="107">
        <f t="shared" ref="P19" si="266">L19*I19</f>
        <v>5744</v>
      </c>
      <c r="Q19" s="87">
        <v>5400</v>
      </c>
      <c r="R19" s="108">
        <f t="shared" ref="R19" si="267">(Q19*K19)/1000</f>
        <v>297</v>
      </c>
      <c r="S19" s="86">
        <v>51300</v>
      </c>
      <c r="T19" s="107">
        <f t="shared" ref="T19" si="268">IF(M19="Sample","-",IF(M19="RTFN","-",M19-S19))</f>
        <v>20700</v>
      </c>
      <c r="U19" s="109">
        <f t="shared" ref="U19" si="269">(P19*K19)/1000</f>
        <v>315.92</v>
      </c>
      <c r="V19" s="108">
        <f t="shared" si="98"/>
        <v>0</v>
      </c>
      <c r="W19" s="86">
        <v>0</v>
      </c>
      <c r="X19" s="110">
        <f t="shared" ref="X19:X21" si="270">W19/U19</f>
        <v>0</v>
      </c>
      <c r="Y19" s="86">
        <v>6.2</v>
      </c>
      <c r="Z19" s="111">
        <f t="shared" ref="Z19" si="271">Y19/U19</f>
        <v>1.9625221575082299E-2</v>
      </c>
      <c r="AA19" s="109">
        <v>29.2</v>
      </c>
      <c r="AB19" s="112">
        <f t="shared" ref="AB19" si="272">AA19/3600*L19</f>
        <v>11.647555555555554</v>
      </c>
      <c r="AC19" s="154">
        <f>VLOOKUP(E19,'[2]Reference Card '!A:I,9,FALSE)</f>
        <v>28</v>
      </c>
      <c r="AD19" s="113"/>
      <c r="AE19" s="113"/>
      <c r="AF19" s="113"/>
      <c r="AG19" s="113"/>
      <c r="AH19" s="113"/>
      <c r="AI19" s="135"/>
      <c r="AJ19" s="114" t="s">
        <v>1381</v>
      </c>
      <c r="AK19" s="114"/>
      <c r="AL19" s="113"/>
      <c r="AM19" s="155">
        <v>5</v>
      </c>
      <c r="AN19" s="155">
        <v>6</v>
      </c>
      <c r="AO19" s="115">
        <f t="shared" si="102"/>
        <v>-47.779999999999987</v>
      </c>
      <c r="AP19" s="227" t="s">
        <v>1205</v>
      </c>
      <c r="AQ19" s="79" t="s">
        <v>1406</v>
      </c>
      <c r="AR19" s="189" t="s">
        <v>1089</v>
      </c>
      <c r="AS19" s="79" t="s">
        <v>1406</v>
      </c>
      <c r="AT19" s="189" t="s">
        <v>1090</v>
      </c>
      <c r="AU19" s="73">
        <f t="shared" si="55"/>
        <v>312.72727272727275</v>
      </c>
      <c r="AV19" s="116">
        <f t="shared" si="56"/>
        <v>5712.727272727273</v>
      </c>
      <c r="AW19" s="116">
        <f t="shared" si="57"/>
        <v>493.15068493150687</v>
      </c>
      <c r="AX19" s="73">
        <f t="shared" si="58"/>
        <v>11.584141414141413</v>
      </c>
      <c r="AY19" s="73">
        <f t="shared" si="59"/>
        <v>0</v>
      </c>
      <c r="AZ19" s="116">
        <f t="shared" si="60"/>
        <v>5400</v>
      </c>
      <c r="BA19" s="116">
        <f t="shared" si="61"/>
        <v>312.72727272727275</v>
      </c>
      <c r="BB19" s="117">
        <f t="shared" si="62"/>
        <v>5.7912457912457915E-2</v>
      </c>
      <c r="BC19" s="118">
        <v>712</v>
      </c>
      <c r="BD19" s="118"/>
      <c r="BE19" s="90">
        <f t="shared" si="63"/>
        <v>10703143</v>
      </c>
      <c r="BF19" s="119" t="s">
        <v>1096</v>
      </c>
      <c r="BG19" s="120">
        <f t="shared" si="64"/>
        <v>620599</v>
      </c>
      <c r="BH19" s="121" t="str">
        <f t="shared" si="65"/>
        <v xml:space="preserve">BC28-0750-K4-R-CL (55g)  </v>
      </c>
      <c r="BI19" s="122" t="str">
        <f t="shared" si="66"/>
        <v>05.08.2026</v>
      </c>
      <c r="BJ19" s="119" t="str">
        <f t="shared" si="67"/>
        <v>06:00:00</v>
      </c>
      <c r="BK19" s="122" t="str">
        <f t="shared" si="68"/>
        <v>05.08.2026</v>
      </c>
      <c r="BL19" s="119" t="str">
        <f t="shared" si="69"/>
        <v>18:00:00</v>
      </c>
      <c r="BM19" s="123">
        <f t="shared" si="70"/>
        <v>5712</v>
      </c>
      <c r="BN19" s="118">
        <v>0</v>
      </c>
      <c r="BO19" s="118" t="s">
        <v>1086</v>
      </c>
      <c r="BP19" s="118"/>
      <c r="BQ19" s="118" t="s">
        <v>1087</v>
      </c>
      <c r="BR19" s="124">
        <f t="shared" si="71"/>
        <v>11.584141414141413</v>
      </c>
      <c r="BS19" s="124" t="s">
        <v>1087</v>
      </c>
      <c r="BT19" s="124">
        <f t="shared" si="72"/>
        <v>11.584141414141413</v>
      </c>
      <c r="BU19" s="124" t="s">
        <v>1087</v>
      </c>
      <c r="BV19" s="124">
        <f t="shared" si="73"/>
        <v>11.584141414141413</v>
      </c>
      <c r="BW19" s="118" t="s">
        <v>1087</v>
      </c>
      <c r="BX19" s="118"/>
      <c r="BY19" s="118" t="s">
        <v>1087</v>
      </c>
      <c r="BZ19" s="118"/>
      <c r="CA19" s="118" t="s">
        <v>1087</v>
      </c>
      <c r="CB19" s="118"/>
      <c r="CC19" s="118"/>
      <c r="CD19" s="118"/>
      <c r="CE19" s="118"/>
      <c r="CF19" s="118"/>
      <c r="CG19" s="118"/>
      <c r="CH19" s="118">
        <v>712</v>
      </c>
      <c r="CI19" s="118"/>
      <c r="CJ19" s="118">
        <f t="shared" si="74"/>
        <v>10703143</v>
      </c>
      <c r="CK19" s="119" t="s">
        <v>1106</v>
      </c>
      <c r="CL19" s="120">
        <f t="shared" si="75"/>
        <v>620599</v>
      </c>
      <c r="CM19" s="121" t="str">
        <f t="shared" si="76"/>
        <v xml:space="preserve">BC28-0750-K4-R-CL (55g)  </v>
      </c>
      <c r="CN19" s="122" t="str">
        <f t="shared" si="77"/>
        <v>05.08.2026</v>
      </c>
      <c r="CO19" s="125" t="str">
        <f t="shared" si="78"/>
        <v>06:00:00</v>
      </c>
      <c r="CP19" s="122" t="str">
        <f t="shared" si="79"/>
        <v>05.08.2026</v>
      </c>
      <c r="CQ19" s="125" t="str">
        <f t="shared" si="80"/>
        <v>18:00:00</v>
      </c>
      <c r="CR19" s="123">
        <f t="shared" si="81"/>
        <v>5400</v>
      </c>
      <c r="CS19" s="126">
        <f t="shared" si="82"/>
        <v>312</v>
      </c>
      <c r="CT19" s="118" t="s">
        <v>1086</v>
      </c>
      <c r="CU19" s="118"/>
      <c r="CV19" s="118" t="s">
        <v>1087</v>
      </c>
      <c r="CW19" s="127"/>
      <c r="CX19" s="118" t="s">
        <v>1087</v>
      </c>
      <c r="CY19" s="127"/>
      <c r="CZ19" s="118" t="s">
        <v>1087</v>
      </c>
      <c r="DA19" s="127"/>
      <c r="DB19" s="118" t="s">
        <v>1087</v>
      </c>
      <c r="DC19" s="118"/>
      <c r="DD19" s="118" t="s">
        <v>1087</v>
      </c>
      <c r="DE19" s="118"/>
      <c r="DF19" s="118" t="s">
        <v>1087</v>
      </c>
      <c r="DG19" s="118"/>
      <c r="DH19" s="118"/>
      <c r="DI19" s="118"/>
      <c r="DJ19" s="118"/>
      <c r="DK19" s="118"/>
      <c r="DL19" s="118"/>
      <c r="DM19" s="62"/>
      <c r="DN19" s="90" t="str">
        <f t="shared" ref="DN19" si="273">B19</f>
        <v>A17</v>
      </c>
      <c r="DO19" s="90" t="str">
        <f t="shared" ref="DO19" si="274">F19</f>
        <v xml:space="preserve">BC28-0750-K4-R-CL (55g)  </v>
      </c>
      <c r="DP19" s="128">
        <f t="shared" ref="DP19" si="275">(3600/AC19)*I19*12*0.98</f>
        <v>6048.0000000000009</v>
      </c>
      <c r="DQ19" s="129">
        <f t="shared" ref="DQ19" si="276">P19</f>
        <v>5744</v>
      </c>
      <c r="DR19" s="130">
        <f t="shared" ref="DR19" si="277">DQ19/DP19*100</f>
        <v>94.973544973544961</v>
      </c>
      <c r="DS19" s="131">
        <f t="shared" ref="DS19" si="278">Y19</f>
        <v>6.2</v>
      </c>
      <c r="DT19" s="131">
        <f t="shared" ref="DT19" si="279">Z19</f>
        <v>1.9625221575082299E-2</v>
      </c>
      <c r="DU19" s="132">
        <f t="shared" ref="DU19" si="280">SUM(AG19:AI19)</f>
        <v>0</v>
      </c>
      <c r="DV19" s="133">
        <f t="shared" ref="DV19" si="281">SUM(AD19:AF19)</f>
        <v>0</v>
      </c>
      <c r="DW19" s="261">
        <f t="shared" ref="DW19" si="282">Y19+W19+AM19+AN19/U19*100</f>
        <v>13.099214991136996</v>
      </c>
      <c r="DX19" s="262"/>
      <c r="DY19" s="134" t="str">
        <f t="shared" ref="DY19" si="283">AJ19</f>
        <v>Black dot.L.test.</v>
      </c>
      <c r="DZ19" s="15"/>
      <c r="EA19" s="15"/>
      <c r="EB19" s="15"/>
      <c r="EC19" s="15"/>
      <c r="ED19" s="15"/>
      <c r="EE19" s="15"/>
    </row>
    <row r="20" spans="1:135" s="74" customFormat="1" ht="33" customHeight="1">
      <c r="A20" s="188" t="s">
        <v>1410</v>
      </c>
      <c r="B20" s="100" t="s">
        <v>1209</v>
      </c>
      <c r="C20" s="90" t="s">
        <v>1411</v>
      </c>
      <c r="D20" s="101" t="str">
        <f>VLOOKUP(E20,'Reference Card '!A:E,5,FALSE)</f>
        <v>KingFa NC050</v>
      </c>
      <c r="E20" s="102">
        <v>666344</v>
      </c>
      <c r="F20" s="103" t="str">
        <f>VLOOKUP(E20,'[1]Reference Card '!A:B,2,FALSE)</f>
        <v>BC28-0056-D-APH-5040-0756-PCR</v>
      </c>
      <c r="G20" s="104">
        <v>10703144</v>
      </c>
      <c r="H20" s="105" t="s">
        <v>1246</v>
      </c>
      <c r="I20" s="85">
        <f>VLOOKUP(E20,'[1]Reference Card '!A:C,3,FALSE)</f>
        <v>6</v>
      </c>
      <c r="J20" s="106">
        <v>12.3</v>
      </c>
      <c r="K20" s="106">
        <v>12.3</v>
      </c>
      <c r="L20" s="86">
        <v>1548</v>
      </c>
      <c r="M20" s="86">
        <v>162000</v>
      </c>
      <c r="N20" s="86">
        <v>810</v>
      </c>
      <c r="O20" s="86">
        <v>1620</v>
      </c>
      <c r="P20" s="107">
        <f t="shared" ref="P20:P21" si="284">L20*I20</f>
        <v>9288</v>
      </c>
      <c r="Q20" s="87">
        <v>8100</v>
      </c>
      <c r="R20" s="108">
        <f t="shared" ref="R20:R21" si="285">(Q20*K20)/1000</f>
        <v>99.63</v>
      </c>
      <c r="S20" s="86">
        <v>98820</v>
      </c>
      <c r="T20" s="107">
        <f t="shared" ref="T20:T21" si="286">IF(M20="Sample","-",IF(M20="RTFN","-",M20-S20))</f>
        <v>63180</v>
      </c>
      <c r="U20" s="109">
        <f t="shared" ref="U20:U21" si="287">(P20*K20)/1000</f>
        <v>114.2424</v>
      </c>
      <c r="V20" s="108">
        <f t="shared" si="98"/>
        <v>0</v>
      </c>
      <c r="W20" s="86">
        <v>0</v>
      </c>
      <c r="X20" s="110">
        <f t="shared" si="270"/>
        <v>0</v>
      </c>
      <c r="Y20" s="86">
        <v>4.5</v>
      </c>
      <c r="Z20" s="111">
        <f t="shared" ref="Z20:Z21" si="288">Y20/U20</f>
        <v>3.938992878300876E-2</v>
      </c>
      <c r="AA20" s="109">
        <v>27.4</v>
      </c>
      <c r="AB20" s="112">
        <f t="shared" ref="AB20:AB21" si="289">AA20/3600*L20</f>
        <v>11.782</v>
      </c>
      <c r="AC20" s="112">
        <f>VLOOKUP(E20,'[2]Reference Card '!A:I,9,FALSE)</f>
        <v>26</v>
      </c>
      <c r="AD20" s="113"/>
      <c r="AE20" s="113"/>
      <c r="AF20" s="113"/>
      <c r="AG20" s="113"/>
      <c r="AH20" s="135"/>
      <c r="AI20" s="135"/>
      <c r="AJ20" s="114" t="s">
        <v>1444</v>
      </c>
      <c r="AK20" s="114"/>
      <c r="AL20" s="113"/>
      <c r="AM20" s="113">
        <v>1</v>
      </c>
      <c r="AN20" s="113">
        <v>2</v>
      </c>
      <c r="AO20" s="115">
        <f t="shared" si="102"/>
        <v>-12.81359999999999</v>
      </c>
      <c r="AP20" s="227" t="s">
        <v>1205</v>
      </c>
      <c r="AQ20" s="79" t="s">
        <v>1406</v>
      </c>
      <c r="AR20" s="189" t="s">
        <v>1089</v>
      </c>
      <c r="AS20" s="79" t="s">
        <v>1406</v>
      </c>
      <c r="AT20" s="189" t="s">
        <v>1090</v>
      </c>
      <c r="AU20" s="73">
        <f t="shared" si="55"/>
        <v>609.7560975609756</v>
      </c>
      <c r="AV20" s="116">
        <f t="shared" si="56"/>
        <v>8709.7560975609758</v>
      </c>
      <c r="AW20" s="116">
        <f t="shared" si="57"/>
        <v>788.32116788321173</v>
      </c>
      <c r="AX20" s="73">
        <f t="shared" si="58"/>
        <v>11.048486901535682</v>
      </c>
      <c r="AY20" s="73">
        <f t="shared" si="59"/>
        <v>0</v>
      </c>
      <c r="AZ20" s="116">
        <f t="shared" si="60"/>
        <v>8100</v>
      </c>
      <c r="BA20" s="116">
        <f t="shared" si="61"/>
        <v>609.7560975609756</v>
      </c>
      <c r="BB20" s="117">
        <f t="shared" si="62"/>
        <v>7.527853056308341E-2</v>
      </c>
      <c r="BC20" s="118">
        <v>712</v>
      </c>
      <c r="BD20" s="118"/>
      <c r="BE20" s="90">
        <f t="shared" si="63"/>
        <v>10703144</v>
      </c>
      <c r="BF20" s="119" t="s">
        <v>1096</v>
      </c>
      <c r="BG20" s="120">
        <f t="shared" si="64"/>
        <v>666344</v>
      </c>
      <c r="BH20" s="121" t="str">
        <f t="shared" si="65"/>
        <v>BC28-0056-D-APH-5040-0756-PCR</v>
      </c>
      <c r="BI20" s="122" t="str">
        <f t="shared" si="66"/>
        <v>05.08.2026</v>
      </c>
      <c r="BJ20" s="119" t="str">
        <f t="shared" si="67"/>
        <v>06:00:00</v>
      </c>
      <c r="BK20" s="122" t="str">
        <f t="shared" si="68"/>
        <v>05.08.2026</v>
      </c>
      <c r="BL20" s="119" t="str">
        <f t="shared" si="69"/>
        <v>18:00:00</v>
      </c>
      <c r="BM20" s="123">
        <f t="shared" si="70"/>
        <v>8709</v>
      </c>
      <c r="BN20" s="118">
        <v>0</v>
      </c>
      <c r="BO20" s="118" t="s">
        <v>1086</v>
      </c>
      <c r="BP20" s="118"/>
      <c r="BQ20" s="118" t="s">
        <v>1087</v>
      </c>
      <c r="BR20" s="124">
        <f t="shared" si="71"/>
        <v>11.048486901535682</v>
      </c>
      <c r="BS20" s="124" t="s">
        <v>1087</v>
      </c>
      <c r="BT20" s="124">
        <f t="shared" si="72"/>
        <v>11.048486901535682</v>
      </c>
      <c r="BU20" s="124" t="s">
        <v>1087</v>
      </c>
      <c r="BV20" s="124">
        <f t="shared" si="73"/>
        <v>11.048486901535682</v>
      </c>
      <c r="BW20" s="118" t="s">
        <v>1087</v>
      </c>
      <c r="BX20" s="118"/>
      <c r="BY20" s="118" t="s">
        <v>1087</v>
      </c>
      <c r="BZ20" s="118"/>
      <c r="CA20" s="118" t="s">
        <v>1087</v>
      </c>
      <c r="CB20" s="118"/>
      <c r="CC20" s="118"/>
      <c r="CD20" s="118"/>
      <c r="CE20" s="118"/>
      <c r="CF20" s="118"/>
      <c r="CG20" s="118"/>
      <c r="CH20" s="118">
        <v>712</v>
      </c>
      <c r="CI20" s="118"/>
      <c r="CJ20" s="118">
        <f t="shared" si="74"/>
        <v>10703144</v>
      </c>
      <c r="CK20" s="119" t="s">
        <v>1106</v>
      </c>
      <c r="CL20" s="120">
        <f t="shared" si="75"/>
        <v>666344</v>
      </c>
      <c r="CM20" s="121" t="str">
        <f t="shared" si="76"/>
        <v>BC28-0056-D-APH-5040-0756-PCR</v>
      </c>
      <c r="CN20" s="122" t="str">
        <f t="shared" si="77"/>
        <v>05.08.2026</v>
      </c>
      <c r="CO20" s="125" t="str">
        <f t="shared" si="78"/>
        <v>06:00:00</v>
      </c>
      <c r="CP20" s="122" t="str">
        <f t="shared" si="79"/>
        <v>05.08.2026</v>
      </c>
      <c r="CQ20" s="125" t="str">
        <f t="shared" si="80"/>
        <v>18:00:00</v>
      </c>
      <c r="CR20" s="123">
        <f t="shared" si="81"/>
        <v>8100</v>
      </c>
      <c r="CS20" s="126">
        <f t="shared" si="82"/>
        <v>609</v>
      </c>
      <c r="CT20" s="118" t="s">
        <v>1086</v>
      </c>
      <c r="CU20" s="118"/>
      <c r="CV20" s="118" t="s">
        <v>1087</v>
      </c>
      <c r="CW20" s="127"/>
      <c r="CX20" s="118" t="s">
        <v>1087</v>
      </c>
      <c r="CY20" s="127"/>
      <c r="CZ20" s="118" t="s">
        <v>1087</v>
      </c>
      <c r="DA20" s="127"/>
      <c r="DB20" s="118" t="s">
        <v>1087</v>
      </c>
      <c r="DC20" s="118"/>
      <c r="DD20" s="118" t="s">
        <v>1087</v>
      </c>
      <c r="DE20" s="118"/>
      <c r="DF20" s="118" t="s">
        <v>1087</v>
      </c>
      <c r="DG20" s="118"/>
      <c r="DH20" s="118"/>
      <c r="DI20" s="118"/>
      <c r="DJ20" s="118"/>
      <c r="DK20" s="118"/>
      <c r="DL20" s="118"/>
      <c r="DM20" s="62"/>
      <c r="DN20" s="90" t="str">
        <f t="shared" ref="DN20:DN21" si="290">B20</f>
        <v>A18</v>
      </c>
      <c r="DO20" s="90" t="str">
        <f t="shared" ref="DO20:DO21" si="291">F20</f>
        <v>BC28-0056-D-APH-5040-0756-PCR</v>
      </c>
      <c r="DP20" s="128">
        <f t="shared" ref="DP20:DP21" si="292">(3600/AC20)*I20*12*0.98</f>
        <v>9769.8461538461543</v>
      </c>
      <c r="DQ20" s="129">
        <f t="shared" ref="DQ20:DQ21" si="293">P20</f>
        <v>9288</v>
      </c>
      <c r="DR20" s="130">
        <f t="shared" ref="DR20:DR21" si="294">DQ20/DP20*100</f>
        <v>95.068027210884352</v>
      </c>
      <c r="DS20" s="131">
        <f t="shared" ref="DS20:DS21" si="295">Y20</f>
        <v>4.5</v>
      </c>
      <c r="DT20" s="131">
        <f t="shared" ref="DT20:DT21" si="296">Z20</f>
        <v>3.938992878300876E-2</v>
      </c>
      <c r="DU20" s="132">
        <f t="shared" ref="DU20:DU21" si="297">SUM(AG20:AI20)</f>
        <v>0</v>
      </c>
      <c r="DV20" s="133">
        <f t="shared" ref="DV20:DV21" si="298">SUM(AD20:AF20)</f>
        <v>0</v>
      </c>
      <c r="DW20" s="264">
        <f t="shared" ref="DW20:DW21" si="299">Y20+W20+AM20+AN20/U20*100</f>
        <v>7.2506635014670557</v>
      </c>
      <c r="DX20" s="265"/>
      <c r="DY20" s="134" t="str">
        <f t="shared" ref="DY20:DY21" si="300">AJ20</f>
        <v>Drooling..L.test.</v>
      </c>
      <c r="DZ20" s="15"/>
      <c r="EA20" s="15"/>
      <c r="EB20" s="15"/>
      <c r="EC20" s="15"/>
      <c r="ED20" s="15"/>
      <c r="EE20" s="15"/>
    </row>
    <row r="21" spans="1:135" s="74" customFormat="1" ht="33" customHeight="1">
      <c r="A21" s="188" t="s">
        <v>1410</v>
      </c>
      <c r="B21" s="100" t="s">
        <v>1346</v>
      </c>
      <c r="C21" s="90" t="s">
        <v>1428</v>
      </c>
      <c r="D21" s="101" t="str">
        <f>VLOOKUP(E21,'Reference Card '!A:E,5,FALSE)</f>
        <v>PET</v>
      </c>
      <c r="E21" s="102">
        <v>541381</v>
      </c>
      <c r="F21" s="103" t="str">
        <f>VLOOKUP(E21,'[1]Reference Card '!A:B,2,FALSE)</f>
        <v>BC28-1200-K-R-CL</v>
      </c>
      <c r="G21" s="104">
        <v>10700742</v>
      </c>
      <c r="H21" s="105" t="s">
        <v>1246</v>
      </c>
      <c r="I21" s="85">
        <f>VLOOKUP(E21,'[1]Reference Card '!A:C,3,FALSE)</f>
        <v>4</v>
      </c>
      <c r="J21" s="185">
        <f>VLOOKUP(E21,'[1]Reference Card '!A:H,8,FALSE)</f>
        <v>55</v>
      </c>
      <c r="K21" s="185">
        <f>VLOOKUP(E21,'[1]Reference Card '!A:F,6,FALSE)</f>
        <v>55</v>
      </c>
      <c r="L21" s="86">
        <v>44</v>
      </c>
      <c r="M21" s="86">
        <v>84000</v>
      </c>
      <c r="N21" s="86">
        <v>0</v>
      </c>
      <c r="O21" s="86">
        <v>175</v>
      </c>
      <c r="P21" s="107">
        <f t="shared" si="284"/>
        <v>176</v>
      </c>
      <c r="Q21" s="87">
        <v>0</v>
      </c>
      <c r="R21" s="108">
        <f t="shared" si="285"/>
        <v>0</v>
      </c>
      <c r="S21" s="86">
        <v>47775</v>
      </c>
      <c r="T21" s="107">
        <f t="shared" si="286"/>
        <v>36225</v>
      </c>
      <c r="U21" s="109">
        <f t="shared" si="287"/>
        <v>9.68</v>
      </c>
      <c r="V21" s="108">
        <f t="shared" si="98"/>
        <v>0</v>
      </c>
      <c r="W21" s="86">
        <v>35.799999999999997</v>
      </c>
      <c r="X21" s="110">
        <f t="shared" si="270"/>
        <v>3.6983471074380163</v>
      </c>
      <c r="Y21" s="86">
        <v>0</v>
      </c>
      <c r="Z21" s="111">
        <f t="shared" si="288"/>
        <v>0</v>
      </c>
      <c r="AA21" s="109">
        <v>29.9</v>
      </c>
      <c r="AB21" s="112">
        <f t="shared" si="289"/>
        <v>0.36544444444444446</v>
      </c>
      <c r="AC21" s="112">
        <f>VLOOKUP(E21,'[2]Reference Card '!A:I,9,FALSE)</f>
        <v>30.08</v>
      </c>
      <c r="AD21" s="113"/>
      <c r="AE21" s="113"/>
      <c r="AF21" s="113"/>
      <c r="AG21" s="113"/>
      <c r="AH21" s="113">
        <v>11.5</v>
      </c>
      <c r="AI21" s="135"/>
      <c r="AJ21" s="114" t="s">
        <v>1429</v>
      </c>
      <c r="AK21" s="114"/>
      <c r="AL21" s="113"/>
      <c r="AM21" s="113">
        <v>22</v>
      </c>
      <c r="AN21" s="113">
        <v>13</v>
      </c>
      <c r="AO21" s="115">
        <f t="shared" si="102"/>
        <v>-70.745000000000005</v>
      </c>
      <c r="AP21" s="227" t="s">
        <v>1205</v>
      </c>
      <c r="AQ21" s="79" t="s">
        <v>1406</v>
      </c>
      <c r="AR21" s="189" t="s">
        <v>1089</v>
      </c>
      <c r="AS21" s="79" t="s">
        <v>1406</v>
      </c>
      <c r="AT21" s="189" t="s">
        <v>1090</v>
      </c>
      <c r="AU21" s="73">
        <f t="shared" si="55"/>
        <v>1287.2727272727273</v>
      </c>
      <c r="AV21" s="116">
        <f t="shared" si="56"/>
        <v>1287.2727272727273</v>
      </c>
      <c r="AW21" s="116">
        <f t="shared" si="57"/>
        <v>481.60535117056861</v>
      </c>
      <c r="AX21" s="73">
        <f t="shared" si="58"/>
        <v>14.172878787878787</v>
      </c>
      <c r="AY21" s="73">
        <f t="shared" si="59"/>
        <v>11.5</v>
      </c>
      <c r="AZ21" s="116">
        <f t="shared" si="60"/>
        <v>0</v>
      </c>
      <c r="BA21" s="116">
        <f t="shared" si="61"/>
        <v>1287.2727272727273</v>
      </c>
      <c r="BB21" s="117" t="e">
        <f t="shared" si="62"/>
        <v>#DIV/0!</v>
      </c>
      <c r="BC21" s="118">
        <v>712</v>
      </c>
      <c r="BD21" s="118"/>
      <c r="BE21" s="90">
        <f t="shared" si="63"/>
        <v>10700742</v>
      </c>
      <c r="BF21" s="119" t="s">
        <v>1096</v>
      </c>
      <c r="BG21" s="120">
        <f t="shared" si="64"/>
        <v>541381</v>
      </c>
      <c r="BH21" s="121" t="str">
        <f t="shared" si="65"/>
        <v>BC28-1200-K-R-CL</v>
      </c>
      <c r="BI21" s="122" t="str">
        <f t="shared" si="66"/>
        <v>05.08.2026</v>
      </c>
      <c r="BJ21" s="119" t="str">
        <f t="shared" si="67"/>
        <v>06:00:00</v>
      </c>
      <c r="BK21" s="122" t="str">
        <f t="shared" si="68"/>
        <v>05.08.2026</v>
      </c>
      <c r="BL21" s="119" t="str">
        <f t="shared" si="69"/>
        <v>18:00:00</v>
      </c>
      <c r="BM21" s="123">
        <f t="shared" si="70"/>
        <v>1287</v>
      </c>
      <c r="BN21" s="118">
        <v>0</v>
      </c>
      <c r="BO21" s="118" t="s">
        <v>1086</v>
      </c>
      <c r="BP21" s="118"/>
      <c r="BQ21" s="118" t="s">
        <v>1087</v>
      </c>
      <c r="BR21" s="124">
        <f t="shared" si="71"/>
        <v>14.172878787878787</v>
      </c>
      <c r="BS21" s="124" t="s">
        <v>1087</v>
      </c>
      <c r="BT21" s="124">
        <f t="shared" si="72"/>
        <v>14.172878787878787</v>
      </c>
      <c r="BU21" s="124" t="s">
        <v>1087</v>
      </c>
      <c r="BV21" s="124">
        <f t="shared" si="73"/>
        <v>14.172878787878787</v>
      </c>
      <c r="BW21" s="118" t="s">
        <v>1087</v>
      </c>
      <c r="BX21" s="118"/>
      <c r="BY21" s="118" t="s">
        <v>1087</v>
      </c>
      <c r="BZ21" s="118"/>
      <c r="CA21" s="118" t="s">
        <v>1087</v>
      </c>
      <c r="CB21" s="118"/>
      <c r="CC21" s="118"/>
      <c r="CD21" s="118"/>
      <c r="CE21" s="118"/>
      <c r="CF21" s="118"/>
      <c r="CG21" s="118"/>
      <c r="CH21" s="118">
        <v>712</v>
      </c>
      <c r="CI21" s="118"/>
      <c r="CJ21" s="118">
        <f t="shared" si="74"/>
        <v>10700742</v>
      </c>
      <c r="CK21" s="119" t="s">
        <v>1106</v>
      </c>
      <c r="CL21" s="120">
        <f t="shared" si="75"/>
        <v>541381</v>
      </c>
      <c r="CM21" s="121" t="str">
        <f t="shared" si="76"/>
        <v>BC28-1200-K-R-CL</v>
      </c>
      <c r="CN21" s="122" t="str">
        <f t="shared" si="77"/>
        <v>05.08.2026</v>
      </c>
      <c r="CO21" s="125" t="str">
        <f t="shared" si="78"/>
        <v>06:00:00</v>
      </c>
      <c r="CP21" s="122" t="str">
        <f t="shared" si="79"/>
        <v>05.08.2026</v>
      </c>
      <c r="CQ21" s="125" t="str">
        <f t="shared" si="80"/>
        <v>18:00:00</v>
      </c>
      <c r="CR21" s="123">
        <f t="shared" si="81"/>
        <v>0</v>
      </c>
      <c r="CS21" s="126">
        <f t="shared" si="82"/>
        <v>1287</v>
      </c>
      <c r="CT21" s="118" t="s">
        <v>1086</v>
      </c>
      <c r="CU21" s="118"/>
      <c r="CV21" s="118" t="s">
        <v>1087</v>
      </c>
      <c r="CW21" s="127"/>
      <c r="CX21" s="118" t="s">
        <v>1087</v>
      </c>
      <c r="CY21" s="127"/>
      <c r="CZ21" s="118" t="s">
        <v>1087</v>
      </c>
      <c r="DA21" s="127"/>
      <c r="DB21" s="118" t="s">
        <v>1087</v>
      </c>
      <c r="DC21" s="118"/>
      <c r="DD21" s="118" t="s">
        <v>1087</v>
      </c>
      <c r="DE21" s="118"/>
      <c r="DF21" s="118" t="s">
        <v>1087</v>
      </c>
      <c r="DG21" s="118"/>
      <c r="DH21" s="118"/>
      <c r="DI21" s="118"/>
      <c r="DJ21" s="118"/>
      <c r="DK21" s="118"/>
      <c r="DL21" s="118"/>
      <c r="DM21" s="62"/>
      <c r="DN21" s="90" t="str">
        <f t="shared" si="290"/>
        <v>A19</v>
      </c>
      <c r="DO21" s="90" t="str">
        <f t="shared" si="291"/>
        <v>BC28-1200-K-R-CL</v>
      </c>
      <c r="DP21" s="128">
        <f t="shared" si="292"/>
        <v>5629.7872340425538</v>
      </c>
      <c r="DQ21" s="129">
        <f t="shared" si="293"/>
        <v>176</v>
      </c>
      <c r="DR21" s="130">
        <f t="shared" si="294"/>
        <v>3.126228269085412</v>
      </c>
      <c r="DS21" s="131">
        <f t="shared" si="295"/>
        <v>0</v>
      </c>
      <c r="DT21" s="131">
        <f t="shared" si="296"/>
        <v>0</v>
      </c>
      <c r="DU21" s="132">
        <f t="shared" si="297"/>
        <v>11.5</v>
      </c>
      <c r="DV21" s="133">
        <f t="shared" si="298"/>
        <v>0</v>
      </c>
      <c r="DW21" s="261">
        <f t="shared" si="299"/>
        <v>192.09752066115703</v>
      </c>
      <c r="DX21" s="262"/>
      <c r="DY21" s="134" t="str">
        <f t="shared" si="300"/>
        <v>Under tech.Thickness.Start 5.30pm.</v>
      </c>
      <c r="DZ21" s="15"/>
      <c r="EA21" s="15"/>
      <c r="EB21" s="15"/>
      <c r="EC21" s="15"/>
      <c r="ED21" s="15"/>
      <c r="EE21" s="15"/>
    </row>
    <row r="22" spans="1:135" s="74" customFormat="1" ht="33" customHeight="1">
      <c r="A22" s="188" t="s">
        <v>1410</v>
      </c>
      <c r="B22" s="100" t="s">
        <v>1216</v>
      </c>
      <c r="C22" s="90" t="s">
        <v>1411</v>
      </c>
      <c r="D22" s="101" t="str">
        <f>VLOOKUP(E22,'Reference Card '!A:E,5,FALSE)</f>
        <v>KingFa NC050</v>
      </c>
      <c r="E22" s="102">
        <v>666342</v>
      </c>
      <c r="F22" s="103" t="str">
        <f>VLOOKUP(E22,'[1]Reference Card '!A:B,2,FALSE)</f>
        <v>BC28-0090-D-APH-5180-3538-PCR</v>
      </c>
      <c r="G22" s="104">
        <v>10704701</v>
      </c>
      <c r="H22" s="105" t="s">
        <v>1246</v>
      </c>
      <c r="I22" s="85">
        <f>VLOOKUP(E22,'[1]Reference Card '!A:C,3,FALSE)</f>
        <v>6</v>
      </c>
      <c r="J22" s="185">
        <f>VLOOKUP(E22,'[1]Reference Card '!A:H,8,FALSE)</f>
        <v>14.7</v>
      </c>
      <c r="K22" s="185">
        <f>VLOOKUP(E22,'[1]Reference Card '!A:F,6,FALSE)</f>
        <v>14.7</v>
      </c>
      <c r="L22" s="86">
        <v>1266</v>
      </c>
      <c r="M22" s="86">
        <v>108000</v>
      </c>
      <c r="N22" s="86">
        <v>1350</v>
      </c>
      <c r="O22" s="86">
        <v>2970</v>
      </c>
      <c r="P22" s="107">
        <f t="shared" ref="P22" si="301">L22*I22</f>
        <v>7596</v>
      </c>
      <c r="Q22" s="87">
        <v>5400</v>
      </c>
      <c r="R22" s="108">
        <f t="shared" ref="R22" si="302">(Q22*K22)/1000</f>
        <v>79.38</v>
      </c>
      <c r="S22" s="86">
        <v>19170</v>
      </c>
      <c r="T22" s="107">
        <f t="shared" ref="T22" si="303">IF(M22="Sample","-",IF(M22="RTFN","-",M22-S22))</f>
        <v>88830</v>
      </c>
      <c r="U22" s="109">
        <f t="shared" ref="U22" si="304">(P22*K22)/1000</f>
        <v>111.66119999999999</v>
      </c>
      <c r="V22" s="108">
        <f t="shared" ref="V22" si="305">(J22-K22)*P22/1000</f>
        <v>0</v>
      </c>
      <c r="W22" s="86">
        <v>0</v>
      </c>
      <c r="X22" s="110">
        <f t="shared" ref="X22" si="306">W22/U22</f>
        <v>0</v>
      </c>
      <c r="Y22" s="86">
        <v>8.6</v>
      </c>
      <c r="Z22" s="111">
        <f t="shared" ref="Z22" si="307">Y22/U22</f>
        <v>7.7018695840632201E-2</v>
      </c>
      <c r="AA22" s="109">
        <v>29</v>
      </c>
      <c r="AB22" s="112">
        <f t="shared" ref="AB22" si="308">AA22/3600*L22</f>
        <v>10.198333333333332</v>
      </c>
      <c r="AC22" s="112">
        <f>VLOOKUP(E22,'[2]Reference Card '!A:I,9,FALSE)</f>
        <v>27</v>
      </c>
      <c r="AD22" s="113"/>
      <c r="AE22" s="113"/>
      <c r="AF22" s="113"/>
      <c r="AG22" s="113"/>
      <c r="AH22" s="113">
        <v>1.8</v>
      </c>
      <c r="AI22" s="135"/>
      <c r="AJ22" s="114" t="s">
        <v>1441</v>
      </c>
      <c r="AK22" s="114"/>
      <c r="AL22" s="113"/>
      <c r="AM22" s="113">
        <v>2</v>
      </c>
      <c r="AN22" s="113">
        <v>2</v>
      </c>
      <c r="AO22" s="115">
        <f t="shared" ref="AO22" si="309">(U22-R22-W22-Y22-AM22-AN22)-(O22*K22/1000)</f>
        <v>-23.977800000000002</v>
      </c>
      <c r="AP22" s="227" t="s">
        <v>1205</v>
      </c>
      <c r="AQ22" s="79" t="s">
        <v>1406</v>
      </c>
      <c r="AR22" s="189" t="s">
        <v>1089</v>
      </c>
      <c r="AS22" s="79" t="s">
        <v>1406</v>
      </c>
      <c r="AT22" s="189" t="s">
        <v>1090</v>
      </c>
      <c r="AU22" s="73">
        <f t="shared" si="55"/>
        <v>857.14285714285722</v>
      </c>
      <c r="AV22" s="116">
        <f t="shared" si="56"/>
        <v>6257.1428571428569</v>
      </c>
      <c r="AW22" s="116">
        <f t="shared" si="57"/>
        <v>744.82758620689651</v>
      </c>
      <c r="AX22" s="73">
        <f t="shared" si="58"/>
        <v>10.200793650793651</v>
      </c>
      <c r="AY22" s="73">
        <f t="shared" si="59"/>
        <v>1.8</v>
      </c>
      <c r="AZ22" s="116">
        <f t="shared" si="60"/>
        <v>5400</v>
      </c>
      <c r="BA22" s="116">
        <f t="shared" si="61"/>
        <v>857.14285714285722</v>
      </c>
      <c r="BB22" s="117">
        <f t="shared" si="62"/>
        <v>0.15873015873015875</v>
      </c>
      <c r="BC22" s="118">
        <v>712</v>
      </c>
      <c r="BD22" s="118"/>
      <c r="BE22" s="90">
        <f t="shared" si="63"/>
        <v>10704701</v>
      </c>
      <c r="BF22" s="119" t="s">
        <v>1096</v>
      </c>
      <c r="BG22" s="120">
        <f t="shared" si="64"/>
        <v>666342</v>
      </c>
      <c r="BH22" s="121" t="str">
        <f t="shared" si="65"/>
        <v>BC28-0090-D-APH-5180-3538-PCR</v>
      </c>
      <c r="BI22" s="122" t="str">
        <f t="shared" si="66"/>
        <v>05.08.2026</v>
      </c>
      <c r="BJ22" s="119" t="str">
        <f t="shared" si="67"/>
        <v>06:00:00</v>
      </c>
      <c r="BK22" s="122" t="str">
        <f t="shared" si="68"/>
        <v>05.08.2026</v>
      </c>
      <c r="BL22" s="119" t="str">
        <f t="shared" si="69"/>
        <v>18:00:00</v>
      </c>
      <c r="BM22" s="123">
        <f t="shared" si="70"/>
        <v>6257</v>
      </c>
      <c r="BN22" s="118">
        <v>0</v>
      </c>
      <c r="BO22" s="118" t="s">
        <v>1086</v>
      </c>
      <c r="BP22" s="118"/>
      <c r="BQ22" s="118" t="s">
        <v>1087</v>
      </c>
      <c r="BR22" s="124">
        <f t="shared" si="71"/>
        <v>10.200793650793651</v>
      </c>
      <c r="BS22" s="124" t="s">
        <v>1087</v>
      </c>
      <c r="BT22" s="124">
        <f t="shared" si="72"/>
        <v>10.200793650793651</v>
      </c>
      <c r="BU22" s="124" t="s">
        <v>1087</v>
      </c>
      <c r="BV22" s="124">
        <f t="shared" si="73"/>
        <v>10.200793650793651</v>
      </c>
      <c r="BW22" s="118" t="s">
        <v>1087</v>
      </c>
      <c r="BX22" s="118"/>
      <c r="BY22" s="118" t="s">
        <v>1087</v>
      </c>
      <c r="BZ22" s="118"/>
      <c r="CA22" s="118" t="s">
        <v>1087</v>
      </c>
      <c r="CB22" s="118"/>
      <c r="CC22" s="118"/>
      <c r="CD22" s="118"/>
      <c r="CE22" s="118"/>
      <c r="CF22" s="118"/>
      <c r="CG22" s="118"/>
      <c r="CH22" s="118">
        <v>712</v>
      </c>
      <c r="CI22" s="118"/>
      <c r="CJ22" s="118">
        <f t="shared" si="74"/>
        <v>10704701</v>
      </c>
      <c r="CK22" s="119" t="s">
        <v>1106</v>
      </c>
      <c r="CL22" s="120">
        <f t="shared" si="75"/>
        <v>666342</v>
      </c>
      <c r="CM22" s="121" t="str">
        <f t="shared" si="76"/>
        <v>BC28-0090-D-APH-5180-3538-PCR</v>
      </c>
      <c r="CN22" s="122" t="str">
        <f t="shared" si="77"/>
        <v>05.08.2026</v>
      </c>
      <c r="CO22" s="125" t="str">
        <f t="shared" si="78"/>
        <v>06:00:00</v>
      </c>
      <c r="CP22" s="122" t="str">
        <f t="shared" si="79"/>
        <v>05.08.2026</v>
      </c>
      <c r="CQ22" s="125" t="str">
        <f t="shared" si="80"/>
        <v>18:00:00</v>
      </c>
      <c r="CR22" s="123">
        <f t="shared" si="81"/>
        <v>5400</v>
      </c>
      <c r="CS22" s="126">
        <f t="shared" si="82"/>
        <v>857</v>
      </c>
      <c r="CT22" s="118" t="s">
        <v>1086</v>
      </c>
      <c r="CU22" s="118"/>
      <c r="CV22" s="118" t="s">
        <v>1087</v>
      </c>
      <c r="CW22" s="127"/>
      <c r="CX22" s="118" t="s">
        <v>1087</v>
      </c>
      <c r="CY22" s="127"/>
      <c r="CZ22" s="118" t="s">
        <v>1087</v>
      </c>
      <c r="DA22" s="127"/>
      <c r="DB22" s="118" t="s">
        <v>1087</v>
      </c>
      <c r="DC22" s="118"/>
      <c r="DD22" s="118" t="s">
        <v>1087</v>
      </c>
      <c r="DE22" s="118"/>
      <c r="DF22" s="118" t="s">
        <v>1087</v>
      </c>
      <c r="DG22" s="118"/>
      <c r="DH22" s="118"/>
      <c r="DI22" s="118"/>
      <c r="DJ22" s="118"/>
      <c r="DK22" s="118"/>
      <c r="DL22" s="118"/>
      <c r="DM22" s="62"/>
      <c r="DN22" s="90" t="str">
        <f t="shared" ref="DN22" si="310">B22</f>
        <v>A21</v>
      </c>
      <c r="DO22" s="90" t="str">
        <f t="shared" ref="DO22" si="311">F22</f>
        <v>BC28-0090-D-APH-5180-3538-PCR</v>
      </c>
      <c r="DP22" s="128">
        <f t="shared" ref="DP22" si="312">(3600/AC22)*I22*12*0.98</f>
        <v>9408</v>
      </c>
      <c r="DQ22" s="129">
        <f t="shared" ref="DQ22" si="313">P22</f>
        <v>7596</v>
      </c>
      <c r="DR22" s="130">
        <f t="shared" ref="DR22" si="314">DQ22/DP22*100</f>
        <v>80.739795918367349</v>
      </c>
      <c r="DS22" s="131">
        <f t="shared" ref="DS22" si="315">Y22</f>
        <v>8.6</v>
      </c>
      <c r="DT22" s="131">
        <f t="shared" ref="DT22" si="316">Z22</f>
        <v>7.7018695840632201E-2</v>
      </c>
      <c r="DU22" s="132">
        <f t="shared" ref="DU22" si="317">SUM(AG22:AI22)</f>
        <v>1.8</v>
      </c>
      <c r="DV22" s="133">
        <f t="shared" ref="DV22" si="318">SUM(AD22:AF22)</f>
        <v>0</v>
      </c>
      <c r="DW22" s="261">
        <f t="shared" ref="DW22" si="319">Y22+W22+AM22+AN22/U22*100</f>
        <v>12.39113246141005</v>
      </c>
      <c r="DX22" s="262"/>
      <c r="DY22" s="134" t="str">
        <f t="shared" ref="DY22" si="320">AJ22</f>
        <v>Often mc stop sometimes bottle stuck &amp; dented.L.test.</v>
      </c>
      <c r="DZ22" s="15"/>
      <c r="EA22" s="15"/>
      <c r="EB22" s="15"/>
      <c r="EC22" s="15"/>
      <c r="ED22" s="15"/>
      <c r="EE22" s="15"/>
    </row>
    <row r="23" spans="1:135" s="74" customFormat="1" ht="33" customHeight="1">
      <c r="A23" s="188" t="s">
        <v>1410</v>
      </c>
      <c r="B23" s="100" t="s">
        <v>1238</v>
      </c>
      <c r="C23" s="90" t="s">
        <v>1421</v>
      </c>
      <c r="D23" s="101" t="str">
        <f>VLOOKUP(E23,'Reference Card '!A:E,5,FALSE)</f>
        <v>PPSB520Y</v>
      </c>
      <c r="E23" s="102">
        <v>550077</v>
      </c>
      <c r="F23" s="103" t="str">
        <f>VLOOKUP(E23,'[1]Reference Card '!A:B,2,FALSE)</f>
        <v>BC28-0170-D-APH-5040-0736-PP-6NOTCHES(NO LOGO)</v>
      </c>
      <c r="G23" s="104">
        <v>10704309</v>
      </c>
      <c r="H23" s="105" t="s">
        <v>1246</v>
      </c>
      <c r="I23" s="85">
        <f>VLOOKUP(E23,'[1]Reference Card '!A:C,3,FALSE)</f>
        <v>6</v>
      </c>
      <c r="J23" s="106">
        <v>28</v>
      </c>
      <c r="K23" s="106">
        <v>28</v>
      </c>
      <c r="L23" s="86">
        <v>933</v>
      </c>
      <c r="M23" s="86">
        <v>67200</v>
      </c>
      <c r="N23" s="86">
        <v>4536</v>
      </c>
      <c r="O23" s="86">
        <v>0</v>
      </c>
      <c r="P23" s="107">
        <f t="shared" ref="P23:P24" si="321">L23*I23</f>
        <v>5598</v>
      </c>
      <c r="Q23" s="87">
        <v>10080</v>
      </c>
      <c r="R23" s="108">
        <f t="shared" ref="R23:R24" si="322">(Q23*K23)/1000</f>
        <v>282.24</v>
      </c>
      <c r="S23" s="86">
        <v>10080</v>
      </c>
      <c r="T23" s="107">
        <f t="shared" ref="T23:T24" si="323">IF(M23="Sample","-",IF(M23="RTFN","-",M23-S23))</f>
        <v>57120</v>
      </c>
      <c r="U23" s="109">
        <f t="shared" ref="U23:U24" si="324">(P23*K23)/1000</f>
        <v>156.744</v>
      </c>
      <c r="V23" s="108">
        <f t="shared" ref="V23:V25" si="325">(J23-K23)*P23/1000</f>
        <v>0</v>
      </c>
      <c r="W23" s="86">
        <v>0</v>
      </c>
      <c r="X23" s="110">
        <f t="shared" ref="X23:X24" si="326">W23/U23</f>
        <v>0</v>
      </c>
      <c r="Y23" s="86">
        <v>1.5</v>
      </c>
      <c r="Z23" s="111">
        <f t="shared" ref="Z23:Z24" si="327">Y23/U23</f>
        <v>9.5697442964323993E-3</v>
      </c>
      <c r="AA23" s="109">
        <v>44.3</v>
      </c>
      <c r="AB23" s="112">
        <f t="shared" ref="AB23:AB24" si="328">AA23/3600*L23</f>
        <v>11.481083333333332</v>
      </c>
      <c r="AC23" s="112">
        <f>VLOOKUP(E23,'[2]Reference Card '!A:I,9,FALSE)</f>
        <v>42</v>
      </c>
      <c r="AD23" s="113"/>
      <c r="AE23" s="113"/>
      <c r="AF23" s="113"/>
      <c r="AG23" s="113"/>
      <c r="AH23" s="135"/>
      <c r="AI23" s="135"/>
      <c r="AJ23" s="114" t="s">
        <v>1435</v>
      </c>
      <c r="AK23" s="114"/>
      <c r="AL23" s="113"/>
      <c r="AM23" s="113">
        <v>10</v>
      </c>
      <c r="AN23" s="113">
        <v>12</v>
      </c>
      <c r="AO23" s="115">
        <f t="shared" ref="AO23" si="329">(U23-R23-W23-Y23-AM23-AN23)-(O23*K23/1000)</f>
        <v>-148.99600000000001</v>
      </c>
      <c r="AP23" s="227" t="s">
        <v>1205</v>
      </c>
      <c r="AQ23" s="79" t="s">
        <v>1406</v>
      </c>
      <c r="AR23" s="189" t="s">
        <v>1089</v>
      </c>
      <c r="AS23" s="79" t="s">
        <v>1406</v>
      </c>
      <c r="AT23" s="189" t="s">
        <v>1090</v>
      </c>
      <c r="AU23" s="73">
        <f t="shared" si="55"/>
        <v>839.28571428571433</v>
      </c>
      <c r="AV23" s="116">
        <f t="shared" si="56"/>
        <v>10919.285714285714</v>
      </c>
      <c r="AW23" s="116">
        <f t="shared" si="57"/>
        <v>487.58465011286683</v>
      </c>
      <c r="AX23" s="73">
        <f t="shared" si="58"/>
        <v>22.394646164021161</v>
      </c>
      <c r="AY23" s="73">
        <f t="shared" si="59"/>
        <v>0</v>
      </c>
      <c r="AZ23" s="116">
        <f t="shared" si="60"/>
        <v>10080</v>
      </c>
      <c r="BA23" s="116">
        <f t="shared" si="61"/>
        <v>839.28571428571433</v>
      </c>
      <c r="BB23" s="117">
        <f t="shared" si="62"/>
        <v>8.326247165532881E-2</v>
      </c>
      <c r="BC23" s="118">
        <v>712</v>
      </c>
      <c r="BD23" s="118"/>
      <c r="BE23" s="90">
        <f t="shared" si="63"/>
        <v>10704309</v>
      </c>
      <c r="BF23" s="119" t="s">
        <v>1096</v>
      </c>
      <c r="BG23" s="120">
        <f t="shared" si="64"/>
        <v>550077</v>
      </c>
      <c r="BH23" s="121" t="str">
        <f t="shared" si="65"/>
        <v>BC28-0170-D-APH-5040-0736-PP-6NOTCHES(NO LOGO)</v>
      </c>
      <c r="BI23" s="122" t="str">
        <f t="shared" si="66"/>
        <v>05.08.2026</v>
      </c>
      <c r="BJ23" s="119" t="str">
        <f t="shared" si="67"/>
        <v>06:00:00</v>
      </c>
      <c r="BK23" s="122" t="str">
        <f t="shared" si="68"/>
        <v>05.08.2026</v>
      </c>
      <c r="BL23" s="119" t="str">
        <f t="shared" si="69"/>
        <v>18:00:00</v>
      </c>
      <c r="BM23" s="123">
        <f t="shared" si="70"/>
        <v>10919</v>
      </c>
      <c r="BN23" s="118">
        <v>0</v>
      </c>
      <c r="BO23" s="118" t="s">
        <v>1086</v>
      </c>
      <c r="BP23" s="118"/>
      <c r="BQ23" s="118" t="s">
        <v>1087</v>
      </c>
      <c r="BR23" s="124">
        <f t="shared" si="71"/>
        <v>22.394646164021161</v>
      </c>
      <c r="BS23" s="124" t="s">
        <v>1087</v>
      </c>
      <c r="BT23" s="124">
        <f t="shared" si="72"/>
        <v>22.394646164021161</v>
      </c>
      <c r="BU23" s="124" t="s">
        <v>1087</v>
      </c>
      <c r="BV23" s="124">
        <f t="shared" si="73"/>
        <v>22.394646164021161</v>
      </c>
      <c r="BW23" s="118" t="s">
        <v>1087</v>
      </c>
      <c r="BX23" s="118"/>
      <c r="BY23" s="118" t="s">
        <v>1087</v>
      </c>
      <c r="BZ23" s="118"/>
      <c r="CA23" s="118" t="s">
        <v>1087</v>
      </c>
      <c r="CB23" s="118"/>
      <c r="CC23" s="118"/>
      <c r="CD23" s="118"/>
      <c r="CE23" s="118"/>
      <c r="CF23" s="118"/>
      <c r="CG23" s="118"/>
      <c r="CH23" s="118">
        <v>712</v>
      </c>
      <c r="CI23" s="118"/>
      <c r="CJ23" s="118">
        <f t="shared" si="74"/>
        <v>10704309</v>
      </c>
      <c r="CK23" s="119" t="s">
        <v>1106</v>
      </c>
      <c r="CL23" s="120">
        <f t="shared" si="75"/>
        <v>550077</v>
      </c>
      <c r="CM23" s="121" t="str">
        <f t="shared" si="76"/>
        <v>BC28-0170-D-APH-5040-0736-PP-6NOTCHES(NO LOGO)</v>
      </c>
      <c r="CN23" s="122" t="str">
        <f t="shared" si="77"/>
        <v>05.08.2026</v>
      </c>
      <c r="CO23" s="125" t="str">
        <f t="shared" si="78"/>
        <v>06:00:00</v>
      </c>
      <c r="CP23" s="122" t="str">
        <f t="shared" si="79"/>
        <v>05.08.2026</v>
      </c>
      <c r="CQ23" s="125" t="str">
        <f t="shared" si="80"/>
        <v>18:00:00</v>
      </c>
      <c r="CR23" s="123">
        <f t="shared" si="81"/>
        <v>10080</v>
      </c>
      <c r="CS23" s="126">
        <f t="shared" si="82"/>
        <v>839</v>
      </c>
      <c r="CT23" s="118" t="s">
        <v>1086</v>
      </c>
      <c r="CU23" s="118"/>
      <c r="CV23" s="118" t="s">
        <v>1087</v>
      </c>
      <c r="CW23" s="127"/>
      <c r="CX23" s="118" t="s">
        <v>1087</v>
      </c>
      <c r="CY23" s="127"/>
      <c r="CZ23" s="118" t="s">
        <v>1087</v>
      </c>
      <c r="DA23" s="127"/>
      <c r="DB23" s="118" t="s">
        <v>1087</v>
      </c>
      <c r="DC23" s="118"/>
      <c r="DD23" s="118" t="s">
        <v>1087</v>
      </c>
      <c r="DE23" s="118"/>
      <c r="DF23" s="118" t="s">
        <v>1087</v>
      </c>
      <c r="DG23" s="118"/>
      <c r="DH23" s="118"/>
      <c r="DI23" s="118"/>
      <c r="DJ23" s="118"/>
      <c r="DK23" s="118"/>
      <c r="DL23" s="118"/>
      <c r="DM23" s="62"/>
      <c r="DN23" s="90" t="str">
        <f t="shared" ref="DN23:DN24" si="330">B23</f>
        <v>A23</v>
      </c>
      <c r="DO23" s="90" t="str">
        <f t="shared" ref="DO23:DO24" si="331">F23</f>
        <v>BC28-0170-D-APH-5040-0736-PP-6NOTCHES(NO LOGO)</v>
      </c>
      <c r="DP23" s="128">
        <f t="shared" ref="DP23:DP24" si="332">(3600/AC23)*I23*12*0.98</f>
        <v>6047.9999999999991</v>
      </c>
      <c r="DQ23" s="129">
        <f t="shared" ref="DQ23:DQ24" si="333">P23</f>
        <v>5598</v>
      </c>
      <c r="DR23" s="130">
        <f t="shared" ref="DR23:DR24" si="334">DQ23/DP23*100</f>
        <v>92.559523809523824</v>
      </c>
      <c r="DS23" s="131">
        <f t="shared" ref="DS23:DS24" si="335">Y23</f>
        <v>1.5</v>
      </c>
      <c r="DT23" s="131">
        <f t="shared" ref="DT23:DT24" si="336">Z23</f>
        <v>9.5697442964323993E-3</v>
      </c>
      <c r="DU23" s="132">
        <f t="shared" ref="DU23:DU24" si="337">SUM(AG23:AI23)</f>
        <v>0</v>
      </c>
      <c r="DV23" s="133">
        <f t="shared" ref="DV23:DV24" si="338">SUM(AD23:AF23)</f>
        <v>0</v>
      </c>
      <c r="DW23" s="186">
        <f t="shared" ref="DW23:DW24" si="339">Y23+W23+AM23+AN23/U23*100</f>
        <v>19.155795437145919</v>
      </c>
      <c r="DX23" s="187"/>
      <c r="DY23" s="134" t="str">
        <f t="shared" ref="DY23:DY24" si="340">AJ23</f>
        <v>Base scratches.L.test.</v>
      </c>
      <c r="DZ23" s="15"/>
      <c r="EA23" s="15"/>
      <c r="EB23" s="15"/>
      <c r="EC23" s="15"/>
      <c r="ED23" s="15"/>
      <c r="EE23" s="15"/>
    </row>
    <row r="24" spans="1:135" s="74" customFormat="1" ht="33" customHeight="1">
      <c r="A24" s="188" t="s">
        <v>1410</v>
      </c>
      <c r="B24" s="100" t="s">
        <v>1373</v>
      </c>
      <c r="C24" s="90" t="s">
        <v>1422</v>
      </c>
      <c r="D24" s="101" t="str">
        <f>VLOOKUP(E24,'Reference Card '!A:E,5,FALSE)</f>
        <v>HDPE5403A+LDPE265YZ</v>
      </c>
      <c r="E24" s="102">
        <v>453933</v>
      </c>
      <c r="F24" s="103" t="str">
        <f>VLOOKUP(E24,'[1]Reference Card '!A:B,2,FALSE)</f>
        <v>EBK38-0500-K-Q-YL-PE(S0576)</v>
      </c>
      <c r="G24" s="104">
        <v>10704265</v>
      </c>
      <c r="H24" s="105" t="s">
        <v>1246</v>
      </c>
      <c r="I24" s="85">
        <f>VLOOKUP(E24,'[1]Reference Card '!A:C,3,FALSE)</f>
        <v>2</v>
      </c>
      <c r="J24" s="106">
        <f>VLOOKUP(E24,'[1]Reference Card '!A:H,8,FALSE)</f>
        <v>59</v>
      </c>
      <c r="K24" s="106">
        <f>VLOOKUP(E24,'[1]Reference Card '!A:F,6,FALSE)</f>
        <v>39.5</v>
      </c>
      <c r="L24" s="86">
        <v>1804</v>
      </c>
      <c r="M24" s="86">
        <v>40320</v>
      </c>
      <c r="N24" s="86">
        <v>0</v>
      </c>
      <c r="O24" s="86">
        <v>360</v>
      </c>
      <c r="P24" s="107">
        <f t="shared" si="321"/>
        <v>3608</v>
      </c>
      <c r="Q24" s="87">
        <v>2880</v>
      </c>
      <c r="R24" s="108">
        <f t="shared" si="322"/>
        <v>113.76</v>
      </c>
      <c r="S24" s="86">
        <v>7560</v>
      </c>
      <c r="T24" s="149">
        <f t="shared" si="323"/>
        <v>32760</v>
      </c>
      <c r="U24" s="109">
        <f t="shared" si="324"/>
        <v>142.51599999999999</v>
      </c>
      <c r="V24" s="108">
        <f>(J24-K24)*P24/1000</f>
        <v>70.355999999999995</v>
      </c>
      <c r="W24" s="86">
        <v>0</v>
      </c>
      <c r="X24" s="110">
        <f t="shared" si="326"/>
        <v>0</v>
      </c>
      <c r="Y24" s="86">
        <v>14.7</v>
      </c>
      <c r="Z24" s="111">
        <f t="shared" si="327"/>
        <v>0.10314631339639058</v>
      </c>
      <c r="AA24" s="109">
        <v>23.1</v>
      </c>
      <c r="AB24" s="112">
        <f t="shared" si="328"/>
        <v>11.575666666666667</v>
      </c>
      <c r="AC24" s="112">
        <f>VLOOKUP(E24,'[2]Reference Card '!A:I,9,FALSE)</f>
        <v>21.2</v>
      </c>
      <c r="AD24" s="113"/>
      <c r="AE24" s="113"/>
      <c r="AF24" s="113"/>
      <c r="AG24" s="113"/>
      <c r="AH24" s="135"/>
      <c r="AI24" s="135"/>
      <c r="AJ24" s="229" t="s">
        <v>1436</v>
      </c>
      <c r="AK24" s="114"/>
      <c r="AL24" s="113"/>
      <c r="AM24" s="113"/>
      <c r="AN24" s="113"/>
      <c r="AO24" s="115">
        <f>(U24-R24-W24-Y24-AM24-AN24)-(N69*K24/1000)</f>
        <v>14.055999999999987</v>
      </c>
      <c r="AP24" s="227" t="s">
        <v>1205</v>
      </c>
      <c r="AQ24" s="79" t="s">
        <v>1406</v>
      </c>
      <c r="AR24" s="189" t="s">
        <v>1089</v>
      </c>
      <c r="AS24" s="79" t="s">
        <v>1406</v>
      </c>
      <c r="AT24" s="189" t="s">
        <v>1090</v>
      </c>
      <c r="AU24" s="73">
        <f t="shared" si="55"/>
        <v>372.15189873417722</v>
      </c>
      <c r="AV24" s="116">
        <f t="shared" si="56"/>
        <v>3252.1518987341774</v>
      </c>
      <c r="AW24" s="116">
        <f t="shared" si="57"/>
        <v>311.68831168831167</v>
      </c>
      <c r="AX24" s="73">
        <f t="shared" si="58"/>
        <v>10.433987341772154</v>
      </c>
      <c r="AY24" s="73">
        <f t="shared" si="59"/>
        <v>0</v>
      </c>
      <c r="AZ24" s="116">
        <f t="shared" si="60"/>
        <v>2880</v>
      </c>
      <c r="BA24" s="116">
        <f t="shared" si="61"/>
        <v>372.15189873417722</v>
      </c>
      <c r="BB24" s="117">
        <f t="shared" si="62"/>
        <v>0.12921940928270043</v>
      </c>
      <c r="BC24" s="118">
        <v>712</v>
      </c>
      <c r="BD24" s="118"/>
      <c r="BE24" s="90">
        <f t="shared" si="63"/>
        <v>10704265</v>
      </c>
      <c r="BF24" s="119" t="s">
        <v>1096</v>
      </c>
      <c r="BG24" s="120">
        <f t="shared" si="64"/>
        <v>453933</v>
      </c>
      <c r="BH24" s="121" t="str">
        <f t="shared" si="65"/>
        <v>EBK38-0500-K-Q-YL-PE(S0576)</v>
      </c>
      <c r="BI24" s="122" t="str">
        <f t="shared" si="66"/>
        <v>05.08.2026</v>
      </c>
      <c r="BJ24" s="119" t="str">
        <f t="shared" si="67"/>
        <v>06:00:00</v>
      </c>
      <c r="BK24" s="122" t="str">
        <f t="shared" si="68"/>
        <v>05.08.2026</v>
      </c>
      <c r="BL24" s="119" t="str">
        <f t="shared" si="69"/>
        <v>18:00:00</v>
      </c>
      <c r="BM24" s="123">
        <f t="shared" si="70"/>
        <v>3252</v>
      </c>
      <c r="BN24" s="118">
        <v>0</v>
      </c>
      <c r="BO24" s="118" t="s">
        <v>1086</v>
      </c>
      <c r="BP24" s="118"/>
      <c r="BQ24" s="118" t="s">
        <v>1087</v>
      </c>
      <c r="BR24" s="124">
        <f t="shared" si="71"/>
        <v>10.433987341772154</v>
      </c>
      <c r="BS24" s="124" t="s">
        <v>1087</v>
      </c>
      <c r="BT24" s="124">
        <f t="shared" si="72"/>
        <v>10.433987341772154</v>
      </c>
      <c r="BU24" s="124" t="s">
        <v>1087</v>
      </c>
      <c r="BV24" s="124">
        <f t="shared" si="73"/>
        <v>10.433987341772154</v>
      </c>
      <c r="BW24" s="118" t="s">
        <v>1087</v>
      </c>
      <c r="BX24" s="118"/>
      <c r="BY24" s="118" t="s">
        <v>1087</v>
      </c>
      <c r="BZ24" s="118"/>
      <c r="CA24" s="118" t="s">
        <v>1087</v>
      </c>
      <c r="CB24" s="118"/>
      <c r="CC24" s="118"/>
      <c r="CD24" s="118"/>
      <c r="CE24" s="118"/>
      <c r="CF24" s="118"/>
      <c r="CG24" s="118"/>
      <c r="CH24" s="118">
        <v>712</v>
      </c>
      <c r="CI24" s="118"/>
      <c r="CJ24" s="118">
        <f t="shared" si="74"/>
        <v>10704265</v>
      </c>
      <c r="CK24" s="119" t="s">
        <v>1106</v>
      </c>
      <c r="CL24" s="120">
        <f t="shared" si="75"/>
        <v>453933</v>
      </c>
      <c r="CM24" s="121" t="str">
        <f t="shared" si="76"/>
        <v>EBK38-0500-K-Q-YL-PE(S0576)</v>
      </c>
      <c r="CN24" s="122" t="str">
        <f t="shared" si="77"/>
        <v>05.08.2026</v>
      </c>
      <c r="CO24" s="125" t="str">
        <f t="shared" si="78"/>
        <v>06:00:00</v>
      </c>
      <c r="CP24" s="122" t="str">
        <f t="shared" si="79"/>
        <v>05.08.2026</v>
      </c>
      <c r="CQ24" s="125" t="str">
        <f t="shared" si="80"/>
        <v>18:00:00</v>
      </c>
      <c r="CR24" s="123">
        <f t="shared" si="81"/>
        <v>2880</v>
      </c>
      <c r="CS24" s="126">
        <f t="shared" si="82"/>
        <v>372</v>
      </c>
      <c r="CT24" s="118" t="s">
        <v>1086</v>
      </c>
      <c r="CU24" s="118"/>
      <c r="CV24" s="118" t="s">
        <v>1087</v>
      </c>
      <c r="CW24" s="127"/>
      <c r="CX24" s="118" t="s">
        <v>1087</v>
      </c>
      <c r="CY24" s="127"/>
      <c r="CZ24" s="118" t="s">
        <v>1087</v>
      </c>
      <c r="DA24" s="127"/>
      <c r="DB24" s="118" t="s">
        <v>1087</v>
      </c>
      <c r="DC24" s="118"/>
      <c r="DD24" s="118" t="s">
        <v>1087</v>
      </c>
      <c r="DE24" s="118"/>
      <c r="DF24" s="118" t="s">
        <v>1087</v>
      </c>
      <c r="DG24" s="118"/>
      <c r="DH24" s="118"/>
      <c r="DI24" s="118"/>
      <c r="DJ24" s="118"/>
      <c r="DK24" s="118"/>
      <c r="DL24" s="118"/>
      <c r="DM24" s="62"/>
      <c r="DN24" s="90" t="str">
        <f t="shared" si="330"/>
        <v>KM16</v>
      </c>
      <c r="DO24" s="90" t="str">
        <f t="shared" si="331"/>
        <v>EBK38-0500-K-Q-YL-PE(S0576)</v>
      </c>
      <c r="DP24" s="128">
        <f t="shared" si="332"/>
        <v>3993.9622641509432</v>
      </c>
      <c r="DQ24" s="129">
        <f t="shared" si="333"/>
        <v>3608</v>
      </c>
      <c r="DR24" s="130">
        <f t="shared" si="334"/>
        <v>90.336356764928198</v>
      </c>
      <c r="DS24" s="131">
        <f t="shared" si="335"/>
        <v>14.7</v>
      </c>
      <c r="DT24" s="131">
        <f t="shared" si="336"/>
        <v>0.10314631339639058</v>
      </c>
      <c r="DU24" s="132">
        <f t="shared" si="337"/>
        <v>0</v>
      </c>
      <c r="DV24" s="133">
        <f t="shared" si="338"/>
        <v>0</v>
      </c>
      <c r="DW24" s="186">
        <f t="shared" si="339"/>
        <v>14.7</v>
      </c>
      <c r="DX24" s="187"/>
      <c r="DY24" s="134" t="str">
        <f t="shared" si="340"/>
        <v>Line mark &amp; b.dot.L.test.</v>
      </c>
      <c r="DZ24" s="15"/>
      <c r="EA24" s="15"/>
      <c r="EB24" s="15"/>
      <c r="EC24" s="15"/>
      <c r="ED24" s="15"/>
      <c r="EE24" s="15"/>
    </row>
    <row r="25" spans="1:135" s="74" customFormat="1" ht="33" customHeight="1">
      <c r="A25" s="188" t="s">
        <v>1410</v>
      </c>
      <c r="B25" s="100" t="s">
        <v>1329</v>
      </c>
      <c r="C25" s="90" t="s">
        <v>1423</v>
      </c>
      <c r="D25" s="101" t="str">
        <f>VLOOKUP(E25,'Reference Card '!A:E,5,FALSE)</f>
        <v>MARLEX6007</v>
      </c>
      <c r="E25" s="145">
        <v>573943</v>
      </c>
      <c r="F25" s="103" t="str">
        <f>VLOOKUP(E25,'[1]Reference Card '!A:B,2,FALSE)</f>
        <v>EBK38-2000-K-S-WH-PE(S2012)</v>
      </c>
      <c r="G25" s="104">
        <v>10702422</v>
      </c>
      <c r="H25" s="105" t="s">
        <v>1246</v>
      </c>
      <c r="I25" s="85">
        <f>VLOOKUP(E25,'[1]Reference Card '!A:C,3,FALSE)</f>
        <v>1</v>
      </c>
      <c r="J25" s="106">
        <f>VLOOKUP(E25,'[1]Reference Card '!A:H,8,FALSE)</f>
        <v>180</v>
      </c>
      <c r="K25" s="185">
        <f>VLOOKUP(E25,'[1]Reference Card '!A:F,6,FALSE)</f>
        <v>122</v>
      </c>
      <c r="L25" s="86">
        <v>1262</v>
      </c>
      <c r="M25" s="86">
        <v>20160</v>
      </c>
      <c r="N25" s="86">
        <v>315</v>
      </c>
      <c r="O25" s="86">
        <v>65</v>
      </c>
      <c r="P25" s="107">
        <f t="shared" ref="P25" si="341">L25*I25</f>
        <v>1262</v>
      </c>
      <c r="Q25" s="87">
        <v>1440</v>
      </c>
      <c r="R25" s="108">
        <f t="shared" ref="R25" si="342">(Q25*K25)/1000</f>
        <v>175.68</v>
      </c>
      <c r="S25" s="86">
        <v>15185</v>
      </c>
      <c r="T25" s="107">
        <f t="shared" ref="T25" si="343">IF(M25="Sample","-",IF(M25="RTFN","-",M25-S25))</f>
        <v>4975</v>
      </c>
      <c r="U25" s="109">
        <f t="shared" ref="U25" si="344">(P25*K25)/1000</f>
        <v>153.964</v>
      </c>
      <c r="V25" s="108">
        <f t="shared" si="325"/>
        <v>73.195999999999998</v>
      </c>
      <c r="W25" s="86">
        <v>0</v>
      </c>
      <c r="X25" s="110">
        <f t="shared" ref="X25" si="345">W25/U25</f>
        <v>0</v>
      </c>
      <c r="Y25" s="86">
        <v>8.6999999999999993</v>
      </c>
      <c r="Z25" s="111">
        <f t="shared" ref="Z25" si="346">Y25/U25</f>
        <v>5.6506715855654567E-2</v>
      </c>
      <c r="AA25" s="109">
        <v>33.799999999999997</v>
      </c>
      <c r="AB25" s="112">
        <f t="shared" ref="AB25" si="347">AA25/3600*L25</f>
        <v>11.848777777777777</v>
      </c>
      <c r="AC25" s="112">
        <v>35</v>
      </c>
      <c r="AD25" s="113"/>
      <c r="AE25" s="113"/>
      <c r="AF25" s="113"/>
      <c r="AG25" s="113"/>
      <c r="AH25" s="113"/>
      <c r="AI25" s="135"/>
      <c r="AJ25" s="114" t="s">
        <v>1437</v>
      </c>
      <c r="AK25" s="114"/>
      <c r="AL25" s="113"/>
      <c r="AM25" s="113"/>
      <c r="AN25" s="113"/>
      <c r="AO25" s="115">
        <f t="shared" si="102"/>
        <v>-38.346000000000004</v>
      </c>
      <c r="AP25" s="227" t="s">
        <v>1205</v>
      </c>
      <c r="AQ25" s="79" t="s">
        <v>1406</v>
      </c>
      <c r="AR25" s="189" t="s">
        <v>1089</v>
      </c>
      <c r="AS25" s="79" t="s">
        <v>1406</v>
      </c>
      <c r="AT25" s="189" t="s">
        <v>1090</v>
      </c>
      <c r="AU25" s="73">
        <f t="shared" si="55"/>
        <v>71.311475409836063</v>
      </c>
      <c r="AV25" s="116">
        <f t="shared" si="56"/>
        <v>1511.311475409836</v>
      </c>
      <c r="AW25" s="116">
        <f t="shared" si="57"/>
        <v>106.50887573964498</v>
      </c>
      <c r="AX25" s="73">
        <f t="shared" si="58"/>
        <v>14.189535519125682</v>
      </c>
      <c r="AY25" s="73">
        <f t="shared" si="59"/>
        <v>0</v>
      </c>
      <c r="AZ25" s="116">
        <f t="shared" si="60"/>
        <v>1440</v>
      </c>
      <c r="BA25" s="116">
        <f t="shared" si="61"/>
        <v>71.311475409836063</v>
      </c>
      <c r="BB25" s="117">
        <f t="shared" si="62"/>
        <v>4.9521857923497267E-2</v>
      </c>
      <c r="BC25" s="118">
        <v>712</v>
      </c>
      <c r="BD25" s="118"/>
      <c r="BE25" s="90">
        <f t="shared" si="63"/>
        <v>10702422</v>
      </c>
      <c r="BF25" s="119" t="s">
        <v>1096</v>
      </c>
      <c r="BG25" s="120">
        <f t="shared" si="64"/>
        <v>573943</v>
      </c>
      <c r="BH25" s="121" t="str">
        <f t="shared" si="65"/>
        <v>EBK38-2000-K-S-WH-PE(S2012)</v>
      </c>
      <c r="BI25" s="122" t="str">
        <f t="shared" si="66"/>
        <v>05.08.2026</v>
      </c>
      <c r="BJ25" s="119" t="str">
        <f t="shared" si="67"/>
        <v>06:00:00</v>
      </c>
      <c r="BK25" s="122" t="str">
        <f t="shared" si="68"/>
        <v>05.08.2026</v>
      </c>
      <c r="BL25" s="119" t="str">
        <f t="shared" si="69"/>
        <v>18:00:00</v>
      </c>
      <c r="BM25" s="123">
        <f t="shared" si="70"/>
        <v>1511</v>
      </c>
      <c r="BN25" s="118">
        <v>0</v>
      </c>
      <c r="BO25" s="118" t="s">
        <v>1086</v>
      </c>
      <c r="BP25" s="118"/>
      <c r="BQ25" s="118" t="s">
        <v>1087</v>
      </c>
      <c r="BR25" s="124">
        <f t="shared" si="71"/>
        <v>14.189535519125682</v>
      </c>
      <c r="BS25" s="124" t="s">
        <v>1087</v>
      </c>
      <c r="BT25" s="124">
        <f t="shared" si="72"/>
        <v>14.189535519125682</v>
      </c>
      <c r="BU25" s="124" t="s">
        <v>1087</v>
      </c>
      <c r="BV25" s="124">
        <f t="shared" si="73"/>
        <v>14.189535519125682</v>
      </c>
      <c r="BW25" s="118" t="s">
        <v>1087</v>
      </c>
      <c r="BX25" s="118"/>
      <c r="BY25" s="118" t="s">
        <v>1087</v>
      </c>
      <c r="BZ25" s="118"/>
      <c r="CA25" s="118" t="s">
        <v>1087</v>
      </c>
      <c r="CB25" s="118"/>
      <c r="CC25" s="118"/>
      <c r="CD25" s="118"/>
      <c r="CE25" s="118"/>
      <c r="CF25" s="118"/>
      <c r="CG25" s="118"/>
      <c r="CH25" s="118">
        <v>712</v>
      </c>
      <c r="CI25" s="118"/>
      <c r="CJ25" s="118">
        <f t="shared" si="74"/>
        <v>10702422</v>
      </c>
      <c r="CK25" s="119" t="s">
        <v>1106</v>
      </c>
      <c r="CL25" s="120">
        <f t="shared" si="75"/>
        <v>573943</v>
      </c>
      <c r="CM25" s="121" t="str">
        <f t="shared" si="76"/>
        <v>EBK38-2000-K-S-WH-PE(S2012)</v>
      </c>
      <c r="CN25" s="122" t="str">
        <f t="shared" si="77"/>
        <v>05.08.2026</v>
      </c>
      <c r="CO25" s="125" t="str">
        <f t="shared" si="78"/>
        <v>06:00:00</v>
      </c>
      <c r="CP25" s="122" t="str">
        <f t="shared" si="79"/>
        <v>05.08.2026</v>
      </c>
      <c r="CQ25" s="125" t="str">
        <f t="shared" si="80"/>
        <v>18:00:00</v>
      </c>
      <c r="CR25" s="123">
        <f t="shared" si="81"/>
        <v>1440</v>
      </c>
      <c r="CS25" s="126">
        <f t="shared" si="82"/>
        <v>71</v>
      </c>
      <c r="CT25" s="118" t="s">
        <v>1086</v>
      </c>
      <c r="CU25" s="118"/>
      <c r="CV25" s="118" t="s">
        <v>1087</v>
      </c>
      <c r="CW25" s="127"/>
      <c r="CX25" s="118" t="s">
        <v>1087</v>
      </c>
      <c r="CY25" s="127"/>
      <c r="CZ25" s="118" t="s">
        <v>1087</v>
      </c>
      <c r="DA25" s="127"/>
      <c r="DB25" s="118" t="s">
        <v>1087</v>
      </c>
      <c r="DC25" s="118"/>
      <c r="DD25" s="118" t="s">
        <v>1087</v>
      </c>
      <c r="DE25" s="118"/>
      <c r="DF25" s="118" t="s">
        <v>1087</v>
      </c>
      <c r="DG25" s="118"/>
      <c r="DH25" s="118"/>
      <c r="DI25" s="118"/>
      <c r="DJ25" s="118"/>
      <c r="DK25" s="118"/>
      <c r="DL25" s="118"/>
      <c r="DM25" s="62"/>
      <c r="DN25" s="90" t="str">
        <f t="shared" ref="DN25" si="348">B25</f>
        <v>KM17</v>
      </c>
      <c r="DO25" s="90" t="str">
        <f t="shared" ref="DO25" si="349">F25</f>
        <v>EBK38-2000-K-S-WH-PE(S2012)</v>
      </c>
      <c r="DP25" s="128">
        <f t="shared" ref="DP25" si="350">(3600/AC25)*I25*12*0.98</f>
        <v>1209.5999999999999</v>
      </c>
      <c r="DQ25" s="129">
        <f t="shared" ref="DQ25" si="351">P25</f>
        <v>1262</v>
      </c>
      <c r="DR25" s="130">
        <f t="shared" ref="DR25" si="352">DQ25/DP25*100</f>
        <v>104.33201058201058</v>
      </c>
      <c r="DS25" s="131">
        <f t="shared" ref="DS25" si="353">Y25</f>
        <v>8.6999999999999993</v>
      </c>
      <c r="DT25" s="131">
        <f t="shared" ref="DT25" si="354">Z25</f>
        <v>5.6506715855654567E-2</v>
      </c>
      <c r="DU25" s="132">
        <f t="shared" ref="DU25" si="355">SUM(AG25:AI25)</f>
        <v>0</v>
      </c>
      <c r="DV25" s="133">
        <f t="shared" ref="DV25" si="356">SUM(AD25:AF25)</f>
        <v>0</v>
      </c>
      <c r="DW25" s="261">
        <f t="shared" ref="DW25" si="357">Y25+W25+AM25+AN25/U25*100</f>
        <v>8.6999999999999993</v>
      </c>
      <c r="DX25" s="262"/>
      <c r="DY25" s="134" t="str">
        <f t="shared" ref="DY25" si="358">AJ25</f>
        <v>Black dot.L.test</v>
      </c>
      <c r="DZ25" s="15"/>
      <c r="EA25" s="15"/>
      <c r="EB25" s="15"/>
      <c r="EC25" s="15"/>
      <c r="ED25" s="15"/>
      <c r="EE25" s="15"/>
    </row>
    <row r="26" spans="1:135" s="74" customFormat="1" ht="33" customHeight="1">
      <c r="A26" s="188" t="s">
        <v>1410</v>
      </c>
      <c r="B26" s="100" t="s">
        <v>1341</v>
      </c>
      <c r="C26" s="90" t="s">
        <v>1378</v>
      </c>
      <c r="D26" s="101" t="str">
        <f>VLOOKUP(E26,'Reference Card '!A:E,5,FALSE)</f>
        <v>MARLEX6007</v>
      </c>
      <c r="E26" s="102">
        <v>618592</v>
      </c>
      <c r="F26" s="103" t="str">
        <f>VLOOKUP(E26,'[1]Reference Card '!A:B,2,FALSE)</f>
        <v xml:space="preserve">E22-0150-R-GY-HDPE </v>
      </c>
      <c r="G26" s="104">
        <v>10701479</v>
      </c>
      <c r="H26" s="105" t="s">
        <v>1246</v>
      </c>
      <c r="I26" s="85">
        <f>VLOOKUP(E26,'[1]Reference Card '!A:C,3,FALSE)</f>
        <v>4</v>
      </c>
      <c r="J26" s="106">
        <f>VLOOKUP(E26,'[1]Reference Card '!A:H,8,FALSE)</f>
        <v>26</v>
      </c>
      <c r="K26" s="106">
        <f>VLOOKUP(E26,'[1]Reference Card '!A:F,6,FALSE)</f>
        <v>15</v>
      </c>
      <c r="L26" s="86">
        <v>0</v>
      </c>
      <c r="M26" s="86">
        <v>43200</v>
      </c>
      <c r="N26" s="86">
        <v>0</v>
      </c>
      <c r="O26" s="86">
        <v>0</v>
      </c>
      <c r="P26" s="107">
        <f t="shared" ref="P26" si="359">L26*I26</f>
        <v>0</v>
      </c>
      <c r="Q26" s="87">
        <v>0</v>
      </c>
      <c r="R26" s="108">
        <f t="shared" ref="R26" si="360">(Q26*K26)/1000</f>
        <v>0</v>
      </c>
      <c r="S26" s="86">
        <v>0</v>
      </c>
      <c r="T26" s="149">
        <f t="shared" ref="T26" si="361">IF(M26="Sample","-",IF(M26="RTFN","-",M26-S26))</f>
        <v>43200</v>
      </c>
      <c r="U26" s="109">
        <f t="shared" ref="U26" si="362">(P26*K26)/1000</f>
        <v>0</v>
      </c>
      <c r="V26" s="108">
        <f t="shared" ref="V26:V37" si="363">(J26-K26)*P26/1000</f>
        <v>0</v>
      </c>
      <c r="W26" s="86">
        <v>18.600000000000001</v>
      </c>
      <c r="X26" s="110" t="e">
        <f t="shared" ref="X26" si="364">W26/U26</f>
        <v>#DIV/0!</v>
      </c>
      <c r="Y26" s="86">
        <v>0</v>
      </c>
      <c r="Z26" s="111" t="e">
        <f t="shared" ref="Z26" si="365">Y26/U26</f>
        <v>#DIV/0!</v>
      </c>
      <c r="AA26" s="109">
        <v>24.3</v>
      </c>
      <c r="AB26" s="112">
        <f t="shared" ref="AB26" si="366">AA26/3600*L26</f>
        <v>0</v>
      </c>
      <c r="AC26" s="112">
        <f>VLOOKUP(E26,'[2]Reference Card '!A:I,9,FALSE)</f>
        <v>25</v>
      </c>
      <c r="AD26" s="113"/>
      <c r="AE26" s="113"/>
      <c r="AF26" s="113"/>
      <c r="AG26" s="113"/>
      <c r="AH26" s="135">
        <v>12</v>
      </c>
      <c r="AI26" s="135"/>
      <c r="AJ26" s="229" t="s">
        <v>1408</v>
      </c>
      <c r="AK26" s="114"/>
      <c r="AL26" s="113"/>
      <c r="AM26" s="113">
        <v>5</v>
      </c>
      <c r="AN26" s="113"/>
      <c r="AO26" s="115">
        <f t="shared" si="102"/>
        <v>-23.6</v>
      </c>
      <c r="AP26" s="227" t="s">
        <v>1205</v>
      </c>
      <c r="AQ26" s="79" t="s">
        <v>1406</v>
      </c>
      <c r="AR26" s="189" t="s">
        <v>1089</v>
      </c>
      <c r="AS26" s="79" t="s">
        <v>1406</v>
      </c>
      <c r="AT26" s="189" t="s">
        <v>1090</v>
      </c>
      <c r="AU26" s="73">
        <f t="shared" si="55"/>
        <v>1573.3333333333333</v>
      </c>
      <c r="AV26" s="116">
        <f t="shared" si="56"/>
        <v>1573.3333333333333</v>
      </c>
      <c r="AW26" s="116">
        <f t="shared" si="57"/>
        <v>592.59259259259261</v>
      </c>
      <c r="AX26" s="73">
        <f t="shared" si="58"/>
        <v>14.654999999999999</v>
      </c>
      <c r="AY26" s="73">
        <f t="shared" si="59"/>
        <v>12</v>
      </c>
      <c r="AZ26" s="116">
        <f t="shared" si="60"/>
        <v>0</v>
      </c>
      <c r="BA26" s="116">
        <f t="shared" si="61"/>
        <v>1573.3333333333333</v>
      </c>
      <c r="BB26" s="117" t="e">
        <f t="shared" si="62"/>
        <v>#DIV/0!</v>
      </c>
      <c r="BC26" s="118">
        <v>712</v>
      </c>
      <c r="BD26" s="118"/>
      <c r="BE26" s="90">
        <f t="shared" si="63"/>
        <v>10701479</v>
      </c>
      <c r="BF26" s="119" t="s">
        <v>1096</v>
      </c>
      <c r="BG26" s="120">
        <f t="shared" si="64"/>
        <v>618592</v>
      </c>
      <c r="BH26" s="121" t="str">
        <f t="shared" si="65"/>
        <v xml:space="preserve">E22-0150-R-GY-HDPE </v>
      </c>
      <c r="BI26" s="122" t="str">
        <f t="shared" si="66"/>
        <v>05.08.2026</v>
      </c>
      <c r="BJ26" s="119" t="str">
        <f t="shared" si="67"/>
        <v>06:00:00</v>
      </c>
      <c r="BK26" s="122" t="str">
        <f t="shared" si="68"/>
        <v>05.08.2026</v>
      </c>
      <c r="BL26" s="119" t="str">
        <f t="shared" si="69"/>
        <v>18:00:00</v>
      </c>
      <c r="BM26" s="123">
        <f t="shared" si="70"/>
        <v>1573</v>
      </c>
      <c r="BN26" s="118">
        <v>0</v>
      </c>
      <c r="BO26" s="118" t="s">
        <v>1086</v>
      </c>
      <c r="BP26" s="118"/>
      <c r="BQ26" s="118" t="s">
        <v>1087</v>
      </c>
      <c r="BR26" s="124">
        <f t="shared" si="71"/>
        <v>14.654999999999999</v>
      </c>
      <c r="BS26" s="124" t="s">
        <v>1087</v>
      </c>
      <c r="BT26" s="124">
        <f t="shared" si="72"/>
        <v>14.654999999999999</v>
      </c>
      <c r="BU26" s="124" t="s">
        <v>1087</v>
      </c>
      <c r="BV26" s="124">
        <f t="shared" si="73"/>
        <v>14.654999999999999</v>
      </c>
      <c r="BW26" s="118" t="s">
        <v>1087</v>
      </c>
      <c r="BX26" s="118"/>
      <c r="BY26" s="118" t="s">
        <v>1087</v>
      </c>
      <c r="BZ26" s="118"/>
      <c r="CA26" s="118" t="s">
        <v>1087</v>
      </c>
      <c r="CB26" s="118"/>
      <c r="CC26" s="118"/>
      <c r="CD26" s="118"/>
      <c r="CE26" s="118"/>
      <c r="CF26" s="118"/>
      <c r="CG26" s="118"/>
      <c r="CH26" s="118">
        <v>712</v>
      </c>
      <c r="CI26" s="118"/>
      <c r="CJ26" s="118">
        <f t="shared" si="74"/>
        <v>10701479</v>
      </c>
      <c r="CK26" s="119" t="s">
        <v>1106</v>
      </c>
      <c r="CL26" s="120">
        <f t="shared" si="75"/>
        <v>618592</v>
      </c>
      <c r="CM26" s="121" t="str">
        <f t="shared" si="76"/>
        <v xml:space="preserve">E22-0150-R-GY-HDPE </v>
      </c>
      <c r="CN26" s="122" t="str">
        <f t="shared" si="77"/>
        <v>05.08.2026</v>
      </c>
      <c r="CO26" s="125" t="str">
        <f t="shared" si="78"/>
        <v>06:00:00</v>
      </c>
      <c r="CP26" s="122" t="str">
        <f t="shared" si="79"/>
        <v>05.08.2026</v>
      </c>
      <c r="CQ26" s="125" t="str">
        <f t="shared" si="80"/>
        <v>18:00:00</v>
      </c>
      <c r="CR26" s="123">
        <f t="shared" si="81"/>
        <v>0</v>
      </c>
      <c r="CS26" s="126">
        <f t="shared" si="82"/>
        <v>1573</v>
      </c>
      <c r="CT26" s="118" t="s">
        <v>1086</v>
      </c>
      <c r="CU26" s="118"/>
      <c r="CV26" s="118" t="s">
        <v>1087</v>
      </c>
      <c r="CW26" s="127"/>
      <c r="CX26" s="118" t="s">
        <v>1087</v>
      </c>
      <c r="CY26" s="127"/>
      <c r="CZ26" s="118" t="s">
        <v>1087</v>
      </c>
      <c r="DA26" s="127"/>
      <c r="DB26" s="118" t="s">
        <v>1087</v>
      </c>
      <c r="DC26" s="118"/>
      <c r="DD26" s="118" t="s">
        <v>1087</v>
      </c>
      <c r="DE26" s="118"/>
      <c r="DF26" s="118" t="s">
        <v>1087</v>
      </c>
      <c r="DG26" s="118"/>
      <c r="DH26" s="118"/>
      <c r="DI26" s="118"/>
      <c r="DJ26" s="118"/>
      <c r="DK26" s="118"/>
      <c r="DL26" s="118"/>
      <c r="DM26" s="62"/>
      <c r="DN26" s="90" t="str">
        <f t="shared" ref="DN26" si="367">B26</f>
        <v>KM25</v>
      </c>
      <c r="DO26" s="90" t="str">
        <f t="shared" ref="DO26" si="368">F26</f>
        <v xml:space="preserve">E22-0150-R-GY-HDPE </v>
      </c>
      <c r="DP26" s="128">
        <f t="shared" ref="DP26" si="369">(3600/AC26)*I26*12*0.98</f>
        <v>6773.76</v>
      </c>
      <c r="DQ26" s="129">
        <f t="shared" ref="DQ26" si="370">P26</f>
        <v>0</v>
      </c>
      <c r="DR26" s="130">
        <f t="shared" ref="DR26" si="371">DQ26/DP26*100</f>
        <v>0</v>
      </c>
      <c r="DS26" s="131">
        <f t="shared" ref="DS26" si="372">Y26</f>
        <v>0</v>
      </c>
      <c r="DT26" s="131" t="e">
        <f t="shared" ref="DT26" si="373">Z26</f>
        <v>#DIV/0!</v>
      </c>
      <c r="DU26" s="132">
        <f t="shared" ref="DU26" si="374">SUM(AG26:AI26)</f>
        <v>12</v>
      </c>
      <c r="DV26" s="133">
        <f t="shared" ref="DV26" si="375">SUM(AD26:AF26)</f>
        <v>0</v>
      </c>
      <c r="DW26" s="186" t="e">
        <f t="shared" ref="DW26" si="376">Y26+W26+AM26+AN26/U26*100</f>
        <v>#DIV/0!</v>
      </c>
      <c r="DX26" s="187"/>
      <c r="DY26" s="134" t="str">
        <f t="shared" ref="DY26" si="377">AJ26</f>
        <v>under tech.Top load out spec.</v>
      </c>
      <c r="DZ26" s="15"/>
      <c r="EA26" s="15"/>
      <c r="EB26" s="15"/>
      <c r="EC26" s="15"/>
      <c r="ED26" s="15"/>
      <c r="EE26" s="15"/>
    </row>
    <row r="27" spans="1:135" s="74" customFormat="1" ht="33" customHeight="1">
      <c r="A27" s="188" t="s">
        <v>1410</v>
      </c>
      <c r="B27" s="100" t="s">
        <v>1339</v>
      </c>
      <c r="C27" s="90" t="s">
        <v>1424</v>
      </c>
      <c r="D27" s="101" t="str">
        <f>VLOOKUP(E27,'Reference Card '!A:E,5,FALSE)</f>
        <v>MARLEX6007</v>
      </c>
      <c r="E27" s="102">
        <v>617192</v>
      </c>
      <c r="F27" s="103" t="str">
        <f>VLOOKUP(E27,'[1]Reference Card '!A:B,2,FALSE)</f>
        <v>EBK38-2017-K-S-BEIGE-HDPE</v>
      </c>
      <c r="G27" s="104">
        <v>10704222</v>
      </c>
      <c r="H27" s="105" t="s">
        <v>1246</v>
      </c>
      <c r="I27" s="85">
        <f>VLOOKUP(E27,'[1]Reference Card '!A:C,3,FALSE)</f>
        <v>1</v>
      </c>
      <c r="J27" s="106">
        <f>VLOOKUP(E27,'[1]Reference Card '!A:H,8,FALSE)</f>
        <v>139.80000000000001</v>
      </c>
      <c r="K27" s="106">
        <f>VLOOKUP(E27,'[1]Reference Card '!A:F,6,FALSE)</f>
        <v>103</v>
      </c>
      <c r="L27" s="86">
        <v>1217</v>
      </c>
      <c r="M27" s="86">
        <v>20328</v>
      </c>
      <c r="N27" s="86">
        <v>242</v>
      </c>
      <c r="O27" s="86">
        <v>396</v>
      </c>
      <c r="P27" s="107">
        <f t="shared" ref="P27" si="378">L27*I27</f>
        <v>1217</v>
      </c>
      <c r="Q27" s="87">
        <v>968</v>
      </c>
      <c r="R27" s="108">
        <f t="shared" ref="R27" si="379">(Q27*K27)/1000</f>
        <v>99.703999999999994</v>
      </c>
      <c r="S27" s="86">
        <v>8140</v>
      </c>
      <c r="T27" s="149">
        <f t="shared" ref="T27" si="380">IF(M27="Sample","-",IF(M27="RTFN","-",M27-S27))</f>
        <v>12188</v>
      </c>
      <c r="U27" s="109">
        <f t="shared" ref="U27" si="381">(P27*K27)/1000</f>
        <v>125.351</v>
      </c>
      <c r="V27" s="108">
        <f t="shared" si="363"/>
        <v>44.785600000000017</v>
      </c>
      <c r="W27" s="86">
        <v>0</v>
      </c>
      <c r="X27" s="110">
        <f t="shared" ref="X27" si="382">W27/U27</f>
        <v>0</v>
      </c>
      <c r="Y27" s="86">
        <v>9.8000000000000007</v>
      </c>
      <c r="Z27" s="111">
        <f t="shared" ref="Z27" si="383">Y27/U27</f>
        <v>7.8180469242367434E-2</v>
      </c>
      <c r="AA27" s="109">
        <v>33</v>
      </c>
      <c r="AB27" s="112">
        <f t="shared" ref="AB27" si="384">AA27/3600*L27</f>
        <v>11.155833333333334</v>
      </c>
      <c r="AC27" s="112">
        <f>VLOOKUP(E27,'[2]Reference Card '!A:I,9,FALSE)</f>
        <v>33</v>
      </c>
      <c r="AD27" s="113"/>
      <c r="AE27" s="113"/>
      <c r="AF27" s="113"/>
      <c r="AG27" s="113"/>
      <c r="AH27" s="135"/>
      <c r="AI27" s="135"/>
      <c r="AJ27" s="114" t="s">
        <v>1369</v>
      </c>
      <c r="AK27" s="114"/>
      <c r="AL27" s="113"/>
      <c r="AM27" s="113"/>
      <c r="AN27" s="113"/>
      <c r="AO27" s="115">
        <f t="shared" si="102"/>
        <v>-24.940999999999992</v>
      </c>
      <c r="AP27" s="227" t="s">
        <v>1205</v>
      </c>
      <c r="AQ27" s="79" t="s">
        <v>1406</v>
      </c>
      <c r="AR27" s="189" t="s">
        <v>1089</v>
      </c>
      <c r="AS27" s="79" t="s">
        <v>1406</v>
      </c>
      <c r="AT27" s="189" t="s">
        <v>1090</v>
      </c>
      <c r="AU27" s="73">
        <f t="shared" si="55"/>
        <v>95.145631067961162</v>
      </c>
      <c r="AV27" s="116">
        <f t="shared" si="56"/>
        <v>1063.1456310679612</v>
      </c>
      <c r="AW27" s="116">
        <f t="shared" si="57"/>
        <v>109.09090909090909</v>
      </c>
      <c r="AX27" s="73">
        <f t="shared" si="58"/>
        <v>9.7455016181229777</v>
      </c>
      <c r="AY27" s="73">
        <f t="shared" si="59"/>
        <v>0</v>
      </c>
      <c r="AZ27" s="116">
        <f t="shared" si="60"/>
        <v>968</v>
      </c>
      <c r="BA27" s="116">
        <f t="shared" si="61"/>
        <v>95.145631067961162</v>
      </c>
      <c r="BB27" s="117">
        <f t="shared" si="62"/>
        <v>9.8290941185910294E-2</v>
      </c>
      <c r="BC27" s="118">
        <v>712</v>
      </c>
      <c r="BD27" s="118"/>
      <c r="BE27" s="90">
        <f t="shared" si="63"/>
        <v>10704222</v>
      </c>
      <c r="BF27" s="119" t="s">
        <v>1096</v>
      </c>
      <c r="BG27" s="120">
        <f t="shared" si="64"/>
        <v>617192</v>
      </c>
      <c r="BH27" s="121" t="str">
        <f t="shared" si="65"/>
        <v>EBK38-2017-K-S-BEIGE-HDPE</v>
      </c>
      <c r="BI27" s="122" t="str">
        <f t="shared" si="66"/>
        <v>05.08.2026</v>
      </c>
      <c r="BJ27" s="119" t="str">
        <f t="shared" si="67"/>
        <v>06:00:00</v>
      </c>
      <c r="BK27" s="122" t="str">
        <f t="shared" si="68"/>
        <v>05.08.2026</v>
      </c>
      <c r="BL27" s="119" t="str">
        <f t="shared" si="69"/>
        <v>18:00:00</v>
      </c>
      <c r="BM27" s="123">
        <f t="shared" si="70"/>
        <v>1063</v>
      </c>
      <c r="BN27" s="118">
        <v>0</v>
      </c>
      <c r="BO27" s="118" t="s">
        <v>1086</v>
      </c>
      <c r="BP27" s="118"/>
      <c r="BQ27" s="118" t="s">
        <v>1087</v>
      </c>
      <c r="BR27" s="124">
        <f t="shared" si="71"/>
        <v>9.7455016181229777</v>
      </c>
      <c r="BS27" s="124" t="s">
        <v>1087</v>
      </c>
      <c r="BT27" s="124">
        <f t="shared" si="72"/>
        <v>9.7455016181229777</v>
      </c>
      <c r="BU27" s="124" t="s">
        <v>1087</v>
      </c>
      <c r="BV27" s="124">
        <f t="shared" si="73"/>
        <v>9.7455016181229777</v>
      </c>
      <c r="BW27" s="118" t="s">
        <v>1087</v>
      </c>
      <c r="BX27" s="118"/>
      <c r="BY27" s="118" t="s">
        <v>1087</v>
      </c>
      <c r="BZ27" s="118"/>
      <c r="CA27" s="118" t="s">
        <v>1087</v>
      </c>
      <c r="CB27" s="118"/>
      <c r="CC27" s="118"/>
      <c r="CD27" s="118"/>
      <c r="CE27" s="118"/>
      <c r="CF27" s="118"/>
      <c r="CG27" s="118"/>
      <c r="CH27" s="118">
        <v>712</v>
      </c>
      <c r="CI27" s="118"/>
      <c r="CJ27" s="118">
        <f t="shared" si="74"/>
        <v>10704222</v>
      </c>
      <c r="CK27" s="119" t="s">
        <v>1106</v>
      </c>
      <c r="CL27" s="120">
        <f t="shared" si="75"/>
        <v>617192</v>
      </c>
      <c r="CM27" s="121" t="str">
        <f t="shared" si="76"/>
        <v>EBK38-2017-K-S-BEIGE-HDPE</v>
      </c>
      <c r="CN27" s="122" t="str">
        <f t="shared" si="77"/>
        <v>05.08.2026</v>
      </c>
      <c r="CO27" s="125" t="str">
        <f t="shared" si="78"/>
        <v>06:00:00</v>
      </c>
      <c r="CP27" s="122" t="str">
        <f t="shared" si="79"/>
        <v>05.08.2026</v>
      </c>
      <c r="CQ27" s="125" t="str">
        <f t="shared" si="80"/>
        <v>18:00:00</v>
      </c>
      <c r="CR27" s="123">
        <f t="shared" si="81"/>
        <v>968</v>
      </c>
      <c r="CS27" s="126">
        <f t="shared" si="82"/>
        <v>95</v>
      </c>
      <c r="CT27" s="118" t="s">
        <v>1086</v>
      </c>
      <c r="CU27" s="118"/>
      <c r="CV27" s="118" t="s">
        <v>1087</v>
      </c>
      <c r="CW27" s="127"/>
      <c r="CX27" s="118" t="s">
        <v>1087</v>
      </c>
      <c r="CY27" s="127"/>
      <c r="CZ27" s="118" t="s">
        <v>1087</v>
      </c>
      <c r="DA27" s="127"/>
      <c r="DB27" s="118" t="s">
        <v>1087</v>
      </c>
      <c r="DC27" s="118"/>
      <c r="DD27" s="118" t="s">
        <v>1087</v>
      </c>
      <c r="DE27" s="118"/>
      <c r="DF27" s="118" t="s">
        <v>1087</v>
      </c>
      <c r="DG27" s="118"/>
      <c r="DH27" s="118"/>
      <c r="DI27" s="118"/>
      <c r="DJ27" s="118"/>
      <c r="DK27" s="118"/>
      <c r="DL27" s="118"/>
      <c r="DM27" s="62"/>
      <c r="DN27" s="90" t="str">
        <f t="shared" ref="DN27" si="385">B27</f>
        <v>KM26</v>
      </c>
      <c r="DO27" s="90" t="str">
        <f t="shared" ref="DO27" si="386">F27</f>
        <v>EBK38-2017-K-S-BEIGE-HDPE</v>
      </c>
      <c r="DP27" s="128">
        <f t="shared" ref="DP27" si="387">(3600/AC27)*I27*12*0.98</f>
        <v>1282.9090909090908</v>
      </c>
      <c r="DQ27" s="129">
        <f t="shared" ref="DQ27" si="388">P27</f>
        <v>1217</v>
      </c>
      <c r="DR27" s="130">
        <f t="shared" ref="DR27" si="389">DQ27/DP27*100</f>
        <v>94.862528344671219</v>
      </c>
      <c r="DS27" s="131">
        <f t="shared" ref="DS27" si="390">Y27</f>
        <v>9.8000000000000007</v>
      </c>
      <c r="DT27" s="131">
        <f t="shared" ref="DT27" si="391">Z27</f>
        <v>7.8180469242367434E-2</v>
      </c>
      <c r="DU27" s="132">
        <f t="shared" ref="DU27" si="392">SUM(AG27:AI27)</f>
        <v>0</v>
      </c>
      <c r="DV27" s="133">
        <f t="shared" ref="DV27" si="393">SUM(AD27:AF27)</f>
        <v>0</v>
      </c>
      <c r="DW27" s="186">
        <f t="shared" ref="DW27" si="394">Y27+W27+AM27+AN27/U27*100</f>
        <v>9.8000000000000007</v>
      </c>
      <c r="DX27" s="187"/>
      <c r="DY27" s="134" t="str">
        <f t="shared" ref="DY27" si="395">AJ27</f>
        <v>Line mark &amp; black dot.l.test</v>
      </c>
      <c r="DZ27" s="15"/>
      <c r="EA27" s="15"/>
      <c r="EB27" s="15"/>
      <c r="EC27" s="15"/>
      <c r="ED27" s="15"/>
      <c r="EE27" s="15"/>
    </row>
    <row r="28" spans="1:135" s="74" customFormat="1" ht="33" customHeight="1">
      <c r="A28" s="188" t="s">
        <v>1410</v>
      </c>
      <c r="B28" s="100" t="s">
        <v>1340</v>
      </c>
      <c r="C28" s="90" t="s">
        <v>1425</v>
      </c>
      <c r="D28" s="101" t="str">
        <f>VLOOKUP(E28,'Reference Card '!A:E,5,FALSE)</f>
        <v>SM398</v>
      </c>
      <c r="E28" s="102">
        <v>606524</v>
      </c>
      <c r="F28" s="103" t="str">
        <f>VLOOKUP(E28,'[1]Reference Card '!A:B,2,FALSE)</f>
        <v>C35-R/S-F.TOP D.CHOC W SEAL 2.0 (ASEM)</v>
      </c>
      <c r="G28" s="104">
        <v>10704266</v>
      </c>
      <c r="H28" s="105" t="s">
        <v>1246</v>
      </c>
      <c r="I28" s="85">
        <f>VLOOKUP(E28,'[1]Reference Card '!A:C,3,FALSE)</f>
        <v>12</v>
      </c>
      <c r="J28" s="106">
        <f>VLOOKUP(E28,'[1]Reference Card '!A:H,8,FALSE)</f>
        <v>5.86</v>
      </c>
      <c r="K28" s="106">
        <f>VLOOKUP(E28,'[1]Reference Card '!A:F,6,FALSE)</f>
        <v>5.86</v>
      </c>
      <c r="L28" s="86">
        <v>1247</v>
      </c>
      <c r="M28" s="86">
        <v>170000</v>
      </c>
      <c r="N28" s="86">
        <v>13600</v>
      </c>
      <c r="O28" s="86">
        <v>27200</v>
      </c>
      <c r="P28" s="107">
        <f t="shared" ref="P28" si="396">L28*I28</f>
        <v>14964</v>
      </c>
      <c r="Q28" s="87">
        <v>0</v>
      </c>
      <c r="R28" s="108">
        <f t="shared" ref="R28" si="397">(Q28*K28)/1000</f>
        <v>0</v>
      </c>
      <c r="S28" s="86">
        <v>95200</v>
      </c>
      <c r="T28" s="149">
        <f t="shared" ref="T28" si="398">IF(M28="Sample","-",IF(M28="RTFN","-",M28-S28))</f>
        <v>74800</v>
      </c>
      <c r="U28" s="109">
        <f t="shared" ref="U28" si="399">(P28*K28)/1000</f>
        <v>87.689040000000006</v>
      </c>
      <c r="V28" s="108">
        <f t="shared" si="363"/>
        <v>0</v>
      </c>
      <c r="W28" s="86">
        <v>0</v>
      </c>
      <c r="X28" s="110">
        <f t="shared" ref="X28" si="400">W28/U28</f>
        <v>0</v>
      </c>
      <c r="Y28" s="86">
        <v>8.1999999999999993</v>
      </c>
      <c r="Z28" s="111">
        <f t="shared" ref="Z28" si="401">Y28/U28</f>
        <v>9.3512256491803294E-2</v>
      </c>
      <c r="AA28" s="109">
        <v>32.5</v>
      </c>
      <c r="AB28" s="112">
        <f t="shared" ref="AB28" si="402">AA28/3600*L28</f>
        <v>11.257638888888888</v>
      </c>
      <c r="AC28" s="112">
        <f>VLOOKUP(E28,'[2]Reference Card '!A:I,9,FALSE)</f>
        <v>29.04</v>
      </c>
      <c r="AD28" s="113"/>
      <c r="AE28" s="113"/>
      <c r="AF28" s="113"/>
      <c r="AG28" s="113"/>
      <c r="AH28" s="135"/>
      <c r="AI28" s="135"/>
      <c r="AJ28" s="114" t="s">
        <v>1430</v>
      </c>
      <c r="AK28" s="114"/>
      <c r="AL28" s="113"/>
      <c r="AM28" s="113"/>
      <c r="AN28" s="113"/>
      <c r="AO28" s="115">
        <f t="shared" si="102"/>
        <v>-79.902959999999993</v>
      </c>
      <c r="AP28" s="227" t="s">
        <v>1205</v>
      </c>
      <c r="AQ28" s="79" t="s">
        <v>1406</v>
      </c>
      <c r="AR28" s="189" t="s">
        <v>1089</v>
      </c>
      <c r="AS28" s="79" t="s">
        <v>1406</v>
      </c>
      <c r="AT28" s="189" t="s">
        <v>1090</v>
      </c>
      <c r="AU28" s="73">
        <f t="shared" si="55"/>
        <v>1399.3174061433447</v>
      </c>
      <c r="AV28" s="116">
        <f t="shared" si="56"/>
        <v>1399.3174061433447</v>
      </c>
      <c r="AW28" s="116">
        <f t="shared" si="57"/>
        <v>1329.2307692307693</v>
      </c>
      <c r="AX28" s="73">
        <f t="shared" si="58"/>
        <v>1.0527272152698772</v>
      </c>
      <c r="AY28" s="73">
        <f t="shared" si="59"/>
        <v>0</v>
      </c>
      <c r="AZ28" s="116">
        <f t="shared" si="60"/>
        <v>0</v>
      </c>
      <c r="BA28" s="116">
        <f t="shared" si="61"/>
        <v>1399.3174061433447</v>
      </c>
      <c r="BB28" s="117" t="e">
        <f t="shared" si="62"/>
        <v>#DIV/0!</v>
      </c>
      <c r="BC28" s="118">
        <v>712</v>
      </c>
      <c r="BD28" s="118"/>
      <c r="BE28" s="90">
        <f t="shared" si="63"/>
        <v>10704266</v>
      </c>
      <c r="BF28" s="119" t="s">
        <v>1096</v>
      </c>
      <c r="BG28" s="120">
        <f t="shared" si="64"/>
        <v>606524</v>
      </c>
      <c r="BH28" s="121" t="str">
        <f t="shared" si="65"/>
        <v>C35-R/S-F.TOP D.CHOC W SEAL 2.0 (ASEM)</v>
      </c>
      <c r="BI28" s="122" t="str">
        <f t="shared" si="66"/>
        <v>05.08.2026</v>
      </c>
      <c r="BJ28" s="119" t="str">
        <f t="shared" si="67"/>
        <v>06:00:00</v>
      </c>
      <c r="BK28" s="122" t="str">
        <f t="shared" si="68"/>
        <v>05.08.2026</v>
      </c>
      <c r="BL28" s="119" t="str">
        <f t="shared" si="69"/>
        <v>18:00:00</v>
      </c>
      <c r="BM28" s="123">
        <f t="shared" si="70"/>
        <v>1399</v>
      </c>
      <c r="BN28" s="118">
        <v>0</v>
      </c>
      <c r="BO28" s="118" t="s">
        <v>1086</v>
      </c>
      <c r="BP28" s="118"/>
      <c r="BQ28" s="118" t="s">
        <v>1087</v>
      </c>
      <c r="BR28" s="124">
        <f t="shared" si="71"/>
        <v>1.0527272152698772</v>
      </c>
      <c r="BS28" s="124" t="s">
        <v>1087</v>
      </c>
      <c r="BT28" s="124">
        <f t="shared" si="72"/>
        <v>1.0527272152698772</v>
      </c>
      <c r="BU28" s="124" t="s">
        <v>1087</v>
      </c>
      <c r="BV28" s="124">
        <f t="shared" si="73"/>
        <v>1.0527272152698772</v>
      </c>
      <c r="BW28" s="118" t="s">
        <v>1087</v>
      </c>
      <c r="BX28" s="118"/>
      <c r="BY28" s="118" t="s">
        <v>1087</v>
      </c>
      <c r="BZ28" s="118"/>
      <c r="CA28" s="118" t="s">
        <v>1087</v>
      </c>
      <c r="CB28" s="118"/>
      <c r="CC28" s="118"/>
      <c r="CD28" s="118"/>
      <c r="CE28" s="118"/>
      <c r="CF28" s="118"/>
      <c r="CG28" s="118"/>
      <c r="CH28" s="118">
        <v>712</v>
      </c>
      <c r="CI28" s="118"/>
      <c r="CJ28" s="118">
        <f t="shared" si="74"/>
        <v>10704266</v>
      </c>
      <c r="CK28" s="119" t="s">
        <v>1106</v>
      </c>
      <c r="CL28" s="120">
        <f t="shared" si="75"/>
        <v>606524</v>
      </c>
      <c r="CM28" s="121" t="str">
        <f t="shared" si="76"/>
        <v>C35-R/S-F.TOP D.CHOC W SEAL 2.0 (ASEM)</v>
      </c>
      <c r="CN28" s="122" t="str">
        <f t="shared" si="77"/>
        <v>05.08.2026</v>
      </c>
      <c r="CO28" s="125" t="str">
        <f t="shared" si="78"/>
        <v>06:00:00</v>
      </c>
      <c r="CP28" s="122" t="str">
        <f t="shared" si="79"/>
        <v>05.08.2026</v>
      </c>
      <c r="CQ28" s="125" t="str">
        <f t="shared" si="80"/>
        <v>18:00:00</v>
      </c>
      <c r="CR28" s="123">
        <f t="shared" si="81"/>
        <v>0</v>
      </c>
      <c r="CS28" s="126">
        <f t="shared" si="82"/>
        <v>1399</v>
      </c>
      <c r="CT28" s="118" t="s">
        <v>1086</v>
      </c>
      <c r="CU28" s="118"/>
      <c r="CV28" s="118" t="s">
        <v>1087</v>
      </c>
      <c r="CW28" s="127"/>
      <c r="CX28" s="118" t="s">
        <v>1087</v>
      </c>
      <c r="CY28" s="127"/>
      <c r="CZ28" s="118" t="s">
        <v>1087</v>
      </c>
      <c r="DA28" s="127"/>
      <c r="DB28" s="118" t="s">
        <v>1087</v>
      </c>
      <c r="DC28" s="118"/>
      <c r="DD28" s="118" t="s">
        <v>1087</v>
      </c>
      <c r="DE28" s="118"/>
      <c r="DF28" s="118" t="s">
        <v>1087</v>
      </c>
      <c r="DG28" s="118"/>
      <c r="DH28" s="118"/>
      <c r="DI28" s="118"/>
      <c r="DJ28" s="118"/>
      <c r="DK28" s="118"/>
      <c r="DL28" s="118"/>
      <c r="DM28" s="62"/>
      <c r="DN28" s="90" t="str">
        <f t="shared" ref="DN28" si="403">B28</f>
        <v>B3</v>
      </c>
      <c r="DO28" s="90" t="str">
        <f t="shared" ref="DO28" si="404">F28</f>
        <v>C35-R/S-F.TOP D.CHOC W SEAL 2.0 (ASEM)</v>
      </c>
      <c r="DP28" s="128">
        <f t="shared" ref="DP28" si="405">(3600/AC28)*I28*12*0.98</f>
        <v>17494.21487603306</v>
      </c>
      <c r="DQ28" s="129">
        <f t="shared" ref="DQ28" si="406">P28</f>
        <v>14964</v>
      </c>
      <c r="DR28" s="130">
        <f t="shared" ref="DR28" si="407">DQ28/DP28*100</f>
        <v>85.53684807256235</v>
      </c>
      <c r="DS28" s="131">
        <f t="shared" ref="DS28" si="408">Y28</f>
        <v>8.1999999999999993</v>
      </c>
      <c r="DT28" s="131">
        <f t="shared" ref="DT28" si="409">Z28</f>
        <v>9.3512256491803294E-2</v>
      </c>
      <c r="DU28" s="132">
        <f t="shared" ref="DU28" si="410">SUM(AG28:AI28)</f>
        <v>0</v>
      </c>
      <c r="DV28" s="133">
        <f t="shared" ref="DV28" si="411">SUM(AD28:AF28)</f>
        <v>0</v>
      </c>
      <c r="DW28" s="186">
        <f t="shared" ref="DW28" si="412">Y28+W28+AM28+AN28/U28*100</f>
        <v>8.1999999999999993</v>
      </c>
      <c r="DX28" s="187"/>
      <c r="DY28" s="134" t="str">
        <f t="shared" ref="DY28" si="413">AJ28</f>
        <v>Uncapping &amp; Shot moulding.</v>
      </c>
      <c r="DZ28" s="15"/>
      <c r="EA28" s="15"/>
      <c r="EB28" s="15"/>
      <c r="EC28" s="15"/>
      <c r="ED28" s="15"/>
      <c r="EE28" s="15"/>
    </row>
    <row r="29" spans="1:135" s="74" customFormat="1" ht="33" customHeight="1">
      <c r="A29" s="188" t="s">
        <v>1410</v>
      </c>
      <c r="B29" s="100" t="s">
        <v>1343</v>
      </c>
      <c r="C29" s="90" t="s">
        <v>1426</v>
      </c>
      <c r="D29" s="101" t="str">
        <f>VLOOKUP(E29,'Reference Card '!A:E,5,FALSE)</f>
        <v>SM398</v>
      </c>
      <c r="E29" s="102">
        <v>665673</v>
      </c>
      <c r="F29" s="103" t="str">
        <f>VLOOKUP(E29,'[1]Reference Card '!A:B,2,FALSE)</f>
        <v>C32- TOP CAP-RED-KKM</v>
      </c>
      <c r="G29" s="104">
        <v>10703863</v>
      </c>
      <c r="H29" s="105" t="s">
        <v>1246</v>
      </c>
      <c r="I29" s="85">
        <f>VLOOKUP(E29,'[1]Reference Card '!A:C,3,FALSE)</f>
        <v>8</v>
      </c>
      <c r="J29" s="106">
        <f>VLOOKUP(E29,'[1]Reference Card '!A:H,8,FALSE)</f>
        <v>2.1</v>
      </c>
      <c r="K29" s="106">
        <f>VLOOKUP(E29,'[1]Reference Card '!A:F,6,FALSE)</f>
        <v>2.1</v>
      </c>
      <c r="L29" s="86">
        <v>1896</v>
      </c>
      <c r="M29" s="86">
        <v>360000</v>
      </c>
      <c r="N29" s="86">
        <v>39000</v>
      </c>
      <c r="O29" s="86">
        <v>9000</v>
      </c>
      <c r="P29" s="107">
        <f t="shared" ref="P29" si="414">L29*I29</f>
        <v>15168</v>
      </c>
      <c r="Q29" s="87">
        <v>15000</v>
      </c>
      <c r="R29" s="108">
        <f t="shared" ref="R29" si="415">(Q29*K29)/1000</f>
        <v>31.5</v>
      </c>
      <c r="S29" s="86">
        <v>144880</v>
      </c>
      <c r="T29" s="149">
        <f t="shared" ref="T29" si="416">IF(M29="Sample","-",IF(M29="RTFN","-",M29-S29))</f>
        <v>215120</v>
      </c>
      <c r="U29" s="109">
        <f t="shared" ref="U29" si="417">(P29*K29)/1000</f>
        <v>31.852800000000002</v>
      </c>
      <c r="V29" s="108">
        <f t="shared" si="363"/>
        <v>0</v>
      </c>
      <c r="W29" s="86">
        <v>0</v>
      </c>
      <c r="X29" s="110">
        <f t="shared" ref="X29" si="418">W29/U29</f>
        <v>0</v>
      </c>
      <c r="Y29" s="86">
        <v>0.5</v>
      </c>
      <c r="Z29" s="111">
        <f t="shared" ref="Z29" si="419">Y29/U29</f>
        <v>1.5697207152903354E-2</v>
      </c>
      <c r="AA29" s="109">
        <v>22.7</v>
      </c>
      <c r="AB29" s="112">
        <f t="shared" ref="AB29" si="420">AA29/3600*L29</f>
        <v>11.955333333333334</v>
      </c>
      <c r="AC29" s="112">
        <f>VLOOKUP(E29,'[2]Reference Card '!A:I,9,FALSE)</f>
        <v>20</v>
      </c>
      <c r="AD29" s="113"/>
      <c r="AE29" s="113"/>
      <c r="AF29" s="113"/>
      <c r="AG29" s="113"/>
      <c r="AH29" s="135"/>
      <c r="AI29" s="135"/>
      <c r="AJ29" s="114" t="s">
        <v>1431</v>
      </c>
      <c r="AK29" s="114"/>
      <c r="AL29" s="113"/>
      <c r="AM29" s="113">
        <v>5</v>
      </c>
      <c r="AN29" s="113"/>
      <c r="AO29" s="115">
        <f>(U29-R29-W29-Y29-AM29-AN29)-(N70*K29/1000)</f>
        <v>-5.147199999999998</v>
      </c>
      <c r="AP29" s="227" t="s">
        <v>1205</v>
      </c>
      <c r="AQ29" s="79" t="s">
        <v>1406</v>
      </c>
      <c r="AR29" s="189" t="s">
        <v>1089</v>
      </c>
      <c r="AS29" s="79" t="s">
        <v>1406</v>
      </c>
      <c r="AT29" s="189" t="s">
        <v>1090</v>
      </c>
      <c r="AU29" s="73">
        <f t="shared" si="55"/>
        <v>2619.0476190476188</v>
      </c>
      <c r="AV29" s="116">
        <f t="shared" si="56"/>
        <v>17619.047619047618</v>
      </c>
      <c r="AW29" s="116">
        <f t="shared" si="57"/>
        <v>1268.7224669603524</v>
      </c>
      <c r="AX29" s="73">
        <f t="shared" si="58"/>
        <v>13.887235449735449</v>
      </c>
      <c r="AY29" s="73">
        <f t="shared" si="59"/>
        <v>0</v>
      </c>
      <c r="AZ29" s="116">
        <f t="shared" si="60"/>
        <v>15000</v>
      </c>
      <c r="BA29" s="116">
        <f t="shared" si="61"/>
        <v>2619.0476190476188</v>
      </c>
      <c r="BB29" s="117">
        <f t="shared" si="62"/>
        <v>0.17460317460317459</v>
      </c>
      <c r="BC29" s="118">
        <v>712</v>
      </c>
      <c r="BD29" s="118"/>
      <c r="BE29" s="90">
        <f t="shared" si="63"/>
        <v>10703863</v>
      </c>
      <c r="BF29" s="119" t="s">
        <v>1096</v>
      </c>
      <c r="BG29" s="120">
        <f t="shared" si="64"/>
        <v>665673</v>
      </c>
      <c r="BH29" s="121" t="str">
        <f t="shared" si="65"/>
        <v>C32- TOP CAP-RED-KKM</v>
      </c>
      <c r="BI29" s="122" t="str">
        <f t="shared" si="66"/>
        <v>05.08.2026</v>
      </c>
      <c r="BJ29" s="119" t="str">
        <f t="shared" si="67"/>
        <v>06:00:00</v>
      </c>
      <c r="BK29" s="122" t="str">
        <f t="shared" si="68"/>
        <v>05.08.2026</v>
      </c>
      <c r="BL29" s="119" t="str">
        <f t="shared" si="69"/>
        <v>18:00:00</v>
      </c>
      <c r="BM29" s="123">
        <f t="shared" si="70"/>
        <v>17619</v>
      </c>
      <c r="BN29" s="118">
        <v>0</v>
      </c>
      <c r="BO29" s="118" t="s">
        <v>1086</v>
      </c>
      <c r="BP29" s="118"/>
      <c r="BQ29" s="118" t="s">
        <v>1087</v>
      </c>
      <c r="BR29" s="124">
        <f t="shared" si="71"/>
        <v>13.887235449735449</v>
      </c>
      <c r="BS29" s="124" t="s">
        <v>1087</v>
      </c>
      <c r="BT29" s="124">
        <f t="shared" si="72"/>
        <v>13.887235449735449</v>
      </c>
      <c r="BU29" s="124" t="s">
        <v>1087</v>
      </c>
      <c r="BV29" s="124">
        <f t="shared" si="73"/>
        <v>13.887235449735449</v>
      </c>
      <c r="BW29" s="118" t="s">
        <v>1087</v>
      </c>
      <c r="BX29" s="118"/>
      <c r="BY29" s="118" t="s">
        <v>1087</v>
      </c>
      <c r="BZ29" s="118"/>
      <c r="CA29" s="118" t="s">
        <v>1087</v>
      </c>
      <c r="CB29" s="118"/>
      <c r="CC29" s="118"/>
      <c r="CD29" s="118"/>
      <c r="CE29" s="118"/>
      <c r="CF29" s="118"/>
      <c r="CG29" s="118"/>
      <c r="CH29" s="118">
        <v>712</v>
      </c>
      <c r="CI29" s="118"/>
      <c r="CJ29" s="118">
        <f t="shared" si="74"/>
        <v>10703863</v>
      </c>
      <c r="CK29" s="119" t="s">
        <v>1106</v>
      </c>
      <c r="CL29" s="120">
        <f t="shared" si="75"/>
        <v>665673</v>
      </c>
      <c r="CM29" s="121" t="str">
        <f t="shared" si="76"/>
        <v>C32- TOP CAP-RED-KKM</v>
      </c>
      <c r="CN29" s="122" t="str">
        <f t="shared" si="77"/>
        <v>05.08.2026</v>
      </c>
      <c r="CO29" s="125" t="str">
        <f t="shared" si="78"/>
        <v>06:00:00</v>
      </c>
      <c r="CP29" s="122" t="str">
        <f t="shared" si="79"/>
        <v>05.08.2026</v>
      </c>
      <c r="CQ29" s="125" t="str">
        <f t="shared" si="80"/>
        <v>18:00:00</v>
      </c>
      <c r="CR29" s="123">
        <f t="shared" si="81"/>
        <v>15000</v>
      </c>
      <c r="CS29" s="126">
        <f t="shared" si="82"/>
        <v>2619</v>
      </c>
      <c r="CT29" s="118" t="s">
        <v>1086</v>
      </c>
      <c r="CU29" s="118"/>
      <c r="CV29" s="118" t="s">
        <v>1087</v>
      </c>
      <c r="CW29" s="127"/>
      <c r="CX29" s="118" t="s">
        <v>1087</v>
      </c>
      <c r="CY29" s="127"/>
      <c r="CZ29" s="118" t="s">
        <v>1087</v>
      </c>
      <c r="DA29" s="127"/>
      <c r="DB29" s="118" t="s">
        <v>1087</v>
      </c>
      <c r="DC29" s="118"/>
      <c r="DD29" s="118" t="s">
        <v>1087</v>
      </c>
      <c r="DE29" s="118"/>
      <c r="DF29" s="118" t="s">
        <v>1087</v>
      </c>
      <c r="DG29" s="118"/>
      <c r="DH29" s="118"/>
      <c r="DI29" s="118"/>
      <c r="DJ29" s="118"/>
      <c r="DK29" s="118"/>
      <c r="DL29" s="118"/>
      <c r="DM29" s="62"/>
      <c r="DN29" s="90" t="str">
        <f t="shared" ref="DN29" si="421">B29</f>
        <v>H1</v>
      </c>
      <c r="DO29" s="90" t="str">
        <f t="shared" ref="DO29" si="422">F29</f>
        <v>C32- TOP CAP-RED-KKM</v>
      </c>
      <c r="DP29" s="128">
        <f t="shared" ref="DP29" si="423">(3600/AC29)*I29*12*0.98</f>
        <v>16934.400000000001</v>
      </c>
      <c r="DQ29" s="129">
        <f t="shared" ref="DQ29" si="424">P29</f>
        <v>15168</v>
      </c>
      <c r="DR29" s="130">
        <f t="shared" ref="DR29" si="425">DQ29/DP29*100</f>
        <v>89.569160997732425</v>
      </c>
      <c r="DS29" s="131">
        <f t="shared" ref="DS29" si="426">Y29</f>
        <v>0.5</v>
      </c>
      <c r="DT29" s="131">
        <f t="shared" ref="DT29" si="427">Z29</f>
        <v>1.5697207152903354E-2</v>
      </c>
      <c r="DU29" s="132">
        <f t="shared" ref="DU29" si="428">SUM(AG29:AI29)</f>
        <v>0</v>
      </c>
      <c r="DV29" s="133">
        <f t="shared" ref="DV29" si="429">SUM(AD29:AF29)</f>
        <v>0</v>
      </c>
      <c r="DW29" s="186">
        <f t="shared" ref="DW29" si="430">Y29+W29+AM29+AN29/U29*100</f>
        <v>5.5</v>
      </c>
      <c r="DX29" s="187"/>
      <c r="DY29" s="134" t="str">
        <f t="shared" ref="DY29" si="431">AJ29</f>
        <v>Oily mark.</v>
      </c>
      <c r="DZ29" s="15"/>
      <c r="EA29" s="15"/>
      <c r="EB29" s="15"/>
      <c r="EC29" s="15"/>
      <c r="ED29" s="15"/>
      <c r="EE29" s="15"/>
    </row>
    <row r="30" spans="1:135" s="74" customFormat="1" ht="33" customHeight="1">
      <c r="A30" s="188" t="s">
        <v>1410</v>
      </c>
      <c r="B30" s="100" t="s">
        <v>1335</v>
      </c>
      <c r="C30" s="90" t="s">
        <v>1379</v>
      </c>
      <c r="D30" s="101" t="str">
        <f>VLOOKUP(E30,'Reference Card '!A:E,5,FALSE)</f>
        <v>SM840</v>
      </c>
      <c r="E30" s="102">
        <v>621407</v>
      </c>
      <c r="F30" s="103" t="str">
        <f>VLOOKUP(E30,'[1]Reference Card '!A:B,2,FALSE)</f>
        <v>T-0226-BR-HERS-PP</v>
      </c>
      <c r="G30" s="104">
        <v>10702665</v>
      </c>
      <c r="H30" s="105" t="s">
        <v>1246</v>
      </c>
      <c r="I30" s="85">
        <v>1</v>
      </c>
      <c r="J30" s="185">
        <f>VLOOKUP(E30,'[1]Reference Card '!A:H,8,FALSE)</f>
        <v>27.8</v>
      </c>
      <c r="K30" s="185">
        <f>VLOOKUP(E30,'[1]Reference Card '!A:F,6,FALSE)</f>
        <v>27.8</v>
      </c>
      <c r="L30" s="86">
        <v>2162</v>
      </c>
      <c r="M30" s="86">
        <v>75040</v>
      </c>
      <c r="N30" s="86">
        <v>420</v>
      </c>
      <c r="O30" s="86">
        <v>280</v>
      </c>
      <c r="P30" s="107">
        <f t="shared" ref="P30" si="432">L30*I30</f>
        <v>2162</v>
      </c>
      <c r="Q30" s="87">
        <v>2240</v>
      </c>
      <c r="R30" s="108">
        <f t="shared" ref="R30" si="433">(Q30*K30)/1000</f>
        <v>62.271999999999998</v>
      </c>
      <c r="S30" s="86">
        <v>27160</v>
      </c>
      <c r="T30" s="107">
        <v>72800</v>
      </c>
      <c r="U30" s="109">
        <f t="shared" ref="U30" si="434">(P30*K30)/1000</f>
        <v>60.1036</v>
      </c>
      <c r="V30" s="108">
        <f t="shared" ref="V30" si="435">(J30-K30)*P30/1000</f>
        <v>0</v>
      </c>
      <c r="W30" s="86">
        <v>0</v>
      </c>
      <c r="X30" s="110">
        <v>5.6000000000000001E-2</v>
      </c>
      <c r="Y30" s="86">
        <v>0.6</v>
      </c>
      <c r="Z30" s="111">
        <f t="shared" ref="Z30" si="436">Y30/U30</f>
        <v>9.9827630957213878E-3</v>
      </c>
      <c r="AA30" s="109">
        <v>20</v>
      </c>
      <c r="AB30" s="112">
        <f t="shared" ref="AB30" si="437">AA30/3600*L30</f>
        <v>12.011111111111111</v>
      </c>
      <c r="AC30" s="112">
        <f>VLOOKUP(E30,'[2]Reference Card '!A:I,9,FALSE)</f>
        <v>17.8</v>
      </c>
      <c r="AD30" s="113"/>
      <c r="AE30" s="113"/>
      <c r="AF30" s="113"/>
      <c r="AG30" s="113"/>
      <c r="AH30" s="113"/>
      <c r="AI30" s="135"/>
      <c r="AJ30" s="229" t="s">
        <v>1394</v>
      </c>
      <c r="AK30" s="114"/>
      <c r="AL30" s="113"/>
      <c r="AM30" s="113"/>
      <c r="AN30" s="113"/>
      <c r="AO30" s="115">
        <f t="shared" ref="AO30:AO36" si="438">(U30-R30-W30-Y30-AM30-AN30)-(N72*K30/1000)</f>
        <v>-2.7683999999999984</v>
      </c>
      <c r="AP30" s="227" t="s">
        <v>1205</v>
      </c>
      <c r="AQ30" s="79" t="s">
        <v>1406</v>
      </c>
      <c r="AR30" s="189" t="s">
        <v>1089</v>
      </c>
      <c r="AS30" s="79" t="s">
        <v>1406</v>
      </c>
      <c r="AT30" s="189" t="s">
        <v>1090</v>
      </c>
      <c r="AU30" s="73">
        <f t="shared" si="55"/>
        <v>21.582733812949641</v>
      </c>
      <c r="AV30" s="116">
        <f t="shared" si="56"/>
        <v>2261.5827338129498</v>
      </c>
      <c r="AW30" s="116">
        <f t="shared" si="57"/>
        <v>180</v>
      </c>
      <c r="AX30" s="73">
        <f t="shared" si="58"/>
        <v>12.564348521183055</v>
      </c>
      <c r="AY30" s="73">
        <f t="shared" si="59"/>
        <v>0</v>
      </c>
      <c r="AZ30" s="116">
        <f t="shared" si="60"/>
        <v>2240</v>
      </c>
      <c r="BA30" s="116">
        <f t="shared" si="61"/>
        <v>21.582733812949641</v>
      </c>
      <c r="BB30" s="117">
        <f t="shared" si="62"/>
        <v>9.6351490236382328E-3</v>
      </c>
      <c r="BC30" s="118">
        <v>712</v>
      </c>
      <c r="BD30" s="118"/>
      <c r="BE30" s="90">
        <f t="shared" si="63"/>
        <v>10702665</v>
      </c>
      <c r="BF30" s="119" t="s">
        <v>1096</v>
      </c>
      <c r="BG30" s="120">
        <f t="shared" si="64"/>
        <v>621407</v>
      </c>
      <c r="BH30" s="121" t="str">
        <f t="shared" si="65"/>
        <v>T-0226-BR-HERS-PP</v>
      </c>
      <c r="BI30" s="122" t="str">
        <f t="shared" si="66"/>
        <v>05.08.2026</v>
      </c>
      <c r="BJ30" s="119" t="str">
        <f t="shared" si="67"/>
        <v>06:00:00</v>
      </c>
      <c r="BK30" s="122" t="str">
        <f t="shared" si="68"/>
        <v>05.08.2026</v>
      </c>
      <c r="BL30" s="119" t="str">
        <f t="shared" si="69"/>
        <v>18:00:00</v>
      </c>
      <c r="BM30" s="123">
        <f t="shared" si="70"/>
        <v>2261</v>
      </c>
      <c r="BN30" s="118">
        <v>0</v>
      </c>
      <c r="BO30" s="118" t="s">
        <v>1086</v>
      </c>
      <c r="BP30" s="118"/>
      <c r="BQ30" s="118" t="s">
        <v>1087</v>
      </c>
      <c r="BR30" s="124">
        <f t="shared" si="71"/>
        <v>12.564348521183055</v>
      </c>
      <c r="BS30" s="124" t="s">
        <v>1087</v>
      </c>
      <c r="BT30" s="124">
        <f t="shared" si="72"/>
        <v>12.564348521183055</v>
      </c>
      <c r="BU30" s="124" t="s">
        <v>1087</v>
      </c>
      <c r="BV30" s="124">
        <f t="shared" si="73"/>
        <v>12.564348521183055</v>
      </c>
      <c r="BW30" s="118" t="s">
        <v>1087</v>
      </c>
      <c r="BX30" s="118"/>
      <c r="BY30" s="118" t="s">
        <v>1087</v>
      </c>
      <c r="BZ30" s="118"/>
      <c r="CA30" s="118" t="s">
        <v>1087</v>
      </c>
      <c r="CB30" s="118"/>
      <c r="CC30" s="118"/>
      <c r="CD30" s="118"/>
      <c r="CE30" s="118"/>
      <c r="CF30" s="118"/>
      <c r="CG30" s="118"/>
      <c r="CH30" s="118">
        <v>712</v>
      </c>
      <c r="CI30" s="118"/>
      <c r="CJ30" s="118">
        <f t="shared" si="74"/>
        <v>10702665</v>
      </c>
      <c r="CK30" s="119" t="s">
        <v>1106</v>
      </c>
      <c r="CL30" s="120">
        <f t="shared" si="75"/>
        <v>621407</v>
      </c>
      <c r="CM30" s="121" t="str">
        <f t="shared" si="76"/>
        <v>T-0226-BR-HERS-PP</v>
      </c>
      <c r="CN30" s="122" t="str">
        <f t="shared" si="77"/>
        <v>05.08.2026</v>
      </c>
      <c r="CO30" s="125" t="str">
        <f t="shared" si="78"/>
        <v>06:00:00</v>
      </c>
      <c r="CP30" s="122" t="str">
        <f t="shared" si="79"/>
        <v>05.08.2026</v>
      </c>
      <c r="CQ30" s="125" t="str">
        <f t="shared" si="80"/>
        <v>18:00:00</v>
      </c>
      <c r="CR30" s="123">
        <f t="shared" si="81"/>
        <v>2240</v>
      </c>
      <c r="CS30" s="126">
        <f t="shared" si="82"/>
        <v>21</v>
      </c>
      <c r="CT30" s="118" t="s">
        <v>1086</v>
      </c>
      <c r="CU30" s="118"/>
      <c r="CV30" s="118" t="s">
        <v>1087</v>
      </c>
      <c r="CW30" s="127"/>
      <c r="CX30" s="118" t="s">
        <v>1087</v>
      </c>
      <c r="CY30" s="127"/>
      <c r="CZ30" s="118" t="s">
        <v>1087</v>
      </c>
      <c r="DA30" s="127"/>
      <c r="DB30" s="118" t="s">
        <v>1087</v>
      </c>
      <c r="DC30" s="118"/>
      <c r="DD30" s="118" t="s">
        <v>1087</v>
      </c>
      <c r="DE30" s="118"/>
      <c r="DF30" s="118" t="s">
        <v>1087</v>
      </c>
      <c r="DG30" s="118"/>
      <c r="DH30" s="118"/>
      <c r="DI30" s="118"/>
      <c r="DJ30" s="118"/>
      <c r="DK30" s="118"/>
      <c r="DL30" s="118"/>
      <c r="DM30" s="62"/>
      <c r="DN30" s="90" t="str">
        <f t="shared" ref="DN30" si="439">B30</f>
        <v>SM5</v>
      </c>
      <c r="DO30" s="90" t="str">
        <f t="shared" ref="DO30" si="440">F30</f>
        <v>T-0226-BR-HERS-PP</v>
      </c>
      <c r="DP30" s="128">
        <f t="shared" ref="DP30" si="441">(3600/AC30)*I30*12*0.98</f>
        <v>2378.4269662921347</v>
      </c>
      <c r="DQ30" s="129">
        <f t="shared" ref="DQ30" si="442">P30</f>
        <v>2162</v>
      </c>
      <c r="DR30" s="130">
        <f t="shared" ref="DR30" si="443">DQ30/DP30*100</f>
        <v>90.900415721844297</v>
      </c>
      <c r="DS30" s="131">
        <f t="shared" ref="DS30" si="444">Y30</f>
        <v>0.6</v>
      </c>
      <c r="DT30" s="131">
        <f t="shared" ref="DT30" si="445">Z30</f>
        <v>9.9827630957213878E-3</v>
      </c>
      <c r="DU30" s="132">
        <f t="shared" ref="DU30" si="446">SUM(AG30:AI30)</f>
        <v>0</v>
      </c>
      <c r="DV30" s="133">
        <f t="shared" ref="DV30" si="447">SUM(AD30:AF30)</f>
        <v>0</v>
      </c>
      <c r="DW30" s="261">
        <f t="shared" ref="DW30" si="448">Y30+W30+AM30+AN30/U30*100</f>
        <v>0.6</v>
      </c>
      <c r="DX30" s="262"/>
      <c r="DY30" s="134" t="str">
        <f t="shared" ref="DY30" si="449">AJ30</f>
        <v>Run well.</v>
      </c>
      <c r="DZ30" s="15"/>
      <c r="EA30" s="15"/>
      <c r="EB30" s="15"/>
      <c r="EC30" s="15"/>
      <c r="ED30" s="15"/>
      <c r="EE30" s="15"/>
    </row>
    <row r="31" spans="1:135" s="74" customFormat="1" ht="33" customHeight="1">
      <c r="A31" s="188" t="s">
        <v>1410</v>
      </c>
      <c r="B31" s="100" t="s">
        <v>1336</v>
      </c>
      <c r="C31" s="90" t="s">
        <v>1427</v>
      </c>
      <c r="D31" s="101" t="str">
        <f>VLOOKUP(E31,'Reference Card '!A:E,5,FALSE)</f>
        <v>LLDPE6101 / HDPE6178</v>
      </c>
      <c r="E31" s="102">
        <v>665674</v>
      </c>
      <c r="F31" s="103" t="s">
        <v>1332</v>
      </c>
      <c r="G31" s="104">
        <v>10703862</v>
      </c>
      <c r="H31" s="105" t="s">
        <v>1246</v>
      </c>
      <c r="I31" s="85">
        <f>VLOOKUP(E31,'[1]Reference Card '!A:C,3,FALSE)</f>
        <v>8</v>
      </c>
      <c r="J31" s="106">
        <f>VLOOKUP(E31,'[1]Reference Card '!A:H,8,FALSE)</f>
        <v>3.8010000000000002</v>
      </c>
      <c r="K31" s="106">
        <f>VLOOKUP(E31,'[1]Reference Card '!A:F,6,FALSE)</f>
        <v>3.8010000000000002</v>
      </c>
      <c r="L31" s="86">
        <v>1352</v>
      </c>
      <c r="M31" s="86">
        <v>360000</v>
      </c>
      <c r="N31" s="86">
        <v>6000</v>
      </c>
      <c r="O31" s="86">
        <v>4000</v>
      </c>
      <c r="P31" s="107">
        <f t="shared" ref="P31" si="450">L31*I31</f>
        <v>10816</v>
      </c>
      <c r="Q31" s="87">
        <v>10000</v>
      </c>
      <c r="R31" s="108">
        <f t="shared" ref="R31:R35" si="451">(Q31*K31)/1000</f>
        <v>38.01</v>
      </c>
      <c r="S31" s="86">
        <v>128770</v>
      </c>
      <c r="T31" s="107">
        <f t="shared" ref="T31:T35" si="452">IF(M31="Sample","-",IF(M31="RTFN","-",M31-S31))</f>
        <v>231230</v>
      </c>
      <c r="U31" s="109">
        <f t="shared" ref="U31:U35" si="453">(P31*K31)/1000</f>
        <v>41.111616000000005</v>
      </c>
      <c r="V31" s="108">
        <f t="shared" si="363"/>
        <v>0</v>
      </c>
      <c r="W31" s="86">
        <v>0</v>
      </c>
      <c r="X31" s="110">
        <f t="shared" ref="X31:X35" si="454">W31/U31</f>
        <v>0</v>
      </c>
      <c r="Y31" s="86">
        <v>0.26</v>
      </c>
      <c r="Z31" s="111">
        <f t="shared" ref="Z31:Z35" si="455">Y31/U31</f>
        <v>6.3242466557383676E-3</v>
      </c>
      <c r="AA31" s="109">
        <v>31.6</v>
      </c>
      <c r="AB31" s="112">
        <f t="shared" ref="AB31:AB35" si="456">AA31/3600*L31</f>
        <v>11.867555555555557</v>
      </c>
      <c r="AC31" s="112">
        <v>29</v>
      </c>
      <c r="AD31" s="113"/>
      <c r="AE31" s="113"/>
      <c r="AF31" s="113"/>
      <c r="AG31" s="113"/>
      <c r="AH31" s="113"/>
      <c r="AI31" s="135"/>
      <c r="AJ31" s="114" t="s">
        <v>1372</v>
      </c>
      <c r="AK31" s="114"/>
      <c r="AL31" s="113"/>
      <c r="AM31" s="113"/>
      <c r="AN31" s="113"/>
      <c r="AO31" s="115">
        <f t="shared" si="438"/>
        <v>2.8416160000000072</v>
      </c>
      <c r="AP31" s="227" t="s">
        <v>1205</v>
      </c>
      <c r="AQ31" s="79" t="s">
        <v>1406</v>
      </c>
      <c r="AR31" s="189" t="s">
        <v>1089</v>
      </c>
      <c r="AS31" s="79" t="s">
        <v>1406</v>
      </c>
      <c r="AT31" s="189" t="s">
        <v>1090</v>
      </c>
      <c r="AU31" s="73">
        <f t="shared" si="55"/>
        <v>68.403051828466189</v>
      </c>
      <c r="AV31" s="116">
        <f t="shared" si="56"/>
        <v>10068.403051828465</v>
      </c>
      <c r="AW31" s="116">
        <f t="shared" si="57"/>
        <v>911.39240506329111</v>
      </c>
      <c r="AX31" s="73">
        <f t="shared" si="58"/>
        <v>11.047275570756232</v>
      </c>
      <c r="AY31" s="73">
        <f t="shared" si="59"/>
        <v>0</v>
      </c>
      <c r="AZ31" s="116">
        <f t="shared" si="60"/>
        <v>10000</v>
      </c>
      <c r="BA31" s="116">
        <f t="shared" si="61"/>
        <v>68.403051828466189</v>
      </c>
      <c r="BB31" s="117">
        <f t="shared" si="62"/>
        <v>6.8403051828466186E-3</v>
      </c>
      <c r="BC31" s="118">
        <v>712</v>
      </c>
      <c r="BD31" s="118"/>
      <c r="BE31" s="90">
        <f t="shared" si="63"/>
        <v>10703862</v>
      </c>
      <c r="BF31" s="119" t="s">
        <v>1096</v>
      </c>
      <c r="BG31" s="120">
        <f t="shared" si="64"/>
        <v>665674</v>
      </c>
      <c r="BH31" s="121" t="str">
        <f t="shared" si="65"/>
        <v>C32-BOTTOM CAP-RED-KKM</v>
      </c>
      <c r="BI31" s="122" t="str">
        <f t="shared" si="66"/>
        <v>05.08.2026</v>
      </c>
      <c r="BJ31" s="119" t="str">
        <f t="shared" si="67"/>
        <v>06:00:00</v>
      </c>
      <c r="BK31" s="122" t="str">
        <f t="shared" si="68"/>
        <v>05.08.2026</v>
      </c>
      <c r="BL31" s="119" t="str">
        <f t="shared" si="69"/>
        <v>18:00:00</v>
      </c>
      <c r="BM31" s="123">
        <f t="shared" si="70"/>
        <v>10068</v>
      </c>
      <c r="BN31" s="118">
        <v>0</v>
      </c>
      <c r="BO31" s="118" t="s">
        <v>1086</v>
      </c>
      <c r="BP31" s="118"/>
      <c r="BQ31" s="118" t="s">
        <v>1087</v>
      </c>
      <c r="BR31" s="124">
        <f t="shared" si="71"/>
        <v>11.047275570756232</v>
      </c>
      <c r="BS31" s="124" t="s">
        <v>1087</v>
      </c>
      <c r="BT31" s="124">
        <f t="shared" si="72"/>
        <v>11.047275570756232</v>
      </c>
      <c r="BU31" s="124" t="s">
        <v>1087</v>
      </c>
      <c r="BV31" s="124">
        <f t="shared" si="73"/>
        <v>11.047275570756232</v>
      </c>
      <c r="BW31" s="118" t="s">
        <v>1087</v>
      </c>
      <c r="BX31" s="118"/>
      <c r="BY31" s="118" t="s">
        <v>1087</v>
      </c>
      <c r="BZ31" s="118"/>
      <c r="CA31" s="118" t="s">
        <v>1087</v>
      </c>
      <c r="CB31" s="118"/>
      <c r="CC31" s="118"/>
      <c r="CD31" s="118"/>
      <c r="CE31" s="118"/>
      <c r="CF31" s="118"/>
      <c r="CG31" s="118"/>
      <c r="CH31" s="118">
        <v>712</v>
      </c>
      <c r="CI31" s="118"/>
      <c r="CJ31" s="118">
        <f t="shared" si="74"/>
        <v>10703862</v>
      </c>
      <c r="CK31" s="119" t="s">
        <v>1106</v>
      </c>
      <c r="CL31" s="120">
        <f t="shared" si="75"/>
        <v>665674</v>
      </c>
      <c r="CM31" s="121" t="str">
        <f t="shared" si="76"/>
        <v>C32-BOTTOM CAP-RED-KKM</v>
      </c>
      <c r="CN31" s="122" t="str">
        <f t="shared" si="77"/>
        <v>05.08.2026</v>
      </c>
      <c r="CO31" s="125" t="str">
        <f t="shared" si="78"/>
        <v>06:00:00</v>
      </c>
      <c r="CP31" s="122" t="str">
        <f t="shared" si="79"/>
        <v>05.08.2026</v>
      </c>
      <c r="CQ31" s="125" t="str">
        <f t="shared" si="80"/>
        <v>18:00:00</v>
      </c>
      <c r="CR31" s="123">
        <f t="shared" si="81"/>
        <v>10000</v>
      </c>
      <c r="CS31" s="126">
        <f t="shared" si="82"/>
        <v>68</v>
      </c>
      <c r="CT31" s="118" t="s">
        <v>1086</v>
      </c>
      <c r="CU31" s="118"/>
      <c r="CV31" s="118" t="s">
        <v>1087</v>
      </c>
      <c r="CW31" s="127"/>
      <c r="CX31" s="118" t="s">
        <v>1087</v>
      </c>
      <c r="CY31" s="127"/>
      <c r="CZ31" s="118" t="s">
        <v>1087</v>
      </c>
      <c r="DA31" s="127"/>
      <c r="DB31" s="118" t="s">
        <v>1087</v>
      </c>
      <c r="DC31" s="118"/>
      <c r="DD31" s="118" t="s">
        <v>1087</v>
      </c>
      <c r="DE31" s="118"/>
      <c r="DF31" s="118" t="s">
        <v>1087</v>
      </c>
      <c r="DG31" s="118"/>
      <c r="DH31" s="118"/>
      <c r="DI31" s="118"/>
      <c r="DJ31" s="118"/>
      <c r="DK31" s="118"/>
      <c r="DL31" s="118"/>
      <c r="DM31" s="62"/>
      <c r="DN31" s="90" t="str">
        <f t="shared" ref="DN31:DN35" si="457">B31</f>
        <v>Y1</v>
      </c>
      <c r="DO31" s="90" t="str">
        <f t="shared" ref="DO31:DO35" si="458">F31</f>
        <v>C32-BOTTOM CAP-RED-KKM</v>
      </c>
      <c r="DP31" s="128">
        <f t="shared" ref="DP31:DP35" si="459">(3600/AC31)*I31*12*0.98</f>
        <v>11678.896551724138</v>
      </c>
      <c r="DQ31" s="129">
        <f t="shared" ref="DQ31:DQ35" si="460">P31</f>
        <v>10816</v>
      </c>
      <c r="DR31" s="130">
        <f t="shared" ref="DR31:DR35" si="461">DQ31/DP31*100</f>
        <v>92.611489040060462</v>
      </c>
      <c r="DS31" s="131">
        <f t="shared" ref="DS31:DS35" si="462">Y31</f>
        <v>0.26</v>
      </c>
      <c r="DT31" s="131">
        <f t="shared" ref="DT31:DT35" si="463">Z31</f>
        <v>6.3242466557383676E-3</v>
      </c>
      <c r="DU31" s="132">
        <f t="shared" ref="DU31:DU35" si="464">SUM(AG31:AI31)</f>
        <v>0</v>
      </c>
      <c r="DV31" s="133">
        <f t="shared" ref="DV31:DV35" si="465">SUM(AD31:AF31)</f>
        <v>0</v>
      </c>
      <c r="DW31" s="261">
        <f t="shared" ref="DW31:DW35" si="466">Y31+W31+AM31+AN31/U31*100</f>
        <v>0.26</v>
      </c>
      <c r="DX31" s="262"/>
      <c r="DY31" s="134" t="str">
        <f t="shared" ref="DY31:DY35" si="467">AJ31</f>
        <v>Oily mark &amp; pull ring broken</v>
      </c>
      <c r="DZ31" s="15"/>
      <c r="EA31" s="15"/>
      <c r="EB31" s="15"/>
      <c r="EC31" s="15"/>
      <c r="ED31" s="15"/>
      <c r="EE31" s="15"/>
    </row>
    <row r="32" spans="1:135" s="74" customFormat="1" ht="33" customHeight="1">
      <c r="A32" s="188" t="s">
        <v>1410</v>
      </c>
      <c r="B32" s="100" t="s">
        <v>1342</v>
      </c>
      <c r="C32" s="90" t="s">
        <v>1427</v>
      </c>
      <c r="D32" s="101" t="str">
        <f>VLOOKUP(E32,'Reference Card '!A:E,5,FALSE)</f>
        <v>PET PF CAN</v>
      </c>
      <c r="E32" s="102">
        <v>588637</v>
      </c>
      <c r="F32" s="103" t="str">
        <f>VLOOKUP(E32,'[1]Reference Card '!A:B,2,FALSE)</f>
        <v>PF-JK57-24-82-KEKO</v>
      </c>
      <c r="G32" s="104">
        <v>10703599</v>
      </c>
      <c r="H32" s="105" t="s">
        <v>1246</v>
      </c>
      <c r="I32" s="85">
        <f>VLOOKUP(E32,'[1]Reference Card '!A:C,3,FALSE)</f>
        <v>6</v>
      </c>
      <c r="J32" s="106">
        <f>VLOOKUP(E32,'[1]Reference Card '!A:H,8,FALSE)</f>
        <v>24.6</v>
      </c>
      <c r="K32" s="106">
        <f>VLOOKUP(E32,'[1]Reference Card '!A:F,6,FALSE)</f>
        <v>24.6</v>
      </c>
      <c r="L32" s="86">
        <v>1326</v>
      </c>
      <c r="M32" s="86">
        <v>144000</v>
      </c>
      <c r="N32" s="86">
        <v>193500</v>
      </c>
      <c r="O32" s="86">
        <v>201000</v>
      </c>
      <c r="P32" s="107">
        <f t="shared" ref="P32" si="468">L32*I32</f>
        <v>7956</v>
      </c>
      <c r="Q32" s="87">
        <v>7500</v>
      </c>
      <c r="R32" s="108">
        <f t="shared" ref="R32" si="469">(Q32*K32)/1000</f>
        <v>184.5</v>
      </c>
      <c r="S32" s="86">
        <v>134970</v>
      </c>
      <c r="T32" s="149">
        <f t="shared" ref="T32" si="470">IF(M32="Sample","-",IF(M32="RTFN","-",M32-S32))</f>
        <v>9030</v>
      </c>
      <c r="U32" s="109">
        <f t="shared" ref="U32" si="471">(P32*K32)/1000</f>
        <v>195.7176</v>
      </c>
      <c r="V32" s="108">
        <f t="shared" si="363"/>
        <v>0</v>
      </c>
      <c r="W32" s="86">
        <v>0</v>
      </c>
      <c r="X32" s="110">
        <f t="shared" ref="X32" si="472">W32/U32</f>
        <v>0</v>
      </c>
      <c r="Y32" s="86">
        <v>0.15</v>
      </c>
      <c r="Z32" s="111">
        <f t="shared" ref="Z32" si="473">Y32/U32</f>
        <v>7.6641037903591705E-4</v>
      </c>
      <c r="AA32" s="109">
        <v>32.200000000000003</v>
      </c>
      <c r="AB32" s="112">
        <f t="shared" ref="AB32" si="474">AA32/3600*L32</f>
        <v>11.860333333333335</v>
      </c>
      <c r="AC32" s="112">
        <f>VLOOKUP(E32,'[2]Reference Card '!A:I,9,FALSE)</f>
        <v>26</v>
      </c>
      <c r="AD32" s="113"/>
      <c r="AE32" s="113"/>
      <c r="AF32" s="113"/>
      <c r="AG32" s="113"/>
      <c r="AH32" s="135"/>
      <c r="AI32" s="135"/>
      <c r="AJ32" s="114" t="s">
        <v>1394</v>
      </c>
      <c r="AK32" s="114"/>
      <c r="AL32" s="113"/>
      <c r="AM32" s="113">
        <v>8</v>
      </c>
      <c r="AN32" s="113">
        <v>4</v>
      </c>
      <c r="AO32" s="115">
        <f t="shared" si="438"/>
        <v>-0.9323999999999959</v>
      </c>
      <c r="AP32" s="227" t="s">
        <v>1205</v>
      </c>
      <c r="AQ32" s="79" t="s">
        <v>1406</v>
      </c>
      <c r="AR32" s="189" t="s">
        <v>1089</v>
      </c>
      <c r="AS32" s="79" t="s">
        <v>1406</v>
      </c>
      <c r="AT32" s="189" t="s">
        <v>1090</v>
      </c>
      <c r="AU32" s="73">
        <f t="shared" si="55"/>
        <v>493.90243902439022</v>
      </c>
      <c r="AV32" s="116">
        <f t="shared" si="56"/>
        <v>7993.9024390243903</v>
      </c>
      <c r="AW32" s="116">
        <f t="shared" si="57"/>
        <v>670.80745341614897</v>
      </c>
      <c r="AX32" s="73">
        <f t="shared" si="58"/>
        <v>11.916836043360435</v>
      </c>
      <c r="AY32" s="73">
        <f t="shared" si="59"/>
        <v>0</v>
      </c>
      <c r="AZ32" s="116">
        <f t="shared" si="60"/>
        <v>7500</v>
      </c>
      <c r="BA32" s="116">
        <f t="shared" si="61"/>
        <v>493.90243902439022</v>
      </c>
      <c r="BB32" s="117">
        <f t="shared" si="62"/>
        <v>6.5853658536585369E-2</v>
      </c>
      <c r="BC32" s="118">
        <v>712</v>
      </c>
      <c r="BD32" s="118"/>
      <c r="BE32" s="90">
        <f t="shared" si="63"/>
        <v>10703599</v>
      </c>
      <c r="BF32" s="119" t="s">
        <v>1096</v>
      </c>
      <c r="BG32" s="120">
        <f t="shared" si="64"/>
        <v>588637</v>
      </c>
      <c r="BH32" s="121" t="str">
        <f t="shared" si="65"/>
        <v>PF-JK57-24-82-KEKO</v>
      </c>
      <c r="BI32" s="122" t="str">
        <f t="shared" si="66"/>
        <v>05.08.2026</v>
      </c>
      <c r="BJ32" s="119" t="str">
        <f t="shared" si="67"/>
        <v>06:00:00</v>
      </c>
      <c r="BK32" s="122" t="str">
        <f t="shared" si="68"/>
        <v>05.08.2026</v>
      </c>
      <c r="BL32" s="119" t="str">
        <f t="shared" si="69"/>
        <v>18:00:00</v>
      </c>
      <c r="BM32" s="123">
        <f t="shared" si="70"/>
        <v>7993</v>
      </c>
      <c r="BN32" s="118">
        <v>0</v>
      </c>
      <c r="BO32" s="118" t="s">
        <v>1086</v>
      </c>
      <c r="BP32" s="118"/>
      <c r="BQ32" s="118" t="s">
        <v>1087</v>
      </c>
      <c r="BR32" s="124">
        <f t="shared" si="71"/>
        <v>11.916836043360435</v>
      </c>
      <c r="BS32" s="124" t="s">
        <v>1087</v>
      </c>
      <c r="BT32" s="124">
        <f t="shared" si="72"/>
        <v>11.916836043360435</v>
      </c>
      <c r="BU32" s="124" t="s">
        <v>1087</v>
      </c>
      <c r="BV32" s="124">
        <f t="shared" si="73"/>
        <v>11.916836043360435</v>
      </c>
      <c r="BW32" s="118" t="s">
        <v>1087</v>
      </c>
      <c r="BX32" s="118"/>
      <c r="BY32" s="118" t="s">
        <v>1087</v>
      </c>
      <c r="BZ32" s="118"/>
      <c r="CA32" s="118" t="s">
        <v>1087</v>
      </c>
      <c r="CB32" s="118"/>
      <c r="CC32" s="118"/>
      <c r="CD32" s="118"/>
      <c r="CE32" s="118"/>
      <c r="CF32" s="118"/>
      <c r="CG32" s="118"/>
      <c r="CH32" s="118">
        <v>712</v>
      </c>
      <c r="CI32" s="118"/>
      <c r="CJ32" s="118">
        <f t="shared" si="74"/>
        <v>10703599</v>
      </c>
      <c r="CK32" s="119" t="s">
        <v>1106</v>
      </c>
      <c r="CL32" s="120">
        <f t="shared" si="75"/>
        <v>588637</v>
      </c>
      <c r="CM32" s="121" t="str">
        <f t="shared" si="76"/>
        <v>PF-JK57-24-82-KEKO</v>
      </c>
      <c r="CN32" s="122" t="str">
        <f t="shared" si="77"/>
        <v>05.08.2026</v>
      </c>
      <c r="CO32" s="125" t="str">
        <f t="shared" si="78"/>
        <v>06:00:00</v>
      </c>
      <c r="CP32" s="122" t="str">
        <f t="shared" si="79"/>
        <v>05.08.2026</v>
      </c>
      <c r="CQ32" s="125" t="str">
        <f t="shared" si="80"/>
        <v>18:00:00</v>
      </c>
      <c r="CR32" s="123">
        <f t="shared" si="81"/>
        <v>7500</v>
      </c>
      <c r="CS32" s="126">
        <f t="shared" si="82"/>
        <v>493</v>
      </c>
      <c r="CT32" s="118" t="s">
        <v>1086</v>
      </c>
      <c r="CU32" s="118"/>
      <c r="CV32" s="118" t="s">
        <v>1087</v>
      </c>
      <c r="CW32" s="127"/>
      <c r="CX32" s="118" t="s">
        <v>1087</v>
      </c>
      <c r="CY32" s="127"/>
      <c r="CZ32" s="118" t="s">
        <v>1087</v>
      </c>
      <c r="DA32" s="127"/>
      <c r="DB32" s="118" t="s">
        <v>1087</v>
      </c>
      <c r="DC32" s="118"/>
      <c r="DD32" s="118" t="s">
        <v>1087</v>
      </c>
      <c r="DE32" s="118"/>
      <c r="DF32" s="118" t="s">
        <v>1087</v>
      </c>
      <c r="DG32" s="118"/>
      <c r="DH32" s="118"/>
      <c r="DI32" s="118"/>
      <c r="DJ32" s="118"/>
      <c r="DK32" s="118"/>
      <c r="DL32" s="118"/>
      <c r="DM32" s="62"/>
      <c r="DN32" s="90" t="str">
        <f t="shared" ref="DN32" si="475">B32</f>
        <v>H2</v>
      </c>
      <c r="DO32" s="90" t="str">
        <f t="shared" ref="DO32" si="476">F32</f>
        <v>PF-JK57-24-82-KEKO</v>
      </c>
      <c r="DP32" s="128">
        <f t="shared" ref="DP32" si="477">(3600/AC32)*I32*12*0.98</f>
        <v>9769.8461538461543</v>
      </c>
      <c r="DQ32" s="129">
        <f t="shared" ref="DQ32" si="478">P32</f>
        <v>7956</v>
      </c>
      <c r="DR32" s="130">
        <f t="shared" ref="DR32" si="479">DQ32/DP32*100</f>
        <v>81.434240362811778</v>
      </c>
      <c r="DS32" s="131">
        <f t="shared" ref="DS32" si="480">Y32</f>
        <v>0.15</v>
      </c>
      <c r="DT32" s="131">
        <f t="shared" ref="DT32" si="481">Z32</f>
        <v>7.6641037903591705E-4</v>
      </c>
      <c r="DU32" s="132">
        <f t="shared" ref="DU32" si="482">SUM(AG32:AI32)</f>
        <v>0</v>
      </c>
      <c r="DV32" s="133">
        <f t="shared" ref="DV32" si="483">SUM(AD32:AF32)</f>
        <v>0</v>
      </c>
      <c r="DW32" s="186">
        <f t="shared" ref="DW32" si="484">Y32+W32+AM32+AN32/U32*100</f>
        <v>10.193761010762445</v>
      </c>
      <c r="DX32" s="187"/>
      <c r="DY32" s="134" t="str">
        <f t="shared" ref="DY32" si="485">AJ32</f>
        <v>Run well.</v>
      </c>
      <c r="DZ32" s="15"/>
      <c r="EA32" s="15"/>
      <c r="EB32" s="15"/>
      <c r="EC32" s="15"/>
      <c r="ED32" s="15"/>
      <c r="EE32" s="15"/>
    </row>
    <row r="33" spans="1:135" s="74" customFormat="1" ht="33" customHeight="1">
      <c r="A33" s="188" t="s">
        <v>1410</v>
      </c>
      <c r="B33" s="100" t="s">
        <v>1215</v>
      </c>
      <c r="C33" s="90" t="s">
        <v>1378</v>
      </c>
      <c r="D33" s="101" t="str">
        <f>VLOOKUP(E33,'Reference Card '!A:E,5,FALSE)</f>
        <v>PET CAN</v>
      </c>
      <c r="E33" s="102">
        <v>588272</v>
      </c>
      <c r="F33" s="103" t="str">
        <f>VLOOKUP(E33,'[1]Reference Card '!A:B,2,FALSE)</f>
        <v>JK57-0350-R-CL-KEKO</v>
      </c>
      <c r="G33" s="104">
        <v>10703795</v>
      </c>
      <c r="H33" s="105" t="s">
        <v>1246</v>
      </c>
      <c r="I33" s="85">
        <f>VLOOKUP(E33,'[1]Reference Card '!A:C,3,FALSE)</f>
        <v>2</v>
      </c>
      <c r="J33" s="185">
        <f>VLOOKUP(E33,'[1]Reference Card '!A:H,8,FALSE)</f>
        <v>24</v>
      </c>
      <c r="K33" s="185">
        <f>VLOOKUP(E33,'[1]Reference Card '!A:F,6,FALSE)</f>
        <v>18</v>
      </c>
      <c r="L33" s="86">
        <v>0</v>
      </c>
      <c r="M33" s="86">
        <v>91800</v>
      </c>
      <c r="N33" s="86">
        <v>170</v>
      </c>
      <c r="O33" s="86">
        <v>170</v>
      </c>
      <c r="P33" s="107">
        <f t="shared" ref="P33" si="486">L33*I33</f>
        <v>0</v>
      </c>
      <c r="Q33" s="87">
        <v>0</v>
      </c>
      <c r="R33" s="108">
        <f t="shared" ref="R33" si="487">(Q33*K33)/1000</f>
        <v>0</v>
      </c>
      <c r="S33" s="86">
        <v>18530</v>
      </c>
      <c r="T33" s="107">
        <f t="shared" ref="T33" si="488">IF(M33="Sample","-",IF(M33="RTFN","-",M33-S33))</f>
        <v>73270</v>
      </c>
      <c r="U33" s="109">
        <f t="shared" ref="U33" si="489">(P33*K33)/1000</f>
        <v>0</v>
      </c>
      <c r="V33" s="108">
        <f t="shared" si="363"/>
        <v>0</v>
      </c>
      <c r="W33" s="86">
        <v>0</v>
      </c>
      <c r="X33" s="110" t="e">
        <f t="shared" ref="X33" si="490">W33/U33</f>
        <v>#DIV/0!</v>
      </c>
      <c r="Y33" s="86">
        <v>0</v>
      </c>
      <c r="Z33" s="111" t="e">
        <f t="shared" ref="Z33" si="491">Y33/U33</f>
        <v>#DIV/0!</v>
      </c>
      <c r="AA33" s="109">
        <v>7.4</v>
      </c>
      <c r="AB33" s="112">
        <f t="shared" ref="AB33" si="492">AA33/3600*L33</f>
        <v>0</v>
      </c>
      <c r="AC33" s="112">
        <f>VLOOKUP(E33,'[2]Reference Card '!A:I,9,FALSE)</f>
        <v>6.8</v>
      </c>
      <c r="AD33" s="113"/>
      <c r="AE33" s="113"/>
      <c r="AF33" s="113"/>
      <c r="AG33" s="113">
        <v>12</v>
      </c>
      <c r="AH33" s="113"/>
      <c r="AI33" s="135"/>
      <c r="AJ33" s="114" t="s">
        <v>1407</v>
      </c>
      <c r="AK33" s="114"/>
      <c r="AL33" s="113"/>
      <c r="AM33" s="113"/>
      <c r="AN33" s="113"/>
      <c r="AO33" s="115">
        <f t="shared" si="438"/>
        <v>0</v>
      </c>
      <c r="AP33" s="227" t="s">
        <v>1205</v>
      </c>
      <c r="AQ33" s="79" t="s">
        <v>1406</v>
      </c>
      <c r="AR33" s="189" t="s">
        <v>1089</v>
      </c>
      <c r="AS33" s="79" t="s">
        <v>1406</v>
      </c>
      <c r="AT33" s="189" t="s">
        <v>1090</v>
      </c>
      <c r="AU33" s="73">
        <f t="shared" si="55"/>
        <v>0</v>
      </c>
      <c r="AV33" s="116">
        <f t="shared" si="56"/>
        <v>0</v>
      </c>
      <c r="AW33" s="116">
        <f t="shared" si="57"/>
        <v>972.97297297297291</v>
      </c>
      <c r="AX33" s="73">
        <f t="shared" si="58"/>
        <v>12</v>
      </c>
      <c r="AY33" s="73">
        <f t="shared" si="59"/>
        <v>12</v>
      </c>
      <c r="AZ33" s="116">
        <f t="shared" si="60"/>
        <v>0</v>
      </c>
      <c r="BA33" s="116">
        <f t="shared" si="61"/>
        <v>0</v>
      </c>
      <c r="BB33" s="117" t="e">
        <f t="shared" si="62"/>
        <v>#DIV/0!</v>
      </c>
      <c r="BC33" s="118">
        <v>712</v>
      </c>
      <c r="BD33" s="118"/>
      <c r="BE33" s="90">
        <f t="shared" si="63"/>
        <v>10703795</v>
      </c>
      <c r="BF33" s="119" t="s">
        <v>1096</v>
      </c>
      <c r="BG33" s="120">
        <f t="shared" si="64"/>
        <v>588272</v>
      </c>
      <c r="BH33" s="121" t="str">
        <f t="shared" si="65"/>
        <v>JK57-0350-R-CL-KEKO</v>
      </c>
      <c r="BI33" s="122" t="str">
        <f t="shared" si="66"/>
        <v>05.08.2026</v>
      </c>
      <c r="BJ33" s="119" t="str">
        <f t="shared" si="67"/>
        <v>06:00:00</v>
      </c>
      <c r="BK33" s="122" t="str">
        <f t="shared" si="68"/>
        <v>05.08.2026</v>
      </c>
      <c r="BL33" s="119" t="str">
        <f t="shared" si="69"/>
        <v>18:00:00</v>
      </c>
      <c r="BM33" s="123">
        <f t="shared" si="70"/>
        <v>0</v>
      </c>
      <c r="BN33" s="118">
        <v>0</v>
      </c>
      <c r="BO33" s="118" t="s">
        <v>1086</v>
      </c>
      <c r="BP33" s="118"/>
      <c r="BQ33" s="118" t="s">
        <v>1087</v>
      </c>
      <c r="BR33" s="124">
        <f t="shared" si="71"/>
        <v>12</v>
      </c>
      <c r="BS33" s="124" t="s">
        <v>1087</v>
      </c>
      <c r="BT33" s="124">
        <f t="shared" si="72"/>
        <v>12</v>
      </c>
      <c r="BU33" s="124" t="s">
        <v>1087</v>
      </c>
      <c r="BV33" s="124">
        <f t="shared" si="73"/>
        <v>12</v>
      </c>
      <c r="BW33" s="118" t="s">
        <v>1087</v>
      </c>
      <c r="BX33" s="118"/>
      <c r="BY33" s="118" t="s">
        <v>1087</v>
      </c>
      <c r="BZ33" s="118"/>
      <c r="CA33" s="118" t="s">
        <v>1087</v>
      </c>
      <c r="CB33" s="118"/>
      <c r="CC33" s="118"/>
      <c r="CD33" s="118"/>
      <c r="CE33" s="118"/>
      <c r="CF33" s="118"/>
      <c r="CG33" s="118"/>
      <c r="CH33" s="118">
        <v>712</v>
      </c>
      <c r="CI33" s="118"/>
      <c r="CJ33" s="118">
        <f t="shared" si="74"/>
        <v>10703795</v>
      </c>
      <c r="CK33" s="119" t="s">
        <v>1106</v>
      </c>
      <c r="CL33" s="120">
        <f t="shared" si="75"/>
        <v>588272</v>
      </c>
      <c r="CM33" s="121" t="str">
        <f t="shared" si="76"/>
        <v>JK57-0350-R-CL-KEKO</v>
      </c>
      <c r="CN33" s="122" t="str">
        <f t="shared" si="77"/>
        <v>05.08.2026</v>
      </c>
      <c r="CO33" s="125" t="str">
        <f t="shared" si="78"/>
        <v>06:00:00</v>
      </c>
      <c r="CP33" s="122" t="str">
        <f t="shared" si="79"/>
        <v>05.08.2026</v>
      </c>
      <c r="CQ33" s="125" t="str">
        <f t="shared" si="80"/>
        <v>18:00:00</v>
      </c>
      <c r="CR33" s="123">
        <f t="shared" si="81"/>
        <v>0</v>
      </c>
      <c r="CS33" s="126">
        <f t="shared" si="82"/>
        <v>0</v>
      </c>
      <c r="CT33" s="118" t="s">
        <v>1086</v>
      </c>
      <c r="CU33" s="118"/>
      <c r="CV33" s="118" t="s">
        <v>1087</v>
      </c>
      <c r="CW33" s="127"/>
      <c r="CX33" s="118" t="s">
        <v>1087</v>
      </c>
      <c r="CY33" s="127"/>
      <c r="CZ33" s="118" t="s">
        <v>1087</v>
      </c>
      <c r="DA33" s="127"/>
      <c r="DB33" s="118" t="s">
        <v>1087</v>
      </c>
      <c r="DC33" s="118"/>
      <c r="DD33" s="118" t="s">
        <v>1087</v>
      </c>
      <c r="DE33" s="118"/>
      <c r="DF33" s="118" t="s">
        <v>1087</v>
      </c>
      <c r="DG33" s="118"/>
      <c r="DH33" s="118"/>
      <c r="DI33" s="118"/>
      <c r="DJ33" s="118"/>
      <c r="DK33" s="118"/>
      <c r="DL33" s="118"/>
      <c r="DM33" s="62"/>
      <c r="DN33" s="90" t="str">
        <f t="shared" ref="DN33" si="493">B33</f>
        <v>BRAVAN</v>
      </c>
      <c r="DO33" s="90" t="str">
        <f t="shared" ref="DO33" si="494">F33</f>
        <v>JK57-0350-R-CL-KEKO</v>
      </c>
      <c r="DP33" s="128">
        <f t="shared" ref="DP33" si="495">(3600/AC33)*I33*12*0.98</f>
        <v>12451.764705882351</v>
      </c>
      <c r="DQ33" s="129">
        <f t="shared" ref="DQ33" si="496">P33</f>
        <v>0</v>
      </c>
      <c r="DR33" s="130">
        <f t="shared" ref="DR33" si="497">DQ33/DP33*100</f>
        <v>0</v>
      </c>
      <c r="DS33" s="131">
        <f t="shared" ref="DS33" si="498">Y33</f>
        <v>0</v>
      </c>
      <c r="DT33" s="131" t="e">
        <f t="shared" ref="DT33" si="499">Z33</f>
        <v>#DIV/0!</v>
      </c>
      <c r="DU33" s="132">
        <f t="shared" ref="DU33" si="500">SUM(AG33:AI33)</f>
        <v>12</v>
      </c>
      <c r="DV33" s="133">
        <f t="shared" ref="DV33" si="501">SUM(AD33:AF33)</f>
        <v>0</v>
      </c>
      <c r="DW33" s="261" t="e">
        <f t="shared" ref="DW33" si="502">Y33+W33+AM33+AN33/U33*100</f>
        <v>#DIV/0!</v>
      </c>
      <c r="DX33" s="262"/>
      <c r="DY33" s="134" t="str">
        <f t="shared" ref="DY33" si="503">AJ33</f>
        <v>Under tech.Mould repair.</v>
      </c>
      <c r="DZ33" s="15"/>
      <c r="EA33" s="15"/>
      <c r="EB33" s="15"/>
      <c r="EC33" s="15"/>
      <c r="ED33" s="15"/>
      <c r="EE33" s="15"/>
    </row>
    <row r="34" spans="1:135" s="74" customFormat="1" ht="33" customHeight="1">
      <c r="A34" s="188" t="s">
        <v>1410</v>
      </c>
      <c r="B34" s="100" t="s">
        <v>1347</v>
      </c>
      <c r="C34" s="90" t="s">
        <v>1378</v>
      </c>
      <c r="D34" s="101" t="s">
        <v>1375</v>
      </c>
      <c r="E34" s="102">
        <v>444444</v>
      </c>
      <c r="F34" s="103" t="s">
        <v>1376</v>
      </c>
      <c r="G34" s="104" t="s">
        <v>1377</v>
      </c>
      <c r="H34" s="105" t="s">
        <v>1246</v>
      </c>
      <c r="I34" s="85">
        <v>2</v>
      </c>
      <c r="J34" s="185">
        <v>810</v>
      </c>
      <c r="K34" s="185">
        <v>610</v>
      </c>
      <c r="L34" s="86">
        <v>0</v>
      </c>
      <c r="M34" s="86">
        <v>0</v>
      </c>
      <c r="N34" s="86">
        <v>0</v>
      </c>
      <c r="O34" s="86">
        <v>0</v>
      </c>
      <c r="P34" s="107">
        <f t="shared" ref="P34:P36" si="504">L34*I34</f>
        <v>0</v>
      </c>
      <c r="Q34" s="87">
        <v>0</v>
      </c>
      <c r="R34" s="108">
        <f t="shared" ref="R34" si="505">(Q34*K34)/1000</f>
        <v>0</v>
      </c>
      <c r="S34" s="86">
        <v>0</v>
      </c>
      <c r="T34" s="107">
        <f t="shared" ref="T34" si="506">IF(M34="Sample","-",IF(M34="RTFN","-",M34-S34))</f>
        <v>0</v>
      </c>
      <c r="U34" s="109">
        <f t="shared" ref="U34" si="507">(P34*K34)/1000</f>
        <v>0</v>
      </c>
      <c r="V34" s="108">
        <f t="shared" ref="V34" si="508">(J34-K34)*P34/1000</f>
        <v>0</v>
      </c>
      <c r="W34" s="86">
        <v>0</v>
      </c>
      <c r="X34" s="110" t="e">
        <f t="shared" ref="X34" si="509">W34/U34</f>
        <v>#DIV/0!</v>
      </c>
      <c r="Y34" s="86">
        <v>0</v>
      </c>
      <c r="Z34" s="111" t="e">
        <f t="shared" ref="Z34" si="510">Y34/U34</f>
        <v>#DIV/0!</v>
      </c>
      <c r="AA34" s="109">
        <v>61.7</v>
      </c>
      <c r="AB34" s="112">
        <f t="shared" ref="AB34" si="511">AA34/3600*L34</f>
        <v>0</v>
      </c>
      <c r="AC34" s="112" t="e">
        <f>VLOOKUP(E34,'[2]Reference Card '!A:I,9,FALSE)</f>
        <v>#N/A</v>
      </c>
      <c r="AD34" s="113"/>
      <c r="AE34" s="113"/>
      <c r="AF34" s="113"/>
      <c r="AG34" s="113"/>
      <c r="AH34" s="113"/>
      <c r="AI34" s="135"/>
      <c r="AJ34" s="229" t="s">
        <v>1380</v>
      </c>
      <c r="AK34" s="114"/>
      <c r="AL34" s="113"/>
      <c r="AM34" s="113">
        <v>10</v>
      </c>
      <c r="AN34" s="113"/>
      <c r="AO34" s="115">
        <f t="shared" si="438"/>
        <v>-10</v>
      </c>
      <c r="AP34" s="227" t="s">
        <v>1205</v>
      </c>
      <c r="AQ34" s="79" t="s">
        <v>1406</v>
      </c>
      <c r="AR34" s="189" t="s">
        <v>1089</v>
      </c>
      <c r="AS34" s="79" t="s">
        <v>1406</v>
      </c>
      <c r="AT34" s="189" t="s">
        <v>1090</v>
      </c>
      <c r="AU34" s="73">
        <f t="shared" si="55"/>
        <v>16.393442622950818</v>
      </c>
      <c r="AV34" s="116">
        <f t="shared" si="56"/>
        <v>16.393442622950818</v>
      </c>
      <c r="AW34" s="116">
        <f t="shared" si="57"/>
        <v>116.6936790923825</v>
      </c>
      <c r="AX34" s="73">
        <f t="shared" si="58"/>
        <v>0.14048269581056466</v>
      </c>
      <c r="AY34" s="73">
        <f t="shared" si="59"/>
        <v>0</v>
      </c>
      <c r="AZ34" s="116">
        <f t="shared" si="60"/>
        <v>0</v>
      </c>
      <c r="BA34" s="116">
        <f t="shared" si="61"/>
        <v>16.393442622950818</v>
      </c>
      <c r="BB34" s="117" t="e">
        <f t="shared" si="62"/>
        <v>#DIV/0!</v>
      </c>
      <c r="BC34" s="118">
        <v>712</v>
      </c>
      <c r="BD34" s="118"/>
      <c r="BE34" s="90" t="str">
        <f t="shared" si="63"/>
        <v>SAMPLE</v>
      </c>
      <c r="BF34" s="119" t="s">
        <v>1096</v>
      </c>
      <c r="BG34" s="120">
        <f t="shared" si="64"/>
        <v>444444</v>
      </c>
      <c r="BH34" s="121" t="str">
        <f t="shared" si="65"/>
        <v>PPG 10LTR</v>
      </c>
      <c r="BI34" s="122" t="str">
        <f t="shared" si="66"/>
        <v>05.08.2026</v>
      </c>
      <c r="BJ34" s="119" t="str">
        <f t="shared" si="67"/>
        <v>06:00:00</v>
      </c>
      <c r="BK34" s="122" t="str">
        <f t="shared" si="68"/>
        <v>05.08.2026</v>
      </c>
      <c r="BL34" s="119" t="str">
        <f t="shared" si="69"/>
        <v>18:00:00</v>
      </c>
      <c r="BM34" s="123">
        <f t="shared" si="70"/>
        <v>16</v>
      </c>
      <c r="BN34" s="118">
        <v>0</v>
      </c>
      <c r="BO34" s="118" t="s">
        <v>1086</v>
      </c>
      <c r="BP34" s="118"/>
      <c r="BQ34" s="118" t="s">
        <v>1087</v>
      </c>
      <c r="BR34" s="124">
        <f t="shared" si="71"/>
        <v>0.14048269581056466</v>
      </c>
      <c r="BS34" s="124" t="s">
        <v>1087</v>
      </c>
      <c r="BT34" s="124">
        <f t="shared" si="72"/>
        <v>0.14048269581056466</v>
      </c>
      <c r="BU34" s="124" t="s">
        <v>1087</v>
      </c>
      <c r="BV34" s="124">
        <f t="shared" si="73"/>
        <v>0.14048269581056466</v>
      </c>
      <c r="BW34" s="118" t="s">
        <v>1087</v>
      </c>
      <c r="BX34" s="118"/>
      <c r="BY34" s="118" t="s">
        <v>1087</v>
      </c>
      <c r="BZ34" s="118"/>
      <c r="CA34" s="118" t="s">
        <v>1087</v>
      </c>
      <c r="CB34" s="118"/>
      <c r="CC34" s="118"/>
      <c r="CD34" s="118"/>
      <c r="CE34" s="118"/>
      <c r="CF34" s="118"/>
      <c r="CG34" s="118"/>
      <c r="CH34" s="118">
        <v>712</v>
      </c>
      <c r="CI34" s="118"/>
      <c r="CJ34" s="118" t="str">
        <f t="shared" si="74"/>
        <v>SAMPLE</v>
      </c>
      <c r="CK34" s="119" t="s">
        <v>1106</v>
      </c>
      <c r="CL34" s="120">
        <f t="shared" si="75"/>
        <v>444444</v>
      </c>
      <c r="CM34" s="121" t="str">
        <f t="shared" si="76"/>
        <v>PPG 10LTR</v>
      </c>
      <c r="CN34" s="122" t="str">
        <f t="shared" si="77"/>
        <v>05.08.2026</v>
      </c>
      <c r="CO34" s="125" t="str">
        <f t="shared" si="78"/>
        <v>06:00:00</v>
      </c>
      <c r="CP34" s="122" t="str">
        <f t="shared" si="79"/>
        <v>05.08.2026</v>
      </c>
      <c r="CQ34" s="125" t="str">
        <f t="shared" si="80"/>
        <v>18:00:00</v>
      </c>
      <c r="CR34" s="123">
        <f t="shared" si="81"/>
        <v>0</v>
      </c>
      <c r="CS34" s="126">
        <f t="shared" si="82"/>
        <v>16</v>
      </c>
      <c r="CT34" s="118" t="s">
        <v>1086</v>
      </c>
      <c r="CU34" s="118"/>
      <c r="CV34" s="118" t="s">
        <v>1087</v>
      </c>
      <c r="CW34" s="127"/>
      <c r="CX34" s="118" t="s">
        <v>1087</v>
      </c>
      <c r="CY34" s="127"/>
      <c r="CZ34" s="118" t="s">
        <v>1087</v>
      </c>
      <c r="DA34" s="127"/>
      <c r="DB34" s="118" t="s">
        <v>1087</v>
      </c>
      <c r="DC34" s="118"/>
      <c r="DD34" s="118" t="s">
        <v>1087</v>
      </c>
      <c r="DE34" s="118"/>
      <c r="DF34" s="118" t="s">
        <v>1087</v>
      </c>
      <c r="DG34" s="118"/>
      <c r="DH34" s="118"/>
      <c r="DI34" s="118"/>
      <c r="DJ34" s="118"/>
      <c r="DK34" s="118"/>
      <c r="DL34" s="118"/>
      <c r="DM34" s="62"/>
      <c r="DN34" s="90" t="str">
        <f t="shared" ref="DN34" si="512">B34</f>
        <v>JWELL</v>
      </c>
      <c r="DO34" s="90" t="str">
        <f t="shared" ref="DO34" si="513">F34</f>
        <v>PPG 10LTR</v>
      </c>
      <c r="DP34" s="128" t="e">
        <f t="shared" ref="DP34" si="514">(3600/AC34)*I34*12*0.98</f>
        <v>#N/A</v>
      </c>
      <c r="DQ34" s="129">
        <f t="shared" ref="DQ34" si="515">P34</f>
        <v>0</v>
      </c>
      <c r="DR34" s="130" t="e">
        <f t="shared" ref="DR34" si="516">DQ34/DP34*100</f>
        <v>#N/A</v>
      </c>
      <c r="DS34" s="131">
        <f t="shared" ref="DS34" si="517">Y34</f>
        <v>0</v>
      </c>
      <c r="DT34" s="131" t="e">
        <f t="shared" ref="DT34" si="518">Z34</f>
        <v>#DIV/0!</v>
      </c>
      <c r="DU34" s="132">
        <f t="shared" ref="DU34" si="519">SUM(AG34:AI34)</f>
        <v>0</v>
      </c>
      <c r="DV34" s="133">
        <f t="shared" ref="DV34" si="520">SUM(AD34:AF34)</f>
        <v>0</v>
      </c>
      <c r="DW34" s="261" t="e">
        <f t="shared" ref="DW34" si="521">Y34+W34+AM34+AN34/U34*100</f>
        <v>#DIV/0!</v>
      </c>
      <c r="DX34" s="262"/>
      <c r="DY34" s="134" t="str">
        <f t="shared" ref="DY34" si="522">AJ34</f>
        <v>Sample.</v>
      </c>
      <c r="DZ34" s="15"/>
      <c r="EA34" s="15"/>
      <c r="EB34" s="15"/>
      <c r="EC34" s="15"/>
      <c r="ED34" s="15"/>
      <c r="EE34" s="15"/>
    </row>
    <row r="35" spans="1:135" s="74" customFormat="1" ht="33" customHeight="1">
      <c r="A35" s="188" t="s">
        <v>1410</v>
      </c>
      <c r="B35" s="100" t="s">
        <v>1348</v>
      </c>
      <c r="C35" s="90" t="s">
        <v>1399</v>
      </c>
      <c r="D35" s="101" t="str">
        <f>VLOOKUP(E35,'Reference Card '!A:E,5,FALSE)</f>
        <v>PET</v>
      </c>
      <c r="E35" s="102">
        <v>657982</v>
      </c>
      <c r="F35" s="260" t="str">
        <f>VLOOKUP(E35,'[1]Reference Card '!A:B,2,FALSE)</f>
        <v>BX38-0250-SM-R-WH-AYRAN (ASEM)</v>
      </c>
      <c r="G35" s="104">
        <v>10704828</v>
      </c>
      <c r="H35" s="105" t="s">
        <v>1246</v>
      </c>
      <c r="I35" s="85">
        <f>VLOOKUP(E35,'[1]Reference Card '!A:C,3,FALSE)</f>
        <v>1</v>
      </c>
      <c r="J35" s="185">
        <f>VLOOKUP(E35,'[1]Reference Card '!A:H,8,FALSE)</f>
        <v>23</v>
      </c>
      <c r="K35" s="185">
        <f>VLOOKUP(E35,'[1]Reference Card '!A:F,6,FALSE)</f>
        <v>23</v>
      </c>
      <c r="L35" s="86">
        <v>0</v>
      </c>
      <c r="M35" s="86">
        <v>0</v>
      </c>
      <c r="N35" s="86">
        <v>0</v>
      </c>
      <c r="O35" s="86">
        <v>4004</v>
      </c>
      <c r="P35" s="107">
        <f t="shared" si="504"/>
        <v>0</v>
      </c>
      <c r="Q35" s="87">
        <v>4312</v>
      </c>
      <c r="R35" s="108">
        <f t="shared" si="451"/>
        <v>99.176000000000002</v>
      </c>
      <c r="S35" s="86">
        <v>0</v>
      </c>
      <c r="T35" s="107">
        <f t="shared" si="452"/>
        <v>0</v>
      </c>
      <c r="U35" s="109">
        <f t="shared" si="453"/>
        <v>0</v>
      </c>
      <c r="V35" s="108">
        <f t="shared" si="363"/>
        <v>0</v>
      </c>
      <c r="W35" s="86">
        <v>0</v>
      </c>
      <c r="X35" s="110" t="e">
        <f t="shared" si="454"/>
        <v>#DIV/0!</v>
      </c>
      <c r="Y35" s="86">
        <v>1.36</v>
      </c>
      <c r="Z35" s="111" t="e">
        <f t="shared" si="455"/>
        <v>#DIV/0!</v>
      </c>
      <c r="AA35" s="109">
        <v>10</v>
      </c>
      <c r="AB35" s="112">
        <f t="shared" si="456"/>
        <v>0</v>
      </c>
      <c r="AC35" s="112">
        <f>VLOOKUP(E35,'[2]Reference Card '!A:I,9,FALSE)</f>
        <v>9</v>
      </c>
      <c r="AD35" s="113"/>
      <c r="AE35" s="113"/>
      <c r="AF35" s="113"/>
      <c r="AG35" s="113"/>
      <c r="AH35" s="113"/>
      <c r="AI35" s="135"/>
      <c r="AJ35" s="114" t="s">
        <v>1374</v>
      </c>
      <c r="AK35" s="114"/>
      <c r="AL35" s="113"/>
      <c r="AM35" s="113"/>
      <c r="AN35" s="113"/>
      <c r="AO35" s="115">
        <f t="shared" si="438"/>
        <v>-100.536</v>
      </c>
      <c r="AP35" s="227" t="s">
        <v>1205</v>
      </c>
      <c r="AQ35" s="79" t="s">
        <v>1406</v>
      </c>
      <c r="AR35" s="189" t="s">
        <v>1089</v>
      </c>
      <c r="AS35" s="79" t="s">
        <v>1406</v>
      </c>
      <c r="AT35" s="189" t="s">
        <v>1090</v>
      </c>
      <c r="AU35" s="73">
        <f t="shared" si="55"/>
        <v>59.130434782608695</v>
      </c>
      <c r="AV35" s="116">
        <f t="shared" si="56"/>
        <v>4371.130434782609</v>
      </c>
      <c r="AW35" s="116">
        <f t="shared" si="57"/>
        <v>360</v>
      </c>
      <c r="AX35" s="73">
        <f t="shared" si="58"/>
        <v>12.142028985507247</v>
      </c>
      <c r="AY35" s="73">
        <f t="shared" si="59"/>
        <v>0</v>
      </c>
      <c r="AZ35" s="116">
        <f t="shared" si="60"/>
        <v>4312</v>
      </c>
      <c r="BA35" s="116">
        <f t="shared" si="61"/>
        <v>59.130434782608695</v>
      </c>
      <c r="BB35" s="117">
        <f t="shared" si="62"/>
        <v>1.3712995079454707E-2</v>
      </c>
      <c r="BC35" s="118">
        <v>712</v>
      </c>
      <c r="BD35" s="118"/>
      <c r="BE35" s="90">
        <f t="shared" si="63"/>
        <v>10704828</v>
      </c>
      <c r="BF35" s="119" t="s">
        <v>1096</v>
      </c>
      <c r="BG35" s="120">
        <f t="shared" si="64"/>
        <v>657982</v>
      </c>
      <c r="BH35" s="121" t="str">
        <f t="shared" si="65"/>
        <v>BX38-0250-SM-R-WH-AYRAN (ASEM)</v>
      </c>
      <c r="BI35" s="122" t="str">
        <f t="shared" si="66"/>
        <v>05.08.2026</v>
      </c>
      <c r="BJ35" s="119" t="str">
        <f t="shared" si="67"/>
        <v>06:00:00</v>
      </c>
      <c r="BK35" s="122" t="str">
        <f t="shared" si="68"/>
        <v>05.08.2026</v>
      </c>
      <c r="BL35" s="119" t="str">
        <f t="shared" si="69"/>
        <v>18:00:00</v>
      </c>
      <c r="BM35" s="123">
        <f t="shared" si="70"/>
        <v>4371</v>
      </c>
      <c r="BN35" s="118">
        <v>0</v>
      </c>
      <c r="BO35" s="118" t="s">
        <v>1086</v>
      </c>
      <c r="BP35" s="118"/>
      <c r="BQ35" s="118" t="s">
        <v>1087</v>
      </c>
      <c r="BR35" s="124">
        <f t="shared" si="71"/>
        <v>12.142028985507247</v>
      </c>
      <c r="BS35" s="124" t="s">
        <v>1087</v>
      </c>
      <c r="BT35" s="124">
        <f t="shared" si="72"/>
        <v>12.142028985507247</v>
      </c>
      <c r="BU35" s="124" t="s">
        <v>1087</v>
      </c>
      <c r="BV35" s="124">
        <f t="shared" si="73"/>
        <v>12.142028985507247</v>
      </c>
      <c r="BW35" s="118" t="s">
        <v>1087</v>
      </c>
      <c r="BX35" s="118"/>
      <c r="BY35" s="118" t="s">
        <v>1087</v>
      </c>
      <c r="BZ35" s="118"/>
      <c r="CA35" s="118" t="s">
        <v>1087</v>
      </c>
      <c r="CB35" s="118"/>
      <c r="CC35" s="118"/>
      <c r="CD35" s="118"/>
      <c r="CE35" s="118"/>
      <c r="CF35" s="118"/>
      <c r="CG35" s="118"/>
      <c r="CH35" s="118">
        <v>712</v>
      </c>
      <c r="CI35" s="118"/>
      <c r="CJ35" s="118">
        <f t="shared" si="74"/>
        <v>10704828</v>
      </c>
      <c r="CK35" s="119" t="s">
        <v>1106</v>
      </c>
      <c r="CL35" s="120">
        <f t="shared" si="75"/>
        <v>657982</v>
      </c>
      <c r="CM35" s="121" t="str">
        <f t="shared" si="76"/>
        <v>BX38-0250-SM-R-WH-AYRAN (ASEM)</v>
      </c>
      <c r="CN35" s="122" t="str">
        <f t="shared" si="77"/>
        <v>05.08.2026</v>
      </c>
      <c r="CO35" s="125" t="str">
        <f t="shared" si="78"/>
        <v>06:00:00</v>
      </c>
      <c r="CP35" s="122" t="str">
        <f t="shared" si="79"/>
        <v>05.08.2026</v>
      </c>
      <c r="CQ35" s="125" t="str">
        <f t="shared" si="80"/>
        <v>18:00:00</v>
      </c>
      <c r="CR35" s="123">
        <f t="shared" si="81"/>
        <v>4312</v>
      </c>
      <c r="CS35" s="126">
        <f t="shared" si="82"/>
        <v>59</v>
      </c>
      <c r="CT35" s="118" t="s">
        <v>1086</v>
      </c>
      <c r="CU35" s="118"/>
      <c r="CV35" s="118" t="s">
        <v>1087</v>
      </c>
      <c r="CW35" s="127"/>
      <c r="CX35" s="118" t="s">
        <v>1087</v>
      </c>
      <c r="CY35" s="127"/>
      <c r="CZ35" s="118" t="s">
        <v>1087</v>
      </c>
      <c r="DA35" s="127"/>
      <c r="DB35" s="118" t="s">
        <v>1087</v>
      </c>
      <c r="DC35" s="118"/>
      <c r="DD35" s="118" t="s">
        <v>1087</v>
      </c>
      <c r="DE35" s="118"/>
      <c r="DF35" s="118" t="s">
        <v>1087</v>
      </c>
      <c r="DG35" s="118"/>
      <c r="DH35" s="118"/>
      <c r="DI35" s="118"/>
      <c r="DJ35" s="118"/>
      <c r="DK35" s="118"/>
      <c r="DL35" s="118"/>
      <c r="DM35" s="62"/>
      <c r="DN35" s="90" t="str">
        <f t="shared" si="457"/>
        <v>R-PET1</v>
      </c>
      <c r="DO35" s="90" t="str">
        <f t="shared" si="458"/>
        <v>BX38-0250-SM-R-WH-AYRAN (ASEM)</v>
      </c>
      <c r="DP35" s="128">
        <f t="shared" si="459"/>
        <v>4704</v>
      </c>
      <c r="DQ35" s="129">
        <f t="shared" si="460"/>
        <v>0</v>
      </c>
      <c r="DR35" s="130">
        <f t="shared" si="461"/>
        <v>0</v>
      </c>
      <c r="DS35" s="131">
        <f t="shared" si="462"/>
        <v>1.36</v>
      </c>
      <c r="DT35" s="131" t="e">
        <f t="shared" si="463"/>
        <v>#DIV/0!</v>
      </c>
      <c r="DU35" s="132">
        <f t="shared" si="464"/>
        <v>0</v>
      </c>
      <c r="DV35" s="133">
        <f t="shared" si="465"/>
        <v>0</v>
      </c>
      <c r="DW35" s="261" t="e">
        <f t="shared" si="466"/>
        <v>#DIV/0!</v>
      </c>
      <c r="DX35" s="262"/>
      <c r="DY35" s="134" t="str">
        <f t="shared" si="467"/>
        <v>Labelling.</v>
      </c>
      <c r="DZ35" s="15"/>
      <c r="EA35" s="15"/>
      <c r="EB35" s="15"/>
      <c r="EC35" s="15"/>
      <c r="ED35" s="15"/>
      <c r="EE35" s="15"/>
    </row>
    <row r="36" spans="1:135" s="74" customFormat="1" ht="33" customHeight="1">
      <c r="A36" s="188" t="s">
        <v>1410</v>
      </c>
      <c r="B36" s="100" t="s">
        <v>1348</v>
      </c>
      <c r="C36" s="90" t="s">
        <v>1399</v>
      </c>
      <c r="D36" s="101" t="str">
        <f>VLOOKUP(E36,'Reference Card '!A:E,5,FALSE)</f>
        <v>PET</v>
      </c>
      <c r="E36" s="102">
        <v>623885</v>
      </c>
      <c r="F36" s="260" t="str">
        <f>VLOOKUP(E36,'[1]Reference Card '!A:B,2,FALSE)</f>
        <v>JJ63-0350EH-R-R-CL-CRISPY(ASEM)</v>
      </c>
      <c r="G36" s="104"/>
      <c r="H36" s="105" t="s">
        <v>1246</v>
      </c>
      <c r="I36" s="85">
        <f>VLOOKUP(E36,'[1]Reference Card '!A:C,3,FALSE)</f>
        <v>1</v>
      </c>
      <c r="J36" s="185">
        <f>VLOOKUP(E36,'[1]Reference Card '!A:H,8,FALSE)</f>
        <v>34.5</v>
      </c>
      <c r="K36" s="185">
        <f>VLOOKUP(E36,'[1]Reference Card '!A:F,6,FALSE)</f>
        <v>34.5</v>
      </c>
      <c r="L36" s="86">
        <v>0</v>
      </c>
      <c r="M36" s="86">
        <v>0</v>
      </c>
      <c r="N36" s="86">
        <v>0</v>
      </c>
      <c r="O36" s="86">
        <v>780</v>
      </c>
      <c r="P36" s="107">
        <f t="shared" si="504"/>
        <v>0</v>
      </c>
      <c r="Q36" s="87">
        <v>0</v>
      </c>
      <c r="R36" s="108">
        <f t="shared" ref="R36" si="523">(Q36*K36)/1000</f>
        <v>0</v>
      </c>
      <c r="S36" s="86">
        <v>0</v>
      </c>
      <c r="T36" s="107">
        <f t="shared" ref="T36" si="524">IF(M36="Sample","-",IF(M36="RTFN","-",M36-S36))</f>
        <v>0</v>
      </c>
      <c r="U36" s="109">
        <f t="shared" ref="U36" si="525">(P36*K36)/1000</f>
        <v>0</v>
      </c>
      <c r="V36" s="108">
        <f t="shared" ref="V36" si="526">(J36-K36)*P36/1000</f>
        <v>0</v>
      </c>
      <c r="W36" s="86">
        <v>0</v>
      </c>
      <c r="X36" s="110" t="e">
        <f t="shared" ref="X36" si="527">W36/U36</f>
        <v>#DIV/0!</v>
      </c>
      <c r="Y36" s="86">
        <v>0.88</v>
      </c>
      <c r="Z36" s="111" t="e">
        <f t="shared" ref="Z36" si="528">Y36/U36</f>
        <v>#DIV/0!</v>
      </c>
      <c r="AA36" s="109">
        <v>10</v>
      </c>
      <c r="AB36" s="112">
        <f t="shared" ref="AB36" si="529">AA36/3600*L36</f>
        <v>0</v>
      </c>
      <c r="AC36" s="112">
        <f>VLOOKUP(E36,'[2]Reference Card '!A:I,9,FALSE)</f>
        <v>36</v>
      </c>
      <c r="AD36" s="113"/>
      <c r="AE36" s="113"/>
      <c r="AF36" s="113"/>
      <c r="AG36" s="113"/>
      <c r="AH36" s="113"/>
      <c r="AI36" s="135"/>
      <c r="AJ36" s="114" t="s">
        <v>1374</v>
      </c>
      <c r="AK36" s="114"/>
      <c r="AL36" s="113"/>
      <c r="AM36" s="113"/>
      <c r="AN36" s="113"/>
      <c r="AO36" s="115">
        <f t="shared" si="438"/>
        <v>-0.88</v>
      </c>
      <c r="AP36" s="227" t="s">
        <v>1205</v>
      </c>
      <c r="AQ36" s="79" t="s">
        <v>1406</v>
      </c>
      <c r="AR36" s="189" t="s">
        <v>1089</v>
      </c>
      <c r="AS36" s="79" t="s">
        <v>1406</v>
      </c>
      <c r="AT36" s="189" t="s">
        <v>1090</v>
      </c>
      <c r="AU36" s="73">
        <f t="shared" si="55"/>
        <v>25.507246376811594</v>
      </c>
      <c r="AV36" s="116">
        <f t="shared" si="56"/>
        <v>25.507246376811594</v>
      </c>
      <c r="AW36" s="116">
        <f t="shared" si="57"/>
        <v>360</v>
      </c>
      <c r="AX36" s="73">
        <f t="shared" si="58"/>
        <v>7.0853462157809979E-2</v>
      </c>
      <c r="AY36" s="73">
        <f t="shared" si="59"/>
        <v>0</v>
      </c>
      <c r="AZ36" s="116">
        <f t="shared" si="60"/>
        <v>0</v>
      </c>
      <c r="BA36" s="116">
        <f t="shared" si="61"/>
        <v>25.507246376811594</v>
      </c>
      <c r="BB36" s="117" t="e">
        <f t="shared" si="62"/>
        <v>#DIV/0!</v>
      </c>
      <c r="BC36" s="118">
        <v>712</v>
      </c>
      <c r="BD36" s="118"/>
      <c r="BE36" s="90">
        <f t="shared" si="63"/>
        <v>0</v>
      </c>
      <c r="BF36" s="119" t="s">
        <v>1096</v>
      </c>
      <c r="BG36" s="120">
        <f t="shared" si="64"/>
        <v>623885</v>
      </c>
      <c r="BH36" s="121" t="str">
        <f t="shared" si="65"/>
        <v>JJ63-0350EH-R-R-CL-CRISPY(ASEM)</v>
      </c>
      <c r="BI36" s="122" t="str">
        <f t="shared" si="66"/>
        <v>05.08.2026</v>
      </c>
      <c r="BJ36" s="119" t="str">
        <f t="shared" si="67"/>
        <v>06:00:00</v>
      </c>
      <c r="BK36" s="122" t="str">
        <f t="shared" si="68"/>
        <v>05.08.2026</v>
      </c>
      <c r="BL36" s="119" t="str">
        <f t="shared" si="69"/>
        <v>18:00:00</v>
      </c>
      <c r="BM36" s="123">
        <f t="shared" si="70"/>
        <v>25</v>
      </c>
      <c r="BN36" s="118">
        <v>0</v>
      </c>
      <c r="BO36" s="118" t="s">
        <v>1086</v>
      </c>
      <c r="BP36" s="118"/>
      <c r="BQ36" s="118" t="s">
        <v>1087</v>
      </c>
      <c r="BR36" s="124">
        <f t="shared" si="71"/>
        <v>7.0853462157809979E-2</v>
      </c>
      <c r="BS36" s="124" t="s">
        <v>1087</v>
      </c>
      <c r="BT36" s="124">
        <f t="shared" si="72"/>
        <v>7.0853462157809979E-2</v>
      </c>
      <c r="BU36" s="124" t="s">
        <v>1087</v>
      </c>
      <c r="BV36" s="124">
        <f t="shared" si="73"/>
        <v>7.0853462157809979E-2</v>
      </c>
      <c r="BW36" s="118" t="s">
        <v>1087</v>
      </c>
      <c r="BX36" s="118"/>
      <c r="BY36" s="118" t="s">
        <v>1087</v>
      </c>
      <c r="BZ36" s="118"/>
      <c r="CA36" s="118" t="s">
        <v>1087</v>
      </c>
      <c r="CB36" s="118"/>
      <c r="CC36" s="118"/>
      <c r="CD36" s="118"/>
      <c r="CE36" s="118"/>
      <c r="CF36" s="118"/>
      <c r="CG36" s="118"/>
      <c r="CH36" s="118">
        <v>712</v>
      </c>
      <c r="CI36" s="118"/>
      <c r="CJ36" s="118">
        <f t="shared" si="74"/>
        <v>0</v>
      </c>
      <c r="CK36" s="119" t="s">
        <v>1106</v>
      </c>
      <c r="CL36" s="120">
        <f t="shared" si="75"/>
        <v>623885</v>
      </c>
      <c r="CM36" s="121" t="str">
        <f t="shared" si="76"/>
        <v>JJ63-0350EH-R-R-CL-CRISPY(ASEM)</v>
      </c>
      <c r="CN36" s="122" t="str">
        <f t="shared" si="77"/>
        <v>05.08.2026</v>
      </c>
      <c r="CO36" s="125" t="str">
        <f t="shared" si="78"/>
        <v>06:00:00</v>
      </c>
      <c r="CP36" s="122" t="str">
        <f t="shared" si="79"/>
        <v>05.08.2026</v>
      </c>
      <c r="CQ36" s="125" t="str">
        <f t="shared" si="80"/>
        <v>18:00:00</v>
      </c>
      <c r="CR36" s="123">
        <f t="shared" si="81"/>
        <v>0</v>
      </c>
      <c r="CS36" s="126">
        <f t="shared" si="82"/>
        <v>25</v>
      </c>
      <c r="CT36" s="118" t="s">
        <v>1086</v>
      </c>
      <c r="CU36" s="118"/>
      <c r="CV36" s="118" t="s">
        <v>1087</v>
      </c>
      <c r="CW36" s="127"/>
      <c r="CX36" s="118" t="s">
        <v>1087</v>
      </c>
      <c r="CY36" s="127"/>
      <c r="CZ36" s="118" t="s">
        <v>1087</v>
      </c>
      <c r="DA36" s="127"/>
      <c r="DB36" s="118" t="s">
        <v>1087</v>
      </c>
      <c r="DC36" s="118"/>
      <c r="DD36" s="118" t="s">
        <v>1087</v>
      </c>
      <c r="DE36" s="118"/>
      <c r="DF36" s="118" t="s">
        <v>1087</v>
      </c>
      <c r="DG36" s="118"/>
      <c r="DH36" s="118"/>
      <c r="DI36" s="118"/>
      <c r="DJ36" s="118"/>
      <c r="DK36" s="118"/>
      <c r="DL36" s="118"/>
      <c r="DM36" s="62"/>
      <c r="DN36" s="90" t="str">
        <f t="shared" ref="DN36" si="530">B36</f>
        <v>R-PET1</v>
      </c>
      <c r="DO36" s="90" t="str">
        <f t="shared" ref="DO36" si="531">F36</f>
        <v>JJ63-0350EH-R-R-CL-CRISPY(ASEM)</v>
      </c>
      <c r="DP36" s="128">
        <f t="shared" ref="DP36" si="532">(3600/AC36)*I36*12*0.98</f>
        <v>1176</v>
      </c>
      <c r="DQ36" s="129">
        <f t="shared" ref="DQ36" si="533">P36</f>
        <v>0</v>
      </c>
      <c r="DR36" s="130">
        <f t="shared" ref="DR36" si="534">DQ36/DP36*100</f>
        <v>0</v>
      </c>
      <c r="DS36" s="131">
        <f t="shared" ref="DS36" si="535">Y36</f>
        <v>0.88</v>
      </c>
      <c r="DT36" s="131" t="e">
        <f t="shared" ref="DT36" si="536">Z36</f>
        <v>#DIV/0!</v>
      </c>
      <c r="DU36" s="132">
        <f t="shared" ref="DU36" si="537">SUM(AG36:AI36)</f>
        <v>0</v>
      </c>
      <c r="DV36" s="133">
        <f t="shared" ref="DV36" si="538">SUM(AD36:AF36)</f>
        <v>0</v>
      </c>
      <c r="DW36" s="261" t="e">
        <f t="shared" ref="DW36" si="539">Y36+W36+AM36+AN36/U36*100</f>
        <v>#DIV/0!</v>
      </c>
      <c r="DX36" s="262"/>
      <c r="DY36" s="134" t="str">
        <f t="shared" ref="DY36" si="540">AJ36</f>
        <v>Labelling.</v>
      </c>
      <c r="DZ36" s="15"/>
      <c r="EA36" s="15"/>
      <c r="EB36" s="15"/>
      <c r="EC36" s="15"/>
      <c r="ED36" s="15"/>
      <c r="EE36" s="15"/>
    </row>
    <row r="37" spans="1:135" s="74" customFormat="1" ht="33" customHeight="1">
      <c r="A37" s="188" t="s">
        <v>1410</v>
      </c>
      <c r="B37" s="100" t="s">
        <v>1395</v>
      </c>
      <c r="C37" s="90" t="s">
        <v>1402</v>
      </c>
      <c r="D37" s="101" t="str">
        <f>VLOOKUP(E37,'Reference Card '!A:E,5,FALSE)</f>
        <v>SM398 / LLDPE6101 / HDPE6178</v>
      </c>
      <c r="E37" s="102">
        <v>665672</v>
      </c>
      <c r="F37" s="103" t="str">
        <f>VLOOKUP(E37,'[1]Reference Card '!A:B,2,FALSE)</f>
        <v>C32-2 PIECE-T.RED &amp;.B.RED-KKM (ASEM)-S</v>
      </c>
      <c r="G37" s="104">
        <v>10704706</v>
      </c>
      <c r="H37" s="105" t="s">
        <v>1246</v>
      </c>
      <c r="I37" s="85">
        <f>VLOOKUP(E37,'[1]Reference Card '!A:C,3,FALSE)</f>
        <v>1</v>
      </c>
      <c r="J37" s="106">
        <f>VLOOKUP(E37,'[1]Reference Card '!A:H,8,FALSE)</f>
        <v>5.9</v>
      </c>
      <c r="K37" s="106">
        <f>VLOOKUP(E37,'[1]Reference Card '!A:F,6,FALSE)</f>
        <v>5.9</v>
      </c>
      <c r="L37" s="86">
        <v>0</v>
      </c>
      <c r="M37" s="86">
        <v>0</v>
      </c>
      <c r="N37" s="86">
        <v>0</v>
      </c>
      <c r="O37" s="86">
        <v>9000</v>
      </c>
      <c r="P37" s="107">
        <v>0</v>
      </c>
      <c r="Q37" s="87">
        <v>0</v>
      </c>
      <c r="R37" s="108">
        <f t="shared" ref="R37" si="541">(Q37*K37)/1000</f>
        <v>0</v>
      </c>
      <c r="S37" s="86">
        <v>0</v>
      </c>
      <c r="T37" s="149">
        <f t="shared" ref="T37" si="542">IF(M37="Sample","-",IF(M37="RTFN","-",M37-S37))</f>
        <v>0</v>
      </c>
      <c r="U37" s="109">
        <f t="shared" ref="U37" si="543">(P37*K37)/1000</f>
        <v>0</v>
      </c>
      <c r="V37" s="108">
        <f t="shared" si="363"/>
        <v>0</v>
      </c>
      <c r="W37" s="86">
        <v>0</v>
      </c>
      <c r="X37" s="110" t="e">
        <f t="shared" ref="X37" si="544">W37/U37</f>
        <v>#DIV/0!</v>
      </c>
      <c r="Y37" s="86">
        <v>0</v>
      </c>
      <c r="Z37" s="111" t="e">
        <f t="shared" ref="Z37" si="545">Y37/U37</f>
        <v>#DIV/0!</v>
      </c>
      <c r="AA37" s="109">
        <v>10</v>
      </c>
      <c r="AB37" s="112">
        <f t="shared" ref="AB37" si="546">AA37/3600*L37</f>
        <v>0</v>
      </c>
      <c r="AC37" s="112">
        <f>VLOOKUP(E37,'[2]Reference Card '!A:I,9,FALSE)</f>
        <v>9</v>
      </c>
      <c r="AD37" s="113"/>
      <c r="AE37" s="113"/>
      <c r="AF37" s="113"/>
      <c r="AG37" s="113"/>
      <c r="AH37" s="135"/>
      <c r="AI37" s="135"/>
      <c r="AJ37" s="229" t="s">
        <v>1400</v>
      </c>
      <c r="AK37" s="114"/>
      <c r="AL37" s="113"/>
      <c r="AM37" s="113"/>
      <c r="AN37" s="113"/>
      <c r="AO37" s="115">
        <f>(U37-R37-W37-Y37-AM37-AN37)-(N80*K37/1000)</f>
        <v>0</v>
      </c>
      <c r="AP37" s="227" t="s">
        <v>1205</v>
      </c>
      <c r="AQ37" s="79" t="s">
        <v>1406</v>
      </c>
      <c r="AR37" s="189" t="s">
        <v>1089</v>
      </c>
      <c r="AS37" s="79" t="s">
        <v>1406</v>
      </c>
      <c r="AT37" s="189" t="s">
        <v>1090</v>
      </c>
      <c r="AU37" s="73">
        <f t="shared" si="55"/>
        <v>0</v>
      </c>
      <c r="AV37" s="116">
        <f t="shared" si="56"/>
        <v>0</v>
      </c>
      <c r="AW37" s="116">
        <f t="shared" si="57"/>
        <v>360</v>
      </c>
      <c r="AX37" s="73">
        <f t="shared" si="58"/>
        <v>0</v>
      </c>
      <c r="AY37" s="73">
        <f t="shared" si="59"/>
        <v>0</v>
      </c>
      <c r="AZ37" s="116">
        <f t="shared" si="60"/>
        <v>0</v>
      </c>
      <c r="BA37" s="116">
        <f t="shared" si="61"/>
        <v>0</v>
      </c>
      <c r="BB37" s="117" t="e">
        <f t="shared" si="62"/>
        <v>#DIV/0!</v>
      </c>
      <c r="BC37" s="118">
        <v>712</v>
      </c>
      <c r="BD37" s="118"/>
      <c r="BE37" s="90">
        <f t="shared" si="63"/>
        <v>10704706</v>
      </c>
      <c r="BF37" s="119" t="s">
        <v>1096</v>
      </c>
      <c r="BG37" s="120">
        <f t="shared" si="64"/>
        <v>665672</v>
      </c>
      <c r="BH37" s="121" t="str">
        <f t="shared" si="65"/>
        <v>C32-2 PIECE-T.RED &amp;.B.RED-KKM (ASEM)-S</v>
      </c>
      <c r="BI37" s="122" t="str">
        <f t="shared" si="66"/>
        <v>05.08.2026</v>
      </c>
      <c r="BJ37" s="119" t="str">
        <f t="shared" si="67"/>
        <v>06:00:00</v>
      </c>
      <c r="BK37" s="122" t="str">
        <f t="shared" si="68"/>
        <v>05.08.2026</v>
      </c>
      <c r="BL37" s="119" t="str">
        <f t="shared" si="69"/>
        <v>18:00:00</v>
      </c>
      <c r="BM37" s="123">
        <f t="shared" si="70"/>
        <v>0</v>
      </c>
      <c r="BN37" s="118">
        <v>0</v>
      </c>
      <c r="BO37" s="118" t="s">
        <v>1086</v>
      </c>
      <c r="BP37" s="118"/>
      <c r="BQ37" s="118" t="s">
        <v>1087</v>
      </c>
      <c r="BR37" s="124">
        <f t="shared" si="71"/>
        <v>0</v>
      </c>
      <c r="BS37" s="124" t="s">
        <v>1087</v>
      </c>
      <c r="BT37" s="124">
        <f t="shared" si="72"/>
        <v>0</v>
      </c>
      <c r="BU37" s="124" t="s">
        <v>1087</v>
      </c>
      <c r="BV37" s="124">
        <f t="shared" si="73"/>
        <v>0</v>
      </c>
      <c r="BW37" s="118" t="s">
        <v>1087</v>
      </c>
      <c r="BX37" s="118"/>
      <c r="BY37" s="118" t="s">
        <v>1087</v>
      </c>
      <c r="BZ37" s="118"/>
      <c r="CA37" s="118" t="s">
        <v>1087</v>
      </c>
      <c r="CB37" s="118"/>
      <c r="CC37" s="118"/>
      <c r="CD37" s="118"/>
      <c r="CE37" s="118"/>
      <c r="CF37" s="118"/>
      <c r="CG37" s="118"/>
      <c r="CH37" s="118">
        <v>712</v>
      </c>
      <c r="CI37" s="118"/>
      <c r="CJ37" s="118">
        <f t="shared" si="74"/>
        <v>10704706</v>
      </c>
      <c r="CK37" s="119" t="s">
        <v>1106</v>
      </c>
      <c r="CL37" s="120">
        <f t="shared" si="75"/>
        <v>665672</v>
      </c>
      <c r="CM37" s="121" t="str">
        <f t="shared" si="76"/>
        <v>C32-2 PIECE-T.RED &amp;.B.RED-KKM (ASEM)-S</v>
      </c>
      <c r="CN37" s="122" t="str">
        <f t="shared" si="77"/>
        <v>05.08.2026</v>
      </c>
      <c r="CO37" s="125" t="str">
        <f t="shared" si="78"/>
        <v>06:00:00</v>
      </c>
      <c r="CP37" s="122" t="str">
        <f t="shared" si="79"/>
        <v>05.08.2026</v>
      </c>
      <c r="CQ37" s="125" t="str">
        <f t="shared" si="80"/>
        <v>18:00:00</v>
      </c>
      <c r="CR37" s="123">
        <f t="shared" si="81"/>
        <v>0</v>
      </c>
      <c r="CS37" s="126">
        <f t="shared" si="82"/>
        <v>0</v>
      </c>
      <c r="CT37" s="118" t="s">
        <v>1086</v>
      </c>
      <c r="CU37" s="118"/>
      <c r="CV37" s="118" t="s">
        <v>1087</v>
      </c>
      <c r="CW37" s="127"/>
      <c r="CX37" s="118" t="s">
        <v>1087</v>
      </c>
      <c r="CY37" s="127"/>
      <c r="CZ37" s="118" t="s">
        <v>1087</v>
      </c>
      <c r="DA37" s="127"/>
      <c r="DB37" s="118" t="s">
        <v>1087</v>
      </c>
      <c r="DC37" s="118"/>
      <c r="DD37" s="118" t="s">
        <v>1087</v>
      </c>
      <c r="DE37" s="118"/>
      <c r="DF37" s="118" t="s">
        <v>1087</v>
      </c>
      <c r="DG37" s="118"/>
      <c r="DH37" s="118"/>
      <c r="DI37" s="118"/>
      <c r="DJ37" s="118"/>
      <c r="DK37" s="118"/>
      <c r="DL37" s="118"/>
      <c r="DM37" s="62"/>
      <c r="DN37" s="90" t="str">
        <f t="shared" ref="DN37" si="547">B37</f>
        <v>KKM</v>
      </c>
      <c r="DO37" s="90" t="str">
        <f t="shared" ref="DO37" si="548">F37</f>
        <v>C32-2 PIECE-T.RED &amp;.B.RED-KKM (ASEM)-S</v>
      </c>
      <c r="DP37" s="128">
        <f t="shared" ref="DP37" si="549">(3600/AC37)*I37*12*0.98</f>
        <v>4704</v>
      </c>
      <c r="DQ37" s="129">
        <f t="shared" ref="DQ37" si="550">P37</f>
        <v>0</v>
      </c>
      <c r="DR37" s="130">
        <f t="shared" ref="DR37" si="551">DQ37/DP37*100</f>
        <v>0</v>
      </c>
      <c r="DS37" s="131">
        <f t="shared" ref="DS37" si="552">Y37</f>
        <v>0</v>
      </c>
      <c r="DT37" s="131" t="e">
        <f t="shared" ref="DT37" si="553">Z37</f>
        <v>#DIV/0!</v>
      </c>
      <c r="DU37" s="132">
        <f t="shared" ref="DU37" si="554">SUM(AG37:AI37)</f>
        <v>0</v>
      </c>
      <c r="DV37" s="133">
        <f t="shared" ref="DV37" si="555">SUM(AD37:AF37)</f>
        <v>0</v>
      </c>
      <c r="DW37" s="186" t="e">
        <f t="shared" ref="DW37" si="556">Y37+W37+AM37+AN37/U37*100</f>
        <v>#DIV/0!</v>
      </c>
      <c r="DX37" s="187"/>
      <c r="DY37" s="134" t="str">
        <f t="shared" ref="DY37" si="557">AJ37</f>
        <v>Assy output.</v>
      </c>
      <c r="DZ37" s="15"/>
      <c r="EA37" s="15"/>
      <c r="EB37" s="15"/>
      <c r="EC37" s="15"/>
      <c r="ED37" s="15"/>
      <c r="EE37" s="15"/>
    </row>
    <row r="38" spans="1:135" s="74" customFormat="1" ht="33" customHeight="1">
      <c r="A38" s="192"/>
      <c r="B38" s="192"/>
      <c r="C38" s="193"/>
      <c r="D38" s="194"/>
      <c r="E38" s="195"/>
      <c r="F38" s="196"/>
      <c r="G38" s="197"/>
      <c r="H38" s="198"/>
      <c r="I38" s="144"/>
      <c r="J38" s="199"/>
      <c r="K38" s="199"/>
      <c r="L38" s="199"/>
      <c r="M38" s="199"/>
      <c r="N38" s="199"/>
      <c r="O38" s="199"/>
      <c r="P38" s="199"/>
      <c r="Q38" s="199"/>
      <c r="R38" s="201"/>
      <c r="S38" s="136"/>
      <c r="T38" s="200"/>
      <c r="U38" s="202"/>
      <c r="V38" s="201"/>
      <c r="W38" s="136"/>
      <c r="X38" s="203"/>
      <c r="Y38" s="136"/>
      <c r="Z38" s="204"/>
      <c r="AA38" s="202"/>
      <c r="AB38" s="205"/>
      <c r="AC38" s="205"/>
      <c r="AD38" s="206"/>
      <c r="AE38" s="206"/>
      <c r="AF38" s="206"/>
      <c r="AG38" s="206"/>
      <c r="AH38" s="206"/>
      <c r="AI38" s="207"/>
      <c r="AJ38" s="208"/>
      <c r="AK38" s="208"/>
      <c r="AL38" s="206"/>
      <c r="AM38" s="206"/>
      <c r="AN38" s="206"/>
      <c r="AO38" s="206"/>
      <c r="AP38" s="193"/>
      <c r="AQ38" s="91"/>
      <c r="AR38" s="209"/>
      <c r="AS38" s="91"/>
      <c r="AT38" s="209"/>
      <c r="AU38" s="137"/>
      <c r="AV38" s="201"/>
      <c r="AW38" s="201"/>
      <c r="AX38" s="137"/>
      <c r="AY38" s="137"/>
      <c r="AZ38" s="201">
        <f t="shared" ref="AZ38:AZ70" si="558">Q38</f>
        <v>0</v>
      </c>
      <c r="BA38" s="201"/>
      <c r="BB38" s="210"/>
      <c r="BC38" s="193"/>
      <c r="BD38" s="193"/>
      <c r="BE38" s="193"/>
      <c r="BF38" s="209"/>
      <c r="BG38" s="211"/>
      <c r="BH38" s="212"/>
      <c r="BI38" s="213"/>
      <c r="BJ38" s="209"/>
      <c r="BK38" s="213"/>
      <c r="BL38" s="209"/>
      <c r="BM38" s="214"/>
      <c r="BN38" s="193"/>
      <c r="BO38" s="193"/>
      <c r="BP38" s="193"/>
      <c r="BQ38" s="193"/>
      <c r="BR38" s="215"/>
      <c r="BS38" s="215"/>
      <c r="BT38" s="215"/>
      <c r="BU38" s="215"/>
      <c r="BV38" s="215"/>
      <c r="BW38" s="193"/>
      <c r="BX38" s="193"/>
      <c r="BY38" s="193"/>
      <c r="BZ38" s="193"/>
      <c r="CA38" s="193"/>
      <c r="CB38" s="193"/>
      <c r="CC38" s="193"/>
      <c r="CD38" s="193"/>
      <c r="CE38" s="193"/>
      <c r="CF38" s="193"/>
      <c r="CG38" s="193"/>
      <c r="CH38" s="193"/>
      <c r="CI38" s="193"/>
      <c r="CJ38" s="193"/>
      <c r="CK38" s="209"/>
      <c r="CL38" s="211"/>
      <c r="CM38" s="212"/>
      <c r="CN38" s="213"/>
      <c r="CO38" s="216"/>
      <c r="CP38" s="213"/>
      <c r="CQ38" s="216"/>
      <c r="CR38" s="214">
        <f t="shared" ref="CR38:CR70" si="559">ROUNDDOWN(AZ38,0)</f>
        <v>0</v>
      </c>
      <c r="CS38" s="217"/>
      <c r="CT38" s="193"/>
      <c r="CU38" s="193"/>
      <c r="CV38" s="193"/>
      <c r="CW38" s="218"/>
      <c r="CX38" s="193"/>
      <c r="CY38" s="218"/>
      <c r="CZ38" s="193"/>
      <c r="DA38" s="218"/>
      <c r="DB38" s="193"/>
      <c r="DC38" s="193"/>
      <c r="DD38" s="193"/>
      <c r="DE38" s="193"/>
      <c r="DF38" s="193"/>
      <c r="DG38" s="193"/>
      <c r="DH38" s="193"/>
      <c r="DI38" s="193"/>
      <c r="DJ38" s="193"/>
      <c r="DK38" s="193"/>
      <c r="DL38" s="193"/>
      <c r="DN38" s="193"/>
      <c r="DO38" s="193"/>
      <c r="DP38" s="217"/>
      <c r="DQ38" s="219"/>
      <c r="DR38" s="220"/>
      <c r="DS38" s="221"/>
      <c r="DT38" s="221"/>
      <c r="DU38" s="222"/>
      <c r="DV38" s="223"/>
      <c r="DW38" s="224"/>
      <c r="DX38" s="225"/>
      <c r="DY38" s="226"/>
      <c r="DZ38" s="138"/>
      <c r="EA38" s="138"/>
      <c r="EB38" s="138"/>
      <c r="EC38" s="138"/>
      <c r="ED38" s="138"/>
      <c r="EE38" s="138"/>
    </row>
    <row r="39" spans="1:135" s="74" customFormat="1" ht="33" customHeight="1">
      <c r="A39" s="188" t="s">
        <v>1451</v>
      </c>
      <c r="B39" s="100" t="s">
        <v>1337</v>
      </c>
      <c r="C39" s="90" t="s">
        <v>1450</v>
      </c>
      <c r="D39" s="101" t="str">
        <f>VLOOKUP(E39,'Reference Card '!A:E,5,FALSE)</f>
        <v>PET</v>
      </c>
      <c r="E39" s="102">
        <v>324173</v>
      </c>
      <c r="F39" s="103" t="str">
        <f>VLOOKUP(E39,'[1]Reference Card '!A:B,2,FALSE)</f>
        <v>JJ63-0600-RH-R-CL</v>
      </c>
      <c r="G39" s="104">
        <v>10704263</v>
      </c>
      <c r="H39" s="105" t="s">
        <v>1246</v>
      </c>
      <c r="I39" s="85">
        <f>VLOOKUP(E39,'[1]Reference Card '!A:C,3,FALSE)</f>
        <v>4</v>
      </c>
      <c r="J39" s="106">
        <f>VLOOKUP(E39,'[1]Reference Card '!A:H,8,FALSE)</f>
        <v>34</v>
      </c>
      <c r="K39" s="106">
        <f>VLOOKUP(E39,'[1]Reference Card '!A:F,6,FALSE)</f>
        <v>34.5</v>
      </c>
      <c r="L39" s="86">
        <v>1575</v>
      </c>
      <c r="M39" s="86">
        <v>31500</v>
      </c>
      <c r="N39" s="86">
        <v>0</v>
      </c>
      <c r="O39" s="86">
        <v>0</v>
      </c>
      <c r="P39" s="107">
        <f t="shared" ref="P39:P69" si="560">L39*I39</f>
        <v>6300</v>
      </c>
      <c r="Q39" s="87">
        <v>6300</v>
      </c>
      <c r="R39" s="108">
        <f t="shared" ref="R39:R69" si="561">(Q39*K39)/1000</f>
        <v>217.35</v>
      </c>
      <c r="S39" s="86">
        <v>6300</v>
      </c>
      <c r="T39" s="107">
        <f t="shared" ref="T39:T62" si="562">IF(M39="Sample","-",IF(M39="RTFN","-",M39-S39))</f>
        <v>25200</v>
      </c>
      <c r="U39" s="109">
        <f t="shared" ref="U39:U69" si="563">(P39*K39)/1000</f>
        <v>217.35</v>
      </c>
      <c r="V39" s="108">
        <v>0</v>
      </c>
      <c r="W39" s="86">
        <v>0</v>
      </c>
      <c r="X39" s="110">
        <f t="shared" ref="X39:X63" si="564">W39/U39</f>
        <v>0</v>
      </c>
      <c r="Y39" s="86">
        <v>14.5</v>
      </c>
      <c r="Z39" s="111">
        <f t="shared" ref="Z39:Z69" si="565">Y39/U39</f>
        <v>6.6712675408327579E-2</v>
      </c>
      <c r="AA39" s="109">
        <v>23.4</v>
      </c>
      <c r="AB39" s="112">
        <f t="shared" ref="AB39:AB43" si="566">AA39/3600*L39</f>
        <v>10.237499999999999</v>
      </c>
      <c r="AC39" s="112">
        <f>VLOOKUP(E39,'[2]Reference Card '!A:I,9,FALSE)</f>
        <v>20.399999999999999</v>
      </c>
      <c r="AD39" s="113"/>
      <c r="AE39" s="113"/>
      <c r="AF39" s="113"/>
      <c r="AG39" s="113"/>
      <c r="AH39" s="113">
        <v>1.5</v>
      </c>
      <c r="AI39" s="135"/>
      <c r="AJ39" s="114" t="s">
        <v>1457</v>
      </c>
      <c r="AK39" s="114"/>
      <c r="AL39" s="113"/>
      <c r="AM39" s="113"/>
      <c r="AN39" s="113"/>
      <c r="AO39" s="115">
        <f t="shared" ref="AO39:AO40" si="567">(U39-R39-W39-Y39-AM39-AN39)-(O39*K39/1000)</f>
        <v>-14.5</v>
      </c>
      <c r="AP39" s="90" t="s">
        <v>1314</v>
      </c>
      <c r="AQ39" s="79" t="s">
        <v>1406</v>
      </c>
      <c r="AR39" s="189" t="s">
        <v>1090</v>
      </c>
      <c r="AS39" s="79" t="s">
        <v>1465</v>
      </c>
      <c r="AT39" s="189" t="s">
        <v>1089</v>
      </c>
      <c r="AU39" s="73">
        <f t="shared" ref="AU39:AU70" si="568">(Y39+W39+AM39+AN39)*1000/K39</f>
        <v>420.28985507246375</v>
      </c>
      <c r="AV39" s="116">
        <f t="shared" ref="AV39:AV70" si="569">Q39+AU39</f>
        <v>6720.289855072464</v>
      </c>
      <c r="AW39" s="116">
        <f t="shared" ref="AW39:AW70" si="570">3600/AA39*I39</f>
        <v>615.38461538461547</v>
      </c>
      <c r="AX39" s="73">
        <f t="shared" ref="AX39:AX70" si="571">(AV39/AW39)+AY39</f>
        <v>12.420471014492753</v>
      </c>
      <c r="AY39" s="73">
        <f t="shared" ref="AY39:AY70" si="572">AG39+AH39+AI39</f>
        <v>1.5</v>
      </c>
      <c r="AZ39" s="116">
        <f t="shared" si="558"/>
        <v>6300</v>
      </c>
      <c r="BA39" s="116">
        <f t="shared" ref="BA39:BA70" si="573">AU39</f>
        <v>420.28985507246375</v>
      </c>
      <c r="BB39" s="117">
        <f t="shared" ref="BB39:BB70" si="574">BA39/AZ39</f>
        <v>6.6712675408327579E-2</v>
      </c>
      <c r="BC39" s="118">
        <v>712</v>
      </c>
      <c r="BD39" s="118"/>
      <c r="BE39" s="90">
        <f t="shared" ref="BE39:BE70" si="575">G39</f>
        <v>10704263</v>
      </c>
      <c r="BF39" s="119" t="s">
        <v>1096</v>
      </c>
      <c r="BG39" s="120">
        <f t="shared" ref="BG39:BG70" si="576">E39</f>
        <v>324173</v>
      </c>
      <c r="BH39" s="121" t="str">
        <f t="shared" ref="BH39:BH70" si="577">F39</f>
        <v>JJ63-0600-RH-R-CL</v>
      </c>
      <c r="BI39" s="122" t="str">
        <f t="shared" ref="BI39:BI70" si="578">AQ39</f>
        <v>05.08.2026</v>
      </c>
      <c r="BJ39" s="119" t="str">
        <f t="shared" ref="BJ39:BJ70" si="579">AR39</f>
        <v>18:00:00</v>
      </c>
      <c r="BK39" s="122" t="str">
        <f t="shared" ref="BK39:BK70" si="580">AS39</f>
        <v>06.08.2026</v>
      </c>
      <c r="BL39" s="119" t="str">
        <f t="shared" ref="BL39:BL70" si="581">AT39</f>
        <v>06:00:00</v>
      </c>
      <c r="BM39" s="123">
        <f t="shared" ref="BM39:BM70" si="582">ROUNDDOWN(Q39+AU39,0)</f>
        <v>6720</v>
      </c>
      <c r="BN39" s="118">
        <v>0</v>
      </c>
      <c r="BO39" s="118" t="s">
        <v>1086</v>
      </c>
      <c r="BP39" s="118"/>
      <c r="BQ39" s="118" t="s">
        <v>1087</v>
      </c>
      <c r="BR39" s="124">
        <f t="shared" ref="BR39:BR70" si="583">(AV39/AW39)+AY39</f>
        <v>12.420471014492753</v>
      </c>
      <c r="BS39" s="124" t="s">
        <v>1087</v>
      </c>
      <c r="BT39" s="124">
        <f t="shared" ref="BT39:BT70" si="584">(AV39/AW39)+AY39</f>
        <v>12.420471014492753</v>
      </c>
      <c r="BU39" s="124" t="s">
        <v>1087</v>
      </c>
      <c r="BV39" s="124">
        <f t="shared" ref="BV39:BV70" si="585">(AV39/AW39)+AY39</f>
        <v>12.420471014492753</v>
      </c>
      <c r="BW39" s="118" t="s">
        <v>1087</v>
      </c>
      <c r="BX39" s="118"/>
      <c r="BY39" s="118" t="s">
        <v>1087</v>
      </c>
      <c r="BZ39" s="118"/>
      <c r="CA39" s="118" t="s">
        <v>1087</v>
      </c>
      <c r="CB39" s="118"/>
      <c r="CC39" s="118"/>
      <c r="CD39" s="118"/>
      <c r="CE39" s="118"/>
      <c r="CF39" s="118"/>
      <c r="CG39" s="118"/>
      <c r="CH39" s="118">
        <v>712</v>
      </c>
      <c r="CI39" s="118"/>
      <c r="CJ39" s="118">
        <f t="shared" ref="CJ39:CJ70" si="586">G39</f>
        <v>10704263</v>
      </c>
      <c r="CK39" s="119" t="s">
        <v>1106</v>
      </c>
      <c r="CL39" s="120">
        <f t="shared" ref="CL39:CL70" si="587">E39</f>
        <v>324173</v>
      </c>
      <c r="CM39" s="121" t="str">
        <f t="shared" ref="CM39:CM70" si="588">F39</f>
        <v>JJ63-0600-RH-R-CL</v>
      </c>
      <c r="CN39" s="122" t="str">
        <f t="shared" ref="CN39:CN70" si="589">AQ39</f>
        <v>05.08.2026</v>
      </c>
      <c r="CO39" s="125" t="str">
        <f t="shared" ref="CO39:CO70" si="590">AR39</f>
        <v>18:00:00</v>
      </c>
      <c r="CP39" s="122" t="str">
        <f t="shared" ref="CP39:CP70" si="591">AS39</f>
        <v>06.08.2026</v>
      </c>
      <c r="CQ39" s="125" t="str">
        <f t="shared" ref="CQ39:CQ70" si="592">AT39</f>
        <v>06:00:00</v>
      </c>
      <c r="CR39" s="123">
        <f t="shared" si="559"/>
        <v>6300</v>
      </c>
      <c r="CS39" s="126">
        <f t="shared" ref="CS39:CS70" si="593">ROUNDDOWN(BA39,0)</f>
        <v>420</v>
      </c>
      <c r="CT39" s="118" t="s">
        <v>1086</v>
      </c>
      <c r="CU39" s="118"/>
      <c r="CV39" s="118" t="s">
        <v>1087</v>
      </c>
      <c r="CW39" s="127"/>
      <c r="CX39" s="118" t="s">
        <v>1087</v>
      </c>
      <c r="CY39" s="127"/>
      <c r="CZ39" s="118" t="s">
        <v>1087</v>
      </c>
      <c r="DA39" s="127"/>
      <c r="DB39" s="118" t="s">
        <v>1087</v>
      </c>
      <c r="DC39" s="118"/>
      <c r="DD39" s="118" t="s">
        <v>1087</v>
      </c>
      <c r="DE39" s="118"/>
      <c r="DF39" s="118" t="s">
        <v>1087</v>
      </c>
      <c r="DG39" s="118"/>
      <c r="DH39" s="118"/>
      <c r="DI39" s="118"/>
      <c r="DJ39" s="118"/>
      <c r="DK39" s="118"/>
      <c r="DL39" s="118"/>
      <c r="DM39" s="62"/>
      <c r="DN39" s="90" t="str">
        <f t="shared" ref="DN39:DN40" si="594">B39</f>
        <v>A5</v>
      </c>
      <c r="DO39" s="90" t="str">
        <f t="shared" ref="DO39:DO40" si="595">F39</f>
        <v>JJ63-0600-RH-R-CL</v>
      </c>
      <c r="DP39" s="128">
        <f t="shared" ref="DP39:DP40" si="596">(3600/AC39)*I39*12*0.98</f>
        <v>8301.1764705882342</v>
      </c>
      <c r="DQ39" s="129">
        <f t="shared" ref="DQ39:DQ40" si="597">P39</f>
        <v>6300</v>
      </c>
      <c r="DR39" s="130">
        <f t="shared" ref="DR39:DR40" si="598">DQ39/DP39*100</f>
        <v>75.892857142857153</v>
      </c>
      <c r="DS39" s="131">
        <f t="shared" ref="DS39:DS40" si="599">Y39</f>
        <v>14.5</v>
      </c>
      <c r="DT39" s="131">
        <f t="shared" ref="DT39:DT40" si="600">Z39</f>
        <v>6.6712675408327579E-2</v>
      </c>
      <c r="DU39" s="132">
        <f t="shared" ref="DU39:DU40" si="601">SUM(AG39:AI39)</f>
        <v>1.5</v>
      </c>
      <c r="DV39" s="133">
        <f t="shared" ref="DV39:DV40" si="602">SUM(AD39:AF39)</f>
        <v>0</v>
      </c>
      <c r="DW39" s="261">
        <f t="shared" ref="DW39:DW40" si="603">Y39+W39+AM39+AN39/U39*100</f>
        <v>14.5</v>
      </c>
      <c r="DX39" s="262"/>
      <c r="DY39" s="134" t="str">
        <f t="shared" ref="DY39:DY40" si="604">AJ39</f>
        <v>Start 7.30pm.tech adjsut wvay.</v>
      </c>
      <c r="DZ39" s="15"/>
      <c r="EA39" s="15"/>
      <c r="EB39" s="15"/>
      <c r="EC39" s="15"/>
      <c r="ED39" s="15"/>
      <c r="EE39" s="15"/>
    </row>
    <row r="40" spans="1:135" s="74" customFormat="1" ht="33" customHeight="1">
      <c r="A40" s="188" t="s">
        <v>1451</v>
      </c>
      <c r="B40" s="100" t="s">
        <v>1334</v>
      </c>
      <c r="C40" s="90" t="s">
        <v>1449</v>
      </c>
      <c r="D40" s="101" t="str">
        <f>VLOOKUP(E40,'Reference Card '!A:E,5,FALSE)</f>
        <v>PET</v>
      </c>
      <c r="E40" s="102">
        <v>322493</v>
      </c>
      <c r="F40" s="103" t="str">
        <f>VLOOKUP(E40,'[1]Reference Card '!A:B,2,FALSE)</f>
        <v>BC28-0280-HD-R-CL-LW</v>
      </c>
      <c r="G40" s="104">
        <v>10704264</v>
      </c>
      <c r="H40" s="105" t="s">
        <v>1246</v>
      </c>
      <c r="I40" s="85">
        <f>VLOOKUP(E40,'[1]Reference Card '!A:C,3,FALSE)</f>
        <v>4</v>
      </c>
      <c r="J40" s="106">
        <f>VLOOKUP(E40,'[1]Reference Card '!A:H,8,FALSE)</f>
        <v>23</v>
      </c>
      <c r="K40" s="106">
        <f>VLOOKUP(E40,'[1]Reference Card '!A:F,6,FALSE)</f>
        <v>23</v>
      </c>
      <c r="L40" s="86">
        <v>1320</v>
      </c>
      <c r="M40" s="86">
        <v>30600</v>
      </c>
      <c r="N40" s="86">
        <v>1105</v>
      </c>
      <c r="O40" s="86">
        <v>0</v>
      </c>
      <c r="P40" s="107">
        <f t="shared" ref="P40" si="605">L40*I40</f>
        <v>5280</v>
      </c>
      <c r="Q40" s="87">
        <v>6375</v>
      </c>
      <c r="R40" s="108">
        <f t="shared" ref="R40" si="606">(Q40*K40)/1000</f>
        <v>146.625</v>
      </c>
      <c r="S40" s="86">
        <v>30600</v>
      </c>
      <c r="T40" s="107">
        <f t="shared" ref="T40" si="607">IF(M40="Sample","-",IF(M40="RTFN","-",M40-S40))</f>
        <v>0</v>
      </c>
      <c r="U40" s="109">
        <f t="shared" ref="U40" si="608">(P40*K40)/1000</f>
        <v>121.44</v>
      </c>
      <c r="V40" s="108">
        <f t="shared" ref="V40" si="609">(J40-K40)*P40/1000</f>
        <v>0</v>
      </c>
      <c r="W40" s="86">
        <v>0</v>
      </c>
      <c r="X40" s="110">
        <f t="shared" ref="X40" si="610">W40/U40</f>
        <v>0</v>
      </c>
      <c r="Y40" s="86">
        <v>2.5</v>
      </c>
      <c r="Z40" s="111">
        <f t="shared" ref="Z40" si="611">Y40/U40</f>
        <v>2.0586297760210804E-2</v>
      </c>
      <c r="AA40" s="109">
        <v>26.9</v>
      </c>
      <c r="AB40" s="112">
        <f t="shared" ref="AB40" si="612">AA40/3600*L40</f>
        <v>9.8633333333333333</v>
      </c>
      <c r="AC40" s="112">
        <f>VLOOKUP(E40,'[2]Reference Card '!A:I,9,FALSE)</f>
        <v>22.5</v>
      </c>
      <c r="AD40" s="113"/>
      <c r="AE40" s="113"/>
      <c r="AF40" s="113"/>
      <c r="AG40" s="113"/>
      <c r="AH40" s="135"/>
      <c r="AI40" s="135"/>
      <c r="AJ40" s="114" t="s">
        <v>1456</v>
      </c>
      <c r="AK40" s="114"/>
      <c r="AL40" s="113"/>
      <c r="AM40" s="113"/>
      <c r="AN40" s="113"/>
      <c r="AO40" s="115">
        <f t="shared" si="567"/>
        <v>-27.685000000000002</v>
      </c>
      <c r="AP40" s="90" t="s">
        <v>1314</v>
      </c>
      <c r="AQ40" s="79" t="s">
        <v>1406</v>
      </c>
      <c r="AR40" s="189" t="s">
        <v>1090</v>
      </c>
      <c r="AS40" s="79" t="s">
        <v>1465</v>
      </c>
      <c r="AT40" s="189" t="s">
        <v>1089</v>
      </c>
      <c r="AU40" s="73">
        <f t="shared" si="568"/>
        <v>108.69565217391305</v>
      </c>
      <c r="AV40" s="116">
        <f t="shared" si="569"/>
        <v>6483.695652173913</v>
      </c>
      <c r="AW40" s="116">
        <f t="shared" si="570"/>
        <v>535.31598513011159</v>
      </c>
      <c r="AX40" s="73">
        <f t="shared" si="571"/>
        <v>12.111903683574878</v>
      </c>
      <c r="AY40" s="73">
        <f t="shared" si="572"/>
        <v>0</v>
      </c>
      <c r="AZ40" s="116">
        <f t="shared" si="558"/>
        <v>6375</v>
      </c>
      <c r="BA40" s="116">
        <f t="shared" si="573"/>
        <v>108.69565217391305</v>
      </c>
      <c r="BB40" s="117">
        <f t="shared" si="574"/>
        <v>1.7050298380221655E-2</v>
      </c>
      <c r="BC40" s="118">
        <v>712</v>
      </c>
      <c r="BD40" s="118"/>
      <c r="BE40" s="90">
        <f t="shared" si="575"/>
        <v>10704264</v>
      </c>
      <c r="BF40" s="119" t="s">
        <v>1096</v>
      </c>
      <c r="BG40" s="120">
        <f t="shared" si="576"/>
        <v>322493</v>
      </c>
      <c r="BH40" s="121" t="str">
        <f t="shared" si="577"/>
        <v>BC28-0280-HD-R-CL-LW</v>
      </c>
      <c r="BI40" s="122" t="str">
        <f t="shared" si="578"/>
        <v>05.08.2026</v>
      </c>
      <c r="BJ40" s="119" t="str">
        <f t="shared" si="579"/>
        <v>18:00:00</v>
      </c>
      <c r="BK40" s="122" t="str">
        <f t="shared" si="580"/>
        <v>06.08.2026</v>
      </c>
      <c r="BL40" s="119" t="str">
        <f t="shared" si="581"/>
        <v>06:00:00</v>
      </c>
      <c r="BM40" s="123">
        <f t="shared" si="582"/>
        <v>6483</v>
      </c>
      <c r="BN40" s="118">
        <v>0</v>
      </c>
      <c r="BO40" s="118" t="s">
        <v>1086</v>
      </c>
      <c r="BP40" s="118"/>
      <c r="BQ40" s="118" t="s">
        <v>1087</v>
      </c>
      <c r="BR40" s="124">
        <f t="shared" si="583"/>
        <v>12.111903683574878</v>
      </c>
      <c r="BS40" s="124" t="s">
        <v>1087</v>
      </c>
      <c r="BT40" s="124">
        <f t="shared" si="584"/>
        <v>12.111903683574878</v>
      </c>
      <c r="BU40" s="124" t="s">
        <v>1087</v>
      </c>
      <c r="BV40" s="124">
        <f t="shared" si="585"/>
        <v>12.111903683574878</v>
      </c>
      <c r="BW40" s="118" t="s">
        <v>1087</v>
      </c>
      <c r="BX40" s="118"/>
      <c r="BY40" s="118" t="s">
        <v>1087</v>
      </c>
      <c r="BZ40" s="118"/>
      <c r="CA40" s="118" t="s">
        <v>1087</v>
      </c>
      <c r="CB40" s="118"/>
      <c r="CC40" s="118"/>
      <c r="CD40" s="118"/>
      <c r="CE40" s="118"/>
      <c r="CF40" s="118"/>
      <c r="CG40" s="118"/>
      <c r="CH40" s="118">
        <v>712</v>
      </c>
      <c r="CI40" s="118"/>
      <c r="CJ40" s="118">
        <f t="shared" si="586"/>
        <v>10704264</v>
      </c>
      <c r="CK40" s="119" t="s">
        <v>1106</v>
      </c>
      <c r="CL40" s="120">
        <f t="shared" si="587"/>
        <v>322493</v>
      </c>
      <c r="CM40" s="121" t="str">
        <f t="shared" si="588"/>
        <v>BC28-0280-HD-R-CL-LW</v>
      </c>
      <c r="CN40" s="122" t="str">
        <f t="shared" si="589"/>
        <v>05.08.2026</v>
      </c>
      <c r="CO40" s="125" t="str">
        <f t="shared" si="590"/>
        <v>18:00:00</v>
      </c>
      <c r="CP40" s="122" t="str">
        <f t="shared" si="591"/>
        <v>06.08.2026</v>
      </c>
      <c r="CQ40" s="125" t="str">
        <f t="shared" si="592"/>
        <v>06:00:00</v>
      </c>
      <c r="CR40" s="123">
        <f t="shared" si="559"/>
        <v>6375</v>
      </c>
      <c r="CS40" s="126">
        <f t="shared" si="593"/>
        <v>108</v>
      </c>
      <c r="CT40" s="118" t="s">
        <v>1086</v>
      </c>
      <c r="CU40" s="118"/>
      <c r="CV40" s="118" t="s">
        <v>1087</v>
      </c>
      <c r="CW40" s="127"/>
      <c r="CX40" s="118" t="s">
        <v>1087</v>
      </c>
      <c r="CY40" s="127"/>
      <c r="CZ40" s="118" t="s">
        <v>1087</v>
      </c>
      <c r="DA40" s="127"/>
      <c r="DB40" s="118" t="s">
        <v>1087</v>
      </c>
      <c r="DC40" s="118"/>
      <c r="DD40" s="118" t="s">
        <v>1087</v>
      </c>
      <c r="DE40" s="118"/>
      <c r="DF40" s="118" t="s">
        <v>1087</v>
      </c>
      <c r="DG40" s="118"/>
      <c r="DH40" s="118"/>
      <c r="DI40" s="118"/>
      <c r="DJ40" s="118"/>
      <c r="DK40" s="118"/>
      <c r="DL40" s="118"/>
      <c r="DM40" s="62"/>
      <c r="DN40" s="90" t="str">
        <f t="shared" si="594"/>
        <v>A6</v>
      </c>
      <c r="DO40" s="90" t="str">
        <f t="shared" si="595"/>
        <v>BC28-0280-HD-R-CL-LW</v>
      </c>
      <c r="DP40" s="128">
        <f t="shared" si="596"/>
        <v>7526.4</v>
      </c>
      <c r="DQ40" s="129">
        <f t="shared" si="597"/>
        <v>5280</v>
      </c>
      <c r="DR40" s="130">
        <f t="shared" si="598"/>
        <v>70.153061224489804</v>
      </c>
      <c r="DS40" s="131">
        <f t="shared" si="599"/>
        <v>2.5</v>
      </c>
      <c r="DT40" s="131">
        <f t="shared" si="600"/>
        <v>2.0586297760210804E-2</v>
      </c>
      <c r="DU40" s="132">
        <f t="shared" si="601"/>
        <v>0</v>
      </c>
      <c r="DV40" s="133">
        <f t="shared" si="602"/>
        <v>0</v>
      </c>
      <c r="DW40" s="261">
        <f t="shared" si="603"/>
        <v>2.5</v>
      </c>
      <c r="DX40" s="262"/>
      <c r="DY40" s="134" t="str">
        <f t="shared" si="604"/>
        <v>C/order.Stop 3.30am.</v>
      </c>
      <c r="DZ40" s="15"/>
      <c r="EA40" s="15"/>
      <c r="EB40" s="15"/>
      <c r="EC40" s="15"/>
      <c r="ED40" s="15"/>
      <c r="EE40" s="15"/>
    </row>
    <row r="41" spans="1:135" s="74" customFormat="1" ht="33" customHeight="1">
      <c r="A41" s="188" t="s">
        <v>1451</v>
      </c>
      <c r="B41" s="100" t="s">
        <v>1334</v>
      </c>
      <c r="C41" s="90" t="s">
        <v>1449</v>
      </c>
      <c r="D41" s="101" t="str">
        <f>VLOOKUP(E41,'Reference Card '!A:E,5,FALSE)</f>
        <v>PET</v>
      </c>
      <c r="E41" s="102">
        <v>322438</v>
      </c>
      <c r="F41" s="103" t="str">
        <f>VLOOKUP(E41,'[1]Reference Card '!A:B,2,FALSE)</f>
        <v>BC28-0355-A-Q-CL</v>
      </c>
      <c r="G41" s="104">
        <v>10704909</v>
      </c>
      <c r="H41" s="105" t="s">
        <v>1246</v>
      </c>
      <c r="I41" s="85">
        <f>VLOOKUP(E41,'[1]Reference Card '!A:C,3,FALSE)</f>
        <v>4</v>
      </c>
      <c r="J41" s="106">
        <f>VLOOKUP(E41,'[1]Reference Card '!A:H,8,FALSE)</f>
        <v>23</v>
      </c>
      <c r="K41" s="106">
        <f>VLOOKUP(E41,'[1]Reference Card '!A:F,6,FALSE)</f>
        <v>23</v>
      </c>
      <c r="L41" s="86">
        <v>0</v>
      </c>
      <c r="M41" s="86">
        <v>54144</v>
      </c>
      <c r="N41" s="86">
        <v>0</v>
      </c>
      <c r="O41" s="86">
        <v>0</v>
      </c>
      <c r="P41" s="107">
        <f t="shared" si="560"/>
        <v>0</v>
      </c>
      <c r="Q41" s="87">
        <v>0</v>
      </c>
      <c r="R41" s="108">
        <f t="shared" si="561"/>
        <v>0</v>
      </c>
      <c r="S41" s="86">
        <v>0</v>
      </c>
      <c r="T41" s="107">
        <f t="shared" si="562"/>
        <v>54144</v>
      </c>
      <c r="U41" s="109">
        <f t="shared" si="563"/>
        <v>0</v>
      </c>
      <c r="V41" s="108">
        <f t="shared" ref="V41:V43" si="613">(J41-K41)*P41/1000</f>
        <v>0</v>
      </c>
      <c r="W41" s="86">
        <v>0</v>
      </c>
      <c r="X41" s="110" t="e">
        <f t="shared" si="564"/>
        <v>#DIV/0!</v>
      </c>
      <c r="Y41" s="86">
        <v>0</v>
      </c>
      <c r="Z41" s="111" t="e">
        <f t="shared" si="565"/>
        <v>#DIV/0!</v>
      </c>
      <c r="AA41" s="109">
        <v>26.9</v>
      </c>
      <c r="AB41" s="112">
        <f t="shared" si="566"/>
        <v>0</v>
      </c>
      <c r="AC41" s="112">
        <f>VLOOKUP(E41,'[2]Reference Card '!A:I,9,FALSE)</f>
        <v>22</v>
      </c>
      <c r="AD41" s="113"/>
      <c r="AE41" s="113"/>
      <c r="AF41" s="113">
        <v>1.5</v>
      </c>
      <c r="AG41" s="113"/>
      <c r="AH41" s="135">
        <v>1</v>
      </c>
      <c r="AI41" s="135"/>
      <c r="AJ41" s="114" t="s">
        <v>1463</v>
      </c>
      <c r="AK41" s="114"/>
      <c r="AL41" s="113"/>
      <c r="AM41" s="113"/>
      <c r="AN41" s="113"/>
      <c r="AO41" s="115">
        <f t="shared" ref="AO41:AO42" si="614">(U41-R41-W41-Y41-AM41-AN41)-(O41*K41/1000)</f>
        <v>0</v>
      </c>
      <c r="AP41" s="90" t="s">
        <v>1314</v>
      </c>
      <c r="AQ41" s="79" t="s">
        <v>1406</v>
      </c>
      <c r="AR41" s="189" t="s">
        <v>1090</v>
      </c>
      <c r="AS41" s="79" t="s">
        <v>1465</v>
      </c>
      <c r="AT41" s="189" t="s">
        <v>1089</v>
      </c>
      <c r="AU41" s="73">
        <f t="shared" si="568"/>
        <v>0</v>
      </c>
      <c r="AV41" s="116">
        <f t="shared" si="569"/>
        <v>0</v>
      </c>
      <c r="AW41" s="116">
        <f t="shared" si="570"/>
        <v>535.31598513011159</v>
      </c>
      <c r="AX41" s="73">
        <f t="shared" si="571"/>
        <v>1</v>
      </c>
      <c r="AY41" s="73">
        <f t="shared" si="572"/>
        <v>1</v>
      </c>
      <c r="AZ41" s="116">
        <f t="shared" si="558"/>
        <v>0</v>
      </c>
      <c r="BA41" s="116">
        <f t="shared" si="573"/>
        <v>0</v>
      </c>
      <c r="BB41" s="117" t="e">
        <f t="shared" si="574"/>
        <v>#DIV/0!</v>
      </c>
      <c r="BC41" s="118">
        <v>712</v>
      </c>
      <c r="BD41" s="118"/>
      <c r="BE41" s="90">
        <f t="shared" si="575"/>
        <v>10704909</v>
      </c>
      <c r="BF41" s="119" t="s">
        <v>1096</v>
      </c>
      <c r="BG41" s="120">
        <f t="shared" si="576"/>
        <v>322438</v>
      </c>
      <c r="BH41" s="121" t="str">
        <f t="shared" si="577"/>
        <v>BC28-0355-A-Q-CL</v>
      </c>
      <c r="BI41" s="122" t="str">
        <f t="shared" si="578"/>
        <v>05.08.2026</v>
      </c>
      <c r="BJ41" s="119" t="str">
        <f t="shared" si="579"/>
        <v>18:00:00</v>
      </c>
      <c r="BK41" s="122" t="str">
        <f t="shared" si="580"/>
        <v>06.08.2026</v>
      </c>
      <c r="BL41" s="119" t="str">
        <f t="shared" si="581"/>
        <v>06:00:00</v>
      </c>
      <c r="BM41" s="123">
        <f t="shared" si="582"/>
        <v>0</v>
      </c>
      <c r="BN41" s="118">
        <v>0</v>
      </c>
      <c r="BO41" s="118" t="s">
        <v>1086</v>
      </c>
      <c r="BP41" s="118"/>
      <c r="BQ41" s="118" t="s">
        <v>1087</v>
      </c>
      <c r="BR41" s="124">
        <f t="shared" si="583"/>
        <v>1</v>
      </c>
      <c r="BS41" s="124" t="s">
        <v>1087</v>
      </c>
      <c r="BT41" s="124">
        <f t="shared" si="584"/>
        <v>1</v>
      </c>
      <c r="BU41" s="124" t="s">
        <v>1087</v>
      </c>
      <c r="BV41" s="124">
        <f t="shared" si="585"/>
        <v>1</v>
      </c>
      <c r="BW41" s="118" t="s">
        <v>1087</v>
      </c>
      <c r="BX41" s="118"/>
      <c r="BY41" s="118" t="s">
        <v>1087</v>
      </c>
      <c r="BZ41" s="118"/>
      <c r="CA41" s="118" t="s">
        <v>1087</v>
      </c>
      <c r="CB41" s="118"/>
      <c r="CC41" s="118"/>
      <c r="CD41" s="118"/>
      <c r="CE41" s="118"/>
      <c r="CF41" s="118"/>
      <c r="CG41" s="118"/>
      <c r="CH41" s="118">
        <v>712</v>
      </c>
      <c r="CI41" s="118"/>
      <c r="CJ41" s="118">
        <f t="shared" si="586"/>
        <v>10704909</v>
      </c>
      <c r="CK41" s="119" t="s">
        <v>1106</v>
      </c>
      <c r="CL41" s="120">
        <f t="shared" si="587"/>
        <v>322438</v>
      </c>
      <c r="CM41" s="121" t="str">
        <f t="shared" si="588"/>
        <v>BC28-0355-A-Q-CL</v>
      </c>
      <c r="CN41" s="122" t="str">
        <f t="shared" si="589"/>
        <v>05.08.2026</v>
      </c>
      <c r="CO41" s="125" t="str">
        <f t="shared" si="590"/>
        <v>18:00:00</v>
      </c>
      <c r="CP41" s="122" t="str">
        <f t="shared" si="591"/>
        <v>06.08.2026</v>
      </c>
      <c r="CQ41" s="125" t="str">
        <f t="shared" si="592"/>
        <v>06:00:00</v>
      </c>
      <c r="CR41" s="123">
        <f t="shared" si="559"/>
        <v>0</v>
      </c>
      <c r="CS41" s="126">
        <f t="shared" si="593"/>
        <v>0</v>
      </c>
      <c r="CT41" s="118" t="s">
        <v>1086</v>
      </c>
      <c r="CU41" s="118"/>
      <c r="CV41" s="118" t="s">
        <v>1087</v>
      </c>
      <c r="CW41" s="127"/>
      <c r="CX41" s="118" t="s">
        <v>1087</v>
      </c>
      <c r="CY41" s="127"/>
      <c r="CZ41" s="118" t="s">
        <v>1087</v>
      </c>
      <c r="DA41" s="127"/>
      <c r="DB41" s="118" t="s">
        <v>1087</v>
      </c>
      <c r="DC41" s="118"/>
      <c r="DD41" s="118" t="s">
        <v>1087</v>
      </c>
      <c r="DE41" s="118"/>
      <c r="DF41" s="118" t="s">
        <v>1087</v>
      </c>
      <c r="DG41" s="118"/>
      <c r="DH41" s="118"/>
      <c r="DI41" s="118"/>
      <c r="DJ41" s="118"/>
      <c r="DK41" s="118"/>
      <c r="DL41" s="118"/>
      <c r="DM41" s="62"/>
      <c r="DN41" s="90" t="str">
        <f t="shared" ref="DN41:DN42" si="615">B41</f>
        <v>A6</v>
      </c>
      <c r="DO41" s="90" t="str">
        <f t="shared" ref="DO41:DO42" si="616">F41</f>
        <v>BC28-0355-A-Q-CL</v>
      </c>
      <c r="DP41" s="128">
        <f t="shared" ref="DP41:DP42" si="617">(3600/AC41)*I41*12*0.98</f>
        <v>7697.454545454545</v>
      </c>
      <c r="DQ41" s="129">
        <f t="shared" ref="DQ41:DQ42" si="618">P41</f>
        <v>0</v>
      </c>
      <c r="DR41" s="130">
        <f t="shared" ref="DR41:DR42" si="619">DQ41/DP41*100</f>
        <v>0</v>
      </c>
      <c r="DS41" s="131">
        <f t="shared" ref="DS41:DS42" si="620">Y41</f>
        <v>0</v>
      </c>
      <c r="DT41" s="131" t="e">
        <f t="shared" ref="DT41:DT42" si="621">Z41</f>
        <v>#DIV/0!</v>
      </c>
      <c r="DU41" s="132">
        <f t="shared" ref="DU41:DU42" si="622">SUM(AG41:AI41)</f>
        <v>1</v>
      </c>
      <c r="DV41" s="133">
        <f t="shared" ref="DV41:DV42" si="623">SUM(AD41:AF41)</f>
        <v>1.5</v>
      </c>
      <c r="DW41" s="264" t="e">
        <f t="shared" ref="DW41:DW42" si="624">Y41+W41+AM41+AN41/U41*100</f>
        <v>#DIV/0!</v>
      </c>
      <c r="DX41" s="265"/>
      <c r="DY41" s="134" t="str">
        <f t="shared" ref="DY41:DY42" si="625">AJ41</f>
        <v>Under tech start 6.40am</v>
      </c>
      <c r="DZ41" s="15"/>
      <c r="EA41" s="15"/>
      <c r="EB41" s="15"/>
      <c r="EC41" s="15"/>
      <c r="ED41" s="15"/>
      <c r="EE41" s="15"/>
    </row>
    <row r="42" spans="1:135" s="74" customFormat="1" ht="33" customHeight="1">
      <c r="A42" s="188" t="s">
        <v>1451</v>
      </c>
      <c r="B42" s="100" t="s">
        <v>1409</v>
      </c>
      <c r="C42" s="90" t="s">
        <v>1378</v>
      </c>
      <c r="D42" s="101" t="str">
        <f>VLOOKUP(E42,'Reference Card '!A:E,5,FALSE)</f>
        <v>PET</v>
      </c>
      <c r="E42" s="102">
        <v>324212</v>
      </c>
      <c r="F42" s="103" t="str">
        <f>VLOOKUP(E42,'[1]Reference Card '!A:B,2,FALSE)</f>
        <v>BB38-0250-S-S-CL</v>
      </c>
      <c r="G42" s="104">
        <v>10704834</v>
      </c>
      <c r="H42" s="105" t="s">
        <v>1246</v>
      </c>
      <c r="I42" s="85">
        <f>VLOOKUP(E42,'[1]Reference Card '!A:C,3,FALSE)</f>
        <v>4</v>
      </c>
      <c r="J42" s="106">
        <f>VLOOKUP(E42,'[1]Reference Card '!A:H,8,FALSE)</f>
        <v>16</v>
      </c>
      <c r="K42" s="106">
        <f>VLOOKUP(E42,'[1]Reference Card '!A:F,6,FALSE)</f>
        <v>16</v>
      </c>
      <c r="L42" s="86">
        <v>0</v>
      </c>
      <c r="M42" s="86">
        <v>25600</v>
      </c>
      <c r="N42" s="86">
        <v>0</v>
      </c>
      <c r="O42" s="86">
        <v>0</v>
      </c>
      <c r="P42" s="107">
        <f t="shared" si="560"/>
        <v>0</v>
      </c>
      <c r="Q42" s="87">
        <v>0</v>
      </c>
      <c r="R42" s="108">
        <f t="shared" si="561"/>
        <v>0</v>
      </c>
      <c r="S42" s="86">
        <v>0</v>
      </c>
      <c r="T42" s="107">
        <f t="shared" si="562"/>
        <v>25600</v>
      </c>
      <c r="U42" s="109">
        <f t="shared" si="563"/>
        <v>0</v>
      </c>
      <c r="V42" s="108">
        <f t="shared" si="613"/>
        <v>0</v>
      </c>
      <c r="W42" s="86">
        <v>0</v>
      </c>
      <c r="X42" s="110" t="e">
        <f t="shared" si="564"/>
        <v>#DIV/0!</v>
      </c>
      <c r="Y42" s="86">
        <v>0</v>
      </c>
      <c r="Z42" s="111" t="e">
        <f t="shared" si="565"/>
        <v>#DIV/0!</v>
      </c>
      <c r="AA42" s="109">
        <v>26.9</v>
      </c>
      <c r="AB42" s="112">
        <f t="shared" si="566"/>
        <v>0</v>
      </c>
      <c r="AC42" s="112">
        <f>VLOOKUP(E42,'[2]Reference Card '!A:I,9,FALSE)</f>
        <v>18.32</v>
      </c>
      <c r="AD42" s="113"/>
      <c r="AE42" s="113"/>
      <c r="AF42" s="113"/>
      <c r="AG42" s="113"/>
      <c r="AH42" s="135">
        <v>12</v>
      </c>
      <c r="AI42" s="135"/>
      <c r="AJ42" s="114" t="s">
        <v>1464</v>
      </c>
      <c r="AK42" s="114"/>
      <c r="AL42" s="113"/>
      <c r="AM42" s="113"/>
      <c r="AN42" s="113"/>
      <c r="AO42" s="115">
        <f t="shared" si="614"/>
        <v>0</v>
      </c>
      <c r="AP42" s="90" t="s">
        <v>1314</v>
      </c>
      <c r="AQ42" s="79" t="s">
        <v>1406</v>
      </c>
      <c r="AR42" s="189" t="s">
        <v>1090</v>
      </c>
      <c r="AS42" s="79" t="s">
        <v>1465</v>
      </c>
      <c r="AT42" s="189" t="s">
        <v>1089</v>
      </c>
      <c r="AU42" s="73">
        <f t="shared" si="568"/>
        <v>0</v>
      </c>
      <c r="AV42" s="116">
        <f t="shared" si="569"/>
        <v>0</v>
      </c>
      <c r="AW42" s="116">
        <f t="shared" si="570"/>
        <v>535.31598513011159</v>
      </c>
      <c r="AX42" s="73">
        <f t="shared" si="571"/>
        <v>12</v>
      </c>
      <c r="AY42" s="73">
        <f t="shared" si="572"/>
        <v>12</v>
      </c>
      <c r="AZ42" s="116">
        <f t="shared" si="558"/>
        <v>0</v>
      </c>
      <c r="BA42" s="116">
        <f t="shared" si="573"/>
        <v>0</v>
      </c>
      <c r="BB42" s="117" t="e">
        <f t="shared" si="574"/>
        <v>#DIV/0!</v>
      </c>
      <c r="BC42" s="118">
        <v>712</v>
      </c>
      <c r="BD42" s="118"/>
      <c r="BE42" s="90">
        <f t="shared" si="575"/>
        <v>10704834</v>
      </c>
      <c r="BF42" s="119" t="s">
        <v>1096</v>
      </c>
      <c r="BG42" s="120">
        <f t="shared" si="576"/>
        <v>324212</v>
      </c>
      <c r="BH42" s="121" t="str">
        <f t="shared" si="577"/>
        <v>BB38-0250-S-S-CL</v>
      </c>
      <c r="BI42" s="122" t="str">
        <f t="shared" si="578"/>
        <v>05.08.2026</v>
      </c>
      <c r="BJ42" s="119" t="str">
        <f t="shared" si="579"/>
        <v>18:00:00</v>
      </c>
      <c r="BK42" s="122" t="str">
        <f t="shared" si="580"/>
        <v>06.08.2026</v>
      </c>
      <c r="BL42" s="119" t="str">
        <f t="shared" si="581"/>
        <v>06:00:00</v>
      </c>
      <c r="BM42" s="123">
        <f t="shared" si="582"/>
        <v>0</v>
      </c>
      <c r="BN42" s="118">
        <v>0</v>
      </c>
      <c r="BO42" s="118" t="s">
        <v>1086</v>
      </c>
      <c r="BP42" s="118"/>
      <c r="BQ42" s="118" t="s">
        <v>1087</v>
      </c>
      <c r="BR42" s="124">
        <f t="shared" si="583"/>
        <v>12</v>
      </c>
      <c r="BS42" s="124" t="s">
        <v>1087</v>
      </c>
      <c r="BT42" s="124">
        <f t="shared" si="584"/>
        <v>12</v>
      </c>
      <c r="BU42" s="124" t="s">
        <v>1087</v>
      </c>
      <c r="BV42" s="124">
        <f t="shared" si="585"/>
        <v>12</v>
      </c>
      <c r="BW42" s="118" t="s">
        <v>1087</v>
      </c>
      <c r="BX42" s="118"/>
      <c r="BY42" s="118" t="s">
        <v>1087</v>
      </c>
      <c r="BZ42" s="118"/>
      <c r="CA42" s="118" t="s">
        <v>1087</v>
      </c>
      <c r="CB42" s="118"/>
      <c r="CC42" s="118"/>
      <c r="CD42" s="118"/>
      <c r="CE42" s="118"/>
      <c r="CF42" s="118"/>
      <c r="CG42" s="118"/>
      <c r="CH42" s="118">
        <v>712</v>
      </c>
      <c r="CI42" s="118"/>
      <c r="CJ42" s="118">
        <f t="shared" si="586"/>
        <v>10704834</v>
      </c>
      <c r="CK42" s="119" t="s">
        <v>1106</v>
      </c>
      <c r="CL42" s="120">
        <f t="shared" si="587"/>
        <v>324212</v>
      </c>
      <c r="CM42" s="121" t="str">
        <f t="shared" si="588"/>
        <v>BB38-0250-S-S-CL</v>
      </c>
      <c r="CN42" s="122" t="str">
        <f t="shared" si="589"/>
        <v>05.08.2026</v>
      </c>
      <c r="CO42" s="125" t="str">
        <f t="shared" si="590"/>
        <v>18:00:00</v>
      </c>
      <c r="CP42" s="122" t="str">
        <f t="shared" si="591"/>
        <v>06.08.2026</v>
      </c>
      <c r="CQ42" s="125" t="str">
        <f t="shared" si="592"/>
        <v>06:00:00</v>
      </c>
      <c r="CR42" s="123">
        <f t="shared" si="559"/>
        <v>0</v>
      </c>
      <c r="CS42" s="126">
        <f t="shared" si="593"/>
        <v>0</v>
      </c>
      <c r="CT42" s="118" t="s">
        <v>1086</v>
      </c>
      <c r="CU42" s="118"/>
      <c r="CV42" s="118" t="s">
        <v>1087</v>
      </c>
      <c r="CW42" s="127"/>
      <c r="CX42" s="118" t="s">
        <v>1087</v>
      </c>
      <c r="CY42" s="127"/>
      <c r="CZ42" s="118" t="s">
        <v>1087</v>
      </c>
      <c r="DA42" s="127"/>
      <c r="DB42" s="118" t="s">
        <v>1087</v>
      </c>
      <c r="DC42" s="118"/>
      <c r="DD42" s="118" t="s">
        <v>1087</v>
      </c>
      <c r="DE42" s="118"/>
      <c r="DF42" s="118" t="s">
        <v>1087</v>
      </c>
      <c r="DG42" s="118"/>
      <c r="DH42" s="118"/>
      <c r="DI42" s="118"/>
      <c r="DJ42" s="118"/>
      <c r="DK42" s="118"/>
      <c r="DL42" s="118"/>
      <c r="DM42" s="62"/>
      <c r="DN42" s="90" t="str">
        <f t="shared" si="615"/>
        <v>A7</v>
      </c>
      <c r="DO42" s="90" t="str">
        <f t="shared" si="616"/>
        <v>BB38-0250-S-S-CL</v>
      </c>
      <c r="DP42" s="128">
        <f t="shared" si="617"/>
        <v>9243.6681222707412</v>
      </c>
      <c r="DQ42" s="129">
        <f t="shared" si="618"/>
        <v>0</v>
      </c>
      <c r="DR42" s="130">
        <f t="shared" si="619"/>
        <v>0</v>
      </c>
      <c r="DS42" s="131">
        <f t="shared" si="620"/>
        <v>0</v>
      </c>
      <c r="DT42" s="131" t="e">
        <f t="shared" si="621"/>
        <v>#DIV/0!</v>
      </c>
      <c r="DU42" s="132">
        <f t="shared" si="622"/>
        <v>12</v>
      </c>
      <c r="DV42" s="133">
        <f t="shared" si="623"/>
        <v>0</v>
      </c>
      <c r="DW42" s="261" t="e">
        <f t="shared" si="624"/>
        <v>#DIV/0!</v>
      </c>
      <c r="DX42" s="262"/>
      <c r="DY42" s="134" t="str">
        <f t="shared" si="625"/>
        <v>Under tech blockage water leaking.</v>
      </c>
      <c r="DZ42" s="15"/>
      <c r="EA42" s="15"/>
      <c r="EB42" s="15"/>
      <c r="EC42" s="15"/>
      <c r="ED42" s="15"/>
      <c r="EE42" s="15"/>
    </row>
    <row r="43" spans="1:135" s="74" customFormat="1" ht="33" customHeight="1">
      <c r="A43" s="188" t="s">
        <v>1451</v>
      </c>
      <c r="B43" s="100" t="s">
        <v>1240</v>
      </c>
      <c r="C43" s="90" t="s">
        <v>1385</v>
      </c>
      <c r="D43" s="101" t="str">
        <f>VLOOKUP(E43,'Reference Card '!A:E,5,FALSE)</f>
        <v>PET</v>
      </c>
      <c r="E43" s="102">
        <v>347623</v>
      </c>
      <c r="F43" s="103" t="str">
        <f>VLOOKUP(E43,'[1]Reference Card '!A:B,2,FALSE)</f>
        <v>BC28-0375-K-R-CL</v>
      </c>
      <c r="G43" s="104">
        <v>10704679</v>
      </c>
      <c r="H43" s="105" t="s">
        <v>1246</v>
      </c>
      <c r="I43" s="85">
        <f>VLOOKUP(E43,'[1]Reference Card '!A:C,3,FALSE)</f>
        <v>4</v>
      </c>
      <c r="J43" s="185">
        <f>VLOOKUP(E43,'[1]Reference Card '!A:H,8,FALSE)</f>
        <v>35.6</v>
      </c>
      <c r="K43" s="185">
        <f>VLOOKUP(E43,'[1]Reference Card '!A:F,6,FALSE)</f>
        <v>35.6</v>
      </c>
      <c r="L43" s="86">
        <v>1840</v>
      </c>
      <c r="M43" s="86">
        <v>38640</v>
      </c>
      <c r="N43" s="86">
        <v>736</v>
      </c>
      <c r="O43" s="86">
        <v>0</v>
      </c>
      <c r="P43" s="107">
        <f t="shared" si="560"/>
        <v>7360</v>
      </c>
      <c r="Q43" s="87">
        <v>7360</v>
      </c>
      <c r="R43" s="108">
        <f t="shared" si="561"/>
        <v>262.01600000000002</v>
      </c>
      <c r="S43" s="86">
        <v>18400</v>
      </c>
      <c r="T43" s="107">
        <f t="shared" si="562"/>
        <v>20240</v>
      </c>
      <c r="U43" s="109">
        <f t="shared" si="563"/>
        <v>262.01600000000002</v>
      </c>
      <c r="V43" s="108">
        <f t="shared" si="613"/>
        <v>0</v>
      </c>
      <c r="W43" s="86">
        <v>0</v>
      </c>
      <c r="X43" s="110">
        <f t="shared" si="564"/>
        <v>0</v>
      </c>
      <c r="Y43" s="86">
        <v>1</v>
      </c>
      <c r="Z43" s="111">
        <f t="shared" si="565"/>
        <v>3.8165608207132388E-3</v>
      </c>
      <c r="AA43" s="109">
        <v>25</v>
      </c>
      <c r="AB43" s="112">
        <f t="shared" si="566"/>
        <v>12.777777777777777</v>
      </c>
      <c r="AC43" s="112">
        <f>VLOOKUP(E43,'[2]Reference Card '!A:I,9,FALSE)</f>
        <v>27</v>
      </c>
      <c r="AD43" s="113"/>
      <c r="AE43" s="113"/>
      <c r="AF43" s="113"/>
      <c r="AG43" s="113"/>
      <c r="AH43" s="113"/>
      <c r="AI43" s="135"/>
      <c r="AJ43" s="114" t="s">
        <v>1349</v>
      </c>
      <c r="AK43" s="114"/>
      <c r="AL43" s="113"/>
      <c r="AM43" s="113"/>
      <c r="AN43" s="113"/>
      <c r="AO43" s="115">
        <f t="shared" ref="AO43:AO44" si="626">(U43-R43-W43-Y43-AM43-AN43)-(O43*K43/1000)</f>
        <v>-1</v>
      </c>
      <c r="AP43" s="90" t="s">
        <v>1314</v>
      </c>
      <c r="AQ43" s="79" t="s">
        <v>1406</v>
      </c>
      <c r="AR43" s="189" t="s">
        <v>1090</v>
      </c>
      <c r="AS43" s="79" t="s">
        <v>1465</v>
      </c>
      <c r="AT43" s="189" t="s">
        <v>1089</v>
      </c>
      <c r="AU43" s="73">
        <f t="shared" si="568"/>
        <v>28.089887640449437</v>
      </c>
      <c r="AV43" s="116">
        <f t="shared" si="569"/>
        <v>7388.0898876404499</v>
      </c>
      <c r="AW43" s="116">
        <f t="shared" si="570"/>
        <v>576</v>
      </c>
      <c r="AX43" s="73">
        <f t="shared" si="571"/>
        <v>12.826544943820226</v>
      </c>
      <c r="AY43" s="73">
        <f t="shared" si="572"/>
        <v>0</v>
      </c>
      <c r="AZ43" s="116">
        <f t="shared" si="558"/>
        <v>7360</v>
      </c>
      <c r="BA43" s="116">
        <f t="shared" si="573"/>
        <v>28.089887640449437</v>
      </c>
      <c r="BB43" s="117">
        <f t="shared" si="574"/>
        <v>3.8165608207132388E-3</v>
      </c>
      <c r="BC43" s="118">
        <v>712</v>
      </c>
      <c r="BD43" s="118"/>
      <c r="BE43" s="90">
        <f t="shared" si="575"/>
        <v>10704679</v>
      </c>
      <c r="BF43" s="119" t="s">
        <v>1096</v>
      </c>
      <c r="BG43" s="120">
        <f t="shared" si="576"/>
        <v>347623</v>
      </c>
      <c r="BH43" s="121" t="str">
        <f t="shared" si="577"/>
        <v>BC28-0375-K-R-CL</v>
      </c>
      <c r="BI43" s="122" t="str">
        <f t="shared" si="578"/>
        <v>05.08.2026</v>
      </c>
      <c r="BJ43" s="119" t="str">
        <f t="shared" si="579"/>
        <v>18:00:00</v>
      </c>
      <c r="BK43" s="122" t="str">
        <f t="shared" si="580"/>
        <v>06.08.2026</v>
      </c>
      <c r="BL43" s="119" t="str">
        <f t="shared" si="581"/>
        <v>06:00:00</v>
      </c>
      <c r="BM43" s="123">
        <f t="shared" si="582"/>
        <v>7388</v>
      </c>
      <c r="BN43" s="118">
        <v>0</v>
      </c>
      <c r="BO43" s="118" t="s">
        <v>1086</v>
      </c>
      <c r="BP43" s="118"/>
      <c r="BQ43" s="118" t="s">
        <v>1087</v>
      </c>
      <c r="BR43" s="124">
        <f t="shared" si="583"/>
        <v>12.826544943820226</v>
      </c>
      <c r="BS43" s="124" t="s">
        <v>1087</v>
      </c>
      <c r="BT43" s="124">
        <f t="shared" si="584"/>
        <v>12.826544943820226</v>
      </c>
      <c r="BU43" s="124" t="s">
        <v>1087</v>
      </c>
      <c r="BV43" s="124">
        <f t="shared" si="585"/>
        <v>12.826544943820226</v>
      </c>
      <c r="BW43" s="118" t="s">
        <v>1087</v>
      </c>
      <c r="BX43" s="118"/>
      <c r="BY43" s="118" t="s">
        <v>1087</v>
      </c>
      <c r="BZ43" s="118"/>
      <c r="CA43" s="118" t="s">
        <v>1087</v>
      </c>
      <c r="CB43" s="118"/>
      <c r="CC43" s="118"/>
      <c r="CD43" s="118"/>
      <c r="CE43" s="118"/>
      <c r="CF43" s="118"/>
      <c r="CG43" s="118"/>
      <c r="CH43" s="118">
        <v>712</v>
      </c>
      <c r="CI43" s="118"/>
      <c r="CJ43" s="118">
        <f t="shared" si="586"/>
        <v>10704679</v>
      </c>
      <c r="CK43" s="119" t="s">
        <v>1106</v>
      </c>
      <c r="CL43" s="120">
        <f t="shared" si="587"/>
        <v>347623</v>
      </c>
      <c r="CM43" s="121" t="str">
        <f t="shared" si="588"/>
        <v>BC28-0375-K-R-CL</v>
      </c>
      <c r="CN43" s="122" t="str">
        <f t="shared" si="589"/>
        <v>05.08.2026</v>
      </c>
      <c r="CO43" s="125" t="str">
        <f t="shared" si="590"/>
        <v>18:00:00</v>
      </c>
      <c r="CP43" s="122" t="str">
        <f t="shared" si="591"/>
        <v>06.08.2026</v>
      </c>
      <c r="CQ43" s="125" t="str">
        <f t="shared" si="592"/>
        <v>06:00:00</v>
      </c>
      <c r="CR43" s="123">
        <f t="shared" si="559"/>
        <v>7360</v>
      </c>
      <c r="CS43" s="126">
        <f t="shared" si="593"/>
        <v>28</v>
      </c>
      <c r="CT43" s="118" t="s">
        <v>1086</v>
      </c>
      <c r="CU43" s="118"/>
      <c r="CV43" s="118" t="s">
        <v>1087</v>
      </c>
      <c r="CW43" s="127"/>
      <c r="CX43" s="118" t="s">
        <v>1087</v>
      </c>
      <c r="CY43" s="127"/>
      <c r="CZ43" s="118" t="s">
        <v>1087</v>
      </c>
      <c r="DA43" s="127"/>
      <c r="DB43" s="118" t="s">
        <v>1087</v>
      </c>
      <c r="DC43" s="118"/>
      <c r="DD43" s="118" t="s">
        <v>1087</v>
      </c>
      <c r="DE43" s="118"/>
      <c r="DF43" s="118" t="s">
        <v>1087</v>
      </c>
      <c r="DG43" s="118"/>
      <c r="DH43" s="118"/>
      <c r="DI43" s="118"/>
      <c r="DJ43" s="118"/>
      <c r="DK43" s="118"/>
      <c r="DL43" s="118"/>
      <c r="DM43" s="62"/>
      <c r="DN43" s="90" t="str">
        <f t="shared" ref="DN43:DN44" si="627">B43</f>
        <v>A9</v>
      </c>
      <c r="DO43" s="90" t="str">
        <f t="shared" ref="DO43:DO44" si="628">F43</f>
        <v>BC28-0375-K-R-CL</v>
      </c>
      <c r="DP43" s="128">
        <f t="shared" ref="DP43:DP44" si="629">(3600/AC43)*I43*12*0.98</f>
        <v>6272</v>
      </c>
      <c r="DQ43" s="129">
        <f t="shared" ref="DQ43:DQ44" si="630">P43</f>
        <v>7360</v>
      </c>
      <c r="DR43" s="130">
        <f t="shared" ref="DR43:DR44" si="631">DQ43/DP43*100</f>
        <v>117.34693877551021</v>
      </c>
      <c r="DS43" s="131">
        <f t="shared" ref="DS43:DS44" si="632">Y43</f>
        <v>1</v>
      </c>
      <c r="DT43" s="131">
        <f t="shared" ref="DT43:DT44" si="633">Z43</f>
        <v>3.8165608207132388E-3</v>
      </c>
      <c r="DU43" s="132">
        <f t="shared" ref="DU43:DU44" si="634">SUM(AG43:AI43)</f>
        <v>0</v>
      </c>
      <c r="DV43" s="133">
        <f t="shared" ref="DV43:DV44" si="635">SUM(AD43:AF43)</f>
        <v>0</v>
      </c>
      <c r="DW43" s="261">
        <f t="shared" ref="DW43:DW44" si="636">Y43+W43+AM43+AN43/U43*100</f>
        <v>1</v>
      </c>
      <c r="DX43" s="262"/>
      <c r="DY43" s="134" t="str">
        <f t="shared" ref="DY43:DY44" si="637">AJ43</f>
        <v>Run well.L.test.</v>
      </c>
      <c r="DZ43" s="15"/>
      <c r="EA43" s="15"/>
      <c r="EB43" s="15"/>
      <c r="EC43" s="15"/>
      <c r="ED43" s="15"/>
      <c r="EE43" s="15"/>
    </row>
    <row r="44" spans="1:135" s="74" customFormat="1" ht="33" customHeight="1">
      <c r="A44" s="188" t="s">
        <v>1451</v>
      </c>
      <c r="B44" s="100" t="s">
        <v>1333</v>
      </c>
      <c r="C44" s="90" t="s">
        <v>1388</v>
      </c>
      <c r="D44" s="101" t="str">
        <f>VLOOKUP(E44,'Reference Card '!A:E,5,FALSE)</f>
        <v>PET</v>
      </c>
      <c r="E44" s="102">
        <v>532981</v>
      </c>
      <c r="F44" s="103" t="str">
        <f>VLOOKUP(E44,'[1]Reference Card '!A:B,2,FALSE)</f>
        <v>JG63-0175-R-R-AM</v>
      </c>
      <c r="G44" s="104">
        <v>10703864</v>
      </c>
      <c r="H44" s="105" t="s">
        <v>1246</v>
      </c>
      <c r="I44" s="85">
        <f>VLOOKUP(E44,'[1]Reference Card '!A:C,3,FALSE)</f>
        <v>4</v>
      </c>
      <c r="J44" s="106">
        <f>VLOOKUP(E44,'[1]Reference Card '!A:H,8,FALSE)</f>
        <v>24.45</v>
      </c>
      <c r="K44" s="106">
        <f>VLOOKUP(E44,'[1]Reference Card '!A:F,6,FALSE)</f>
        <v>24</v>
      </c>
      <c r="L44" s="86">
        <v>1185</v>
      </c>
      <c r="M44" s="86">
        <v>87552</v>
      </c>
      <c r="N44" s="86">
        <v>1824</v>
      </c>
      <c r="O44" s="86">
        <v>0</v>
      </c>
      <c r="P44" s="107">
        <f t="shared" ref="P44" si="638">L44*I44</f>
        <v>4740</v>
      </c>
      <c r="Q44" s="87">
        <v>5472</v>
      </c>
      <c r="R44" s="108">
        <f t="shared" ref="R44" si="639">(Q44*K44)/1000</f>
        <v>131.328</v>
      </c>
      <c r="S44" s="86">
        <v>65664</v>
      </c>
      <c r="T44" s="107">
        <f t="shared" ref="T44" si="640">IF(M44="Sample","-",IF(M44="RTFN","-",M44-S44))</f>
        <v>21888</v>
      </c>
      <c r="U44" s="109">
        <f t="shared" ref="U44" si="641">(P44*K44)/1000</f>
        <v>113.76</v>
      </c>
      <c r="V44" s="108">
        <v>0</v>
      </c>
      <c r="W44" s="86">
        <v>0</v>
      </c>
      <c r="X44" s="110">
        <f t="shared" ref="X44" si="642">W44/U44</f>
        <v>0</v>
      </c>
      <c r="Y44" s="86">
        <v>0</v>
      </c>
      <c r="Z44" s="111">
        <f t="shared" ref="Z44" si="643">Y44/U44</f>
        <v>0</v>
      </c>
      <c r="AA44" s="109">
        <v>22</v>
      </c>
      <c r="AB44" s="112">
        <f>AA44/3600*L44</f>
        <v>7.2416666666666671</v>
      </c>
      <c r="AC44" s="112">
        <f>VLOOKUP(E44,'[2]Reference Card '!A:I,9,FALSE)</f>
        <v>20</v>
      </c>
      <c r="AD44" s="113"/>
      <c r="AE44" s="113"/>
      <c r="AF44" s="113"/>
      <c r="AG44" s="113"/>
      <c r="AH44" s="135"/>
      <c r="AI44" s="135"/>
      <c r="AJ44" s="114" t="s">
        <v>1453</v>
      </c>
      <c r="AK44" s="114"/>
      <c r="AL44" s="113"/>
      <c r="AM44" s="113"/>
      <c r="AN44" s="113"/>
      <c r="AO44" s="115">
        <f t="shared" si="626"/>
        <v>-17.567999999999998</v>
      </c>
      <c r="AP44" s="90" t="s">
        <v>1314</v>
      </c>
      <c r="AQ44" s="79" t="s">
        <v>1406</v>
      </c>
      <c r="AR44" s="189" t="s">
        <v>1090</v>
      </c>
      <c r="AS44" s="79" t="s">
        <v>1465</v>
      </c>
      <c r="AT44" s="189" t="s">
        <v>1089</v>
      </c>
      <c r="AU44" s="73">
        <f t="shared" si="568"/>
        <v>0</v>
      </c>
      <c r="AV44" s="116">
        <f t="shared" si="569"/>
        <v>5472</v>
      </c>
      <c r="AW44" s="116">
        <f t="shared" si="570"/>
        <v>654.5454545454545</v>
      </c>
      <c r="AX44" s="73">
        <f t="shared" si="571"/>
        <v>8.3600000000000012</v>
      </c>
      <c r="AY44" s="73">
        <f t="shared" si="572"/>
        <v>0</v>
      </c>
      <c r="AZ44" s="116">
        <f t="shared" si="558"/>
        <v>5472</v>
      </c>
      <c r="BA44" s="116">
        <f t="shared" si="573"/>
        <v>0</v>
      </c>
      <c r="BB44" s="117">
        <f t="shared" si="574"/>
        <v>0</v>
      </c>
      <c r="BC44" s="118">
        <v>712</v>
      </c>
      <c r="BD44" s="118"/>
      <c r="BE44" s="90">
        <f t="shared" si="575"/>
        <v>10703864</v>
      </c>
      <c r="BF44" s="119" t="s">
        <v>1096</v>
      </c>
      <c r="BG44" s="120">
        <f t="shared" si="576"/>
        <v>532981</v>
      </c>
      <c r="BH44" s="121" t="str">
        <f t="shared" si="577"/>
        <v>JG63-0175-R-R-AM</v>
      </c>
      <c r="BI44" s="122" t="str">
        <f t="shared" si="578"/>
        <v>05.08.2026</v>
      </c>
      <c r="BJ44" s="119" t="str">
        <f t="shared" si="579"/>
        <v>18:00:00</v>
      </c>
      <c r="BK44" s="122" t="str">
        <f t="shared" si="580"/>
        <v>06.08.2026</v>
      </c>
      <c r="BL44" s="119" t="str">
        <f t="shared" si="581"/>
        <v>06:00:00</v>
      </c>
      <c r="BM44" s="123">
        <f t="shared" si="582"/>
        <v>5472</v>
      </c>
      <c r="BN44" s="118">
        <v>0</v>
      </c>
      <c r="BO44" s="118" t="s">
        <v>1086</v>
      </c>
      <c r="BP44" s="118"/>
      <c r="BQ44" s="118" t="s">
        <v>1087</v>
      </c>
      <c r="BR44" s="124">
        <f t="shared" si="583"/>
        <v>8.3600000000000012</v>
      </c>
      <c r="BS44" s="124" t="s">
        <v>1087</v>
      </c>
      <c r="BT44" s="124">
        <f t="shared" si="584"/>
        <v>8.3600000000000012</v>
      </c>
      <c r="BU44" s="124" t="s">
        <v>1087</v>
      </c>
      <c r="BV44" s="124">
        <f t="shared" si="585"/>
        <v>8.3600000000000012</v>
      </c>
      <c r="BW44" s="118" t="s">
        <v>1087</v>
      </c>
      <c r="BX44" s="118"/>
      <c r="BY44" s="118" t="s">
        <v>1087</v>
      </c>
      <c r="BZ44" s="118"/>
      <c r="CA44" s="118" t="s">
        <v>1087</v>
      </c>
      <c r="CB44" s="118"/>
      <c r="CC44" s="118"/>
      <c r="CD44" s="118"/>
      <c r="CE44" s="118"/>
      <c r="CF44" s="118"/>
      <c r="CG44" s="118"/>
      <c r="CH44" s="118">
        <v>712</v>
      </c>
      <c r="CI44" s="118"/>
      <c r="CJ44" s="118">
        <f t="shared" si="586"/>
        <v>10703864</v>
      </c>
      <c r="CK44" s="119" t="s">
        <v>1106</v>
      </c>
      <c r="CL44" s="120">
        <f t="shared" si="587"/>
        <v>532981</v>
      </c>
      <c r="CM44" s="121" t="str">
        <f t="shared" si="588"/>
        <v>JG63-0175-R-R-AM</v>
      </c>
      <c r="CN44" s="122" t="str">
        <f t="shared" si="589"/>
        <v>05.08.2026</v>
      </c>
      <c r="CO44" s="125" t="str">
        <f t="shared" si="590"/>
        <v>18:00:00</v>
      </c>
      <c r="CP44" s="122" t="str">
        <f t="shared" si="591"/>
        <v>06.08.2026</v>
      </c>
      <c r="CQ44" s="125" t="str">
        <f t="shared" si="592"/>
        <v>06:00:00</v>
      </c>
      <c r="CR44" s="123">
        <f t="shared" si="559"/>
        <v>5472</v>
      </c>
      <c r="CS44" s="126">
        <f t="shared" si="593"/>
        <v>0</v>
      </c>
      <c r="CT44" s="118" t="s">
        <v>1086</v>
      </c>
      <c r="CU44" s="118"/>
      <c r="CV44" s="118" t="s">
        <v>1087</v>
      </c>
      <c r="CW44" s="127"/>
      <c r="CX44" s="118" t="s">
        <v>1087</v>
      </c>
      <c r="CY44" s="127"/>
      <c r="CZ44" s="118" t="s">
        <v>1087</v>
      </c>
      <c r="DA44" s="127"/>
      <c r="DB44" s="118" t="s">
        <v>1087</v>
      </c>
      <c r="DC44" s="118"/>
      <c r="DD44" s="118" t="s">
        <v>1087</v>
      </c>
      <c r="DE44" s="118"/>
      <c r="DF44" s="118" t="s">
        <v>1087</v>
      </c>
      <c r="DG44" s="118"/>
      <c r="DH44" s="118"/>
      <c r="DI44" s="118"/>
      <c r="DJ44" s="118"/>
      <c r="DK44" s="118"/>
      <c r="DL44" s="118"/>
      <c r="DM44" s="62"/>
      <c r="DN44" s="90" t="str">
        <f t="shared" si="627"/>
        <v>A10</v>
      </c>
      <c r="DO44" s="90" t="str">
        <f t="shared" si="628"/>
        <v>JG63-0175-R-R-AM</v>
      </c>
      <c r="DP44" s="128">
        <f t="shared" si="629"/>
        <v>8467.2000000000007</v>
      </c>
      <c r="DQ44" s="129">
        <f t="shared" si="630"/>
        <v>4740</v>
      </c>
      <c r="DR44" s="130">
        <f t="shared" si="631"/>
        <v>55.980725623582764</v>
      </c>
      <c r="DS44" s="131">
        <f t="shared" si="632"/>
        <v>0</v>
      </c>
      <c r="DT44" s="131">
        <f t="shared" si="633"/>
        <v>0</v>
      </c>
      <c r="DU44" s="132">
        <f t="shared" si="634"/>
        <v>0</v>
      </c>
      <c r="DV44" s="133">
        <f t="shared" si="635"/>
        <v>0</v>
      </c>
      <c r="DW44" s="261">
        <f t="shared" si="636"/>
        <v>0</v>
      </c>
      <c r="DX44" s="262"/>
      <c r="DY44" s="134" t="str">
        <f t="shared" si="637"/>
        <v xml:space="preserve">Stop 12am.Change material. </v>
      </c>
      <c r="DZ44" s="15"/>
      <c r="EA44" s="15"/>
      <c r="EB44" s="15"/>
      <c r="EC44" s="15"/>
      <c r="ED44" s="15"/>
      <c r="EE44" s="15"/>
    </row>
    <row r="45" spans="1:135" s="74" customFormat="1" ht="33" customHeight="1">
      <c r="A45" s="188" t="s">
        <v>1451</v>
      </c>
      <c r="B45" s="100" t="s">
        <v>1333</v>
      </c>
      <c r="C45" s="90" t="s">
        <v>1388</v>
      </c>
      <c r="D45" s="101" t="str">
        <f>VLOOKUP(E45,'Reference Card '!A:E,5,FALSE)</f>
        <v>PET</v>
      </c>
      <c r="E45" s="102">
        <v>322409</v>
      </c>
      <c r="F45" s="103" t="str">
        <f>VLOOKUP(E45,'[1]Reference Card '!A:B,2,FALSE)</f>
        <v>JJ63-0190-E-Q-CL-LW</v>
      </c>
      <c r="G45" s="104">
        <v>10690124</v>
      </c>
      <c r="H45" s="105" t="s">
        <v>1246</v>
      </c>
      <c r="I45" s="85">
        <f>VLOOKUP(E45,'[1]Reference Card '!A:C,3,FALSE)</f>
        <v>4</v>
      </c>
      <c r="J45" s="106">
        <f>VLOOKUP(E45,'[1]Reference Card '!A:H,8,FALSE)</f>
        <v>24</v>
      </c>
      <c r="K45" s="106">
        <f>VLOOKUP(E45,'[1]Reference Card '!A:F,6,FALSE)</f>
        <v>24</v>
      </c>
      <c r="L45" s="86">
        <v>0</v>
      </c>
      <c r="M45" s="86">
        <v>93600</v>
      </c>
      <c r="N45" s="86">
        <v>0</v>
      </c>
      <c r="O45" s="86">
        <v>0</v>
      </c>
      <c r="P45" s="107">
        <f t="shared" si="560"/>
        <v>0</v>
      </c>
      <c r="Q45" s="87">
        <v>0</v>
      </c>
      <c r="R45" s="108">
        <f t="shared" si="561"/>
        <v>0</v>
      </c>
      <c r="S45" s="86">
        <v>0</v>
      </c>
      <c r="T45" s="107">
        <f t="shared" si="562"/>
        <v>93600</v>
      </c>
      <c r="U45" s="109">
        <f t="shared" si="563"/>
        <v>0</v>
      </c>
      <c r="V45" s="108">
        <v>0</v>
      </c>
      <c r="W45" s="86">
        <v>6</v>
      </c>
      <c r="X45" s="110" t="e">
        <f t="shared" si="564"/>
        <v>#DIV/0!</v>
      </c>
      <c r="Y45" s="86">
        <v>0</v>
      </c>
      <c r="Z45" s="111" t="e">
        <f t="shared" si="565"/>
        <v>#DIV/0!</v>
      </c>
      <c r="AA45" s="109">
        <v>22.24</v>
      </c>
      <c r="AB45" s="112">
        <f>AA45/3600*L45</f>
        <v>0</v>
      </c>
      <c r="AC45" s="112">
        <f>VLOOKUP(E45,'[2]Reference Card '!A:I,9,FALSE)</f>
        <v>20</v>
      </c>
      <c r="AD45" s="113"/>
      <c r="AE45" s="113"/>
      <c r="AF45" s="113">
        <v>1.5</v>
      </c>
      <c r="AG45" s="113"/>
      <c r="AH45" s="135">
        <v>4.5</v>
      </c>
      <c r="AI45" s="135"/>
      <c r="AJ45" s="114" t="s">
        <v>1461</v>
      </c>
      <c r="AK45" s="114"/>
      <c r="AL45" s="113"/>
      <c r="AM45" s="113"/>
      <c r="AN45" s="113"/>
      <c r="AO45" s="115">
        <f t="shared" ref="AO45" si="644">(U45-R45-W45-Y45-AM45-AN45)-(O45*K45/1000)</f>
        <v>-6</v>
      </c>
      <c r="AP45" s="90" t="s">
        <v>1314</v>
      </c>
      <c r="AQ45" s="79" t="s">
        <v>1406</v>
      </c>
      <c r="AR45" s="189" t="s">
        <v>1090</v>
      </c>
      <c r="AS45" s="79" t="s">
        <v>1465</v>
      </c>
      <c r="AT45" s="189" t="s">
        <v>1089</v>
      </c>
      <c r="AU45" s="73">
        <f t="shared" si="568"/>
        <v>250</v>
      </c>
      <c r="AV45" s="116">
        <f t="shared" si="569"/>
        <v>250</v>
      </c>
      <c r="AW45" s="116">
        <f t="shared" si="570"/>
        <v>647.48201438848923</v>
      </c>
      <c r="AX45" s="73">
        <f t="shared" si="571"/>
        <v>4.8861111111111111</v>
      </c>
      <c r="AY45" s="73">
        <f t="shared" si="572"/>
        <v>4.5</v>
      </c>
      <c r="AZ45" s="116">
        <f t="shared" si="558"/>
        <v>0</v>
      </c>
      <c r="BA45" s="116">
        <f t="shared" si="573"/>
        <v>250</v>
      </c>
      <c r="BB45" s="117" t="e">
        <f t="shared" si="574"/>
        <v>#DIV/0!</v>
      </c>
      <c r="BC45" s="118">
        <v>712</v>
      </c>
      <c r="BD45" s="118"/>
      <c r="BE45" s="90">
        <f t="shared" si="575"/>
        <v>10690124</v>
      </c>
      <c r="BF45" s="119" t="s">
        <v>1096</v>
      </c>
      <c r="BG45" s="120">
        <f t="shared" si="576"/>
        <v>322409</v>
      </c>
      <c r="BH45" s="121" t="str">
        <f t="shared" si="577"/>
        <v>JJ63-0190-E-Q-CL-LW</v>
      </c>
      <c r="BI45" s="122" t="str">
        <f t="shared" si="578"/>
        <v>05.08.2026</v>
      </c>
      <c r="BJ45" s="119" t="str">
        <f t="shared" si="579"/>
        <v>18:00:00</v>
      </c>
      <c r="BK45" s="122" t="str">
        <f t="shared" si="580"/>
        <v>06.08.2026</v>
      </c>
      <c r="BL45" s="119" t="str">
        <f t="shared" si="581"/>
        <v>06:00:00</v>
      </c>
      <c r="BM45" s="123">
        <f t="shared" si="582"/>
        <v>250</v>
      </c>
      <c r="BN45" s="118">
        <v>0</v>
      </c>
      <c r="BO45" s="118" t="s">
        <v>1086</v>
      </c>
      <c r="BP45" s="118"/>
      <c r="BQ45" s="118" t="s">
        <v>1087</v>
      </c>
      <c r="BR45" s="124">
        <f t="shared" si="583"/>
        <v>4.8861111111111111</v>
      </c>
      <c r="BS45" s="124" t="s">
        <v>1087</v>
      </c>
      <c r="BT45" s="124">
        <f t="shared" si="584"/>
        <v>4.8861111111111111</v>
      </c>
      <c r="BU45" s="124" t="s">
        <v>1087</v>
      </c>
      <c r="BV45" s="124">
        <f t="shared" si="585"/>
        <v>4.8861111111111111</v>
      </c>
      <c r="BW45" s="118" t="s">
        <v>1087</v>
      </c>
      <c r="BX45" s="118"/>
      <c r="BY45" s="118" t="s">
        <v>1087</v>
      </c>
      <c r="BZ45" s="118"/>
      <c r="CA45" s="118" t="s">
        <v>1087</v>
      </c>
      <c r="CB45" s="118"/>
      <c r="CC45" s="118"/>
      <c r="CD45" s="118"/>
      <c r="CE45" s="118"/>
      <c r="CF45" s="118"/>
      <c r="CG45" s="118"/>
      <c r="CH45" s="118">
        <v>712</v>
      </c>
      <c r="CI45" s="118"/>
      <c r="CJ45" s="118">
        <f t="shared" si="586"/>
        <v>10690124</v>
      </c>
      <c r="CK45" s="119" t="s">
        <v>1106</v>
      </c>
      <c r="CL45" s="120">
        <f t="shared" si="587"/>
        <v>322409</v>
      </c>
      <c r="CM45" s="121" t="str">
        <f t="shared" si="588"/>
        <v>JJ63-0190-E-Q-CL-LW</v>
      </c>
      <c r="CN45" s="122" t="str">
        <f t="shared" si="589"/>
        <v>05.08.2026</v>
      </c>
      <c r="CO45" s="125" t="str">
        <f t="shared" si="590"/>
        <v>18:00:00</v>
      </c>
      <c r="CP45" s="122" t="str">
        <f t="shared" si="591"/>
        <v>06.08.2026</v>
      </c>
      <c r="CQ45" s="125" t="str">
        <f t="shared" si="592"/>
        <v>06:00:00</v>
      </c>
      <c r="CR45" s="123">
        <f t="shared" si="559"/>
        <v>0</v>
      </c>
      <c r="CS45" s="126">
        <f t="shared" si="593"/>
        <v>250</v>
      </c>
      <c r="CT45" s="118" t="s">
        <v>1086</v>
      </c>
      <c r="CU45" s="118"/>
      <c r="CV45" s="118" t="s">
        <v>1087</v>
      </c>
      <c r="CW45" s="127"/>
      <c r="CX45" s="118" t="s">
        <v>1087</v>
      </c>
      <c r="CY45" s="127"/>
      <c r="CZ45" s="118" t="s">
        <v>1087</v>
      </c>
      <c r="DA45" s="127"/>
      <c r="DB45" s="118" t="s">
        <v>1087</v>
      </c>
      <c r="DC45" s="118"/>
      <c r="DD45" s="118" t="s">
        <v>1087</v>
      </c>
      <c r="DE45" s="118"/>
      <c r="DF45" s="118" t="s">
        <v>1087</v>
      </c>
      <c r="DG45" s="118"/>
      <c r="DH45" s="118"/>
      <c r="DI45" s="118"/>
      <c r="DJ45" s="118"/>
      <c r="DK45" s="118"/>
      <c r="DL45" s="118"/>
      <c r="DM45" s="62"/>
      <c r="DN45" s="90" t="str">
        <f t="shared" ref="DN45" si="645">B45</f>
        <v>A10</v>
      </c>
      <c r="DO45" s="90" t="str">
        <f t="shared" ref="DO45" si="646">F45</f>
        <v>JJ63-0190-E-Q-CL-LW</v>
      </c>
      <c r="DP45" s="128">
        <f t="shared" ref="DP45" si="647">(3600/AC45)*I45*12*0.98</f>
        <v>8467.2000000000007</v>
      </c>
      <c r="DQ45" s="129">
        <f t="shared" ref="DQ45" si="648">P45</f>
        <v>0</v>
      </c>
      <c r="DR45" s="130">
        <f t="shared" ref="DR45" si="649">DQ45/DP45*100</f>
        <v>0</v>
      </c>
      <c r="DS45" s="131">
        <f t="shared" ref="DS45" si="650">Y45</f>
        <v>0</v>
      </c>
      <c r="DT45" s="131" t="e">
        <f t="shared" ref="DT45" si="651">Z45</f>
        <v>#DIV/0!</v>
      </c>
      <c r="DU45" s="132">
        <f t="shared" ref="DU45" si="652">SUM(AG45:AI45)</f>
        <v>4.5</v>
      </c>
      <c r="DV45" s="133">
        <f t="shared" ref="DV45" si="653">SUM(AD45:AF45)</f>
        <v>1.5</v>
      </c>
      <c r="DW45" s="261" t="e">
        <f t="shared" ref="DW45" si="654">Y45+W45+AM45+AN45/U45*100</f>
        <v>#DIV/0!</v>
      </c>
      <c r="DX45" s="262"/>
      <c r="DY45" s="134" t="str">
        <f t="shared" ref="DY45" si="655">AJ45</f>
        <v>Under tech quality issue thickness out.</v>
      </c>
      <c r="DZ45" s="15"/>
      <c r="EA45" s="15"/>
      <c r="EB45" s="15"/>
      <c r="EC45" s="15"/>
      <c r="ED45" s="15"/>
      <c r="EE45" s="15"/>
    </row>
    <row r="46" spans="1:135" s="74" customFormat="1" ht="33" customHeight="1">
      <c r="A46" s="188" t="s">
        <v>1451</v>
      </c>
      <c r="B46" s="100" t="s">
        <v>1367</v>
      </c>
      <c r="C46" s="90" t="s">
        <v>1382</v>
      </c>
      <c r="D46" s="101" t="str">
        <f>VLOOKUP(E46,'Reference Card '!A:E,5,FALSE)</f>
        <v>PET</v>
      </c>
      <c r="E46" s="102">
        <v>543590</v>
      </c>
      <c r="F46" s="103" t="str">
        <f>VLOOKUP(E46,'[1]Reference Card '!A:B,2,FALSE)</f>
        <v>BC28-0130-R-R-AM</v>
      </c>
      <c r="G46" s="104">
        <v>10702380</v>
      </c>
      <c r="H46" s="105" t="s">
        <v>1246</v>
      </c>
      <c r="I46" s="85">
        <f>VLOOKUP(E46,'[1]Reference Card '!A:C,3,FALSE)</f>
        <v>4</v>
      </c>
      <c r="J46" s="106">
        <f>VLOOKUP(E46,'[1]Reference Card '!A:H,8,FALSE)</f>
        <v>19</v>
      </c>
      <c r="K46" s="106">
        <f>VLOOKUP(E46,'[1]Reference Card '!A:F,6,FALSE)</f>
        <v>19</v>
      </c>
      <c r="L46" s="86">
        <v>2080</v>
      </c>
      <c r="M46" s="86">
        <v>120120</v>
      </c>
      <c r="N46" s="86">
        <v>3388</v>
      </c>
      <c r="O46" s="86">
        <v>4312</v>
      </c>
      <c r="P46" s="107">
        <f t="shared" si="560"/>
        <v>8320</v>
      </c>
      <c r="Q46" s="87">
        <v>7392</v>
      </c>
      <c r="R46" s="108">
        <f t="shared" si="561"/>
        <v>140.44800000000001</v>
      </c>
      <c r="S46" s="86">
        <v>107800</v>
      </c>
      <c r="T46" s="107">
        <f t="shared" si="562"/>
        <v>12320</v>
      </c>
      <c r="U46" s="109">
        <f t="shared" si="563"/>
        <v>158.08000000000001</v>
      </c>
      <c r="V46" s="108">
        <f t="shared" ref="V46" si="656">(J46-K46)*P46/1000</f>
        <v>0</v>
      </c>
      <c r="W46" s="86">
        <v>0</v>
      </c>
      <c r="X46" s="110">
        <f t="shared" si="564"/>
        <v>0</v>
      </c>
      <c r="Y46" s="86">
        <v>2</v>
      </c>
      <c r="Z46" s="111">
        <f t="shared" si="565"/>
        <v>1.2651821862348178E-2</v>
      </c>
      <c r="AA46" s="109">
        <v>20.2</v>
      </c>
      <c r="AB46" s="112">
        <f>AA46/3600*L46</f>
        <v>11.671111111111111</v>
      </c>
      <c r="AC46" s="112">
        <f>VLOOKUP(E46,'[2]Reference Card '!A:I,9,FALSE)</f>
        <v>18.72</v>
      </c>
      <c r="AD46" s="113"/>
      <c r="AE46" s="113"/>
      <c r="AF46" s="113"/>
      <c r="AG46" s="113"/>
      <c r="AH46" s="135"/>
      <c r="AI46" s="135"/>
      <c r="AJ46" s="114" t="s">
        <v>1349</v>
      </c>
      <c r="AK46" s="114"/>
      <c r="AL46" s="113"/>
      <c r="AM46" s="113"/>
      <c r="AN46" s="113"/>
      <c r="AO46" s="115">
        <f t="shared" ref="AO46" si="657">(U46-R46-W46-Y46-AM46-AN46)-(O46*K46/1000)</f>
        <v>-66.295999999999992</v>
      </c>
      <c r="AP46" s="90" t="s">
        <v>1314</v>
      </c>
      <c r="AQ46" s="79" t="s">
        <v>1406</v>
      </c>
      <c r="AR46" s="189" t="s">
        <v>1090</v>
      </c>
      <c r="AS46" s="79" t="s">
        <v>1465</v>
      </c>
      <c r="AT46" s="189" t="s">
        <v>1089</v>
      </c>
      <c r="AU46" s="73">
        <f t="shared" si="568"/>
        <v>105.26315789473684</v>
      </c>
      <c r="AV46" s="116">
        <f t="shared" si="569"/>
        <v>7497.2631578947367</v>
      </c>
      <c r="AW46" s="116">
        <f t="shared" si="570"/>
        <v>712.87128712871288</v>
      </c>
      <c r="AX46" s="73">
        <f t="shared" si="571"/>
        <v>10.516994152046783</v>
      </c>
      <c r="AY46" s="73">
        <f t="shared" si="572"/>
        <v>0</v>
      </c>
      <c r="AZ46" s="116">
        <f t="shared" si="558"/>
        <v>7392</v>
      </c>
      <c r="BA46" s="116">
        <f t="shared" si="573"/>
        <v>105.26315789473684</v>
      </c>
      <c r="BB46" s="117">
        <f t="shared" si="574"/>
        <v>1.4240145819093187E-2</v>
      </c>
      <c r="BC46" s="118">
        <v>712</v>
      </c>
      <c r="BD46" s="118"/>
      <c r="BE46" s="90">
        <f t="shared" si="575"/>
        <v>10702380</v>
      </c>
      <c r="BF46" s="119" t="s">
        <v>1096</v>
      </c>
      <c r="BG46" s="120">
        <f t="shared" si="576"/>
        <v>543590</v>
      </c>
      <c r="BH46" s="121" t="str">
        <f t="shared" si="577"/>
        <v>BC28-0130-R-R-AM</v>
      </c>
      <c r="BI46" s="122" t="str">
        <f t="shared" si="578"/>
        <v>05.08.2026</v>
      </c>
      <c r="BJ46" s="119" t="str">
        <f t="shared" si="579"/>
        <v>18:00:00</v>
      </c>
      <c r="BK46" s="122" t="str">
        <f t="shared" si="580"/>
        <v>06.08.2026</v>
      </c>
      <c r="BL46" s="119" t="str">
        <f t="shared" si="581"/>
        <v>06:00:00</v>
      </c>
      <c r="BM46" s="123">
        <f t="shared" si="582"/>
        <v>7497</v>
      </c>
      <c r="BN46" s="118">
        <v>0</v>
      </c>
      <c r="BO46" s="118" t="s">
        <v>1086</v>
      </c>
      <c r="BP46" s="118"/>
      <c r="BQ46" s="118" t="s">
        <v>1087</v>
      </c>
      <c r="BR46" s="124">
        <f t="shared" si="583"/>
        <v>10.516994152046783</v>
      </c>
      <c r="BS46" s="124" t="s">
        <v>1087</v>
      </c>
      <c r="BT46" s="124">
        <f t="shared" si="584"/>
        <v>10.516994152046783</v>
      </c>
      <c r="BU46" s="124" t="s">
        <v>1087</v>
      </c>
      <c r="BV46" s="124">
        <f t="shared" si="585"/>
        <v>10.516994152046783</v>
      </c>
      <c r="BW46" s="118" t="s">
        <v>1087</v>
      </c>
      <c r="BX46" s="118"/>
      <c r="BY46" s="118" t="s">
        <v>1087</v>
      </c>
      <c r="BZ46" s="118"/>
      <c r="CA46" s="118" t="s">
        <v>1087</v>
      </c>
      <c r="CB46" s="118"/>
      <c r="CC46" s="118"/>
      <c r="CD46" s="118"/>
      <c r="CE46" s="118"/>
      <c r="CF46" s="118"/>
      <c r="CG46" s="118"/>
      <c r="CH46" s="118">
        <v>712</v>
      </c>
      <c r="CI46" s="118"/>
      <c r="CJ46" s="118">
        <f t="shared" si="586"/>
        <v>10702380</v>
      </c>
      <c r="CK46" s="119" t="s">
        <v>1106</v>
      </c>
      <c r="CL46" s="120">
        <f t="shared" si="587"/>
        <v>543590</v>
      </c>
      <c r="CM46" s="121" t="str">
        <f t="shared" si="588"/>
        <v>BC28-0130-R-R-AM</v>
      </c>
      <c r="CN46" s="122" t="str">
        <f t="shared" si="589"/>
        <v>05.08.2026</v>
      </c>
      <c r="CO46" s="125" t="str">
        <f t="shared" si="590"/>
        <v>18:00:00</v>
      </c>
      <c r="CP46" s="122" t="str">
        <f t="shared" si="591"/>
        <v>06.08.2026</v>
      </c>
      <c r="CQ46" s="125" t="str">
        <f t="shared" si="592"/>
        <v>06:00:00</v>
      </c>
      <c r="CR46" s="123">
        <f t="shared" si="559"/>
        <v>7392</v>
      </c>
      <c r="CS46" s="126">
        <f t="shared" si="593"/>
        <v>105</v>
      </c>
      <c r="CT46" s="118" t="s">
        <v>1086</v>
      </c>
      <c r="CU46" s="118"/>
      <c r="CV46" s="118" t="s">
        <v>1087</v>
      </c>
      <c r="CW46" s="127"/>
      <c r="CX46" s="118" t="s">
        <v>1087</v>
      </c>
      <c r="CY46" s="127"/>
      <c r="CZ46" s="118" t="s">
        <v>1087</v>
      </c>
      <c r="DA46" s="127"/>
      <c r="DB46" s="118" t="s">
        <v>1087</v>
      </c>
      <c r="DC46" s="118"/>
      <c r="DD46" s="118" t="s">
        <v>1087</v>
      </c>
      <c r="DE46" s="118"/>
      <c r="DF46" s="118" t="s">
        <v>1087</v>
      </c>
      <c r="DG46" s="118"/>
      <c r="DH46" s="118"/>
      <c r="DI46" s="118"/>
      <c r="DJ46" s="118"/>
      <c r="DK46" s="118"/>
      <c r="DL46" s="118"/>
      <c r="DM46" s="62"/>
      <c r="DN46" s="90" t="str">
        <f t="shared" ref="DN46" si="658">B46</f>
        <v>A12</v>
      </c>
      <c r="DO46" s="90" t="str">
        <f t="shared" ref="DO46" si="659">F46</f>
        <v>BC28-0130-R-R-AM</v>
      </c>
      <c r="DP46" s="128">
        <f t="shared" ref="DP46" si="660">(3600/AC46)*I46*12*0.98</f>
        <v>9046.1538461538457</v>
      </c>
      <c r="DQ46" s="129">
        <f t="shared" ref="DQ46" si="661">P46</f>
        <v>8320</v>
      </c>
      <c r="DR46" s="130">
        <f t="shared" ref="DR46" si="662">DQ46/DP46*100</f>
        <v>91.972789115646265</v>
      </c>
      <c r="DS46" s="131">
        <f t="shared" ref="DS46" si="663">Y46</f>
        <v>2</v>
      </c>
      <c r="DT46" s="131">
        <f t="shared" ref="DT46" si="664">Z46</f>
        <v>1.2651821862348178E-2</v>
      </c>
      <c r="DU46" s="132">
        <f t="shared" ref="DU46" si="665">SUM(AG46:AI46)</f>
        <v>0</v>
      </c>
      <c r="DV46" s="133">
        <f t="shared" ref="DV46" si="666">SUM(AD46:AF46)</f>
        <v>0</v>
      </c>
      <c r="DW46" s="261">
        <f t="shared" ref="DW46" si="667">Y46+W46+AM46+AN46/U46*100</f>
        <v>2</v>
      </c>
      <c r="DX46" s="262"/>
      <c r="DY46" s="134" t="str">
        <f t="shared" ref="DY46" si="668">AJ46</f>
        <v>Run well.L.test.</v>
      </c>
      <c r="DZ46" s="15"/>
      <c r="EA46" s="15"/>
      <c r="EB46" s="15"/>
      <c r="EC46" s="15"/>
      <c r="ED46" s="15"/>
      <c r="EE46" s="15"/>
    </row>
    <row r="47" spans="1:135" s="74" customFormat="1" ht="33" customHeight="1">
      <c r="A47" s="188" t="s">
        <v>1451</v>
      </c>
      <c r="B47" s="163" t="s">
        <v>1323</v>
      </c>
      <c r="C47" s="164" t="s">
        <v>1448</v>
      </c>
      <c r="D47" s="101" t="str">
        <f>VLOOKUP(E47,'Reference Card '!A:E,5,FALSE)</f>
        <v>rPET</v>
      </c>
      <c r="E47" s="165">
        <v>593537</v>
      </c>
      <c r="F47" s="166" t="str">
        <f>VLOOKUP(E47,'[1]Reference Card '!A:B,2,FALSE)</f>
        <v>BX38-1000-RN-R-CL-rPET 0.2</v>
      </c>
      <c r="G47" s="191">
        <v>10704764</v>
      </c>
      <c r="H47" s="167" t="s">
        <v>1246</v>
      </c>
      <c r="I47" s="85">
        <f>VLOOKUP(E47,'[1]Reference Card '!A:C,3,FALSE)</f>
        <v>4</v>
      </c>
      <c r="J47" s="168">
        <f>VLOOKUP(E47,'[1]Reference Card '!A:H,8,FALSE)</f>
        <v>56.5</v>
      </c>
      <c r="K47" s="168">
        <f>VLOOKUP(E47,'[1]Reference Card '!A:F,6,FALSE)</f>
        <v>56.8</v>
      </c>
      <c r="L47" s="86">
        <v>1466</v>
      </c>
      <c r="M47" s="190">
        <v>69000</v>
      </c>
      <c r="N47" s="86">
        <v>115</v>
      </c>
      <c r="O47" s="86">
        <v>230</v>
      </c>
      <c r="P47" s="169">
        <f t="shared" si="560"/>
        <v>5864</v>
      </c>
      <c r="Q47" s="87">
        <v>5750</v>
      </c>
      <c r="R47" s="170">
        <f t="shared" si="561"/>
        <v>326.60000000000002</v>
      </c>
      <c r="S47" s="86">
        <v>15180</v>
      </c>
      <c r="T47" s="169">
        <f t="shared" si="562"/>
        <v>53820</v>
      </c>
      <c r="U47" s="171">
        <f t="shared" si="563"/>
        <v>333.0752</v>
      </c>
      <c r="V47" s="108">
        <v>0</v>
      </c>
      <c r="W47" s="86">
        <v>0</v>
      </c>
      <c r="X47" s="172">
        <f t="shared" si="564"/>
        <v>0</v>
      </c>
      <c r="Y47" s="86">
        <v>1.8</v>
      </c>
      <c r="Z47" s="173">
        <f t="shared" si="565"/>
        <v>5.40418500086467E-3</v>
      </c>
      <c r="AA47" s="171">
        <v>29</v>
      </c>
      <c r="AB47" s="174">
        <f>AA47/3600*L47</f>
        <v>11.809444444444445</v>
      </c>
      <c r="AC47" s="174">
        <f>VLOOKUP(E47,'[2]Reference Card '!A:I,9,FALSE)</f>
        <v>28.5</v>
      </c>
      <c r="AD47" s="175"/>
      <c r="AE47" s="175"/>
      <c r="AF47" s="175"/>
      <c r="AG47" s="175"/>
      <c r="AH47" s="175"/>
      <c r="AI47" s="176"/>
      <c r="AJ47" s="114" t="s">
        <v>1349</v>
      </c>
      <c r="AK47" s="177"/>
      <c r="AL47" s="175"/>
      <c r="AM47" s="175"/>
      <c r="AN47" s="175"/>
      <c r="AO47" s="115">
        <f t="shared" ref="AO47" si="669">(U47-R47-W47-Y47-AM47-AN47)-(O47*K47/1000)</f>
        <v>-8.3888000000000282</v>
      </c>
      <c r="AP47" s="90" t="s">
        <v>1314</v>
      </c>
      <c r="AQ47" s="79" t="s">
        <v>1406</v>
      </c>
      <c r="AR47" s="189" t="s">
        <v>1090</v>
      </c>
      <c r="AS47" s="79" t="s">
        <v>1465</v>
      </c>
      <c r="AT47" s="189" t="s">
        <v>1089</v>
      </c>
      <c r="AU47" s="73">
        <f t="shared" si="568"/>
        <v>31.690140845070424</v>
      </c>
      <c r="AV47" s="116">
        <f t="shared" si="569"/>
        <v>5781.6901408450703</v>
      </c>
      <c r="AW47" s="116">
        <f t="shared" si="570"/>
        <v>496.55172413793105</v>
      </c>
      <c r="AX47" s="73">
        <f t="shared" si="571"/>
        <v>11.643681533646323</v>
      </c>
      <c r="AY47" s="73">
        <f t="shared" si="572"/>
        <v>0</v>
      </c>
      <c r="AZ47" s="116">
        <f t="shared" si="558"/>
        <v>5750</v>
      </c>
      <c r="BA47" s="116">
        <f t="shared" si="573"/>
        <v>31.690140845070424</v>
      </c>
      <c r="BB47" s="117">
        <f t="shared" si="574"/>
        <v>5.5113288426209429E-3</v>
      </c>
      <c r="BC47" s="118">
        <v>712</v>
      </c>
      <c r="BD47" s="118"/>
      <c r="BE47" s="90">
        <f t="shared" si="575"/>
        <v>10704764</v>
      </c>
      <c r="BF47" s="119" t="s">
        <v>1096</v>
      </c>
      <c r="BG47" s="120">
        <f t="shared" si="576"/>
        <v>593537</v>
      </c>
      <c r="BH47" s="121" t="str">
        <f t="shared" si="577"/>
        <v>BX38-1000-RN-R-CL-rPET 0.2</v>
      </c>
      <c r="BI47" s="122" t="str">
        <f t="shared" si="578"/>
        <v>05.08.2026</v>
      </c>
      <c r="BJ47" s="119" t="str">
        <f t="shared" si="579"/>
        <v>18:00:00</v>
      </c>
      <c r="BK47" s="122" t="str">
        <f t="shared" si="580"/>
        <v>06.08.2026</v>
      </c>
      <c r="BL47" s="119" t="str">
        <f t="shared" si="581"/>
        <v>06:00:00</v>
      </c>
      <c r="BM47" s="123">
        <f t="shared" si="582"/>
        <v>5781</v>
      </c>
      <c r="BN47" s="118">
        <v>0</v>
      </c>
      <c r="BO47" s="118" t="s">
        <v>1086</v>
      </c>
      <c r="BP47" s="118"/>
      <c r="BQ47" s="118" t="s">
        <v>1087</v>
      </c>
      <c r="BR47" s="124">
        <f t="shared" si="583"/>
        <v>11.643681533646323</v>
      </c>
      <c r="BS47" s="124" t="s">
        <v>1087</v>
      </c>
      <c r="BT47" s="124">
        <f t="shared" si="584"/>
        <v>11.643681533646323</v>
      </c>
      <c r="BU47" s="124" t="s">
        <v>1087</v>
      </c>
      <c r="BV47" s="124">
        <f t="shared" si="585"/>
        <v>11.643681533646323</v>
      </c>
      <c r="BW47" s="118" t="s">
        <v>1087</v>
      </c>
      <c r="BX47" s="118"/>
      <c r="BY47" s="118" t="s">
        <v>1087</v>
      </c>
      <c r="BZ47" s="118"/>
      <c r="CA47" s="118" t="s">
        <v>1087</v>
      </c>
      <c r="CB47" s="118"/>
      <c r="CC47" s="118"/>
      <c r="CD47" s="118"/>
      <c r="CE47" s="118"/>
      <c r="CF47" s="118"/>
      <c r="CG47" s="118"/>
      <c r="CH47" s="118">
        <v>712</v>
      </c>
      <c r="CI47" s="118"/>
      <c r="CJ47" s="118">
        <f t="shared" si="586"/>
        <v>10704764</v>
      </c>
      <c r="CK47" s="119" t="s">
        <v>1106</v>
      </c>
      <c r="CL47" s="120">
        <f t="shared" si="587"/>
        <v>593537</v>
      </c>
      <c r="CM47" s="121" t="str">
        <f t="shared" si="588"/>
        <v>BX38-1000-RN-R-CL-rPET 0.2</v>
      </c>
      <c r="CN47" s="122" t="str">
        <f t="shared" si="589"/>
        <v>05.08.2026</v>
      </c>
      <c r="CO47" s="125" t="str">
        <f t="shared" si="590"/>
        <v>18:00:00</v>
      </c>
      <c r="CP47" s="122" t="str">
        <f t="shared" si="591"/>
        <v>06.08.2026</v>
      </c>
      <c r="CQ47" s="125" t="str">
        <f t="shared" si="592"/>
        <v>06:00:00</v>
      </c>
      <c r="CR47" s="123">
        <f t="shared" si="559"/>
        <v>5750</v>
      </c>
      <c r="CS47" s="126">
        <f t="shared" si="593"/>
        <v>31</v>
      </c>
      <c r="CT47" s="118" t="s">
        <v>1086</v>
      </c>
      <c r="CU47" s="118"/>
      <c r="CV47" s="118" t="s">
        <v>1087</v>
      </c>
      <c r="CW47" s="127"/>
      <c r="CX47" s="118" t="s">
        <v>1087</v>
      </c>
      <c r="CY47" s="127"/>
      <c r="CZ47" s="118" t="s">
        <v>1087</v>
      </c>
      <c r="DA47" s="127"/>
      <c r="DB47" s="118" t="s">
        <v>1087</v>
      </c>
      <c r="DC47" s="118"/>
      <c r="DD47" s="118" t="s">
        <v>1087</v>
      </c>
      <c r="DE47" s="118"/>
      <c r="DF47" s="118" t="s">
        <v>1087</v>
      </c>
      <c r="DG47" s="118"/>
      <c r="DH47" s="118"/>
      <c r="DI47" s="118"/>
      <c r="DJ47" s="118"/>
      <c r="DK47" s="118"/>
      <c r="DL47" s="118"/>
      <c r="DM47" s="62"/>
      <c r="DN47" s="164" t="str">
        <f t="shared" ref="DN47" si="670">B47</f>
        <v>A13</v>
      </c>
      <c r="DO47" s="164" t="str">
        <f t="shared" ref="DO47" si="671">F47</f>
        <v>BX38-1000-RN-R-CL-rPET 0.2</v>
      </c>
      <c r="DP47" s="178">
        <f t="shared" ref="DP47" si="672">(3600/AC47)*I47*12*0.98</f>
        <v>5941.894736842105</v>
      </c>
      <c r="DQ47" s="179">
        <f t="shared" ref="DQ47" si="673">P47</f>
        <v>5864</v>
      </c>
      <c r="DR47" s="180">
        <f t="shared" ref="DR47" si="674">DQ47/DP47*100</f>
        <v>98.689058956916114</v>
      </c>
      <c r="DS47" s="181">
        <f t="shared" ref="DS47" si="675">Y47</f>
        <v>1.8</v>
      </c>
      <c r="DT47" s="181">
        <f t="shared" ref="DT47" si="676">Z47</f>
        <v>5.40418500086467E-3</v>
      </c>
      <c r="DU47" s="182">
        <f t="shared" ref="DU47" si="677">SUM(AG47:AI47)</f>
        <v>0</v>
      </c>
      <c r="DV47" s="183">
        <f t="shared" ref="DV47" si="678">SUM(AD47:AF47)</f>
        <v>0</v>
      </c>
      <c r="DW47" s="266">
        <f t="shared" ref="DW47" si="679">Y47+W47+AM47+AN47/U47*100</f>
        <v>1.8</v>
      </c>
      <c r="DX47" s="267"/>
      <c r="DY47" s="184" t="str">
        <f t="shared" ref="DY47" si="680">AJ47</f>
        <v>Run well.L.test.</v>
      </c>
      <c r="DZ47" s="15"/>
      <c r="EA47" s="15"/>
      <c r="EB47" s="15"/>
      <c r="EC47" s="15"/>
      <c r="ED47" s="15"/>
      <c r="EE47" s="15"/>
    </row>
    <row r="48" spans="1:135" s="74" customFormat="1" ht="33" customHeight="1">
      <c r="A48" s="188" t="s">
        <v>1451</v>
      </c>
      <c r="B48" s="100" t="s">
        <v>1259</v>
      </c>
      <c r="C48" s="90" t="s">
        <v>1384</v>
      </c>
      <c r="D48" s="101" t="str">
        <f>VLOOKUP(E48,'Reference Card '!A:E,5,FALSE)</f>
        <v>KingFa NC050</v>
      </c>
      <c r="E48" s="102">
        <v>666344</v>
      </c>
      <c r="F48" s="103" t="s">
        <v>1338</v>
      </c>
      <c r="G48" s="104">
        <v>10703060</v>
      </c>
      <c r="H48" s="105" t="s">
        <v>1246</v>
      </c>
      <c r="I48" s="85">
        <f>VLOOKUP(E48,'[1]Reference Card '!A:C,3,FALSE)</f>
        <v>6</v>
      </c>
      <c r="J48" s="106">
        <v>12.3</v>
      </c>
      <c r="K48" s="106">
        <v>12.3</v>
      </c>
      <c r="L48" s="86">
        <v>1555</v>
      </c>
      <c r="M48" s="86">
        <v>162000</v>
      </c>
      <c r="N48" s="86">
        <v>5670</v>
      </c>
      <c r="O48" s="86">
        <v>6885</v>
      </c>
      <c r="P48" s="107">
        <f t="shared" si="560"/>
        <v>9330</v>
      </c>
      <c r="Q48" s="87">
        <v>8100</v>
      </c>
      <c r="R48" s="108">
        <f t="shared" si="561"/>
        <v>99.63</v>
      </c>
      <c r="S48" s="86">
        <v>128385</v>
      </c>
      <c r="T48" s="107">
        <f t="shared" si="562"/>
        <v>33615</v>
      </c>
      <c r="U48" s="109">
        <f t="shared" si="563"/>
        <v>114.759</v>
      </c>
      <c r="V48" s="108">
        <f t="shared" ref="V48:V69" si="681">(J48-K48)*P48/1000</f>
        <v>0</v>
      </c>
      <c r="W48" s="86">
        <v>0</v>
      </c>
      <c r="X48" s="110">
        <f t="shared" si="564"/>
        <v>0</v>
      </c>
      <c r="Y48" s="86">
        <v>1.8</v>
      </c>
      <c r="Z48" s="111">
        <f t="shared" si="565"/>
        <v>1.5685044310250178E-2</v>
      </c>
      <c r="AA48" s="109">
        <v>27.8</v>
      </c>
      <c r="AB48" s="112">
        <f t="shared" ref="AB48:AB69" si="682">AA48/3600*L48</f>
        <v>12.008055555555556</v>
      </c>
      <c r="AC48" s="112">
        <f>VLOOKUP(E48,'[2]Reference Card '!A:I,9,FALSE)</f>
        <v>26</v>
      </c>
      <c r="AD48" s="113"/>
      <c r="AE48" s="113"/>
      <c r="AF48" s="113"/>
      <c r="AG48" s="113"/>
      <c r="AH48" s="135"/>
      <c r="AI48" s="135"/>
      <c r="AJ48" s="114" t="s">
        <v>1349</v>
      </c>
      <c r="AK48" s="114"/>
      <c r="AL48" s="113"/>
      <c r="AM48" s="113"/>
      <c r="AN48" s="113"/>
      <c r="AO48" s="115">
        <f t="shared" ref="AO48:AO50" si="683">(U48-R48-W48-Y48-AM48-AN48)-(O48*K48/1000)</f>
        <v>-71.356499999999997</v>
      </c>
      <c r="AP48" s="90" t="s">
        <v>1314</v>
      </c>
      <c r="AQ48" s="79" t="s">
        <v>1406</v>
      </c>
      <c r="AR48" s="189" t="s">
        <v>1090</v>
      </c>
      <c r="AS48" s="79" t="s">
        <v>1465</v>
      </c>
      <c r="AT48" s="189" t="s">
        <v>1089</v>
      </c>
      <c r="AU48" s="73">
        <f t="shared" si="568"/>
        <v>146.34146341463415</v>
      </c>
      <c r="AV48" s="116">
        <f t="shared" si="569"/>
        <v>8246.3414634146338</v>
      </c>
      <c r="AW48" s="116">
        <f t="shared" si="570"/>
        <v>776.97841726618708</v>
      </c>
      <c r="AX48" s="73">
        <f t="shared" si="571"/>
        <v>10.613346883468834</v>
      </c>
      <c r="AY48" s="73">
        <f t="shared" si="572"/>
        <v>0</v>
      </c>
      <c r="AZ48" s="116">
        <f t="shared" si="558"/>
        <v>8100</v>
      </c>
      <c r="BA48" s="116">
        <f t="shared" si="573"/>
        <v>146.34146341463415</v>
      </c>
      <c r="BB48" s="117">
        <f t="shared" si="574"/>
        <v>1.8066847335140017E-2</v>
      </c>
      <c r="BC48" s="118">
        <v>712</v>
      </c>
      <c r="BD48" s="118"/>
      <c r="BE48" s="90">
        <f t="shared" si="575"/>
        <v>10703060</v>
      </c>
      <c r="BF48" s="119" t="s">
        <v>1096</v>
      </c>
      <c r="BG48" s="120">
        <f t="shared" si="576"/>
        <v>666344</v>
      </c>
      <c r="BH48" s="121" t="str">
        <f t="shared" si="577"/>
        <v>BC28-0056-D-APH-5040-0756-PP</v>
      </c>
      <c r="BI48" s="122" t="str">
        <f t="shared" si="578"/>
        <v>05.08.2026</v>
      </c>
      <c r="BJ48" s="119" t="str">
        <f t="shared" si="579"/>
        <v>18:00:00</v>
      </c>
      <c r="BK48" s="122" t="str">
        <f t="shared" si="580"/>
        <v>06.08.2026</v>
      </c>
      <c r="BL48" s="119" t="str">
        <f t="shared" si="581"/>
        <v>06:00:00</v>
      </c>
      <c r="BM48" s="123">
        <f t="shared" si="582"/>
        <v>8246</v>
      </c>
      <c r="BN48" s="118">
        <v>0</v>
      </c>
      <c r="BO48" s="118" t="s">
        <v>1086</v>
      </c>
      <c r="BP48" s="118"/>
      <c r="BQ48" s="118" t="s">
        <v>1087</v>
      </c>
      <c r="BR48" s="124">
        <f t="shared" si="583"/>
        <v>10.613346883468834</v>
      </c>
      <c r="BS48" s="124" t="s">
        <v>1087</v>
      </c>
      <c r="BT48" s="124">
        <f t="shared" si="584"/>
        <v>10.613346883468834</v>
      </c>
      <c r="BU48" s="124" t="s">
        <v>1087</v>
      </c>
      <c r="BV48" s="124">
        <f t="shared" si="585"/>
        <v>10.613346883468834</v>
      </c>
      <c r="BW48" s="118" t="s">
        <v>1087</v>
      </c>
      <c r="BX48" s="118"/>
      <c r="BY48" s="118" t="s">
        <v>1087</v>
      </c>
      <c r="BZ48" s="118"/>
      <c r="CA48" s="118" t="s">
        <v>1087</v>
      </c>
      <c r="CB48" s="118"/>
      <c r="CC48" s="118"/>
      <c r="CD48" s="118"/>
      <c r="CE48" s="118"/>
      <c r="CF48" s="118"/>
      <c r="CG48" s="118"/>
      <c r="CH48" s="118">
        <v>712</v>
      </c>
      <c r="CI48" s="118"/>
      <c r="CJ48" s="118">
        <f t="shared" si="586"/>
        <v>10703060</v>
      </c>
      <c r="CK48" s="119" t="s">
        <v>1106</v>
      </c>
      <c r="CL48" s="120">
        <f t="shared" si="587"/>
        <v>666344</v>
      </c>
      <c r="CM48" s="121" t="str">
        <f t="shared" si="588"/>
        <v>BC28-0056-D-APH-5040-0756-PP</v>
      </c>
      <c r="CN48" s="122" t="str">
        <f t="shared" si="589"/>
        <v>05.08.2026</v>
      </c>
      <c r="CO48" s="125" t="str">
        <f t="shared" si="590"/>
        <v>18:00:00</v>
      </c>
      <c r="CP48" s="122" t="str">
        <f t="shared" si="591"/>
        <v>06.08.2026</v>
      </c>
      <c r="CQ48" s="125" t="str">
        <f t="shared" si="592"/>
        <v>06:00:00</v>
      </c>
      <c r="CR48" s="123">
        <f t="shared" si="559"/>
        <v>8100</v>
      </c>
      <c r="CS48" s="126">
        <f t="shared" si="593"/>
        <v>146</v>
      </c>
      <c r="CT48" s="118" t="s">
        <v>1086</v>
      </c>
      <c r="CU48" s="118"/>
      <c r="CV48" s="118" t="s">
        <v>1087</v>
      </c>
      <c r="CW48" s="127"/>
      <c r="CX48" s="118" t="s">
        <v>1087</v>
      </c>
      <c r="CY48" s="127"/>
      <c r="CZ48" s="118" t="s">
        <v>1087</v>
      </c>
      <c r="DA48" s="127"/>
      <c r="DB48" s="118" t="s">
        <v>1087</v>
      </c>
      <c r="DC48" s="118"/>
      <c r="DD48" s="118" t="s">
        <v>1087</v>
      </c>
      <c r="DE48" s="118"/>
      <c r="DF48" s="118" t="s">
        <v>1087</v>
      </c>
      <c r="DG48" s="118"/>
      <c r="DH48" s="118"/>
      <c r="DI48" s="118"/>
      <c r="DJ48" s="118"/>
      <c r="DK48" s="118"/>
      <c r="DL48" s="118"/>
      <c r="DM48" s="62"/>
      <c r="DN48" s="90" t="str">
        <f t="shared" ref="DN48:DN50" si="684">B48</f>
        <v>A14</v>
      </c>
      <c r="DO48" s="90" t="str">
        <f t="shared" ref="DO48:DO50" si="685">F48</f>
        <v>BC28-0056-D-APH-5040-0756-PP</v>
      </c>
      <c r="DP48" s="128">
        <f t="shared" ref="DP48:DP50" si="686">(3600/AC48)*I48*12*0.98</f>
        <v>9769.8461538461543</v>
      </c>
      <c r="DQ48" s="129">
        <f t="shared" ref="DQ48:DQ50" si="687">P48</f>
        <v>9330</v>
      </c>
      <c r="DR48" s="130">
        <f t="shared" ref="DR48:DR50" si="688">DQ48/DP48*100</f>
        <v>95.497921390778529</v>
      </c>
      <c r="DS48" s="131">
        <f t="shared" ref="DS48:DS50" si="689">Y48</f>
        <v>1.8</v>
      </c>
      <c r="DT48" s="131">
        <f t="shared" ref="DT48:DT50" si="690">Z48</f>
        <v>1.5685044310250178E-2</v>
      </c>
      <c r="DU48" s="132">
        <f t="shared" ref="DU48:DU50" si="691">SUM(AG48:AI48)</f>
        <v>0</v>
      </c>
      <c r="DV48" s="133">
        <f t="shared" ref="DV48:DV50" si="692">SUM(AD48:AF48)</f>
        <v>0</v>
      </c>
      <c r="DW48" s="186">
        <f t="shared" ref="DW48:DW50" si="693">Y48+W48+AM48+AN48/U48*100</f>
        <v>1.8</v>
      </c>
      <c r="DX48" s="187"/>
      <c r="DY48" s="134" t="str">
        <f t="shared" ref="DY48:DY50" si="694">AJ48</f>
        <v>Run well.L.test.</v>
      </c>
      <c r="DZ48" s="15"/>
      <c r="EA48" s="15"/>
      <c r="EB48" s="15"/>
      <c r="EC48" s="15"/>
      <c r="ED48" s="15"/>
      <c r="EE48" s="15"/>
    </row>
    <row r="49" spans="1:135" s="74" customFormat="1" ht="33" customHeight="1">
      <c r="A49" s="188" t="s">
        <v>1451</v>
      </c>
      <c r="B49" s="100" t="s">
        <v>1344</v>
      </c>
      <c r="C49" s="90" t="s">
        <v>1387</v>
      </c>
      <c r="D49" s="101" t="str">
        <f>VLOOKUP(E49,'Reference Card '!A:E,5,FALSE)</f>
        <v>PET</v>
      </c>
      <c r="E49" s="102">
        <v>323092</v>
      </c>
      <c r="F49" s="103" t="str">
        <f>VLOOKUP(E49,'[1]Reference Card '!A:B,2,FALSE)</f>
        <v>BX38-1000-GH-R-CL(GREEN) (ASEM)</v>
      </c>
      <c r="G49" s="104">
        <v>10703678</v>
      </c>
      <c r="H49" s="105" t="s">
        <v>1246</v>
      </c>
      <c r="I49" s="85">
        <f>VLOOKUP(E49,'[1]Reference Card '!A:C,3,FALSE)</f>
        <v>4</v>
      </c>
      <c r="J49" s="185">
        <f>VLOOKUP(E49,'[1]Reference Card '!A:H,8,FALSE)</f>
        <v>48.9</v>
      </c>
      <c r="K49" s="185">
        <f>VLOOKUP(E49,'[1]Reference Card '!A:F,6,FALSE)</f>
        <v>48.9</v>
      </c>
      <c r="L49" s="86">
        <v>1080</v>
      </c>
      <c r="M49" s="86">
        <v>40950</v>
      </c>
      <c r="N49" s="86">
        <v>420</v>
      </c>
      <c r="O49" s="86">
        <v>0</v>
      </c>
      <c r="P49" s="107">
        <f t="shared" ref="P49" si="695">L49*I49</f>
        <v>4320</v>
      </c>
      <c r="Q49" s="87">
        <v>4725</v>
      </c>
      <c r="R49" s="108">
        <f t="shared" ref="R49" si="696">(Q49*K49)/1000</f>
        <v>231.05250000000001</v>
      </c>
      <c r="S49" s="86">
        <v>40950</v>
      </c>
      <c r="T49" s="107">
        <f t="shared" ref="T49" si="697">IF(M49="Sample","-",IF(M49="RTFN","-",M49-S49))</f>
        <v>0</v>
      </c>
      <c r="U49" s="109">
        <f t="shared" ref="U49" si="698">(P49*K49)/1000</f>
        <v>211.24799999999999</v>
      </c>
      <c r="V49" s="108">
        <f t="shared" ref="V49" si="699">(J49-K49)*P49/1000</f>
        <v>0</v>
      </c>
      <c r="W49" s="86">
        <v>0</v>
      </c>
      <c r="X49" s="110">
        <f t="shared" ref="X49" si="700">W49/U49</f>
        <v>0</v>
      </c>
      <c r="Y49" s="86">
        <v>3</v>
      </c>
      <c r="Z49" s="111">
        <f t="shared" ref="Z49" si="701">Y49/U49</f>
        <v>1.4201317882299478E-2</v>
      </c>
      <c r="AA49" s="109">
        <v>28</v>
      </c>
      <c r="AB49" s="112">
        <f t="shared" ref="AB49" si="702">AA49/3600*L49</f>
        <v>8.4</v>
      </c>
      <c r="AC49" s="112">
        <f>VLOOKUP(E49,'[2]Reference Card '!A:I,9,FALSE)</f>
        <v>27.6</v>
      </c>
      <c r="AD49" s="113"/>
      <c r="AE49" s="113"/>
      <c r="AF49" s="113"/>
      <c r="AG49" s="113"/>
      <c r="AH49" s="113"/>
      <c r="AI49" s="135"/>
      <c r="AJ49" s="114" t="s">
        <v>1460</v>
      </c>
      <c r="AK49" s="114"/>
      <c r="AL49" s="113"/>
      <c r="AM49" s="113"/>
      <c r="AN49" s="113"/>
      <c r="AO49" s="115">
        <f t="shared" ref="AO49" si="703">(U49-R49-W49-Y49-AM49-AN49)-(O49*K49/1000)</f>
        <v>-22.804500000000019</v>
      </c>
      <c r="AP49" s="90" t="s">
        <v>1314</v>
      </c>
      <c r="AQ49" s="79" t="s">
        <v>1406</v>
      </c>
      <c r="AR49" s="189" t="s">
        <v>1090</v>
      </c>
      <c r="AS49" s="79" t="s">
        <v>1465</v>
      </c>
      <c r="AT49" s="189" t="s">
        <v>1089</v>
      </c>
      <c r="AU49" s="73">
        <f t="shared" si="568"/>
        <v>61.349693251533743</v>
      </c>
      <c r="AV49" s="116">
        <f t="shared" si="569"/>
        <v>4786.3496932515336</v>
      </c>
      <c r="AW49" s="116">
        <f t="shared" si="570"/>
        <v>514.28571428571433</v>
      </c>
      <c r="AX49" s="73">
        <f t="shared" si="571"/>
        <v>9.3067910702113146</v>
      </c>
      <c r="AY49" s="73">
        <f t="shared" si="572"/>
        <v>0</v>
      </c>
      <c r="AZ49" s="116">
        <f t="shared" si="558"/>
        <v>4725</v>
      </c>
      <c r="BA49" s="116">
        <f t="shared" si="573"/>
        <v>61.349693251533743</v>
      </c>
      <c r="BB49" s="117">
        <f t="shared" si="574"/>
        <v>1.2984062063816665E-2</v>
      </c>
      <c r="BC49" s="118">
        <v>712</v>
      </c>
      <c r="BD49" s="118"/>
      <c r="BE49" s="90">
        <f t="shared" si="575"/>
        <v>10703678</v>
      </c>
      <c r="BF49" s="119" t="s">
        <v>1096</v>
      </c>
      <c r="BG49" s="120">
        <f t="shared" si="576"/>
        <v>323092</v>
      </c>
      <c r="BH49" s="121" t="str">
        <f t="shared" si="577"/>
        <v>BX38-1000-GH-R-CL(GREEN) (ASEM)</v>
      </c>
      <c r="BI49" s="122" t="str">
        <f t="shared" si="578"/>
        <v>05.08.2026</v>
      </c>
      <c r="BJ49" s="119" t="str">
        <f t="shared" si="579"/>
        <v>18:00:00</v>
      </c>
      <c r="BK49" s="122" t="str">
        <f t="shared" si="580"/>
        <v>06.08.2026</v>
      </c>
      <c r="BL49" s="119" t="str">
        <f t="shared" si="581"/>
        <v>06:00:00</v>
      </c>
      <c r="BM49" s="123">
        <f t="shared" si="582"/>
        <v>4786</v>
      </c>
      <c r="BN49" s="118">
        <v>0</v>
      </c>
      <c r="BO49" s="118" t="s">
        <v>1086</v>
      </c>
      <c r="BP49" s="118"/>
      <c r="BQ49" s="118" t="s">
        <v>1087</v>
      </c>
      <c r="BR49" s="124">
        <f t="shared" si="583"/>
        <v>9.3067910702113146</v>
      </c>
      <c r="BS49" s="124" t="s">
        <v>1087</v>
      </c>
      <c r="BT49" s="124">
        <f t="shared" si="584"/>
        <v>9.3067910702113146</v>
      </c>
      <c r="BU49" s="124" t="s">
        <v>1087</v>
      </c>
      <c r="BV49" s="124">
        <f t="shared" si="585"/>
        <v>9.3067910702113146</v>
      </c>
      <c r="BW49" s="118" t="s">
        <v>1087</v>
      </c>
      <c r="BX49" s="118"/>
      <c r="BY49" s="118" t="s">
        <v>1087</v>
      </c>
      <c r="BZ49" s="118"/>
      <c r="CA49" s="118" t="s">
        <v>1087</v>
      </c>
      <c r="CB49" s="118"/>
      <c r="CC49" s="118"/>
      <c r="CD49" s="118"/>
      <c r="CE49" s="118"/>
      <c r="CF49" s="118"/>
      <c r="CG49" s="118"/>
      <c r="CH49" s="118">
        <v>712</v>
      </c>
      <c r="CI49" s="118"/>
      <c r="CJ49" s="118">
        <f t="shared" si="586"/>
        <v>10703678</v>
      </c>
      <c r="CK49" s="119" t="s">
        <v>1106</v>
      </c>
      <c r="CL49" s="120">
        <f t="shared" si="587"/>
        <v>323092</v>
      </c>
      <c r="CM49" s="121" t="str">
        <f t="shared" si="588"/>
        <v>BX38-1000-GH-R-CL(GREEN) (ASEM)</v>
      </c>
      <c r="CN49" s="122" t="str">
        <f t="shared" si="589"/>
        <v>05.08.2026</v>
      </c>
      <c r="CO49" s="125" t="str">
        <f t="shared" si="590"/>
        <v>18:00:00</v>
      </c>
      <c r="CP49" s="122" t="str">
        <f t="shared" si="591"/>
        <v>06.08.2026</v>
      </c>
      <c r="CQ49" s="125" t="str">
        <f t="shared" si="592"/>
        <v>06:00:00</v>
      </c>
      <c r="CR49" s="123">
        <f t="shared" si="559"/>
        <v>4725</v>
      </c>
      <c r="CS49" s="126">
        <f t="shared" si="593"/>
        <v>61</v>
      </c>
      <c r="CT49" s="118" t="s">
        <v>1086</v>
      </c>
      <c r="CU49" s="118"/>
      <c r="CV49" s="118" t="s">
        <v>1087</v>
      </c>
      <c r="CW49" s="127"/>
      <c r="CX49" s="118" t="s">
        <v>1087</v>
      </c>
      <c r="CY49" s="127"/>
      <c r="CZ49" s="118" t="s">
        <v>1087</v>
      </c>
      <c r="DA49" s="127"/>
      <c r="DB49" s="118" t="s">
        <v>1087</v>
      </c>
      <c r="DC49" s="118"/>
      <c r="DD49" s="118" t="s">
        <v>1087</v>
      </c>
      <c r="DE49" s="118"/>
      <c r="DF49" s="118" t="s">
        <v>1087</v>
      </c>
      <c r="DG49" s="118"/>
      <c r="DH49" s="118"/>
      <c r="DI49" s="118"/>
      <c r="DJ49" s="118"/>
      <c r="DK49" s="118"/>
      <c r="DL49" s="118"/>
      <c r="DM49" s="62"/>
      <c r="DN49" s="90" t="str">
        <f t="shared" ref="DN49" si="704">B49</f>
        <v>A15</v>
      </c>
      <c r="DO49" s="90" t="str">
        <f t="shared" ref="DO49" si="705">F49</f>
        <v>BX38-1000-GH-R-CL(GREEN) (ASEM)</v>
      </c>
      <c r="DP49" s="128">
        <f t="shared" ref="DP49" si="706">(3600/AC49)*I49*12*0.98</f>
        <v>6135.652173913044</v>
      </c>
      <c r="DQ49" s="129">
        <f t="shared" ref="DQ49" si="707">P49</f>
        <v>4320</v>
      </c>
      <c r="DR49" s="130">
        <f t="shared" ref="DR49" si="708">DQ49/DP49*100</f>
        <v>70.408163265306115</v>
      </c>
      <c r="DS49" s="131">
        <f t="shared" ref="DS49" si="709">Y49</f>
        <v>3</v>
      </c>
      <c r="DT49" s="131">
        <f t="shared" ref="DT49" si="710">Z49</f>
        <v>1.4201317882299478E-2</v>
      </c>
      <c r="DU49" s="132">
        <f t="shared" ref="DU49" si="711">SUM(AG49:AI49)</f>
        <v>0</v>
      </c>
      <c r="DV49" s="133">
        <f t="shared" ref="DV49" si="712">SUM(AD49:AF49)</f>
        <v>0</v>
      </c>
      <c r="DW49" s="261">
        <f t="shared" ref="DW49" si="713">Y49+W49+AM49+AN49/U49*100</f>
        <v>3</v>
      </c>
      <c r="DX49" s="262"/>
      <c r="DY49" s="134" t="str">
        <f t="shared" ref="DY49" si="714">AJ49</f>
        <v>C/order.Stop 3.20am.</v>
      </c>
      <c r="DZ49" s="15"/>
      <c r="EA49" s="15"/>
      <c r="EB49" s="15"/>
      <c r="EC49" s="15"/>
      <c r="ED49" s="15"/>
      <c r="EE49" s="15"/>
    </row>
    <row r="50" spans="1:135" s="74" customFormat="1" ht="33" customHeight="1">
      <c r="A50" s="188" t="s">
        <v>1451</v>
      </c>
      <c r="B50" s="100" t="s">
        <v>1344</v>
      </c>
      <c r="C50" s="90" t="s">
        <v>1387</v>
      </c>
      <c r="D50" s="101" t="str">
        <f>VLOOKUP(E50,'Reference Card '!A:E,5,FALSE)</f>
        <v>PET</v>
      </c>
      <c r="E50" s="102">
        <v>626029</v>
      </c>
      <c r="F50" s="103" t="str">
        <f>VLOOKUP(E50,'[1]Reference Card '!A:B,2,FALSE)</f>
        <v xml:space="preserve">BX38-0750-R-WH </v>
      </c>
      <c r="G50" s="104">
        <v>10703679</v>
      </c>
      <c r="H50" s="105" t="s">
        <v>1246</v>
      </c>
      <c r="I50" s="85">
        <f>VLOOKUP(E50,'[1]Reference Card '!A:C,3,FALSE)</f>
        <v>4</v>
      </c>
      <c r="J50" s="185">
        <f>VLOOKUP(E50,'[1]Reference Card '!A:H,8,FALSE)</f>
        <v>48.39</v>
      </c>
      <c r="K50" s="185">
        <f>VLOOKUP(E50,'[1]Reference Card '!A:F,6,FALSE)</f>
        <v>48.39</v>
      </c>
      <c r="L50" s="86">
        <v>0</v>
      </c>
      <c r="M50" s="86">
        <v>49920</v>
      </c>
      <c r="N50" s="86">
        <v>0</v>
      </c>
      <c r="O50" s="86">
        <v>0</v>
      </c>
      <c r="P50" s="107">
        <f t="shared" si="560"/>
        <v>0</v>
      </c>
      <c r="Q50" s="87">
        <v>0</v>
      </c>
      <c r="R50" s="108">
        <f t="shared" si="561"/>
        <v>0</v>
      </c>
      <c r="S50" s="86">
        <v>0</v>
      </c>
      <c r="T50" s="107">
        <f t="shared" si="562"/>
        <v>49920</v>
      </c>
      <c r="U50" s="109">
        <f t="shared" si="563"/>
        <v>0</v>
      </c>
      <c r="V50" s="108">
        <f t="shared" si="681"/>
        <v>0</v>
      </c>
      <c r="W50" s="86">
        <v>0</v>
      </c>
      <c r="X50" s="110" t="e">
        <f t="shared" si="564"/>
        <v>#DIV/0!</v>
      </c>
      <c r="Y50" s="86">
        <v>0</v>
      </c>
      <c r="Z50" s="111" t="e">
        <f t="shared" si="565"/>
        <v>#DIV/0!</v>
      </c>
      <c r="AA50" s="109">
        <v>29.1</v>
      </c>
      <c r="AB50" s="112">
        <f t="shared" si="682"/>
        <v>0</v>
      </c>
      <c r="AC50" s="112">
        <f>VLOOKUP(E50,'[2]Reference Card '!A:I,9,FALSE)</f>
        <v>28</v>
      </c>
      <c r="AD50" s="113"/>
      <c r="AE50" s="113"/>
      <c r="AF50" s="113">
        <v>1.5</v>
      </c>
      <c r="AG50" s="113"/>
      <c r="AH50" s="113"/>
      <c r="AI50" s="135">
        <v>0.8</v>
      </c>
      <c r="AJ50" s="114" t="s">
        <v>1459</v>
      </c>
      <c r="AK50" s="114"/>
      <c r="AL50" s="113"/>
      <c r="AM50" s="113"/>
      <c r="AN50" s="113"/>
      <c r="AO50" s="115">
        <f t="shared" si="683"/>
        <v>0</v>
      </c>
      <c r="AP50" s="90" t="s">
        <v>1314</v>
      </c>
      <c r="AQ50" s="79" t="s">
        <v>1406</v>
      </c>
      <c r="AR50" s="189" t="s">
        <v>1090</v>
      </c>
      <c r="AS50" s="79" t="s">
        <v>1465</v>
      </c>
      <c r="AT50" s="189" t="s">
        <v>1089</v>
      </c>
      <c r="AU50" s="73">
        <f t="shared" si="568"/>
        <v>0</v>
      </c>
      <c r="AV50" s="116">
        <f t="shared" si="569"/>
        <v>0</v>
      </c>
      <c r="AW50" s="116">
        <f t="shared" si="570"/>
        <v>494.84536082474227</v>
      </c>
      <c r="AX50" s="73">
        <f t="shared" si="571"/>
        <v>0.8</v>
      </c>
      <c r="AY50" s="73">
        <f t="shared" si="572"/>
        <v>0.8</v>
      </c>
      <c r="AZ50" s="116">
        <f t="shared" si="558"/>
        <v>0</v>
      </c>
      <c r="BA50" s="116">
        <f t="shared" si="573"/>
        <v>0</v>
      </c>
      <c r="BB50" s="117" t="e">
        <f t="shared" si="574"/>
        <v>#DIV/0!</v>
      </c>
      <c r="BC50" s="118">
        <v>712</v>
      </c>
      <c r="BD50" s="118"/>
      <c r="BE50" s="90">
        <f t="shared" si="575"/>
        <v>10703679</v>
      </c>
      <c r="BF50" s="119" t="s">
        <v>1096</v>
      </c>
      <c r="BG50" s="120">
        <f t="shared" si="576"/>
        <v>626029</v>
      </c>
      <c r="BH50" s="121" t="str">
        <f t="shared" si="577"/>
        <v xml:space="preserve">BX38-0750-R-WH </v>
      </c>
      <c r="BI50" s="122" t="str">
        <f t="shared" si="578"/>
        <v>05.08.2026</v>
      </c>
      <c r="BJ50" s="119" t="str">
        <f t="shared" si="579"/>
        <v>18:00:00</v>
      </c>
      <c r="BK50" s="122" t="str">
        <f t="shared" si="580"/>
        <v>06.08.2026</v>
      </c>
      <c r="BL50" s="119" t="str">
        <f t="shared" si="581"/>
        <v>06:00:00</v>
      </c>
      <c r="BM50" s="123">
        <f t="shared" si="582"/>
        <v>0</v>
      </c>
      <c r="BN50" s="118">
        <v>0</v>
      </c>
      <c r="BO50" s="118" t="s">
        <v>1086</v>
      </c>
      <c r="BP50" s="118"/>
      <c r="BQ50" s="118" t="s">
        <v>1087</v>
      </c>
      <c r="BR50" s="124">
        <f t="shared" si="583"/>
        <v>0.8</v>
      </c>
      <c r="BS50" s="124" t="s">
        <v>1087</v>
      </c>
      <c r="BT50" s="124">
        <f t="shared" si="584"/>
        <v>0.8</v>
      </c>
      <c r="BU50" s="124" t="s">
        <v>1087</v>
      </c>
      <c r="BV50" s="124">
        <f t="shared" si="585"/>
        <v>0.8</v>
      </c>
      <c r="BW50" s="118" t="s">
        <v>1087</v>
      </c>
      <c r="BX50" s="118"/>
      <c r="BY50" s="118" t="s">
        <v>1087</v>
      </c>
      <c r="BZ50" s="118"/>
      <c r="CA50" s="118" t="s">
        <v>1087</v>
      </c>
      <c r="CB50" s="118"/>
      <c r="CC50" s="118"/>
      <c r="CD50" s="118"/>
      <c r="CE50" s="118"/>
      <c r="CF50" s="118"/>
      <c r="CG50" s="118"/>
      <c r="CH50" s="118">
        <v>712</v>
      </c>
      <c r="CI50" s="118"/>
      <c r="CJ50" s="118">
        <f t="shared" si="586"/>
        <v>10703679</v>
      </c>
      <c r="CK50" s="119" t="s">
        <v>1106</v>
      </c>
      <c r="CL50" s="120">
        <f t="shared" si="587"/>
        <v>626029</v>
      </c>
      <c r="CM50" s="121" t="str">
        <f t="shared" si="588"/>
        <v xml:space="preserve">BX38-0750-R-WH </v>
      </c>
      <c r="CN50" s="122" t="str">
        <f t="shared" si="589"/>
        <v>05.08.2026</v>
      </c>
      <c r="CO50" s="125" t="str">
        <f t="shared" si="590"/>
        <v>18:00:00</v>
      </c>
      <c r="CP50" s="122" t="str">
        <f t="shared" si="591"/>
        <v>06.08.2026</v>
      </c>
      <c r="CQ50" s="125" t="str">
        <f t="shared" si="592"/>
        <v>06:00:00</v>
      </c>
      <c r="CR50" s="123">
        <f t="shared" si="559"/>
        <v>0</v>
      </c>
      <c r="CS50" s="126">
        <f t="shared" si="593"/>
        <v>0</v>
      </c>
      <c r="CT50" s="118" t="s">
        <v>1086</v>
      </c>
      <c r="CU50" s="118"/>
      <c r="CV50" s="118" t="s">
        <v>1087</v>
      </c>
      <c r="CW50" s="127"/>
      <c r="CX50" s="118" t="s">
        <v>1087</v>
      </c>
      <c r="CY50" s="127"/>
      <c r="CZ50" s="118" t="s">
        <v>1087</v>
      </c>
      <c r="DA50" s="127"/>
      <c r="DB50" s="118" t="s">
        <v>1087</v>
      </c>
      <c r="DC50" s="118"/>
      <c r="DD50" s="118" t="s">
        <v>1087</v>
      </c>
      <c r="DE50" s="118"/>
      <c r="DF50" s="118" t="s">
        <v>1087</v>
      </c>
      <c r="DG50" s="118"/>
      <c r="DH50" s="118"/>
      <c r="DI50" s="118"/>
      <c r="DJ50" s="118"/>
      <c r="DK50" s="118"/>
      <c r="DL50" s="118"/>
      <c r="DM50" s="62"/>
      <c r="DN50" s="90" t="str">
        <f t="shared" si="684"/>
        <v>A15</v>
      </c>
      <c r="DO50" s="90" t="str">
        <f t="shared" si="685"/>
        <v xml:space="preserve">BX38-0750-R-WH </v>
      </c>
      <c r="DP50" s="128">
        <f t="shared" si="686"/>
        <v>6048.0000000000009</v>
      </c>
      <c r="DQ50" s="129">
        <f t="shared" si="687"/>
        <v>0</v>
      </c>
      <c r="DR50" s="130">
        <f t="shared" si="688"/>
        <v>0</v>
      </c>
      <c r="DS50" s="131">
        <f t="shared" si="689"/>
        <v>0</v>
      </c>
      <c r="DT50" s="131" t="e">
        <f t="shared" si="690"/>
        <v>#DIV/0!</v>
      </c>
      <c r="DU50" s="132">
        <f t="shared" si="691"/>
        <v>0.8</v>
      </c>
      <c r="DV50" s="133">
        <f t="shared" si="692"/>
        <v>1.5</v>
      </c>
      <c r="DW50" s="261" t="e">
        <f t="shared" si="693"/>
        <v>#DIV/0!</v>
      </c>
      <c r="DX50" s="262"/>
      <c r="DY50" s="134" t="str">
        <f t="shared" si="694"/>
        <v>Material loading 3.20am</v>
      </c>
      <c r="DZ50" s="15"/>
      <c r="EA50" s="15"/>
      <c r="EB50" s="15"/>
      <c r="EC50" s="15"/>
      <c r="ED50" s="15"/>
      <c r="EE50" s="15"/>
    </row>
    <row r="51" spans="1:135" s="74" customFormat="1" ht="33" customHeight="1">
      <c r="A51" s="188" t="s">
        <v>1451</v>
      </c>
      <c r="B51" s="100" t="s">
        <v>1210</v>
      </c>
      <c r="C51" s="79" t="s">
        <v>1386</v>
      </c>
      <c r="D51" s="101" t="str">
        <f>VLOOKUP(E51,'Reference Card '!A:E,5,FALSE)</f>
        <v>KingFa NC050</v>
      </c>
      <c r="E51" s="102">
        <v>666342</v>
      </c>
      <c r="F51" s="103" t="str">
        <f>VLOOKUP(E51,'[1]Reference Card '!A:B,2,FALSE)</f>
        <v>BC28-0090-D-APH-5180-3538-PCR</v>
      </c>
      <c r="G51" s="104">
        <v>10704854</v>
      </c>
      <c r="H51" s="105" t="s">
        <v>1246</v>
      </c>
      <c r="I51" s="85">
        <f>VLOOKUP(E51,'[1]Reference Card '!A:C,3,FALSE)</f>
        <v>6</v>
      </c>
      <c r="J51" s="185">
        <f>VLOOKUP(E51,'[1]Reference Card '!A:H,8,FALSE)</f>
        <v>14.7</v>
      </c>
      <c r="K51" s="185">
        <f>VLOOKUP(E51,'[1]Reference Card '!A:F,6,FALSE)</f>
        <v>14.7</v>
      </c>
      <c r="L51" s="86">
        <v>410</v>
      </c>
      <c r="M51" s="86">
        <v>108000</v>
      </c>
      <c r="N51" s="86">
        <v>0</v>
      </c>
      <c r="O51" s="86">
        <v>2430</v>
      </c>
      <c r="P51" s="149">
        <f t="shared" ref="P51" si="715">L51*I51</f>
        <v>2460</v>
      </c>
      <c r="Q51" s="87">
        <v>0</v>
      </c>
      <c r="R51" s="150">
        <f t="shared" ref="R51" si="716">(Q51*K51)/1000</f>
        <v>0</v>
      </c>
      <c r="S51" s="86">
        <v>2430</v>
      </c>
      <c r="T51" s="149">
        <f t="shared" ref="T51" si="717">IF(M51="Sample","-",IF(M51="RTFN","-",M51-S51))</f>
        <v>105570</v>
      </c>
      <c r="U51" s="151">
        <f t="shared" ref="U51" si="718">(P51*K51)/1000</f>
        <v>36.161999999999999</v>
      </c>
      <c r="V51" s="108">
        <f t="shared" ref="V51" si="719">(J51-K51)*P51/1000</f>
        <v>0</v>
      </c>
      <c r="W51" s="86">
        <v>14</v>
      </c>
      <c r="X51" s="152">
        <f t="shared" ref="X51" si="720">W51/U51</f>
        <v>0.38714672861014326</v>
      </c>
      <c r="Y51" s="86">
        <v>0.4</v>
      </c>
      <c r="Z51" s="153">
        <f t="shared" ref="Z51" si="721">Y51/U51</f>
        <v>1.1061335103146951E-2</v>
      </c>
      <c r="AA51" s="151">
        <v>29.8</v>
      </c>
      <c r="AB51" s="154">
        <f t="shared" ref="AB51" si="722">AA51/3600*L51</f>
        <v>3.3938888888888892</v>
      </c>
      <c r="AC51" s="154">
        <f>VLOOKUP(E51,'[2]Reference Card '!A:I,9,FALSE)</f>
        <v>27</v>
      </c>
      <c r="AD51" s="113"/>
      <c r="AE51" s="113"/>
      <c r="AF51" s="113"/>
      <c r="AG51" s="113"/>
      <c r="AH51" s="113">
        <v>8.6999999999999993</v>
      </c>
      <c r="AI51" s="135"/>
      <c r="AJ51" s="229" t="s">
        <v>1455</v>
      </c>
      <c r="AK51" s="114"/>
      <c r="AL51" s="113"/>
      <c r="AM51" s="113"/>
      <c r="AN51" s="113"/>
      <c r="AO51" s="115">
        <f>(U51-R51-W51-Y51-AM51-AN51)-(N83*K51/1000)</f>
        <v>21.762</v>
      </c>
      <c r="AP51" s="90" t="s">
        <v>1314</v>
      </c>
      <c r="AQ51" s="79" t="s">
        <v>1406</v>
      </c>
      <c r="AR51" s="189" t="s">
        <v>1090</v>
      </c>
      <c r="AS51" s="79" t="s">
        <v>1465</v>
      </c>
      <c r="AT51" s="189" t="s">
        <v>1089</v>
      </c>
      <c r="AU51" s="73">
        <f t="shared" si="568"/>
        <v>979.59183673469397</v>
      </c>
      <c r="AV51" s="116">
        <f t="shared" si="569"/>
        <v>979.59183673469397</v>
      </c>
      <c r="AW51" s="116">
        <f t="shared" si="570"/>
        <v>724.83221476510062</v>
      </c>
      <c r="AX51" s="73">
        <f t="shared" si="571"/>
        <v>10.051473922902494</v>
      </c>
      <c r="AY51" s="73">
        <f t="shared" si="572"/>
        <v>8.6999999999999993</v>
      </c>
      <c r="AZ51" s="116">
        <f t="shared" si="558"/>
        <v>0</v>
      </c>
      <c r="BA51" s="116">
        <f t="shared" si="573"/>
        <v>979.59183673469397</v>
      </c>
      <c r="BB51" s="117" t="e">
        <f t="shared" si="574"/>
        <v>#DIV/0!</v>
      </c>
      <c r="BC51" s="118">
        <v>712</v>
      </c>
      <c r="BD51" s="118"/>
      <c r="BE51" s="90">
        <f t="shared" si="575"/>
        <v>10704854</v>
      </c>
      <c r="BF51" s="119" t="s">
        <v>1096</v>
      </c>
      <c r="BG51" s="120">
        <f t="shared" si="576"/>
        <v>666342</v>
      </c>
      <c r="BH51" s="121" t="str">
        <f t="shared" si="577"/>
        <v>BC28-0090-D-APH-5180-3538-PCR</v>
      </c>
      <c r="BI51" s="122" t="str">
        <f t="shared" si="578"/>
        <v>05.08.2026</v>
      </c>
      <c r="BJ51" s="119" t="str">
        <f t="shared" si="579"/>
        <v>18:00:00</v>
      </c>
      <c r="BK51" s="122" t="str">
        <f t="shared" si="580"/>
        <v>06.08.2026</v>
      </c>
      <c r="BL51" s="119" t="str">
        <f t="shared" si="581"/>
        <v>06:00:00</v>
      </c>
      <c r="BM51" s="123">
        <f t="shared" si="582"/>
        <v>979</v>
      </c>
      <c r="BN51" s="118">
        <v>0</v>
      </c>
      <c r="BO51" s="118" t="s">
        <v>1086</v>
      </c>
      <c r="BP51" s="118"/>
      <c r="BQ51" s="118" t="s">
        <v>1087</v>
      </c>
      <c r="BR51" s="124">
        <f t="shared" si="583"/>
        <v>10.051473922902494</v>
      </c>
      <c r="BS51" s="124" t="s">
        <v>1087</v>
      </c>
      <c r="BT51" s="124">
        <f t="shared" si="584"/>
        <v>10.051473922902494</v>
      </c>
      <c r="BU51" s="124" t="s">
        <v>1087</v>
      </c>
      <c r="BV51" s="124">
        <f t="shared" si="585"/>
        <v>10.051473922902494</v>
      </c>
      <c r="BW51" s="118" t="s">
        <v>1087</v>
      </c>
      <c r="BX51" s="118"/>
      <c r="BY51" s="118" t="s">
        <v>1087</v>
      </c>
      <c r="BZ51" s="118"/>
      <c r="CA51" s="118" t="s">
        <v>1087</v>
      </c>
      <c r="CB51" s="118"/>
      <c r="CC51" s="118"/>
      <c r="CD51" s="118"/>
      <c r="CE51" s="118"/>
      <c r="CF51" s="118"/>
      <c r="CG51" s="118"/>
      <c r="CH51" s="118">
        <v>712</v>
      </c>
      <c r="CI51" s="118"/>
      <c r="CJ51" s="118">
        <f t="shared" si="586"/>
        <v>10704854</v>
      </c>
      <c r="CK51" s="119" t="s">
        <v>1106</v>
      </c>
      <c r="CL51" s="120">
        <f t="shared" si="587"/>
        <v>666342</v>
      </c>
      <c r="CM51" s="121" t="str">
        <f t="shared" si="588"/>
        <v>BC28-0090-D-APH-5180-3538-PCR</v>
      </c>
      <c r="CN51" s="122" t="str">
        <f t="shared" si="589"/>
        <v>05.08.2026</v>
      </c>
      <c r="CO51" s="125" t="str">
        <f t="shared" si="590"/>
        <v>18:00:00</v>
      </c>
      <c r="CP51" s="122" t="str">
        <f t="shared" si="591"/>
        <v>06.08.2026</v>
      </c>
      <c r="CQ51" s="125" t="str">
        <f t="shared" si="592"/>
        <v>06:00:00</v>
      </c>
      <c r="CR51" s="123">
        <f t="shared" si="559"/>
        <v>0</v>
      </c>
      <c r="CS51" s="126">
        <f t="shared" si="593"/>
        <v>979</v>
      </c>
      <c r="CT51" s="118" t="s">
        <v>1086</v>
      </c>
      <c r="CU51" s="118"/>
      <c r="CV51" s="118" t="s">
        <v>1087</v>
      </c>
      <c r="CW51" s="127"/>
      <c r="CX51" s="118" t="s">
        <v>1087</v>
      </c>
      <c r="CY51" s="127"/>
      <c r="CZ51" s="118" t="s">
        <v>1087</v>
      </c>
      <c r="DA51" s="127"/>
      <c r="DB51" s="118" t="s">
        <v>1087</v>
      </c>
      <c r="DC51" s="118"/>
      <c r="DD51" s="118" t="s">
        <v>1087</v>
      </c>
      <c r="DE51" s="118"/>
      <c r="DF51" s="118" t="s">
        <v>1087</v>
      </c>
      <c r="DG51" s="118"/>
      <c r="DH51" s="118"/>
      <c r="DI51" s="118"/>
      <c r="DJ51" s="118"/>
      <c r="DK51" s="118"/>
      <c r="DL51" s="118"/>
      <c r="DM51" s="62"/>
      <c r="DN51" s="90" t="str">
        <f t="shared" ref="DN51" si="723">B51</f>
        <v>A16</v>
      </c>
      <c r="DO51" s="90" t="str">
        <f t="shared" ref="DO51" si="724">F51</f>
        <v>BC28-0090-D-APH-5180-3538-PCR</v>
      </c>
      <c r="DP51" s="128">
        <f t="shared" ref="DP51" si="725">(3600/AC51)*I51*12*0.98</f>
        <v>9408</v>
      </c>
      <c r="DQ51" s="129">
        <f t="shared" ref="DQ51" si="726">P51</f>
        <v>2460</v>
      </c>
      <c r="DR51" s="130">
        <f t="shared" ref="DR51" si="727">DQ51/DP51*100</f>
        <v>26.147959183673468</v>
      </c>
      <c r="DS51" s="131">
        <f t="shared" ref="DS51" si="728">Y51</f>
        <v>0.4</v>
      </c>
      <c r="DT51" s="131">
        <f t="shared" ref="DT51" si="729">Z51</f>
        <v>1.1061335103146951E-2</v>
      </c>
      <c r="DU51" s="132">
        <f t="shared" ref="DU51" si="730">SUM(AG51:AI51)</f>
        <v>8.6999999999999993</v>
      </c>
      <c r="DV51" s="133">
        <f t="shared" ref="DV51" si="731">SUM(AD51:AF51)</f>
        <v>0</v>
      </c>
      <c r="DW51" s="261">
        <f t="shared" ref="DW51" si="732">Y51+W51+AM51+AN51/U51*100</f>
        <v>14.4</v>
      </c>
      <c r="DX51" s="262"/>
      <c r="DY51" s="134" t="str">
        <f t="shared" ref="DY51" si="733">AJ51</f>
        <v>Under tech quality iisue thickness out.Start 2.40am.L.test.</v>
      </c>
      <c r="DZ51" s="15"/>
      <c r="EA51" s="15"/>
      <c r="EB51" s="15"/>
      <c r="EC51" s="15"/>
      <c r="ED51" s="15"/>
      <c r="EE51" s="15"/>
    </row>
    <row r="52" spans="1:135" s="74" customFormat="1" ht="33" customHeight="1">
      <c r="A52" s="188" t="s">
        <v>1451</v>
      </c>
      <c r="B52" s="100" t="s">
        <v>1345</v>
      </c>
      <c r="C52" s="90" t="s">
        <v>1404</v>
      </c>
      <c r="D52" s="101" t="str">
        <f>VLOOKUP(E52,'Reference Card '!A:E,5,FALSE)</f>
        <v>PET RECRON</v>
      </c>
      <c r="E52" s="102">
        <v>620599</v>
      </c>
      <c r="F52" s="103" t="str">
        <f>VLOOKUP(E52,'[1]Reference Card '!A:B,2,FALSE)</f>
        <v xml:space="preserve">BC28-0750-K4-R-CL (55g)  </v>
      </c>
      <c r="G52" s="104">
        <v>10703143</v>
      </c>
      <c r="H52" s="105" t="s">
        <v>1246</v>
      </c>
      <c r="I52" s="85">
        <f>VLOOKUP(E52,'[1]Reference Card '!A:C,3,FALSE)</f>
        <v>4</v>
      </c>
      <c r="J52" s="185">
        <f>VLOOKUP(E52,'[1]Reference Card '!A:H,8,FALSE)</f>
        <v>55</v>
      </c>
      <c r="K52" s="185">
        <f>VLOOKUP(E52,'[1]Reference Card '!A:F,6,FALSE)</f>
        <v>55</v>
      </c>
      <c r="L52" s="86">
        <v>1420</v>
      </c>
      <c r="M52" s="86">
        <v>72000</v>
      </c>
      <c r="N52" s="86">
        <v>900</v>
      </c>
      <c r="O52" s="86">
        <v>1125</v>
      </c>
      <c r="P52" s="107">
        <f t="shared" si="560"/>
        <v>5680</v>
      </c>
      <c r="Q52" s="87">
        <v>5400</v>
      </c>
      <c r="R52" s="108">
        <f t="shared" si="561"/>
        <v>297</v>
      </c>
      <c r="S52" s="86">
        <v>56925</v>
      </c>
      <c r="T52" s="107">
        <f t="shared" si="562"/>
        <v>15075</v>
      </c>
      <c r="U52" s="109">
        <f t="shared" si="563"/>
        <v>312.39999999999998</v>
      </c>
      <c r="V52" s="108">
        <f t="shared" si="681"/>
        <v>0</v>
      </c>
      <c r="W52" s="86">
        <v>0</v>
      </c>
      <c r="X52" s="110">
        <f t="shared" si="564"/>
        <v>0</v>
      </c>
      <c r="Y52" s="86">
        <v>6.4</v>
      </c>
      <c r="Z52" s="111">
        <f t="shared" si="565"/>
        <v>2.0486555697823306E-2</v>
      </c>
      <c r="AA52" s="109">
        <v>29.2</v>
      </c>
      <c r="AB52" s="112">
        <f t="shared" si="682"/>
        <v>11.517777777777777</v>
      </c>
      <c r="AC52" s="154">
        <f>VLOOKUP(E52,'[2]Reference Card '!A:I,9,FALSE)</f>
        <v>28</v>
      </c>
      <c r="AD52" s="155"/>
      <c r="AE52" s="155"/>
      <c r="AF52" s="155"/>
      <c r="AG52" s="155"/>
      <c r="AH52" s="113"/>
      <c r="AI52" s="135"/>
      <c r="AJ52" s="114" t="s">
        <v>1381</v>
      </c>
      <c r="AK52" s="114"/>
      <c r="AL52" s="113"/>
      <c r="AM52" s="113"/>
      <c r="AN52" s="113"/>
      <c r="AO52" s="115">
        <f t="shared" ref="AO52" si="734">(U52-R52-W52-Y52-AM52-AN52)-(O52*K52/1000)</f>
        <v>-52.875000000000021</v>
      </c>
      <c r="AP52" s="90" t="s">
        <v>1314</v>
      </c>
      <c r="AQ52" s="79" t="s">
        <v>1406</v>
      </c>
      <c r="AR52" s="189" t="s">
        <v>1090</v>
      </c>
      <c r="AS52" s="79" t="s">
        <v>1465</v>
      </c>
      <c r="AT52" s="189" t="s">
        <v>1089</v>
      </c>
      <c r="AU52" s="73">
        <f t="shared" si="568"/>
        <v>116.36363636363636</v>
      </c>
      <c r="AV52" s="116">
        <f t="shared" si="569"/>
        <v>5516.363636363636</v>
      </c>
      <c r="AW52" s="116">
        <f t="shared" si="570"/>
        <v>493.15068493150687</v>
      </c>
      <c r="AX52" s="73">
        <f t="shared" si="571"/>
        <v>11.185959595959595</v>
      </c>
      <c r="AY52" s="73">
        <f t="shared" si="572"/>
        <v>0</v>
      </c>
      <c r="AZ52" s="116">
        <f t="shared" si="558"/>
        <v>5400</v>
      </c>
      <c r="BA52" s="116">
        <f t="shared" si="573"/>
        <v>116.36363636363636</v>
      </c>
      <c r="BB52" s="117">
        <f t="shared" si="574"/>
        <v>2.1548821548821546E-2</v>
      </c>
      <c r="BC52" s="118">
        <v>712</v>
      </c>
      <c r="BD52" s="118"/>
      <c r="BE52" s="90">
        <f t="shared" si="575"/>
        <v>10703143</v>
      </c>
      <c r="BF52" s="119" t="s">
        <v>1096</v>
      </c>
      <c r="BG52" s="120">
        <f t="shared" si="576"/>
        <v>620599</v>
      </c>
      <c r="BH52" s="121" t="str">
        <f t="shared" si="577"/>
        <v xml:space="preserve">BC28-0750-K4-R-CL (55g)  </v>
      </c>
      <c r="BI52" s="122" t="str">
        <f t="shared" si="578"/>
        <v>05.08.2026</v>
      </c>
      <c r="BJ52" s="119" t="str">
        <f t="shared" si="579"/>
        <v>18:00:00</v>
      </c>
      <c r="BK52" s="122" t="str">
        <f t="shared" si="580"/>
        <v>06.08.2026</v>
      </c>
      <c r="BL52" s="119" t="str">
        <f t="shared" si="581"/>
        <v>06:00:00</v>
      </c>
      <c r="BM52" s="123">
        <f t="shared" si="582"/>
        <v>5516</v>
      </c>
      <c r="BN52" s="118">
        <v>0</v>
      </c>
      <c r="BO52" s="118" t="s">
        <v>1086</v>
      </c>
      <c r="BP52" s="118"/>
      <c r="BQ52" s="118" t="s">
        <v>1087</v>
      </c>
      <c r="BR52" s="124">
        <f t="shared" si="583"/>
        <v>11.185959595959595</v>
      </c>
      <c r="BS52" s="124" t="s">
        <v>1087</v>
      </c>
      <c r="BT52" s="124">
        <f t="shared" si="584"/>
        <v>11.185959595959595</v>
      </c>
      <c r="BU52" s="124" t="s">
        <v>1087</v>
      </c>
      <c r="BV52" s="124">
        <f t="shared" si="585"/>
        <v>11.185959595959595</v>
      </c>
      <c r="BW52" s="118" t="s">
        <v>1087</v>
      </c>
      <c r="BX52" s="118"/>
      <c r="BY52" s="118" t="s">
        <v>1087</v>
      </c>
      <c r="BZ52" s="118"/>
      <c r="CA52" s="118" t="s">
        <v>1087</v>
      </c>
      <c r="CB52" s="118"/>
      <c r="CC52" s="118"/>
      <c r="CD52" s="118"/>
      <c r="CE52" s="118"/>
      <c r="CF52" s="118"/>
      <c r="CG52" s="118"/>
      <c r="CH52" s="118">
        <v>712</v>
      </c>
      <c r="CI52" s="118"/>
      <c r="CJ52" s="118">
        <f t="shared" si="586"/>
        <v>10703143</v>
      </c>
      <c r="CK52" s="119" t="s">
        <v>1106</v>
      </c>
      <c r="CL52" s="120">
        <f t="shared" si="587"/>
        <v>620599</v>
      </c>
      <c r="CM52" s="121" t="str">
        <f t="shared" si="588"/>
        <v xml:space="preserve">BC28-0750-K4-R-CL (55g)  </v>
      </c>
      <c r="CN52" s="122" t="str">
        <f t="shared" si="589"/>
        <v>05.08.2026</v>
      </c>
      <c r="CO52" s="125" t="str">
        <f t="shared" si="590"/>
        <v>18:00:00</v>
      </c>
      <c r="CP52" s="122" t="str">
        <f t="shared" si="591"/>
        <v>06.08.2026</v>
      </c>
      <c r="CQ52" s="125" t="str">
        <f t="shared" si="592"/>
        <v>06:00:00</v>
      </c>
      <c r="CR52" s="123">
        <f t="shared" si="559"/>
        <v>5400</v>
      </c>
      <c r="CS52" s="126">
        <f t="shared" si="593"/>
        <v>116</v>
      </c>
      <c r="CT52" s="118" t="s">
        <v>1086</v>
      </c>
      <c r="CU52" s="118"/>
      <c r="CV52" s="118" t="s">
        <v>1087</v>
      </c>
      <c r="CW52" s="127"/>
      <c r="CX52" s="118" t="s">
        <v>1087</v>
      </c>
      <c r="CY52" s="127"/>
      <c r="CZ52" s="118" t="s">
        <v>1087</v>
      </c>
      <c r="DA52" s="127"/>
      <c r="DB52" s="118" t="s">
        <v>1087</v>
      </c>
      <c r="DC52" s="118"/>
      <c r="DD52" s="118" t="s">
        <v>1087</v>
      </c>
      <c r="DE52" s="118"/>
      <c r="DF52" s="118" t="s">
        <v>1087</v>
      </c>
      <c r="DG52" s="118"/>
      <c r="DH52" s="118"/>
      <c r="DI52" s="118"/>
      <c r="DJ52" s="118"/>
      <c r="DK52" s="118"/>
      <c r="DL52" s="118"/>
      <c r="DM52" s="62"/>
      <c r="DN52" s="90" t="str">
        <f t="shared" ref="DN52" si="735">B52</f>
        <v>A17</v>
      </c>
      <c r="DO52" s="90" t="str">
        <f t="shared" ref="DO52" si="736">F52</f>
        <v xml:space="preserve">BC28-0750-K4-R-CL (55g)  </v>
      </c>
      <c r="DP52" s="128">
        <f t="shared" ref="DP52" si="737">(3600/AC52)*I52*12*0.98</f>
        <v>6048.0000000000009</v>
      </c>
      <c r="DQ52" s="129">
        <f t="shared" ref="DQ52" si="738">P52</f>
        <v>5680</v>
      </c>
      <c r="DR52" s="130">
        <f t="shared" ref="DR52" si="739">DQ52/DP52*100</f>
        <v>93.915343915343897</v>
      </c>
      <c r="DS52" s="131">
        <f t="shared" ref="DS52" si="740">Y52</f>
        <v>6.4</v>
      </c>
      <c r="DT52" s="131">
        <f t="shared" ref="DT52" si="741">Z52</f>
        <v>2.0486555697823306E-2</v>
      </c>
      <c r="DU52" s="132">
        <f t="shared" ref="DU52" si="742">SUM(AG52:AI52)</f>
        <v>0</v>
      </c>
      <c r="DV52" s="133">
        <f t="shared" ref="DV52" si="743">SUM(AD52:AF52)</f>
        <v>0</v>
      </c>
      <c r="DW52" s="261">
        <f t="shared" ref="DW52" si="744">Y52+W52+AM52+AN52/U52*100</f>
        <v>6.4</v>
      </c>
      <c r="DX52" s="262"/>
      <c r="DY52" s="134" t="str">
        <f t="shared" ref="DY52" si="745">AJ52</f>
        <v>Black dot.L.test.</v>
      </c>
      <c r="DZ52" s="15"/>
      <c r="EA52" s="15"/>
      <c r="EB52" s="15"/>
      <c r="EC52" s="15"/>
      <c r="ED52" s="15"/>
      <c r="EE52" s="15"/>
    </row>
    <row r="53" spans="1:135" s="74" customFormat="1" ht="33" customHeight="1">
      <c r="A53" s="188" t="s">
        <v>1451</v>
      </c>
      <c r="B53" s="100" t="s">
        <v>1209</v>
      </c>
      <c r="C53" s="90" t="s">
        <v>1386</v>
      </c>
      <c r="D53" s="101" t="str">
        <f>VLOOKUP(E53,'Reference Card '!A:E,5,FALSE)</f>
        <v>KingFa NC050</v>
      </c>
      <c r="E53" s="102">
        <v>666344</v>
      </c>
      <c r="F53" s="103" t="str">
        <f>VLOOKUP(E53,'[1]Reference Card '!A:B,2,FALSE)</f>
        <v>BC28-0056-D-APH-5040-0756-PCR</v>
      </c>
      <c r="G53" s="104">
        <v>10703144</v>
      </c>
      <c r="H53" s="105" t="s">
        <v>1246</v>
      </c>
      <c r="I53" s="85">
        <f>VLOOKUP(E53,'[1]Reference Card '!A:C,3,FALSE)</f>
        <v>6</v>
      </c>
      <c r="J53" s="106">
        <v>12.3</v>
      </c>
      <c r="K53" s="106">
        <v>12.3</v>
      </c>
      <c r="L53" s="86">
        <v>1560</v>
      </c>
      <c r="M53" s="86">
        <v>162000</v>
      </c>
      <c r="N53" s="86">
        <v>1620</v>
      </c>
      <c r="O53" s="86">
        <v>2835</v>
      </c>
      <c r="P53" s="107">
        <f t="shared" si="560"/>
        <v>9360</v>
      </c>
      <c r="Q53" s="87">
        <v>8100</v>
      </c>
      <c r="R53" s="108">
        <f t="shared" si="561"/>
        <v>99.63</v>
      </c>
      <c r="S53" s="86">
        <v>108135</v>
      </c>
      <c r="T53" s="107">
        <f t="shared" si="562"/>
        <v>53865</v>
      </c>
      <c r="U53" s="109">
        <f t="shared" si="563"/>
        <v>115.128</v>
      </c>
      <c r="V53" s="108">
        <f t="shared" si="681"/>
        <v>0</v>
      </c>
      <c r="W53" s="86">
        <v>0</v>
      </c>
      <c r="X53" s="110">
        <f t="shared" si="564"/>
        <v>0</v>
      </c>
      <c r="Y53" s="86">
        <v>1.5</v>
      </c>
      <c r="Z53" s="111">
        <f t="shared" si="565"/>
        <v>1.302897644361059E-2</v>
      </c>
      <c r="AA53" s="109">
        <v>27.4</v>
      </c>
      <c r="AB53" s="112">
        <f t="shared" si="682"/>
        <v>11.873333333333333</v>
      </c>
      <c r="AC53" s="112">
        <f>VLOOKUP(E53,'[2]Reference Card '!A:I,9,FALSE)</f>
        <v>26</v>
      </c>
      <c r="AD53" s="113"/>
      <c r="AE53" s="113"/>
      <c r="AF53" s="113"/>
      <c r="AG53" s="113"/>
      <c r="AH53" s="113"/>
      <c r="AI53" s="135"/>
      <c r="AJ53" s="229" t="s">
        <v>1349</v>
      </c>
      <c r="AK53" s="114"/>
      <c r="AL53" s="113"/>
      <c r="AM53" s="113"/>
      <c r="AN53" s="113"/>
      <c r="AO53" s="115">
        <f t="shared" ref="AO53:AO54" si="746">(U53-R53-W53-Y53-AM53-AN53)-(O53*K53/1000)</f>
        <v>-20.872499999999995</v>
      </c>
      <c r="AP53" s="90" t="s">
        <v>1314</v>
      </c>
      <c r="AQ53" s="79" t="s">
        <v>1406</v>
      </c>
      <c r="AR53" s="189" t="s">
        <v>1090</v>
      </c>
      <c r="AS53" s="79" t="s">
        <v>1465</v>
      </c>
      <c r="AT53" s="189" t="s">
        <v>1089</v>
      </c>
      <c r="AU53" s="73">
        <f t="shared" si="568"/>
        <v>121.95121951219511</v>
      </c>
      <c r="AV53" s="116">
        <f t="shared" si="569"/>
        <v>8221.9512195121952</v>
      </c>
      <c r="AW53" s="116">
        <f t="shared" si="570"/>
        <v>788.32116788321173</v>
      </c>
      <c r="AX53" s="73">
        <f t="shared" si="571"/>
        <v>10.429697380307136</v>
      </c>
      <c r="AY53" s="73">
        <f t="shared" si="572"/>
        <v>0</v>
      </c>
      <c r="AZ53" s="116">
        <f t="shared" si="558"/>
        <v>8100</v>
      </c>
      <c r="BA53" s="116">
        <f t="shared" si="573"/>
        <v>121.95121951219511</v>
      </c>
      <c r="BB53" s="117">
        <f t="shared" si="574"/>
        <v>1.505570611261668E-2</v>
      </c>
      <c r="BC53" s="118">
        <v>712</v>
      </c>
      <c r="BD53" s="118"/>
      <c r="BE53" s="90">
        <f t="shared" si="575"/>
        <v>10703144</v>
      </c>
      <c r="BF53" s="119" t="s">
        <v>1096</v>
      </c>
      <c r="BG53" s="120">
        <f t="shared" si="576"/>
        <v>666344</v>
      </c>
      <c r="BH53" s="121" t="str">
        <f t="shared" si="577"/>
        <v>BC28-0056-D-APH-5040-0756-PCR</v>
      </c>
      <c r="BI53" s="122" t="str">
        <f t="shared" si="578"/>
        <v>05.08.2026</v>
      </c>
      <c r="BJ53" s="119" t="str">
        <f t="shared" si="579"/>
        <v>18:00:00</v>
      </c>
      <c r="BK53" s="122" t="str">
        <f t="shared" si="580"/>
        <v>06.08.2026</v>
      </c>
      <c r="BL53" s="119" t="str">
        <f t="shared" si="581"/>
        <v>06:00:00</v>
      </c>
      <c r="BM53" s="123">
        <f t="shared" si="582"/>
        <v>8221</v>
      </c>
      <c r="BN53" s="118">
        <v>0</v>
      </c>
      <c r="BO53" s="118" t="s">
        <v>1086</v>
      </c>
      <c r="BP53" s="118"/>
      <c r="BQ53" s="118" t="s">
        <v>1087</v>
      </c>
      <c r="BR53" s="124">
        <f t="shared" si="583"/>
        <v>10.429697380307136</v>
      </c>
      <c r="BS53" s="124" t="s">
        <v>1087</v>
      </c>
      <c r="BT53" s="124">
        <f t="shared" si="584"/>
        <v>10.429697380307136</v>
      </c>
      <c r="BU53" s="124" t="s">
        <v>1087</v>
      </c>
      <c r="BV53" s="124">
        <f t="shared" si="585"/>
        <v>10.429697380307136</v>
      </c>
      <c r="BW53" s="118" t="s">
        <v>1087</v>
      </c>
      <c r="BX53" s="118"/>
      <c r="BY53" s="118" t="s">
        <v>1087</v>
      </c>
      <c r="BZ53" s="118"/>
      <c r="CA53" s="118" t="s">
        <v>1087</v>
      </c>
      <c r="CB53" s="118"/>
      <c r="CC53" s="118"/>
      <c r="CD53" s="118"/>
      <c r="CE53" s="118"/>
      <c r="CF53" s="118"/>
      <c r="CG53" s="118"/>
      <c r="CH53" s="118">
        <v>712</v>
      </c>
      <c r="CI53" s="118"/>
      <c r="CJ53" s="118">
        <f t="shared" si="586"/>
        <v>10703144</v>
      </c>
      <c r="CK53" s="119" t="s">
        <v>1106</v>
      </c>
      <c r="CL53" s="120">
        <f t="shared" si="587"/>
        <v>666344</v>
      </c>
      <c r="CM53" s="121" t="str">
        <f t="shared" si="588"/>
        <v>BC28-0056-D-APH-5040-0756-PCR</v>
      </c>
      <c r="CN53" s="122" t="str">
        <f t="shared" si="589"/>
        <v>05.08.2026</v>
      </c>
      <c r="CO53" s="125" t="str">
        <f t="shared" si="590"/>
        <v>18:00:00</v>
      </c>
      <c r="CP53" s="122" t="str">
        <f t="shared" si="591"/>
        <v>06.08.2026</v>
      </c>
      <c r="CQ53" s="125" t="str">
        <f t="shared" si="592"/>
        <v>06:00:00</v>
      </c>
      <c r="CR53" s="123">
        <f t="shared" si="559"/>
        <v>8100</v>
      </c>
      <c r="CS53" s="126">
        <f t="shared" si="593"/>
        <v>121</v>
      </c>
      <c r="CT53" s="118" t="s">
        <v>1086</v>
      </c>
      <c r="CU53" s="118"/>
      <c r="CV53" s="118" t="s">
        <v>1087</v>
      </c>
      <c r="CW53" s="127"/>
      <c r="CX53" s="118" t="s">
        <v>1087</v>
      </c>
      <c r="CY53" s="127"/>
      <c r="CZ53" s="118" t="s">
        <v>1087</v>
      </c>
      <c r="DA53" s="127"/>
      <c r="DB53" s="118" t="s">
        <v>1087</v>
      </c>
      <c r="DC53" s="118"/>
      <c r="DD53" s="118" t="s">
        <v>1087</v>
      </c>
      <c r="DE53" s="118"/>
      <c r="DF53" s="118" t="s">
        <v>1087</v>
      </c>
      <c r="DG53" s="118"/>
      <c r="DH53" s="118"/>
      <c r="DI53" s="118"/>
      <c r="DJ53" s="118"/>
      <c r="DK53" s="118"/>
      <c r="DL53" s="118"/>
      <c r="DM53" s="62"/>
      <c r="DN53" s="90" t="str">
        <f t="shared" ref="DN53:DN54" si="747">B53</f>
        <v>A18</v>
      </c>
      <c r="DO53" s="90" t="str">
        <f t="shared" ref="DO53:DO54" si="748">F53</f>
        <v>BC28-0056-D-APH-5040-0756-PCR</v>
      </c>
      <c r="DP53" s="128">
        <f t="shared" ref="DP53:DP54" si="749">(3600/AC53)*I53*12*0.98</f>
        <v>9769.8461538461543</v>
      </c>
      <c r="DQ53" s="129">
        <f t="shared" ref="DQ53:DQ54" si="750">P53</f>
        <v>9360</v>
      </c>
      <c r="DR53" s="130">
        <f t="shared" ref="DR53:DR54" si="751">DQ53/DP53*100</f>
        <v>95.804988662131521</v>
      </c>
      <c r="DS53" s="131">
        <f t="shared" ref="DS53:DS54" si="752">Y53</f>
        <v>1.5</v>
      </c>
      <c r="DT53" s="131">
        <f t="shared" ref="DT53:DT54" si="753">Z53</f>
        <v>1.302897644361059E-2</v>
      </c>
      <c r="DU53" s="132">
        <f t="shared" ref="DU53:DU54" si="754">SUM(AG53:AI53)</f>
        <v>0</v>
      </c>
      <c r="DV53" s="133">
        <f t="shared" ref="DV53:DV54" si="755">SUM(AD53:AF53)</f>
        <v>0</v>
      </c>
      <c r="DW53" s="261">
        <f t="shared" ref="DW53:DW54" si="756">Y53+W53+AM53+AN53/U53*100</f>
        <v>1.5</v>
      </c>
      <c r="DX53" s="262"/>
      <c r="DY53" s="134" t="str">
        <f t="shared" ref="DY53:DY54" si="757">AJ53</f>
        <v>Run well.L.test.</v>
      </c>
      <c r="DZ53" s="15"/>
      <c r="EA53" s="15"/>
      <c r="EB53" s="15"/>
      <c r="EC53" s="15"/>
      <c r="ED53" s="15"/>
      <c r="EE53" s="15"/>
    </row>
    <row r="54" spans="1:135" s="74" customFormat="1" ht="33" customHeight="1">
      <c r="A54" s="188" t="s">
        <v>1451</v>
      </c>
      <c r="B54" s="100" t="s">
        <v>1346</v>
      </c>
      <c r="C54" s="90" t="s">
        <v>1405</v>
      </c>
      <c r="D54" s="101" t="str">
        <f>VLOOKUP(E54,'Reference Card '!A:E,5,FALSE)</f>
        <v>PET</v>
      </c>
      <c r="E54" s="102">
        <v>541381</v>
      </c>
      <c r="F54" s="103" t="str">
        <f>VLOOKUP(E54,'[1]Reference Card '!A:B,2,FALSE)</f>
        <v>BC28-1200-K-R-CL</v>
      </c>
      <c r="G54" s="104">
        <v>10700742</v>
      </c>
      <c r="H54" s="105" t="s">
        <v>1246</v>
      </c>
      <c r="I54" s="85">
        <f>VLOOKUP(E54,'[1]Reference Card '!A:C,3,FALSE)</f>
        <v>4</v>
      </c>
      <c r="J54" s="185">
        <f>VLOOKUP(E54,'[1]Reference Card '!A:H,8,FALSE)</f>
        <v>55</v>
      </c>
      <c r="K54" s="185">
        <f>VLOOKUP(E54,'[1]Reference Card '!A:F,6,FALSE)</f>
        <v>55</v>
      </c>
      <c r="L54" s="86">
        <v>1445</v>
      </c>
      <c r="M54" s="86">
        <v>84000</v>
      </c>
      <c r="N54" s="86">
        <v>175</v>
      </c>
      <c r="O54" s="86">
        <v>350</v>
      </c>
      <c r="P54" s="107">
        <f t="shared" si="560"/>
        <v>5780</v>
      </c>
      <c r="Q54" s="87">
        <v>5600</v>
      </c>
      <c r="R54" s="108">
        <f t="shared" si="561"/>
        <v>308</v>
      </c>
      <c r="S54" s="86">
        <v>53550</v>
      </c>
      <c r="T54" s="107">
        <f t="shared" si="562"/>
        <v>30450</v>
      </c>
      <c r="U54" s="109">
        <f t="shared" si="563"/>
        <v>317.89999999999998</v>
      </c>
      <c r="V54" s="108">
        <f t="shared" si="681"/>
        <v>0</v>
      </c>
      <c r="W54" s="86">
        <v>0</v>
      </c>
      <c r="X54" s="110">
        <f t="shared" si="564"/>
        <v>0</v>
      </c>
      <c r="Y54" s="86">
        <v>4.5</v>
      </c>
      <c r="Z54" s="111">
        <f t="shared" si="565"/>
        <v>1.4155394778232149E-2</v>
      </c>
      <c r="AA54" s="109">
        <v>29.9</v>
      </c>
      <c r="AB54" s="112">
        <f t="shared" si="682"/>
        <v>12.001527777777778</v>
      </c>
      <c r="AC54" s="112">
        <f>VLOOKUP(E54,'[2]Reference Card '!A:I,9,FALSE)</f>
        <v>30.08</v>
      </c>
      <c r="AD54" s="113"/>
      <c r="AE54" s="113"/>
      <c r="AF54" s="113"/>
      <c r="AG54" s="113"/>
      <c r="AH54" s="135"/>
      <c r="AI54" s="135"/>
      <c r="AJ54" s="229" t="s">
        <v>1349</v>
      </c>
      <c r="AK54" s="114"/>
      <c r="AL54" s="113"/>
      <c r="AM54" s="113"/>
      <c r="AN54" s="113"/>
      <c r="AO54" s="115">
        <f t="shared" si="746"/>
        <v>-13.850000000000023</v>
      </c>
      <c r="AP54" s="90" t="s">
        <v>1314</v>
      </c>
      <c r="AQ54" s="79" t="s">
        <v>1406</v>
      </c>
      <c r="AR54" s="189" t="s">
        <v>1090</v>
      </c>
      <c r="AS54" s="79" t="s">
        <v>1465</v>
      </c>
      <c r="AT54" s="189" t="s">
        <v>1089</v>
      </c>
      <c r="AU54" s="73">
        <f t="shared" si="568"/>
        <v>81.818181818181813</v>
      </c>
      <c r="AV54" s="116">
        <f t="shared" si="569"/>
        <v>5681.818181818182</v>
      </c>
      <c r="AW54" s="116">
        <f t="shared" si="570"/>
        <v>481.60535117056861</v>
      </c>
      <c r="AX54" s="73">
        <f t="shared" si="571"/>
        <v>11.79766414141414</v>
      </c>
      <c r="AY54" s="73">
        <f t="shared" si="572"/>
        <v>0</v>
      </c>
      <c r="AZ54" s="116">
        <f t="shared" si="558"/>
        <v>5600</v>
      </c>
      <c r="BA54" s="116">
        <f t="shared" si="573"/>
        <v>81.818181818181813</v>
      </c>
      <c r="BB54" s="117">
        <f t="shared" si="574"/>
        <v>1.461038961038961E-2</v>
      </c>
      <c r="BC54" s="118">
        <v>712</v>
      </c>
      <c r="BD54" s="118"/>
      <c r="BE54" s="90">
        <f t="shared" si="575"/>
        <v>10700742</v>
      </c>
      <c r="BF54" s="119" t="s">
        <v>1096</v>
      </c>
      <c r="BG54" s="120">
        <f t="shared" si="576"/>
        <v>541381</v>
      </c>
      <c r="BH54" s="121" t="str">
        <f t="shared" si="577"/>
        <v>BC28-1200-K-R-CL</v>
      </c>
      <c r="BI54" s="122" t="str">
        <f t="shared" si="578"/>
        <v>05.08.2026</v>
      </c>
      <c r="BJ54" s="119" t="str">
        <f t="shared" si="579"/>
        <v>18:00:00</v>
      </c>
      <c r="BK54" s="122" t="str">
        <f t="shared" si="580"/>
        <v>06.08.2026</v>
      </c>
      <c r="BL54" s="119" t="str">
        <f t="shared" si="581"/>
        <v>06:00:00</v>
      </c>
      <c r="BM54" s="123">
        <f t="shared" si="582"/>
        <v>5681</v>
      </c>
      <c r="BN54" s="118">
        <v>0</v>
      </c>
      <c r="BO54" s="118" t="s">
        <v>1086</v>
      </c>
      <c r="BP54" s="118"/>
      <c r="BQ54" s="118" t="s">
        <v>1087</v>
      </c>
      <c r="BR54" s="124">
        <f t="shared" si="583"/>
        <v>11.79766414141414</v>
      </c>
      <c r="BS54" s="124" t="s">
        <v>1087</v>
      </c>
      <c r="BT54" s="124">
        <f t="shared" si="584"/>
        <v>11.79766414141414</v>
      </c>
      <c r="BU54" s="124" t="s">
        <v>1087</v>
      </c>
      <c r="BV54" s="124">
        <f t="shared" si="585"/>
        <v>11.79766414141414</v>
      </c>
      <c r="BW54" s="118" t="s">
        <v>1087</v>
      </c>
      <c r="BX54" s="118"/>
      <c r="BY54" s="118" t="s">
        <v>1087</v>
      </c>
      <c r="BZ54" s="118"/>
      <c r="CA54" s="118" t="s">
        <v>1087</v>
      </c>
      <c r="CB54" s="118"/>
      <c r="CC54" s="118"/>
      <c r="CD54" s="118"/>
      <c r="CE54" s="118"/>
      <c r="CF54" s="118"/>
      <c r="CG54" s="118"/>
      <c r="CH54" s="118">
        <v>712</v>
      </c>
      <c r="CI54" s="118"/>
      <c r="CJ54" s="118">
        <f t="shared" si="586"/>
        <v>10700742</v>
      </c>
      <c r="CK54" s="119" t="s">
        <v>1106</v>
      </c>
      <c r="CL54" s="120">
        <f t="shared" si="587"/>
        <v>541381</v>
      </c>
      <c r="CM54" s="121" t="str">
        <f t="shared" si="588"/>
        <v>BC28-1200-K-R-CL</v>
      </c>
      <c r="CN54" s="122" t="str">
        <f t="shared" si="589"/>
        <v>05.08.2026</v>
      </c>
      <c r="CO54" s="125" t="str">
        <f t="shared" si="590"/>
        <v>18:00:00</v>
      </c>
      <c r="CP54" s="122" t="str">
        <f t="shared" si="591"/>
        <v>06.08.2026</v>
      </c>
      <c r="CQ54" s="125" t="str">
        <f t="shared" si="592"/>
        <v>06:00:00</v>
      </c>
      <c r="CR54" s="123">
        <f t="shared" si="559"/>
        <v>5600</v>
      </c>
      <c r="CS54" s="126">
        <f t="shared" si="593"/>
        <v>81</v>
      </c>
      <c r="CT54" s="118" t="s">
        <v>1086</v>
      </c>
      <c r="CU54" s="118"/>
      <c r="CV54" s="118" t="s">
        <v>1087</v>
      </c>
      <c r="CW54" s="127"/>
      <c r="CX54" s="118" t="s">
        <v>1087</v>
      </c>
      <c r="CY54" s="127"/>
      <c r="CZ54" s="118" t="s">
        <v>1087</v>
      </c>
      <c r="DA54" s="127"/>
      <c r="DB54" s="118" t="s">
        <v>1087</v>
      </c>
      <c r="DC54" s="118"/>
      <c r="DD54" s="118" t="s">
        <v>1087</v>
      </c>
      <c r="DE54" s="118"/>
      <c r="DF54" s="118" t="s">
        <v>1087</v>
      </c>
      <c r="DG54" s="118"/>
      <c r="DH54" s="118"/>
      <c r="DI54" s="118"/>
      <c r="DJ54" s="118"/>
      <c r="DK54" s="118"/>
      <c r="DL54" s="118"/>
      <c r="DM54" s="62"/>
      <c r="DN54" s="90" t="str">
        <f t="shared" si="747"/>
        <v>A19</v>
      </c>
      <c r="DO54" s="90" t="str">
        <f t="shared" si="748"/>
        <v>BC28-1200-K-R-CL</v>
      </c>
      <c r="DP54" s="128">
        <f t="shared" si="749"/>
        <v>5629.7872340425538</v>
      </c>
      <c r="DQ54" s="129">
        <f t="shared" si="750"/>
        <v>5780</v>
      </c>
      <c r="DR54" s="130">
        <f t="shared" si="751"/>
        <v>102.66817838246409</v>
      </c>
      <c r="DS54" s="131">
        <f t="shared" si="752"/>
        <v>4.5</v>
      </c>
      <c r="DT54" s="131">
        <f t="shared" si="753"/>
        <v>1.4155394778232149E-2</v>
      </c>
      <c r="DU54" s="132">
        <f t="shared" si="754"/>
        <v>0</v>
      </c>
      <c r="DV54" s="133">
        <f t="shared" si="755"/>
        <v>0</v>
      </c>
      <c r="DW54" s="264">
        <f t="shared" si="756"/>
        <v>4.5</v>
      </c>
      <c r="DX54" s="265"/>
      <c r="DY54" s="134" t="str">
        <f t="shared" si="757"/>
        <v>Run well.L.test.</v>
      </c>
      <c r="DZ54" s="15"/>
      <c r="EA54" s="15"/>
      <c r="EB54" s="15"/>
      <c r="EC54" s="15"/>
      <c r="ED54" s="15"/>
      <c r="EE54" s="15"/>
    </row>
    <row r="55" spans="1:135" s="74" customFormat="1" ht="33" customHeight="1">
      <c r="A55" s="188" t="s">
        <v>1451</v>
      </c>
      <c r="B55" s="100" t="s">
        <v>1216</v>
      </c>
      <c r="C55" s="90" t="s">
        <v>1383</v>
      </c>
      <c r="D55" s="101" t="str">
        <f>VLOOKUP(E55,'Reference Card '!A:E,5,FALSE)</f>
        <v>KingFa NC050</v>
      </c>
      <c r="E55" s="102">
        <v>666342</v>
      </c>
      <c r="F55" s="103" t="str">
        <f>VLOOKUP(E55,'[1]Reference Card '!A:B,2,FALSE)</f>
        <v>BC28-0090-D-APH-5180-3538-PCR</v>
      </c>
      <c r="G55" s="104">
        <v>10704701</v>
      </c>
      <c r="H55" s="105" t="s">
        <v>1246</v>
      </c>
      <c r="I55" s="85">
        <f>VLOOKUP(E55,'[1]Reference Card '!A:C,3,FALSE)</f>
        <v>6</v>
      </c>
      <c r="J55" s="185">
        <f>VLOOKUP(E55,'[1]Reference Card '!A:H,8,FALSE)</f>
        <v>14.7</v>
      </c>
      <c r="K55" s="185">
        <f>VLOOKUP(E55,'[1]Reference Card '!A:F,6,FALSE)</f>
        <v>14.7</v>
      </c>
      <c r="L55" s="86">
        <v>1350</v>
      </c>
      <c r="M55" s="86">
        <v>108000</v>
      </c>
      <c r="N55" s="86">
        <v>2970</v>
      </c>
      <c r="O55" s="86">
        <v>5130</v>
      </c>
      <c r="P55" s="107">
        <f t="shared" si="560"/>
        <v>8100</v>
      </c>
      <c r="Q55" s="87">
        <v>5400</v>
      </c>
      <c r="R55" s="108">
        <f t="shared" si="561"/>
        <v>79.38</v>
      </c>
      <c r="S55" s="86">
        <v>26730</v>
      </c>
      <c r="T55" s="107">
        <f t="shared" si="562"/>
        <v>81270</v>
      </c>
      <c r="U55" s="109">
        <f t="shared" si="563"/>
        <v>119.07</v>
      </c>
      <c r="V55" s="108">
        <f t="shared" si="681"/>
        <v>0</v>
      </c>
      <c r="W55" s="86">
        <v>0</v>
      </c>
      <c r="X55" s="110">
        <f t="shared" si="564"/>
        <v>0</v>
      </c>
      <c r="Y55" s="86">
        <v>5</v>
      </c>
      <c r="Z55" s="111">
        <f t="shared" si="565"/>
        <v>4.1992105484168978E-2</v>
      </c>
      <c r="AA55" s="109">
        <v>29</v>
      </c>
      <c r="AB55" s="112">
        <f t="shared" si="682"/>
        <v>10.875</v>
      </c>
      <c r="AC55" s="112">
        <f>VLOOKUP(E55,'[2]Reference Card '!A:I,9,FALSE)</f>
        <v>27</v>
      </c>
      <c r="AD55" s="113"/>
      <c r="AE55" s="113"/>
      <c r="AF55" s="113"/>
      <c r="AG55" s="135"/>
      <c r="AH55" s="135">
        <v>1</v>
      </c>
      <c r="AI55" s="135"/>
      <c r="AJ55" s="229" t="s">
        <v>1458</v>
      </c>
      <c r="AK55" s="114"/>
      <c r="AL55" s="113"/>
      <c r="AM55" s="113"/>
      <c r="AN55" s="113"/>
      <c r="AO55" s="115">
        <f t="shared" ref="AO55:AO70" si="758">(U55-R55-W55-Y55-AM55-AN55)-(O55*K55/1000)</f>
        <v>-40.721000000000004</v>
      </c>
      <c r="AP55" s="90" t="s">
        <v>1314</v>
      </c>
      <c r="AQ55" s="79" t="s">
        <v>1406</v>
      </c>
      <c r="AR55" s="189" t="s">
        <v>1090</v>
      </c>
      <c r="AS55" s="79" t="s">
        <v>1465</v>
      </c>
      <c r="AT55" s="189" t="s">
        <v>1089</v>
      </c>
      <c r="AU55" s="73">
        <f t="shared" si="568"/>
        <v>340.13605442176873</v>
      </c>
      <c r="AV55" s="116">
        <f t="shared" si="569"/>
        <v>5740.1360544217687</v>
      </c>
      <c r="AW55" s="116">
        <f t="shared" si="570"/>
        <v>744.82758620689651</v>
      </c>
      <c r="AX55" s="73">
        <f t="shared" si="571"/>
        <v>8.7066641471403372</v>
      </c>
      <c r="AY55" s="73">
        <f t="shared" si="572"/>
        <v>1</v>
      </c>
      <c r="AZ55" s="116">
        <f t="shared" si="558"/>
        <v>5400</v>
      </c>
      <c r="BA55" s="116">
        <f t="shared" si="573"/>
        <v>340.13605442176873</v>
      </c>
      <c r="BB55" s="117">
        <f t="shared" si="574"/>
        <v>6.2988158226253463E-2</v>
      </c>
      <c r="BC55" s="118">
        <v>712</v>
      </c>
      <c r="BD55" s="118"/>
      <c r="BE55" s="90">
        <f t="shared" si="575"/>
        <v>10704701</v>
      </c>
      <c r="BF55" s="119" t="s">
        <v>1096</v>
      </c>
      <c r="BG55" s="120">
        <f t="shared" si="576"/>
        <v>666342</v>
      </c>
      <c r="BH55" s="121" t="str">
        <f t="shared" si="577"/>
        <v>BC28-0090-D-APH-5180-3538-PCR</v>
      </c>
      <c r="BI55" s="122" t="str">
        <f t="shared" si="578"/>
        <v>05.08.2026</v>
      </c>
      <c r="BJ55" s="119" t="str">
        <f t="shared" si="579"/>
        <v>18:00:00</v>
      </c>
      <c r="BK55" s="122" t="str">
        <f t="shared" si="580"/>
        <v>06.08.2026</v>
      </c>
      <c r="BL55" s="119" t="str">
        <f t="shared" si="581"/>
        <v>06:00:00</v>
      </c>
      <c r="BM55" s="123">
        <f t="shared" si="582"/>
        <v>5740</v>
      </c>
      <c r="BN55" s="118">
        <v>0</v>
      </c>
      <c r="BO55" s="118" t="s">
        <v>1086</v>
      </c>
      <c r="BP55" s="118"/>
      <c r="BQ55" s="118" t="s">
        <v>1087</v>
      </c>
      <c r="BR55" s="124">
        <f t="shared" si="583"/>
        <v>8.7066641471403372</v>
      </c>
      <c r="BS55" s="124" t="s">
        <v>1087</v>
      </c>
      <c r="BT55" s="124">
        <f t="shared" si="584"/>
        <v>8.7066641471403372</v>
      </c>
      <c r="BU55" s="124" t="s">
        <v>1087</v>
      </c>
      <c r="BV55" s="124">
        <f t="shared" si="585"/>
        <v>8.7066641471403372</v>
      </c>
      <c r="BW55" s="118" t="s">
        <v>1087</v>
      </c>
      <c r="BX55" s="118"/>
      <c r="BY55" s="118" t="s">
        <v>1087</v>
      </c>
      <c r="BZ55" s="118"/>
      <c r="CA55" s="118" t="s">
        <v>1087</v>
      </c>
      <c r="CB55" s="118"/>
      <c r="CC55" s="118"/>
      <c r="CD55" s="118"/>
      <c r="CE55" s="118"/>
      <c r="CF55" s="118"/>
      <c r="CG55" s="118"/>
      <c r="CH55" s="118">
        <v>712</v>
      </c>
      <c r="CI55" s="118"/>
      <c r="CJ55" s="118">
        <f t="shared" si="586"/>
        <v>10704701</v>
      </c>
      <c r="CK55" s="119" t="s">
        <v>1106</v>
      </c>
      <c r="CL55" s="120">
        <f t="shared" si="587"/>
        <v>666342</v>
      </c>
      <c r="CM55" s="121" t="str">
        <f t="shared" si="588"/>
        <v>BC28-0090-D-APH-5180-3538-PCR</v>
      </c>
      <c r="CN55" s="122" t="str">
        <f t="shared" si="589"/>
        <v>05.08.2026</v>
      </c>
      <c r="CO55" s="125" t="str">
        <f t="shared" si="590"/>
        <v>18:00:00</v>
      </c>
      <c r="CP55" s="122" t="str">
        <f t="shared" si="591"/>
        <v>06.08.2026</v>
      </c>
      <c r="CQ55" s="125" t="str">
        <f t="shared" si="592"/>
        <v>06:00:00</v>
      </c>
      <c r="CR55" s="123">
        <f t="shared" si="559"/>
        <v>5400</v>
      </c>
      <c r="CS55" s="126">
        <f t="shared" si="593"/>
        <v>340</v>
      </c>
      <c r="CT55" s="118" t="s">
        <v>1086</v>
      </c>
      <c r="CU55" s="118"/>
      <c r="CV55" s="118" t="s">
        <v>1087</v>
      </c>
      <c r="CW55" s="127"/>
      <c r="CX55" s="118" t="s">
        <v>1087</v>
      </c>
      <c r="CY55" s="127"/>
      <c r="CZ55" s="118" t="s">
        <v>1087</v>
      </c>
      <c r="DA55" s="127"/>
      <c r="DB55" s="118" t="s">
        <v>1087</v>
      </c>
      <c r="DC55" s="118"/>
      <c r="DD55" s="118" t="s">
        <v>1087</v>
      </c>
      <c r="DE55" s="118"/>
      <c r="DF55" s="118" t="s">
        <v>1087</v>
      </c>
      <c r="DG55" s="118"/>
      <c r="DH55" s="118"/>
      <c r="DI55" s="118"/>
      <c r="DJ55" s="118"/>
      <c r="DK55" s="118"/>
      <c r="DL55" s="118"/>
      <c r="DM55" s="62"/>
      <c r="DN55" s="90" t="str">
        <f t="shared" ref="DN55" si="759">B55</f>
        <v>A21</v>
      </c>
      <c r="DO55" s="90" t="str">
        <f t="shared" ref="DO55" si="760">F55</f>
        <v>BC28-0090-D-APH-5180-3538-PCR</v>
      </c>
      <c r="DP55" s="128">
        <f t="shared" ref="DP55" si="761">(3600/AC55)*I55*12*0.98</f>
        <v>9408</v>
      </c>
      <c r="DQ55" s="129">
        <f t="shared" ref="DQ55" si="762">P55</f>
        <v>8100</v>
      </c>
      <c r="DR55" s="130">
        <f t="shared" ref="DR55" si="763">DQ55/DP55*100</f>
        <v>86.096938775510196</v>
      </c>
      <c r="DS55" s="131">
        <f t="shared" ref="DS55" si="764">Y55</f>
        <v>5</v>
      </c>
      <c r="DT55" s="131">
        <f t="shared" ref="DT55" si="765">Z55</f>
        <v>4.1992105484168978E-2</v>
      </c>
      <c r="DU55" s="132">
        <f t="shared" ref="DU55" si="766">SUM(AG55:AI55)</f>
        <v>1</v>
      </c>
      <c r="DV55" s="133">
        <f t="shared" ref="DV55" si="767">SUM(AD55:AF55)</f>
        <v>0</v>
      </c>
      <c r="DW55" s="264">
        <f t="shared" ref="DW55" si="768">Y55+W55+AM55+AN55/U55*100</f>
        <v>5</v>
      </c>
      <c r="DX55" s="265"/>
      <c r="DY55" s="134" t="str">
        <f t="shared" ref="DY55" si="769">AJ55</f>
        <v>Run well.L.test.Leak test pusher problem.</v>
      </c>
      <c r="DZ55" s="15"/>
      <c r="EA55" s="15"/>
      <c r="EB55" s="15"/>
      <c r="EC55" s="15"/>
      <c r="ED55" s="15"/>
      <c r="EE55" s="15"/>
    </row>
    <row r="56" spans="1:135" s="74" customFormat="1" ht="33" customHeight="1">
      <c r="A56" s="188" t="s">
        <v>1451</v>
      </c>
      <c r="B56" s="100" t="s">
        <v>1238</v>
      </c>
      <c r="C56" s="90" t="s">
        <v>1447</v>
      </c>
      <c r="D56" s="101" t="str">
        <f>VLOOKUP(E56,'Reference Card '!A:E,5,FALSE)</f>
        <v>PPSB520Y</v>
      </c>
      <c r="E56" s="102">
        <v>550077</v>
      </c>
      <c r="F56" s="103" t="str">
        <f>VLOOKUP(E56,'[1]Reference Card '!A:B,2,FALSE)</f>
        <v>BC28-0170-D-APH-5040-0736-PP-6NOTCHES(NO LOGO)</v>
      </c>
      <c r="G56" s="104">
        <v>10704309</v>
      </c>
      <c r="H56" s="105" t="s">
        <v>1246</v>
      </c>
      <c r="I56" s="85">
        <f>VLOOKUP(E56,'[1]Reference Card '!A:C,3,FALSE)</f>
        <v>6</v>
      </c>
      <c r="J56" s="106">
        <v>28</v>
      </c>
      <c r="K56" s="106">
        <v>28</v>
      </c>
      <c r="L56" s="86">
        <v>980</v>
      </c>
      <c r="M56" s="86">
        <v>67200</v>
      </c>
      <c r="N56" s="86">
        <v>0</v>
      </c>
      <c r="O56" s="86">
        <v>2520</v>
      </c>
      <c r="P56" s="107">
        <f t="shared" si="560"/>
        <v>5880</v>
      </c>
      <c r="Q56" s="87">
        <v>3360</v>
      </c>
      <c r="R56" s="108">
        <f t="shared" si="561"/>
        <v>94.08</v>
      </c>
      <c r="S56" s="86">
        <v>22680</v>
      </c>
      <c r="T56" s="107">
        <f t="shared" si="562"/>
        <v>44520</v>
      </c>
      <c r="U56" s="109">
        <f t="shared" si="563"/>
        <v>164.64</v>
      </c>
      <c r="V56" s="108">
        <f t="shared" si="681"/>
        <v>0</v>
      </c>
      <c r="W56" s="86">
        <v>0</v>
      </c>
      <c r="X56" s="110">
        <f t="shared" si="564"/>
        <v>0</v>
      </c>
      <c r="Y56" s="86">
        <v>3.5</v>
      </c>
      <c r="Z56" s="111">
        <f t="shared" si="565"/>
        <v>2.1258503401360547E-2</v>
      </c>
      <c r="AA56" s="109">
        <v>44.44</v>
      </c>
      <c r="AB56" s="112">
        <f t="shared" si="682"/>
        <v>12.097555555555555</v>
      </c>
      <c r="AC56" s="112">
        <f>VLOOKUP(E56,'[2]Reference Card '!A:I,9,FALSE)</f>
        <v>42</v>
      </c>
      <c r="AD56" s="113"/>
      <c r="AE56" s="113"/>
      <c r="AF56" s="113"/>
      <c r="AG56" s="113"/>
      <c r="AH56" s="113"/>
      <c r="AI56" s="135"/>
      <c r="AJ56" s="229" t="s">
        <v>1349</v>
      </c>
      <c r="AK56" s="114"/>
      <c r="AL56" s="113"/>
      <c r="AM56" s="113"/>
      <c r="AN56" s="113"/>
      <c r="AO56" s="115">
        <f t="shared" si="758"/>
        <v>-3.5000000000000142</v>
      </c>
      <c r="AP56" s="90" t="s">
        <v>1314</v>
      </c>
      <c r="AQ56" s="79" t="s">
        <v>1406</v>
      </c>
      <c r="AR56" s="189" t="s">
        <v>1090</v>
      </c>
      <c r="AS56" s="79" t="s">
        <v>1465</v>
      </c>
      <c r="AT56" s="189" t="s">
        <v>1089</v>
      </c>
      <c r="AU56" s="73">
        <f t="shared" si="568"/>
        <v>125</v>
      </c>
      <c r="AV56" s="116">
        <f t="shared" si="569"/>
        <v>3485</v>
      </c>
      <c r="AW56" s="116">
        <f t="shared" si="570"/>
        <v>486.04860486048608</v>
      </c>
      <c r="AX56" s="73">
        <f t="shared" si="571"/>
        <v>7.1700648148148147</v>
      </c>
      <c r="AY56" s="73">
        <f t="shared" si="572"/>
        <v>0</v>
      </c>
      <c r="AZ56" s="116">
        <f t="shared" si="558"/>
        <v>3360</v>
      </c>
      <c r="BA56" s="116">
        <f t="shared" si="573"/>
        <v>125</v>
      </c>
      <c r="BB56" s="117">
        <f t="shared" si="574"/>
        <v>3.7202380952380952E-2</v>
      </c>
      <c r="BC56" s="118">
        <v>712</v>
      </c>
      <c r="BD56" s="118"/>
      <c r="BE56" s="90">
        <f t="shared" si="575"/>
        <v>10704309</v>
      </c>
      <c r="BF56" s="119" t="s">
        <v>1096</v>
      </c>
      <c r="BG56" s="120">
        <f t="shared" si="576"/>
        <v>550077</v>
      </c>
      <c r="BH56" s="121" t="str">
        <f t="shared" si="577"/>
        <v>BC28-0170-D-APH-5040-0736-PP-6NOTCHES(NO LOGO)</v>
      </c>
      <c r="BI56" s="122" t="str">
        <f t="shared" si="578"/>
        <v>05.08.2026</v>
      </c>
      <c r="BJ56" s="119" t="str">
        <f t="shared" si="579"/>
        <v>18:00:00</v>
      </c>
      <c r="BK56" s="122" t="str">
        <f t="shared" si="580"/>
        <v>06.08.2026</v>
      </c>
      <c r="BL56" s="119" t="str">
        <f t="shared" si="581"/>
        <v>06:00:00</v>
      </c>
      <c r="BM56" s="123">
        <f t="shared" si="582"/>
        <v>3485</v>
      </c>
      <c r="BN56" s="118">
        <v>0</v>
      </c>
      <c r="BO56" s="118" t="s">
        <v>1086</v>
      </c>
      <c r="BP56" s="118"/>
      <c r="BQ56" s="118" t="s">
        <v>1087</v>
      </c>
      <c r="BR56" s="124">
        <f t="shared" si="583"/>
        <v>7.1700648148148147</v>
      </c>
      <c r="BS56" s="124" t="s">
        <v>1087</v>
      </c>
      <c r="BT56" s="124">
        <f t="shared" si="584"/>
        <v>7.1700648148148147</v>
      </c>
      <c r="BU56" s="124" t="s">
        <v>1087</v>
      </c>
      <c r="BV56" s="124">
        <f t="shared" si="585"/>
        <v>7.1700648148148147</v>
      </c>
      <c r="BW56" s="118" t="s">
        <v>1087</v>
      </c>
      <c r="BX56" s="118"/>
      <c r="BY56" s="118" t="s">
        <v>1087</v>
      </c>
      <c r="BZ56" s="118"/>
      <c r="CA56" s="118" t="s">
        <v>1087</v>
      </c>
      <c r="CB56" s="118"/>
      <c r="CC56" s="118"/>
      <c r="CD56" s="118"/>
      <c r="CE56" s="118"/>
      <c r="CF56" s="118"/>
      <c r="CG56" s="118"/>
      <c r="CH56" s="118">
        <v>712</v>
      </c>
      <c r="CI56" s="118"/>
      <c r="CJ56" s="118">
        <f t="shared" si="586"/>
        <v>10704309</v>
      </c>
      <c r="CK56" s="119" t="s">
        <v>1106</v>
      </c>
      <c r="CL56" s="120">
        <f t="shared" si="587"/>
        <v>550077</v>
      </c>
      <c r="CM56" s="121" t="str">
        <f t="shared" si="588"/>
        <v>BC28-0170-D-APH-5040-0736-PP-6NOTCHES(NO LOGO)</v>
      </c>
      <c r="CN56" s="122" t="str">
        <f t="shared" si="589"/>
        <v>05.08.2026</v>
      </c>
      <c r="CO56" s="125" t="str">
        <f t="shared" si="590"/>
        <v>18:00:00</v>
      </c>
      <c r="CP56" s="122" t="str">
        <f t="shared" si="591"/>
        <v>06.08.2026</v>
      </c>
      <c r="CQ56" s="125" t="str">
        <f t="shared" si="592"/>
        <v>06:00:00</v>
      </c>
      <c r="CR56" s="123">
        <f t="shared" si="559"/>
        <v>3360</v>
      </c>
      <c r="CS56" s="126">
        <f t="shared" si="593"/>
        <v>125</v>
      </c>
      <c r="CT56" s="118" t="s">
        <v>1086</v>
      </c>
      <c r="CU56" s="118"/>
      <c r="CV56" s="118" t="s">
        <v>1087</v>
      </c>
      <c r="CW56" s="127"/>
      <c r="CX56" s="118" t="s">
        <v>1087</v>
      </c>
      <c r="CY56" s="127"/>
      <c r="CZ56" s="118" t="s">
        <v>1087</v>
      </c>
      <c r="DA56" s="127"/>
      <c r="DB56" s="118" t="s">
        <v>1087</v>
      </c>
      <c r="DC56" s="118"/>
      <c r="DD56" s="118" t="s">
        <v>1087</v>
      </c>
      <c r="DE56" s="118"/>
      <c r="DF56" s="118" t="s">
        <v>1087</v>
      </c>
      <c r="DG56" s="118"/>
      <c r="DH56" s="118"/>
      <c r="DI56" s="118"/>
      <c r="DJ56" s="118"/>
      <c r="DK56" s="118"/>
      <c r="DL56" s="118"/>
      <c r="DM56" s="62"/>
      <c r="DN56" s="90" t="str">
        <f t="shared" ref="DN56:DN60" si="770">B56</f>
        <v>A23</v>
      </c>
      <c r="DO56" s="90" t="str">
        <f t="shared" ref="DO56:DO60" si="771">F56</f>
        <v>BC28-0170-D-APH-5040-0736-PP-6NOTCHES(NO LOGO)</v>
      </c>
      <c r="DP56" s="128">
        <f t="shared" ref="DP56:DP60" si="772">(3600/AC56)*I56*12*0.98</f>
        <v>6047.9999999999991</v>
      </c>
      <c r="DQ56" s="129">
        <f t="shared" ref="DQ56:DQ60" si="773">P56</f>
        <v>5880</v>
      </c>
      <c r="DR56" s="130">
        <f t="shared" ref="DR56:DR60" si="774">DQ56/DP56*100</f>
        <v>97.222222222222229</v>
      </c>
      <c r="DS56" s="131">
        <f t="shared" ref="DS56:DS60" si="775">Y56</f>
        <v>3.5</v>
      </c>
      <c r="DT56" s="131">
        <f t="shared" ref="DT56:DT60" si="776">Z56</f>
        <v>2.1258503401360547E-2</v>
      </c>
      <c r="DU56" s="132">
        <f t="shared" ref="DU56:DU60" si="777">SUM(AG56:AI56)</f>
        <v>0</v>
      </c>
      <c r="DV56" s="133">
        <f t="shared" ref="DV56:DV60" si="778">SUM(AD56:AF56)</f>
        <v>0</v>
      </c>
      <c r="DW56" s="261">
        <f t="shared" ref="DW56:DW60" si="779">Y56+W56+AM56+AN56/U56*100</f>
        <v>3.5</v>
      </c>
      <c r="DX56" s="262"/>
      <c r="DY56" s="134" t="str">
        <f t="shared" ref="DY56:DY60" si="780">AJ56</f>
        <v>Run well.L.test.</v>
      </c>
      <c r="DZ56" s="15"/>
      <c r="EA56" s="15"/>
      <c r="EB56" s="15"/>
      <c r="EC56" s="15"/>
      <c r="ED56" s="15"/>
      <c r="EE56" s="15"/>
    </row>
    <row r="57" spans="1:135" s="74" customFormat="1" ht="33" customHeight="1">
      <c r="A57" s="188" t="s">
        <v>1451</v>
      </c>
      <c r="B57" s="100" t="s">
        <v>1373</v>
      </c>
      <c r="C57" s="90" t="s">
        <v>1389</v>
      </c>
      <c r="D57" s="101" t="str">
        <f>VLOOKUP(E57,'Reference Card '!A:E,5,FALSE)</f>
        <v>HDPE5403A+LDPE265YZ</v>
      </c>
      <c r="E57" s="102">
        <v>453933</v>
      </c>
      <c r="F57" s="103" t="str">
        <f>VLOOKUP(E57,'[1]Reference Card '!A:B,2,FALSE)</f>
        <v>EBK38-0500-K-Q-YL-PE(S0576)</v>
      </c>
      <c r="G57" s="104">
        <v>10704265</v>
      </c>
      <c r="H57" s="105" t="s">
        <v>1246</v>
      </c>
      <c r="I57" s="85">
        <f>VLOOKUP(E57,'[1]Reference Card '!A:C,3,FALSE)</f>
        <v>2</v>
      </c>
      <c r="J57" s="106">
        <f>VLOOKUP(E57,'[1]Reference Card '!A:H,8,FALSE)</f>
        <v>59</v>
      </c>
      <c r="K57" s="106">
        <f>VLOOKUP(E57,'[1]Reference Card '!A:F,6,FALSE)</f>
        <v>39.5</v>
      </c>
      <c r="L57" s="86">
        <v>1820</v>
      </c>
      <c r="M57" s="86">
        <v>40320</v>
      </c>
      <c r="N57" s="86">
        <v>360</v>
      </c>
      <c r="O57" s="86">
        <v>960</v>
      </c>
      <c r="P57" s="107">
        <f t="shared" si="560"/>
        <v>3640</v>
      </c>
      <c r="Q57" s="87">
        <v>2880</v>
      </c>
      <c r="R57" s="108">
        <f t="shared" si="561"/>
        <v>113.76</v>
      </c>
      <c r="S57" s="86">
        <v>11040</v>
      </c>
      <c r="T57" s="149">
        <f t="shared" si="562"/>
        <v>29280</v>
      </c>
      <c r="U57" s="109">
        <f t="shared" si="563"/>
        <v>143.78</v>
      </c>
      <c r="V57" s="108">
        <f t="shared" si="681"/>
        <v>70.98</v>
      </c>
      <c r="W57" s="86">
        <v>0</v>
      </c>
      <c r="X57" s="110">
        <f t="shared" si="564"/>
        <v>0</v>
      </c>
      <c r="Y57" s="86">
        <v>7.4</v>
      </c>
      <c r="Z57" s="111">
        <f t="shared" si="565"/>
        <v>5.1467519821950206E-2</v>
      </c>
      <c r="AA57" s="109">
        <v>23.2</v>
      </c>
      <c r="AB57" s="112">
        <f t="shared" si="682"/>
        <v>11.728888888888889</v>
      </c>
      <c r="AC57" s="112">
        <f>VLOOKUP(E57,'[2]Reference Card '!A:I,9,FALSE)</f>
        <v>21.2</v>
      </c>
      <c r="AD57" s="113"/>
      <c r="AE57" s="113"/>
      <c r="AF57" s="113"/>
      <c r="AG57" s="113"/>
      <c r="AH57" s="135"/>
      <c r="AI57" s="135"/>
      <c r="AJ57" s="114" t="s">
        <v>1381</v>
      </c>
      <c r="AK57" s="114"/>
      <c r="AL57" s="113"/>
      <c r="AM57" s="113"/>
      <c r="AN57" s="113"/>
      <c r="AO57" s="115">
        <f t="shared" si="758"/>
        <v>-15.300000000000004</v>
      </c>
      <c r="AP57" s="90" t="s">
        <v>1314</v>
      </c>
      <c r="AQ57" s="79" t="s">
        <v>1406</v>
      </c>
      <c r="AR57" s="189" t="s">
        <v>1090</v>
      </c>
      <c r="AS57" s="79" t="s">
        <v>1465</v>
      </c>
      <c r="AT57" s="189" t="s">
        <v>1089</v>
      </c>
      <c r="AU57" s="73">
        <f t="shared" si="568"/>
        <v>187.34177215189874</v>
      </c>
      <c r="AV57" s="116">
        <f t="shared" si="569"/>
        <v>3067.3417721518986</v>
      </c>
      <c r="AW57" s="116">
        <f t="shared" si="570"/>
        <v>310.34482758620692</v>
      </c>
      <c r="AX57" s="73">
        <f t="shared" si="571"/>
        <v>9.8836568213783398</v>
      </c>
      <c r="AY57" s="73">
        <f t="shared" si="572"/>
        <v>0</v>
      </c>
      <c r="AZ57" s="116">
        <f t="shared" si="558"/>
        <v>2880</v>
      </c>
      <c r="BA57" s="116">
        <f t="shared" si="573"/>
        <v>187.34177215189874</v>
      </c>
      <c r="BB57" s="117">
        <f t="shared" si="574"/>
        <v>6.5049226441631511E-2</v>
      </c>
      <c r="BC57" s="118">
        <v>712</v>
      </c>
      <c r="BD57" s="118"/>
      <c r="BE57" s="90">
        <f t="shared" si="575"/>
        <v>10704265</v>
      </c>
      <c r="BF57" s="119" t="s">
        <v>1096</v>
      </c>
      <c r="BG57" s="120">
        <f t="shared" si="576"/>
        <v>453933</v>
      </c>
      <c r="BH57" s="121" t="str">
        <f t="shared" si="577"/>
        <v>EBK38-0500-K-Q-YL-PE(S0576)</v>
      </c>
      <c r="BI57" s="122" t="str">
        <f t="shared" si="578"/>
        <v>05.08.2026</v>
      </c>
      <c r="BJ57" s="119" t="str">
        <f t="shared" si="579"/>
        <v>18:00:00</v>
      </c>
      <c r="BK57" s="122" t="str">
        <f t="shared" si="580"/>
        <v>06.08.2026</v>
      </c>
      <c r="BL57" s="119" t="str">
        <f t="shared" si="581"/>
        <v>06:00:00</v>
      </c>
      <c r="BM57" s="123">
        <f t="shared" si="582"/>
        <v>3067</v>
      </c>
      <c r="BN57" s="118">
        <v>0</v>
      </c>
      <c r="BO57" s="118" t="s">
        <v>1086</v>
      </c>
      <c r="BP57" s="118"/>
      <c r="BQ57" s="118" t="s">
        <v>1087</v>
      </c>
      <c r="BR57" s="124">
        <f t="shared" si="583"/>
        <v>9.8836568213783398</v>
      </c>
      <c r="BS57" s="124" t="s">
        <v>1087</v>
      </c>
      <c r="BT57" s="124">
        <f t="shared" si="584"/>
        <v>9.8836568213783398</v>
      </c>
      <c r="BU57" s="124" t="s">
        <v>1087</v>
      </c>
      <c r="BV57" s="124">
        <f t="shared" si="585"/>
        <v>9.8836568213783398</v>
      </c>
      <c r="BW57" s="118" t="s">
        <v>1087</v>
      </c>
      <c r="BX57" s="118"/>
      <c r="BY57" s="118" t="s">
        <v>1087</v>
      </c>
      <c r="BZ57" s="118"/>
      <c r="CA57" s="118" t="s">
        <v>1087</v>
      </c>
      <c r="CB57" s="118"/>
      <c r="CC57" s="118"/>
      <c r="CD57" s="118"/>
      <c r="CE57" s="118"/>
      <c r="CF57" s="118"/>
      <c r="CG57" s="118"/>
      <c r="CH57" s="118">
        <v>712</v>
      </c>
      <c r="CI57" s="118"/>
      <c r="CJ57" s="118">
        <f t="shared" si="586"/>
        <v>10704265</v>
      </c>
      <c r="CK57" s="119" t="s">
        <v>1106</v>
      </c>
      <c r="CL57" s="120">
        <f t="shared" si="587"/>
        <v>453933</v>
      </c>
      <c r="CM57" s="121" t="str">
        <f t="shared" si="588"/>
        <v>EBK38-0500-K-Q-YL-PE(S0576)</v>
      </c>
      <c r="CN57" s="122" t="str">
        <f t="shared" si="589"/>
        <v>05.08.2026</v>
      </c>
      <c r="CO57" s="125" t="str">
        <f t="shared" si="590"/>
        <v>18:00:00</v>
      </c>
      <c r="CP57" s="122" t="str">
        <f t="shared" si="591"/>
        <v>06.08.2026</v>
      </c>
      <c r="CQ57" s="125" t="str">
        <f t="shared" si="592"/>
        <v>06:00:00</v>
      </c>
      <c r="CR57" s="123">
        <f t="shared" si="559"/>
        <v>2880</v>
      </c>
      <c r="CS57" s="126">
        <f t="shared" si="593"/>
        <v>187</v>
      </c>
      <c r="CT57" s="118" t="s">
        <v>1086</v>
      </c>
      <c r="CU57" s="118"/>
      <c r="CV57" s="118" t="s">
        <v>1087</v>
      </c>
      <c r="CW57" s="127"/>
      <c r="CX57" s="118" t="s">
        <v>1087</v>
      </c>
      <c r="CY57" s="127"/>
      <c r="CZ57" s="118" t="s">
        <v>1087</v>
      </c>
      <c r="DA57" s="127"/>
      <c r="DB57" s="118" t="s">
        <v>1087</v>
      </c>
      <c r="DC57" s="118"/>
      <c r="DD57" s="118" t="s">
        <v>1087</v>
      </c>
      <c r="DE57" s="118"/>
      <c r="DF57" s="118" t="s">
        <v>1087</v>
      </c>
      <c r="DG57" s="118"/>
      <c r="DH57" s="118"/>
      <c r="DI57" s="118"/>
      <c r="DJ57" s="118"/>
      <c r="DK57" s="118"/>
      <c r="DL57" s="118"/>
      <c r="DM57" s="62"/>
      <c r="DN57" s="90" t="str">
        <f t="shared" ref="DN57" si="781">B57</f>
        <v>KM16</v>
      </c>
      <c r="DO57" s="90" t="str">
        <f t="shared" ref="DO57" si="782">F57</f>
        <v>EBK38-0500-K-Q-YL-PE(S0576)</v>
      </c>
      <c r="DP57" s="128">
        <f t="shared" ref="DP57" si="783">(3600/AC57)*I57*12*0.98</f>
        <v>3993.9622641509432</v>
      </c>
      <c r="DQ57" s="129">
        <f t="shared" ref="DQ57" si="784">P57</f>
        <v>3640</v>
      </c>
      <c r="DR57" s="130">
        <f t="shared" ref="DR57" si="785">DQ57/DP57*100</f>
        <v>91.137566137566139</v>
      </c>
      <c r="DS57" s="131">
        <f t="shared" ref="DS57" si="786">Y57</f>
        <v>7.4</v>
      </c>
      <c r="DT57" s="131">
        <f t="shared" ref="DT57" si="787">Z57</f>
        <v>5.1467519821950206E-2</v>
      </c>
      <c r="DU57" s="132">
        <f t="shared" ref="DU57" si="788">SUM(AG57:AI57)</f>
        <v>0</v>
      </c>
      <c r="DV57" s="133">
        <f t="shared" ref="DV57" si="789">SUM(AD57:AF57)</f>
        <v>0</v>
      </c>
      <c r="DW57" s="261">
        <f t="shared" ref="DW57" si="790">Y57+W57+AM57+AN57/U57*100</f>
        <v>7.4</v>
      </c>
      <c r="DX57" s="262"/>
      <c r="DY57" s="134" t="str">
        <f t="shared" ref="DY57" si="791">AJ57</f>
        <v>Black dot.L.test.</v>
      </c>
      <c r="DZ57" s="15"/>
      <c r="EA57" s="15"/>
      <c r="EB57" s="15"/>
      <c r="EC57" s="15"/>
      <c r="ED57" s="15"/>
      <c r="EE57" s="15"/>
    </row>
    <row r="58" spans="1:135" s="74" customFormat="1" ht="33" customHeight="1">
      <c r="A58" s="188" t="s">
        <v>1451</v>
      </c>
      <c r="B58" s="100" t="s">
        <v>1329</v>
      </c>
      <c r="C58" s="90" t="s">
        <v>1446</v>
      </c>
      <c r="D58" s="101" t="str">
        <f>VLOOKUP(E58,'Reference Card '!A:E,5,FALSE)</f>
        <v>MARLEX6007</v>
      </c>
      <c r="E58" s="145">
        <v>573943</v>
      </c>
      <c r="F58" s="103" t="str">
        <f>VLOOKUP(E58,'[1]Reference Card '!A:B,2,FALSE)</f>
        <v>EBK38-2000-K-S-WH-PE(S2012)</v>
      </c>
      <c r="G58" s="104">
        <v>10702422</v>
      </c>
      <c r="H58" s="105" t="s">
        <v>1246</v>
      </c>
      <c r="I58" s="85">
        <f>VLOOKUP(E58,'[1]Reference Card '!A:C,3,FALSE)</f>
        <v>1</v>
      </c>
      <c r="J58" s="106">
        <f>VLOOKUP(E58,'[1]Reference Card '!A:H,8,FALSE)</f>
        <v>180</v>
      </c>
      <c r="K58" s="185">
        <f>VLOOKUP(E58,'[1]Reference Card '!A:F,6,FALSE)</f>
        <v>122</v>
      </c>
      <c r="L58" s="86">
        <v>1260</v>
      </c>
      <c r="M58" s="86">
        <v>20160</v>
      </c>
      <c r="N58" s="86">
        <v>65</v>
      </c>
      <c r="O58" s="86">
        <v>270</v>
      </c>
      <c r="P58" s="107">
        <f t="shared" si="560"/>
        <v>1260</v>
      </c>
      <c r="Q58" s="87">
        <v>1080</v>
      </c>
      <c r="R58" s="108">
        <f t="shared" si="561"/>
        <v>131.76</v>
      </c>
      <c r="S58" s="86">
        <v>16470</v>
      </c>
      <c r="T58" s="107">
        <f t="shared" si="562"/>
        <v>3690</v>
      </c>
      <c r="U58" s="109">
        <f t="shared" si="563"/>
        <v>153.72</v>
      </c>
      <c r="V58" s="108">
        <f t="shared" si="681"/>
        <v>73.08</v>
      </c>
      <c r="W58" s="86">
        <v>0</v>
      </c>
      <c r="X58" s="110">
        <f t="shared" si="564"/>
        <v>0</v>
      </c>
      <c r="Y58" s="86">
        <v>5</v>
      </c>
      <c r="Z58" s="111">
        <f t="shared" si="565"/>
        <v>3.2526671870934165E-2</v>
      </c>
      <c r="AA58" s="109">
        <v>33.799999999999997</v>
      </c>
      <c r="AB58" s="112">
        <f t="shared" si="682"/>
        <v>11.829999999999998</v>
      </c>
      <c r="AC58" s="112">
        <v>35</v>
      </c>
      <c r="AD58" s="113"/>
      <c r="AE58" s="113"/>
      <c r="AF58" s="113"/>
      <c r="AG58" s="113"/>
      <c r="AH58" s="113"/>
      <c r="AI58" s="135"/>
      <c r="AJ58" s="114" t="s">
        <v>1381</v>
      </c>
      <c r="AK58" s="114"/>
      <c r="AL58" s="113"/>
      <c r="AM58" s="113"/>
      <c r="AN58" s="113"/>
      <c r="AO58" s="115">
        <f t="shared" si="758"/>
        <v>-15.97999999999999</v>
      </c>
      <c r="AP58" s="90" t="s">
        <v>1314</v>
      </c>
      <c r="AQ58" s="79" t="s">
        <v>1406</v>
      </c>
      <c r="AR58" s="189" t="s">
        <v>1090</v>
      </c>
      <c r="AS58" s="79" t="s">
        <v>1465</v>
      </c>
      <c r="AT58" s="189" t="s">
        <v>1089</v>
      </c>
      <c r="AU58" s="73">
        <f t="shared" si="568"/>
        <v>40.983606557377051</v>
      </c>
      <c r="AV58" s="116">
        <f t="shared" si="569"/>
        <v>1120.983606557377</v>
      </c>
      <c r="AW58" s="116">
        <f t="shared" si="570"/>
        <v>106.50887573964498</v>
      </c>
      <c r="AX58" s="73">
        <f t="shared" si="571"/>
        <v>10.524790528233151</v>
      </c>
      <c r="AY58" s="73">
        <f t="shared" si="572"/>
        <v>0</v>
      </c>
      <c r="AZ58" s="116">
        <f t="shared" si="558"/>
        <v>1080</v>
      </c>
      <c r="BA58" s="116">
        <f t="shared" si="573"/>
        <v>40.983606557377051</v>
      </c>
      <c r="BB58" s="117">
        <f t="shared" si="574"/>
        <v>3.7947783849423197E-2</v>
      </c>
      <c r="BC58" s="118">
        <v>712</v>
      </c>
      <c r="BD58" s="118"/>
      <c r="BE58" s="90">
        <f t="shared" si="575"/>
        <v>10702422</v>
      </c>
      <c r="BF58" s="119" t="s">
        <v>1096</v>
      </c>
      <c r="BG58" s="120">
        <f t="shared" si="576"/>
        <v>573943</v>
      </c>
      <c r="BH58" s="121" t="str">
        <f t="shared" si="577"/>
        <v>EBK38-2000-K-S-WH-PE(S2012)</v>
      </c>
      <c r="BI58" s="122" t="str">
        <f t="shared" si="578"/>
        <v>05.08.2026</v>
      </c>
      <c r="BJ58" s="119" t="str">
        <f t="shared" si="579"/>
        <v>18:00:00</v>
      </c>
      <c r="BK58" s="122" t="str">
        <f t="shared" si="580"/>
        <v>06.08.2026</v>
      </c>
      <c r="BL58" s="119" t="str">
        <f t="shared" si="581"/>
        <v>06:00:00</v>
      </c>
      <c r="BM58" s="123">
        <f t="shared" si="582"/>
        <v>1120</v>
      </c>
      <c r="BN58" s="118">
        <v>0</v>
      </c>
      <c r="BO58" s="118" t="s">
        <v>1086</v>
      </c>
      <c r="BP58" s="118"/>
      <c r="BQ58" s="118" t="s">
        <v>1087</v>
      </c>
      <c r="BR58" s="124">
        <f t="shared" si="583"/>
        <v>10.524790528233151</v>
      </c>
      <c r="BS58" s="124" t="s">
        <v>1087</v>
      </c>
      <c r="BT58" s="124">
        <f t="shared" si="584"/>
        <v>10.524790528233151</v>
      </c>
      <c r="BU58" s="124" t="s">
        <v>1087</v>
      </c>
      <c r="BV58" s="124">
        <f t="shared" si="585"/>
        <v>10.524790528233151</v>
      </c>
      <c r="BW58" s="118" t="s">
        <v>1087</v>
      </c>
      <c r="BX58" s="118"/>
      <c r="BY58" s="118" t="s">
        <v>1087</v>
      </c>
      <c r="BZ58" s="118"/>
      <c r="CA58" s="118" t="s">
        <v>1087</v>
      </c>
      <c r="CB58" s="118"/>
      <c r="CC58" s="118"/>
      <c r="CD58" s="118"/>
      <c r="CE58" s="118"/>
      <c r="CF58" s="118"/>
      <c r="CG58" s="118"/>
      <c r="CH58" s="118">
        <v>712</v>
      </c>
      <c r="CI58" s="118"/>
      <c r="CJ58" s="118">
        <f t="shared" si="586"/>
        <v>10702422</v>
      </c>
      <c r="CK58" s="119" t="s">
        <v>1106</v>
      </c>
      <c r="CL58" s="120">
        <f t="shared" si="587"/>
        <v>573943</v>
      </c>
      <c r="CM58" s="121" t="str">
        <f t="shared" si="588"/>
        <v>EBK38-2000-K-S-WH-PE(S2012)</v>
      </c>
      <c r="CN58" s="122" t="str">
        <f t="shared" si="589"/>
        <v>05.08.2026</v>
      </c>
      <c r="CO58" s="125" t="str">
        <f t="shared" si="590"/>
        <v>18:00:00</v>
      </c>
      <c r="CP58" s="122" t="str">
        <f t="shared" si="591"/>
        <v>06.08.2026</v>
      </c>
      <c r="CQ58" s="125" t="str">
        <f t="shared" si="592"/>
        <v>06:00:00</v>
      </c>
      <c r="CR58" s="123">
        <f t="shared" si="559"/>
        <v>1080</v>
      </c>
      <c r="CS58" s="126">
        <f t="shared" si="593"/>
        <v>40</v>
      </c>
      <c r="CT58" s="118" t="s">
        <v>1086</v>
      </c>
      <c r="CU58" s="118"/>
      <c r="CV58" s="118" t="s">
        <v>1087</v>
      </c>
      <c r="CW58" s="127"/>
      <c r="CX58" s="118" t="s">
        <v>1087</v>
      </c>
      <c r="CY58" s="127"/>
      <c r="CZ58" s="118" t="s">
        <v>1087</v>
      </c>
      <c r="DA58" s="127"/>
      <c r="DB58" s="118" t="s">
        <v>1087</v>
      </c>
      <c r="DC58" s="118"/>
      <c r="DD58" s="118" t="s">
        <v>1087</v>
      </c>
      <c r="DE58" s="118"/>
      <c r="DF58" s="118" t="s">
        <v>1087</v>
      </c>
      <c r="DG58" s="118"/>
      <c r="DH58" s="118"/>
      <c r="DI58" s="118"/>
      <c r="DJ58" s="118"/>
      <c r="DK58" s="118"/>
      <c r="DL58" s="118"/>
      <c r="DM58" s="62"/>
      <c r="DN58" s="90" t="str">
        <f t="shared" si="770"/>
        <v>KM17</v>
      </c>
      <c r="DO58" s="90" t="str">
        <f t="shared" si="771"/>
        <v>EBK38-2000-K-S-WH-PE(S2012)</v>
      </c>
      <c r="DP58" s="128">
        <f t="shared" si="772"/>
        <v>1209.5999999999999</v>
      </c>
      <c r="DQ58" s="129">
        <f t="shared" si="773"/>
        <v>1260</v>
      </c>
      <c r="DR58" s="130">
        <f t="shared" si="774"/>
        <v>104.16666666666667</v>
      </c>
      <c r="DS58" s="131">
        <f t="shared" si="775"/>
        <v>5</v>
      </c>
      <c r="DT58" s="131">
        <f t="shared" si="776"/>
        <v>3.2526671870934165E-2</v>
      </c>
      <c r="DU58" s="132">
        <f t="shared" si="777"/>
        <v>0</v>
      </c>
      <c r="DV58" s="133">
        <f t="shared" si="778"/>
        <v>0</v>
      </c>
      <c r="DW58" s="261">
        <f t="shared" si="779"/>
        <v>5</v>
      </c>
      <c r="DX58" s="262"/>
      <c r="DY58" s="134" t="str">
        <f t="shared" si="780"/>
        <v>Black dot.L.test.</v>
      </c>
      <c r="DZ58" s="15"/>
      <c r="EA58" s="15"/>
      <c r="EB58" s="15"/>
      <c r="EC58" s="15"/>
      <c r="ED58" s="15"/>
      <c r="EE58" s="15"/>
    </row>
    <row r="59" spans="1:135" s="74" customFormat="1" ht="33" customHeight="1">
      <c r="A59" s="188" t="s">
        <v>1451</v>
      </c>
      <c r="B59" s="100" t="s">
        <v>1341</v>
      </c>
      <c r="C59" s="90" t="s">
        <v>1390</v>
      </c>
      <c r="D59" s="101" t="str">
        <f>VLOOKUP(E59,'Reference Card '!A:E,5,FALSE)</f>
        <v>MARLEX6007</v>
      </c>
      <c r="E59" s="102">
        <v>618592</v>
      </c>
      <c r="F59" s="103" t="str">
        <f>VLOOKUP(E59,'[1]Reference Card '!A:B,2,FALSE)</f>
        <v xml:space="preserve">E22-0150-R-GY-HDPE </v>
      </c>
      <c r="G59" s="104">
        <v>10701479</v>
      </c>
      <c r="H59" s="105" t="s">
        <v>1246</v>
      </c>
      <c r="I59" s="85">
        <f>VLOOKUP(E59,'[1]Reference Card '!A:C,3,FALSE)</f>
        <v>4</v>
      </c>
      <c r="J59" s="106">
        <f>VLOOKUP(E59,'[1]Reference Card '!A:H,8,FALSE)</f>
        <v>26</v>
      </c>
      <c r="K59" s="106">
        <f>VLOOKUP(E59,'[1]Reference Card '!A:F,6,FALSE)</f>
        <v>15</v>
      </c>
      <c r="L59" s="86">
        <v>810</v>
      </c>
      <c r="M59" s="86">
        <v>43200</v>
      </c>
      <c r="N59" s="86">
        <v>0</v>
      </c>
      <c r="O59" s="86">
        <v>3000</v>
      </c>
      <c r="P59" s="107">
        <f t="shared" si="560"/>
        <v>3240</v>
      </c>
      <c r="Q59" s="87">
        <v>0</v>
      </c>
      <c r="R59" s="108">
        <f t="shared" si="561"/>
        <v>0</v>
      </c>
      <c r="S59" s="86">
        <v>3000</v>
      </c>
      <c r="T59" s="149">
        <f t="shared" si="562"/>
        <v>40200</v>
      </c>
      <c r="U59" s="109">
        <f t="shared" si="563"/>
        <v>48.6</v>
      </c>
      <c r="V59" s="108">
        <f t="shared" si="681"/>
        <v>35.64</v>
      </c>
      <c r="W59" s="86">
        <v>8</v>
      </c>
      <c r="X59" s="110">
        <f t="shared" si="564"/>
        <v>0.16460905349794239</v>
      </c>
      <c r="Y59" s="86">
        <v>2</v>
      </c>
      <c r="Z59" s="111">
        <f t="shared" si="565"/>
        <v>4.1152263374485597E-2</v>
      </c>
      <c r="AA59" s="109">
        <v>23.3</v>
      </c>
      <c r="AB59" s="112">
        <f t="shared" si="682"/>
        <v>5.2424999999999997</v>
      </c>
      <c r="AC59" s="112">
        <f>VLOOKUP(E59,'[2]Reference Card '!A:I,9,FALSE)</f>
        <v>25</v>
      </c>
      <c r="AD59" s="113"/>
      <c r="AE59" s="113"/>
      <c r="AF59" s="113"/>
      <c r="AG59" s="113"/>
      <c r="AH59" s="135">
        <v>6.8</v>
      </c>
      <c r="AI59" s="135"/>
      <c r="AJ59" s="229" t="s">
        <v>1452</v>
      </c>
      <c r="AK59" s="114"/>
      <c r="AL59" s="113"/>
      <c r="AM59" s="113"/>
      <c r="AN59" s="113"/>
      <c r="AO59" s="115">
        <f t="shared" si="758"/>
        <v>-6.3999999999999986</v>
      </c>
      <c r="AP59" s="90" t="s">
        <v>1314</v>
      </c>
      <c r="AQ59" s="79" t="s">
        <v>1406</v>
      </c>
      <c r="AR59" s="189" t="s">
        <v>1090</v>
      </c>
      <c r="AS59" s="79" t="s">
        <v>1465</v>
      </c>
      <c r="AT59" s="189" t="s">
        <v>1089</v>
      </c>
      <c r="AU59" s="73">
        <f t="shared" si="568"/>
        <v>666.66666666666663</v>
      </c>
      <c r="AV59" s="116">
        <f t="shared" si="569"/>
        <v>666.66666666666663</v>
      </c>
      <c r="AW59" s="116">
        <f t="shared" si="570"/>
        <v>618.02575107296138</v>
      </c>
      <c r="AX59" s="73">
        <f t="shared" si="571"/>
        <v>7.8787037037037031</v>
      </c>
      <c r="AY59" s="73">
        <f t="shared" si="572"/>
        <v>6.8</v>
      </c>
      <c r="AZ59" s="116">
        <f t="shared" si="558"/>
        <v>0</v>
      </c>
      <c r="BA59" s="116">
        <f t="shared" si="573"/>
        <v>666.66666666666663</v>
      </c>
      <c r="BB59" s="117" t="e">
        <f t="shared" si="574"/>
        <v>#DIV/0!</v>
      </c>
      <c r="BC59" s="118">
        <v>712</v>
      </c>
      <c r="BD59" s="118"/>
      <c r="BE59" s="90">
        <f t="shared" si="575"/>
        <v>10701479</v>
      </c>
      <c r="BF59" s="119" t="s">
        <v>1096</v>
      </c>
      <c r="BG59" s="120">
        <f t="shared" si="576"/>
        <v>618592</v>
      </c>
      <c r="BH59" s="121" t="str">
        <f t="shared" si="577"/>
        <v xml:space="preserve">E22-0150-R-GY-HDPE </v>
      </c>
      <c r="BI59" s="122" t="str">
        <f t="shared" si="578"/>
        <v>05.08.2026</v>
      </c>
      <c r="BJ59" s="119" t="str">
        <f t="shared" si="579"/>
        <v>18:00:00</v>
      </c>
      <c r="BK59" s="122" t="str">
        <f t="shared" si="580"/>
        <v>06.08.2026</v>
      </c>
      <c r="BL59" s="119" t="str">
        <f t="shared" si="581"/>
        <v>06:00:00</v>
      </c>
      <c r="BM59" s="123">
        <f t="shared" si="582"/>
        <v>666</v>
      </c>
      <c r="BN59" s="118">
        <v>0</v>
      </c>
      <c r="BO59" s="118" t="s">
        <v>1086</v>
      </c>
      <c r="BP59" s="118"/>
      <c r="BQ59" s="118" t="s">
        <v>1087</v>
      </c>
      <c r="BR59" s="124">
        <f t="shared" si="583"/>
        <v>7.8787037037037031</v>
      </c>
      <c r="BS59" s="124" t="s">
        <v>1087</v>
      </c>
      <c r="BT59" s="124">
        <f t="shared" si="584"/>
        <v>7.8787037037037031</v>
      </c>
      <c r="BU59" s="124" t="s">
        <v>1087</v>
      </c>
      <c r="BV59" s="124">
        <f t="shared" si="585"/>
        <v>7.8787037037037031</v>
      </c>
      <c r="BW59" s="118" t="s">
        <v>1087</v>
      </c>
      <c r="BX59" s="118"/>
      <c r="BY59" s="118" t="s">
        <v>1087</v>
      </c>
      <c r="BZ59" s="118"/>
      <c r="CA59" s="118" t="s">
        <v>1087</v>
      </c>
      <c r="CB59" s="118"/>
      <c r="CC59" s="118"/>
      <c r="CD59" s="118"/>
      <c r="CE59" s="118"/>
      <c r="CF59" s="118"/>
      <c r="CG59" s="118"/>
      <c r="CH59" s="118">
        <v>712</v>
      </c>
      <c r="CI59" s="118"/>
      <c r="CJ59" s="118">
        <f t="shared" si="586"/>
        <v>10701479</v>
      </c>
      <c r="CK59" s="119" t="s">
        <v>1106</v>
      </c>
      <c r="CL59" s="120">
        <f t="shared" si="587"/>
        <v>618592</v>
      </c>
      <c r="CM59" s="121" t="str">
        <f t="shared" si="588"/>
        <v xml:space="preserve">E22-0150-R-GY-HDPE </v>
      </c>
      <c r="CN59" s="122" t="str">
        <f t="shared" si="589"/>
        <v>05.08.2026</v>
      </c>
      <c r="CO59" s="125" t="str">
        <f t="shared" si="590"/>
        <v>18:00:00</v>
      </c>
      <c r="CP59" s="122" t="str">
        <f t="shared" si="591"/>
        <v>06.08.2026</v>
      </c>
      <c r="CQ59" s="125" t="str">
        <f t="shared" si="592"/>
        <v>06:00:00</v>
      </c>
      <c r="CR59" s="123">
        <f t="shared" si="559"/>
        <v>0</v>
      </c>
      <c r="CS59" s="126">
        <f t="shared" si="593"/>
        <v>666</v>
      </c>
      <c r="CT59" s="118" t="s">
        <v>1086</v>
      </c>
      <c r="CU59" s="118"/>
      <c r="CV59" s="118" t="s">
        <v>1087</v>
      </c>
      <c r="CW59" s="127"/>
      <c r="CX59" s="118" t="s">
        <v>1087</v>
      </c>
      <c r="CY59" s="127"/>
      <c r="CZ59" s="118" t="s">
        <v>1087</v>
      </c>
      <c r="DA59" s="127"/>
      <c r="DB59" s="118" t="s">
        <v>1087</v>
      </c>
      <c r="DC59" s="118"/>
      <c r="DD59" s="118" t="s">
        <v>1087</v>
      </c>
      <c r="DE59" s="118"/>
      <c r="DF59" s="118" t="s">
        <v>1087</v>
      </c>
      <c r="DG59" s="118"/>
      <c r="DH59" s="118"/>
      <c r="DI59" s="118"/>
      <c r="DJ59" s="118"/>
      <c r="DK59" s="118"/>
      <c r="DL59" s="118"/>
      <c r="DM59" s="62"/>
      <c r="DN59" s="90" t="str">
        <f t="shared" si="770"/>
        <v>KM25</v>
      </c>
      <c r="DO59" s="90" t="str">
        <f t="shared" si="771"/>
        <v xml:space="preserve">E22-0150-R-GY-HDPE </v>
      </c>
      <c r="DP59" s="128">
        <f t="shared" si="772"/>
        <v>6773.76</v>
      </c>
      <c r="DQ59" s="129">
        <f t="shared" si="773"/>
        <v>3240</v>
      </c>
      <c r="DR59" s="130">
        <f t="shared" si="774"/>
        <v>47.83163265306122</v>
      </c>
      <c r="DS59" s="131">
        <f t="shared" si="775"/>
        <v>2</v>
      </c>
      <c r="DT59" s="131">
        <f t="shared" si="776"/>
        <v>4.1152263374485597E-2</v>
      </c>
      <c r="DU59" s="132">
        <f t="shared" si="777"/>
        <v>6.8</v>
      </c>
      <c r="DV59" s="133">
        <f t="shared" si="778"/>
        <v>0</v>
      </c>
      <c r="DW59" s="186">
        <f t="shared" si="779"/>
        <v>10</v>
      </c>
      <c r="DX59" s="187"/>
      <c r="DY59" s="134" t="str">
        <f t="shared" si="780"/>
        <v>Under tech.Top load out spec.Start 12am.</v>
      </c>
      <c r="DZ59" s="15"/>
      <c r="EA59" s="15"/>
      <c r="EB59" s="15"/>
      <c r="EC59" s="15"/>
      <c r="ED59" s="15"/>
      <c r="EE59" s="15"/>
    </row>
    <row r="60" spans="1:135" s="74" customFormat="1" ht="33" customHeight="1">
      <c r="A60" s="188" t="s">
        <v>1451</v>
      </c>
      <c r="B60" s="100" t="s">
        <v>1339</v>
      </c>
      <c r="C60" s="90" t="s">
        <v>1454</v>
      </c>
      <c r="D60" s="101" t="str">
        <f>VLOOKUP(E60,'Reference Card '!A:E,5,FALSE)</f>
        <v>MARLEX6007</v>
      </c>
      <c r="E60" s="102">
        <v>617192</v>
      </c>
      <c r="F60" s="103" t="str">
        <f>VLOOKUP(E60,'[1]Reference Card '!A:B,2,FALSE)</f>
        <v>EBK38-2017-K-S-BEIGE-HDPE</v>
      </c>
      <c r="G60" s="104">
        <v>10704222</v>
      </c>
      <c r="H60" s="105" t="s">
        <v>1246</v>
      </c>
      <c r="I60" s="85">
        <f>VLOOKUP(E60,'[1]Reference Card '!A:C,3,FALSE)</f>
        <v>1</v>
      </c>
      <c r="J60" s="106">
        <f>VLOOKUP(E60,'[1]Reference Card '!A:H,8,FALSE)</f>
        <v>139.80000000000001</v>
      </c>
      <c r="K60" s="106">
        <f>VLOOKUP(E60,'[1]Reference Card '!A:F,6,FALSE)</f>
        <v>103</v>
      </c>
      <c r="L60" s="86">
        <v>1260</v>
      </c>
      <c r="M60" s="86">
        <v>20328</v>
      </c>
      <c r="N60" s="86">
        <v>396</v>
      </c>
      <c r="O60" s="86">
        <v>121</v>
      </c>
      <c r="P60" s="107">
        <f t="shared" si="560"/>
        <v>1260</v>
      </c>
      <c r="Q60" s="87">
        <v>1482</v>
      </c>
      <c r="R60" s="108">
        <f t="shared" si="561"/>
        <v>152.64599999999999</v>
      </c>
      <c r="S60" s="86">
        <v>9196</v>
      </c>
      <c r="T60" s="149">
        <f t="shared" si="562"/>
        <v>11132</v>
      </c>
      <c r="U60" s="109">
        <f t="shared" si="563"/>
        <v>129.78</v>
      </c>
      <c r="V60" s="108">
        <f t="shared" si="681"/>
        <v>46.368000000000016</v>
      </c>
      <c r="W60" s="86">
        <v>0</v>
      </c>
      <c r="X60" s="110">
        <f t="shared" si="564"/>
        <v>0</v>
      </c>
      <c r="Y60" s="86">
        <v>14</v>
      </c>
      <c r="Z60" s="111">
        <f t="shared" si="565"/>
        <v>0.10787486515641856</v>
      </c>
      <c r="AA60" s="109">
        <v>33</v>
      </c>
      <c r="AB60" s="112">
        <f t="shared" si="682"/>
        <v>11.55</v>
      </c>
      <c r="AC60" s="112">
        <f>VLOOKUP(E60,'[2]Reference Card '!A:I,9,FALSE)</f>
        <v>33</v>
      </c>
      <c r="AD60" s="113"/>
      <c r="AE60" s="113"/>
      <c r="AF60" s="113"/>
      <c r="AG60" s="113"/>
      <c r="AH60" s="135"/>
      <c r="AI60" s="135"/>
      <c r="AJ60" s="114" t="s">
        <v>1393</v>
      </c>
      <c r="AK60" s="114"/>
      <c r="AL60" s="113"/>
      <c r="AM60" s="113"/>
      <c r="AN60" s="113"/>
      <c r="AO60" s="115">
        <f t="shared" si="758"/>
        <v>-49.328999999999986</v>
      </c>
      <c r="AP60" s="90" t="s">
        <v>1314</v>
      </c>
      <c r="AQ60" s="79" t="s">
        <v>1406</v>
      </c>
      <c r="AR60" s="189" t="s">
        <v>1090</v>
      </c>
      <c r="AS60" s="79" t="s">
        <v>1465</v>
      </c>
      <c r="AT60" s="189" t="s">
        <v>1089</v>
      </c>
      <c r="AU60" s="73">
        <f t="shared" si="568"/>
        <v>135.92233009708738</v>
      </c>
      <c r="AV60" s="116">
        <f t="shared" si="569"/>
        <v>1617.9223300970873</v>
      </c>
      <c r="AW60" s="116">
        <f t="shared" si="570"/>
        <v>109.09090909090909</v>
      </c>
      <c r="AX60" s="73">
        <f t="shared" si="571"/>
        <v>14.830954692556633</v>
      </c>
      <c r="AY60" s="73">
        <f t="shared" si="572"/>
        <v>0</v>
      </c>
      <c r="AZ60" s="116">
        <v>1452</v>
      </c>
      <c r="BA60" s="116">
        <f t="shared" si="573"/>
        <v>135.92233009708738</v>
      </c>
      <c r="BB60" s="117">
        <f t="shared" si="574"/>
        <v>9.3610420177057424E-2</v>
      </c>
      <c r="BC60" s="118">
        <v>712</v>
      </c>
      <c r="BD60" s="118"/>
      <c r="BE60" s="90">
        <f t="shared" si="575"/>
        <v>10704222</v>
      </c>
      <c r="BF60" s="119" t="s">
        <v>1096</v>
      </c>
      <c r="BG60" s="120">
        <f t="shared" si="576"/>
        <v>617192</v>
      </c>
      <c r="BH60" s="121" t="str">
        <f t="shared" si="577"/>
        <v>EBK38-2017-K-S-BEIGE-HDPE</v>
      </c>
      <c r="BI60" s="122" t="str">
        <f t="shared" si="578"/>
        <v>05.08.2026</v>
      </c>
      <c r="BJ60" s="119" t="str">
        <f t="shared" si="579"/>
        <v>18:00:00</v>
      </c>
      <c r="BK60" s="122" t="str">
        <f t="shared" si="580"/>
        <v>06.08.2026</v>
      </c>
      <c r="BL60" s="119" t="str">
        <f t="shared" si="581"/>
        <v>06:00:00</v>
      </c>
      <c r="BM60" s="123">
        <f t="shared" si="582"/>
        <v>1617</v>
      </c>
      <c r="BN60" s="118">
        <v>0</v>
      </c>
      <c r="BO60" s="118" t="s">
        <v>1086</v>
      </c>
      <c r="BP60" s="118"/>
      <c r="BQ60" s="118" t="s">
        <v>1087</v>
      </c>
      <c r="BR60" s="124">
        <f t="shared" si="583"/>
        <v>14.830954692556633</v>
      </c>
      <c r="BS60" s="124" t="s">
        <v>1087</v>
      </c>
      <c r="BT60" s="124">
        <f t="shared" si="584"/>
        <v>14.830954692556633</v>
      </c>
      <c r="BU60" s="124" t="s">
        <v>1087</v>
      </c>
      <c r="BV60" s="124">
        <f t="shared" si="585"/>
        <v>14.830954692556633</v>
      </c>
      <c r="BW60" s="118" t="s">
        <v>1087</v>
      </c>
      <c r="BX60" s="118"/>
      <c r="BY60" s="118" t="s">
        <v>1087</v>
      </c>
      <c r="BZ60" s="118"/>
      <c r="CA60" s="118" t="s">
        <v>1087</v>
      </c>
      <c r="CB60" s="118"/>
      <c r="CC60" s="118"/>
      <c r="CD60" s="118"/>
      <c r="CE60" s="118"/>
      <c r="CF60" s="118"/>
      <c r="CG60" s="118"/>
      <c r="CH60" s="118">
        <v>712</v>
      </c>
      <c r="CI60" s="118"/>
      <c r="CJ60" s="118">
        <f t="shared" si="586"/>
        <v>10704222</v>
      </c>
      <c r="CK60" s="119" t="s">
        <v>1106</v>
      </c>
      <c r="CL60" s="120">
        <f t="shared" si="587"/>
        <v>617192</v>
      </c>
      <c r="CM60" s="121" t="str">
        <f t="shared" si="588"/>
        <v>EBK38-2017-K-S-BEIGE-HDPE</v>
      </c>
      <c r="CN60" s="122" t="str">
        <f t="shared" si="589"/>
        <v>05.08.2026</v>
      </c>
      <c r="CO60" s="125" t="str">
        <f t="shared" si="590"/>
        <v>18:00:00</v>
      </c>
      <c r="CP60" s="122" t="str">
        <f t="shared" si="591"/>
        <v>06.08.2026</v>
      </c>
      <c r="CQ60" s="125" t="str">
        <f t="shared" si="592"/>
        <v>06:00:00</v>
      </c>
      <c r="CR60" s="123">
        <f t="shared" si="559"/>
        <v>1452</v>
      </c>
      <c r="CS60" s="126">
        <f t="shared" si="593"/>
        <v>135</v>
      </c>
      <c r="CT60" s="118" t="s">
        <v>1086</v>
      </c>
      <c r="CU60" s="118"/>
      <c r="CV60" s="118" t="s">
        <v>1087</v>
      </c>
      <c r="CW60" s="127"/>
      <c r="CX60" s="118" t="s">
        <v>1087</v>
      </c>
      <c r="CY60" s="127"/>
      <c r="CZ60" s="118" t="s">
        <v>1087</v>
      </c>
      <c r="DA60" s="127"/>
      <c r="DB60" s="118" t="s">
        <v>1087</v>
      </c>
      <c r="DC60" s="118"/>
      <c r="DD60" s="118" t="s">
        <v>1087</v>
      </c>
      <c r="DE60" s="118"/>
      <c r="DF60" s="118" t="s">
        <v>1087</v>
      </c>
      <c r="DG60" s="118"/>
      <c r="DH60" s="118"/>
      <c r="DI60" s="118"/>
      <c r="DJ60" s="118"/>
      <c r="DK60" s="118"/>
      <c r="DL60" s="118"/>
      <c r="DM60" s="62"/>
      <c r="DN60" s="90" t="str">
        <f t="shared" si="770"/>
        <v>KM26</v>
      </c>
      <c r="DO60" s="90" t="str">
        <f t="shared" si="771"/>
        <v>EBK38-2017-K-S-BEIGE-HDPE</v>
      </c>
      <c r="DP60" s="128">
        <f t="shared" si="772"/>
        <v>1282.9090909090908</v>
      </c>
      <c r="DQ60" s="129">
        <f t="shared" si="773"/>
        <v>1260</v>
      </c>
      <c r="DR60" s="130">
        <f t="shared" si="774"/>
        <v>98.214285714285722</v>
      </c>
      <c r="DS60" s="131">
        <f t="shared" si="775"/>
        <v>14</v>
      </c>
      <c r="DT60" s="131">
        <f t="shared" si="776"/>
        <v>0.10787486515641856</v>
      </c>
      <c r="DU60" s="132">
        <f t="shared" si="777"/>
        <v>0</v>
      </c>
      <c r="DV60" s="133">
        <f t="shared" si="778"/>
        <v>0</v>
      </c>
      <c r="DW60" s="261">
        <f t="shared" si="779"/>
        <v>14</v>
      </c>
      <c r="DX60" s="262"/>
      <c r="DY60" s="134" t="str">
        <f t="shared" si="780"/>
        <v>Line mark &amp; black dot.L.test</v>
      </c>
      <c r="DZ60" s="15"/>
      <c r="EA60" s="15"/>
      <c r="EB60" s="15"/>
      <c r="EC60" s="15"/>
      <c r="ED60" s="15"/>
      <c r="EE60" s="15"/>
    </row>
    <row r="61" spans="1:135" s="74" customFormat="1" ht="33" customHeight="1">
      <c r="A61" s="188" t="s">
        <v>1451</v>
      </c>
      <c r="B61" s="100" t="s">
        <v>1340</v>
      </c>
      <c r="C61" s="90" t="s">
        <v>1403</v>
      </c>
      <c r="D61" s="101" t="str">
        <f>VLOOKUP(E61,'Reference Card '!A:E,5,FALSE)</f>
        <v>SM398</v>
      </c>
      <c r="E61" s="102">
        <v>606524</v>
      </c>
      <c r="F61" s="103" t="str">
        <f>VLOOKUP(E61,'[1]Reference Card '!A:B,2,FALSE)</f>
        <v>C35-R/S-F.TOP D.CHOC W SEAL 2.0 (ASEM)</v>
      </c>
      <c r="G61" s="104">
        <v>10704266</v>
      </c>
      <c r="H61" s="105" t="s">
        <v>1246</v>
      </c>
      <c r="I61" s="85">
        <f>VLOOKUP(E61,'[1]Reference Card '!A:C,3,FALSE)</f>
        <v>12</v>
      </c>
      <c r="J61" s="106">
        <f>VLOOKUP(E61,'[1]Reference Card '!A:H,8,FALSE)</f>
        <v>5.86</v>
      </c>
      <c r="K61" s="106">
        <f>VLOOKUP(E61,'[1]Reference Card '!A:F,6,FALSE)</f>
        <v>5.86</v>
      </c>
      <c r="L61" s="86">
        <v>1300</v>
      </c>
      <c r="M61" s="86">
        <v>170000</v>
      </c>
      <c r="N61" s="86">
        <v>27200</v>
      </c>
      <c r="O61" s="86">
        <v>8500</v>
      </c>
      <c r="P61" s="107">
        <f t="shared" si="560"/>
        <v>15600</v>
      </c>
      <c r="Q61" s="87">
        <v>34000</v>
      </c>
      <c r="R61" s="108">
        <f t="shared" si="561"/>
        <v>199.24</v>
      </c>
      <c r="S61" s="86">
        <v>110500</v>
      </c>
      <c r="T61" s="149">
        <f t="shared" si="562"/>
        <v>59500</v>
      </c>
      <c r="U61" s="109">
        <f t="shared" si="563"/>
        <v>91.415999999999997</v>
      </c>
      <c r="V61" s="108">
        <f t="shared" si="681"/>
        <v>0</v>
      </c>
      <c r="W61" s="86">
        <v>0</v>
      </c>
      <c r="X61" s="110">
        <f t="shared" si="564"/>
        <v>0</v>
      </c>
      <c r="Y61" s="86">
        <v>6.8</v>
      </c>
      <c r="Z61" s="111">
        <f t="shared" si="565"/>
        <v>7.438522796884571E-2</v>
      </c>
      <c r="AA61" s="109">
        <v>32.5</v>
      </c>
      <c r="AB61" s="112">
        <f t="shared" si="682"/>
        <v>11.736111111111111</v>
      </c>
      <c r="AC61" s="112">
        <f>VLOOKUP(E61,'[2]Reference Card '!A:I,9,FALSE)</f>
        <v>29.04</v>
      </c>
      <c r="AD61" s="113"/>
      <c r="AE61" s="113"/>
      <c r="AF61" s="113"/>
      <c r="AG61" s="113"/>
      <c r="AH61" s="135"/>
      <c r="AI61" s="135"/>
      <c r="AJ61" s="114" t="s">
        <v>1462</v>
      </c>
      <c r="AK61" s="114"/>
      <c r="AL61" s="113"/>
      <c r="AM61" s="113"/>
      <c r="AN61" s="113"/>
      <c r="AO61" s="115">
        <f t="shared" si="758"/>
        <v>-164.43400000000003</v>
      </c>
      <c r="AP61" s="90" t="s">
        <v>1314</v>
      </c>
      <c r="AQ61" s="79" t="s">
        <v>1406</v>
      </c>
      <c r="AR61" s="189" t="s">
        <v>1090</v>
      </c>
      <c r="AS61" s="79" t="s">
        <v>1465</v>
      </c>
      <c r="AT61" s="189" t="s">
        <v>1089</v>
      </c>
      <c r="AU61" s="73">
        <f t="shared" si="568"/>
        <v>1160.4095563139931</v>
      </c>
      <c r="AV61" s="116">
        <f t="shared" si="569"/>
        <v>35160.409556313993</v>
      </c>
      <c r="AW61" s="116">
        <f t="shared" si="570"/>
        <v>1329.2307692307693</v>
      </c>
      <c r="AX61" s="73">
        <f t="shared" si="571"/>
        <v>26.451697004171404</v>
      </c>
      <c r="AY61" s="73">
        <f t="shared" si="572"/>
        <v>0</v>
      </c>
      <c r="AZ61" s="116">
        <f t="shared" si="558"/>
        <v>34000</v>
      </c>
      <c r="BA61" s="116">
        <f t="shared" si="573"/>
        <v>1160.4095563139931</v>
      </c>
      <c r="BB61" s="117">
        <f t="shared" si="574"/>
        <v>3.4129692832764506E-2</v>
      </c>
      <c r="BC61" s="118">
        <v>712</v>
      </c>
      <c r="BD61" s="118"/>
      <c r="BE61" s="90">
        <f t="shared" si="575"/>
        <v>10704266</v>
      </c>
      <c r="BF61" s="119" t="s">
        <v>1096</v>
      </c>
      <c r="BG61" s="120">
        <f t="shared" si="576"/>
        <v>606524</v>
      </c>
      <c r="BH61" s="121" t="str">
        <f t="shared" si="577"/>
        <v>C35-R/S-F.TOP D.CHOC W SEAL 2.0 (ASEM)</v>
      </c>
      <c r="BI61" s="122" t="str">
        <f t="shared" si="578"/>
        <v>05.08.2026</v>
      </c>
      <c r="BJ61" s="119" t="str">
        <f t="shared" si="579"/>
        <v>18:00:00</v>
      </c>
      <c r="BK61" s="122" t="str">
        <f t="shared" si="580"/>
        <v>06.08.2026</v>
      </c>
      <c r="BL61" s="119" t="str">
        <f t="shared" si="581"/>
        <v>06:00:00</v>
      </c>
      <c r="BM61" s="123">
        <f t="shared" si="582"/>
        <v>35160</v>
      </c>
      <c r="BN61" s="118">
        <v>0</v>
      </c>
      <c r="BO61" s="118" t="s">
        <v>1086</v>
      </c>
      <c r="BP61" s="118"/>
      <c r="BQ61" s="118" t="s">
        <v>1087</v>
      </c>
      <c r="BR61" s="124">
        <f t="shared" si="583"/>
        <v>26.451697004171404</v>
      </c>
      <c r="BS61" s="124" t="s">
        <v>1087</v>
      </c>
      <c r="BT61" s="124">
        <f t="shared" si="584"/>
        <v>26.451697004171404</v>
      </c>
      <c r="BU61" s="124" t="s">
        <v>1087</v>
      </c>
      <c r="BV61" s="124">
        <f t="shared" si="585"/>
        <v>26.451697004171404</v>
      </c>
      <c r="BW61" s="118" t="s">
        <v>1087</v>
      </c>
      <c r="BX61" s="118"/>
      <c r="BY61" s="118" t="s">
        <v>1087</v>
      </c>
      <c r="BZ61" s="118"/>
      <c r="CA61" s="118" t="s">
        <v>1087</v>
      </c>
      <c r="CB61" s="118"/>
      <c r="CC61" s="118"/>
      <c r="CD61" s="118"/>
      <c r="CE61" s="118"/>
      <c r="CF61" s="118"/>
      <c r="CG61" s="118"/>
      <c r="CH61" s="118">
        <v>712</v>
      </c>
      <c r="CI61" s="118"/>
      <c r="CJ61" s="118">
        <f t="shared" si="586"/>
        <v>10704266</v>
      </c>
      <c r="CK61" s="119" t="s">
        <v>1106</v>
      </c>
      <c r="CL61" s="120">
        <f t="shared" si="587"/>
        <v>606524</v>
      </c>
      <c r="CM61" s="121" t="str">
        <f t="shared" si="588"/>
        <v>C35-R/S-F.TOP D.CHOC W SEAL 2.0 (ASEM)</v>
      </c>
      <c r="CN61" s="122" t="str">
        <f t="shared" si="589"/>
        <v>05.08.2026</v>
      </c>
      <c r="CO61" s="125" t="str">
        <f t="shared" si="590"/>
        <v>18:00:00</v>
      </c>
      <c r="CP61" s="122" t="str">
        <f t="shared" si="591"/>
        <v>06.08.2026</v>
      </c>
      <c r="CQ61" s="125" t="str">
        <f t="shared" si="592"/>
        <v>06:00:00</v>
      </c>
      <c r="CR61" s="123">
        <f t="shared" si="559"/>
        <v>34000</v>
      </c>
      <c r="CS61" s="126">
        <f t="shared" si="593"/>
        <v>1160</v>
      </c>
      <c r="CT61" s="118" t="s">
        <v>1086</v>
      </c>
      <c r="CU61" s="118"/>
      <c r="CV61" s="118" t="s">
        <v>1087</v>
      </c>
      <c r="CW61" s="127"/>
      <c r="CX61" s="118" t="s">
        <v>1087</v>
      </c>
      <c r="CY61" s="127"/>
      <c r="CZ61" s="118" t="s">
        <v>1087</v>
      </c>
      <c r="DA61" s="127"/>
      <c r="DB61" s="118" t="s">
        <v>1087</v>
      </c>
      <c r="DC61" s="118"/>
      <c r="DD61" s="118" t="s">
        <v>1087</v>
      </c>
      <c r="DE61" s="118"/>
      <c r="DF61" s="118" t="s">
        <v>1087</v>
      </c>
      <c r="DG61" s="118"/>
      <c r="DH61" s="118"/>
      <c r="DI61" s="118"/>
      <c r="DJ61" s="118"/>
      <c r="DK61" s="118"/>
      <c r="DL61" s="118"/>
      <c r="DM61" s="62"/>
      <c r="DN61" s="90" t="str">
        <f t="shared" ref="DN61:DN62" si="792">B61</f>
        <v>B3</v>
      </c>
      <c r="DO61" s="90" t="str">
        <f t="shared" ref="DO61:DO62" si="793">F61</f>
        <v>C35-R/S-F.TOP D.CHOC W SEAL 2.0 (ASEM)</v>
      </c>
      <c r="DP61" s="128">
        <f t="shared" ref="DP61:DP62" si="794">(3600/AC61)*I61*12*0.98</f>
        <v>17494.21487603306</v>
      </c>
      <c r="DQ61" s="129">
        <f t="shared" ref="DQ61:DQ62" si="795">P61</f>
        <v>15600</v>
      </c>
      <c r="DR61" s="130">
        <f t="shared" ref="DR61:DR62" si="796">DQ61/DP61*100</f>
        <v>89.172335600907019</v>
      </c>
      <c r="DS61" s="131">
        <f t="shared" ref="DS61:DS62" si="797">Y61</f>
        <v>6.8</v>
      </c>
      <c r="DT61" s="131">
        <f t="shared" ref="DT61:DT62" si="798">Z61</f>
        <v>7.438522796884571E-2</v>
      </c>
      <c r="DU61" s="132">
        <f t="shared" ref="DU61:DU62" si="799">SUM(AG61:AI61)</f>
        <v>0</v>
      </c>
      <c r="DV61" s="133">
        <f t="shared" ref="DV61:DV62" si="800">SUM(AD61:AF61)</f>
        <v>0</v>
      </c>
      <c r="DW61" s="261">
        <f t="shared" ref="DW61:DW62" si="801">Y61+W61+AM61+AN61/U61*100</f>
        <v>6.8</v>
      </c>
      <c r="DX61" s="262"/>
      <c r="DY61" s="134" t="str">
        <f t="shared" ref="DY61:DY62" si="802">AJ61</f>
        <v>Uncapping &amp; Screathes.inside reject 2.3kg.</v>
      </c>
      <c r="DZ61" s="15"/>
      <c r="EA61" s="15"/>
      <c r="EB61" s="15"/>
      <c r="EC61" s="15"/>
      <c r="ED61" s="15"/>
      <c r="EE61" s="15"/>
    </row>
    <row r="62" spans="1:135" s="74" customFormat="1" ht="33" customHeight="1">
      <c r="A62" s="188" t="s">
        <v>1451</v>
      </c>
      <c r="B62" s="100" t="s">
        <v>1343</v>
      </c>
      <c r="C62" s="90" t="s">
        <v>1403</v>
      </c>
      <c r="D62" s="101" t="str">
        <f>VLOOKUP(E62,'Reference Card '!A:E,5,FALSE)</f>
        <v>SM398</v>
      </c>
      <c r="E62" s="102">
        <v>665673</v>
      </c>
      <c r="F62" s="103" t="str">
        <f>VLOOKUP(E62,'[1]Reference Card '!A:B,2,FALSE)</f>
        <v>C32- TOP CAP-RED-KKM</v>
      </c>
      <c r="G62" s="104">
        <v>10703863</v>
      </c>
      <c r="H62" s="105" t="s">
        <v>1246</v>
      </c>
      <c r="I62" s="85">
        <f>VLOOKUP(E62,'[1]Reference Card '!A:C,3,FALSE)</f>
        <v>8</v>
      </c>
      <c r="J62" s="106">
        <f>VLOOKUP(E62,'[1]Reference Card '!A:H,8,FALSE)</f>
        <v>2.1</v>
      </c>
      <c r="K62" s="106">
        <f>VLOOKUP(E62,'[1]Reference Card '!A:F,6,FALSE)</f>
        <v>2.1</v>
      </c>
      <c r="L62" s="86">
        <v>2000</v>
      </c>
      <c r="M62" s="86">
        <v>360000</v>
      </c>
      <c r="N62" s="86">
        <v>9000</v>
      </c>
      <c r="O62" s="86">
        <v>30000</v>
      </c>
      <c r="P62" s="107">
        <f t="shared" si="560"/>
        <v>16000</v>
      </c>
      <c r="Q62" s="87">
        <v>15000</v>
      </c>
      <c r="R62" s="108">
        <f t="shared" si="561"/>
        <v>31.5</v>
      </c>
      <c r="S62" s="86">
        <v>156880</v>
      </c>
      <c r="T62" s="149">
        <f t="shared" si="562"/>
        <v>203120</v>
      </c>
      <c r="U62" s="109">
        <f t="shared" si="563"/>
        <v>33.6</v>
      </c>
      <c r="V62" s="108">
        <f t="shared" si="681"/>
        <v>0</v>
      </c>
      <c r="W62" s="86">
        <v>0</v>
      </c>
      <c r="X62" s="110">
        <f t="shared" si="564"/>
        <v>0</v>
      </c>
      <c r="Y62" s="86">
        <v>0.1</v>
      </c>
      <c r="Z62" s="111">
        <f t="shared" si="565"/>
        <v>2.976190476190476E-3</v>
      </c>
      <c r="AA62" s="109">
        <v>21</v>
      </c>
      <c r="AB62" s="112">
        <f t="shared" si="682"/>
        <v>11.666666666666668</v>
      </c>
      <c r="AC62" s="112">
        <f>VLOOKUP(E62,'[2]Reference Card '!A:I,9,FALSE)</f>
        <v>20</v>
      </c>
      <c r="AD62" s="113"/>
      <c r="AE62" s="113"/>
      <c r="AF62" s="113"/>
      <c r="AG62" s="113"/>
      <c r="AH62" s="113"/>
      <c r="AI62" s="135"/>
      <c r="AJ62" s="114" t="s">
        <v>1431</v>
      </c>
      <c r="AK62" s="114"/>
      <c r="AL62" s="113"/>
      <c r="AM62" s="113"/>
      <c r="AN62" s="113"/>
      <c r="AO62" s="115">
        <f t="shared" si="758"/>
        <v>-61</v>
      </c>
      <c r="AP62" s="90" t="s">
        <v>1314</v>
      </c>
      <c r="AQ62" s="79" t="s">
        <v>1406</v>
      </c>
      <c r="AR62" s="189" t="s">
        <v>1090</v>
      </c>
      <c r="AS62" s="79" t="s">
        <v>1465</v>
      </c>
      <c r="AT62" s="189" t="s">
        <v>1089</v>
      </c>
      <c r="AU62" s="73">
        <f t="shared" si="568"/>
        <v>47.61904761904762</v>
      </c>
      <c r="AV62" s="116">
        <f t="shared" si="569"/>
        <v>15047.619047619048</v>
      </c>
      <c r="AW62" s="116">
        <f t="shared" si="570"/>
        <v>1371.4285714285713</v>
      </c>
      <c r="AX62" s="73">
        <f t="shared" si="571"/>
        <v>10.972222222222223</v>
      </c>
      <c r="AY62" s="73">
        <f t="shared" si="572"/>
        <v>0</v>
      </c>
      <c r="AZ62" s="116">
        <f t="shared" si="558"/>
        <v>15000</v>
      </c>
      <c r="BA62" s="116">
        <f t="shared" si="573"/>
        <v>47.61904761904762</v>
      </c>
      <c r="BB62" s="117">
        <f t="shared" si="574"/>
        <v>3.1746031746031746E-3</v>
      </c>
      <c r="BC62" s="118">
        <v>712</v>
      </c>
      <c r="BD62" s="118"/>
      <c r="BE62" s="90">
        <f t="shared" si="575"/>
        <v>10703863</v>
      </c>
      <c r="BF62" s="119" t="s">
        <v>1096</v>
      </c>
      <c r="BG62" s="120">
        <f t="shared" si="576"/>
        <v>665673</v>
      </c>
      <c r="BH62" s="121" t="str">
        <f t="shared" si="577"/>
        <v>C32- TOP CAP-RED-KKM</v>
      </c>
      <c r="BI62" s="122" t="str">
        <f t="shared" si="578"/>
        <v>05.08.2026</v>
      </c>
      <c r="BJ62" s="119" t="str">
        <f t="shared" si="579"/>
        <v>18:00:00</v>
      </c>
      <c r="BK62" s="122" t="str">
        <f t="shared" si="580"/>
        <v>06.08.2026</v>
      </c>
      <c r="BL62" s="119" t="str">
        <f t="shared" si="581"/>
        <v>06:00:00</v>
      </c>
      <c r="BM62" s="123">
        <f t="shared" si="582"/>
        <v>15047</v>
      </c>
      <c r="BN62" s="118">
        <v>0</v>
      </c>
      <c r="BO62" s="118" t="s">
        <v>1086</v>
      </c>
      <c r="BP62" s="118"/>
      <c r="BQ62" s="118" t="s">
        <v>1087</v>
      </c>
      <c r="BR62" s="124">
        <f t="shared" si="583"/>
        <v>10.972222222222223</v>
      </c>
      <c r="BS62" s="124" t="s">
        <v>1087</v>
      </c>
      <c r="BT62" s="124">
        <f t="shared" si="584"/>
        <v>10.972222222222223</v>
      </c>
      <c r="BU62" s="124" t="s">
        <v>1087</v>
      </c>
      <c r="BV62" s="124">
        <f t="shared" si="585"/>
        <v>10.972222222222223</v>
      </c>
      <c r="BW62" s="118" t="s">
        <v>1087</v>
      </c>
      <c r="BX62" s="118"/>
      <c r="BY62" s="118" t="s">
        <v>1087</v>
      </c>
      <c r="BZ62" s="118"/>
      <c r="CA62" s="118" t="s">
        <v>1087</v>
      </c>
      <c r="CB62" s="118"/>
      <c r="CC62" s="118"/>
      <c r="CD62" s="118"/>
      <c r="CE62" s="118"/>
      <c r="CF62" s="118"/>
      <c r="CG62" s="118"/>
      <c r="CH62" s="118">
        <v>712</v>
      </c>
      <c r="CI62" s="118"/>
      <c r="CJ62" s="118">
        <f t="shared" si="586"/>
        <v>10703863</v>
      </c>
      <c r="CK62" s="119" t="s">
        <v>1106</v>
      </c>
      <c r="CL62" s="120">
        <f t="shared" si="587"/>
        <v>665673</v>
      </c>
      <c r="CM62" s="121" t="str">
        <f t="shared" si="588"/>
        <v>C32- TOP CAP-RED-KKM</v>
      </c>
      <c r="CN62" s="122" t="str">
        <f t="shared" si="589"/>
        <v>05.08.2026</v>
      </c>
      <c r="CO62" s="125" t="str">
        <f t="shared" si="590"/>
        <v>18:00:00</v>
      </c>
      <c r="CP62" s="122" t="str">
        <f t="shared" si="591"/>
        <v>06.08.2026</v>
      </c>
      <c r="CQ62" s="125" t="str">
        <f t="shared" si="592"/>
        <v>06:00:00</v>
      </c>
      <c r="CR62" s="123">
        <f t="shared" si="559"/>
        <v>15000</v>
      </c>
      <c r="CS62" s="126">
        <f t="shared" si="593"/>
        <v>47</v>
      </c>
      <c r="CT62" s="118" t="s">
        <v>1086</v>
      </c>
      <c r="CU62" s="118"/>
      <c r="CV62" s="118" t="s">
        <v>1087</v>
      </c>
      <c r="CW62" s="127"/>
      <c r="CX62" s="118" t="s">
        <v>1087</v>
      </c>
      <c r="CY62" s="127"/>
      <c r="CZ62" s="118" t="s">
        <v>1087</v>
      </c>
      <c r="DA62" s="127"/>
      <c r="DB62" s="118" t="s">
        <v>1087</v>
      </c>
      <c r="DC62" s="118"/>
      <c r="DD62" s="118" t="s">
        <v>1087</v>
      </c>
      <c r="DE62" s="118"/>
      <c r="DF62" s="118" t="s">
        <v>1087</v>
      </c>
      <c r="DG62" s="118"/>
      <c r="DH62" s="118"/>
      <c r="DI62" s="118"/>
      <c r="DJ62" s="118"/>
      <c r="DK62" s="118"/>
      <c r="DL62" s="118"/>
      <c r="DM62" s="62"/>
      <c r="DN62" s="90" t="str">
        <f t="shared" si="792"/>
        <v>H1</v>
      </c>
      <c r="DO62" s="90" t="str">
        <f t="shared" si="793"/>
        <v>C32- TOP CAP-RED-KKM</v>
      </c>
      <c r="DP62" s="128">
        <f t="shared" si="794"/>
        <v>16934.400000000001</v>
      </c>
      <c r="DQ62" s="129">
        <f t="shared" si="795"/>
        <v>16000</v>
      </c>
      <c r="DR62" s="130">
        <f t="shared" si="796"/>
        <v>94.482237339380191</v>
      </c>
      <c r="DS62" s="131">
        <f t="shared" si="797"/>
        <v>0.1</v>
      </c>
      <c r="DT62" s="131">
        <f t="shared" si="798"/>
        <v>2.976190476190476E-3</v>
      </c>
      <c r="DU62" s="132">
        <f t="shared" si="799"/>
        <v>0</v>
      </c>
      <c r="DV62" s="133">
        <f t="shared" si="800"/>
        <v>0</v>
      </c>
      <c r="DW62" s="264">
        <f t="shared" si="801"/>
        <v>0.1</v>
      </c>
      <c r="DX62" s="265"/>
      <c r="DY62" s="134" t="str">
        <f t="shared" si="802"/>
        <v>Oily mark.</v>
      </c>
      <c r="DZ62" s="15"/>
      <c r="EA62" s="15"/>
      <c r="EB62" s="15"/>
      <c r="EC62" s="15"/>
      <c r="ED62" s="15"/>
      <c r="EE62" s="15"/>
    </row>
    <row r="63" spans="1:135" s="74" customFormat="1" ht="33" customHeight="1">
      <c r="A63" s="188" t="s">
        <v>1451</v>
      </c>
      <c r="B63" s="100" t="s">
        <v>1335</v>
      </c>
      <c r="C63" s="90" t="s">
        <v>1391</v>
      </c>
      <c r="D63" s="101" t="str">
        <f>VLOOKUP(E63,'Reference Card '!A:E,5,FALSE)</f>
        <v>SM840</v>
      </c>
      <c r="E63" s="102">
        <v>621407</v>
      </c>
      <c r="F63" s="103" t="str">
        <f>VLOOKUP(E63,'[1]Reference Card '!A:B,2,FALSE)</f>
        <v>T-0226-BR-HERS-PP</v>
      </c>
      <c r="G63" s="104">
        <v>10702665</v>
      </c>
      <c r="H63" s="105" t="s">
        <v>1246</v>
      </c>
      <c r="I63" s="85">
        <v>1</v>
      </c>
      <c r="J63" s="185">
        <f>VLOOKUP(E63,'[1]Reference Card '!A:H,8,FALSE)</f>
        <v>27.8</v>
      </c>
      <c r="K63" s="185">
        <f>VLOOKUP(E63,'[1]Reference Card '!A:F,6,FALSE)</f>
        <v>27.8</v>
      </c>
      <c r="L63" s="86">
        <v>2230</v>
      </c>
      <c r="M63" s="86">
        <v>75040</v>
      </c>
      <c r="N63" s="86">
        <v>280</v>
      </c>
      <c r="O63" s="86">
        <v>280</v>
      </c>
      <c r="P63" s="107">
        <f t="shared" si="560"/>
        <v>2230</v>
      </c>
      <c r="Q63" s="87">
        <v>2240</v>
      </c>
      <c r="R63" s="108">
        <f t="shared" si="561"/>
        <v>62.271999999999998</v>
      </c>
      <c r="S63" s="86">
        <v>29400</v>
      </c>
      <c r="T63" s="107">
        <v>72800</v>
      </c>
      <c r="U63" s="109">
        <f t="shared" si="563"/>
        <v>61.994</v>
      </c>
      <c r="V63" s="108">
        <f t="shared" si="681"/>
        <v>0</v>
      </c>
      <c r="W63" s="86">
        <v>0</v>
      </c>
      <c r="X63" s="110">
        <f t="shared" si="564"/>
        <v>0</v>
      </c>
      <c r="Y63" s="86">
        <v>0</v>
      </c>
      <c r="Z63" s="111">
        <f t="shared" si="565"/>
        <v>0</v>
      </c>
      <c r="AA63" s="109">
        <v>19</v>
      </c>
      <c r="AB63" s="112">
        <f t="shared" si="682"/>
        <v>11.769444444444444</v>
      </c>
      <c r="AC63" s="112">
        <f>VLOOKUP(E63,'[2]Reference Card '!A:I,9,FALSE)</f>
        <v>17.8</v>
      </c>
      <c r="AD63" s="113"/>
      <c r="AE63" s="113"/>
      <c r="AF63" s="113"/>
      <c r="AG63" s="113"/>
      <c r="AH63" s="135"/>
      <c r="AI63" s="135"/>
      <c r="AJ63" s="114" t="s">
        <v>1394</v>
      </c>
      <c r="AK63" s="114"/>
      <c r="AL63" s="113"/>
      <c r="AM63" s="113"/>
      <c r="AN63" s="113"/>
      <c r="AO63" s="115">
        <f t="shared" si="758"/>
        <v>-8.0619999999999976</v>
      </c>
      <c r="AP63" s="90" t="s">
        <v>1314</v>
      </c>
      <c r="AQ63" s="79" t="s">
        <v>1406</v>
      </c>
      <c r="AR63" s="189" t="s">
        <v>1090</v>
      </c>
      <c r="AS63" s="79" t="s">
        <v>1465</v>
      </c>
      <c r="AT63" s="189" t="s">
        <v>1089</v>
      </c>
      <c r="AU63" s="73">
        <f t="shared" si="568"/>
        <v>0</v>
      </c>
      <c r="AV63" s="116">
        <f t="shared" si="569"/>
        <v>2240</v>
      </c>
      <c r="AW63" s="116">
        <f t="shared" si="570"/>
        <v>189.47368421052633</v>
      </c>
      <c r="AX63" s="73">
        <f t="shared" si="571"/>
        <v>11.822222222222221</v>
      </c>
      <c r="AY63" s="73">
        <f t="shared" si="572"/>
        <v>0</v>
      </c>
      <c r="AZ63" s="116">
        <f t="shared" si="558"/>
        <v>2240</v>
      </c>
      <c r="BA63" s="116">
        <f t="shared" si="573"/>
        <v>0</v>
      </c>
      <c r="BB63" s="117">
        <f t="shared" si="574"/>
        <v>0</v>
      </c>
      <c r="BC63" s="118">
        <v>712</v>
      </c>
      <c r="BD63" s="118"/>
      <c r="BE63" s="90">
        <f t="shared" si="575"/>
        <v>10702665</v>
      </c>
      <c r="BF63" s="119" t="s">
        <v>1096</v>
      </c>
      <c r="BG63" s="120">
        <f t="shared" si="576"/>
        <v>621407</v>
      </c>
      <c r="BH63" s="121" t="str">
        <f t="shared" si="577"/>
        <v>T-0226-BR-HERS-PP</v>
      </c>
      <c r="BI63" s="122" t="str">
        <f t="shared" si="578"/>
        <v>05.08.2026</v>
      </c>
      <c r="BJ63" s="119" t="str">
        <f t="shared" si="579"/>
        <v>18:00:00</v>
      </c>
      <c r="BK63" s="122" t="str">
        <f t="shared" si="580"/>
        <v>06.08.2026</v>
      </c>
      <c r="BL63" s="119" t="str">
        <f t="shared" si="581"/>
        <v>06:00:00</v>
      </c>
      <c r="BM63" s="123">
        <f t="shared" si="582"/>
        <v>2240</v>
      </c>
      <c r="BN63" s="118">
        <v>0</v>
      </c>
      <c r="BO63" s="118" t="s">
        <v>1086</v>
      </c>
      <c r="BP63" s="118"/>
      <c r="BQ63" s="118" t="s">
        <v>1087</v>
      </c>
      <c r="BR63" s="124">
        <f t="shared" si="583"/>
        <v>11.822222222222221</v>
      </c>
      <c r="BS63" s="124" t="s">
        <v>1087</v>
      </c>
      <c r="BT63" s="124">
        <f t="shared" si="584"/>
        <v>11.822222222222221</v>
      </c>
      <c r="BU63" s="124" t="s">
        <v>1087</v>
      </c>
      <c r="BV63" s="124">
        <f t="shared" si="585"/>
        <v>11.822222222222221</v>
      </c>
      <c r="BW63" s="118" t="s">
        <v>1087</v>
      </c>
      <c r="BX63" s="118"/>
      <c r="BY63" s="118" t="s">
        <v>1087</v>
      </c>
      <c r="BZ63" s="118"/>
      <c r="CA63" s="118" t="s">
        <v>1087</v>
      </c>
      <c r="CB63" s="118"/>
      <c r="CC63" s="118"/>
      <c r="CD63" s="118"/>
      <c r="CE63" s="118"/>
      <c r="CF63" s="118"/>
      <c r="CG63" s="118"/>
      <c r="CH63" s="118">
        <v>712</v>
      </c>
      <c r="CI63" s="118"/>
      <c r="CJ63" s="118">
        <f t="shared" si="586"/>
        <v>10702665</v>
      </c>
      <c r="CK63" s="119" t="s">
        <v>1106</v>
      </c>
      <c r="CL63" s="120">
        <f t="shared" si="587"/>
        <v>621407</v>
      </c>
      <c r="CM63" s="121" t="str">
        <f t="shared" si="588"/>
        <v>T-0226-BR-HERS-PP</v>
      </c>
      <c r="CN63" s="122" t="str">
        <f t="shared" si="589"/>
        <v>05.08.2026</v>
      </c>
      <c r="CO63" s="125" t="str">
        <f t="shared" si="590"/>
        <v>18:00:00</v>
      </c>
      <c r="CP63" s="122" t="str">
        <f t="shared" si="591"/>
        <v>06.08.2026</v>
      </c>
      <c r="CQ63" s="125" t="str">
        <f t="shared" si="592"/>
        <v>06:00:00</v>
      </c>
      <c r="CR63" s="123">
        <f t="shared" si="559"/>
        <v>2240</v>
      </c>
      <c r="CS63" s="126">
        <f t="shared" si="593"/>
        <v>0</v>
      </c>
      <c r="CT63" s="118" t="s">
        <v>1086</v>
      </c>
      <c r="CU63" s="118"/>
      <c r="CV63" s="118" t="s">
        <v>1087</v>
      </c>
      <c r="CW63" s="127"/>
      <c r="CX63" s="118" t="s">
        <v>1087</v>
      </c>
      <c r="CY63" s="127"/>
      <c r="CZ63" s="118" t="s">
        <v>1087</v>
      </c>
      <c r="DA63" s="127"/>
      <c r="DB63" s="118" t="s">
        <v>1087</v>
      </c>
      <c r="DC63" s="118"/>
      <c r="DD63" s="118" t="s">
        <v>1087</v>
      </c>
      <c r="DE63" s="118"/>
      <c r="DF63" s="118" t="s">
        <v>1087</v>
      </c>
      <c r="DG63" s="118"/>
      <c r="DH63" s="118"/>
      <c r="DI63" s="118"/>
      <c r="DJ63" s="118"/>
      <c r="DK63" s="118"/>
      <c r="DL63" s="118"/>
      <c r="DM63" s="62"/>
      <c r="DN63" s="90" t="str">
        <f t="shared" ref="DN63" si="803">B63</f>
        <v>SM5</v>
      </c>
      <c r="DO63" s="90" t="str">
        <f t="shared" ref="DO63" si="804">F63</f>
        <v>T-0226-BR-HERS-PP</v>
      </c>
      <c r="DP63" s="128">
        <f t="shared" ref="DP63" si="805">(3600/AC63)*I63*12*0.98</f>
        <v>2378.4269662921347</v>
      </c>
      <c r="DQ63" s="129">
        <f t="shared" ref="DQ63" si="806">P63</f>
        <v>2230</v>
      </c>
      <c r="DR63" s="130">
        <f t="shared" ref="DR63" si="807">DQ63/DP63*100</f>
        <v>93.759448223733941</v>
      </c>
      <c r="DS63" s="131">
        <f t="shared" ref="DS63" si="808">Y63</f>
        <v>0</v>
      </c>
      <c r="DT63" s="131">
        <f t="shared" ref="DT63" si="809">Z63</f>
        <v>0</v>
      </c>
      <c r="DU63" s="132">
        <f t="shared" ref="DU63" si="810">SUM(AG63:AI63)</f>
        <v>0</v>
      </c>
      <c r="DV63" s="133">
        <f t="shared" ref="DV63" si="811">SUM(AD63:AF63)</f>
        <v>0</v>
      </c>
      <c r="DW63" s="261">
        <f t="shared" ref="DW63" si="812">Y63+W63+AM63+AN63/U63*100</f>
        <v>0</v>
      </c>
      <c r="DX63" s="262"/>
      <c r="DY63" s="134" t="str">
        <f t="shared" ref="DY63" si="813">AJ63</f>
        <v>Run well.</v>
      </c>
      <c r="DZ63" s="15"/>
      <c r="EA63" s="15"/>
      <c r="EB63" s="15"/>
      <c r="EC63" s="15"/>
      <c r="ED63" s="15"/>
      <c r="EE63" s="15"/>
    </row>
    <row r="64" spans="1:135" s="74" customFormat="1" ht="33" customHeight="1">
      <c r="A64" s="188" t="s">
        <v>1451</v>
      </c>
      <c r="B64" s="100" t="s">
        <v>1336</v>
      </c>
      <c r="C64" s="90" t="s">
        <v>1398</v>
      </c>
      <c r="D64" s="101" t="str">
        <f>VLOOKUP(E64,'Reference Card '!A:E,5,FALSE)</f>
        <v>LLDPE6101 / HDPE6178</v>
      </c>
      <c r="E64" s="102">
        <v>665674</v>
      </c>
      <c r="F64" s="103" t="s">
        <v>1332</v>
      </c>
      <c r="G64" s="104">
        <v>10703862</v>
      </c>
      <c r="H64" s="105" t="s">
        <v>1246</v>
      </c>
      <c r="I64" s="85">
        <f>VLOOKUP(E64,'[1]Reference Card '!A:C,3,FALSE)</f>
        <v>8</v>
      </c>
      <c r="J64" s="106">
        <f>VLOOKUP(E64,'[1]Reference Card '!A:H,8,FALSE)</f>
        <v>3.8010000000000002</v>
      </c>
      <c r="K64" s="106">
        <f>VLOOKUP(E64,'[1]Reference Card '!A:F,6,FALSE)</f>
        <v>3.8010000000000002</v>
      </c>
      <c r="L64" s="86">
        <v>1340</v>
      </c>
      <c r="M64" s="86">
        <v>360000</v>
      </c>
      <c r="N64" s="86">
        <v>4000</v>
      </c>
      <c r="O64" s="86">
        <v>2000</v>
      </c>
      <c r="P64" s="107">
        <f t="shared" si="560"/>
        <v>10720</v>
      </c>
      <c r="Q64" s="87">
        <v>10000</v>
      </c>
      <c r="R64" s="108">
        <f t="shared" si="561"/>
        <v>38.01</v>
      </c>
      <c r="S64" s="86">
        <v>139490</v>
      </c>
      <c r="T64" s="107">
        <f t="shared" ref="T64:T69" si="814">IF(M64="Sample","-",IF(M64="RTFN","-",M64-S64))</f>
        <v>220510</v>
      </c>
      <c r="U64" s="109">
        <f t="shared" si="563"/>
        <v>40.746720000000003</v>
      </c>
      <c r="V64" s="108">
        <f t="shared" si="681"/>
        <v>0</v>
      </c>
      <c r="W64" s="86">
        <v>0</v>
      </c>
      <c r="X64" s="110">
        <f t="shared" ref="X64:X69" si="815">W64/U64</f>
        <v>0</v>
      </c>
      <c r="Y64" s="86">
        <v>0</v>
      </c>
      <c r="Z64" s="111">
        <f t="shared" si="565"/>
        <v>0</v>
      </c>
      <c r="AA64" s="109">
        <v>31.6</v>
      </c>
      <c r="AB64" s="112">
        <f t="shared" si="682"/>
        <v>11.762222222222222</v>
      </c>
      <c r="AC64" s="112">
        <v>29</v>
      </c>
      <c r="AD64" s="113"/>
      <c r="AE64" s="113"/>
      <c r="AF64" s="113"/>
      <c r="AG64" s="113"/>
      <c r="AH64" s="113"/>
      <c r="AI64" s="135"/>
      <c r="AJ64" s="229" t="s">
        <v>1372</v>
      </c>
      <c r="AK64" s="114"/>
      <c r="AL64" s="113"/>
      <c r="AM64" s="113"/>
      <c r="AN64" s="113"/>
      <c r="AO64" s="115">
        <f t="shared" si="758"/>
        <v>-4.8652799999999949</v>
      </c>
      <c r="AP64" s="90" t="s">
        <v>1314</v>
      </c>
      <c r="AQ64" s="79" t="s">
        <v>1406</v>
      </c>
      <c r="AR64" s="189" t="s">
        <v>1090</v>
      </c>
      <c r="AS64" s="79" t="s">
        <v>1465</v>
      </c>
      <c r="AT64" s="189" t="s">
        <v>1089</v>
      </c>
      <c r="AU64" s="73">
        <f t="shared" si="568"/>
        <v>0</v>
      </c>
      <c r="AV64" s="116">
        <f t="shared" si="569"/>
        <v>10000</v>
      </c>
      <c r="AW64" s="116">
        <f t="shared" si="570"/>
        <v>911.39240506329111</v>
      </c>
      <c r="AX64" s="73">
        <f t="shared" si="571"/>
        <v>10.972222222222223</v>
      </c>
      <c r="AY64" s="73">
        <f t="shared" si="572"/>
        <v>0</v>
      </c>
      <c r="AZ64" s="116">
        <f t="shared" si="558"/>
        <v>10000</v>
      </c>
      <c r="BA64" s="116">
        <f t="shared" si="573"/>
        <v>0</v>
      </c>
      <c r="BB64" s="117">
        <f t="shared" si="574"/>
        <v>0</v>
      </c>
      <c r="BC64" s="118">
        <v>712</v>
      </c>
      <c r="BD64" s="118"/>
      <c r="BE64" s="90">
        <f t="shared" si="575"/>
        <v>10703862</v>
      </c>
      <c r="BF64" s="119" t="s">
        <v>1096</v>
      </c>
      <c r="BG64" s="120">
        <f t="shared" si="576"/>
        <v>665674</v>
      </c>
      <c r="BH64" s="121" t="str">
        <f t="shared" si="577"/>
        <v>C32-BOTTOM CAP-RED-KKM</v>
      </c>
      <c r="BI64" s="122" t="str">
        <f t="shared" si="578"/>
        <v>05.08.2026</v>
      </c>
      <c r="BJ64" s="119" t="str">
        <f t="shared" si="579"/>
        <v>18:00:00</v>
      </c>
      <c r="BK64" s="122" t="str">
        <f t="shared" si="580"/>
        <v>06.08.2026</v>
      </c>
      <c r="BL64" s="119" t="str">
        <f t="shared" si="581"/>
        <v>06:00:00</v>
      </c>
      <c r="BM64" s="123">
        <f t="shared" si="582"/>
        <v>10000</v>
      </c>
      <c r="BN64" s="118">
        <v>0</v>
      </c>
      <c r="BO64" s="118" t="s">
        <v>1086</v>
      </c>
      <c r="BP64" s="118"/>
      <c r="BQ64" s="118" t="s">
        <v>1087</v>
      </c>
      <c r="BR64" s="124">
        <f t="shared" si="583"/>
        <v>10.972222222222223</v>
      </c>
      <c r="BS64" s="124" t="s">
        <v>1087</v>
      </c>
      <c r="BT64" s="124">
        <f t="shared" si="584"/>
        <v>10.972222222222223</v>
      </c>
      <c r="BU64" s="124" t="s">
        <v>1087</v>
      </c>
      <c r="BV64" s="124">
        <f t="shared" si="585"/>
        <v>10.972222222222223</v>
      </c>
      <c r="BW64" s="118" t="s">
        <v>1087</v>
      </c>
      <c r="BX64" s="118"/>
      <c r="BY64" s="118" t="s">
        <v>1087</v>
      </c>
      <c r="BZ64" s="118"/>
      <c r="CA64" s="118" t="s">
        <v>1087</v>
      </c>
      <c r="CB64" s="118"/>
      <c r="CC64" s="118"/>
      <c r="CD64" s="118"/>
      <c r="CE64" s="118"/>
      <c r="CF64" s="118"/>
      <c r="CG64" s="118"/>
      <c r="CH64" s="118">
        <v>712</v>
      </c>
      <c r="CI64" s="118"/>
      <c r="CJ64" s="118">
        <f t="shared" si="586"/>
        <v>10703862</v>
      </c>
      <c r="CK64" s="119" t="s">
        <v>1106</v>
      </c>
      <c r="CL64" s="120">
        <f t="shared" si="587"/>
        <v>665674</v>
      </c>
      <c r="CM64" s="121" t="str">
        <f t="shared" si="588"/>
        <v>C32-BOTTOM CAP-RED-KKM</v>
      </c>
      <c r="CN64" s="122" t="str">
        <f t="shared" si="589"/>
        <v>05.08.2026</v>
      </c>
      <c r="CO64" s="125" t="str">
        <f t="shared" si="590"/>
        <v>18:00:00</v>
      </c>
      <c r="CP64" s="122" t="str">
        <f t="shared" si="591"/>
        <v>06.08.2026</v>
      </c>
      <c r="CQ64" s="125" t="str">
        <f t="shared" si="592"/>
        <v>06:00:00</v>
      </c>
      <c r="CR64" s="123">
        <f t="shared" si="559"/>
        <v>10000</v>
      </c>
      <c r="CS64" s="126">
        <f t="shared" si="593"/>
        <v>0</v>
      </c>
      <c r="CT64" s="118" t="s">
        <v>1086</v>
      </c>
      <c r="CU64" s="118"/>
      <c r="CV64" s="118" t="s">
        <v>1087</v>
      </c>
      <c r="CW64" s="127"/>
      <c r="CX64" s="118" t="s">
        <v>1087</v>
      </c>
      <c r="CY64" s="127"/>
      <c r="CZ64" s="118" t="s">
        <v>1087</v>
      </c>
      <c r="DA64" s="127"/>
      <c r="DB64" s="118" t="s">
        <v>1087</v>
      </c>
      <c r="DC64" s="118"/>
      <c r="DD64" s="118" t="s">
        <v>1087</v>
      </c>
      <c r="DE64" s="118"/>
      <c r="DF64" s="118" t="s">
        <v>1087</v>
      </c>
      <c r="DG64" s="118"/>
      <c r="DH64" s="118"/>
      <c r="DI64" s="118"/>
      <c r="DJ64" s="118"/>
      <c r="DK64" s="118"/>
      <c r="DL64" s="118"/>
      <c r="DM64" s="62"/>
      <c r="DN64" s="90" t="str">
        <f t="shared" ref="DN64" si="816">B64</f>
        <v>Y1</v>
      </c>
      <c r="DO64" s="90" t="str">
        <f t="shared" ref="DO64" si="817">F64</f>
        <v>C32-BOTTOM CAP-RED-KKM</v>
      </c>
      <c r="DP64" s="128">
        <f t="shared" ref="DP64" si="818">(3600/AC64)*I64*12*0.98</f>
        <v>11678.896551724138</v>
      </c>
      <c r="DQ64" s="129">
        <f t="shared" ref="DQ64" si="819">P64</f>
        <v>10720</v>
      </c>
      <c r="DR64" s="130">
        <f t="shared" ref="DR64" si="820">DQ64/DP64*100</f>
        <v>91.789493575207857</v>
      </c>
      <c r="DS64" s="131">
        <f t="shared" ref="DS64" si="821">Y64</f>
        <v>0</v>
      </c>
      <c r="DT64" s="131">
        <f t="shared" ref="DT64" si="822">Z64</f>
        <v>0</v>
      </c>
      <c r="DU64" s="132">
        <f>SUM(AG64:AI64)</f>
        <v>0</v>
      </c>
      <c r="DV64" s="133">
        <f t="shared" ref="DV64" si="823">SUM(AD64:AF64)</f>
        <v>0</v>
      </c>
      <c r="DW64" s="261">
        <f t="shared" ref="DW64" si="824">Y64+W64+AM64+AN64/U64*100</f>
        <v>0</v>
      </c>
      <c r="DX64" s="262"/>
      <c r="DY64" s="134" t="str">
        <f t="shared" ref="DY64" si="825">AJ64</f>
        <v>Oily mark &amp; pull ring broken</v>
      </c>
      <c r="DZ64" s="15"/>
      <c r="EA64" s="15"/>
      <c r="EB64" s="15"/>
      <c r="EC64" s="15"/>
      <c r="ED64" s="15"/>
      <c r="EE64" s="15"/>
    </row>
    <row r="65" spans="1:135" s="74" customFormat="1" ht="33" customHeight="1">
      <c r="A65" s="188" t="s">
        <v>1451</v>
      </c>
      <c r="B65" s="100" t="s">
        <v>1342</v>
      </c>
      <c r="C65" s="90" t="s">
        <v>1398</v>
      </c>
      <c r="D65" s="101" t="str">
        <f>VLOOKUP(E65,'Reference Card '!A:E,5,FALSE)</f>
        <v>PET PF CAN</v>
      </c>
      <c r="E65" s="102">
        <v>588637</v>
      </c>
      <c r="F65" s="103" t="str">
        <f>VLOOKUP(E65,'[1]Reference Card '!A:B,2,FALSE)</f>
        <v>PF-JK57-24-82-KEKO</v>
      </c>
      <c r="G65" s="104">
        <v>10703599</v>
      </c>
      <c r="H65" s="105" t="s">
        <v>1246</v>
      </c>
      <c r="I65" s="85">
        <f>VLOOKUP(E65,'[1]Reference Card '!A:C,3,FALSE)</f>
        <v>6</v>
      </c>
      <c r="J65" s="106">
        <f>VLOOKUP(E65,'[1]Reference Card '!A:H,8,FALSE)</f>
        <v>24.6</v>
      </c>
      <c r="K65" s="106">
        <f>VLOOKUP(E65,'[1]Reference Card '!A:F,6,FALSE)</f>
        <v>24.6</v>
      </c>
      <c r="L65" s="86">
        <v>1335</v>
      </c>
      <c r="M65" s="86">
        <v>144000</v>
      </c>
      <c r="N65" s="86">
        <v>201000</v>
      </c>
      <c r="O65" s="86">
        <v>209250</v>
      </c>
      <c r="P65" s="107">
        <f t="shared" si="560"/>
        <v>8010</v>
      </c>
      <c r="Q65" s="87">
        <v>7500</v>
      </c>
      <c r="R65" s="108">
        <f t="shared" si="561"/>
        <v>184.5</v>
      </c>
      <c r="S65" s="86">
        <v>142980</v>
      </c>
      <c r="T65" s="149">
        <f t="shared" si="814"/>
        <v>1020</v>
      </c>
      <c r="U65" s="109">
        <f t="shared" si="563"/>
        <v>197.04599999999999</v>
      </c>
      <c r="V65" s="108">
        <f t="shared" si="681"/>
        <v>0</v>
      </c>
      <c r="W65" s="86">
        <v>0</v>
      </c>
      <c r="X65" s="110">
        <f t="shared" si="815"/>
        <v>0</v>
      </c>
      <c r="Y65" s="86">
        <v>0</v>
      </c>
      <c r="Z65" s="111">
        <f t="shared" si="565"/>
        <v>0</v>
      </c>
      <c r="AA65" s="109">
        <v>32.200000000000003</v>
      </c>
      <c r="AB65" s="112">
        <f t="shared" si="682"/>
        <v>11.940833333333336</v>
      </c>
      <c r="AC65" s="112">
        <f>VLOOKUP(E65,'[2]Reference Card '!A:I,9,FALSE)</f>
        <v>26</v>
      </c>
      <c r="AD65" s="113"/>
      <c r="AE65" s="113"/>
      <c r="AF65" s="113"/>
      <c r="AG65" s="113"/>
      <c r="AH65" s="113"/>
      <c r="AI65" s="135"/>
      <c r="AJ65" s="114" t="s">
        <v>1394</v>
      </c>
      <c r="AK65" s="114"/>
      <c r="AL65" s="113"/>
      <c r="AM65" s="113"/>
      <c r="AN65" s="113"/>
      <c r="AO65" s="115">
        <f t="shared" si="758"/>
        <v>-5135.0039999999999</v>
      </c>
      <c r="AP65" s="90" t="s">
        <v>1314</v>
      </c>
      <c r="AQ65" s="79" t="s">
        <v>1406</v>
      </c>
      <c r="AR65" s="189" t="s">
        <v>1090</v>
      </c>
      <c r="AS65" s="79" t="s">
        <v>1465</v>
      </c>
      <c r="AT65" s="189" t="s">
        <v>1089</v>
      </c>
      <c r="AU65" s="73">
        <f t="shared" si="568"/>
        <v>0</v>
      </c>
      <c r="AV65" s="116">
        <f t="shared" si="569"/>
        <v>7500</v>
      </c>
      <c r="AW65" s="116">
        <f t="shared" si="570"/>
        <v>670.80745341614897</v>
      </c>
      <c r="AX65" s="73">
        <f t="shared" si="571"/>
        <v>11.180555555555557</v>
      </c>
      <c r="AY65" s="73">
        <f t="shared" si="572"/>
        <v>0</v>
      </c>
      <c r="AZ65" s="116">
        <f t="shared" si="558"/>
        <v>7500</v>
      </c>
      <c r="BA65" s="116">
        <f t="shared" si="573"/>
        <v>0</v>
      </c>
      <c r="BB65" s="117">
        <f t="shared" si="574"/>
        <v>0</v>
      </c>
      <c r="BC65" s="118">
        <v>712</v>
      </c>
      <c r="BD65" s="118"/>
      <c r="BE65" s="90">
        <f t="shared" si="575"/>
        <v>10703599</v>
      </c>
      <c r="BF65" s="119" t="s">
        <v>1096</v>
      </c>
      <c r="BG65" s="120">
        <f t="shared" si="576"/>
        <v>588637</v>
      </c>
      <c r="BH65" s="121" t="str">
        <f t="shared" si="577"/>
        <v>PF-JK57-24-82-KEKO</v>
      </c>
      <c r="BI65" s="122" t="str">
        <f t="shared" si="578"/>
        <v>05.08.2026</v>
      </c>
      <c r="BJ65" s="119" t="str">
        <f t="shared" si="579"/>
        <v>18:00:00</v>
      </c>
      <c r="BK65" s="122" t="str">
        <f t="shared" si="580"/>
        <v>06.08.2026</v>
      </c>
      <c r="BL65" s="119" t="str">
        <f t="shared" si="581"/>
        <v>06:00:00</v>
      </c>
      <c r="BM65" s="123">
        <f t="shared" si="582"/>
        <v>7500</v>
      </c>
      <c r="BN65" s="118">
        <v>0</v>
      </c>
      <c r="BO65" s="118" t="s">
        <v>1086</v>
      </c>
      <c r="BP65" s="118"/>
      <c r="BQ65" s="118" t="s">
        <v>1087</v>
      </c>
      <c r="BR65" s="124">
        <f t="shared" si="583"/>
        <v>11.180555555555557</v>
      </c>
      <c r="BS65" s="124" t="s">
        <v>1087</v>
      </c>
      <c r="BT65" s="124">
        <f t="shared" si="584"/>
        <v>11.180555555555557</v>
      </c>
      <c r="BU65" s="124" t="s">
        <v>1087</v>
      </c>
      <c r="BV65" s="124">
        <f t="shared" si="585"/>
        <v>11.180555555555557</v>
      </c>
      <c r="BW65" s="118" t="s">
        <v>1087</v>
      </c>
      <c r="BX65" s="118"/>
      <c r="BY65" s="118" t="s">
        <v>1087</v>
      </c>
      <c r="BZ65" s="118"/>
      <c r="CA65" s="118" t="s">
        <v>1087</v>
      </c>
      <c r="CB65" s="118"/>
      <c r="CC65" s="118"/>
      <c r="CD65" s="118"/>
      <c r="CE65" s="118"/>
      <c r="CF65" s="118"/>
      <c r="CG65" s="118"/>
      <c r="CH65" s="118">
        <v>712</v>
      </c>
      <c r="CI65" s="118"/>
      <c r="CJ65" s="118">
        <f t="shared" si="586"/>
        <v>10703599</v>
      </c>
      <c r="CK65" s="119" t="s">
        <v>1106</v>
      </c>
      <c r="CL65" s="120">
        <f t="shared" si="587"/>
        <v>588637</v>
      </c>
      <c r="CM65" s="121" t="str">
        <f t="shared" si="588"/>
        <v>PF-JK57-24-82-KEKO</v>
      </c>
      <c r="CN65" s="122" t="str">
        <f t="shared" si="589"/>
        <v>05.08.2026</v>
      </c>
      <c r="CO65" s="125" t="str">
        <f t="shared" si="590"/>
        <v>18:00:00</v>
      </c>
      <c r="CP65" s="122" t="str">
        <f t="shared" si="591"/>
        <v>06.08.2026</v>
      </c>
      <c r="CQ65" s="125" t="str">
        <f t="shared" si="592"/>
        <v>06:00:00</v>
      </c>
      <c r="CR65" s="123">
        <f t="shared" si="559"/>
        <v>7500</v>
      </c>
      <c r="CS65" s="126">
        <f t="shared" si="593"/>
        <v>0</v>
      </c>
      <c r="CT65" s="118" t="s">
        <v>1086</v>
      </c>
      <c r="CU65" s="118"/>
      <c r="CV65" s="118" t="s">
        <v>1087</v>
      </c>
      <c r="CW65" s="127"/>
      <c r="CX65" s="118" t="s">
        <v>1087</v>
      </c>
      <c r="CY65" s="127"/>
      <c r="CZ65" s="118" t="s">
        <v>1087</v>
      </c>
      <c r="DA65" s="127"/>
      <c r="DB65" s="118" t="s">
        <v>1087</v>
      </c>
      <c r="DC65" s="118"/>
      <c r="DD65" s="118" t="s">
        <v>1087</v>
      </c>
      <c r="DE65" s="118"/>
      <c r="DF65" s="118" t="s">
        <v>1087</v>
      </c>
      <c r="DG65" s="118"/>
      <c r="DH65" s="118"/>
      <c r="DI65" s="118"/>
      <c r="DJ65" s="118"/>
      <c r="DK65" s="118"/>
      <c r="DL65" s="118"/>
      <c r="DM65" s="62"/>
      <c r="DN65" s="90" t="str">
        <f t="shared" ref="DN65:DN69" si="826">B65</f>
        <v>H2</v>
      </c>
      <c r="DO65" s="90" t="str">
        <f t="shared" ref="DO65:DO69" si="827">F65</f>
        <v>PF-JK57-24-82-KEKO</v>
      </c>
      <c r="DP65" s="128">
        <f t="shared" ref="DP65:DP69" si="828">(3600/AC65)*I65*12*0.98</f>
        <v>9769.8461538461543</v>
      </c>
      <c r="DQ65" s="129">
        <f t="shared" ref="DQ65:DQ69" si="829">P65</f>
        <v>8010</v>
      </c>
      <c r="DR65" s="130">
        <f t="shared" ref="DR65:DR69" si="830">DQ65/DP65*100</f>
        <v>81.986961451247168</v>
      </c>
      <c r="DS65" s="131">
        <f t="shared" ref="DS65:DS69" si="831">Y65</f>
        <v>0</v>
      </c>
      <c r="DT65" s="131">
        <f t="shared" ref="DT65:DT69" si="832">Z65</f>
        <v>0</v>
      </c>
      <c r="DU65" s="132">
        <f t="shared" ref="DU65:DU69" si="833">SUM(AG65:AI65)</f>
        <v>0</v>
      </c>
      <c r="DV65" s="133">
        <f t="shared" ref="DV65:DV69" si="834">SUM(AD65:AF65)</f>
        <v>0</v>
      </c>
      <c r="DW65" s="261">
        <f t="shared" ref="DW65:DW69" si="835">Y65+W65+AM65+AN65/U65*100</f>
        <v>0</v>
      </c>
      <c r="DX65" s="262"/>
      <c r="DY65" s="134" t="str">
        <f t="shared" ref="DY65:DY69" si="836">AJ65</f>
        <v>Run well.</v>
      </c>
      <c r="DZ65" s="15"/>
      <c r="EA65" s="15"/>
      <c r="EB65" s="15"/>
      <c r="EC65" s="15"/>
      <c r="ED65" s="15"/>
      <c r="EE65" s="15"/>
    </row>
    <row r="66" spans="1:135" s="74" customFormat="1" ht="33" customHeight="1">
      <c r="A66" s="188" t="s">
        <v>1451</v>
      </c>
      <c r="B66" s="100" t="s">
        <v>1215</v>
      </c>
      <c r="C66" s="90" t="s">
        <v>1378</v>
      </c>
      <c r="D66" s="101" t="str">
        <f>VLOOKUP(E66,'Reference Card '!A:E,5,FALSE)</f>
        <v>PET CAN</v>
      </c>
      <c r="E66" s="102">
        <v>588272</v>
      </c>
      <c r="F66" s="103" t="str">
        <f>VLOOKUP(E66,'[1]Reference Card '!A:B,2,FALSE)</f>
        <v>JK57-0350-R-CL-KEKO</v>
      </c>
      <c r="G66" s="104">
        <v>10703795</v>
      </c>
      <c r="H66" s="105" t="s">
        <v>1246</v>
      </c>
      <c r="I66" s="85">
        <f>VLOOKUP(E66,'[1]Reference Card '!A:C,3,FALSE)</f>
        <v>2</v>
      </c>
      <c r="J66" s="185">
        <f>VLOOKUP(E66,'[1]Reference Card '!A:H,8,FALSE)</f>
        <v>24</v>
      </c>
      <c r="K66" s="185">
        <f>VLOOKUP(E66,'[1]Reference Card '!A:F,6,FALSE)</f>
        <v>18</v>
      </c>
      <c r="L66" s="86">
        <v>0</v>
      </c>
      <c r="M66" s="86">
        <v>91800</v>
      </c>
      <c r="N66" s="86">
        <v>170</v>
      </c>
      <c r="O66" s="86">
        <v>170</v>
      </c>
      <c r="P66" s="107">
        <f t="shared" si="560"/>
        <v>0</v>
      </c>
      <c r="Q66" s="87">
        <v>0</v>
      </c>
      <c r="R66" s="108">
        <f t="shared" si="561"/>
        <v>0</v>
      </c>
      <c r="S66" s="86">
        <v>18530</v>
      </c>
      <c r="T66" s="107">
        <f t="shared" si="814"/>
        <v>73270</v>
      </c>
      <c r="U66" s="109">
        <f t="shared" si="563"/>
        <v>0</v>
      </c>
      <c r="V66" s="108">
        <f t="shared" si="681"/>
        <v>0</v>
      </c>
      <c r="W66" s="86">
        <v>0</v>
      </c>
      <c r="X66" s="110" t="e">
        <f t="shared" si="815"/>
        <v>#DIV/0!</v>
      </c>
      <c r="Y66" s="86">
        <v>0</v>
      </c>
      <c r="Z66" s="111" t="e">
        <f t="shared" si="565"/>
        <v>#DIV/0!</v>
      </c>
      <c r="AA66" s="109">
        <v>7.4</v>
      </c>
      <c r="AB66" s="112">
        <f t="shared" si="682"/>
        <v>0</v>
      </c>
      <c r="AC66" s="112">
        <f>VLOOKUP(E66,'[2]Reference Card '!A:I,9,FALSE)</f>
        <v>6.8</v>
      </c>
      <c r="AD66" s="113"/>
      <c r="AE66" s="113"/>
      <c r="AF66" s="113"/>
      <c r="AG66" s="135">
        <v>12</v>
      </c>
      <c r="AH66" s="135"/>
      <c r="AI66" s="135"/>
      <c r="AJ66" s="114" t="s">
        <v>1407</v>
      </c>
      <c r="AK66" s="114"/>
      <c r="AL66" s="113"/>
      <c r="AM66" s="113"/>
      <c r="AN66" s="113"/>
      <c r="AO66" s="115">
        <f t="shared" si="758"/>
        <v>-3.06</v>
      </c>
      <c r="AP66" s="90" t="s">
        <v>1314</v>
      </c>
      <c r="AQ66" s="79" t="s">
        <v>1406</v>
      </c>
      <c r="AR66" s="189" t="s">
        <v>1090</v>
      </c>
      <c r="AS66" s="79" t="s">
        <v>1465</v>
      </c>
      <c r="AT66" s="189" t="s">
        <v>1089</v>
      </c>
      <c r="AU66" s="73">
        <f t="shared" si="568"/>
        <v>0</v>
      </c>
      <c r="AV66" s="116">
        <f t="shared" si="569"/>
        <v>0</v>
      </c>
      <c r="AW66" s="116">
        <f t="shared" si="570"/>
        <v>972.97297297297291</v>
      </c>
      <c r="AX66" s="73">
        <f t="shared" si="571"/>
        <v>12</v>
      </c>
      <c r="AY66" s="73">
        <f t="shared" si="572"/>
        <v>12</v>
      </c>
      <c r="AZ66" s="116">
        <f t="shared" si="558"/>
        <v>0</v>
      </c>
      <c r="BA66" s="116">
        <f t="shared" si="573"/>
        <v>0</v>
      </c>
      <c r="BB66" s="117" t="e">
        <f t="shared" si="574"/>
        <v>#DIV/0!</v>
      </c>
      <c r="BC66" s="118">
        <v>712</v>
      </c>
      <c r="BD66" s="118"/>
      <c r="BE66" s="90">
        <f t="shared" si="575"/>
        <v>10703795</v>
      </c>
      <c r="BF66" s="119" t="s">
        <v>1096</v>
      </c>
      <c r="BG66" s="120">
        <f t="shared" si="576"/>
        <v>588272</v>
      </c>
      <c r="BH66" s="121" t="str">
        <f t="shared" si="577"/>
        <v>JK57-0350-R-CL-KEKO</v>
      </c>
      <c r="BI66" s="122" t="str">
        <f t="shared" si="578"/>
        <v>05.08.2026</v>
      </c>
      <c r="BJ66" s="119" t="str">
        <f t="shared" si="579"/>
        <v>18:00:00</v>
      </c>
      <c r="BK66" s="122" t="str">
        <f t="shared" si="580"/>
        <v>06.08.2026</v>
      </c>
      <c r="BL66" s="119" t="str">
        <f t="shared" si="581"/>
        <v>06:00:00</v>
      </c>
      <c r="BM66" s="123">
        <f t="shared" si="582"/>
        <v>0</v>
      </c>
      <c r="BN66" s="118">
        <v>0</v>
      </c>
      <c r="BO66" s="118" t="s">
        <v>1086</v>
      </c>
      <c r="BP66" s="118"/>
      <c r="BQ66" s="118" t="s">
        <v>1087</v>
      </c>
      <c r="BR66" s="124">
        <f t="shared" si="583"/>
        <v>12</v>
      </c>
      <c r="BS66" s="124" t="s">
        <v>1087</v>
      </c>
      <c r="BT66" s="124">
        <f t="shared" si="584"/>
        <v>12</v>
      </c>
      <c r="BU66" s="124" t="s">
        <v>1087</v>
      </c>
      <c r="BV66" s="124">
        <f t="shared" si="585"/>
        <v>12</v>
      </c>
      <c r="BW66" s="118" t="s">
        <v>1087</v>
      </c>
      <c r="BX66" s="118"/>
      <c r="BY66" s="118" t="s">
        <v>1087</v>
      </c>
      <c r="BZ66" s="118"/>
      <c r="CA66" s="118" t="s">
        <v>1087</v>
      </c>
      <c r="CB66" s="118"/>
      <c r="CC66" s="118"/>
      <c r="CD66" s="118"/>
      <c r="CE66" s="118"/>
      <c r="CF66" s="118"/>
      <c r="CG66" s="118"/>
      <c r="CH66" s="118">
        <v>712</v>
      </c>
      <c r="CI66" s="118"/>
      <c r="CJ66" s="118">
        <f t="shared" si="586"/>
        <v>10703795</v>
      </c>
      <c r="CK66" s="119" t="s">
        <v>1106</v>
      </c>
      <c r="CL66" s="120">
        <f t="shared" si="587"/>
        <v>588272</v>
      </c>
      <c r="CM66" s="121" t="str">
        <f t="shared" si="588"/>
        <v>JK57-0350-R-CL-KEKO</v>
      </c>
      <c r="CN66" s="122" t="str">
        <f t="shared" si="589"/>
        <v>05.08.2026</v>
      </c>
      <c r="CO66" s="125" t="str">
        <f t="shared" si="590"/>
        <v>18:00:00</v>
      </c>
      <c r="CP66" s="122" t="str">
        <f t="shared" si="591"/>
        <v>06.08.2026</v>
      </c>
      <c r="CQ66" s="125" t="str">
        <f t="shared" si="592"/>
        <v>06:00:00</v>
      </c>
      <c r="CR66" s="123">
        <f t="shared" si="559"/>
        <v>0</v>
      </c>
      <c r="CS66" s="126">
        <f t="shared" si="593"/>
        <v>0</v>
      </c>
      <c r="CT66" s="118" t="s">
        <v>1086</v>
      </c>
      <c r="CU66" s="118"/>
      <c r="CV66" s="118" t="s">
        <v>1087</v>
      </c>
      <c r="CW66" s="127"/>
      <c r="CX66" s="118" t="s">
        <v>1087</v>
      </c>
      <c r="CY66" s="127"/>
      <c r="CZ66" s="118" t="s">
        <v>1087</v>
      </c>
      <c r="DA66" s="127"/>
      <c r="DB66" s="118" t="s">
        <v>1087</v>
      </c>
      <c r="DC66" s="118"/>
      <c r="DD66" s="118" t="s">
        <v>1087</v>
      </c>
      <c r="DE66" s="118"/>
      <c r="DF66" s="118" t="s">
        <v>1087</v>
      </c>
      <c r="DG66" s="118"/>
      <c r="DH66" s="118"/>
      <c r="DI66" s="118"/>
      <c r="DJ66" s="118"/>
      <c r="DK66" s="118"/>
      <c r="DL66" s="118"/>
      <c r="DM66" s="62"/>
      <c r="DN66" s="90" t="str">
        <f t="shared" si="826"/>
        <v>BRAVAN</v>
      </c>
      <c r="DO66" s="90" t="str">
        <f t="shared" si="827"/>
        <v>JK57-0350-R-CL-KEKO</v>
      </c>
      <c r="DP66" s="128">
        <f t="shared" si="828"/>
        <v>12451.764705882351</v>
      </c>
      <c r="DQ66" s="129">
        <f t="shared" si="829"/>
        <v>0</v>
      </c>
      <c r="DR66" s="130">
        <f t="shared" si="830"/>
        <v>0</v>
      </c>
      <c r="DS66" s="131">
        <f t="shared" si="831"/>
        <v>0</v>
      </c>
      <c r="DT66" s="131" t="e">
        <f t="shared" si="832"/>
        <v>#DIV/0!</v>
      </c>
      <c r="DU66" s="132">
        <f t="shared" si="833"/>
        <v>12</v>
      </c>
      <c r="DV66" s="133">
        <f t="shared" si="834"/>
        <v>0</v>
      </c>
      <c r="DW66" s="186" t="e">
        <f t="shared" si="835"/>
        <v>#DIV/0!</v>
      </c>
      <c r="DX66" s="187"/>
      <c r="DY66" s="134" t="str">
        <f t="shared" si="836"/>
        <v>Under tech.Mould repair.</v>
      </c>
      <c r="DZ66" s="15"/>
      <c r="EA66" s="15"/>
      <c r="EB66" s="15"/>
      <c r="EC66" s="15"/>
      <c r="ED66" s="15"/>
      <c r="EE66" s="15"/>
    </row>
    <row r="67" spans="1:135" s="74" customFormat="1" ht="33" customHeight="1">
      <c r="A67" s="188" t="s">
        <v>1451</v>
      </c>
      <c r="B67" s="100" t="s">
        <v>1347</v>
      </c>
      <c r="C67" s="90" t="s">
        <v>1378</v>
      </c>
      <c r="D67" s="101" t="s">
        <v>1375</v>
      </c>
      <c r="E67" s="102">
        <v>444444</v>
      </c>
      <c r="F67" s="103" t="s">
        <v>1376</v>
      </c>
      <c r="G67" s="104" t="s">
        <v>1377</v>
      </c>
      <c r="H67" s="105" t="s">
        <v>1246</v>
      </c>
      <c r="I67" s="85">
        <v>2</v>
      </c>
      <c r="J67" s="185">
        <v>810</v>
      </c>
      <c r="K67" s="185">
        <v>610</v>
      </c>
      <c r="L67" s="86">
        <v>0</v>
      </c>
      <c r="M67" s="86">
        <v>0</v>
      </c>
      <c r="N67" s="86">
        <v>0</v>
      </c>
      <c r="O67" s="86">
        <v>0</v>
      </c>
      <c r="P67" s="107">
        <f t="shared" si="560"/>
        <v>0</v>
      </c>
      <c r="Q67" s="87">
        <v>0</v>
      </c>
      <c r="R67" s="108">
        <f t="shared" si="561"/>
        <v>0</v>
      </c>
      <c r="S67" s="86">
        <v>0</v>
      </c>
      <c r="T67" s="107">
        <f t="shared" si="814"/>
        <v>0</v>
      </c>
      <c r="U67" s="109">
        <f t="shared" si="563"/>
        <v>0</v>
      </c>
      <c r="V67" s="108">
        <f t="shared" si="681"/>
        <v>0</v>
      </c>
      <c r="W67" s="86">
        <v>0</v>
      </c>
      <c r="X67" s="110" t="e">
        <f t="shared" si="815"/>
        <v>#DIV/0!</v>
      </c>
      <c r="Y67" s="86">
        <v>0</v>
      </c>
      <c r="Z67" s="111" t="e">
        <f t="shared" si="565"/>
        <v>#DIV/0!</v>
      </c>
      <c r="AA67" s="109">
        <v>61.7</v>
      </c>
      <c r="AB67" s="112">
        <f t="shared" si="682"/>
        <v>0</v>
      </c>
      <c r="AC67" s="112" t="e">
        <f>VLOOKUP(E67,'[2]Reference Card '!A:I,9,FALSE)</f>
        <v>#N/A</v>
      </c>
      <c r="AD67" s="113"/>
      <c r="AE67" s="113"/>
      <c r="AF67" s="113"/>
      <c r="AG67" s="113"/>
      <c r="AH67" s="113">
        <v>12</v>
      </c>
      <c r="AI67" s="135"/>
      <c r="AJ67" s="229" t="s">
        <v>1380</v>
      </c>
      <c r="AK67" s="114"/>
      <c r="AL67" s="113"/>
      <c r="AM67" s="113"/>
      <c r="AN67" s="113"/>
      <c r="AO67" s="115">
        <f t="shared" si="758"/>
        <v>0</v>
      </c>
      <c r="AP67" s="90" t="s">
        <v>1314</v>
      </c>
      <c r="AQ67" s="79" t="s">
        <v>1406</v>
      </c>
      <c r="AR67" s="189" t="s">
        <v>1090</v>
      </c>
      <c r="AS67" s="79" t="s">
        <v>1465</v>
      </c>
      <c r="AT67" s="189" t="s">
        <v>1089</v>
      </c>
      <c r="AU67" s="73">
        <f t="shared" si="568"/>
        <v>0</v>
      </c>
      <c r="AV67" s="116">
        <f t="shared" si="569"/>
        <v>0</v>
      </c>
      <c r="AW67" s="116">
        <f t="shared" si="570"/>
        <v>116.6936790923825</v>
      </c>
      <c r="AX67" s="73">
        <f t="shared" si="571"/>
        <v>12</v>
      </c>
      <c r="AY67" s="73">
        <f t="shared" si="572"/>
        <v>12</v>
      </c>
      <c r="AZ67" s="116">
        <f t="shared" si="558"/>
        <v>0</v>
      </c>
      <c r="BA67" s="116">
        <f t="shared" si="573"/>
        <v>0</v>
      </c>
      <c r="BB67" s="117" t="e">
        <f t="shared" si="574"/>
        <v>#DIV/0!</v>
      </c>
      <c r="BC67" s="118">
        <v>712</v>
      </c>
      <c r="BD67" s="118"/>
      <c r="BE67" s="90" t="str">
        <f t="shared" si="575"/>
        <v>SAMPLE</v>
      </c>
      <c r="BF67" s="119" t="s">
        <v>1096</v>
      </c>
      <c r="BG67" s="120">
        <f t="shared" si="576"/>
        <v>444444</v>
      </c>
      <c r="BH67" s="121" t="str">
        <f t="shared" si="577"/>
        <v>PPG 10LTR</v>
      </c>
      <c r="BI67" s="122" t="str">
        <f t="shared" si="578"/>
        <v>05.08.2026</v>
      </c>
      <c r="BJ67" s="119" t="str">
        <f t="shared" si="579"/>
        <v>18:00:00</v>
      </c>
      <c r="BK67" s="122" t="str">
        <f t="shared" si="580"/>
        <v>06.08.2026</v>
      </c>
      <c r="BL67" s="119" t="str">
        <f t="shared" si="581"/>
        <v>06:00:00</v>
      </c>
      <c r="BM67" s="123">
        <f t="shared" si="582"/>
        <v>0</v>
      </c>
      <c r="BN67" s="118">
        <v>0</v>
      </c>
      <c r="BO67" s="118" t="s">
        <v>1086</v>
      </c>
      <c r="BP67" s="118"/>
      <c r="BQ67" s="118" t="s">
        <v>1087</v>
      </c>
      <c r="BR67" s="124">
        <f t="shared" si="583"/>
        <v>12</v>
      </c>
      <c r="BS67" s="124" t="s">
        <v>1087</v>
      </c>
      <c r="BT67" s="124">
        <f t="shared" si="584"/>
        <v>12</v>
      </c>
      <c r="BU67" s="124" t="s">
        <v>1087</v>
      </c>
      <c r="BV67" s="124">
        <f t="shared" si="585"/>
        <v>12</v>
      </c>
      <c r="BW67" s="118" t="s">
        <v>1087</v>
      </c>
      <c r="BX67" s="118"/>
      <c r="BY67" s="118" t="s">
        <v>1087</v>
      </c>
      <c r="BZ67" s="118"/>
      <c r="CA67" s="118" t="s">
        <v>1087</v>
      </c>
      <c r="CB67" s="118"/>
      <c r="CC67" s="118"/>
      <c r="CD67" s="118"/>
      <c r="CE67" s="118"/>
      <c r="CF67" s="118"/>
      <c r="CG67" s="118"/>
      <c r="CH67" s="118">
        <v>712</v>
      </c>
      <c r="CI67" s="118"/>
      <c r="CJ67" s="118" t="str">
        <f t="shared" si="586"/>
        <v>SAMPLE</v>
      </c>
      <c r="CK67" s="119" t="s">
        <v>1106</v>
      </c>
      <c r="CL67" s="120">
        <f t="shared" si="587"/>
        <v>444444</v>
      </c>
      <c r="CM67" s="121" t="str">
        <f t="shared" si="588"/>
        <v>PPG 10LTR</v>
      </c>
      <c r="CN67" s="122" t="str">
        <f t="shared" si="589"/>
        <v>05.08.2026</v>
      </c>
      <c r="CO67" s="125" t="str">
        <f t="shared" si="590"/>
        <v>18:00:00</v>
      </c>
      <c r="CP67" s="122" t="str">
        <f t="shared" si="591"/>
        <v>06.08.2026</v>
      </c>
      <c r="CQ67" s="125" t="str">
        <f t="shared" si="592"/>
        <v>06:00:00</v>
      </c>
      <c r="CR67" s="123">
        <f t="shared" si="559"/>
        <v>0</v>
      </c>
      <c r="CS67" s="126">
        <f t="shared" si="593"/>
        <v>0</v>
      </c>
      <c r="CT67" s="118" t="s">
        <v>1086</v>
      </c>
      <c r="CU67" s="118"/>
      <c r="CV67" s="118" t="s">
        <v>1087</v>
      </c>
      <c r="CW67" s="127"/>
      <c r="CX67" s="118" t="s">
        <v>1087</v>
      </c>
      <c r="CY67" s="127"/>
      <c r="CZ67" s="118" t="s">
        <v>1087</v>
      </c>
      <c r="DA67" s="127"/>
      <c r="DB67" s="118" t="s">
        <v>1087</v>
      </c>
      <c r="DC67" s="118"/>
      <c r="DD67" s="118" t="s">
        <v>1087</v>
      </c>
      <c r="DE67" s="118"/>
      <c r="DF67" s="118" t="s">
        <v>1087</v>
      </c>
      <c r="DG67" s="118"/>
      <c r="DH67" s="118"/>
      <c r="DI67" s="118"/>
      <c r="DJ67" s="118"/>
      <c r="DK67" s="118"/>
      <c r="DL67" s="118"/>
      <c r="DM67" s="62"/>
      <c r="DN67" s="90" t="str">
        <f t="shared" si="826"/>
        <v>JWELL</v>
      </c>
      <c r="DO67" s="90" t="str">
        <f t="shared" si="827"/>
        <v>PPG 10LTR</v>
      </c>
      <c r="DP67" s="128" t="e">
        <f t="shared" si="828"/>
        <v>#N/A</v>
      </c>
      <c r="DQ67" s="129">
        <f t="shared" si="829"/>
        <v>0</v>
      </c>
      <c r="DR67" s="130" t="e">
        <f t="shared" si="830"/>
        <v>#N/A</v>
      </c>
      <c r="DS67" s="131">
        <f t="shared" si="831"/>
        <v>0</v>
      </c>
      <c r="DT67" s="131" t="e">
        <f t="shared" si="832"/>
        <v>#DIV/0!</v>
      </c>
      <c r="DU67" s="132">
        <f t="shared" si="833"/>
        <v>12</v>
      </c>
      <c r="DV67" s="133">
        <f t="shared" si="834"/>
        <v>0</v>
      </c>
      <c r="DW67" s="261" t="e">
        <f t="shared" si="835"/>
        <v>#DIV/0!</v>
      </c>
      <c r="DX67" s="262"/>
      <c r="DY67" s="134" t="str">
        <f t="shared" si="836"/>
        <v>Sample.</v>
      </c>
      <c r="DZ67" s="15"/>
      <c r="EA67" s="15"/>
      <c r="EB67" s="15"/>
      <c r="EC67" s="15"/>
      <c r="ED67" s="15"/>
      <c r="EE67" s="15"/>
    </row>
    <row r="68" spans="1:135" s="74" customFormat="1" ht="33" customHeight="1">
      <c r="A68" s="188" t="s">
        <v>1451</v>
      </c>
      <c r="B68" s="100" t="s">
        <v>1348</v>
      </c>
      <c r="C68" s="90" t="s">
        <v>1392</v>
      </c>
      <c r="D68" s="101" t="str">
        <f>VLOOKUP(E68,'Reference Card '!A:E,5,FALSE)</f>
        <v>PET</v>
      </c>
      <c r="E68" s="102">
        <v>623885</v>
      </c>
      <c r="F68" s="103" t="str">
        <f>VLOOKUP(E68,'[1]Reference Card '!A:B,2,FALSE)</f>
        <v>JJ63-0350EH-R-R-CL-CRISPY(ASEM)</v>
      </c>
      <c r="G68" s="104"/>
      <c r="H68" s="105" t="s">
        <v>1246</v>
      </c>
      <c r="I68" s="85">
        <v>1</v>
      </c>
      <c r="J68" s="185">
        <v>24</v>
      </c>
      <c r="K68" s="185">
        <v>24</v>
      </c>
      <c r="L68" s="86">
        <v>0</v>
      </c>
      <c r="M68" s="86">
        <v>0</v>
      </c>
      <c r="N68" s="86">
        <v>0</v>
      </c>
      <c r="O68" s="86">
        <v>0</v>
      </c>
      <c r="P68" s="107">
        <f t="shared" ref="P68" si="837">L68*I68</f>
        <v>0</v>
      </c>
      <c r="Q68" s="87">
        <v>1560</v>
      </c>
      <c r="R68" s="108">
        <f t="shared" ref="R68" si="838">(Q68*K68)/1000</f>
        <v>37.44</v>
      </c>
      <c r="S68" s="86">
        <v>0</v>
      </c>
      <c r="T68" s="107">
        <f t="shared" ref="T68" si="839">IF(M68="Sample","-",IF(M68="RTFN","-",M68-S68))</f>
        <v>0</v>
      </c>
      <c r="U68" s="109">
        <f t="shared" ref="U68" si="840">(P68*K68)/1000</f>
        <v>0</v>
      </c>
      <c r="V68" s="108">
        <f t="shared" ref="V68" si="841">(J68-K68)*P68/1000</f>
        <v>0</v>
      </c>
      <c r="W68" s="86">
        <v>0</v>
      </c>
      <c r="X68" s="110" t="e">
        <f t="shared" ref="X68" si="842">W68/U68</f>
        <v>#DIV/0!</v>
      </c>
      <c r="Y68" s="86">
        <v>0.9</v>
      </c>
      <c r="Z68" s="111" t="e">
        <f t="shared" ref="Z68" si="843">Y68/U68</f>
        <v>#DIV/0!</v>
      </c>
      <c r="AA68" s="109">
        <v>10</v>
      </c>
      <c r="AB68" s="112">
        <f t="shared" ref="AB68" si="844">AA68/3600*L68</f>
        <v>0</v>
      </c>
      <c r="AC68" s="112">
        <f>VLOOKUP(E68,'[2]Reference Card '!A:I,9,FALSE)</f>
        <v>36</v>
      </c>
      <c r="AD68" s="113"/>
      <c r="AE68" s="113"/>
      <c r="AF68" s="113"/>
      <c r="AG68" s="113"/>
      <c r="AH68" s="113"/>
      <c r="AI68" s="135"/>
      <c r="AJ68" s="229" t="s">
        <v>1374</v>
      </c>
      <c r="AK68" s="114"/>
      <c r="AL68" s="113"/>
      <c r="AM68" s="113"/>
      <c r="AN68" s="113"/>
      <c r="AO68" s="115">
        <f t="shared" ref="AO68" si="845">(U68-R68-W68-Y68-AM68-AN68)-(O68*K68/1000)</f>
        <v>-38.339999999999996</v>
      </c>
      <c r="AP68" s="90" t="s">
        <v>1314</v>
      </c>
      <c r="AQ68" s="79" t="s">
        <v>1406</v>
      </c>
      <c r="AR68" s="189" t="s">
        <v>1090</v>
      </c>
      <c r="AS68" s="79" t="s">
        <v>1465</v>
      </c>
      <c r="AT68" s="189" t="s">
        <v>1089</v>
      </c>
      <c r="AU68" s="73">
        <f t="shared" si="568"/>
        <v>37.5</v>
      </c>
      <c r="AV68" s="116">
        <f t="shared" si="569"/>
        <v>1597.5</v>
      </c>
      <c r="AW68" s="116">
        <f t="shared" si="570"/>
        <v>360</v>
      </c>
      <c r="AX68" s="73">
        <f t="shared" si="571"/>
        <v>4.4375</v>
      </c>
      <c r="AY68" s="73">
        <f t="shared" si="572"/>
        <v>0</v>
      </c>
      <c r="AZ68" s="116">
        <f t="shared" si="558"/>
        <v>1560</v>
      </c>
      <c r="BA68" s="116">
        <f t="shared" si="573"/>
        <v>37.5</v>
      </c>
      <c r="BB68" s="117">
        <f t="shared" si="574"/>
        <v>2.403846153846154E-2</v>
      </c>
      <c r="BC68" s="118">
        <v>712</v>
      </c>
      <c r="BD68" s="118"/>
      <c r="BE68" s="90">
        <f t="shared" si="575"/>
        <v>0</v>
      </c>
      <c r="BF68" s="119" t="s">
        <v>1096</v>
      </c>
      <c r="BG68" s="120">
        <f t="shared" si="576"/>
        <v>623885</v>
      </c>
      <c r="BH68" s="121" t="str">
        <f t="shared" si="577"/>
        <v>JJ63-0350EH-R-R-CL-CRISPY(ASEM)</v>
      </c>
      <c r="BI68" s="122" t="str">
        <f t="shared" si="578"/>
        <v>05.08.2026</v>
      </c>
      <c r="BJ68" s="119" t="str">
        <f t="shared" si="579"/>
        <v>18:00:00</v>
      </c>
      <c r="BK68" s="122" t="str">
        <f t="shared" si="580"/>
        <v>06.08.2026</v>
      </c>
      <c r="BL68" s="119" t="str">
        <f t="shared" si="581"/>
        <v>06:00:00</v>
      </c>
      <c r="BM68" s="123">
        <f t="shared" si="582"/>
        <v>1597</v>
      </c>
      <c r="BN68" s="118">
        <v>0</v>
      </c>
      <c r="BO68" s="118" t="s">
        <v>1086</v>
      </c>
      <c r="BP68" s="118"/>
      <c r="BQ68" s="118" t="s">
        <v>1087</v>
      </c>
      <c r="BR68" s="124">
        <f t="shared" si="583"/>
        <v>4.4375</v>
      </c>
      <c r="BS68" s="124" t="s">
        <v>1087</v>
      </c>
      <c r="BT68" s="124">
        <f t="shared" si="584"/>
        <v>4.4375</v>
      </c>
      <c r="BU68" s="124" t="s">
        <v>1087</v>
      </c>
      <c r="BV68" s="124">
        <f t="shared" si="585"/>
        <v>4.4375</v>
      </c>
      <c r="BW68" s="118" t="s">
        <v>1087</v>
      </c>
      <c r="BX68" s="118"/>
      <c r="BY68" s="118" t="s">
        <v>1087</v>
      </c>
      <c r="BZ68" s="118"/>
      <c r="CA68" s="118" t="s">
        <v>1087</v>
      </c>
      <c r="CB68" s="118"/>
      <c r="CC68" s="118"/>
      <c r="CD68" s="118"/>
      <c r="CE68" s="118"/>
      <c r="CF68" s="118"/>
      <c r="CG68" s="118"/>
      <c r="CH68" s="118">
        <v>712</v>
      </c>
      <c r="CI68" s="118"/>
      <c r="CJ68" s="118">
        <f t="shared" si="586"/>
        <v>0</v>
      </c>
      <c r="CK68" s="119" t="s">
        <v>1106</v>
      </c>
      <c r="CL68" s="120">
        <f t="shared" si="587"/>
        <v>623885</v>
      </c>
      <c r="CM68" s="121" t="str">
        <f t="shared" si="588"/>
        <v>JJ63-0350EH-R-R-CL-CRISPY(ASEM)</v>
      </c>
      <c r="CN68" s="122" t="str">
        <f t="shared" si="589"/>
        <v>05.08.2026</v>
      </c>
      <c r="CO68" s="125" t="str">
        <f t="shared" si="590"/>
        <v>18:00:00</v>
      </c>
      <c r="CP68" s="122" t="str">
        <f t="shared" si="591"/>
        <v>06.08.2026</v>
      </c>
      <c r="CQ68" s="125" t="str">
        <f t="shared" si="592"/>
        <v>06:00:00</v>
      </c>
      <c r="CR68" s="123">
        <f t="shared" si="559"/>
        <v>1560</v>
      </c>
      <c r="CS68" s="126">
        <f t="shared" si="593"/>
        <v>37</v>
      </c>
      <c r="CT68" s="118" t="s">
        <v>1086</v>
      </c>
      <c r="CU68" s="118"/>
      <c r="CV68" s="118" t="s">
        <v>1087</v>
      </c>
      <c r="CW68" s="127"/>
      <c r="CX68" s="118" t="s">
        <v>1087</v>
      </c>
      <c r="CY68" s="127"/>
      <c r="CZ68" s="118" t="s">
        <v>1087</v>
      </c>
      <c r="DA68" s="127"/>
      <c r="DB68" s="118" t="s">
        <v>1087</v>
      </c>
      <c r="DC68" s="118"/>
      <c r="DD68" s="118" t="s">
        <v>1087</v>
      </c>
      <c r="DE68" s="118"/>
      <c r="DF68" s="118" t="s">
        <v>1087</v>
      </c>
      <c r="DG68" s="118"/>
      <c r="DH68" s="118"/>
      <c r="DI68" s="118"/>
      <c r="DJ68" s="118"/>
      <c r="DK68" s="118"/>
      <c r="DL68" s="118"/>
      <c r="DM68" s="62"/>
      <c r="DN68" s="90" t="str">
        <f t="shared" ref="DN68" si="846">B68</f>
        <v>R-PET1</v>
      </c>
      <c r="DO68" s="90" t="str">
        <f t="shared" ref="DO68" si="847">F68</f>
        <v>JJ63-0350EH-R-R-CL-CRISPY(ASEM)</v>
      </c>
      <c r="DP68" s="128">
        <f t="shared" ref="DP68" si="848">(3600/AC68)*I68*12*0.98</f>
        <v>1176</v>
      </c>
      <c r="DQ68" s="129">
        <f t="shared" ref="DQ68" si="849">P68</f>
        <v>0</v>
      </c>
      <c r="DR68" s="130">
        <f t="shared" ref="DR68" si="850">DQ68/DP68*100</f>
        <v>0</v>
      </c>
      <c r="DS68" s="131">
        <f t="shared" ref="DS68" si="851">Y68</f>
        <v>0.9</v>
      </c>
      <c r="DT68" s="131" t="e">
        <f t="shared" ref="DT68" si="852">Z68</f>
        <v>#DIV/0!</v>
      </c>
      <c r="DU68" s="132">
        <f t="shared" ref="DU68" si="853">SUM(AG68:AI68)</f>
        <v>0</v>
      </c>
      <c r="DV68" s="133">
        <f t="shared" ref="DV68" si="854">SUM(AD68:AF68)</f>
        <v>0</v>
      </c>
      <c r="DW68" s="261" t="e">
        <f t="shared" ref="DW68" si="855">Y68+W68+AM68+AN68/U68*100</f>
        <v>#DIV/0!</v>
      </c>
      <c r="DX68" s="262"/>
      <c r="DY68" s="134" t="str">
        <f t="shared" ref="DY68" si="856">AJ68</f>
        <v>Labelling.</v>
      </c>
      <c r="DZ68" s="15"/>
      <c r="EA68" s="15"/>
      <c r="EB68" s="15"/>
      <c r="EC68" s="15"/>
      <c r="ED68" s="15"/>
      <c r="EE68" s="15"/>
    </row>
    <row r="69" spans="1:135" s="74" customFormat="1" ht="33" customHeight="1">
      <c r="A69" s="188" t="s">
        <v>1451</v>
      </c>
      <c r="B69" s="100" t="s">
        <v>1348</v>
      </c>
      <c r="C69" s="90" t="s">
        <v>1392</v>
      </c>
      <c r="D69" s="101" t="str">
        <f>VLOOKUP(E69,'Reference Card '!A:E,5,FALSE)</f>
        <v>PET</v>
      </c>
      <c r="E69" s="102">
        <v>658159</v>
      </c>
      <c r="F69" s="103" t="str">
        <f>VLOOKUP(E69,'[1]Reference Card '!A:B,2,FALSE)</f>
        <v>BX38-0250-SM-R-WH-MANGO V2 (ASEM)</v>
      </c>
      <c r="G69" s="104">
        <v>10704959</v>
      </c>
      <c r="H69" s="105" t="s">
        <v>1246</v>
      </c>
      <c r="I69" s="85">
        <v>1</v>
      </c>
      <c r="J69" s="185">
        <v>24</v>
      </c>
      <c r="K69" s="185">
        <v>24</v>
      </c>
      <c r="L69" s="86">
        <v>0</v>
      </c>
      <c r="M69" s="86">
        <v>0</v>
      </c>
      <c r="N69" s="86">
        <v>0</v>
      </c>
      <c r="O69" s="86">
        <v>0</v>
      </c>
      <c r="P69" s="107">
        <f t="shared" si="560"/>
        <v>0</v>
      </c>
      <c r="Q69" s="87">
        <v>4312</v>
      </c>
      <c r="R69" s="108">
        <f t="shared" si="561"/>
        <v>103.488</v>
      </c>
      <c r="S69" s="86">
        <v>0</v>
      </c>
      <c r="T69" s="107">
        <f t="shared" si="814"/>
        <v>0</v>
      </c>
      <c r="U69" s="109">
        <f t="shared" si="563"/>
        <v>0</v>
      </c>
      <c r="V69" s="108">
        <f t="shared" si="681"/>
        <v>0</v>
      </c>
      <c r="W69" s="86">
        <v>0</v>
      </c>
      <c r="X69" s="110" t="e">
        <f t="shared" si="815"/>
        <v>#DIV/0!</v>
      </c>
      <c r="Y69" s="86">
        <v>2.7</v>
      </c>
      <c r="Z69" s="111" t="e">
        <f t="shared" si="565"/>
        <v>#DIV/0!</v>
      </c>
      <c r="AA69" s="109">
        <v>10</v>
      </c>
      <c r="AB69" s="112">
        <f t="shared" si="682"/>
        <v>0</v>
      </c>
      <c r="AC69" s="112">
        <f>VLOOKUP(E69,'[2]Reference Card '!A:I,9,FALSE)</f>
        <v>9</v>
      </c>
      <c r="AD69" s="113"/>
      <c r="AE69" s="113"/>
      <c r="AF69" s="113"/>
      <c r="AG69" s="113"/>
      <c r="AH69" s="113"/>
      <c r="AI69" s="135"/>
      <c r="AJ69" s="229" t="s">
        <v>1374</v>
      </c>
      <c r="AK69" s="114"/>
      <c r="AL69" s="113"/>
      <c r="AM69" s="113"/>
      <c r="AN69" s="113"/>
      <c r="AO69" s="115">
        <f t="shared" si="758"/>
        <v>-106.188</v>
      </c>
      <c r="AP69" s="90" t="s">
        <v>1314</v>
      </c>
      <c r="AQ69" s="79" t="s">
        <v>1406</v>
      </c>
      <c r="AR69" s="189" t="s">
        <v>1090</v>
      </c>
      <c r="AS69" s="79" t="s">
        <v>1465</v>
      </c>
      <c r="AT69" s="189" t="s">
        <v>1089</v>
      </c>
      <c r="AU69" s="73">
        <f t="shared" si="568"/>
        <v>112.5</v>
      </c>
      <c r="AV69" s="116">
        <f t="shared" si="569"/>
        <v>4424.5</v>
      </c>
      <c r="AW69" s="116">
        <f t="shared" si="570"/>
        <v>360</v>
      </c>
      <c r="AX69" s="73">
        <f t="shared" si="571"/>
        <v>12.290277777777778</v>
      </c>
      <c r="AY69" s="73">
        <f t="shared" si="572"/>
        <v>0</v>
      </c>
      <c r="AZ69" s="116">
        <f t="shared" si="558"/>
        <v>4312</v>
      </c>
      <c r="BA69" s="116">
        <f t="shared" si="573"/>
        <v>112.5</v>
      </c>
      <c r="BB69" s="117">
        <f t="shared" si="574"/>
        <v>2.6089981447124305E-2</v>
      </c>
      <c r="BC69" s="118">
        <v>712</v>
      </c>
      <c r="BD69" s="118"/>
      <c r="BE69" s="90">
        <f t="shared" si="575"/>
        <v>10704959</v>
      </c>
      <c r="BF69" s="119" t="s">
        <v>1096</v>
      </c>
      <c r="BG69" s="120">
        <f t="shared" si="576"/>
        <v>658159</v>
      </c>
      <c r="BH69" s="121" t="str">
        <f t="shared" si="577"/>
        <v>BX38-0250-SM-R-WH-MANGO V2 (ASEM)</v>
      </c>
      <c r="BI69" s="122" t="str">
        <f t="shared" si="578"/>
        <v>05.08.2026</v>
      </c>
      <c r="BJ69" s="119" t="str">
        <f t="shared" si="579"/>
        <v>18:00:00</v>
      </c>
      <c r="BK69" s="122" t="str">
        <f t="shared" si="580"/>
        <v>06.08.2026</v>
      </c>
      <c r="BL69" s="119" t="str">
        <f t="shared" si="581"/>
        <v>06:00:00</v>
      </c>
      <c r="BM69" s="123">
        <f t="shared" si="582"/>
        <v>4424</v>
      </c>
      <c r="BN69" s="118">
        <v>0</v>
      </c>
      <c r="BO69" s="118" t="s">
        <v>1086</v>
      </c>
      <c r="BP69" s="118"/>
      <c r="BQ69" s="118" t="s">
        <v>1087</v>
      </c>
      <c r="BR69" s="124">
        <f t="shared" si="583"/>
        <v>12.290277777777778</v>
      </c>
      <c r="BS69" s="124" t="s">
        <v>1087</v>
      </c>
      <c r="BT69" s="124">
        <f t="shared" si="584"/>
        <v>12.290277777777778</v>
      </c>
      <c r="BU69" s="124" t="s">
        <v>1087</v>
      </c>
      <c r="BV69" s="124">
        <f t="shared" si="585"/>
        <v>12.290277777777778</v>
      </c>
      <c r="BW69" s="118" t="s">
        <v>1087</v>
      </c>
      <c r="BX69" s="118"/>
      <c r="BY69" s="118" t="s">
        <v>1087</v>
      </c>
      <c r="BZ69" s="118"/>
      <c r="CA69" s="118" t="s">
        <v>1087</v>
      </c>
      <c r="CB69" s="118"/>
      <c r="CC69" s="118"/>
      <c r="CD69" s="118"/>
      <c r="CE69" s="118"/>
      <c r="CF69" s="118"/>
      <c r="CG69" s="118"/>
      <c r="CH69" s="118">
        <v>712</v>
      </c>
      <c r="CI69" s="118"/>
      <c r="CJ69" s="118">
        <f t="shared" si="586"/>
        <v>10704959</v>
      </c>
      <c r="CK69" s="119" t="s">
        <v>1106</v>
      </c>
      <c r="CL69" s="120">
        <f t="shared" si="587"/>
        <v>658159</v>
      </c>
      <c r="CM69" s="121" t="str">
        <f t="shared" si="588"/>
        <v>BX38-0250-SM-R-WH-MANGO V2 (ASEM)</v>
      </c>
      <c r="CN69" s="122" t="str">
        <f t="shared" si="589"/>
        <v>05.08.2026</v>
      </c>
      <c r="CO69" s="125" t="str">
        <f t="shared" si="590"/>
        <v>18:00:00</v>
      </c>
      <c r="CP69" s="122" t="str">
        <f t="shared" si="591"/>
        <v>06.08.2026</v>
      </c>
      <c r="CQ69" s="125" t="str">
        <f t="shared" si="592"/>
        <v>06:00:00</v>
      </c>
      <c r="CR69" s="123">
        <f t="shared" si="559"/>
        <v>4312</v>
      </c>
      <c r="CS69" s="126">
        <f t="shared" si="593"/>
        <v>112</v>
      </c>
      <c r="CT69" s="118" t="s">
        <v>1086</v>
      </c>
      <c r="CU69" s="118"/>
      <c r="CV69" s="118" t="s">
        <v>1087</v>
      </c>
      <c r="CW69" s="127"/>
      <c r="CX69" s="118" t="s">
        <v>1087</v>
      </c>
      <c r="CY69" s="127"/>
      <c r="CZ69" s="118" t="s">
        <v>1087</v>
      </c>
      <c r="DA69" s="127"/>
      <c r="DB69" s="118" t="s">
        <v>1087</v>
      </c>
      <c r="DC69" s="118"/>
      <c r="DD69" s="118" t="s">
        <v>1087</v>
      </c>
      <c r="DE69" s="118"/>
      <c r="DF69" s="118" t="s">
        <v>1087</v>
      </c>
      <c r="DG69" s="118"/>
      <c r="DH69" s="118"/>
      <c r="DI69" s="118"/>
      <c r="DJ69" s="118"/>
      <c r="DK69" s="118"/>
      <c r="DL69" s="118"/>
      <c r="DM69" s="62"/>
      <c r="DN69" s="90" t="str">
        <f t="shared" si="826"/>
        <v>R-PET1</v>
      </c>
      <c r="DO69" s="90" t="str">
        <f t="shared" si="827"/>
        <v>BX38-0250-SM-R-WH-MANGO V2 (ASEM)</v>
      </c>
      <c r="DP69" s="128">
        <f t="shared" si="828"/>
        <v>4704</v>
      </c>
      <c r="DQ69" s="129">
        <f t="shared" si="829"/>
        <v>0</v>
      </c>
      <c r="DR69" s="130">
        <f t="shared" si="830"/>
        <v>0</v>
      </c>
      <c r="DS69" s="131">
        <f t="shared" si="831"/>
        <v>2.7</v>
      </c>
      <c r="DT69" s="131" t="e">
        <f t="shared" si="832"/>
        <v>#DIV/0!</v>
      </c>
      <c r="DU69" s="132">
        <f t="shared" si="833"/>
        <v>0</v>
      </c>
      <c r="DV69" s="133">
        <f t="shared" si="834"/>
        <v>0</v>
      </c>
      <c r="DW69" s="261" t="e">
        <f t="shared" si="835"/>
        <v>#DIV/0!</v>
      </c>
      <c r="DX69" s="262"/>
      <c r="DY69" s="134" t="str">
        <f t="shared" si="836"/>
        <v>Labelling.</v>
      </c>
      <c r="DZ69" s="15"/>
      <c r="EA69" s="15"/>
      <c r="EB69" s="15"/>
      <c r="EC69" s="15"/>
      <c r="ED69" s="15"/>
      <c r="EE69" s="15"/>
    </row>
    <row r="70" spans="1:135" s="74" customFormat="1" ht="33" customHeight="1">
      <c r="A70" s="188" t="s">
        <v>1451</v>
      </c>
      <c r="B70" s="100" t="s">
        <v>1395</v>
      </c>
      <c r="C70" s="90" t="s">
        <v>1396</v>
      </c>
      <c r="D70" s="101" t="str">
        <f>VLOOKUP(E70,'Reference Card '!A:E,5,FALSE)</f>
        <v>SM398 / LLDPE6101 / HDPE6178</v>
      </c>
      <c r="E70" s="102">
        <v>665672</v>
      </c>
      <c r="F70" s="103" t="str">
        <f>VLOOKUP(E70,'[1]Reference Card '!A:B,2,FALSE)</f>
        <v>C32-2 PIECE-T.RED &amp;.B.RED-KKM (ASEM)-S</v>
      </c>
      <c r="G70" s="104">
        <v>10704706</v>
      </c>
      <c r="H70" s="105" t="s">
        <v>1246</v>
      </c>
      <c r="I70" s="85">
        <f>VLOOKUP(E70,'[1]Reference Card '!A:C,3,FALSE)</f>
        <v>1</v>
      </c>
      <c r="J70" s="185">
        <f>VLOOKUP(E70,'[1]Reference Card '!A:H,8,FALSE)</f>
        <v>5.9</v>
      </c>
      <c r="K70" s="185">
        <f>VLOOKUP(E70,'[1]Reference Card '!A:F,6,FALSE)</f>
        <v>5.9</v>
      </c>
      <c r="L70" s="86">
        <v>0</v>
      </c>
      <c r="M70" s="86">
        <v>0</v>
      </c>
      <c r="N70" s="86">
        <v>0</v>
      </c>
      <c r="O70" s="86">
        <v>0</v>
      </c>
      <c r="P70" s="107">
        <f t="shared" ref="P70" si="857">L70*I70</f>
        <v>0</v>
      </c>
      <c r="Q70" s="87">
        <v>30000</v>
      </c>
      <c r="R70" s="108">
        <f t="shared" ref="R70" si="858">(Q70*K70)/1000</f>
        <v>177</v>
      </c>
      <c r="S70" s="86">
        <v>0</v>
      </c>
      <c r="T70" s="107">
        <f t="shared" ref="T70" si="859">IF(M70="Sample","-",IF(M70="RTFN","-",M70-S70))</f>
        <v>0</v>
      </c>
      <c r="U70" s="109">
        <f t="shared" ref="U70" si="860">(P70*K70)/1000</f>
        <v>0</v>
      </c>
      <c r="V70" s="108">
        <f t="shared" ref="V70" si="861">(J70-K70)*P70/1000</f>
        <v>0</v>
      </c>
      <c r="W70" s="86">
        <v>0</v>
      </c>
      <c r="X70" s="110" t="e">
        <f t="shared" ref="X70" si="862">W70/U70</f>
        <v>#DIV/0!</v>
      </c>
      <c r="Y70" s="86">
        <v>0</v>
      </c>
      <c r="Z70" s="111" t="e">
        <f t="shared" ref="Z70" si="863">Y70/U70</f>
        <v>#DIV/0!</v>
      </c>
      <c r="AA70" s="109">
        <v>10</v>
      </c>
      <c r="AB70" s="112">
        <f t="shared" ref="AB70" si="864">AA70/3600*L70</f>
        <v>0</v>
      </c>
      <c r="AC70" s="112">
        <f>VLOOKUP(E70,'[2]Reference Card '!A:I,9,FALSE)</f>
        <v>9</v>
      </c>
      <c r="AD70" s="113"/>
      <c r="AE70" s="113"/>
      <c r="AF70" s="113"/>
      <c r="AG70" s="113"/>
      <c r="AH70" s="113"/>
      <c r="AI70" s="135"/>
      <c r="AJ70" s="229" t="s">
        <v>1397</v>
      </c>
      <c r="AK70" s="114"/>
      <c r="AL70" s="113"/>
      <c r="AM70" s="113"/>
      <c r="AN70" s="113"/>
      <c r="AO70" s="115">
        <f t="shared" si="758"/>
        <v>-177</v>
      </c>
      <c r="AP70" s="90" t="s">
        <v>1314</v>
      </c>
      <c r="AQ70" s="79" t="s">
        <v>1406</v>
      </c>
      <c r="AR70" s="189" t="s">
        <v>1090</v>
      </c>
      <c r="AS70" s="79" t="s">
        <v>1465</v>
      </c>
      <c r="AT70" s="189" t="s">
        <v>1089</v>
      </c>
      <c r="AU70" s="73">
        <f t="shared" si="568"/>
        <v>0</v>
      </c>
      <c r="AV70" s="116">
        <f t="shared" si="569"/>
        <v>30000</v>
      </c>
      <c r="AW70" s="116">
        <f t="shared" si="570"/>
        <v>360</v>
      </c>
      <c r="AX70" s="73">
        <f t="shared" si="571"/>
        <v>83.333333333333329</v>
      </c>
      <c r="AY70" s="73">
        <f t="shared" si="572"/>
        <v>0</v>
      </c>
      <c r="AZ70" s="116">
        <f t="shared" si="558"/>
        <v>30000</v>
      </c>
      <c r="BA70" s="116">
        <f t="shared" si="573"/>
        <v>0</v>
      </c>
      <c r="BB70" s="117">
        <f t="shared" si="574"/>
        <v>0</v>
      </c>
      <c r="BC70" s="118">
        <v>712</v>
      </c>
      <c r="BD70" s="118"/>
      <c r="BE70" s="90">
        <f t="shared" si="575"/>
        <v>10704706</v>
      </c>
      <c r="BF70" s="119" t="s">
        <v>1096</v>
      </c>
      <c r="BG70" s="120">
        <f t="shared" si="576"/>
        <v>665672</v>
      </c>
      <c r="BH70" s="121" t="str">
        <f t="shared" si="577"/>
        <v>C32-2 PIECE-T.RED &amp;.B.RED-KKM (ASEM)-S</v>
      </c>
      <c r="BI70" s="122" t="str">
        <f t="shared" si="578"/>
        <v>05.08.2026</v>
      </c>
      <c r="BJ70" s="119" t="str">
        <f t="shared" si="579"/>
        <v>18:00:00</v>
      </c>
      <c r="BK70" s="122" t="str">
        <f t="shared" si="580"/>
        <v>06.08.2026</v>
      </c>
      <c r="BL70" s="119" t="str">
        <f t="shared" si="581"/>
        <v>06:00:00</v>
      </c>
      <c r="BM70" s="123">
        <f t="shared" si="582"/>
        <v>30000</v>
      </c>
      <c r="BN70" s="118">
        <v>0</v>
      </c>
      <c r="BO70" s="118" t="s">
        <v>1086</v>
      </c>
      <c r="BP70" s="118"/>
      <c r="BQ70" s="118" t="s">
        <v>1087</v>
      </c>
      <c r="BR70" s="124">
        <f t="shared" si="583"/>
        <v>83.333333333333329</v>
      </c>
      <c r="BS70" s="124" t="s">
        <v>1087</v>
      </c>
      <c r="BT70" s="124">
        <f t="shared" si="584"/>
        <v>83.333333333333329</v>
      </c>
      <c r="BU70" s="124" t="s">
        <v>1087</v>
      </c>
      <c r="BV70" s="124">
        <f t="shared" si="585"/>
        <v>83.333333333333329</v>
      </c>
      <c r="BW70" s="118" t="s">
        <v>1087</v>
      </c>
      <c r="BX70" s="118"/>
      <c r="BY70" s="118" t="s">
        <v>1087</v>
      </c>
      <c r="BZ70" s="118"/>
      <c r="CA70" s="118" t="s">
        <v>1087</v>
      </c>
      <c r="CB70" s="118"/>
      <c r="CC70" s="118"/>
      <c r="CD70" s="118"/>
      <c r="CE70" s="118"/>
      <c r="CF70" s="118"/>
      <c r="CG70" s="118"/>
      <c r="CH70" s="118">
        <v>712</v>
      </c>
      <c r="CI70" s="118"/>
      <c r="CJ70" s="118">
        <f t="shared" si="586"/>
        <v>10704706</v>
      </c>
      <c r="CK70" s="119" t="s">
        <v>1106</v>
      </c>
      <c r="CL70" s="120">
        <f t="shared" si="587"/>
        <v>665672</v>
      </c>
      <c r="CM70" s="121" t="str">
        <f t="shared" si="588"/>
        <v>C32-2 PIECE-T.RED &amp;.B.RED-KKM (ASEM)-S</v>
      </c>
      <c r="CN70" s="122" t="str">
        <f t="shared" si="589"/>
        <v>05.08.2026</v>
      </c>
      <c r="CO70" s="125" t="str">
        <f t="shared" si="590"/>
        <v>18:00:00</v>
      </c>
      <c r="CP70" s="122" t="str">
        <f t="shared" si="591"/>
        <v>06.08.2026</v>
      </c>
      <c r="CQ70" s="125" t="str">
        <f t="shared" si="592"/>
        <v>06:00:00</v>
      </c>
      <c r="CR70" s="123">
        <f t="shared" si="559"/>
        <v>30000</v>
      </c>
      <c r="CS70" s="126">
        <f t="shared" si="593"/>
        <v>0</v>
      </c>
      <c r="CT70" s="118" t="s">
        <v>1086</v>
      </c>
      <c r="CU70" s="118"/>
      <c r="CV70" s="118" t="s">
        <v>1087</v>
      </c>
      <c r="CW70" s="127"/>
      <c r="CX70" s="118" t="s">
        <v>1087</v>
      </c>
      <c r="CY70" s="127"/>
      <c r="CZ70" s="118" t="s">
        <v>1087</v>
      </c>
      <c r="DA70" s="127"/>
      <c r="DB70" s="118" t="s">
        <v>1087</v>
      </c>
      <c r="DC70" s="118"/>
      <c r="DD70" s="118" t="s">
        <v>1087</v>
      </c>
      <c r="DE70" s="118"/>
      <c r="DF70" s="118" t="s">
        <v>1087</v>
      </c>
      <c r="DG70" s="118"/>
      <c r="DH70" s="118"/>
      <c r="DI70" s="118"/>
      <c r="DJ70" s="118"/>
      <c r="DK70" s="118"/>
      <c r="DL70" s="118"/>
      <c r="DM70" s="62"/>
      <c r="DN70" s="90" t="str">
        <f t="shared" ref="DN70" si="865">B70</f>
        <v>KKM</v>
      </c>
      <c r="DO70" s="90" t="str">
        <f t="shared" ref="DO70" si="866">F70</f>
        <v>C32-2 PIECE-T.RED &amp;.B.RED-KKM (ASEM)-S</v>
      </c>
      <c r="DP70" s="128">
        <f t="shared" ref="DP70" si="867">(3600/AC70)*I70*12*0.98</f>
        <v>4704</v>
      </c>
      <c r="DQ70" s="129">
        <f t="shared" ref="DQ70" si="868">P70</f>
        <v>0</v>
      </c>
      <c r="DR70" s="130">
        <f t="shared" ref="DR70" si="869">DQ70/DP70*100</f>
        <v>0</v>
      </c>
      <c r="DS70" s="131">
        <f t="shared" ref="DS70" si="870">Y70</f>
        <v>0</v>
      </c>
      <c r="DT70" s="131" t="e">
        <f t="shared" ref="DT70" si="871">Z70</f>
        <v>#DIV/0!</v>
      </c>
      <c r="DU70" s="132">
        <f t="shared" ref="DU70" si="872">SUM(AG70:AI70)</f>
        <v>0</v>
      </c>
      <c r="DV70" s="133">
        <f t="shared" ref="DV70" si="873">SUM(AD70:AF70)</f>
        <v>0</v>
      </c>
      <c r="DW70" s="261" t="e">
        <f t="shared" ref="DW70" si="874">Y70+W70+AM70+AN70/U70*100</f>
        <v>#DIV/0!</v>
      </c>
      <c r="DX70" s="262"/>
      <c r="DY70" s="134" t="str">
        <f t="shared" ref="DY70" si="875">AJ70</f>
        <v>Assy output</v>
      </c>
      <c r="DZ70" s="15"/>
      <c r="EA70" s="15"/>
      <c r="EB70" s="15"/>
      <c r="EC70" s="15"/>
      <c r="ED70" s="15"/>
      <c r="EE70" s="15"/>
    </row>
    <row r="71" spans="1:135" ht="12.75" customHeight="1">
      <c r="A71" s="17"/>
      <c r="B71" s="17"/>
      <c r="AC71" s="17"/>
      <c r="AP71" s="14"/>
      <c r="AQ71" s="20"/>
      <c r="AR71" s="21"/>
      <c r="AS71" s="20"/>
      <c r="AT71" s="21"/>
      <c r="DN71" s="17"/>
      <c r="DO71" s="17"/>
      <c r="DP71" s="17"/>
      <c r="DR71" s="17"/>
      <c r="DS71" s="17"/>
      <c r="DT71" s="17"/>
      <c r="DU71" s="17"/>
    </row>
    <row r="72" spans="1:135" ht="12.75" customHeight="1">
      <c r="A72" s="17"/>
      <c r="B72" s="17"/>
      <c r="AC72" s="17"/>
      <c r="AP72" s="14"/>
      <c r="AQ72" s="20"/>
      <c r="AR72" s="21"/>
      <c r="AS72" s="20"/>
      <c r="AT72" s="21"/>
      <c r="DN72" s="17"/>
      <c r="DO72" s="17"/>
      <c r="DP72" s="17"/>
      <c r="DR72" s="17"/>
      <c r="DS72" s="17"/>
      <c r="DT72" s="17"/>
      <c r="DU72" s="17"/>
    </row>
    <row r="73" spans="1:135" ht="12.75" customHeight="1">
      <c r="A73" s="17"/>
      <c r="B73" s="17"/>
      <c r="AC73" s="17"/>
      <c r="AP73" s="14"/>
      <c r="AQ73" s="20"/>
      <c r="AR73" s="21"/>
      <c r="AS73" s="20"/>
      <c r="AT73" s="21"/>
      <c r="DN73" s="17"/>
      <c r="DO73" s="17"/>
      <c r="DP73" s="17"/>
      <c r="DR73" s="17"/>
      <c r="DS73" s="17"/>
      <c r="DT73" s="17"/>
      <c r="DU73" s="17"/>
    </row>
    <row r="74" spans="1:135" ht="12.75" customHeight="1">
      <c r="A74" s="17"/>
      <c r="B74" s="17"/>
      <c r="AC74" s="17"/>
      <c r="AP74" s="14"/>
      <c r="AQ74" s="20"/>
      <c r="AR74" s="21"/>
      <c r="AS74" s="20"/>
      <c r="AT74" s="21"/>
      <c r="DN74" s="17"/>
      <c r="DO74" s="17"/>
      <c r="DP74" s="17"/>
      <c r="DR74" s="17"/>
      <c r="DS74" s="17"/>
      <c r="DT74" s="17"/>
      <c r="DU74" s="17"/>
    </row>
    <row r="75" spans="1:135" ht="12.75" customHeight="1">
      <c r="A75" s="17"/>
      <c r="B75" s="17"/>
      <c r="AC75" s="17"/>
      <c r="AP75" s="14"/>
      <c r="AQ75" s="20"/>
      <c r="AR75" s="21"/>
      <c r="AS75" s="20"/>
      <c r="AT75" s="21"/>
      <c r="DN75" s="17"/>
      <c r="DO75" s="17"/>
      <c r="DP75" s="17"/>
      <c r="DR75" s="17"/>
      <c r="DS75" s="17"/>
      <c r="DT75" s="17"/>
      <c r="DU75" s="17"/>
    </row>
    <row r="76" spans="1:135" ht="12.75" customHeight="1">
      <c r="A76" s="17"/>
      <c r="B76" s="17"/>
      <c r="AC76" s="17"/>
      <c r="AP76" s="14"/>
      <c r="AQ76" s="20"/>
      <c r="AR76" s="21"/>
      <c r="AS76" s="20"/>
      <c r="AT76" s="21"/>
      <c r="DN76" s="17"/>
      <c r="DO76" s="17"/>
      <c r="DP76" s="17"/>
      <c r="DR76" s="17"/>
      <c r="DS76" s="17"/>
      <c r="DT76" s="17"/>
      <c r="DU76" s="17"/>
    </row>
    <row r="77" spans="1:135" ht="12.75" customHeight="1">
      <c r="A77" s="17"/>
      <c r="B77" s="17"/>
      <c r="AC77" s="17"/>
      <c r="AP77" s="14"/>
      <c r="AQ77" s="20"/>
      <c r="AR77" s="21"/>
      <c r="AS77" s="20"/>
      <c r="AT77" s="21"/>
      <c r="DN77" s="17"/>
      <c r="DO77" s="17"/>
      <c r="DP77" s="17"/>
      <c r="DR77" s="17"/>
      <c r="DS77" s="17"/>
      <c r="DT77" s="17"/>
      <c r="DU77" s="17"/>
    </row>
    <row r="78" spans="1:135" ht="12.75" customHeight="1">
      <c r="A78" s="17"/>
      <c r="B78" s="17"/>
      <c r="AC78" s="17"/>
      <c r="AP78" s="14"/>
      <c r="AQ78" s="20"/>
      <c r="AR78" s="21"/>
      <c r="AS78" s="20"/>
      <c r="AT78" s="21"/>
      <c r="DN78" s="17"/>
      <c r="DO78" s="17"/>
      <c r="DP78" s="17"/>
      <c r="DR78" s="17"/>
      <c r="DS78" s="17"/>
      <c r="DT78" s="17"/>
      <c r="DU78" s="17"/>
    </row>
    <row r="79" spans="1:135" ht="12.75" customHeight="1">
      <c r="A79" s="17"/>
      <c r="B79" s="17"/>
      <c r="AC79" s="17"/>
      <c r="AP79" s="14"/>
      <c r="AQ79" s="20"/>
      <c r="AR79" s="21"/>
      <c r="AS79" s="20"/>
      <c r="AT79" s="21"/>
      <c r="DN79" s="17"/>
      <c r="DO79" s="17"/>
      <c r="DP79" s="17"/>
      <c r="DR79" s="17"/>
      <c r="DS79" s="17"/>
      <c r="DT79" s="17"/>
      <c r="DU79" s="17"/>
    </row>
    <row r="80" spans="1:135" ht="12.75" customHeight="1">
      <c r="A80" s="17"/>
      <c r="B80" s="17"/>
      <c r="AC80" s="17"/>
      <c r="AP80" s="14"/>
      <c r="AQ80" s="20"/>
      <c r="AR80" s="21"/>
      <c r="AS80" s="20"/>
      <c r="AT80" s="21"/>
      <c r="DN80" s="17"/>
      <c r="DO80" s="17"/>
      <c r="DP80" s="17"/>
      <c r="DR80" s="17"/>
      <c r="DS80" s="17"/>
      <c r="DT80" s="17"/>
      <c r="DU80" s="17"/>
    </row>
    <row r="81" spans="42:46" s="17" customFormat="1" ht="12.75" customHeight="1">
      <c r="AP81" s="14"/>
      <c r="AQ81" s="20"/>
      <c r="AR81" s="21"/>
      <c r="AS81" s="20"/>
      <c r="AT81" s="21"/>
    </row>
    <row r="82" spans="42:46" s="17" customFormat="1" ht="12.75" customHeight="1">
      <c r="AP82" s="14"/>
      <c r="AQ82" s="20"/>
      <c r="AR82" s="21"/>
      <c r="AS82" s="20"/>
      <c r="AT82" s="21"/>
    </row>
    <row r="83" spans="42:46" s="17" customFormat="1" ht="12.75" customHeight="1">
      <c r="AP83" s="14"/>
      <c r="AQ83" s="20"/>
      <c r="AR83" s="21"/>
      <c r="AS83" s="20"/>
      <c r="AT83" s="21"/>
    </row>
    <row r="84" spans="42:46" s="17" customFormat="1" ht="12.75" customHeight="1">
      <c r="AP84" s="14"/>
      <c r="AQ84" s="20"/>
      <c r="AR84" s="21"/>
      <c r="AS84" s="20"/>
      <c r="AT84" s="21"/>
    </row>
    <row r="85" spans="42:46" s="17" customFormat="1" ht="12.75" customHeight="1">
      <c r="AP85" s="14"/>
      <c r="AQ85" s="20"/>
      <c r="AR85" s="21"/>
      <c r="AS85" s="20"/>
      <c r="AT85" s="21"/>
    </row>
    <row r="86" spans="42:46" s="17" customFormat="1" ht="12.75" customHeight="1">
      <c r="AP86" s="14"/>
      <c r="AQ86" s="20"/>
      <c r="AR86" s="21"/>
      <c r="AS86" s="20"/>
      <c r="AT86" s="21"/>
    </row>
    <row r="87" spans="42:46" s="17" customFormat="1" ht="12.75" customHeight="1">
      <c r="AP87" s="14"/>
      <c r="AQ87" s="20"/>
      <c r="AR87" s="21"/>
      <c r="AS87" s="20"/>
      <c r="AT87" s="21"/>
    </row>
    <row r="88" spans="42:46" s="17" customFormat="1" ht="12.75" customHeight="1">
      <c r="AP88" s="14"/>
      <c r="AQ88" s="20"/>
      <c r="AR88" s="21"/>
      <c r="AS88" s="20"/>
      <c r="AT88" s="21"/>
    </row>
    <row r="89" spans="42:46" s="17" customFormat="1" ht="12.75" customHeight="1">
      <c r="AP89" s="14"/>
      <c r="AQ89" s="20"/>
      <c r="AR89" s="21"/>
      <c r="AS89" s="20"/>
      <c r="AT89" s="21"/>
    </row>
    <row r="90" spans="42:46" s="17" customFormat="1" ht="12.75" customHeight="1">
      <c r="AP90" s="14"/>
      <c r="AQ90" s="20"/>
      <c r="AR90" s="21"/>
      <c r="AS90" s="20"/>
      <c r="AT90" s="21"/>
    </row>
    <row r="91" spans="42:46" s="17" customFormat="1" ht="12.75" customHeight="1">
      <c r="AP91" s="14"/>
      <c r="AQ91" s="20"/>
      <c r="AR91" s="21"/>
      <c r="AS91" s="20"/>
      <c r="AT91" s="21"/>
    </row>
    <row r="92" spans="42:46" s="17" customFormat="1" ht="12.75" customHeight="1">
      <c r="AP92" s="14"/>
      <c r="AQ92" s="20"/>
      <c r="AR92" s="21"/>
      <c r="AS92" s="20"/>
      <c r="AT92" s="21"/>
    </row>
    <row r="93" spans="42:46" s="17" customFormat="1" ht="12.75" customHeight="1">
      <c r="AP93" s="14"/>
      <c r="AQ93" s="20"/>
      <c r="AR93" s="21"/>
      <c r="AS93" s="20"/>
      <c r="AT93" s="21"/>
    </row>
    <row r="94" spans="42:46" s="17" customFormat="1" ht="12.75" customHeight="1">
      <c r="AP94" s="14"/>
      <c r="AQ94" s="20"/>
      <c r="AR94" s="21"/>
      <c r="AS94" s="20"/>
      <c r="AT94" s="21"/>
    </row>
    <row r="95" spans="42:46" s="17" customFormat="1" ht="12.75" customHeight="1">
      <c r="AP95" s="14"/>
      <c r="AQ95" s="20"/>
      <c r="AR95" s="21"/>
      <c r="AS95" s="20"/>
      <c r="AT95" s="21"/>
    </row>
    <row r="96" spans="42:46" s="17" customFormat="1" ht="12.75" customHeight="1">
      <c r="AP96" s="14"/>
      <c r="AQ96" s="20"/>
      <c r="AR96" s="21"/>
      <c r="AS96" s="20"/>
      <c r="AT96" s="21"/>
    </row>
    <row r="97" spans="42:46" s="17" customFormat="1" ht="12.75" customHeight="1">
      <c r="AP97" s="14"/>
      <c r="AQ97" s="20"/>
      <c r="AR97" s="21"/>
      <c r="AS97" s="20"/>
      <c r="AT97" s="21"/>
    </row>
    <row r="98" spans="42:46" s="17" customFormat="1" ht="12.75" customHeight="1">
      <c r="AP98" s="14"/>
      <c r="AQ98" s="20"/>
      <c r="AR98" s="21"/>
      <c r="AS98" s="20"/>
      <c r="AT98" s="21"/>
    </row>
    <row r="99" spans="42:46" s="17" customFormat="1" ht="12.75" customHeight="1">
      <c r="AP99" s="14"/>
      <c r="AQ99" s="20"/>
      <c r="AR99" s="21"/>
      <c r="AS99" s="20"/>
      <c r="AT99" s="21"/>
    </row>
    <row r="100" spans="42:46" s="17" customFormat="1" ht="12.75" customHeight="1">
      <c r="AP100" s="14"/>
      <c r="AQ100" s="20"/>
      <c r="AR100" s="21"/>
      <c r="AS100" s="20"/>
      <c r="AT100" s="21"/>
    </row>
    <row r="101" spans="42:46" s="17" customFormat="1" ht="12.75" customHeight="1">
      <c r="AP101" s="14"/>
      <c r="AQ101" s="20"/>
      <c r="AR101" s="21"/>
      <c r="AS101" s="20"/>
      <c r="AT101" s="21"/>
    </row>
    <row r="102" spans="42:46" s="17" customFormat="1" ht="12.75" customHeight="1">
      <c r="AP102" s="14"/>
      <c r="AQ102" s="20"/>
      <c r="AR102" s="21"/>
      <c r="AS102" s="20"/>
      <c r="AT102" s="21"/>
    </row>
    <row r="103" spans="42:46" s="17" customFormat="1" ht="12.75" customHeight="1">
      <c r="AP103" s="14"/>
      <c r="AQ103" s="20"/>
      <c r="AR103" s="21"/>
      <c r="AS103" s="20"/>
      <c r="AT103" s="21"/>
    </row>
    <row r="104" spans="42:46" s="17" customFormat="1" ht="12.75" customHeight="1">
      <c r="AP104" s="14"/>
      <c r="AQ104" s="20"/>
      <c r="AR104" s="21"/>
      <c r="AS104" s="20"/>
      <c r="AT104" s="21"/>
    </row>
    <row r="105" spans="42:46" s="17" customFormat="1" ht="12.75" customHeight="1">
      <c r="AP105" s="14"/>
      <c r="AQ105" s="20"/>
      <c r="AR105" s="21"/>
      <c r="AS105" s="20"/>
      <c r="AT105" s="21"/>
    </row>
    <row r="106" spans="42:46" s="17" customFormat="1" ht="12.75" customHeight="1">
      <c r="AP106" s="14"/>
      <c r="AQ106" s="20"/>
      <c r="AR106" s="21"/>
      <c r="AS106" s="20"/>
      <c r="AT106" s="21"/>
    </row>
    <row r="107" spans="42:46" s="17" customFormat="1" ht="12.75" customHeight="1">
      <c r="AP107" s="14"/>
      <c r="AQ107" s="20"/>
      <c r="AR107" s="21"/>
      <c r="AS107" s="20"/>
      <c r="AT107" s="21"/>
    </row>
    <row r="108" spans="42:46" s="17" customFormat="1" ht="12.75" customHeight="1">
      <c r="AP108" s="14"/>
      <c r="AQ108" s="20"/>
      <c r="AR108" s="21"/>
      <c r="AS108" s="20"/>
      <c r="AT108" s="21"/>
    </row>
    <row r="109" spans="42:46" s="17" customFormat="1" ht="12.75" customHeight="1">
      <c r="AP109" s="14"/>
      <c r="AQ109" s="20"/>
      <c r="AR109" s="21"/>
      <c r="AS109" s="20"/>
      <c r="AT109" s="21"/>
    </row>
    <row r="110" spans="42:46" s="17" customFormat="1" ht="12.75" customHeight="1">
      <c r="AP110" s="14"/>
      <c r="AQ110" s="20"/>
      <c r="AR110" s="21"/>
      <c r="AS110" s="20"/>
      <c r="AT110" s="21"/>
    </row>
    <row r="111" spans="42:46" s="17" customFormat="1" ht="12.75" customHeight="1">
      <c r="AP111" s="14"/>
      <c r="AQ111" s="20"/>
      <c r="AR111" s="21"/>
      <c r="AS111" s="20"/>
      <c r="AT111" s="21"/>
    </row>
    <row r="112" spans="42:46" s="17" customFormat="1" ht="12.75" customHeight="1">
      <c r="AP112" s="14"/>
      <c r="AQ112" s="20"/>
      <c r="AR112" s="21"/>
      <c r="AS112" s="20"/>
      <c r="AT112" s="21"/>
    </row>
    <row r="113" spans="42:46" s="17" customFormat="1" ht="12.75" customHeight="1">
      <c r="AP113" s="14"/>
      <c r="AQ113" s="20"/>
      <c r="AR113" s="21"/>
      <c r="AS113" s="20"/>
      <c r="AT113" s="21"/>
    </row>
    <row r="114" spans="42:46" s="17" customFormat="1" ht="12.75" customHeight="1">
      <c r="AP114" s="14"/>
      <c r="AQ114" s="20"/>
      <c r="AR114" s="21"/>
      <c r="AS114" s="20"/>
      <c r="AT114" s="21"/>
    </row>
    <row r="115" spans="42:46" s="17" customFormat="1" ht="12.75" customHeight="1">
      <c r="AP115" s="14"/>
      <c r="AQ115" s="20"/>
      <c r="AR115" s="21"/>
      <c r="AS115" s="20"/>
      <c r="AT115" s="21"/>
    </row>
    <row r="116" spans="42:46" s="17" customFormat="1" ht="12.75" customHeight="1">
      <c r="AP116" s="14"/>
      <c r="AQ116" s="20"/>
      <c r="AR116" s="21"/>
      <c r="AS116" s="20"/>
      <c r="AT116" s="21"/>
    </row>
    <row r="117" spans="42:46" s="17" customFormat="1" ht="12.75" customHeight="1">
      <c r="AP117" s="14"/>
      <c r="AQ117" s="20"/>
      <c r="AR117" s="21"/>
      <c r="AS117" s="20"/>
      <c r="AT117" s="21"/>
    </row>
    <row r="118" spans="42:46" s="17" customFormat="1" ht="12.75" customHeight="1">
      <c r="AP118" s="14"/>
      <c r="AQ118" s="20"/>
      <c r="AR118" s="21"/>
      <c r="AS118" s="20"/>
      <c r="AT118" s="21"/>
    </row>
    <row r="119" spans="42:46" s="17" customFormat="1" ht="12.75" customHeight="1">
      <c r="AP119" s="14"/>
      <c r="AQ119" s="20"/>
      <c r="AR119" s="21"/>
      <c r="AS119" s="20"/>
      <c r="AT119" s="21"/>
    </row>
    <row r="120" spans="42:46" s="17" customFormat="1" ht="12.75" customHeight="1">
      <c r="AP120" s="14"/>
      <c r="AQ120" s="20"/>
      <c r="AR120" s="21"/>
      <c r="AS120" s="20"/>
      <c r="AT120" s="21"/>
    </row>
    <row r="121" spans="42:46" s="17" customFormat="1" ht="12.75" customHeight="1">
      <c r="AP121" s="14"/>
      <c r="AQ121" s="20"/>
      <c r="AR121" s="21"/>
      <c r="AS121" s="20"/>
      <c r="AT121" s="21"/>
    </row>
    <row r="122" spans="42:46" s="17" customFormat="1" ht="12.75" customHeight="1">
      <c r="AP122" s="14"/>
      <c r="AQ122" s="20"/>
      <c r="AR122" s="21"/>
      <c r="AS122" s="20"/>
      <c r="AT122" s="21"/>
    </row>
    <row r="123" spans="42:46" s="17" customFormat="1" ht="12.75" customHeight="1">
      <c r="AP123" s="14"/>
      <c r="AQ123" s="20"/>
      <c r="AR123" s="21"/>
      <c r="AS123" s="20"/>
      <c r="AT123" s="21"/>
    </row>
    <row r="124" spans="42:46" s="17" customFormat="1" ht="12.75" customHeight="1">
      <c r="AP124" s="14"/>
      <c r="AQ124" s="20"/>
      <c r="AR124" s="21"/>
      <c r="AS124" s="20"/>
      <c r="AT124" s="21"/>
    </row>
    <row r="125" spans="42:46" s="17" customFormat="1" ht="12.75" customHeight="1">
      <c r="AP125" s="14"/>
      <c r="AQ125" s="20"/>
      <c r="AR125" s="21"/>
      <c r="AS125" s="20"/>
      <c r="AT125" s="21"/>
    </row>
    <row r="126" spans="42:46" s="17" customFormat="1" ht="12.75" customHeight="1">
      <c r="AP126" s="14"/>
      <c r="AQ126" s="20"/>
      <c r="AR126" s="21"/>
      <c r="AS126" s="20"/>
      <c r="AT126" s="21"/>
    </row>
    <row r="127" spans="42:46" s="17" customFormat="1" ht="12.75" customHeight="1">
      <c r="AP127" s="14"/>
      <c r="AQ127" s="20"/>
      <c r="AR127" s="21"/>
      <c r="AS127" s="20"/>
      <c r="AT127" s="21"/>
    </row>
    <row r="128" spans="42:46" s="17" customFormat="1" ht="12.75" customHeight="1">
      <c r="AP128" s="14"/>
      <c r="AQ128" s="20"/>
      <c r="AR128" s="21"/>
      <c r="AS128" s="20"/>
      <c r="AT128" s="21"/>
    </row>
    <row r="129" spans="42:46" s="17" customFormat="1" ht="12.75" customHeight="1">
      <c r="AP129" s="14"/>
      <c r="AQ129" s="20"/>
      <c r="AR129" s="21"/>
      <c r="AS129" s="20"/>
      <c r="AT129" s="21"/>
    </row>
    <row r="130" spans="42:46" s="17" customFormat="1" ht="12.75" customHeight="1">
      <c r="AP130" s="14"/>
      <c r="AQ130" s="20"/>
      <c r="AR130" s="21"/>
      <c r="AS130" s="20"/>
      <c r="AT130" s="21"/>
    </row>
    <row r="131" spans="42:46" s="17" customFormat="1" ht="12.75" customHeight="1">
      <c r="AP131" s="14"/>
      <c r="AQ131" s="20"/>
      <c r="AR131" s="21"/>
      <c r="AS131" s="20"/>
      <c r="AT131" s="21"/>
    </row>
    <row r="132" spans="42:46" s="17" customFormat="1" ht="12.75" customHeight="1">
      <c r="AP132" s="14"/>
      <c r="AQ132" s="20"/>
      <c r="AR132" s="21"/>
      <c r="AS132" s="20"/>
      <c r="AT132" s="21"/>
    </row>
    <row r="133" spans="42:46" s="17" customFormat="1" ht="12.75" customHeight="1">
      <c r="AP133" s="14"/>
      <c r="AQ133" s="20"/>
      <c r="AR133" s="21"/>
      <c r="AS133" s="20"/>
      <c r="AT133" s="21"/>
    </row>
    <row r="134" spans="42:46" s="17" customFormat="1" ht="12.75" customHeight="1">
      <c r="AP134" s="14"/>
      <c r="AQ134" s="20"/>
      <c r="AR134" s="21"/>
      <c r="AS134" s="20"/>
      <c r="AT134" s="21"/>
    </row>
    <row r="135" spans="42:46" s="17" customFormat="1" ht="12.75" customHeight="1">
      <c r="AP135" s="14"/>
      <c r="AQ135" s="20"/>
      <c r="AR135" s="21"/>
      <c r="AS135" s="20"/>
      <c r="AT135" s="21"/>
    </row>
    <row r="136" spans="42:46" s="17" customFormat="1" ht="12.75" customHeight="1">
      <c r="AP136" s="14"/>
      <c r="AQ136" s="20"/>
      <c r="AR136" s="21"/>
      <c r="AS136" s="20"/>
      <c r="AT136" s="21"/>
    </row>
    <row r="137" spans="42:46" s="17" customFormat="1" ht="12.75" customHeight="1">
      <c r="AP137" s="14"/>
      <c r="AQ137" s="20"/>
      <c r="AR137" s="21"/>
      <c r="AS137" s="20"/>
      <c r="AT137" s="21"/>
    </row>
    <row r="138" spans="42:46" s="17" customFormat="1" ht="12.75" customHeight="1">
      <c r="AP138" s="14"/>
      <c r="AQ138" s="20"/>
      <c r="AR138" s="21"/>
      <c r="AS138" s="20"/>
      <c r="AT138" s="21"/>
    </row>
    <row r="139" spans="42:46" s="17" customFormat="1" ht="12.75" customHeight="1">
      <c r="AP139" s="14"/>
      <c r="AQ139" s="20"/>
      <c r="AR139" s="21"/>
      <c r="AS139" s="20"/>
      <c r="AT139" s="21"/>
    </row>
    <row r="140" spans="42:46" s="17" customFormat="1" ht="12.75" customHeight="1">
      <c r="AP140" s="14"/>
      <c r="AQ140" s="20"/>
      <c r="AR140" s="21"/>
      <c r="AS140" s="20"/>
      <c r="AT140" s="21"/>
    </row>
    <row r="141" spans="42:46" s="17" customFormat="1" ht="12.75" customHeight="1">
      <c r="AP141" s="14"/>
      <c r="AQ141" s="20"/>
      <c r="AR141" s="21"/>
      <c r="AS141" s="20"/>
      <c r="AT141" s="21"/>
    </row>
    <row r="142" spans="42:46" s="17" customFormat="1" ht="12.75" customHeight="1">
      <c r="AP142" s="14"/>
      <c r="AQ142" s="20"/>
      <c r="AR142" s="21"/>
      <c r="AS142" s="20"/>
      <c r="AT142" s="21"/>
    </row>
    <row r="143" spans="42:46" s="17" customFormat="1" ht="12.75" customHeight="1">
      <c r="AP143" s="14"/>
      <c r="AQ143" s="20"/>
      <c r="AR143" s="21"/>
      <c r="AS143" s="20"/>
      <c r="AT143" s="21"/>
    </row>
    <row r="144" spans="42:46" s="17" customFormat="1" ht="12.75" customHeight="1">
      <c r="AP144" s="14"/>
      <c r="AQ144" s="20"/>
      <c r="AR144" s="21"/>
      <c r="AS144" s="20"/>
      <c r="AT144" s="21"/>
    </row>
    <row r="145" spans="42:46" s="17" customFormat="1" ht="12.75" customHeight="1">
      <c r="AP145" s="14"/>
      <c r="AQ145" s="20"/>
      <c r="AR145" s="21"/>
      <c r="AS145" s="20"/>
      <c r="AT145" s="21"/>
    </row>
    <row r="146" spans="42:46" s="17" customFormat="1" ht="12.75" customHeight="1">
      <c r="AP146" s="14"/>
      <c r="AQ146" s="20"/>
      <c r="AR146" s="21"/>
      <c r="AS146" s="20"/>
      <c r="AT146" s="21"/>
    </row>
    <row r="147" spans="42:46" s="17" customFormat="1" ht="12.75" customHeight="1">
      <c r="AP147" s="14"/>
      <c r="AQ147" s="20"/>
      <c r="AR147" s="21"/>
      <c r="AS147" s="20"/>
      <c r="AT147" s="21"/>
    </row>
    <row r="148" spans="42:46" s="17" customFormat="1" ht="12.75" customHeight="1">
      <c r="AP148" s="14"/>
      <c r="AQ148" s="20"/>
      <c r="AR148" s="21"/>
      <c r="AS148" s="20"/>
      <c r="AT148" s="21"/>
    </row>
    <row r="149" spans="42:46" s="17" customFormat="1" ht="12.75" customHeight="1">
      <c r="AP149" s="14"/>
      <c r="AQ149" s="20"/>
      <c r="AR149" s="21"/>
      <c r="AS149" s="20"/>
      <c r="AT149" s="21"/>
    </row>
    <row r="150" spans="42:46" s="17" customFormat="1" ht="12.75" customHeight="1">
      <c r="AP150" s="14"/>
      <c r="AQ150" s="20"/>
      <c r="AR150" s="21"/>
      <c r="AS150" s="20"/>
      <c r="AT150" s="21"/>
    </row>
    <row r="151" spans="42:46" s="17" customFormat="1" ht="12.75" customHeight="1">
      <c r="AP151" s="14"/>
      <c r="AQ151" s="20"/>
      <c r="AR151" s="21"/>
      <c r="AS151" s="20"/>
      <c r="AT151" s="21"/>
    </row>
    <row r="152" spans="42:46" s="17" customFormat="1" ht="12.75" customHeight="1">
      <c r="AP152" s="14"/>
      <c r="AQ152" s="20"/>
      <c r="AR152" s="21"/>
      <c r="AS152" s="20"/>
      <c r="AT152" s="21"/>
    </row>
    <row r="153" spans="42:46" s="17" customFormat="1" ht="12.75" customHeight="1">
      <c r="AP153" s="14"/>
      <c r="AQ153" s="20"/>
      <c r="AR153" s="21"/>
      <c r="AS153" s="20"/>
      <c r="AT153" s="21"/>
    </row>
    <row r="154" spans="42:46" s="17" customFormat="1" ht="12.75" customHeight="1">
      <c r="AP154" s="14"/>
      <c r="AQ154" s="20"/>
      <c r="AR154" s="21"/>
      <c r="AS154" s="20"/>
      <c r="AT154" s="21"/>
    </row>
    <row r="155" spans="42:46" s="17" customFormat="1" ht="12.75" customHeight="1">
      <c r="AP155" s="14"/>
      <c r="AQ155" s="20"/>
      <c r="AR155" s="21"/>
      <c r="AS155" s="20"/>
      <c r="AT155" s="21"/>
    </row>
    <row r="156" spans="42:46" s="17" customFormat="1" ht="12.75" customHeight="1">
      <c r="AP156" s="14"/>
      <c r="AQ156" s="20"/>
      <c r="AR156" s="21"/>
      <c r="AS156" s="20"/>
      <c r="AT156" s="21"/>
    </row>
    <row r="157" spans="42:46" s="17" customFormat="1" ht="12.75" customHeight="1">
      <c r="AP157" s="14"/>
      <c r="AQ157" s="20"/>
      <c r="AR157" s="21"/>
      <c r="AS157" s="20"/>
      <c r="AT157" s="21"/>
    </row>
    <row r="158" spans="42:46" s="17" customFormat="1" ht="12.75" customHeight="1">
      <c r="AP158" s="14"/>
      <c r="AQ158" s="20"/>
      <c r="AR158" s="21"/>
      <c r="AS158" s="20"/>
      <c r="AT158" s="21"/>
    </row>
    <row r="159" spans="42:46" s="17" customFormat="1" ht="12.75" customHeight="1">
      <c r="AP159" s="14"/>
      <c r="AQ159" s="20"/>
      <c r="AR159" s="21"/>
      <c r="AS159" s="20"/>
      <c r="AT159" s="21"/>
    </row>
    <row r="160" spans="42:46" s="17" customFormat="1" ht="12.75" customHeight="1">
      <c r="AP160" s="14"/>
      <c r="AQ160" s="20"/>
      <c r="AR160" s="21"/>
      <c r="AS160" s="20"/>
      <c r="AT160" s="21"/>
    </row>
    <row r="161" spans="42:46" s="17" customFormat="1" ht="12.75" customHeight="1">
      <c r="AP161" s="14"/>
      <c r="AQ161" s="20"/>
      <c r="AR161" s="21"/>
      <c r="AS161" s="20"/>
      <c r="AT161" s="21"/>
    </row>
    <row r="162" spans="42:46" s="17" customFormat="1" ht="12.75" customHeight="1">
      <c r="AP162" s="14"/>
      <c r="AQ162" s="20"/>
      <c r="AR162" s="21"/>
      <c r="AS162" s="20"/>
      <c r="AT162" s="21"/>
    </row>
    <row r="163" spans="42:46" s="17" customFormat="1" ht="12.75" customHeight="1">
      <c r="AP163" s="14"/>
      <c r="AQ163" s="20"/>
      <c r="AR163" s="21"/>
      <c r="AS163" s="20"/>
      <c r="AT163" s="21"/>
    </row>
    <row r="164" spans="42:46" s="17" customFormat="1" ht="12.75" customHeight="1">
      <c r="AP164" s="14"/>
      <c r="AQ164" s="20"/>
      <c r="AR164" s="21"/>
      <c r="AS164" s="20"/>
      <c r="AT164" s="21"/>
    </row>
    <row r="165" spans="42:46" s="17" customFormat="1" ht="12.75" customHeight="1">
      <c r="AP165" s="14"/>
      <c r="AQ165" s="20"/>
      <c r="AR165" s="21"/>
      <c r="AS165" s="20"/>
      <c r="AT165" s="21"/>
    </row>
    <row r="166" spans="42:46" s="17" customFormat="1" ht="12.75" customHeight="1">
      <c r="AP166" s="14"/>
      <c r="AQ166" s="20"/>
      <c r="AR166" s="21"/>
      <c r="AS166" s="20"/>
      <c r="AT166" s="21"/>
    </row>
    <row r="167" spans="42:46" s="17" customFormat="1" ht="12.75" customHeight="1">
      <c r="AP167" s="14"/>
      <c r="AQ167" s="20"/>
      <c r="AR167" s="21"/>
      <c r="AS167" s="20"/>
      <c r="AT167" s="21"/>
    </row>
    <row r="168" spans="42:46" s="17" customFormat="1" ht="12.75" customHeight="1">
      <c r="AP168" s="14"/>
      <c r="AQ168" s="20"/>
      <c r="AR168" s="21"/>
      <c r="AS168" s="20"/>
      <c r="AT168" s="21"/>
    </row>
    <row r="169" spans="42:46" s="17" customFormat="1" ht="12.75" customHeight="1">
      <c r="AP169" s="14"/>
      <c r="AQ169" s="20"/>
      <c r="AR169" s="21"/>
      <c r="AS169" s="20"/>
      <c r="AT169" s="21"/>
    </row>
    <row r="170" spans="42:46" s="17" customFormat="1" ht="12.75" customHeight="1">
      <c r="AP170" s="14"/>
      <c r="AQ170" s="20"/>
      <c r="AR170" s="21"/>
      <c r="AS170" s="20"/>
      <c r="AT170" s="21"/>
    </row>
    <row r="171" spans="42:46" s="17" customFormat="1" ht="12.75" customHeight="1">
      <c r="AP171" s="14"/>
      <c r="AQ171" s="20"/>
      <c r="AR171" s="21"/>
      <c r="AS171" s="20"/>
      <c r="AT171" s="21"/>
    </row>
    <row r="172" spans="42:46" s="17" customFormat="1" ht="12.75" customHeight="1">
      <c r="AP172" s="14"/>
      <c r="AQ172" s="20"/>
      <c r="AR172" s="21"/>
      <c r="AS172" s="20"/>
      <c r="AT172" s="21"/>
    </row>
    <row r="173" spans="42:46" s="17" customFormat="1" ht="12.75" customHeight="1">
      <c r="AP173" s="14"/>
      <c r="AQ173" s="20"/>
      <c r="AR173" s="21"/>
      <c r="AS173" s="20"/>
      <c r="AT173" s="21"/>
    </row>
    <row r="174" spans="42:46" s="17" customFormat="1" ht="12.75" customHeight="1">
      <c r="AP174" s="14"/>
      <c r="AQ174" s="20"/>
      <c r="AR174" s="21"/>
      <c r="AS174" s="20"/>
      <c r="AT174" s="21"/>
    </row>
    <row r="175" spans="42:46" s="17" customFormat="1" ht="12.75" customHeight="1">
      <c r="AP175" s="14"/>
      <c r="AQ175" s="20"/>
      <c r="AR175" s="21"/>
      <c r="AS175" s="20"/>
      <c r="AT175" s="21"/>
    </row>
    <row r="176" spans="42:46" s="17" customFormat="1" ht="12.75" customHeight="1">
      <c r="AP176" s="14"/>
      <c r="AQ176" s="20"/>
      <c r="AR176" s="21"/>
      <c r="AS176" s="20"/>
      <c r="AT176" s="21"/>
    </row>
    <row r="177" spans="42:46" s="17" customFormat="1" ht="12.75" customHeight="1">
      <c r="AP177" s="14"/>
      <c r="AQ177" s="20"/>
      <c r="AR177" s="21"/>
      <c r="AS177" s="20"/>
      <c r="AT177" s="21"/>
    </row>
    <row r="178" spans="42:46" s="17" customFormat="1" ht="12.75" customHeight="1">
      <c r="AP178" s="14"/>
      <c r="AQ178" s="20"/>
      <c r="AR178" s="21"/>
      <c r="AS178" s="20"/>
      <c r="AT178" s="21"/>
    </row>
    <row r="179" spans="42:46" s="17" customFormat="1" ht="12.75" customHeight="1">
      <c r="AP179" s="14"/>
      <c r="AQ179" s="20"/>
      <c r="AR179" s="21"/>
      <c r="AS179" s="20"/>
      <c r="AT179" s="21"/>
    </row>
    <row r="180" spans="42:46" s="17" customFormat="1" ht="12.75" customHeight="1">
      <c r="AP180" s="14"/>
      <c r="AQ180" s="20"/>
      <c r="AR180" s="21"/>
      <c r="AS180" s="20"/>
      <c r="AT180" s="21"/>
    </row>
    <row r="181" spans="42:46" s="17" customFormat="1" ht="12.75" customHeight="1">
      <c r="AP181" s="14"/>
      <c r="AQ181" s="20"/>
      <c r="AR181" s="21"/>
      <c r="AS181" s="20"/>
      <c r="AT181" s="21"/>
    </row>
    <row r="182" spans="42:46" s="17" customFormat="1" ht="12.75" customHeight="1">
      <c r="AP182" s="14"/>
      <c r="AQ182" s="20"/>
      <c r="AR182" s="21"/>
      <c r="AS182" s="20"/>
      <c r="AT182" s="21"/>
    </row>
    <row r="183" spans="42:46" s="17" customFormat="1" ht="12.75" customHeight="1">
      <c r="AP183" s="14"/>
      <c r="AQ183" s="20"/>
      <c r="AR183" s="21"/>
      <c r="AS183" s="20"/>
      <c r="AT183" s="21"/>
    </row>
    <row r="184" spans="42:46" s="17" customFormat="1" ht="12.75" customHeight="1">
      <c r="AP184" s="14"/>
      <c r="AQ184" s="20"/>
      <c r="AR184" s="21"/>
      <c r="AS184" s="20"/>
      <c r="AT184" s="21"/>
    </row>
    <row r="185" spans="42:46" s="17" customFormat="1" ht="12.75" customHeight="1">
      <c r="AP185" s="14"/>
      <c r="AQ185" s="20"/>
      <c r="AR185" s="21"/>
      <c r="AS185" s="20"/>
      <c r="AT185" s="21"/>
    </row>
    <row r="186" spans="42:46" s="17" customFormat="1" ht="12.75" customHeight="1">
      <c r="AP186" s="14"/>
      <c r="AQ186" s="20"/>
      <c r="AR186" s="21"/>
      <c r="AS186" s="20"/>
      <c r="AT186" s="21"/>
    </row>
    <row r="187" spans="42:46" s="17" customFormat="1" ht="12.75" customHeight="1">
      <c r="AP187" s="14"/>
      <c r="AQ187" s="20"/>
      <c r="AR187" s="21"/>
      <c r="AS187" s="20"/>
      <c r="AT187" s="21"/>
    </row>
    <row r="188" spans="42:46" s="17" customFormat="1" ht="12.75" customHeight="1">
      <c r="AP188" s="14"/>
      <c r="AQ188" s="20"/>
      <c r="AR188" s="21"/>
      <c r="AS188" s="20"/>
      <c r="AT188" s="21"/>
    </row>
    <row r="189" spans="42:46" s="17" customFormat="1" ht="12.75" customHeight="1">
      <c r="AP189" s="14"/>
      <c r="AQ189" s="20"/>
      <c r="AR189" s="21"/>
      <c r="AS189" s="20"/>
      <c r="AT189" s="21"/>
    </row>
    <row r="190" spans="42:46" s="17" customFormat="1" ht="12.75" customHeight="1">
      <c r="AP190" s="14"/>
      <c r="AQ190" s="20"/>
      <c r="AR190" s="21"/>
      <c r="AS190" s="20"/>
      <c r="AT190" s="21"/>
    </row>
    <row r="191" spans="42:46" s="17" customFormat="1" ht="12.75" customHeight="1">
      <c r="AP191" s="14"/>
      <c r="AQ191" s="20"/>
      <c r="AR191" s="21"/>
      <c r="AS191" s="20"/>
      <c r="AT191" s="21"/>
    </row>
    <row r="192" spans="42:46" s="17" customFormat="1" ht="12.75" customHeight="1">
      <c r="AP192" s="14"/>
      <c r="AQ192" s="20"/>
      <c r="AR192" s="21"/>
      <c r="AS192" s="20"/>
      <c r="AT192" s="21"/>
    </row>
    <row r="193" spans="42:46" s="17" customFormat="1" ht="12.75" customHeight="1">
      <c r="AP193" s="14"/>
      <c r="AQ193" s="20"/>
      <c r="AR193" s="21"/>
      <c r="AS193" s="20"/>
      <c r="AT193" s="21"/>
    </row>
    <row r="194" spans="42:46" s="17" customFormat="1" ht="12.75" customHeight="1">
      <c r="AP194" s="14"/>
      <c r="AQ194" s="20"/>
      <c r="AR194" s="21"/>
      <c r="AS194" s="20"/>
      <c r="AT194" s="21"/>
    </row>
    <row r="195" spans="42:46" s="17" customFormat="1" ht="12.75" customHeight="1">
      <c r="AP195" s="14"/>
      <c r="AQ195" s="20"/>
      <c r="AR195" s="21"/>
      <c r="AS195" s="20"/>
      <c r="AT195" s="21"/>
    </row>
    <row r="196" spans="42:46" s="17" customFormat="1" ht="12.75" customHeight="1">
      <c r="AP196" s="14"/>
      <c r="AQ196" s="20"/>
      <c r="AR196" s="21"/>
      <c r="AS196" s="20"/>
      <c r="AT196" s="21"/>
    </row>
    <row r="197" spans="42:46" s="17" customFormat="1" ht="12.75" customHeight="1">
      <c r="AP197" s="14"/>
      <c r="AQ197" s="20"/>
      <c r="AR197" s="21"/>
      <c r="AS197" s="20"/>
      <c r="AT197" s="21"/>
    </row>
    <row r="198" spans="42:46" s="17" customFormat="1" ht="12.75" customHeight="1">
      <c r="AP198" s="14"/>
      <c r="AQ198" s="20"/>
      <c r="AR198" s="21"/>
      <c r="AS198" s="20"/>
      <c r="AT198" s="21"/>
    </row>
    <row r="199" spans="42:46" s="17" customFormat="1" ht="12.75" customHeight="1">
      <c r="AP199" s="14"/>
      <c r="AQ199" s="20"/>
      <c r="AR199" s="21"/>
      <c r="AS199" s="20"/>
      <c r="AT199" s="21"/>
    </row>
    <row r="200" spans="42:46" s="17" customFormat="1" ht="12.75" customHeight="1">
      <c r="AP200" s="14"/>
      <c r="AQ200" s="20"/>
      <c r="AR200" s="21"/>
      <c r="AS200" s="20"/>
      <c r="AT200" s="21"/>
    </row>
    <row r="201" spans="42:46" s="17" customFormat="1" ht="12.75" customHeight="1">
      <c r="AP201" s="14"/>
      <c r="AQ201" s="20"/>
      <c r="AR201" s="21"/>
      <c r="AS201" s="20"/>
      <c r="AT201" s="21"/>
    </row>
    <row r="202" spans="42:46" s="17" customFormat="1" ht="12.75" customHeight="1">
      <c r="AP202" s="14"/>
      <c r="AQ202" s="20"/>
      <c r="AR202" s="21"/>
      <c r="AS202" s="20"/>
      <c r="AT202" s="21"/>
    </row>
    <row r="203" spans="42:46" s="17" customFormat="1" ht="12.75" customHeight="1">
      <c r="AP203" s="14"/>
      <c r="AQ203" s="20"/>
      <c r="AR203" s="21"/>
      <c r="AS203" s="20"/>
      <c r="AT203" s="21"/>
    </row>
    <row r="204" spans="42:46" s="17" customFormat="1" ht="12.75" customHeight="1">
      <c r="AP204" s="14"/>
      <c r="AQ204" s="20"/>
      <c r="AR204" s="21"/>
      <c r="AS204" s="20"/>
      <c r="AT204" s="21"/>
    </row>
    <row r="205" spans="42:46" s="17" customFormat="1" ht="12.75" customHeight="1">
      <c r="AP205" s="14"/>
      <c r="AQ205" s="20"/>
      <c r="AR205" s="21"/>
      <c r="AS205" s="20"/>
      <c r="AT205" s="21"/>
    </row>
    <row r="206" spans="42:46" s="17" customFormat="1" ht="12.75" customHeight="1">
      <c r="AP206" s="14"/>
      <c r="AQ206" s="20"/>
      <c r="AR206" s="21"/>
      <c r="AS206" s="20"/>
      <c r="AT206" s="21"/>
    </row>
    <row r="207" spans="42:46" s="17" customFormat="1" ht="12.75" customHeight="1">
      <c r="AP207" s="14"/>
      <c r="AQ207" s="20"/>
      <c r="AR207" s="21"/>
      <c r="AS207" s="20"/>
      <c r="AT207" s="21"/>
    </row>
    <row r="208" spans="42:46" s="17" customFormat="1" ht="12.75" customHeight="1">
      <c r="AP208" s="14"/>
      <c r="AQ208" s="20"/>
      <c r="AR208" s="21"/>
      <c r="AS208" s="20"/>
      <c r="AT208" s="21"/>
    </row>
    <row r="209" spans="42:46" s="17" customFormat="1" ht="12.75" customHeight="1">
      <c r="AP209" s="14"/>
      <c r="AQ209" s="20"/>
      <c r="AR209" s="21"/>
      <c r="AS209" s="20"/>
      <c r="AT209" s="21"/>
    </row>
    <row r="210" spans="42:46" s="17" customFormat="1" ht="12.75" customHeight="1">
      <c r="AP210" s="14"/>
      <c r="AQ210" s="20"/>
      <c r="AR210" s="21"/>
      <c r="AS210" s="20"/>
      <c r="AT210" s="21"/>
    </row>
    <row r="211" spans="42:46" s="17" customFormat="1" ht="12.75" customHeight="1">
      <c r="AP211" s="14"/>
      <c r="AQ211" s="20"/>
      <c r="AR211" s="21"/>
      <c r="AS211" s="20"/>
      <c r="AT211" s="21"/>
    </row>
    <row r="212" spans="42:46" s="17" customFormat="1" ht="12.75" customHeight="1">
      <c r="AP212" s="14"/>
      <c r="AQ212" s="20"/>
      <c r="AR212" s="21"/>
      <c r="AS212" s="20"/>
      <c r="AT212" s="21"/>
    </row>
    <row r="213" spans="42:46" s="17" customFormat="1" ht="12.75" customHeight="1">
      <c r="AP213" s="14"/>
      <c r="AQ213" s="20"/>
      <c r="AR213" s="21"/>
      <c r="AS213" s="20"/>
      <c r="AT213" s="21"/>
    </row>
    <row r="214" spans="42:46" s="17" customFormat="1" ht="12.75" customHeight="1">
      <c r="AP214" s="14"/>
      <c r="AQ214" s="20"/>
      <c r="AR214" s="21"/>
      <c r="AS214" s="20"/>
      <c r="AT214" s="21"/>
    </row>
    <row r="215" spans="42:46" s="17" customFormat="1" ht="12.75" customHeight="1">
      <c r="AP215" s="14"/>
      <c r="AQ215" s="20"/>
      <c r="AR215" s="21"/>
      <c r="AS215" s="20"/>
      <c r="AT215" s="21"/>
    </row>
    <row r="216" spans="42:46" s="17" customFormat="1" ht="12.75" customHeight="1">
      <c r="AP216" s="14"/>
      <c r="AQ216" s="20"/>
      <c r="AR216" s="21"/>
      <c r="AS216" s="20"/>
      <c r="AT216" s="21"/>
    </row>
    <row r="217" spans="42:46" s="17" customFormat="1" ht="12.75" customHeight="1">
      <c r="AP217" s="14"/>
      <c r="AQ217" s="20"/>
      <c r="AR217" s="21"/>
      <c r="AS217" s="20"/>
      <c r="AT217" s="21"/>
    </row>
    <row r="218" spans="42:46" s="17" customFormat="1" ht="12.75" customHeight="1">
      <c r="AP218" s="14"/>
      <c r="AQ218" s="20"/>
      <c r="AR218" s="21"/>
      <c r="AS218" s="20"/>
      <c r="AT218" s="21"/>
    </row>
    <row r="219" spans="42:46" s="17" customFormat="1" ht="12.75" customHeight="1">
      <c r="AP219" s="14"/>
      <c r="AQ219" s="20"/>
      <c r="AR219" s="21"/>
      <c r="AS219" s="20"/>
      <c r="AT219" s="21"/>
    </row>
    <row r="220" spans="42:46" s="17" customFormat="1" ht="12.75" customHeight="1">
      <c r="AP220" s="14"/>
      <c r="AQ220" s="20"/>
      <c r="AR220" s="21"/>
      <c r="AS220" s="20"/>
      <c r="AT220" s="21"/>
    </row>
    <row r="221" spans="42:46" s="17" customFormat="1" ht="12.75" customHeight="1">
      <c r="AP221" s="14"/>
      <c r="AQ221" s="20"/>
      <c r="AR221" s="21"/>
      <c r="AS221" s="20"/>
      <c r="AT221" s="21"/>
    </row>
    <row r="222" spans="42:46" s="17" customFormat="1" ht="12.75" customHeight="1">
      <c r="AP222" s="14"/>
      <c r="AQ222" s="20"/>
      <c r="AR222" s="21"/>
      <c r="AS222" s="20"/>
      <c r="AT222" s="21"/>
    </row>
    <row r="223" spans="42:46" s="17" customFormat="1" ht="12.75" customHeight="1">
      <c r="AP223" s="14"/>
      <c r="AQ223" s="20"/>
      <c r="AR223" s="21"/>
      <c r="AS223" s="20"/>
      <c r="AT223" s="21"/>
    </row>
    <row r="224" spans="42:46" s="17" customFormat="1" ht="12.75" customHeight="1">
      <c r="AP224" s="14"/>
      <c r="AQ224" s="20"/>
      <c r="AR224" s="21"/>
      <c r="AS224" s="20"/>
      <c r="AT224" s="21"/>
    </row>
    <row r="225" spans="42:46" s="17" customFormat="1" ht="12.75" customHeight="1">
      <c r="AP225" s="14"/>
      <c r="AQ225" s="20"/>
      <c r="AR225" s="21"/>
      <c r="AS225" s="20"/>
      <c r="AT225" s="21"/>
    </row>
    <row r="226" spans="42:46" s="17" customFormat="1" ht="12.75" customHeight="1">
      <c r="AP226" s="14"/>
      <c r="AQ226" s="20"/>
      <c r="AR226" s="21"/>
      <c r="AS226" s="20"/>
      <c r="AT226" s="21"/>
    </row>
    <row r="227" spans="42:46" s="17" customFormat="1" ht="12.75" customHeight="1">
      <c r="AP227" s="14"/>
      <c r="AQ227" s="20"/>
      <c r="AR227" s="21"/>
      <c r="AS227" s="20"/>
      <c r="AT227" s="21"/>
    </row>
    <row r="228" spans="42:46" s="17" customFormat="1" ht="12.75" customHeight="1">
      <c r="AP228" s="14"/>
      <c r="AQ228" s="20"/>
      <c r="AR228" s="21"/>
      <c r="AS228" s="20"/>
      <c r="AT228" s="21"/>
    </row>
    <row r="229" spans="42:46" s="17" customFormat="1" ht="12.75" customHeight="1">
      <c r="AP229" s="14"/>
      <c r="AQ229" s="20"/>
      <c r="AR229" s="21"/>
      <c r="AS229" s="20"/>
      <c r="AT229" s="21"/>
    </row>
    <row r="230" spans="42:46" s="17" customFormat="1" ht="12.75" customHeight="1">
      <c r="AP230" s="14"/>
      <c r="AQ230" s="20"/>
      <c r="AR230" s="21"/>
      <c r="AS230" s="20"/>
      <c r="AT230" s="21"/>
    </row>
    <row r="231" spans="42:46" s="17" customFormat="1" ht="12.75" customHeight="1">
      <c r="AP231" s="14"/>
      <c r="AQ231" s="20"/>
      <c r="AR231" s="21"/>
      <c r="AS231" s="20"/>
      <c r="AT231" s="21"/>
    </row>
    <row r="232" spans="42:46" s="17" customFormat="1" ht="12.75" customHeight="1">
      <c r="AP232" s="14"/>
      <c r="AQ232" s="20"/>
      <c r="AR232" s="21"/>
      <c r="AS232" s="20"/>
      <c r="AT232" s="21"/>
    </row>
    <row r="233" spans="42:46" s="17" customFormat="1" ht="12.75" customHeight="1">
      <c r="AP233" s="14"/>
      <c r="AQ233" s="20"/>
      <c r="AR233" s="21"/>
      <c r="AS233" s="20"/>
      <c r="AT233" s="21"/>
    </row>
    <row r="234" spans="42:46" s="17" customFormat="1" ht="12.75" customHeight="1">
      <c r="AP234" s="14"/>
      <c r="AQ234" s="20"/>
      <c r="AR234" s="21"/>
      <c r="AS234" s="20"/>
      <c r="AT234" s="21"/>
    </row>
    <row r="235" spans="42:46" s="17" customFormat="1" ht="12.75" customHeight="1">
      <c r="AP235" s="14"/>
      <c r="AQ235" s="20"/>
      <c r="AR235" s="21"/>
      <c r="AS235" s="20"/>
      <c r="AT235" s="21"/>
    </row>
    <row r="236" spans="42:46" s="17" customFormat="1" ht="12.75" customHeight="1">
      <c r="AP236" s="14"/>
      <c r="AQ236" s="20"/>
      <c r="AR236" s="21"/>
      <c r="AS236" s="20"/>
      <c r="AT236" s="21"/>
    </row>
    <row r="237" spans="42:46" s="17" customFormat="1" ht="12.75" customHeight="1">
      <c r="AP237" s="14"/>
      <c r="AQ237" s="20"/>
      <c r="AR237" s="21"/>
      <c r="AS237" s="20"/>
      <c r="AT237" s="21"/>
    </row>
    <row r="238" spans="42:46" s="17" customFormat="1" ht="12.75" customHeight="1">
      <c r="AP238" s="14"/>
      <c r="AQ238" s="20"/>
      <c r="AR238" s="21"/>
      <c r="AS238" s="20"/>
      <c r="AT238" s="21"/>
    </row>
    <row r="239" spans="42:46" s="17" customFormat="1" ht="12.75" customHeight="1">
      <c r="AP239" s="14"/>
      <c r="AQ239" s="20"/>
      <c r="AR239" s="21"/>
      <c r="AS239" s="20"/>
      <c r="AT239" s="21"/>
    </row>
    <row r="240" spans="42:46" s="17" customFormat="1" ht="12.75" customHeight="1">
      <c r="AP240" s="14"/>
      <c r="AQ240" s="20"/>
      <c r="AR240" s="21"/>
      <c r="AS240" s="20"/>
      <c r="AT240" s="21"/>
    </row>
    <row r="241" spans="42:46" s="17" customFormat="1" ht="12.75" customHeight="1">
      <c r="AP241" s="14"/>
      <c r="AQ241" s="20"/>
      <c r="AR241" s="21"/>
      <c r="AS241" s="20"/>
      <c r="AT241" s="21"/>
    </row>
    <row r="242" spans="42:46" s="17" customFormat="1" ht="12.75" customHeight="1">
      <c r="AP242" s="14"/>
      <c r="AQ242" s="20"/>
      <c r="AR242" s="21"/>
      <c r="AS242" s="20"/>
      <c r="AT242" s="21"/>
    </row>
    <row r="243" spans="42:46" s="17" customFormat="1" ht="12.75" customHeight="1">
      <c r="AP243" s="14"/>
      <c r="AQ243" s="20"/>
      <c r="AR243" s="21"/>
      <c r="AS243" s="20"/>
      <c r="AT243" s="21"/>
    </row>
    <row r="244" spans="42:46" s="17" customFormat="1" ht="12.75" customHeight="1">
      <c r="AP244" s="14"/>
      <c r="AQ244" s="20"/>
      <c r="AR244" s="21"/>
      <c r="AS244" s="20"/>
      <c r="AT244" s="21"/>
    </row>
    <row r="245" spans="42:46" s="17" customFormat="1" ht="12.75" customHeight="1">
      <c r="AP245" s="14"/>
      <c r="AQ245" s="20"/>
      <c r="AR245" s="21"/>
      <c r="AS245" s="20"/>
      <c r="AT245" s="21"/>
    </row>
    <row r="246" spans="42:46" s="17" customFormat="1" ht="12.75" customHeight="1">
      <c r="AP246" s="14"/>
      <c r="AQ246" s="20"/>
      <c r="AR246" s="21"/>
      <c r="AS246" s="20"/>
      <c r="AT246" s="21"/>
    </row>
    <row r="247" spans="42:46" s="17" customFormat="1" ht="12.75" customHeight="1">
      <c r="AP247" s="14"/>
      <c r="AQ247" s="20"/>
      <c r="AR247" s="21"/>
      <c r="AS247" s="20"/>
      <c r="AT247" s="21"/>
    </row>
    <row r="248" spans="42:46" s="17" customFormat="1" ht="12.75" customHeight="1">
      <c r="AP248" s="14"/>
      <c r="AQ248" s="20"/>
      <c r="AR248" s="21"/>
      <c r="AS248" s="20"/>
      <c r="AT248" s="21"/>
    </row>
    <row r="249" spans="42:46" s="17" customFormat="1" ht="12.75" customHeight="1">
      <c r="AP249" s="14"/>
      <c r="AQ249" s="20"/>
      <c r="AR249" s="21"/>
      <c r="AS249" s="20"/>
      <c r="AT249" s="21"/>
    </row>
    <row r="250" spans="42:46" s="17" customFormat="1" ht="12.75" customHeight="1">
      <c r="AP250" s="14"/>
      <c r="AQ250" s="20"/>
      <c r="AR250" s="21"/>
      <c r="AS250" s="20"/>
      <c r="AT250" s="21"/>
    </row>
    <row r="251" spans="42:46" s="17" customFormat="1" ht="12.75" customHeight="1">
      <c r="AP251" s="14"/>
      <c r="AQ251" s="20"/>
      <c r="AR251" s="21"/>
      <c r="AS251" s="20"/>
      <c r="AT251" s="21"/>
    </row>
    <row r="252" spans="42:46" s="17" customFormat="1" ht="12.75" customHeight="1">
      <c r="AP252" s="14"/>
      <c r="AQ252" s="20"/>
      <c r="AR252" s="21"/>
      <c r="AS252" s="20"/>
      <c r="AT252" s="21"/>
    </row>
    <row r="253" spans="42:46" s="17" customFormat="1" ht="12.75" customHeight="1">
      <c r="AP253" s="14"/>
      <c r="AQ253" s="20"/>
      <c r="AR253" s="21"/>
      <c r="AS253" s="20"/>
      <c r="AT253" s="21"/>
    </row>
    <row r="254" spans="42:46" s="17" customFormat="1" ht="12.75" customHeight="1">
      <c r="AP254" s="14"/>
      <c r="AQ254" s="20"/>
      <c r="AR254" s="21"/>
      <c r="AS254" s="20"/>
      <c r="AT254" s="21"/>
    </row>
    <row r="255" spans="42:46" s="17" customFormat="1" ht="12.75" customHeight="1">
      <c r="AP255" s="14"/>
      <c r="AQ255" s="20"/>
      <c r="AR255" s="21"/>
      <c r="AS255" s="20"/>
      <c r="AT255" s="21"/>
    </row>
    <row r="256" spans="42:46" s="17" customFormat="1" ht="12.75" customHeight="1">
      <c r="AP256" s="14"/>
      <c r="AQ256" s="20"/>
      <c r="AR256" s="21"/>
      <c r="AS256" s="20"/>
      <c r="AT256" s="21"/>
    </row>
    <row r="257" spans="42:46" s="17" customFormat="1" ht="12.75" customHeight="1">
      <c r="AP257" s="14"/>
      <c r="AQ257" s="20"/>
      <c r="AR257" s="21"/>
      <c r="AS257" s="20"/>
      <c r="AT257" s="21"/>
    </row>
    <row r="258" spans="42:46" s="17" customFormat="1" ht="12.75" customHeight="1">
      <c r="AP258" s="14"/>
      <c r="AQ258" s="20"/>
      <c r="AR258" s="21"/>
      <c r="AS258" s="20"/>
      <c r="AT258" s="21"/>
    </row>
    <row r="259" spans="42:46" s="17" customFormat="1" ht="12.75" customHeight="1">
      <c r="AP259" s="14"/>
      <c r="AQ259" s="20"/>
      <c r="AR259" s="21"/>
      <c r="AS259" s="20"/>
      <c r="AT259" s="21"/>
    </row>
    <row r="260" spans="42:46" s="17" customFormat="1" ht="12.75" customHeight="1">
      <c r="AP260" s="14"/>
      <c r="AQ260" s="20"/>
      <c r="AR260" s="21"/>
      <c r="AS260" s="20"/>
      <c r="AT260" s="21"/>
    </row>
    <row r="261" spans="42:46" s="17" customFormat="1" ht="12.75" customHeight="1">
      <c r="AP261" s="14"/>
      <c r="AQ261" s="20"/>
      <c r="AR261" s="21"/>
      <c r="AS261" s="20"/>
      <c r="AT261" s="21"/>
    </row>
    <row r="262" spans="42:46" s="17" customFormat="1" ht="12.75" customHeight="1">
      <c r="AP262" s="14"/>
      <c r="AQ262" s="20"/>
      <c r="AR262" s="21"/>
      <c r="AS262" s="20"/>
      <c r="AT262" s="21"/>
    </row>
    <row r="263" spans="42:46" s="17" customFormat="1" ht="12.75" customHeight="1">
      <c r="AP263" s="14"/>
      <c r="AQ263" s="20"/>
      <c r="AR263" s="21"/>
      <c r="AS263" s="20"/>
      <c r="AT263" s="21"/>
    </row>
    <row r="264" spans="42:46" s="17" customFormat="1" ht="12.75" customHeight="1">
      <c r="AP264" s="14"/>
      <c r="AQ264" s="20"/>
      <c r="AR264" s="21"/>
      <c r="AS264" s="20"/>
      <c r="AT264" s="21"/>
    </row>
    <row r="265" spans="42:46" s="17" customFormat="1" ht="12.75" customHeight="1">
      <c r="AP265" s="14"/>
      <c r="AQ265" s="20"/>
      <c r="AR265" s="21"/>
      <c r="AS265" s="20"/>
      <c r="AT265" s="21"/>
    </row>
    <row r="266" spans="42:46" s="17" customFormat="1" ht="12.75" customHeight="1">
      <c r="AP266" s="14"/>
      <c r="AQ266" s="20"/>
      <c r="AR266" s="21"/>
      <c r="AS266" s="20"/>
      <c r="AT266" s="21"/>
    </row>
    <row r="267" spans="42:46" s="17" customFormat="1" ht="12.75" customHeight="1">
      <c r="AP267" s="14"/>
      <c r="AQ267" s="20"/>
      <c r="AR267" s="21"/>
      <c r="AS267" s="20"/>
      <c r="AT267" s="21"/>
    </row>
    <row r="268" spans="42:46" s="17" customFormat="1" ht="12.75" customHeight="1">
      <c r="AP268" s="14"/>
      <c r="AQ268" s="20"/>
      <c r="AR268" s="21"/>
      <c r="AS268" s="20"/>
      <c r="AT268" s="21"/>
    </row>
    <row r="269" spans="42:46" s="17" customFormat="1" ht="12.75" customHeight="1">
      <c r="AP269" s="14"/>
      <c r="AQ269" s="20"/>
      <c r="AR269" s="21"/>
      <c r="AS269" s="20"/>
      <c r="AT269" s="21"/>
    </row>
    <row r="270" spans="42:46" s="17" customFormat="1" ht="12.75" customHeight="1">
      <c r="AP270" s="14"/>
      <c r="AQ270" s="20"/>
      <c r="AR270" s="21"/>
      <c r="AS270" s="20"/>
      <c r="AT270" s="21"/>
    </row>
    <row r="271" spans="42:46" s="17" customFormat="1" ht="12.75" customHeight="1">
      <c r="AP271" s="14"/>
      <c r="AQ271" s="20"/>
      <c r="AR271" s="21"/>
      <c r="AS271" s="20"/>
      <c r="AT271" s="21"/>
    </row>
    <row r="272" spans="42:46" s="17" customFormat="1" ht="12.75" customHeight="1">
      <c r="AP272" s="14"/>
      <c r="AQ272" s="20"/>
      <c r="AR272" s="21"/>
      <c r="AS272" s="20"/>
      <c r="AT272" s="21"/>
    </row>
    <row r="273" spans="42:46" s="17" customFormat="1" ht="12.75" customHeight="1">
      <c r="AP273" s="14"/>
      <c r="AQ273" s="20"/>
      <c r="AR273" s="21"/>
      <c r="AS273" s="20"/>
      <c r="AT273" s="21"/>
    </row>
    <row r="274" spans="42:46" s="17" customFormat="1" ht="12.75" customHeight="1">
      <c r="AP274" s="14"/>
      <c r="AQ274" s="20"/>
      <c r="AR274" s="21"/>
      <c r="AS274" s="20"/>
      <c r="AT274" s="21"/>
    </row>
    <row r="275" spans="42:46" s="17" customFormat="1" ht="12.75" customHeight="1">
      <c r="AP275" s="14"/>
      <c r="AQ275" s="20"/>
      <c r="AR275" s="21"/>
      <c r="AS275" s="20"/>
      <c r="AT275" s="21"/>
    </row>
    <row r="276" spans="42:46" s="17" customFormat="1" ht="12.75" customHeight="1">
      <c r="AP276" s="14"/>
      <c r="AQ276" s="20"/>
      <c r="AR276" s="21"/>
      <c r="AS276" s="20"/>
      <c r="AT276" s="21"/>
    </row>
    <row r="277" spans="42:46" s="17" customFormat="1" ht="12.75" customHeight="1">
      <c r="AP277" s="14"/>
      <c r="AQ277" s="20"/>
      <c r="AR277" s="21"/>
      <c r="AS277" s="20"/>
      <c r="AT277" s="21"/>
    </row>
    <row r="278" spans="42:46" s="17" customFormat="1" ht="12.75" customHeight="1">
      <c r="AP278" s="14"/>
      <c r="AQ278" s="20"/>
      <c r="AR278" s="21"/>
      <c r="AS278" s="20"/>
      <c r="AT278" s="21"/>
    </row>
    <row r="279" spans="42:46" s="17" customFormat="1" ht="12.75" customHeight="1">
      <c r="AP279" s="14"/>
      <c r="AQ279" s="20"/>
      <c r="AR279" s="21"/>
      <c r="AS279" s="20"/>
      <c r="AT279" s="21"/>
    </row>
    <row r="280" spans="42:46" s="17" customFormat="1" ht="12.75" customHeight="1">
      <c r="AP280" s="14"/>
      <c r="AQ280" s="20"/>
      <c r="AR280" s="21"/>
      <c r="AS280" s="20"/>
      <c r="AT280" s="21"/>
    </row>
    <row r="281" spans="42:46" s="17" customFormat="1" ht="12.75" customHeight="1">
      <c r="AP281" s="14"/>
      <c r="AQ281" s="20"/>
      <c r="AR281" s="21"/>
      <c r="AS281" s="20"/>
      <c r="AT281" s="21"/>
    </row>
    <row r="282" spans="42:46" s="17" customFormat="1" ht="12.75" customHeight="1">
      <c r="AP282" s="14"/>
      <c r="AQ282" s="20"/>
      <c r="AR282" s="21"/>
      <c r="AS282" s="20"/>
      <c r="AT282" s="21"/>
    </row>
    <row r="283" spans="42:46" s="17" customFormat="1" ht="12.75" customHeight="1">
      <c r="AP283" s="14"/>
      <c r="AQ283" s="20"/>
      <c r="AR283" s="21"/>
      <c r="AS283" s="20"/>
      <c r="AT283" s="21"/>
    </row>
    <row r="284" spans="42:46" s="17" customFormat="1" ht="12.75" customHeight="1">
      <c r="AP284" s="14"/>
      <c r="AQ284" s="20"/>
      <c r="AR284" s="21"/>
      <c r="AS284" s="20"/>
      <c r="AT284" s="21"/>
    </row>
    <row r="285" spans="42:46" s="17" customFormat="1" ht="12.75" customHeight="1">
      <c r="AP285" s="14"/>
      <c r="AQ285" s="20"/>
      <c r="AR285" s="21"/>
      <c r="AS285" s="20"/>
      <c r="AT285" s="21"/>
    </row>
    <row r="286" spans="42:46" s="17" customFormat="1" ht="12.75" customHeight="1">
      <c r="AP286" s="14"/>
      <c r="AQ286" s="20"/>
      <c r="AR286" s="21"/>
      <c r="AS286" s="20"/>
      <c r="AT286" s="21"/>
    </row>
    <row r="287" spans="42:46" s="17" customFormat="1" ht="12.75" customHeight="1">
      <c r="AP287" s="14"/>
      <c r="AQ287" s="20"/>
      <c r="AR287" s="21"/>
      <c r="AS287" s="20"/>
      <c r="AT287" s="21"/>
    </row>
    <row r="288" spans="42:46" s="17" customFormat="1" ht="12.75" customHeight="1">
      <c r="AP288" s="14"/>
      <c r="AQ288" s="20"/>
      <c r="AR288" s="21"/>
      <c r="AS288" s="20"/>
      <c r="AT288" s="21"/>
    </row>
    <row r="289" spans="42:46" s="17" customFormat="1" ht="12.75" customHeight="1">
      <c r="AP289" s="14"/>
      <c r="AQ289" s="20"/>
      <c r="AR289" s="21"/>
      <c r="AS289" s="20"/>
      <c r="AT289" s="21"/>
    </row>
    <row r="290" spans="42:46" s="17" customFormat="1" ht="12.75" customHeight="1">
      <c r="AP290" s="14"/>
      <c r="AQ290" s="20"/>
      <c r="AR290" s="21"/>
      <c r="AS290" s="20"/>
      <c r="AT290" s="21"/>
    </row>
    <row r="291" spans="42:46" s="17" customFormat="1" ht="12.75" customHeight="1">
      <c r="AP291" s="14"/>
      <c r="AQ291" s="20"/>
      <c r="AR291" s="21"/>
      <c r="AS291" s="20"/>
      <c r="AT291" s="21"/>
    </row>
    <row r="292" spans="42:46" s="17" customFormat="1" ht="12.75" customHeight="1">
      <c r="AP292" s="14"/>
      <c r="AQ292" s="20"/>
      <c r="AR292" s="21"/>
      <c r="AS292" s="20"/>
      <c r="AT292" s="21"/>
    </row>
    <row r="293" spans="42:46" s="17" customFormat="1" ht="12.75" customHeight="1">
      <c r="AP293" s="14"/>
      <c r="AQ293" s="20"/>
      <c r="AR293" s="21"/>
      <c r="AS293" s="20"/>
      <c r="AT293" s="21"/>
    </row>
    <row r="294" spans="42:46" s="17" customFormat="1" ht="12.75" customHeight="1">
      <c r="AP294" s="14"/>
      <c r="AQ294" s="20"/>
      <c r="AR294" s="21"/>
      <c r="AS294" s="20"/>
      <c r="AT294" s="21"/>
    </row>
    <row r="295" spans="42:46" s="17" customFormat="1" ht="12.75" customHeight="1">
      <c r="AP295" s="14"/>
      <c r="AQ295" s="20"/>
      <c r="AR295" s="21"/>
      <c r="AS295" s="20"/>
      <c r="AT295" s="21"/>
    </row>
    <row r="296" spans="42:46" s="17" customFormat="1" ht="12.75" customHeight="1">
      <c r="AP296" s="14"/>
      <c r="AQ296" s="20"/>
      <c r="AR296" s="21"/>
      <c r="AS296" s="20"/>
      <c r="AT296" s="21"/>
    </row>
    <row r="297" spans="42:46" s="17" customFormat="1" ht="12.75" customHeight="1">
      <c r="AP297" s="14"/>
      <c r="AQ297" s="20"/>
      <c r="AR297" s="21"/>
      <c r="AS297" s="20"/>
      <c r="AT297" s="21"/>
    </row>
    <row r="298" spans="42:46" s="17" customFormat="1" ht="12.75" customHeight="1">
      <c r="AP298" s="14"/>
      <c r="AQ298" s="20"/>
      <c r="AR298" s="21"/>
      <c r="AS298" s="20"/>
      <c r="AT298" s="21"/>
    </row>
    <row r="299" spans="42:46" s="17" customFormat="1" ht="12.75" customHeight="1">
      <c r="AP299" s="14"/>
      <c r="AQ299" s="20"/>
      <c r="AR299" s="21"/>
      <c r="AS299" s="20"/>
      <c r="AT299" s="21"/>
    </row>
    <row r="300" spans="42:46" s="17" customFormat="1" ht="12.75" customHeight="1">
      <c r="AP300" s="14"/>
      <c r="AQ300" s="20"/>
      <c r="AR300" s="21"/>
      <c r="AS300" s="20"/>
      <c r="AT300" s="21"/>
    </row>
    <row r="301" spans="42:46" s="17" customFormat="1" ht="12.75" customHeight="1">
      <c r="AP301" s="14"/>
      <c r="AQ301" s="20"/>
      <c r="AR301" s="21"/>
      <c r="AS301" s="20"/>
      <c r="AT301" s="21"/>
    </row>
    <row r="302" spans="42:46" s="17" customFormat="1" ht="12.75" customHeight="1">
      <c r="AP302" s="14"/>
      <c r="AQ302" s="20"/>
      <c r="AR302" s="21"/>
      <c r="AS302" s="20"/>
      <c r="AT302" s="21"/>
    </row>
    <row r="303" spans="42:46" s="17" customFormat="1" ht="12.75" customHeight="1">
      <c r="AP303" s="14"/>
      <c r="AQ303" s="20"/>
      <c r="AR303" s="21"/>
      <c r="AS303" s="20"/>
      <c r="AT303" s="21"/>
    </row>
    <row r="304" spans="42:46" s="17" customFormat="1" ht="12.75" customHeight="1">
      <c r="AP304" s="14"/>
      <c r="AQ304" s="20"/>
      <c r="AR304" s="21"/>
      <c r="AS304" s="20"/>
      <c r="AT304" s="21"/>
    </row>
    <row r="305" spans="42:46" s="17" customFormat="1" ht="12.75" customHeight="1">
      <c r="AP305" s="14"/>
      <c r="AQ305" s="20"/>
      <c r="AR305" s="21"/>
      <c r="AS305" s="20"/>
      <c r="AT305" s="21"/>
    </row>
    <row r="306" spans="42:46" s="17" customFormat="1" ht="12.75" customHeight="1">
      <c r="AP306" s="14"/>
      <c r="AQ306" s="20"/>
      <c r="AR306" s="21"/>
      <c r="AS306" s="20"/>
      <c r="AT306" s="21"/>
    </row>
    <row r="307" spans="42:46" s="17" customFormat="1" ht="12.75" customHeight="1">
      <c r="AP307" s="14"/>
      <c r="AQ307" s="20"/>
      <c r="AR307" s="21"/>
      <c r="AS307" s="20"/>
      <c r="AT307" s="21"/>
    </row>
    <row r="308" spans="42:46" s="17" customFormat="1" ht="12.75" customHeight="1">
      <c r="AP308" s="14"/>
      <c r="AQ308" s="20"/>
      <c r="AR308" s="21"/>
      <c r="AS308" s="20"/>
      <c r="AT308" s="21"/>
    </row>
    <row r="309" spans="42:46" s="17" customFormat="1" ht="12.75" customHeight="1">
      <c r="AP309" s="14"/>
      <c r="AQ309" s="20"/>
      <c r="AR309" s="21"/>
      <c r="AS309" s="20"/>
      <c r="AT309" s="21"/>
    </row>
    <row r="310" spans="42:46" s="17" customFormat="1" ht="12.75" customHeight="1">
      <c r="AP310" s="14"/>
      <c r="AQ310" s="20"/>
      <c r="AR310" s="21"/>
      <c r="AS310" s="20"/>
      <c r="AT310" s="21"/>
    </row>
    <row r="311" spans="42:46" s="17" customFormat="1" ht="12.75" customHeight="1">
      <c r="AP311" s="14"/>
      <c r="AQ311" s="20"/>
      <c r="AR311" s="21"/>
      <c r="AS311" s="20"/>
      <c r="AT311" s="21"/>
    </row>
    <row r="312" spans="42:46" s="17" customFormat="1" ht="12.75" customHeight="1">
      <c r="AP312" s="14"/>
      <c r="AQ312" s="20"/>
      <c r="AR312" s="21"/>
      <c r="AS312" s="20"/>
      <c r="AT312" s="21"/>
    </row>
    <row r="313" spans="42:46" s="17" customFormat="1" ht="12.75" customHeight="1">
      <c r="AP313" s="14"/>
      <c r="AQ313" s="20"/>
      <c r="AR313" s="21"/>
      <c r="AS313" s="20"/>
      <c r="AT313" s="21"/>
    </row>
    <row r="314" spans="42:46" s="17" customFormat="1" ht="12.75" customHeight="1">
      <c r="AP314" s="14"/>
      <c r="AQ314" s="20"/>
      <c r="AR314" s="21"/>
      <c r="AS314" s="20"/>
      <c r="AT314" s="21"/>
    </row>
    <row r="315" spans="42:46" s="17" customFormat="1" ht="12.75" customHeight="1">
      <c r="AP315" s="14"/>
      <c r="AQ315" s="20"/>
      <c r="AR315" s="21"/>
      <c r="AS315" s="20"/>
      <c r="AT315" s="21"/>
    </row>
    <row r="316" spans="42:46" s="17" customFormat="1" ht="12.75" customHeight="1">
      <c r="AP316" s="14"/>
      <c r="AQ316" s="20"/>
      <c r="AR316" s="21"/>
      <c r="AS316" s="20"/>
      <c r="AT316" s="21"/>
    </row>
    <row r="317" spans="42:46" s="17" customFormat="1" ht="12.75" customHeight="1">
      <c r="AP317" s="14"/>
      <c r="AQ317" s="20"/>
      <c r="AR317" s="21"/>
      <c r="AS317" s="20"/>
      <c r="AT317" s="21"/>
    </row>
    <row r="318" spans="42:46" s="17" customFormat="1" ht="12.75" customHeight="1">
      <c r="AP318" s="14"/>
      <c r="AQ318" s="20"/>
      <c r="AR318" s="21"/>
      <c r="AS318" s="20"/>
      <c r="AT318" s="21"/>
    </row>
    <row r="319" spans="42:46" s="17" customFormat="1" ht="12.75" customHeight="1">
      <c r="AP319" s="14"/>
      <c r="AQ319" s="20"/>
      <c r="AR319" s="21"/>
      <c r="AS319" s="20"/>
      <c r="AT319" s="21"/>
    </row>
    <row r="320" spans="42:46" s="17" customFormat="1" ht="12.75" customHeight="1">
      <c r="AP320" s="14"/>
      <c r="AQ320" s="20"/>
      <c r="AR320" s="21"/>
      <c r="AS320" s="20"/>
      <c r="AT320" s="21"/>
    </row>
    <row r="321" spans="42:46" s="17" customFormat="1" ht="12.75" customHeight="1">
      <c r="AP321" s="14"/>
      <c r="AQ321" s="20"/>
      <c r="AR321" s="21"/>
      <c r="AS321" s="20"/>
      <c r="AT321" s="21"/>
    </row>
    <row r="322" spans="42:46" s="17" customFormat="1" ht="12.75" customHeight="1">
      <c r="AP322" s="14"/>
      <c r="AQ322" s="20"/>
      <c r="AR322" s="21"/>
      <c r="AS322" s="20"/>
      <c r="AT322" s="21"/>
    </row>
    <row r="323" spans="42:46" s="17" customFormat="1" ht="12.75" customHeight="1">
      <c r="AP323" s="14"/>
      <c r="AQ323" s="20"/>
      <c r="AR323" s="21"/>
      <c r="AS323" s="20"/>
      <c r="AT323" s="21"/>
    </row>
    <row r="324" spans="42:46" s="17" customFormat="1" ht="12.75" customHeight="1">
      <c r="AP324" s="14"/>
      <c r="AQ324" s="20"/>
      <c r="AR324" s="21"/>
      <c r="AS324" s="20"/>
      <c r="AT324" s="21"/>
    </row>
    <row r="325" spans="42:46" s="17" customFormat="1" ht="12.75" customHeight="1">
      <c r="AP325" s="14"/>
      <c r="AQ325" s="20"/>
      <c r="AR325" s="21"/>
      <c r="AS325" s="20"/>
      <c r="AT325" s="21"/>
    </row>
    <row r="326" spans="42:46" s="17" customFormat="1" ht="12.75" customHeight="1">
      <c r="AP326" s="14"/>
      <c r="AQ326" s="20"/>
      <c r="AR326" s="21"/>
      <c r="AS326" s="20"/>
      <c r="AT326" s="21"/>
    </row>
    <row r="327" spans="42:46" s="17" customFormat="1" ht="12.75" customHeight="1">
      <c r="AP327" s="14"/>
      <c r="AQ327" s="20"/>
      <c r="AR327" s="21"/>
      <c r="AS327" s="20"/>
      <c r="AT327" s="21"/>
    </row>
    <row r="328" spans="42:46" s="17" customFormat="1" ht="12.75" customHeight="1">
      <c r="AP328" s="14"/>
      <c r="AQ328" s="20"/>
      <c r="AR328" s="21"/>
      <c r="AS328" s="20"/>
      <c r="AT328" s="21"/>
    </row>
    <row r="329" spans="42:46" s="17" customFormat="1" ht="12.75" customHeight="1">
      <c r="AP329" s="14"/>
      <c r="AQ329" s="20"/>
      <c r="AR329" s="21"/>
      <c r="AS329" s="20"/>
      <c r="AT329" s="21"/>
    </row>
    <row r="330" spans="42:46" s="17" customFormat="1" ht="12.75" customHeight="1">
      <c r="AP330" s="14"/>
      <c r="AQ330" s="20"/>
      <c r="AR330" s="21"/>
      <c r="AS330" s="20"/>
      <c r="AT330" s="21"/>
    </row>
    <row r="331" spans="42:46" s="17" customFormat="1" ht="12.75" customHeight="1">
      <c r="AP331" s="14"/>
      <c r="AQ331" s="20"/>
      <c r="AR331" s="21"/>
      <c r="AS331" s="20"/>
      <c r="AT331" s="21"/>
    </row>
    <row r="332" spans="42:46" s="17" customFormat="1" ht="12.75" customHeight="1">
      <c r="AP332" s="14"/>
      <c r="AQ332" s="20"/>
      <c r="AR332" s="21"/>
      <c r="AS332" s="20"/>
      <c r="AT332" s="21"/>
    </row>
    <row r="333" spans="42:46" s="17" customFormat="1" ht="12.75" customHeight="1">
      <c r="AP333" s="14"/>
      <c r="AQ333" s="20"/>
      <c r="AR333" s="21"/>
      <c r="AS333" s="20"/>
      <c r="AT333" s="21"/>
    </row>
    <row r="334" spans="42:46" s="17" customFormat="1" ht="12.75" customHeight="1">
      <c r="AP334" s="14"/>
      <c r="AQ334" s="20"/>
      <c r="AR334" s="21"/>
      <c r="AS334" s="20"/>
      <c r="AT334" s="21"/>
    </row>
    <row r="335" spans="42:46" s="17" customFormat="1" ht="12.75" customHeight="1">
      <c r="AP335" s="14"/>
      <c r="AQ335" s="20"/>
      <c r="AR335" s="21"/>
      <c r="AS335" s="20"/>
      <c r="AT335" s="21"/>
    </row>
    <row r="336" spans="42:46" s="17" customFormat="1" ht="12.75" customHeight="1">
      <c r="AP336" s="14"/>
      <c r="AQ336" s="20"/>
      <c r="AR336" s="21"/>
      <c r="AS336" s="20"/>
      <c r="AT336" s="21"/>
    </row>
    <row r="337" spans="42:46" s="17" customFormat="1" ht="12.75" customHeight="1">
      <c r="AP337" s="14"/>
      <c r="AQ337" s="20"/>
      <c r="AR337" s="21"/>
      <c r="AS337" s="20"/>
      <c r="AT337" s="21"/>
    </row>
    <row r="338" spans="42:46" s="17" customFormat="1" ht="12.75" customHeight="1">
      <c r="AP338" s="14"/>
      <c r="AQ338" s="20"/>
      <c r="AR338" s="21"/>
      <c r="AS338" s="20"/>
      <c r="AT338" s="21"/>
    </row>
    <row r="339" spans="42:46" s="17" customFormat="1" ht="12.75" customHeight="1">
      <c r="AP339" s="14"/>
      <c r="AQ339" s="20"/>
      <c r="AR339" s="21"/>
      <c r="AS339" s="20"/>
      <c r="AT339" s="21"/>
    </row>
    <row r="340" spans="42:46" s="17" customFormat="1" ht="12.75" customHeight="1">
      <c r="AP340" s="14"/>
      <c r="AQ340" s="20"/>
      <c r="AR340" s="21"/>
      <c r="AS340" s="20"/>
      <c r="AT340" s="21"/>
    </row>
    <row r="341" spans="42:46" s="17" customFormat="1" ht="12.75" customHeight="1">
      <c r="AP341" s="14"/>
      <c r="AQ341" s="20"/>
      <c r="AR341" s="21"/>
      <c r="AS341" s="20"/>
      <c r="AT341" s="21"/>
    </row>
    <row r="342" spans="42:46" s="17" customFormat="1" ht="12.75" customHeight="1">
      <c r="AP342" s="14"/>
      <c r="AQ342" s="20"/>
      <c r="AR342" s="21"/>
      <c r="AS342" s="20"/>
      <c r="AT342" s="21"/>
    </row>
    <row r="343" spans="42:46" s="17" customFormat="1" ht="12.75" customHeight="1">
      <c r="AP343" s="14"/>
      <c r="AQ343" s="20"/>
      <c r="AR343" s="21"/>
      <c r="AS343" s="20"/>
      <c r="AT343" s="21"/>
    </row>
    <row r="344" spans="42:46" s="17" customFormat="1" ht="12.75" customHeight="1">
      <c r="AP344" s="14"/>
      <c r="AQ344" s="20"/>
      <c r="AR344" s="21"/>
      <c r="AS344" s="20"/>
      <c r="AT344" s="21"/>
    </row>
    <row r="345" spans="42:46" s="17" customFormat="1" ht="12.75" customHeight="1">
      <c r="AP345" s="14"/>
      <c r="AQ345" s="20"/>
      <c r="AR345" s="21"/>
      <c r="AS345" s="20"/>
      <c r="AT345" s="21"/>
    </row>
    <row r="346" spans="42:46" s="17" customFormat="1" ht="12.75" customHeight="1">
      <c r="AP346" s="14"/>
      <c r="AQ346" s="20"/>
      <c r="AR346" s="21"/>
      <c r="AS346" s="20"/>
      <c r="AT346" s="21"/>
    </row>
    <row r="347" spans="42:46" s="17" customFormat="1" ht="12.75" customHeight="1">
      <c r="AP347" s="14"/>
      <c r="AQ347" s="20"/>
      <c r="AR347" s="21"/>
      <c r="AS347" s="20"/>
      <c r="AT347" s="21"/>
    </row>
    <row r="348" spans="42:46" s="17" customFormat="1" ht="12.75" customHeight="1">
      <c r="AP348" s="14"/>
      <c r="AQ348" s="20"/>
      <c r="AR348" s="21"/>
      <c r="AS348" s="20"/>
      <c r="AT348" s="21"/>
    </row>
    <row r="349" spans="42:46" s="17" customFormat="1" ht="12.75" customHeight="1">
      <c r="AP349" s="14"/>
      <c r="AQ349" s="20"/>
      <c r="AR349" s="21"/>
      <c r="AS349" s="20"/>
      <c r="AT349" s="21"/>
    </row>
    <row r="350" spans="42:46" s="17" customFormat="1" ht="12.75" customHeight="1">
      <c r="AP350" s="14"/>
      <c r="AQ350" s="20"/>
      <c r="AR350" s="21"/>
      <c r="AS350" s="20"/>
      <c r="AT350" s="21"/>
    </row>
    <row r="351" spans="42:46" s="17" customFormat="1" ht="12.75" customHeight="1">
      <c r="AP351" s="14"/>
      <c r="AQ351" s="20"/>
      <c r="AR351" s="21"/>
      <c r="AS351" s="20"/>
      <c r="AT351" s="21"/>
    </row>
    <row r="352" spans="42:46" s="17" customFormat="1" ht="12.75" customHeight="1">
      <c r="AP352" s="14"/>
      <c r="AQ352" s="20"/>
      <c r="AR352" s="21"/>
      <c r="AS352" s="20"/>
      <c r="AT352" s="21"/>
    </row>
    <row r="353" spans="42:46" s="17" customFormat="1" ht="12.75" customHeight="1">
      <c r="AP353" s="14"/>
      <c r="AQ353" s="20"/>
      <c r="AR353" s="21"/>
      <c r="AS353" s="20"/>
      <c r="AT353" s="21"/>
    </row>
    <row r="354" spans="42:46" s="17" customFormat="1" ht="12.75" customHeight="1">
      <c r="AP354" s="14"/>
      <c r="AQ354" s="20"/>
      <c r="AR354" s="21"/>
      <c r="AS354" s="20"/>
      <c r="AT354" s="21"/>
    </row>
    <row r="355" spans="42:46" s="17" customFormat="1" ht="12.75" customHeight="1">
      <c r="AP355" s="14"/>
      <c r="AQ355" s="20"/>
      <c r="AR355" s="21"/>
      <c r="AS355" s="20"/>
      <c r="AT355" s="21"/>
    </row>
    <row r="356" spans="42:46" s="17" customFormat="1" ht="12.75" customHeight="1">
      <c r="AP356" s="14"/>
      <c r="AQ356" s="20"/>
      <c r="AR356" s="21"/>
      <c r="AS356" s="20"/>
      <c r="AT356" s="21"/>
    </row>
    <row r="357" spans="42:46" s="17" customFormat="1" ht="12.75" customHeight="1">
      <c r="AP357" s="14"/>
      <c r="AQ357" s="20"/>
      <c r="AR357" s="21"/>
      <c r="AS357" s="20"/>
      <c r="AT357" s="21"/>
    </row>
    <row r="358" spans="42:46" s="17" customFormat="1" ht="12.75" customHeight="1">
      <c r="AP358" s="14"/>
      <c r="AQ358" s="20"/>
      <c r="AR358" s="21"/>
      <c r="AS358" s="20"/>
      <c r="AT358" s="21"/>
    </row>
    <row r="359" spans="42:46" s="17" customFormat="1" ht="12.75" customHeight="1">
      <c r="AP359" s="14"/>
      <c r="AQ359" s="20"/>
      <c r="AR359" s="21"/>
      <c r="AS359" s="20"/>
      <c r="AT359" s="21"/>
    </row>
    <row r="360" spans="42:46" s="17" customFormat="1" ht="12.75" customHeight="1">
      <c r="AP360" s="14"/>
      <c r="AQ360" s="20"/>
      <c r="AR360" s="21"/>
      <c r="AS360" s="20"/>
      <c r="AT360" s="21"/>
    </row>
    <row r="361" spans="42:46" s="17" customFormat="1" ht="12.75" customHeight="1">
      <c r="AP361" s="14"/>
      <c r="AQ361" s="20"/>
      <c r="AR361" s="21"/>
      <c r="AS361" s="20"/>
      <c r="AT361" s="21"/>
    </row>
    <row r="362" spans="42:46" s="17" customFormat="1" ht="12.75" customHeight="1">
      <c r="AP362" s="14"/>
      <c r="AQ362" s="20"/>
      <c r="AR362" s="21"/>
      <c r="AS362" s="20"/>
      <c r="AT362" s="21"/>
    </row>
    <row r="363" spans="42:46" s="17" customFormat="1" ht="12.75" customHeight="1">
      <c r="AP363" s="14"/>
      <c r="AQ363" s="20"/>
      <c r="AR363" s="21"/>
      <c r="AS363" s="20"/>
      <c r="AT363" s="21"/>
    </row>
    <row r="364" spans="42:46" s="17" customFormat="1" ht="12.75" customHeight="1">
      <c r="AP364" s="14"/>
      <c r="AQ364" s="20"/>
      <c r="AR364" s="21"/>
      <c r="AS364" s="20"/>
      <c r="AT364" s="21"/>
    </row>
    <row r="365" spans="42:46" s="17" customFormat="1" ht="12.75" customHeight="1">
      <c r="AP365" s="14"/>
      <c r="AQ365" s="20"/>
      <c r="AR365" s="21"/>
      <c r="AS365" s="20"/>
      <c r="AT365" s="21"/>
    </row>
    <row r="366" spans="42:46" s="17" customFormat="1" ht="12.75" customHeight="1">
      <c r="AP366" s="14"/>
      <c r="AQ366" s="20"/>
      <c r="AR366" s="21"/>
      <c r="AS366" s="20"/>
      <c r="AT366" s="21"/>
    </row>
    <row r="367" spans="42:46" s="17" customFormat="1" ht="12.75" customHeight="1">
      <c r="AP367" s="14"/>
      <c r="AQ367" s="20"/>
      <c r="AR367" s="21"/>
      <c r="AS367" s="20"/>
      <c r="AT367" s="21"/>
    </row>
    <row r="368" spans="42:46" s="17" customFormat="1" ht="12.75" customHeight="1">
      <c r="AP368" s="14"/>
      <c r="AQ368" s="20"/>
      <c r="AR368" s="21"/>
      <c r="AS368" s="20"/>
      <c r="AT368" s="21"/>
    </row>
    <row r="369" spans="42:46" s="17" customFormat="1" ht="12.75" customHeight="1">
      <c r="AP369" s="14"/>
      <c r="AQ369" s="20"/>
      <c r="AR369" s="21"/>
      <c r="AS369" s="20"/>
      <c r="AT369" s="21"/>
    </row>
    <row r="370" spans="42:46" s="17" customFormat="1" ht="12.75" customHeight="1">
      <c r="AP370" s="14"/>
      <c r="AQ370" s="20"/>
      <c r="AR370" s="21"/>
      <c r="AS370" s="20"/>
      <c r="AT370" s="21"/>
    </row>
    <row r="371" spans="42:46" s="17" customFormat="1" ht="12.75" customHeight="1">
      <c r="AP371" s="14"/>
      <c r="AQ371" s="20"/>
      <c r="AR371" s="21"/>
      <c r="AS371" s="20"/>
      <c r="AT371" s="21"/>
    </row>
    <row r="372" spans="42:46" s="17" customFormat="1" ht="12.75" customHeight="1">
      <c r="AP372" s="14"/>
      <c r="AQ372" s="20"/>
      <c r="AR372" s="21"/>
      <c r="AS372" s="20"/>
      <c r="AT372" s="21"/>
    </row>
    <row r="373" spans="42:46" s="17" customFormat="1" ht="12.75" customHeight="1">
      <c r="AP373" s="14"/>
      <c r="AQ373" s="20"/>
      <c r="AR373" s="21"/>
      <c r="AS373" s="20"/>
      <c r="AT373" s="21"/>
    </row>
    <row r="374" spans="42:46" s="17" customFormat="1" ht="12.75" customHeight="1">
      <c r="AP374" s="14"/>
      <c r="AQ374" s="20"/>
      <c r="AR374" s="21"/>
      <c r="AS374" s="20"/>
      <c r="AT374" s="21"/>
    </row>
    <row r="375" spans="42:46" s="17" customFormat="1" ht="12.75" customHeight="1">
      <c r="AP375" s="14"/>
      <c r="AQ375" s="20"/>
      <c r="AR375" s="21"/>
      <c r="AS375" s="20"/>
      <c r="AT375" s="21"/>
    </row>
    <row r="376" spans="42:46" s="17" customFormat="1" ht="12.75" customHeight="1">
      <c r="AP376" s="14"/>
      <c r="AQ376" s="20"/>
      <c r="AR376" s="21"/>
      <c r="AS376" s="20"/>
      <c r="AT376" s="21"/>
    </row>
    <row r="377" spans="42:46" s="17" customFormat="1" ht="12.75" customHeight="1">
      <c r="AP377" s="14"/>
      <c r="AQ377" s="20"/>
      <c r="AR377" s="21"/>
      <c r="AS377" s="20"/>
      <c r="AT377" s="21"/>
    </row>
    <row r="378" spans="42:46" s="17" customFormat="1" ht="12.75" customHeight="1">
      <c r="AP378" s="14"/>
      <c r="AQ378" s="20"/>
      <c r="AR378" s="21"/>
      <c r="AS378" s="20"/>
      <c r="AT378" s="21"/>
    </row>
    <row r="379" spans="42:46" s="17" customFormat="1" ht="12.75" customHeight="1">
      <c r="AP379" s="14"/>
      <c r="AQ379" s="20"/>
      <c r="AR379" s="21"/>
      <c r="AS379" s="20"/>
      <c r="AT379" s="21"/>
    </row>
    <row r="380" spans="42:46" s="17" customFormat="1" ht="12.75" customHeight="1">
      <c r="AP380" s="14"/>
      <c r="AQ380" s="20"/>
      <c r="AR380" s="21"/>
      <c r="AS380" s="20"/>
      <c r="AT380" s="21"/>
    </row>
    <row r="381" spans="42:46" s="17" customFormat="1" ht="12.75" customHeight="1">
      <c r="AP381" s="14"/>
      <c r="AQ381" s="20"/>
      <c r="AR381" s="21"/>
      <c r="AS381" s="20"/>
      <c r="AT381" s="21"/>
    </row>
    <row r="382" spans="42:46" s="17" customFormat="1" ht="12.75" customHeight="1">
      <c r="AP382" s="14"/>
      <c r="AQ382" s="20"/>
      <c r="AR382" s="21"/>
      <c r="AS382" s="20"/>
      <c r="AT382" s="21"/>
    </row>
    <row r="383" spans="42:46" s="17" customFormat="1" ht="12.75" customHeight="1">
      <c r="AP383" s="14"/>
      <c r="AQ383" s="20"/>
      <c r="AR383" s="21"/>
      <c r="AS383" s="20"/>
      <c r="AT383" s="21"/>
    </row>
    <row r="384" spans="42:46" s="17" customFormat="1" ht="12.75" customHeight="1">
      <c r="AP384" s="14"/>
      <c r="AQ384" s="20"/>
      <c r="AR384" s="21"/>
      <c r="AS384" s="20"/>
      <c r="AT384" s="21"/>
    </row>
    <row r="385" spans="42:46" s="17" customFormat="1" ht="12.75" customHeight="1">
      <c r="AP385" s="14"/>
      <c r="AQ385" s="20"/>
      <c r="AR385" s="21"/>
      <c r="AS385" s="20"/>
      <c r="AT385" s="21"/>
    </row>
    <row r="386" spans="42:46" s="17" customFormat="1" ht="12.75" customHeight="1">
      <c r="AP386" s="14"/>
      <c r="AQ386" s="20"/>
      <c r="AR386" s="21"/>
      <c r="AS386" s="20"/>
      <c r="AT386" s="21"/>
    </row>
    <row r="387" spans="42:46" s="17" customFormat="1" ht="12.75" customHeight="1">
      <c r="AP387" s="14"/>
      <c r="AQ387" s="20"/>
      <c r="AR387" s="21"/>
      <c r="AS387" s="20"/>
      <c r="AT387" s="21"/>
    </row>
    <row r="388" spans="42:46" s="17" customFormat="1" ht="12.75" customHeight="1">
      <c r="AP388" s="14"/>
      <c r="AQ388" s="20"/>
      <c r="AR388" s="21"/>
      <c r="AS388" s="20"/>
      <c r="AT388" s="21"/>
    </row>
    <row r="389" spans="42:46" s="17" customFormat="1" ht="12.75" customHeight="1">
      <c r="AP389" s="14"/>
      <c r="AQ389" s="20"/>
      <c r="AR389" s="21"/>
      <c r="AS389" s="20"/>
      <c r="AT389" s="21"/>
    </row>
    <row r="390" spans="42:46" s="17" customFormat="1" ht="12.75" customHeight="1">
      <c r="AP390" s="14"/>
      <c r="AQ390" s="20"/>
      <c r="AR390" s="21"/>
      <c r="AS390" s="20"/>
      <c r="AT390" s="21"/>
    </row>
    <row r="391" spans="42:46" s="17" customFormat="1" ht="12.75" customHeight="1">
      <c r="AP391" s="14"/>
      <c r="AQ391" s="20"/>
      <c r="AR391" s="21"/>
      <c r="AS391" s="20"/>
      <c r="AT391" s="21"/>
    </row>
    <row r="392" spans="42:46" s="17" customFormat="1" ht="12.75" customHeight="1">
      <c r="AP392" s="14"/>
      <c r="AQ392" s="20"/>
      <c r="AR392" s="21"/>
      <c r="AS392" s="20"/>
      <c r="AT392" s="21"/>
    </row>
    <row r="393" spans="42:46" s="17" customFormat="1" ht="12.75" customHeight="1">
      <c r="AP393" s="14"/>
      <c r="AQ393" s="20"/>
      <c r="AR393" s="21"/>
      <c r="AS393" s="20"/>
      <c r="AT393" s="21"/>
    </row>
    <row r="394" spans="42:46" s="17" customFormat="1" ht="12.75" customHeight="1">
      <c r="AP394" s="14"/>
      <c r="AQ394" s="20"/>
      <c r="AR394" s="21"/>
      <c r="AS394" s="20"/>
      <c r="AT394" s="21"/>
    </row>
    <row r="395" spans="42:46" s="17" customFormat="1" ht="12.75" customHeight="1">
      <c r="AP395" s="14"/>
      <c r="AQ395" s="20"/>
      <c r="AR395" s="21"/>
      <c r="AS395" s="20"/>
      <c r="AT395" s="21"/>
    </row>
    <row r="396" spans="42:46" s="17" customFormat="1" ht="12.75" customHeight="1">
      <c r="AP396" s="14"/>
      <c r="AQ396" s="20"/>
      <c r="AR396" s="21"/>
      <c r="AS396" s="20"/>
      <c r="AT396" s="21"/>
    </row>
    <row r="397" spans="42:46" s="17" customFormat="1" ht="12.75" customHeight="1">
      <c r="AP397" s="14"/>
      <c r="AQ397" s="20"/>
      <c r="AR397" s="21"/>
      <c r="AS397" s="20"/>
      <c r="AT397" s="21"/>
    </row>
    <row r="398" spans="42:46" s="17" customFormat="1" ht="12.75" customHeight="1">
      <c r="AP398" s="14"/>
      <c r="AQ398" s="20"/>
      <c r="AR398" s="21"/>
      <c r="AS398" s="20"/>
      <c r="AT398" s="21"/>
    </row>
    <row r="399" spans="42:46" s="17" customFormat="1" ht="12.75" customHeight="1">
      <c r="AP399" s="14"/>
      <c r="AQ399" s="20"/>
      <c r="AR399" s="21"/>
      <c r="AS399" s="20"/>
      <c r="AT399" s="21"/>
    </row>
    <row r="400" spans="42:46" s="17" customFormat="1" ht="12.75" customHeight="1">
      <c r="AP400" s="14"/>
      <c r="AQ400" s="20"/>
      <c r="AR400" s="21"/>
      <c r="AS400" s="20"/>
      <c r="AT400" s="21"/>
    </row>
    <row r="401" spans="42:46" s="17" customFormat="1" ht="12.75" customHeight="1">
      <c r="AP401" s="14"/>
      <c r="AQ401" s="20"/>
      <c r="AR401" s="21"/>
      <c r="AS401" s="20"/>
      <c r="AT401" s="21"/>
    </row>
    <row r="402" spans="42:46" s="17" customFormat="1" ht="12.75" customHeight="1">
      <c r="AP402" s="14"/>
      <c r="AQ402" s="20"/>
      <c r="AR402" s="21"/>
      <c r="AS402" s="20"/>
      <c r="AT402" s="21"/>
    </row>
    <row r="403" spans="42:46" s="17" customFormat="1" ht="12.75" customHeight="1">
      <c r="AP403" s="14"/>
      <c r="AQ403" s="20"/>
      <c r="AR403" s="21"/>
      <c r="AS403" s="20"/>
      <c r="AT403" s="21"/>
    </row>
    <row r="404" spans="42:46" s="17" customFormat="1" ht="12.75" customHeight="1">
      <c r="AP404" s="14"/>
      <c r="AQ404" s="20"/>
      <c r="AR404" s="21"/>
      <c r="AS404" s="20"/>
      <c r="AT404" s="21"/>
    </row>
    <row r="405" spans="42:46" s="17" customFormat="1" ht="12.75" customHeight="1">
      <c r="AP405" s="14"/>
      <c r="AQ405" s="20"/>
      <c r="AR405" s="21"/>
      <c r="AS405" s="20"/>
      <c r="AT405" s="21"/>
    </row>
    <row r="406" spans="42:46" s="17" customFormat="1" ht="12.75" customHeight="1">
      <c r="AP406" s="14"/>
      <c r="AQ406" s="20"/>
      <c r="AR406" s="21"/>
      <c r="AS406" s="20"/>
      <c r="AT406" s="21"/>
    </row>
    <row r="407" spans="42:46" s="17" customFormat="1" ht="12.75" customHeight="1">
      <c r="AP407" s="14"/>
      <c r="AQ407" s="20"/>
      <c r="AR407" s="21"/>
      <c r="AS407" s="20"/>
      <c r="AT407" s="21"/>
    </row>
    <row r="408" spans="42:46" s="17" customFormat="1" ht="12.75" customHeight="1">
      <c r="AP408" s="14"/>
      <c r="AQ408" s="20"/>
      <c r="AR408" s="21"/>
      <c r="AS408" s="20"/>
      <c r="AT408" s="21"/>
    </row>
    <row r="409" spans="42:46" s="17" customFormat="1" ht="12.75" customHeight="1">
      <c r="AP409" s="14"/>
      <c r="AQ409" s="20"/>
      <c r="AR409" s="21"/>
      <c r="AS409" s="20"/>
      <c r="AT409" s="21"/>
    </row>
    <row r="410" spans="42:46" s="17" customFormat="1" ht="12.75" customHeight="1">
      <c r="AP410" s="14"/>
      <c r="AQ410" s="20"/>
      <c r="AR410" s="21"/>
      <c r="AS410" s="20"/>
      <c r="AT410" s="21"/>
    </row>
    <row r="411" spans="42:46" s="17" customFormat="1" ht="12.75" customHeight="1">
      <c r="AP411" s="14"/>
      <c r="AQ411" s="20"/>
      <c r="AR411" s="21"/>
      <c r="AS411" s="20"/>
      <c r="AT411" s="21"/>
    </row>
    <row r="412" spans="42:46" s="17" customFormat="1" ht="12.75" customHeight="1">
      <c r="AP412" s="14"/>
      <c r="AQ412" s="20"/>
      <c r="AR412" s="21"/>
      <c r="AS412" s="20"/>
      <c r="AT412" s="21"/>
    </row>
    <row r="413" spans="42:46" s="17" customFormat="1" ht="12.75" customHeight="1">
      <c r="AP413" s="14"/>
      <c r="AQ413" s="20"/>
      <c r="AR413" s="21"/>
      <c r="AS413" s="20"/>
      <c r="AT413" s="21"/>
    </row>
    <row r="414" spans="42:46" s="17" customFormat="1" ht="12.75" customHeight="1">
      <c r="AP414" s="14"/>
      <c r="AQ414" s="20"/>
      <c r="AR414" s="21"/>
      <c r="AS414" s="20"/>
      <c r="AT414" s="21"/>
    </row>
    <row r="415" spans="42:46" s="17" customFormat="1" ht="12.75" customHeight="1">
      <c r="AP415" s="14"/>
      <c r="AQ415" s="20"/>
      <c r="AR415" s="21"/>
      <c r="AS415" s="20"/>
      <c r="AT415" s="21"/>
    </row>
    <row r="416" spans="42:46" s="17" customFormat="1" ht="12.75" customHeight="1">
      <c r="AP416" s="14"/>
      <c r="AQ416" s="20"/>
      <c r="AR416" s="21"/>
      <c r="AS416" s="20"/>
      <c r="AT416" s="21"/>
    </row>
    <row r="417" spans="42:46" s="17" customFormat="1" ht="12.75" customHeight="1">
      <c r="AP417" s="14"/>
      <c r="AQ417" s="20"/>
      <c r="AR417" s="21"/>
      <c r="AS417" s="20"/>
      <c r="AT417" s="21"/>
    </row>
    <row r="418" spans="42:46" s="17" customFormat="1" ht="12.75" customHeight="1">
      <c r="AP418" s="14"/>
      <c r="AQ418" s="20"/>
      <c r="AR418" s="21"/>
      <c r="AS418" s="20"/>
      <c r="AT418" s="21"/>
    </row>
    <row r="419" spans="42:46" s="17" customFormat="1" ht="12.75" customHeight="1">
      <c r="AP419" s="14"/>
      <c r="AQ419" s="20"/>
      <c r="AR419" s="21"/>
      <c r="AS419" s="20"/>
      <c r="AT419" s="21"/>
    </row>
    <row r="420" spans="42:46" s="17" customFormat="1" ht="12.75" customHeight="1">
      <c r="AP420" s="14"/>
      <c r="AQ420" s="20"/>
      <c r="AR420" s="21"/>
      <c r="AS420" s="20"/>
      <c r="AT420" s="21"/>
    </row>
    <row r="421" spans="42:46" s="17" customFormat="1" ht="12.75" customHeight="1">
      <c r="AP421" s="14"/>
      <c r="AQ421" s="20"/>
      <c r="AR421" s="21"/>
      <c r="AS421" s="20"/>
      <c r="AT421" s="21"/>
    </row>
    <row r="422" spans="42:46" s="17" customFormat="1" ht="12.75" customHeight="1">
      <c r="AP422" s="14"/>
      <c r="AQ422" s="20"/>
      <c r="AR422" s="21"/>
      <c r="AS422" s="20"/>
      <c r="AT422" s="21"/>
    </row>
    <row r="423" spans="42:46" s="17" customFormat="1" ht="12.75" customHeight="1">
      <c r="AP423" s="14"/>
      <c r="AQ423" s="20"/>
      <c r="AR423" s="21"/>
      <c r="AS423" s="20"/>
      <c r="AT423" s="21"/>
    </row>
    <row r="424" spans="42:46" s="17" customFormat="1" ht="12.75" customHeight="1">
      <c r="AP424" s="14"/>
      <c r="AQ424" s="20"/>
      <c r="AR424" s="21"/>
      <c r="AS424" s="20"/>
      <c r="AT424" s="21"/>
    </row>
    <row r="425" spans="42:46" s="17" customFormat="1" ht="12.75" customHeight="1">
      <c r="AP425" s="14"/>
      <c r="AQ425" s="20"/>
      <c r="AR425" s="21"/>
      <c r="AS425" s="20"/>
      <c r="AT425" s="21"/>
    </row>
    <row r="426" spans="42:46" s="17" customFormat="1" ht="12.75" customHeight="1">
      <c r="AP426" s="14"/>
      <c r="AQ426" s="20"/>
      <c r="AR426" s="21"/>
      <c r="AS426" s="20"/>
      <c r="AT426" s="21"/>
    </row>
    <row r="427" spans="42:46" s="17" customFormat="1" ht="12.75" customHeight="1">
      <c r="AP427" s="14"/>
      <c r="AQ427" s="20"/>
      <c r="AR427" s="21"/>
      <c r="AS427" s="20"/>
      <c r="AT427" s="21"/>
    </row>
    <row r="428" spans="42:46" s="17" customFormat="1" ht="12.75" customHeight="1">
      <c r="AP428" s="14"/>
      <c r="AQ428" s="20"/>
      <c r="AR428" s="21"/>
      <c r="AS428" s="20"/>
      <c r="AT428" s="21"/>
    </row>
    <row r="429" spans="42:46" s="17" customFormat="1" ht="12.75" customHeight="1">
      <c r="AP429" s="14"/>
      <c r="AQ429" s="20"/>
      <c r="AR429" s="21"/>
      <c r="AS429" s="20"/>
      <c r="AT429" s="21"/>
    </row>
    <row r="430" spans="42:46" s="17" customFormat="1" ht="12.75" customHeight="1">
      <c r="AP430" s="14"/>
      <c r="AQ430" s="20"/>
      <c r="AR430" s="21"/>
      <c r="AS430" s="20"/>
      <c r="AT430" s="21"/>
    </row>
    <row r="431" spans="42:46" s="17" customFormat="1" ht="12.75" customHeight="1">
      <c r="AP431" s="14"/>
      <c r="AQ431" s="20"/>
      <c r="AR431" s="21"/>
      <c r="AS431" s="20"/>
      <c r="AT431" s="21"/>
    </row>
    <row r="432" spans="42:46" s="17" customFormat="1" ht="12.75" customHeight="1">
      <c r="AP432" s="14"/>
      <c r="AQ432" s="20"/>
      <c r="AR432" s="21"/>
      <c r="AS432" s="20"/>
      <c r="AT432" s="21"/>
    </row>
    <row r="433" spans="42:46" s="17" customFormat="1" ht="12.75" customHeight="1">
      <c r="AP433" s="14"/>
      <c r="AQ433" s="20"/>
      <c r="AR433" s="21"/>
      <c r="AS433" s="20"/>
      <c r="AT433" s="21"/>
    </row>
    <row r="434" spans="42:46" s="17" customFormat="1" ht="12.75" customHeight="1">
      <c r="AP434" s="14"/>
      <c r="AQ434" s="20"/>
      <c r="AR434" s="21"/>
      <c r="AS434" s="20"/>
      <c r="AT434" s="21"/>
    </row>
    <row r="435" spans="42:46" s="17" customFormat="1" ht="12.75" customHeight="1">
      <c r="AP435" s="14"/>
      <c r="AQ435" s="20"/>
      <c r="AR435" s="21"/>
      <c r="AS435" s="20"/>
      <c r="AT435" s="21"/>
    </row>
    <row r="436" spans="42:46" s="17" customFormat="1" ht="12.75" customHeight="1">
      <c r="AP436" s="14"/>
      <c r="AQ436" s="20"/>
      <c r="AR436" s="21"/>
      <c r="AS436" s="20"/>
      <c r="AT436" s="21"/>
    </row>
    <row r="437" spans="42:46" s="17" customFormat="1" ht="12.75" customHeight="1">
      <c r="AP437" s="14"/>
      <c r="AQ437" s="20"/>
      <c r="AR437" s="21"/>
      <c r="AS437" s="20"/>
      <c r="AT437" s="21"/>
    </row>
    <row r="438" spans="42:46" s="17" customFormat="1" ht="12.75" customHeight="1">
      <c r="AP438" s="14"/>
      <c r="AQ438" s="20"/>
      <c r="AR438" s="21"/>
      <c r="AS438" s="20"/>
      <c r="AT438" s="21"/>
    </row>
    <row r="439" spans="42:46" s="17" customFormat="1" ht="12.75" customHeight="1">
      <c r="AP439" s="14"/>
      <c r="AQ439" s="20"/>
      <c r="AR439" s="21"/>
      <c r="AS439" s="20"/>
      <c r="AT439" s="21"/>
    </row>
    <row r="440" spans="42:46" s="17" customFormat="1" ht="12.75" customHeight="1">
      <c r="AP440" s="14"/>
      <c r="AQ440" s="20"/>
      <c r="AR440" s="21"/>
      <c r="AS440" s="20"/>
      <c r="AT440" s="21"/>
    </row>
    <row r="441" spans="42:46" s="17" customFormat="1" ht="12.75" customHeight="1">
      <c r="AP441" s="14"/>
      <c r="AQ441" s="20"/>
      <c r="AR441" s="21"/>
      <c r="AS441" s="20"/>
      <c r="AT441" s="21"/>
    </row>
    <row r="442" spans="42:46" s="17" customFormat="1" ht="12.75" customHeight="1">
      <c r="AP442" s="14"/>
      <c r="AQ442" s="20"/>
      <c r="AR442" s="21"/>
      <c r="AS442" s="20"/>
      <c r="AT442" s="21"/>
    </row>
    <row r="443" spans="42:46" s="17" customFormat="1" ht="12.75" customHeight="1">
      <c r="AP443" s="14"/>
      <c r="AQ443" s="20"/>
      <c r="AR443" s="21"/>
      <c r="AS443" s="20"/>
      <c r="AT443" s="21"/>
    </row>
    <row r="444" spans="42:46" s="17" customFormat="1" ht="12.75" customHeight="1">
      <c r="AP444" s="14"/>
      <c r="AQ444" s="20"/>
      <c r="AR444" s="21"/>
      <c r="AS444" s="20"/>
      <c r="AT444" s="21"/>
    </row>
    <row r="445" spans="42:46" s="17" customFormat="1" ht="12.75" customHeight="1">
      <c r="AP445" s="14"/>
      <c r="AQ445" s="20"/>
      <c r="AR445" s="21"/>
      <c r="AS445" s="20"/>
      <c r="AT445" s="21"/>
    </row>
    <row r="446" spans="42:46" s="17" customFormat="1" ht="12.75" customHeight="1">
      <c r="AP446" s="14"/>
      <c r="AQ446" s="20"/>
      <c r="AR446" s="21"/>
      <c r="AS446" s="20"/>
      <c r="AT446" s="21"/>
    </row>
    <row r="447" spans="42:46" s="17" customFormat="1" ht="12.75" customHeight="1">
      <c r="AP447" s="14"/>
      <c r="AQ447" s="20"/>
      <c r="AR447" s="21"/>
      <c r="AS447" s="20"/>
      <c r="AT447" s="21"/>
    </row>
    <row r="448" spans="42:46" s="17" customFormat="1" ht="12.75" customHeight="1">
      <c r="AP448" s="14"/>
      <c r="AQ448" s="20"/>
      <c r="AR448" s="21"/>
      <c r="AS448" s="20"/>
      <c r="AT448" s="21"/>
    </row>
    <row r="449" spans="42:46" s="17" customFormat="1" ht="12.75" customHeight="1">
      <c r="AP449" s="14"/>
      <c r="AQ449" s="20"/>
      <c r="AR449" s="21"/>
      <c r="AS449" s="20"/>
      <c r="AT449" s="21"/>
    </row>
    <row r="450" spans="42:46" s="17" customFormat="1" ht="12.75" customHeight="1">
      <c r="AP450" s="14"/>
      <c r="AQ450" s="20"/>
      <c r="AR450" s="21"/>
      <c r="AS450" s="20"/>
      <c r="AT450" s="21"/>
    </row>
    <row r="451" spans="42:46" s="17" customFormat="1" ht="12.75" customHeight="1">
      <c r="AP451" s="14"/>
      <c r="AQ451" s="20"/>
      <c r="AR451" s="21"/>
      <c r="AS451" s="20"/>
      <c r="AT451" s="21"/>
    </row>
    <row r="452" spans="42:46" s="17" customFormat="1" ht="12.75" customHeight="1">
      <c r="AP452" s="14"/>
      <c r="AQ452" s="20"/>
      <c r="AR452" s="21"/>
      <c r="AS452" s="20"/>
      <c r="AT452" s="21"/>
    </row>
    <row r="453" spans="42:46" s="17" customFormat="1" ht="12.75" customHeight="1">
      <c r="AP453" s="14"/>
      <c r="AQ453" s="20"/>
      <c r="AR453" s="21"/>
      <c r="AS453" s="20"/>
      <c r="AT453" s="21"/>
    </row>
    <row r="454" spans="42:46" s="17" customFormat="1" ht="12.75" customHeight="1">
      <c r="AP454" s="14"/>
      <c r="AQ454" s="20"/>
      <c r="AR454" s="21"/>
      <c r="AS454" s="20"/>
      <c r="AT454" s="21"/>
    </row>
    <row r="455" spans="42:46" s="17" customFormat="1" ht="12.75" customHeight="1">
      <c r="AP455" s="14"/>
      <c r="AQ455" s="20"/>
      <c r="AR455" s="21"/>
      <c r="AS455" s="20"/>
      <c r="AT455" s="21"/>
    </row>
    <row r="456" spans="42:46" s="17" customFormat="1" ht="12.75" customHeight="1">
      <c r="AP456" s="14"/>
      <c r="AQ456" s="20"/>
      <c r="AR456" s="21"/>
      <c r="AS456" s="20"/>
      <c r="AT456" s="21"/>
    </row>
    <row r="457" spans="42:46" s="17" customFormat="1" ht="12.75" customHeight="1">
      <c r="AP457" s="14"/>
      <c r="AQ457" s="20"/>
      <c r="AR457" s="21"/>
      <c r="AS457" s="20"/>
      <c r="AT457" s="21"/>
    </row>
    <row r="458" spans="42:46" s="17" customFormat="1" ht="12.75" customHeight="1">
      <c r="AP458" s="14"/>
      <c r="AQ458" s="20"/>
      <c r="AR458" s="21"/>
      <c r="AS458" s="20"/>
      <c r="AT458" s="21"/>
    </row>
    <row r="459" spans="42:46" s="17" customFormat="1" ht="12.75" customHeight="1">
      <c r="AP459" s="14"/>
      <c r="AQ459" s="20"/>
      <c r="AR459" s="21"/>
      <c r="AS459" s="20"/>
      <c r="AT459" s="21"/>
    </row>
    <row r="460" spans="42:46" s="17" customFormat="1" ht="12.75" customHeight="1">
      <c r="AP460" s="14"/>
      <c r="AQ460" s="20"/>
      <c r="AR460" s="21"/>
      <c r="AS460" s="20"/>
      <c r="AT460" s="21"/>
    </row>
    <row r="461" spans="42:46" s="17" customFormat="1" ht="12.75" customHeight="1">
      <c r="AP461" s="14"/>
      <c r="AQ461" s="20"/>
      <c r="AR461" s="21"/>
      <c r="AS461" s="20"/>
      <c r="AT461" s="21"/>
    </row>
    <row r="462" spans="42:46" s="17" customFormat="1" ht="12.75" customHeight="1">
      <c r="AP462" s="14"/>
      <c r="AQ462" s="20"/>
      <c r="AR462" s="21"/>
      <c r="AS462" s="20"/>
      <c r="AT462" s="21"/>
    </row>
    <row r="463" spans="42:46" s="17" customFormat="1" ht="12.75" customHeight="1">
      <c r="AP463" s="14"/>
      <c r="AQ463" s="20"/>
      <c r="AR463" s="21"/>
      <c r="AS463" s="20"/>
      <c r="AT463" s="21"/>
    </row>
    <row r="464" spans="42:46" s="17" customFormat="1" ht="12.75" customHeight="1">
      <c r="AP464" s="14"/>
      <c r="AQ464" s="20"/>
      <c r="AR464" s="21"/>
      <c r="AS464" s="20"/>
      <c r="AT464" s="21"/>
    </row>
    <row r="465" spans="42:46" s="17" customFormat="1" ht="12.75" customHeight="1">
      <c r="AP465" s="14"/>
      <c r="AQ465" s="20"/>
      <c r="AR465" s="21"/>
      <c r="AS465" s="20"/>
      <c r="AT465" s="21"/>
    </row>
    <row r="466" spans="42:46" s="17" customFormat="1" ht="12.75" customHeight="1">
      <c r="AP466" s="14"/>
      <c r="AQ466" s="20"/>
      <c r="AR466" s="21"/>
      <c r="AS466" s="20"/>
      <c r="AT466" s="21"/>
    </row>
    <row r="467" spans="42:46" s="17" customFormat="1" ht="12.75" customHeight="1">
      <c r="AP467" s="14"/>
      <c r="AQ467" s="20"/>
      <c r="AR467" s="21"/>
      <c r="AS467" s="20"/>
      <c r="AT467" s="21"/>
    </row>
    <row r="468" spans="42:46" s="17" customFormat="1" ht="12.75" customHeight="1">
      <c r="AP468" s="14"/>
      <c r="AQ468" s="20"/>
      <c r="AR468" s="21"/>
      <c r="AS468" s="20"/>
      <c r="AT468" s="21"/>
    </row>
    <row r="469" spans="42:46" s="17" customFormat="1" ht="12.75" customHeight="1">
      <c r="AP469" s="14"/>
      <c r="AQ469" s="20"/>
      <c r="AR469" s="21"/>
      <c r="AS469" s="20"/>
      <c r="AT469" s="21"/>
    </row>
    <row r="470" spans="42:46" s="17" customFormat="1" ht="12.75" customHeight="1">
      <c r="AP470" s="14"/>
      <c r="AQ470" s="20"/>
      <c r="AR470" s="21"/>
      <c r="AS470" s="20"/>
      <c r="AT470" s="21"/>
    </row>
    <row r="471" spans="42:46" s="17" customFormat="1" ht="12.75" customHeight="1">
      <c r="AP471" s="14"/>
      <c r="AQ471" s="20"/>
      <c r="AR471" s="21"/>
      <c r="AS471" s="20"/>
      <c r="AT471" s="21"/>
    </row>
    <row r="472" spans="42:46" s="17" customFormat="1" ht="12.75" customHeight="1">
      <c r="AP472" s="14"/>
      <c r="AQ472" s="20"/>
      <c r="AR472" s="21"/>
      <c r="AS472" s="20"/>
      <c r="AT472" s="21"/>
    </row>
    <row r="473" spans="42:46" s="17" customFormat="1" ht="12.75" customHeight="1">
      <c r="AP473" s="14"/>
      <c r="AQ473" s="20"/>
      <c r="AR473" s="21"/>
      <c r="AS473" s="20"/>
      <c r="AT473" s="21"/>
    </row>
    <row r="474" spans="42:46" s="17" customFormat="1" ht="12.75" customHeight="1">
      <c r="AP474" s="14"/>
      <c r="AQ474" s="20"/>
      <c r="AR474" s="21"/>
      <c r="AS474" s="20"/>
      <c r="AT474" s="21"/>
    </row>
    <row r="475" spans="42:46" s="17" customFormat="1" ht="12.75" customHeight="1">
      <c r="AP475" s="14"/>
      <c r="AQ475" s="20"/>
      <c r="AR475" s="21"/>
      <c r="AS475" s="20"/>
      <c r="AT475" s="21"/>
    </row>
    <row r="476" spans="42:46" s="17" customFormat="1" ht="12.75" customHeight="1">
      <c r="AP476" s="14"/>
      <c r="AQ476" s="20"/>
      <c r="AR476" s="21"/>
      <c r="AS476" s="20"/>
      <c r="AT476" s="21"/>
    </row>
    <row r="477" spans="42:46" s="17" customFormat="1" ht="12.75" customHeight="1">
      <c r="AP477" s="14"/>
      <c r="AQ477" s="20"/>
      <c r="AR477" s="21"/>
      <c r="AS477" s="20"/>
      <c r="AT477" s="21"/>
    </row>
    <row r="478" spans="42:46" s="17" customFormat="1" ht="12.75" customHeight="1">
      <c r="AP478" s="14"/>
      <c r="AQ478" s="20"/>
      <c r="AR478" s="21"/>
      <c r="AS478" s="20"/>
      <c r="AT478" s="21"/>
    </row>
    <row r="479" spans="42:46" s="17" customFormat="1" ht="12.75" customHeight="1">
      <c r="AP479" s="14"/>
      <c r="AQ479" s="20"/>
      <c r="AR479" s="21"/>
      <c r="AS479" s="20"/>
      <c r="AT479" s="21"/>
    </row>
    <row r="480" spans="42:46" s="17" customFormat="1" ht="12.75" customHeight="1">
      <c r="AP480" s="14"/>
      <c r="AQ480" s="20"/>
      <c r="AR480" s="21"/>
      <c r="AS480" s="20"/>
      <c r="AT480" s="21"/>
    </row>
    <row r="481" spans="42:46" s="17" customFormat="1" ht="12.75" customHeight="1">
      <c r="AP481" s="14"/>
      <c r="AQ481" s="20"/>
      <c r="AR481" s="21"/>
      <c r="AS481" s="20"/>
      <c r="AT481" s="21"/>
    </row>
    <row r="482" spans="42:46" s="17" customFormat="1" ht="12.75" customHeight="1">
      <c r="AP482" s="14"/>
      <c r="AQ482" s="20"/>
      <c r="AR482" s="21"/>
      <c r="AS482" s="20"/>
      <c r="AT482" s="21"/>
    </row>
    <row r="483" spans="42:46" s="17" customFormat="1" ht="12.75" customHeight="1">
      <c r="AP483" s="14"/>
      <c r="AQ483" s="20"/>
      <c r="AR483" s="21"/>
      <c r="AS483" s="20"/>
      <c r="AT483" s="21"/>
    </row>
    <row r="484" spans="42:46" s="17" customFormat="1" ht="12.75" customHeight="1">
      <c r="AP484" s="14"/>
      <c r="AQ484" s="20"/>
      <c r="AR484" s="21"/>
      <c r="AS484" s="20"/>
      <c r="AT484" s="21"/>
    </row>
    <row r="485" spans="42:46" s="17" customFormat="1" ht="12.75" customHeight="1">
      <c r="AP485" s="14"/>
      <c r="AQ485" s="20"/>
      <c r="AR485" s="21"/>
      <c r="AS485" s="20"/>
      <c r="AT485" s="21"/>
    </row>
    <row r="486" spans="42:46" s="17" customFormat="1" ht="12.75" customHeight="1">
      <c r="AP486" s="14"/>
      <c r="AQ486" s="20"/>
      <c r="AR486" s="21"/>
      <c r="AS486" s="20"/>
      <c r="AT486" s="21"/>
    </row>
    <row r="487" spans="42:46" s="17" customFormat="1" ht="12.75" customHeight="1">
      <c r="AP487" s="14"/>
      <c r="AQ487" s="20"/>
      <c r="AR487" s="21"/>
      <c r="AS487" s="20"/>
      <c r="AT487" s="21"/>
    </row>
    <row r="488" spans="42:46" s="17" customFormat="1" ht="12.75" customHeight="1">
      <c r="AP488" s="14"/>
      <c r="AQ488" s="20"/>
      <c r="AR488" s="21"/>
      <c r="AS488" s="20"/>
      <c r="AT488" s="21"/>
    </row>
    <row r="489" spans="42:46" s="17" customFormat="1" ht="12.75" customHeight="1">
      <c r="AP489" s="14"/>
      <c r="AQ489" s="20"/>
      <c r="AR489" s="21"/>
      <c r="AS489" s="20"/>
      <c r="AT489" s="21"/>
    </row>
    <row r="490" spans="42:46" s="17" customFormat="1" ht="12.75" customHeight="1">
      <c r="AP490" s="14"/>
      <c r="AQ490" s="20"/>
      <c r="AR490" s="21"/>
      <c r="AS490" s="20"/>
      <c r="AT490" s="21"/>
    </row>
    <row r="491" spans="42:46" s="17" customFormat="1" ht="12.75" customHeight="1">
      <c r="AP491" s="14"/>
      <c r="AQ491" s="20"/>
      <c r="AR491" s="21"/>
      <c r="AS491" s="20"/>
      <c r="AT491" s="21"/>
    </row>
    <row r="492" spans="42:46" s="17" customFormat="1" ht="12.75" customHeight="1">
      <c r="AP492" s="14"/>
      <c r="AQ492" s="20"/>
      <c r="AR492" s="21"/>
      <c r="AS492" s="20"/>
      <c r="AT492" s="21"/>
    </row>
    <row r="493" spans="42:46" s="17" customFormat="1" ht="12.75" customHeight="1">
      <c r="AP493" s="14"/>
      <c r="AQ493" s="20"/>
      <c r="AR493" s="21"/>
      <c r="AS493" s="20"/>
      <c r="AT493" s="21"/>
    </row>
    <row r="494" spans="42:46" s="17" customFormat="1" ht="12.75" customHeight="1">
      <c r="AP494" s="14"/>
      <c r="AQ494" s="20"/>
      <c r="AR494" s="21"/>
      <c r="AS494" s="20"/>
      <c r="AT494" s="21"/>
    </row>
    <row r="495" spans="42:46" s="17" customFormat="1" ht="12.75" customHeight="1">
      <c r="AP495" s="14"/>
      <c r="AQ495" s="20"/>
      <c r="AR495" s="21"/>
      <c r="AS495" s="20"/>
      <c r="AT495" s="21"/>
    </row>
    <row r="496" spans="42:46" s="17" customFormat="1" ht="12.75" customHeight="1">
      <c r="AP496" s="14"/>
      <c r="AQ496" s="20"/>
      <c r="AR496" s="21"/>
      <c r="AS496" s="20"/>
      <c r="AT496" s="21"/>
    </row>
    <row r="497" spans="42:46" s="17" customFormat="1" ht="12.75" customHeight="1">
      <c r="AP497" s="14"/>
      <c r="AQ497" s="20"/>
      <c r="AR497" s="21"/>
      <c r="AS497" s="20"/>
      <c r="AT497" s="21"/>
    </row>
    <row r="498" spans="42:46" s="17" customFormat="1" ht="12.75" customHeight="1">
      <c r="AP498" s="14"/>
      <c r="AQ498" s="20"/>
      <c r="AR498" s="21"/>
      <c r="AS498" s="20"/>
      <c r="AT498" s="21"/>
    </row>
    <row r="499" spans="42:46" s="17" customFormat="1" ht="12.75" customHeight="1">
      <c r="AP499" s="14"/>
      <c r="AQ499" s="20"/>
      <c r="AR499" s="21"/>
      <c r="AS499" s="20"/>
      <c r="AT499" s="21"/>
    </row>
    <row r="500" spans="42:46" s="17" customFormat="1" ht="12.75" customHeight="1">
      <c r="AP500" s="14"/>
      <c r="AQ500" s="20"/>
      <c r="AR500" s="21"/>
      <c r="AS500" s="20"/>
      <c r="AT500" s="21"/>
    </row>
    <row r="501" spans="42:46" s="17" customFormat="1" ht="12.75" customHeight="1">
      <c r="AP501" s="14"/>
      <c r="AQ501" s="20"/>
      <c r="AR501" s="21"/>
      <c r="AS501" s="20"/>
      <c r="AT501" s="21"/>
    </row>
    <row r="502" spans="42:46" s="17" customFormat="1" ht="12.75" customHeight="1">
      <c r="AP502" s="14"/>
      <c r="AQ502" s="20"/>
      <c r="AR502" s="21"/>
      <c r="AS502" s="20"/>
      <c r="AT502" s="21"/>
    </row>
    <row r="503" spans="42:46" s="17" customFormat="1" ht="12.75" customHeight="1">
      <c r="AP503" s="14"/>
      <c r="AQ503" s="20"/>
      <c r="AR503" s="21"/>
      <c r="AS503" s="20"/>
      <c r="AT503" s="21"/>
    </row>
    <row r="504" spans="42:46" s="17" customFormat="1" ht="12.75" customHeight="1">
      <c r="AP504" s="14"/>
      <c r="AQ504" s="20"/>
      <c r="AR504" s="21"/>
      <c r="AS504" s="20"/>
      <c r="AT504" s="21"/>
    </row>
    <row r="505" spans="42:46" s="17" customFormat="1" ht="12.75" customHeight="1">
      <c r="AP505" s="14"/>
      <c r="AQ505" s="20"/>
      <c r="AR505" s="21"/>
      <c r="AS505" s="20"/>
      <c r="AT505" s="21"/>
    </row>
    <row r="506" spans="42:46" s="17" customFormat="1" ht="12.75" customHeight="1">
      <c r="AP506" s="14"/>
      <c r="AQ506" s="20"/>
      <c r="AR506" s="21"/>
      <c r="AS506" s="20"/>
      <c r="AT506" s="21"/>
    </row>
    <row r="507" spans="42:46" s="17" customFormat="1" ht="12.75" customHeight="1">
      <c r="AP507" s="14"/>
      <c r="AQ507" s="20"/>
      <c r="AR507" s="21"/>
      <c r="AS507" s="20"/>
      <c r="AT507" s="21"/>
    </row>
    <row r="508" spans="42:46" s="17" customFormat="1" ht="12.75" customHeight="1">
      <c r="AP508" s="14"/>
      <c r="AQ508" s="20"/>
      <c r="AR508" s="21"/>
      <c r="AS508" s="20"/>
      <c r="AT508" s="21"/>
    </row>
    <row r="509" spans="42:46" s="17" customFormat="1" ht="12.75" customHeight="1">
      <c r="AP509" s="14"/>
      <c r="AQ509" s="20"/>
      <c r="AR509" s="21"/>
      <c r="AS509" s="20"/>
      <c r="AT509" s="21"/>
    </row>
    <row r="510" spans="42:46" s="17" customFormat="1" ht="12.75" customHeight="1">
      <c r="AP510" s="14"/>
      <c r="AQ510" s="20"/>
      <c r="AR510" s="21"/>
      <c r="AS510" s="20"/>
      <c r="AT510" s="21"/>
    </row>
    <row r="511" spans="42:46" s="17" customFormat="1" ht="12.75" customHeight="1">
      <c r="AP511" s="14"/>
      <c r="AQ511" s="20"/>
      <c r="AR511" s="21"/>
      <c r="AS511" s="20"/>
      <c r="AT511" s="21"/>
    </row>
    <row r="512" spans="42:46" s="17" customFormat="1" ht="12.75" customHeight="1">
      <c r="AP512" s="14"/>
      <c r="AQ512" s="20"/>
      <c r="AR512" s="21"/>
      <c r="AS512" s="20"/>
      <c r="AT512" s="21"/>
    </row>
    <row r="513" spans="42:46" s="17" customFormat="1" ht="12.75" customHeight="1">
      <c r="AP513" s="14"/>
      <c r="AQ513" s="20"/>
      <c r="AR513" s="21"/>
      <c r="AS513" s="20"/>
      <c r="AT513" s="21"/>
    </row>
    <row r="514" spans="42:46" s="17" customFormat="1" ht="12.75" customHeight="1">
      <c r="AP514" s="14"/>
      <c r="AQ514" s="20"/>
      <c r="AR514" s="21"/>
      <c r="AS514" s="20"/>
      <c r="AT514" s="21"/>
    </row>
    <row r="515" spans="42:46" s="17" customFormat="1" ht="12.75" customHeight="1">
      <c r="AP515" s="14"/>
      <c r="AQ515" s="20"/>
      <c r="AR515" s="21"/>
      <c r="AS515" s="20"/>
      <c r="AT515" s="21"/>
    </row>
    <row r="516" spans="42:46" s="17" customFormat="1" ht="12.75" customHeight="1">
      <c r="AP516" s="14"/>
      <c r="AQ516" s="20"/>
      <c r="AR516" s="21"/>
      <c r="AS516" s="20"/>
      <c r="AT516" s="21"/>
    </row>
    <row r="517" spans="42:46" s="17" customFormat="1" ht="12.75" customHeight="1">
      <c r="AP517" s="14"/>
      <c r="AQ517" s="20"/>
      <c r="AR517" s="21"/>
      <c r="AS517" s="20"/>
      <c r="AT517" s="21"/>
    </row>
    <row r="518" spans="42:46" s="17" customFormat="1" ht="12.75" customHeight="1">
      <c r="AP518" s="14"/>
      <c r="AQ518" s="20"/>
      <c r="AR518" s="21"/>
      <c r="AS518" s="20"/>
      <c r="AT518" s="21"/>
    </row>
    <row r="519" spans="42:46" s="17" customFormat="1" ht="12.75" customHeight="1">
      <c r="AP519" s="14"/>
      <c r="AQ519" s="20"/>
      <c r="AR519" s="21"/>
      <c r="AS519" s="20"/>
      <c r="AT519" s="21"/>
    </row>
    <row r="520" spans="42:46" s="17" customFormat="1" ht="12.75" customHeight="1">
      <c r="AP520" s="14"/>
      <c r="AQ520" s="20"/>
      <c r="AR520" s="21"/>
      <c r="AS520" s="20"/>
      <c r="AT520" s="21"/>
    </row>
    <row r="521" spans="42:46" s="17" customFormat="1" ht="12.75" customHeight="1">
      <c r="AP521" s="14"/>
      <c r="AQ521" s="20"/>
      <c r="AR521" s="21"/>
      <c r="AS521" s="20"/>
      <c r="AT521" s="21"/>
    </row>
    <row r="522" spans="42:46" s="17" customFormat="1" ht="12.75" customHeight="1">
      <c r="AP522" s="14"/>
      <c r="AQ522" s="20"/>
      <c r="AR522" s="21"/>
      <c r="AS522" s="20"/>
      <c r="AT522" s="21"/>
    </row>
    <row r="523" spans="42:46" s="17" customFormat="1" ht="12.75" customHeight="1">
      <c r="AP523" s="14"/>
      <c r="AQ523" s="20"/>
      <c r="AR523" s="21"/>
      <c r="AS523" s="20"/>
      <c r="AT523" s="21"/>
    </row>
    <row r="524" spans="42:46" s="17" customFormat="1" ht="12.75" customHeight="1">
      <c r="AP524" s="14"/>
      <c r="AQ524" s="20"/>
      <c r="AR524" s="21"/>
      <c r="AS524" s="20"/>
      <c r="AT524" s="21"/>
    </row>
    <row r="525" spans="42:46" s="17" customFormat="1" ht="12.75" customHeight="1">
      <c r="AP525" s="14"/>
      <c r="AQ525" s="20"/>
      <c r="AR525" s="21"/>
      <c r="AS525" s="20"/>
      <c r="AT525" s="21"/>
    </row>
    <row r="526" spans="42:46" s="17" customFormat="1" ht="12.75" customHeight="1">
      <c r="AP526" s="14"/>
      <c r="AQ526" s="20"/>
      <c r="AR526" s="21"/>
      <c r="AS526" s="20"/>
      <c r="AT526" s="21"/>
    </row>
    <row r="527" spans="42:46" s="17" customFormat="1" ht="12.75" customHeight="1">
      <c r="AP527" s="14"/>
      <c r="AQ527" s="20"/>
      <c r="AR527" s="21"/>
      <c r="AS527" s="20"/>
      <c r="AT527" s="21"/>
    </row>
    <row r="528" spans="42:46" s="17" customFormat="1" ht="12.75" customHeight="1">
      <c r="AP528" s="14"/>
      <c r="AQ528" s="20"/>
      <c r="AR528" s="21"/>
      <c r="AS528" s="20"/>
      <c r="AT528" s="21"/>
    </row>
    <row r="529" spans="42:46" s="17" customFormat="1" ht="12.75" customHeight="1">
      <c r="AP529" s="14"/>
      <c r="AQ529" s="20"/>
      <c r="AR529" s="21"/>
      <c r="AS529" s="20"/>
      <c r="AT529" s="21"/>
    </row>
    <row r="530" spans="42:46" s="17" customFormat="1" ht="12.75" customHeight="1">
      <c r="AP530" s="14"/>
      <c r="AQ530" s="20"/>
      <c r="AR530" s="21"/>
      <c r="AS530" s="20"/>
      <c r="AT530" s="21"/>
    </row>
    <row r="531" spans="42:46" s="17" customFormat="1" ht="12.75" customHeight="1">
      <c r="AP531" s="14"/>
      <c r="AQ531" s="20"/>
      <c r="AR531" s="21"/>
      <c r="AS531" s="20"/>
      <c r="AT531" s="21"/>
    </row>
    <row r="532" spans="42:46" s="17" customFormat="1" ht="12.75" customHeight="1">
      <c r="AP532" s="14"/>
      <c r="AQ532" s="20"/>
      <c r="AR532" s="21"/>
      <c r="AS532" s="20"/>
      <c r="AT532" s="21"/>
    </row>
    <row r="533" spans="42:46" s="17" customFormat="1" ht="12.75" customHeight="1">
      <c r="AP533" s="14"/>
      <c r="AQ533" s="20"/>
      <c r="AR533" s="21"/>
      <c r="AS533" s="20"/>
      <c r="AT533" s="21"/>
    </row>
    <row r="534" spans="42:46" s="17" customFormat="1" ht="12.75" customHeight="1">
      <c r="AP534" s="14"/>
      <c r="AQ534" s="20"/>
      <c r="AR534" s="21"/>
      <c r="AS534" s="20"/>
      <c r="AT534" s="21"/>
    </row>
    <row r="535" spans="42:46" s="17" customFormat="1" ht="12.75" customHeight="1">
      <c r="AP535" s="14"/>
      <c r="AQ535" s="20"/>
      <c r="AR535" s="21"/>
      <c r="AS535" s="20"/>
      <c r="AT535" s="21"/>
    </row>
    <row r="536" spans="42:46" s="17" customFormat="1" ht="12.75" customHeight="1">
      <c r="AP536" s="14"/>
      <c r="AQ536" s="20"/>
      <c r="AR536" s="21"/>
      <c r="AS536" s="20"/>
      <c r="AT536" s="21"/>
    </row>
    <row r="537" spans="42:46" s="17" customFormat="1" ht="12.75" customHeight="1">
      <c r="AP537" s="14"/>
      <c r="AQ537" s="20"/>
      <c r="AR537" s="21"/>
      <c r="AS537" s="20"/>
      <c r="AT537" s="21"/>
    </row>
    <row r="538" spans="42:46" s="17" customFormat="1" ht="12.75" customHeight="1">
      <c r="AP538" s="14"/>
      <c r="AQ538" s="20"/>
      <c r="AR538" s="21"/>
      <c r="AS538" s="20"/>
      <c r="AT538" s="21"/>
    </row>
    <row r="539" spans="42:46" s="17" customFormat="1" ht="12.75" customHeight="1">
      <c r="AP539" s="14"/>
      <c r="AQ539" s="20"/>
      <c r="AR539" s="21"/>
      <c r="AS539" s="20"/>
      <c r="AT539" s="21"/>
    </row>
    <row r="540" spans="42:46" s="17" customFormat="1" ht="12.75" customHeight="1">
      <c r="AP540" s="14"/>
      <c r="AQ540" s="20"/>
      <c r="AR540" s="21"/>
      <c r="AS540" s="20"/>
      <c r="AT540" s="21"/>
    </row>
    <row r="541" spans="42:46" s="17" customFormat="1" ht="12.75" customHeight="1">
      <c r="AP541" s="14"/>
      <c r="AQ541" s="20"/>
      <c r="AR541" s="21"/>
      <c r="AS541" s="20"/>
      <c r="AT541" s="21"/>
    </row>
    <row r="542" spans="42:46" s="17" customFormat="1" ht="12.75" customHeight="1">
      <c r="AP542" s="14"/>
      <c r="AQ542" s="20"/>
      <c r="AR542" s="21"/>
      <c r="AS542" s="20"/>
      <c r="AT542" s="21"/>
    </row>
    <row r="543" spans="42:46" s="17" customFormat="1" ht="12.75" customHeight="1">
      <c r="AP543" s="14"/>
      <c r="AQ543" s="20"/>
      <c r="AR543" s="21"/>
      <c r="AS543" s="20"/>
      <c r="AT543" s="21"/>
    </row>
    <row r="544" spans="42:46" s="17" customFormat="1" ht="12.75" customHeight="1">
      <c r="AP544" s="14"/>
      <c r="AQ544" s="20"/>
      <c r="AR544" s="21"/>
      <c r="AS544" s="20"/>
      <c r="AT544" s="21"/>
    </row>
    <row r="545" spans="42:46" s="17" customFormat="1" ht="12.75" customHeight="1">
      <c r="AP545" s="14"/>
      <c r="AQ545" s="20"/>
      <c r="AR545" s="21"/>
      <c r="AS545" s="20"/>
      <c r="AT545" s="21"/>
    </row>
    <row r="546" spans="42:46" s="17" customFormat="1" ht="12.75" customHeight="1">
      <c r="AP546" s="14"/>
      <c r="AQ546" s="20"/>
      <c r="AR546" s="21"/>
      <c r="AS546" s="20"/>
      <c r="AT546" s="21"/>
    </row>
    <row r="547" spans="42:46" s="17" customFormat="1" ht="12.75" customHeight="1">
      <c r="AP547" s="14"/>
      <c r="AQ547" s="20"/>
      <c r="AR547" s="21"/>
      <c r="AS547" s="20"/>
      <c r="AT547" s="21"/>
    </row>
    <row r="548" spans="42:46" s="17" customFormat="1" ht="12.75" customHeight="1">
      <c r="AP548" s="14"/>
      <c r="AQ548" s="20"/>
      <c r="AR548" s="21"/>
      <c r="AS548" s="20"/>
      <c r="AT548" s="21"/>
    </row>
    <row r="549" spans="42:46" s="17" customFormat="1" ht="12.75" customHeight="1">
      <c r="AP549" s="14"/>
      <c r="AQ549" s="20"/>
      <c r="AR549" s="21"/>
      <c r="AS549" s="20"/>
      <c r="AT549" s="21"/>
    </row>
    <row r="550" spans="42:46" s="17" customFormat="1" ht="12.75" customHeight="1">
      <c r="AP550" s="14"/>
      <c r="AQ550" s="20"/>
      <c r="AR550" s="21"/>
      <c r="AS550" s="20"/>
      <c r="AT550" s="21"/>
    </row>
    <row r="551" spans="42:46" s="17" customFormat="1" ht="12.75" customHeight="1">
      <c r="AP551" s="14"/>
      <c r="AQ551" s="20"/>
      <c r="AR551" s="21"/>
      <c r="AS551" s="20"/>
      <c r="AT551" s="21"/>
    </row>
    <row r="552" spans="42:46" s="17" customFormat="1" ht="12.75" customHeight="1">
      <c r="AP552" s="14"/>
      <c r="AQ552" s="20"/>
      <c r="AR552" s="21"/>
      <c r="AS552" s="20"/>
      <c r="AT552" s="21"/>
    </row>
    <row r="553" spans="42:46" s="17" customFormat="1" ht="12.75" customHeight="1">
      <c r="AP553" s="14"/>
      <c r="AQ553" s="20"/>
      <c r="AR553" s="21"/>
      <c r="AS553" s="20"/>
      <c r="AT553" s="21"/>
    </row>
    <row r="554" spans="42:46" s="17" customFormat="1" ht="12.75" customHeight="1">
      <c r="AP554" s="14"/>
      <c r="AQ554" s="20"/>
      <c r="AR554" s="21"/>
      <c r="AS554" s="20"/>
      <c r="AT554" s="21"/>
    </row>
    <row r="555" spans="42:46" s="17" customFormat="1" ht="12.75" customHeight="1">
      <c r="AP555" s="14"/>
      <c r="AQ555" s="20"/>
      <c r="AR555" s="21"/>
      <c r="AS555" s="20"/>
      <c r="AT555" s="21"/>
    </row>
    <row r="556" spans="42:46" s="17" customFormat="1" ht="12.75" customHeight="1">
      <c r="AP556" s="14"/>
      <c r="AQ556" s="20"/>
      <c r="AR556" s="21"/>
      <c r="AS556" s="20"/>
      <c r="AT556" s="21"/>
    </row>
    <row r="557" spans="42:46" s="17" customFormat="1" ht="12.75" customHeight="1">
      <c r="AP557" s="14"/>
      <c r="AQ557" s="20"/>
      <c r="AR557" s="21"/>
      <c r="AS557" s="20"/>
      <c r="AT557" s="21"/>
    </row>
    <row r="558" spans="42:46" s="17" customFormat="1" ht="12.75" customHeight="1">
      <c r="AP558" s="14"/>
      <c r="AQ558" s="20"/>
      <c r="AR558" s="21"/>
      <c r="AS558" s="20"/>
      <c r="AT558" s="21"/>
    </row>
    <row r="559" spans="42:46" s="17" customFormat="1" ht="12.75" customHeight="1">
      <c r="AP559" s="14"/>
      <c r="AQ559" s="20"/>
      <c r="AR559" s="21"/>
      <c r="AS559" s="20"/>
      <c r="AT559" s="21"/>
    </row>
    <row r="560" spans="42:46" s="17" customFormat="1" ht="12.75" customHeight="1">
      <c r="AP560" s="14"/>
      <c r="AQ560" s="20"/>
      <c r="AR560" s="21"/>
      <c r="AS560" s="20"/>
      <c r="AT560" s="21"/>
    </row>
    <row r="561" spans="42:46" s="17" customFormat="1" ht="12.75" customHeight="1">
      <c r="AP561" s="14"/>
      <c r="AQ561" s="20"/>
      <c r="AR561" s="21"/>
      <c r="AS561" s="20"/>
      <c r="AT561" s="21"/>
    </row>
    <row r="562" spans="42:46" s="17" customFormat="1" ht="12.75" customHeight="1">
      <c r="AP562" s="14"/>
      <c r="AQ562" s="20"/>
      <c r="AR562" s="21"/>
      <c r="AS562" s="20"/>
      <c r="AT562" s="21"/>
    </row>
    <row r="563" spans="42:46" s="17" customFormat="1" ht="12.75" customHeight="1">
      <c r="AP563" s="14"/>
      <c r="AQ563" s="20"/>
      <c r="AR563" s="21"/>
      <c r="AS563" s="20"/>
      <c r="AT563" s="21"/>
    </row>
    <row r="564" spans="42:46" s="17" customFormat="1" ht="12.75" customHeight="1">
      <c r="AP564" s="14"/>
      <c r="AQ564" s="20"/>
      <c r="AR564" s="21"/>
      <c r="AS564" s="20"/>
      <c r="AT564" s="21"/>
    </row>
    <row r="565" spans="42:46" s="17" customFormat="1" ht="12.75" customHeight="1">
      <c r="AP565" s="14"/>
      <c r="AQ565" s="20"/>
      <c r="AR565" s="21"/>
      <c r="AS565" s="20"/>
      <c r="AT565" s="21"/>
    </row>
    <row r="566" spans="42:46" s="17" customFormat="1" ht="12.75" customHeight="1">
      <c r="AP566" s="14"/>
      <c r="AQ566" s="20"/>
      <c r="AR566" s="21"/>
      <c r="AS566" s="20"/>
      <c r="AT566" s="21"/>
    </row>
    <row r="567" spans="42:46" s="17" customFormat="1" ht="12.75" customHeight="1">
      <c r="AP567" s="14"/>
      <c r="AQ567" s="20"/>
      <c r="AR567" s="21"/>
      <c r="AS567" s="20"/>
      <c r="AT567" s="21"/>
    </row>
    <row r="568" spans="42:46" s="17" customFormat="1" ht="12.75" customHeight="1">
      <c r="AP568" s="14"/>
      <c r="AQ568" s="20"/>
      <c r="AR568" s="21"/>
      <c r="AS568" s="20"/>
      <c r="AT568" s="21"/>
    </row>
    <row r="569" spans="42:46" s="17" customFormat="1" ht="12.75" customHeight="1">
      <c r="AP569" s="14"/>
      <c r="AQ569" s="20"/>
      <c r="AR569" s="21"/>
      <c r="AS569" s="20"/>
      <c r="AT569" s="21"/>
    </row>
    <row r="570" spans="42:46" s="17" customFormat="1" ht="12.75" customHeight="1">
      <c r="AP570" s="14"/>
      <c r="AQ570" s="20"/>
      <c r="AR570" s="21"/>
      <c r="AS570" s="20"/>
      <c r="AT570" s="21"/>
    </row>
    <row r="571" spans="42:46" s="17" customFormat="1" ht="12.75" customHeight="1">
      <c r="AP571" s="14"/>
      <c r="AQ571" s="20"/>
      <c r="AR571" s="21"/>
      <c r="AS571" s="20"/>
      <c r="AT571" s="21"/>
    </row>
    <row r="572" spans="42:46" s="17" customFormat="1" ht="12.75" customHeight="1">
      <c r="AP572" s="14"/>
      <c r="AQ572" s="20"/>
      <c r="AR572" s="21"/>
      <c r="AS572" s="20"/>
      <c r="AT572" s="21"/>
    </row>
    <row r="573" spans="42:46" s="17" customFormat="1" ht="12.75" customHeight="1">
      <c r="AP573" s="14"/>
      <c r="AQ573" s="20"/>
      <c r="AR573" s="21"/>
      <c r="AS573" s="20"/>
      <c r="AT573" s="21"/>
    </row>
    <row r="574" spans="42:46" s="17" customFormat="1" ht="12.75" customHeight="1">
      <c r="AP574" s="14"/>
      <c r="AQ574" s="20"/>
      <c r="AR574" s="21"/>
      <c r="AS574" s="20"/>
      <c r="AT574" s="21"/>
    </row>
    <row r="575" spans="42:46" s="17" customFormat="1" ht="12.75" customHeight="1">
      <c r="AP575" s="14"/>
      <c r="AQ575" s="20"/>
      <c r="AR575" s="21"/>
      <c r="AS575" s="20"/>
      <c r="AT575" s="21"/>
    </row>
    <row r="576" spans="42:46" s="17" customFormat="1" ht="12.75" customHeight="1">
      <c r="AP576" s="14"/>
      <c r="AQ576" s="20"/>
      <c r="AR576" s="21"/>
      <c r="AS576" s="20"/>
      <c r="AT576" s="21"/>
    </row>
    <row r="577" spans="42:46" s="17" customFormat="1" ht="12.75" customHeight="1">
      <c r="AP577" s="14"/>
      <c r="AQ577" s="20"/>
      <c r="AR577" s="21"/>
      <c r="AS577" s="20"/>
      <c r="AT577" s="21"/>
    </row>
    <row r="578" spans="42:46" s="17" customFormat="1" ht="12.75" customHeight="1">
      <c r="AP578" s="14"/>
      <c r="AQ578" s="20"/>
      <c r="AR578" s="21"/>
      <c r="AS578" s="20"/>
      <c r="AT578" s="21"/>
    </row>
    <row r="579" spans="42:46" s="17" customFormat="1" ht="12.75" customHeight="1">
      <c r="AP579" s="14"/>
      <c r="AQ579" s="20"/>
      <c r="AR579" s="21"/>
      <c r="AS579" s="20"/>
      <c r="AT579" s="21"/>
    </row>
    <row r="580" spans="42:46" s="17" customFormat="1" ht="12.75" customHeight="1">
      <c r="AP580" s="14"/>
      <c r="AQ580" s="20"/>
      <c r="AR580" s="21"/>
      <c r="AS580" s="20"/>
      <c r="AT580" s="21"/>
    </row>
    <row r="581" spans="42:46" s="17" customFormat="1" ht="12.75" customHeight="1">
      <c r="AP581" s="14"/>
      <c r="AQ581" s="20"/>
      <c r="AR581" s="21"/>
      <c r="AS581" s="20"/>
      <c r="AT581" s="21"/>
    </row>
    <row r="582" spans="42:46" s="17" customFormat="1" ht="12.75" customHeight="1">
      <c r="AP582" s="14"/>
      <c r="AQ582" s="20"/>
      <c r="AR582" s="21"/>
      <c r="AS582" s="20"/>
      <c r="AT582" s="21"/>
    </row>
    <row r="583" spans="42:46" s="17" customFormat="1" ht="12.75" customHeight="1">
      <c r="AP583" s="14"/>
      <c r="AQ583" s="20"/>
      <c r="AR583" s="21"/>
      <c r="AS583" s="20"/>
      <c r="AT583" s="21"/>
    </row>
    <row r="584" spans="42:46" s="17" customFormat="1" ht="12.75" customHeight="1">
      <c r="AP584" s="14"/>
      <c r="AQ584" s="20"/>
      <c r="AR584" s="21"/>
      <c r="AS584" s="20"/>
      <c r="AT584" s="21"/>
    </row>
    <row r="585" spans="42:46" s="17" customFormat="1" ht="12.75" customHeight="1">
      <c r="AP585" s="14"/>
      <c r="AQ585" s="20"/>
      <c r="AR585" s="21"/>
      <c r="AS585" s="20"/>
      <c r="AT585" s="21"/>
    </row>
    <row r="586" spans="42:46" s="17" customFormat="1" ht="12.75" customHeight="1">
      <c r="AP586" s="14"/>
      <c r="AQ586" s="20"/>
      <c r="AR586" s="21"/>
      <c r="AS586" s="20"/>
      <c r="AT586" s="21"/>
    </row>
    <row r="587" spans="42:46" s="17" customFormat="1" ht="12.75" customHeight="1">
      <c r="AP587" s="14"/>
      <c r="AQ587" s="20"/>
      <c r="AR587" s="21"/>
      <c r="AS587" s="20"/>
      <c r="AT587" s="21"/>
    </row>
    <row r="588" spans="42:46" s="17" customFormat="1" ht="12.75" customHeight="1">
      <c r="AP588" s="14"/>
      <c r="AQ588" s="20"/>
      <c r="AR588" s="21"/>
      <c r="AS588" s="20"/>
      <c r="AT588" s="21"/>
    </row>
    <row r="589" spans="42:46" s="17" customFormat="1" ht="12.75" customHeight="1">
      <c r="AP589" s="14"/>
      <c r="AQ589" s="20"/>
      <c r="AR589" s="21"/>
      <c r="AS589" s="20"/>
      <c r="AT589" s="21"/>
    </row>
    <row r="590" spans="42:46" s="17" customFormat="1" ht="12.75" customHeight="1">
      <c r="AP590" s="14"/>
      <c r="AQ590" s="20"/>
      <c r="AR590" s="21"/>
      <c r="AS590" s="20"/>
      <c r="AT590" s="21"/>
    </row>
    <row r="591" spans="42:46" s="17" customFormat="1" ht="12.75" customHeight="1">
      <c r="AP591" s="14"/>
      <c r="AQ591" s="20"/>
      <c r="AR591" s="21"/>
      <c r="AS591" s="20"/>
      <c r="AT591" s="21"/>
    </row>
    <row r="592" spans="42:46" s="17" customFormat="1" ht="12.75" customHeight="1">
      <c r="AP592" s="14"/>
      <c r="AQ592" s="20"/>
      <c r="AR592" s="21"/>
      <c r="AS592" s="20"/>
      <c r="AT592" s="21"/>
    </row>
    <row r="593" spans="42:46" s="17" customFormat="1" ht="12.75" customHeight="1">
      <c r="AP593" s="14"/>
      <c r="AQ593" s="20"/>
      <c r="AR593" s="21"/>
      <c r="AS593" s="20"/>
      <c r="AT593" s="21"/>
    </row>
    <row r="594" spans="42:46" s="17" customFormat="1" ht="12.75" customHeight="1">
      <c r="AP594" s="14"/>
      <c r="AQ594" s="20"/>
      <c r="AR594" s="21"/>
      <c r="AS594" s="20"/>
      <c r="AT594" s="21"/>
    </row>
    <row r="595" spans="42:46" s="17" customFormat="1" ht="12.75" customHeight="1">
      <c r="AP595" s="14"/>
      <c r="AQ595" s="20"/>
      <c r="AR595" s="21"/>
      <c r="AS595" s="20"/>
      <c r="AT595" s="21"/>
    </row>
    <row r="596" spans="42:46" s="17" customFormat="1" ht="12.75" customHeight="1">
      <c r="AP596" s="14"/>
      <c r="AQ596" s="20"/>
      <c r="AR596" s="21"/>
      <c r="AS596" s="20"/>
      <c r="AT596" s="21"/>
    </row>
    <row r="597" spans="42:46" s="17" customFormat="1" ht="12.75" customHeight="1">
      <c r="AP597" s="14"/>
      <c r="AQ597" s="20"/>
      <c r="AR597" s="21"/>
      <c r="AS597" s="20"/>
      <c r="AT597" s="21"/>
    </row>
    <row r="598" spans="42:46" s="17" customFormat="1" ht="12.75" customHeight="1">
      <c r="AP598" s="14"/>
      <c r="AQ598" s="20"/>
      <c r="AR598" s="21"/>
      <c r="AS598" s="20"/>
      <c r="AT598" s="21"/>
    </row>
    <row r="599" spans="42:46" s="17" customFormat="1" ht="12.75" customHeight="1">
      <c r="AP599" s="14"/>
      <c r="AQ599" s="20"/>
      <c r="AR599" s="21"/>
      <c r="AS599" s="20"/>
      <c r="AT599" s="21"/>
    </row>
    <row r="600" spans="42:46" s="17" customFormat="1" ht="12.75" customHeight="1">
      <c r="AP600" s="14"/>
      <c r="AQ600" s="20"/>
      <c r="AR600" s="21"/>
      <c r="AS600" s="20"/>
      <c r="AT600" s="21"/>
    </row>
    <row r="601" spans="42:46" s="17" customFormat="1" ht="12.75" customHeight="1">
      <c r="AP601" s="14"/>
      <c r="AQ601" s="20"/>
      <c r="AR601" s="21"/>
      <c r="AS601" s="20"/>
      <c r="AT601" s="21"/>
    </row>
    <row r="602" spans="42:46" s="17" customFormat="1" ht="12.75" customHeight="1">
      <c r="AP602" s="14"/>
      <c r="AQ602" s="20"/>
      <c r="AR602" s="21"/>
      <c r="AS602" s="20"/>
      <c r="AT602" s="21"/>
    </row>
    <row r="603" spans="42:46" s="17" customFormat="1" ht="12.75" customHeight="1">
      <c r="AP603" s="14"/>
      <c r="AQ603" s="20"/>
      <c r="AR603" s="21"/>
      <c r="AS603" s="20"/>
      <c r="AT603" s="21"/>
    </row>
    <row r="604" spans="42:46" s="17" customFormat="1" ht="12.75" customHeight="1">
      <c r="AP604" s="14"/>
      <c r="AQ604" s="20"/>
      <c r="AR604" s="21"/>
      <c r="AS604" s="20"/>
      <c r="AT604" s="21"/>
    </row>
    <row r="605" spans="42:46" s="17" customFormat="1" ht="12.75" customHeight="1">
      <c r="AP605" s="14"/>
      <c r="AQ605" s="20"/>
      <c r="AR605" s="21"/>
      <c r="AS605" s="20"/>
      <c r="AT605" s="21"/>
    </row>
    <row r="606" spans="42:46" s="17" customFormat="1" ht="12.75" customHeight="1">
      <c r="AP606" s="14"/>
      <c r="AQ606" s="20"/>
      <c r="AR606" s="21"/>
      <c r="AS606" s="20"/>
      <c r="AT606" s="21"/>
    </row>
    <row r="607" spans="42:46" s="17" customFormat="1" ht="12.75" customHeight="1">
      <c r="AP607" s="14"/>
      <c r="AQ607" s="20"/>
      <c r="AR607" s="21"/>
      <c r="AS607" s="20"/>
      <c r="AT607" s="21"/>
    </row>
    <row r="608" spans="42:46" s="17" customFormat="1" ht="12.75" customHeight="1">
      <c r="AP608" s="14"/>
      <c r="AQ608" s="20"/>
      <c r="AR608" s="21"/>
      <c r="AS608" s="20"/>
      <c r="AT608" s="21"/>
    </row>
    <row r="609" spans="42:46" s="17" customFormat="1" ht="12.75" customHeight="1">
      <c r="AP609" s="14"/>
      <c r="AQ609" s="20"/>
      <c r="AR609" s="21"/>
      <c r="AS609" s="20"/>
      <c r="AT609" s="21"/>
    </row>
    <row r="610" spans="42:46" s="17" customFormat="1" ht="12.75" customHeight="1">
      <c r="AP610" s="14"/>
      <c r="AQ610" s="20"/>
      <c r="AR610" s="21"/>
      <c r="AS610" s="20"/>
      <c r="AT610" s="21"/>
    </row>
    <row r="611" spans="42:46" s="17" customFormat="1" ht="12.75" customHeight="1">
      <c r="AP611" s="14"/>
      <c r="AQ611" s="20"/>
      <c r="AR611" s="21"/>
      <c r="AS611" s="20"/>
      <c r="AT611" s="21"/>
    </row>
    <row r="612" spans="42:46" s="17" customFormat="1" ht="12.75" customHeight="1">
      <c r="AP612" s="14"/>
      <c r="AQ612" s="20"/>
      <c r="AR612" s="21"/>
      <c r="AS612" s="20"/>
      <c r="AT612" s="21"/>
    </row>
    <row r="613" spans="42:46" s="17" customFormat="1" ht="12.75" customHeight="1">
      <c r="AP613" s="14"/>
      <c r="AQ613" s="20"/>
      <c r="AR613" s="21"/>
      <c r="AS613" s="20"/>
      <c r="AT613" s="21"/>
    </row>
    <row r="614" spans="42:46" s="17" customFormat="1" ht="12.75" customHeight="1">
      <c r="AP614" s="14"/>
      <c r="AQ614" s="20"/>
      <c r="AR614" s="21"/>
      <c r="AS614" s="20"/>
      <c r="AT614" s="21"/>
    </row>
    <row r="615" spans="42:46" s="17" customFormat="1" ht="12.75" customHeight="1">
      <c r="AP615" s="14"/>
      <c r="AQ615" s="20"/>
      <c r="AR615" s="21"/>
      <c r="AS615" s="20"/>
      <c r="AT615" s="21"/>
    </row>
    <row r="616" spans="42:46" s="17" customFormat="1" ht="12.75" customHeight="1">
      <c r="AP616" s="14"/>
      <c r="AQ616" s="20"/>
      <c r="AR616" s="21"/>
      <c r="AS616" s="20"/>
      <c r="AT616" s="21"/>
    </row>
    <row r="617" spans="42:46" s="17" customFormat="1" ht="12.75" customHeight="1">
      <c r="AP617" s="14"/>
      <c r="AQ617" s="20"/>
      <c r="AR617" s="21"/>
      <c r="AS617" s="20"/>
      <c r="AT617" s="21"/>
    </row>
    <row r="618" spans="42:46" s="17" customFormat="1" ht="12.75" customHeight="1">
      <c r="AP618" s="14"/>
      <c r="AQ618" s="20"/>
      <c r="AR618" s="21"/>
      <c r="AS618" s="20"/>
      <c r="AT618" s="21"/>
    </row>
    <row r="619" spans="42:46" s="17" customFormat="1" ht="12.75" customHeight="1">
      <c r="AP619" s="14"/>
      <c r="AQ619" s="20"/>
      <c r="AR619" s="21"/>
      <c r="AS619" s="20"/>
      <c r="AT619" s="21"/>
    </row>
    <row r="620" spans="42:46" s="17" customFormat="1" ht="12.75" customHeight="1">
      <c r="AP620" s="14"/>
      <c r="AQ620" s="20"/>
      <c r="AR620" s="21"/>
      <c r="AS620" s="20"/>
      <c r="AT620" s="21"/>
    </row>
    <row r="621" spans="42:46" s="17" customFormat="1" ht="12.75" customHeight="1">
      <c r="AP621" s="14"/>
      <c r="AQ621" s="20"/>
      <c r="AR621" s="21"/>
      <c r="AS621" s="20"/>
      <c r="AT621" s="21"/>
    </row>
    <row r="622" spans="42:46" s="17" customFormat="1" ht="12.75" customHeight="1">
      <c r="AP622" s="14"/>
      <c r="AQ622" s="20"/>
      <c r="AR622" s="21"/>
      <c r="AS622" s="20"/>
      <c r="AT622" s="21"/>
    </row>
    <row r="623" spans="42:46" s="17" customFormat="1" ht="12.75" customHeight="1">
      <c r="AP623" s="14"/>
      <c r="AQ623" s="20"/>
      <c r="AR623" s="21"/>
      <c r="AS623" s="20"/>
      <c r="AT623" s="21"/>
    </row>
    <row r="624" spans="42:46" s="17" customFormat="1" ht="12.75" customHeight="1">
      <c r="AP624" s="14"/>
      <c r="AQ624" s="20"/>
      <c r="AR624" s="21"/>
      <c r="AS624" s="20"/>
      <c r="AT624" s="21"/>
    </row>
    <row r="625" spans="42:46" s="17" customFormat="1" ht="12.75" customHeight="1">
      <c r="AP625" s="14"/>
      <c r="AQ625" s="20"/>
      <c r="AR625" s="21"/>
      <c r="AS625" s="20"/>
      <c r="AT625" s="21"/>
    </row>
    <row r="626" spans="42:46" s="17" customFormat="1" ht="12.75" customHeight="1">
      <c r="AP626" s="14"/>
      <c r="AQ626" s="20"/>
      <c r="AR626" s="21"/>
      <c r="AS626" s="20"/>
      <c r="AT626" s="21"/>
    </row>
    <row r="627" spans="42:46" s="17" customFormat="1" ht="12.75" customHeight="1">
      <c r="AP627" s="14"/>
      <c r="AQ627" s="20"/>
      <c r="AR627" s="21"/>
      <c r="AS627" s="20"/>
      <c r="AT627" s="21"/>
    </row>
    <row r="628" spans="42:46" s="17" customFormat="1" ht="12.75" customHeight="1">
      <c r="AP628" s="14"/>
      <c r="AQ628" s="20"/>
      <c r="AR628" s="21"/>
      <c r="AS628" s="20"/>
      <c r="AT628" s="21"/>
    </row>
    <row r="629" spans="42:46" s="17" customFormat="1" ht="12.75" customHeight="1">
      <c r="AP629" s="14"/>
      <c r="AQ629" s="20"/>
      <c r="AR629" s="21"/>
      <c r="AS629" s="20"/>
      <c r="AT629" s="21"/>
    </row>
    <row r="630" spans="42:46" s="17" customFormat="1" ht="12.75" customHeight="1">
      <c r="AP630" s="14"/>
      <c r="AQ630" s="20"/>
      <c r="AR630" s="21"/>
      <c r="AS630" s="20"/>
      <c r="AT630" s="21"/>
    </row>
    <row r="631" spans="42:46" s="17" customFormat="1" ht="12.75" customHeight="1">
      <c r="AP631" s="14"/>
      <c r="AQ631" s="20"/>
      <c r="AR631" s="21"/>
      <c r="AS631" s="20"/>
      <c r="AT631" s="21"/>
    </row>
    <row r="632" spans="42:46" s="17" customFormat="1" ht="12.75" customHeight="1">
      <c r="AP632" s="14"/>
      <c r="AQ632" s="20"/>
      <c r="AR632" s="21"/>
      <c r="AS632" s="20"/>
      <c r="AT632" s="21"/>
    </row>
    <row r="633" spans="42:46" s="17" customFormat="1" ht="12.75" customHeight="1">
      <c r="AP633" s="14"/>
      <c r="AQ633" s="20"/>
      <c r="AR633" s="21"/>
      <c r="AS633" s="20"/>
      <c r="AT633" s="21"/>
    </row>
    <row r="634" spans="42:46" s="17" customFormat="1" ht="12.75" customHeight="1">
      <c r="AP634" s="14"/>
      <c r="AQ634" s="20"/>
      <c r="AR634" s="21"/>
      <c r="AS634" s="20"/>
      <c r="AT634" s="21"/>
    </row>
    <row r="635" spans="42:46" s="17" customFormat="1" ht="12.75" customHeight="1">
      <c r="AP635" s="14"/>
      <c r="AQ635" s="20"/>
      <c r="AR635" s="21"/>
      <c r="AS635" s="20"/>
      <c r="AT635" s="21"/>
    </row>
    <row r="636" spans="42:46" s="17" customFormat="1" ht="12.75" customHeight="1">
      <c r="AP636" s="14"/>
      <c r="AQ636" s="20"/>
      <c r="AR636" s="21"/>
      <c r="AS636" s="20"/>
      <c r="AT636" s="21"/>
    </row>
    <row r="637" spans="42:46" s="17" customFormat="1" ht="12.75" customHeight="1">
      <c r="AP637" s="14"/>
      <c r="AQ637" s="20"/>
      <c r="AR637" s="21"/>
      <c r="AS637" s="20"/>
      <c r="AT637" s="21"/>
    </row>
    <row r="638" spans="42:46" s="17" customFormat="1" ht="12.75" customHeight="1">
      <c r="AP638" s="14"/>
      <c r="AQ638" s="20"/>
      <c r="AR638" s="21"/>
      <c r="AS638" s="20"/>
      <c r="AT638" s="21"/>
    </row>
    <row r="639" spans="42:46" s="17" customFormat="1" ht="12.75" customHeight="1">
      <c r="AP639" s="14"/>
      <c r="AQ639" s="20"/>
      <c r="AR639" s="21"/>
      <c r="AS639" s="20"/>
      <c r="AT639" s="21"/>
    </row>
    <row r="640" spans="42:46" s="17" customFormat="1" ht="12.75" customHeight="1">
      <c r="AP640" s="14"/>
      <c r="AQ640" s="20"/>
      <c r="AR640" s="21"/>
      <c r="AS640" s="20"/>
      <c r="AT640" s="21"/>
    </row>
    <row r="641" spans="42:46" s="17" customFormat="1" ht="12.75" customHeight="1">
      <c r="AP641" s="14"/>
      <c r="AQ641" s="20"/>
      <c r="AR641" s="21"/>
      <c r="AS641" s="20"/>
      <c r="AT641" s="21"/>
    </row>
    <row r="642" spans="42:46" s="17" customFormat="1" ht="12.75" customHeight="1">
      <c r="AP642" s="14"/>
      <c r="AQ642" s="20"/>
      <c r="AR642" s="21"/>
      <c r="AS642" s="20"/>
      <c r="AT642" s="21"/>
    </row>
    <row r="643" spans="42:46" s="17" customFormat="1" ht="12.75" customHeight="1">
      <c r="AP643" s="14"/>
      <c r="AQ643" s="20"/>
      <c r="AR643" s="21"/>
      <c r="AS643" s="20"/>
      <c r="AT643" s="21"/>
    </row>
    <row r="644" spans="42:46" s="17" customFormat="1" ht="12.75" customHeight="1">
      <c r="AP644" s="14"/>
      <c r="AQ644" s="20"/>
      <c r="AR644" s="21"/>
      <c r="AS644" s="20"/>
      <c r="AT644" s="21"/>
    </row>
    <row r="645" spans="42:46" s="17" customFormat="1" ht="12.75" customHeight="1">
      <c r="AP645" s="14"/>
      <c r="AQ645" s="20"/>
      <c r="AR645" s="21"/>
      <c r="AS645" s="20"/>
      <c r="AT645" s="21"/>
    </row>
    <row r="646" spans="42:46" s="17" customFormat="1" ht="12.75" customHeight="1">
      <c r="AP646" s="14"/>
      <c r="AQ646" s="20"/>
      <c r="AR646" s="21"/>
      <c r="AS646" s="20"/>
      <c r="AT646" s="21"/>
    </row>
    <row r="647" spans="42:46" s="17" customFormat="1" ht="12.75" customHeight="1">
      <c r="AP647" s="14"/>
      <c r="AQ647" s="20"/>
      <c r="AR647" s="21"/>
      <c r="AS647" s="20"/>
      <c r="AT647" s="21"/>
    </row>
    <row r="648" spans="42:46" s="17" customFormat="1" ht="12.75" customHeight="1">
      <c r="AP648" s="14"/>
      <c r="AQ648" s="20"/>
      <c r="AR648" s="21"/>
      <c r="AS648" s="20"/>
      <c r="AT648" s="21"/>
    </row>
    <row r="649" spans="42:46" s="17" customFormat="1" ht="12.75" customHeight="1">
      <c r="AP649" s="14"/>
      <c r="AQ649" s="20"/>
      <c r="AR649" s="21"/>
      <c r="AS649" s="20"/>
      <c r="AT649" s="21"/>
    </row>
    <row r="650" spans="42:46" s="17" customFormat="1" ht="12.75" customHeight="1">
      <c r="AP650" s="14"/>
      <c r="AQ650" s="20"/>
      <c r="AR650" s="21"/>
      <c r="AS650" s="20"/>
      <c r="AT650" s="21"/>
    </row>
    <row r="651" spans="42:46" s="17" customFormat="1" ht="12.75" customHeight="1">
      <c r="AP651" s="14"/>
      <c r="AQ651" s="20"/>
      <c r="AR651" s="21"/>
      <c r="AS651" s="20"/>
      <c r="AT651" s="21"/>
    </row>
    <row r="652" spans="42:46" s="17" customFormat="1" ht="12.75" customHeight="1">
      <c r="AP652" s="14"/>
      <c r="AQ652" s="20"/>
      <c r="AR652" s="21"/>
      <c r="AS652" s="20"/>
      <c r="AT652" s="21"/>
    </row>
    <row r="653" spans="42:46" s="17" customFormat="1" ht="12.75" customHeight="1">
      <c r="AP653" s="14"/>
      <c r="AQ653" s="20"/>
      <c r="AR653" s="21"/>
      <c r="AS653" s="20"/>
      <c r="AT653" s="21"/>
    </row>
    <row r="654" spans="42:46" s="17" customFormat="1" ht="12.75" customHeight="1">
      <c r="AP654" s="14"/>
      <c r="AQ654" s="20"/>
      <c r="AR654" s="21"/>
      <c r="AS654" s="20"/>
      <c r="AT654" s="21"/>
    </row>
    <row r="655" spans="42:46" s="17" customFormat="1" ht="12.75" customHeight="1">
      <c r="AP655" s="14"/>
      <c r="AQ655" s="20"/>
      <c r="AR655" s="21"/>
      <c r="AS655" s="20"/>
      <c r="AT655" s="21"/>
    </row>
    <row r="656" spans="42:46" s="17" customFormat="1" ht="12.75" customHeight="1">
      <c r="AP656" s="14"/>
      <c r="AQ656" s="20"/>
      <c r="AR656" s="21"/>
      <c r="AS656" s="20"/>
      <c r="AT656" s="21"/>
    </row>
    <row r="657" spans="42:46" s="17" customFormat="1" ht="12.75" customHeight="1">
      <c r="AP657" s="14"/>
      <c r="AQ657" s="20"/>
      <c r="AR657" s="21"/>
      <c r="AS657" s="20"/>
      <c r="AT657" s="21"/>
    </row>
    <row r="658" spans="42:46" s="17" customFormat="1" ht="12.75" customHeight="1">
      <c r="AP658" s="14"/>
      <c r="AQ658" s="20"/>
      <c r="AR658" s="21"/>
      <c r="AS658" s="20"/>
      <c r="AT658" s="21"/>
    </row>
    <row r="659" spans="42:46" s="17" customFormat="1" ht="12.75" customHeight="1">
      <c r="AP659" s="14"/>
      <c r="AQ659" s="20"/>
      <c r="AR659" s="21"/>
      <c r="AS659" s="20"/>
      <c r="AT659" s="21"/>
    </row>
    <row r="660" spans="42:46" s="17" customFormat="1" ht="12.75" customHeight="1">
      <c r="AP660" s="14"/>
      <c r="AQ660" s="20"/>
      <c r="AR660" s="21"/>
      <c r="AS660" s="20"/>
      <c r="AT660" s="21"/>
    </row>
    <row r="661" spans="42:46" s="17" customFormat="1" ht="12.75" customHeight="1">
      <c r="AP661" s="14"/>
      <c r="AQ661" s="20"/>
      <c r="AR661" s="21"/>
      <c r="AS661" s="20"/>
      <c r="AT661" s="21"/>
    </row>
    <row r="662" spans="42:46" s="17" customFormat="1" ht="12.75" customHeight="1">
      <c r="AP662" s="14"/>
      <c r="AQ662" s="20"/>
      <c r="AR662" s="21"/>
      <c r="AS662" s="20"/>
      <c r="AT662" s="21"/>
    </row>
    <row r="663" spans="42:46" s="17" customFormat="1" ht="12.75" customHeight="1">
      <c r="AP663" s="14"/>
      <c r="AQ663" s="20"/>
      <c r="AR663" s="21"/>
      <c r="AS663" s="20"/>
      <c r="AT663" s="21"/>
    </row>
    <row r="664" spans="42:46" s="17" customFormat="1" ht="12.75" customHeight="1">
      <c r="AP664" s="14"/>
      <c r="AQ664" s="20"/>
      <c r="AR664" s="21"/>
      <c r="AS664" s="20"/>
      <c r="AT664" s="21"/>
    </row>
    <row r="665" spans="42:46" s="17" customFormat="1" ht="12.75" customHeight="1">
      <c r="AP665" s="14"/>
      <c r="AQ665" s="20"/>
      <c r="AR665" s="21"/>
      <c r="AS665" s="20"/>
      <c r="AT665" s="21"/>
    </row>
    <row r="666" spans="42:46" s="17" customFormat="1" ht="12.75" customHeight="1">
      <c r="AP666" s="14"/>
      <c r="AQ666" s="20"/>
      <c r="AR666" s="21"/>
      <c r="AS666" s="20"/>
      <c r="AT666" s="21"/>
    </row>
    <row r="667" spans="42:46" s="17" customFormat="1" ht="12.75" customHeight="1">
      <c r="AP667" s="14"/>
      <c r="AQ667" s="20"/>
      <c r="AR667" s="21"/>
      <c r="AS667" s="20"/>
      <c r="AT667" s="21"/>
    </row>
    <row r="668" spans="42:46" s="17" customFormat="1" ht="12.75" customHeight="1">
      <c r="AP668" s="14"/>
      <c r="AQ668" s="20"/>
      <c r="AR668" s="21"/>
      <c r="AS668" s="20"/>
      <c r="AT668" s="21"/>
    </row>
    <row r="669" spans="42:46" s="17" customFormat="1" ht="12.75" customHeight="1">
      <c r="AP669" s="14"/>
      <c r="AQ669" s="20"/>
      <c r="AR669" s="21"/>
      <c r="AS669" s="20"/>
      <c r="AT669" s="21"/>
    </row>
    <row r="670" spans="42:46" s="17" customFormat="1" ht="12.75" customHeight="1">
      <c r="AP670" s="14"/>
      <c r="AQ670" s="20"/>
      <c r="AR670" s="21"/>
      <c r="AS670" s="20"/>
      <c r="AT670" s="21"/>
    </row>
    <row r="671" spans="42:46" s="17" customFormat="1" ht="12.75" customHeight="1">
      <c r="AP671" s="14"/>
      <c r="AQ671" s="20"/>
      <c r="AR671" s="21"/>
      <c r="AS671" s="20"/>
      <c r="AT671" s="21"/>
    </row>
    <row r="672" spans="42:46" s="17" customFormat="1" ht="12.75" customHeight="1">
      <c r="AP672" s="14"/>
      <c r="AQ672" s="20"/>
      <c r="AR672" s="21"/>
      <c r="AS672" s="20"/>
      <c r="AT672" s="21"/>
    </row>
    <row r="673" spans="42:46" s="17" customFormat="1" ht="12.75" customHeight="1">
      <c r="AP673" s="14"/>
      <c r="AQ673" s="20"/>
      <c r="AR673" s="21"/>
      <c r="AS673" s="20"/>
      <c r="AT673" s="21"/>
    </row>
    <row r="674" spans="42:46" s="17" customFormat="1" ht="12.75" customHeight="1">
      <c r="AP674" s="14"/>
      <c r="AQ674" s="20"/>
      <c r="AR674" s="21"/>
      <c r="AS674" s="20"/>
      <c r="AT674" s="21"/>
    </row>
    <row r="675" spans="42:46" s="17" customFormat="1" ht="12.75" customHeight="1">
      <c r="AP675" s="14"/>
      <c r="AQ675" s="20"/>
      <c r="AR675" s="21"/>
      <c r="AS675" s="20"/>
      <c r="AT675" s="21"/>
    </row>
    <row r="676" spans="42:46" s="17" customFormat="1" ht="12.75" customHeight="1">
      <c r="AP676" s="14"/>
      <c r="AQ676" s="20"/>
      <c r="AR676" s="21"/>
      <c r="AS676" s="20"/>
      <c r="AT676" s="21"/>
    </row>
    <row r="677" spans="42:46" s="17" customFormat="1" ht="12.75" customHeight="1">
      <c r="AP677" s="14"/>
      <c r="AQ677" s="20"/>
      <c r="AR677" s="21"/>
      <c r="AS677" s="20"/>
      <c r="AT677" s="21"/>
    </row>
    <row r="678" spans="42:46" s="17" customFormat="1" ht="12.75" customHeight="1">
      <c r="AP678" s="14"/>
      <c r="AQ678" s="20"/>
      <c r="AR678" s="21"/>
      <c r="AS678" s="20"/>
      <c r="AT678" s="21"/>
    </row>
    <row r="679" spans="42:46" s="17" customFormat="1" ht="12.75" customHeight="1">
      <c r="AP679" s="14"/>
      <c r="AQ679" s="20"/>
      <c r="AR679" s="21"/>
      <c r="AS679" s="20"/>
      <c r="AT679" s="21"/>
    </row>
    <row r="680" spans="42:46" s="17" customFormat="1" ht="12.75" customHeight="1">
      <c r="AP680" s="14"/>
      <c r="AQ680" s="20"/>
      <c r="AR680" s="21"/>
      <c r="AS680" s="20"/>
      <c r="AT680" s="21"/>
    </row>
    <row r="681" spans="42:46" s="17" customFormat="1" ht="12.75" customHeight="1">
      <c r="AP681" s="14"/>
      <c r="AQ681" s="20"/>
      <c r="AR681" s="21"/>
      <c r="AS681" s="20"/>
      <c r="AT681" s="21"/>
    </row>
    <row r="682" spans="42:46" s="17" customFormat="1" ht="12.75" customHeight="1">
      <c r="AP682" s="14"/>
      <c r="AQ682" s="20"/>
      <c r="AR682" s="21"/>
      <c r="AS682" s="20"/>
      <c r="AT682" s="21"/>
    </row>
    <row r="683" spans="42:46" s="17" customFormat="1" ht="12.75" customHeight="1">
      <c r="AP683" s="14"/>
      <c r="AQ683" s="20"/>
      <c r="AR683" s="21"/>
      <c r="AS683" s="20"/>
      <c r="AT683" s="21"/>
    </row>
    <row r="684" spans="42:46" s="17" customFormat="1" ht="12.75" customHeight="1">
      <c r="AP684" s="14"/>
      <c r="AQ684" s="20"/>
      <c r="AR684" s="21"/>
      <c r="AS684" s="20"/>
      <c r="AT684" s="21"/>
    </row>
    <row r="685" spans="42:46" s="17" customFormat="1" ht="12.75" customHeight="1">
      <c r="AP685" s="14"/>
      <c r="AQ685" s="20"/>
      <c r="AR685" s="21"/>
      <c r="AS685" s="20"/>
      <c r="AT685" s="21"/>
    </row>
    <row r="686" spans="42:46" s="17" customFormat="1" ht="12.75" customHeight="1">
      <c r="AP686" s="14"/>
      <c r="AQ686" s="20"/>
      <c r="AR686" s="21"/>
      <c r="AS686" s="20"/>
      <c r="AT686" s="21"/>
    </row>
    <row r="687" spans="42:46" s="17" customFormat="1" ht="12.75" customHeight="1">
      <c r="AP687" s="14"/>
      <c r="AQ687" s="20"/>
      <c r="AR687" s="21"/>
      <c r="AS687" s="20"/>
      <c r="AT687" s="21"/>
    </row>
    <row r="688" spans="42:46" s="17" customFormat="1" ht="12.75" customHeight="1">
      <c r="AP688" s="14"/>
      <c r="AQ688" s="20"/>
      <c r="AR688" s="21"/>
      <c r="AS688" s="20"/>
      <c r="AT688" s="21"/>
    </row>
    <row r="689" spans="42:46" s="17" customFormat="1" ht="12.75" customHeight="1">
      <c r="AP689" s="14"/>
      <c r="AQ689" s="20"/>
      <c r="AR689" s="21"/>
      <c r="AS689" s="20"/>
      <c r="AT689" s="21"/>
    </row>
    <row r="690" spans="42:46" s="17" customFormat="1" ht="12.75" customHeight="1">
      <c r="AP690" s="14"/>
      <c r="AQ690" s="20"/>
      <c r="AR690" s="21"/>
      <c r="AS690" s="20"/>
      <c r="AT690" s="21"/>
    </row>
    <row r="691" spans="42:46" s="17" customFormat="1" ht="12.75" customHeight="1">
      <c r="AP691" s="14"/>
      <c r="AQ691" s="20"/>
      <c r="AR691" s="21"/>
      <c r="AS691" s="20"/>
      <c r="AT691" s="21"/>
    </row>
    <row r="692" spans="42:46" s="17" customFormat="1" ht="12.75" customHeight="1">
      <c r="AP692" s="14"/>
      <c r="AQ692" s="20"/>
      <c r="AR692" s="21"/>
      <c r="AS692" s="20"/>
      <c r="AT692" s="21"/>
    </row>
    <row r="693" spans="42:46" s="17" customFormat="1" ht="12.75" customHeight="1">
      <c r="AP693" s="14"/>
      <c r="AQ693" s="20"/>
      <c r="AR693" s="21"/>
      <c r="AS693" s="20"/>
      <c r="AT693" s="21"/>
    </row>
    <row r="694" spans="42:46" s="17" customFormat="1" ht="12.75" customHeight="1">
      <c r="AP694" s="14"/>
      <c r="AQ694" s="20"/>
      <c r="AR694" s="21"/>
      <c r="AS694" s="20"/>
      <c r="AT694" s="21"/>
    </row>
    <row r="695" spans="42:46" s="17" customFormat="1" ht="12.75" customHeight="1">
      <c r="AP695" s="14"/>
      <c r="AQ695" s="20"/>
      <c r="AR695" s="21"/>
      <c r="AS695" s="20"/>
      <c r="AT695" s="21"/>
    </row>
    <row r="696" spans="42:46" s="17" customFormat="1" ht="12.75" customHeight="1">
      <c r="AP696" s="14"/>
      <c r="AQ696" s="20"/>
      <c r="AR696" s="21"/>
      <c r="AS696" s="20"/>
      <c r="AT696" s="21"/>
    </row>
    <row r="697" spans="42:46" s="17" customFormat="1" ht="12.75" customHeight="1">
      <c r="AP697" s="14"/>
      <c r="AQ697" s="20"/>
      <c r="AR697" s="21"/>
      <c r="AS697" s="20"/>
      <c r="AT697" s="21"/>
    </row>
    <row r="698" spans="42:46" s="17" customFormat="1" ht="12.75" customHeight="1">
      <c r="AP698" s="14"/>
      <c r="AQ698" s="20"/>
      <c r="AR698" s="21"/>
      <c r="AS698" s="20"/>
      <c r="AT698" s="21"/>
    </row>
    <row r="699" spans="42:46" s="17" customFormat="1" ht="12.75" customHeight="1">
      <c r="AP699" s="14"/>
      <c r="AQ699" s="20"/>
      <c r="AR699" s="21"/>
      <c r="AS699" s="20"/>
      <c r="AT699" s="21"/>
    </row>
    <row r="700" spans="42:46" s="17" customFormat="1" ht="12.75" customHeight="1">
      <c r="AP700" s="14"/>
      <c r="AQ700" s="20"/>
      <c r="AR700" s="21"/>
      <c r="AS700" s="20"/>
      <c r="AT700" s="21"/>
    </row>
    <row r="701" spans="42:46" s="17" customFormat="1" ht="12.75" customHeight="1">
      <c r="AP701" s="14"/>
      <c r="AQ701" s="20"/>
      <c r="AR701" s="21"/>
      <c r="AS701" s="20"/>
      <c r="AT701" s="21"/>
    </row>
    <row r="702" spans="42:46" s="17" customFormat="1" ht="12.75" customHeight="1">
      <c r="AP702" s="14"/>
      <c r="AQ702" s="20"/>
      <c r="AR702" s="21"/>
      <c r="AS702" s="20"/>
      <c r="AT702" s="21"/>
    </row>
    <row r="703" spans="42:46" s="17" customFormat="1" ht="12.75" customHeight="1">
      <c r="AP703" s="14"/>
      <c r="AQ703" s="20"/>
      <c r="AR703" s="21"/>
      <c r="AS703" s="20"/>
      <c r="AT703" s="21"/>
    </row>
    <row r="704" spans="42:46" s="17" customFormat="1" ht="12.75" customHeight="1">
      <c r="AP704" s="14"/>
      <c r="AQ704" s="20"/>
      <c r="AR704" s="21"/>
      <c r="AS704" s="20"/>
      <c r="AT704" s="21"/>
    </row>
    <row r="705" spans="42:46" s="17" customFormat="1" ht="12.75" customHeight="1">
      <c r="AP705" s="14"/>
      <c r="AQ705" s="20"/>
      <c r="AR705" s="21"/>
      <c r="AS705" s="20"/>
      <c r="AT705" s="21"/>
    </row>
    <row r="706" spans="42:46" s="17" customFormat="1" ht="12.75" customHeight="1">
      <c r="AP706" s="14"/>
      <c r="AQ706" s="20"/>
      <c r="AR706" s="21"/>
      <c r="AS706" s="20"/>
      <c r="AT706" s="21"/>
    </row>
    <row r="707" spans="42:46" s="17" customFormat="1" ht="12.75" customHeight="1">
      <c r="AP707" s="14"/>
      <c r="AQ707" s="20"/>
      <c r="AR707" s="21"/>
      <c r="AS707" s="20"/>
      <c r="AT707" s="21"/>
    </row>
    <row r="708" spans="42:46" s="17" customFormat="1" ht="12.75" customHeight="1">
      <c r="AP708" s="14"/>
      <c r="AQ708" s="20"/>
      <c r="AR708" s="21"/>
      <c r="AS708" s="20"/>
      <c r="AT708" s="21"/>
    </row>
    <row r="709" spans="42:46" s="17" customFormat="1" ht="12.75" customHeight="1">
      <c r="AP709" s="14"/>
      <c r="AQ709" s="20"/>
      <c r="AR709" s="21"/>
      <c r="AS709" s="20"/>
      <c r="AT709" s="21"/>
    </row>
    <row r="710" spans="42:46" s="17" customFormat="1" ht="12.75" customHeight="1">
      <c r="AP710" s="14"/>
      <c r="AQ710" s="20"/>
      <c r="AR710" s="21"/>
      <c r="AS710" s="20"/>
      <c r="AT710" s="21"/>
    </row>
    <row r="711" spans="42:46" s="17" customFormat="1" ht="12.75" customHeight="1">
      <c r="AP711" s="14"/>
      <c r="AQ711" s="20"/>
      <c r="AR711" s="21"/>
      <c r="AS711" s="20"/>
      <c r="AT711" s="21"/>
    </row>
    <row r="712" spans="42:46" s="17" customFormat="1" ht="12.75" customHeight="1">
      <c r="AP712" s="14"/>
      <c r="AQ712" s="20"/>
      <c r="AR712" s="21"/>
      <c r="AS712" s="20"/>
      <c r="AT712" s="21"/>
    </row>
    <row r="713" spans="42:46" s="17" customFormat="1" ht="12.75" customHeight="1">
      <c r="AP713" s="14"/>
      <c r="AQ713" s="20"/>
      <c r="AR713" s="21"/>
      <c r="AS713" s="20"/>
      <c r="AT713" s="21"/>
    </row>
    <row r="714" spans="42:46" s="17" customFormat="1" ht="12.75" customHeight="1">
      <c r="AP714" s="14"/>
      <c r="AQ714" s="20"/>
      <c r="AR714" s="21"/>
      <c r="AS714" s="20"/>
      <c r="AT714" s="21"/>
    </row>
    <row r="715" spans="42:46" s="17" customFormat="1" ht="12.75" customHeight="1">
      <c r="AP715" s="14"/>
      <c r="AQ715" s="20"/>
      <c r="AR715" s="21"/>
      <c r="AS715" s="20"/>
      <c r="AT715" s="21"/>
    </row>
    <row r="716" spans="42:46" s="17" customFormat="1" ht="12.75" customHeight="1">
      <c r="AP716" s="14"/>
      <c r="AQ716" s="20"/>
      <c r="AR716" s="21"/>
      <c r="AS716" s="20"/>
      <c r="AT716" s="21"/>
    </row>
    <row r="717" spans="42:46" s="17" customFormat="1" ht="12.75" customHeight="1">
      <c r="AP717" s="14"/>
      <c r="AQ717" s="20"/>
      <c r="AR717" s="21"/>
      <c r="AS717" s="20"/>
      <c r="AT717" s="21"/>
    </row>
    <row r="718" spans="42:46" s="17" customFormat="1" ht="12.75" customHeight="1">
      <c r="AP718" s="14"/>
      <c r="AQ718" s="20"/>
      <c r="AR718" s="21"/>
      <c r="AS718" s="20"/>
      <c r="AT718" s="21"/>
    </row>
    <row r="719" spans="42:46" s="17" customFormat="1" ht="12.75" customHeight="1">
      <c r="AP719" s="14"/>
      <c r="AQ719" s="20"/>
      <c r="AR719" s="21"/>
      <c r="AS719" s="20"/>
      <c r="AT719" s="21"/>
    </row>
    <row r="720" spans="42:46" s="17" customFormat="1" ht="12.75" customHeight="1">
      <c r="AP720" s="14"/>
      <c r="AQ720" s="20"/>
      <c r="AR720" s="21"/>
      <c r="AS720" s="20"/>
      <c r="AT720" s="21"/>
    </row>
    <row r="721" spans="42:46" s="17" customFormat="1" ht="12.75" customHeight="1">
      <c r="AP721" s="14"/>
      <c r="AQ721" s="20"/>
      <c r="AR721" s="21"/>
      <c r="AS721" s="20"/>
      <c r="AT721" s="21"/>
    </row>
    <row r="722" spans="42:46" s="17" customFormat="1" ht="12.75" customHeight="1">
      <c r="AP722" s="14"/>
      <c r="AQ722" s="20"/>
      <c r="AR722" s="21"/>
      <c r="AS722" s="20"/>
      <c r="AT722" s="21"/>
    </row>
    <row r="723" spans="42:46" s="17" customFormat="1" ht="12.75" customHeight="1">
      <c r="AP723" s="14"/>
      <c r="AQ723" s="20"/>
      <c r="AR723" s="21"/>
      <c r="AS723" s="20"/>
      <c r="AT723" s="21"/>
    </row>
    <row r="724" spans="42:46" s="17" customFormat="1" ht="12.75" customHeight="1">
      <c r="AP724" s="14"/>
      <c r="AQ724" s="20"/>
      <c r="AR724" s="21"/>
      <c r="AS724" s="20"/>
      <c r="AT724" s="21"/>
    </row>
    <row r="725" spans="42:46" s="17" customFormat="1" ht="12.75" customHeight="1">
      <c r="AP725" s="14"/>
      <c r="AQ725" s="20"/>
      <c r="AR725" s="21"/>
      <c r="AS725" s="20"/>
      <c r="AT725" s="21"/>
    </row>
    <row r="726" spans="42:46" s="17" customFormat="1" ht="12.75" customHeight="1">
      <c r="AP726" s="14"/>
      <c r="AQ726" s="20"/>
      <c r="AR726" s="21"/>
      <c r="AS726" s="20"/>
      <c r="AT726" s="21"/>
    </row>
    <row r="727" spans="42:46" s="17" customFormat="1" ht="12.75" customHeight="1">
      <c r="AP727" s="14"/>
      <c r="AQ727" s="20"/>
      <c r="AR727" s="21"/>
      <c r="AS727" s="20"/>
      <c r="AT727" s="21"/>
    </row>
    <row r="728" spans="42:46" s="17" customFormat="1" ht="12.75" customHeight="1">
      <c r="AP728" s="14"/>
      <c r="AQ728" s="20"/>
      <c r="AR728" s="21"/>
      <c r="AS728" s="20"/>
      <c r="AT728" s="21"/>
    </row>
    <row r="729" spans="42:46" s="17" customFormat="1" ht="12.75" customHeight="1">
      <c r="AP729" s="14"/>
      <c r="AQ729" s="20"/>
      <c r="AR729" s="21"/>
      <c r="AS729" s="20"/>
      <c r="AT729" s="21"/>
    </row>
    <row r="730" spans="42:46" s="17" customFormat="1" ht="12.75" customHeight="1">
      <c r="AP730" s="14"/>
      <c r="AQ730" s="20"/>
      <c r="AR730" s="21"/>
      <c r="AS730" s="20"/>
      <c r="AT730" s="21"/>
    </row>
    <row r="731" spans="42:46" s="17" customFormat="1" ht="12.75" customHeight="1">
      <c r="AP731" s="14"/>
      <c r="AQ731" s="20"/>
      <c r="AR731" s="21"/>
      <c r="AS731" s="20"/>
      <c r="AT731" s="21"/>
    </row>
    <row r="732" spans="42:46" s="17" customFormat="1" ht="12.75" customHeight="1">
      <c r="AP732" s="14"/>
      <c r="AQ732" s="20"/>
      <c r="AR732" s="21"/>
      <c r="AS732" s="20"/>
      <c r="AT732" s="21"/>
    </row>
    <row r="733" spans="42:46" s="17" customFormat="1" ht="12.75" customHeight="1">
      <c r="AP733" s="14"/>
      <c r="AQ733" s="20"/>
      <c r="AR733" s="21"/>
      <c r="AS733" s="20"/>
      <c r="AT733" s="21"/>
    </row>
    <row r="734" spans="42:46" s="17" customFormat="1" ht="12.75" customHeight="1">
      <c r="AP734" s="14"/>
      <c r="AQ734" s="20"/>
      <c r="AR734" s="21"/>
      <c r="AS734" s="20"/>
      <c r="AT734" s="21"/>
    </row>
    <row r="735" spans="42:46" s="17" customFormat="1" ht="12.75" customHeight="1">
      <c r="AP735" s="14"/>
      <c r="AQ735" s="20"/>
      <c r="AR735" s="21"/>
      <c r="AS735" s="20"/>
      <c r="AT735" s="21"/>
    </row>
    <row r="736" spans="42:46" s="17" customFormat="1" ht="12.75" customHeight="1">
      <c r="AP736" s="14"/>
      <c r="AQ736" s="20"/>
      <c r="AR736" s="21"/>
      <c r="AS736" s="20"/>
      <c r="AT736" s="21"/>
    </row>
    <row r="737" spans="42:46" s="17" customFormat="1" ht="12.75" customHeight="1">
      <c r="AP737" s="14"/>
      <c r="AQ737" s="20"/>
      <c r="AR737" s="21"/>
      <c r="AS737" s="20"/>
      <c r="AT737" s="21"/>
    </row>
    <row r="738" spans="42:46" s="17" customFormat="1" ht="12.75" customHeight="1">
      <c r="AP738" s="14"/>
      <c r="AQ738" s="20"/>
      <c r="AR738" s="21"/>
      <c r="AS738" s="20"/>
      <c r="AT738" s="21"/>
    </row>
    <row r="739" spans="42:46" s="17" customFormat="1" ht="12.75" customHeight="1">
      <c r="AP739" s="14"/>
      <c r="AQ739" s="20"/>
      <c r="AR739" s="21"/>
      <c r="AS739" s="20"/>
      <c r="AT739" s="21"/>
    </row>
    <row r="740" spans="42:46" s="17" customFormat="1" ht="12.75" customHeight="1">
      <c r="AP740" s="14"/>
      <c r="AQ740" s="20"/>
      <c r="AR740" s="21"/>
      <c r="AS740" s="20"/>
      <c r="AT740" s="21"/>
    </row>
    <row r="741" spans="42:46" s="17" customFormat="1" ht="12.75" customHeight="1">
      <c r="AP741" s="14"/>
      <c r="AQ741" s="20"/>
      <c r="AR741" s="21"/>
      <c r="AS741" s="20"/>
      <c r="AT741" s="21"/>
    </row>
    <row r="742" spans="42:46" s="17" customFormat="1" ht="12.75" customHeight="1">
      <c r="AP742" s="14"/>
      <c r="AQ742" s="20"/>
      <c r="AR742" s="21"/>
      <c r="AS742" s="20"/>
      <c r="AT742" s="21"/>
    </row>
    <row r="743" spans="42:46" s="17" customFormat="1" ht="12.75" customHeight="1">
      <c r="AP743" s="14"/>
      <c r="AQ743" s="20"/>
      <c r="AR743" s="21"/>
      <c r="AS743" s="20"/>
      <c r="AT743" s="21"/>
    </row>
    <row r="744" spans="42:46" s="17" customFormat="1" ht="12.75" customHeight="1">
      <c r="AP744" s="14"/>
      <c r="AQ744" s="20"/>
      <c r="AR744" s="21"/>
      <c r="AS744" s="20"/>
      <c r="AT744" s="21"/>
    </row>
    <row r="745" spans="42:46" s="17" customFormat="1" ht="12.75" customHeight="1">
      <c r="AP745" s="14"/>
      <c r="AQ745" s="20"/>
      <c r="AR745" s="21"/>
      <c r="AS745" s="20"/>
      <c r="AT745" s="21"/>
    </row>
    <row r="746" spans="42:46" s="17" customFormat="1" ht="12.75" customHeight="1">
      <c r="AP746" s="14"/>
      <c r="AQ746" s="20"/>
      <c r="AR746" s="21"/>
      <c r="AS746" s="20"/>
      <c r="AT746" s="21"/>
    </row>
    <row r="747" spans="42:46" s="17" customFormat="1" ht="12.75" customHeight="1">
      <c r="AP747" s="14"/>
      <c r="AQ747" s="20"/>
      <c r="AR747" s="21"/>
      <c r="AS747" s="20"/>
      <c r="AT747" s="21"/>
    </row>
    <row r="748" spans="42:46" s="17" customFormat="1" ht="12.75" customHeight="1">
      <c r="AP748" s="14"/>
      <c r="AQ748" s="20"/>
      <c r="AR748" s="21"/>
      <c r="AS748" s="20"/>
      <c r="AT748" s="21"/>
    </row>
    <row r="749" spans="42:46" s="17" customFormat="1" ht="12.75" customHeight="1">
      <c r="AP749" s="14"/>
      <c r="AQ749" s="20"/>
      <c r="AR749" s="21"/>
      <c r="AS749" s="20"/>
      <c r="AT749" s="21"/>
    </row>
    <row r="750" spans="42:46" s="17" customFormat="1" ht="12.75" customHeight="1">
      <c r="AP750" s="14"/>
      <c r="AQ750" s="20"/>
      <c r="AR750" s="21"/>
      <c r="AS750" s="20"/>
      <c r="AT750" s="21"/>
    </row>
    <row r="751" spans="42:46" s="17" customFormat="1" ht="12.75" customHeight="1">
      <c r="AP751" s="14"/>
      <c r="AQ751" s="20"/>
      <c r="AR751" s="21"/>
      <c r="AS751" s="20"/>
      <c r="AT751" s="21"/>
    </row>
    <row r="752" spans="42:46" s="17" customFormat="1" ht="12.75" customHeight="1">
      <c r="AP752" s="14"/>
      <c r="AQ752" s="20"/>
      <c r="AR752" s="21"/>
      <c r="AS752" s="20"/>
      <c r="AT752" s="21"/>
    </row>
    <row r="753" spans="42:46" s="17" customFormat="1" ht="12.75" customHeight="1">
      <c r="AP753" s="14"/>
      <c r="AQ753" s="20"/>
      <c r="AR753" s="21"/>
      <c r="AS753" s="20"/>
      <c r="AT753" s="21"/>
    </row>
    <row r="754" spans="42:46" s="17" customFormat="1" ht="12.75" customHeight="1">
      <c r="AP754" s="14"/>
      <c r="AQ754" s="20"/>
      <c r="AR754" s="21"/>
      <c r="AS754" s="20"/>
      <c r="AT754" s="21"/>
    </row>
    <row r="755" spans="42:46" s="17" customFormat="1" ht="12.75" customHeight="1">
      <c r="AP755" s="14"/>
      <c r="AQ755" s="20"/>
      <c r="AR755" s="21"/>
      <c r="AS755" s="20"/>
      <c r="AT755" s="21"/>
    </row>
    <row r="756" spans="42:46" s="17" customFormat="1" ht="12.75" customHeight="1">
      <c r="AP756" s="14"/>
      <c r="AQ756" s="20"/>
      <c r="AR756" s="21"/>
      <c r="AS756" s="20"/>
      <c r="AT756" s="21"/>
    </row>
    <row r="757" spans="42:46" s="17" customFormat="1" ht="12.75" customHeight="1">
      <c r="AP757" s="14"/>
      <c r="AQ757" s="20"/>
      <c r="AR757" s="21"/>
      <c r="AS757" s="20"/>
      <c r="AT757" s="21"/>
    </row>
    <row r="758" spans="42:46" s="17" customFormat="1" ht="12.75" customHeight="1">
      <c r="AP758" s="14"/>
      <c r="AQ758" s="20"/>
      <c r="AR758" s="21"/>
      <c r="AS758" s="20"/>
      <c r="AT758" s="21"/>
    </row>
    <row r="759" spans="42:46" s="17" customFormat="1" ht="12.75" customHeight="1">
      <c r="AP759" s="14"/>
      <c r="AQ759" s="20"/>
      <c r="AR759" s="21"/>
      <c r="AS759" s="20"/>
      <c r="AT759" s="21"/>
    </row>
    <row r="760" spans="42:46" s="17" customFormat="1" ht="12.75" customHeight="1">
      <c r="AP760" s="14"/>
      <c r="AQ760" s="20"/>
      <c r="AR760" s="21"/>
      <c r="AS760" s="20"/>
      <c r="AT760" s="21"/>
    </row>
    <row r="761" spans="42:46" s="17" customFormat="1" ht="12.75" customHeight="1">
      <c r="AP761" s="14"/>
      <c r="AQ761" s="20"/>
      <c r="AR761" s="21"/>
      <c r="AS761" s="20"/>
      <c r="AT761" s="21"/>
    </row>
    <row r="762" spans="42:46" s="17" customFormat="1" ht="12.75" customHeight="1">
      <c r="AP762" s="14"/>
      <c r="AQ762" s="20"/>
      <c r="AR762" s="21"/>
      <c r="AS762" s="20"/>
      <c r="AT762" s="21"/>
    </row>
    <row r="763" spans="42:46" s="17" customFormat="1" ht="12.75" customHeight="1">
      <c r="AP763" s="14"/>
      <c r="AQ763" s="20"/>
      <c r="AR763" s="21"/>
      <c r="AS763" s="20"/>
      <c r="AT763" s="21"/>
    </row>
    <row r="764" spans="42:46" s="17" customFormat="1" ht="12.75" customHeight="1">
      <c r="AP764" s="14"/>
      <c r="AQ764" s="20"/>
      <c r="AR764" s="21"/>
      <c r="AS764" s="20"/>
      <c r="AT764" s="21"/>
    </row>
    <row r="765" spans="42:46" s="17" customFormat="1" ht="12.75" customHeight="1">
      <c r="AP765" s="14"/>
      <c r="AQ765" s="20"/>
      <c r="AR765" s="21"/>
      <c r="AS765" s="20"/>
      <c r="AT765" s="21"/>
    </row>
    <row r="766" spans="42:46" s="17" customFormat="1" ht="12.75" customHeight="1">
      <c r="AP766" s="14"/>
      <c r="AQ766" s="20"/>
      <c r="AR766" s="21"/>
      <c r="AS766" s="20"/>
      <c r="AT766" s="21"/>
    </row>
    <row r="767" spans="42:46" s="17" customFormat="1" ht="12.75" customHeight="1">
      <c r="AP767" s="14"/>
      <c r="AQ767" s="20"/>
      <c r="AR767" s="21"/>
      <c r="AS767" s="20"/>
      <c r="AT767" s="21"/>
    </row>
    <row r="768" spans="42:46" s="17" customFormat="1" ht="12.75" customHeight="1">
      <c r="AP768" s="14"/>
      <c r="AQ768" s="20"/>
      <c r="AR768" s="21"/>
      <c r="AS768" s="20"/>
      <c r="AT768" s="21"/>
    </row>
    <row r="769" spans="42:46" s="17" customFormat="1" ht="12.75" customHeight="1">
      <c r="AP769" s="14"/>
      <c r="AQ769" s="20"/>
      <c r="AR769" s="21"/>
      <c r="AS769" s="20"/>
      <c r="AT769" s="21"/>
    </row>
    <row r="770" spans="42:46" s="17" customFormat="1" ht="12.75" customHeight="1">
      <c r="AP770" s="14"/>
      <c r="AQ770" s="20"/>
      <c r="AR770" s="21"/>
      <c r="AS770" s="20"/>
      <c r="AT770" s="21"/>
    </row>
    <row r="771" spans="42:46" s="17" customFormat="1" ht="12.75" customHeight="1">
      <c r="AP771" s="14"/>
      <c r="AQ771" s="20"/>
      <c r="AR771" s="21"/>
      <c r="AS771" s="20"/>
      <c r="AT771" s="21"/>
    </row>
    <row r="772" spans="42:46" s="17" customFormat="1" ht="12.75" customHeight="1">
      <c r="AP772" s="14"/>
      <c r="AQ772" s="20"/>
      <c r="AR772" s="21"/>
      <c r="AS772" s="20"/>
      <c r="AT772" s="21"/>
    </row>
    <row r="773" spans="42:46" s="17" customFormat="1" ht="12.75" customHeight="1">
      <c r="AP773" s="14"/>
      <c r="AQ773" s="20"/>
      <c r="AR773" s="21"/>
      <c r="AS773" s="20"/>
      <c r="AT773" s="21"/>
    </row>
    <row r="774" spans="42:46" s="17" customFormat="1" ht="12.75" customHeight="1">
      <c r="AP774" s="14"/>
      <c r="AQ774" s="20"/>
      <c r="AR774" s="21"/>
      <c r="AS774" s="20"/>
      <c r="AT774" s="21"/>
    </row>
    <row r="775" spans="42:46" s="17" customFormat="1" ht="12.75" customHeight="1">
      <c r="AP775" s="14"/>
      <c r="AQ775" s="20"/>
      <c r="AR775" s="21"/>
      <c r="AS775" s="20"/>
      <c r="AT775" s="21"/>
    </row>
    <row r="776" spans="42:46" s="17" customFormat="1" ht="12.75" customHeight="1">
      <c r="AP776" s="14"/>
      <c r="AQ776" s="20"/>
      <c r="AR776" s="21"/>
      <c r="AS776" s="20"/>
      <c r="AT776" s="21"/>
    </row>
    <row r="777" spans="42:46" s="17" customFormat="1" ht="12.75" customHeight="1">
      <c r="AP777" s="14"/>
      <c r="AQ777" s="20"/>
      <c r="AR777" s="21"/>
      <c r="AS777" s="20"/>
      <c r="AT777" s="21"/>
    </row>
    <row r="778" spans="42:46" s="17" customFormat="1" ht="12.75" customHeight="1">
      <c r="AP778" s="14"/>
      <c r="AQ778" s="20"/>
      <c r="AR778" s="21"/>
      <c r="AS778" s="20"/>
      <c r="AT778" s="21"/>
    </row>
    <row r="779" spans="42:46" s="17" customFormat="1" ht="12.75" customHeight="1">
      <c r="AP779" s="14"/>
      <c r="AQ779" s="20"/>
      <c r="AR779" s="21"/>
      <c r="AS779" s="20"/>
      <c r="AT779" s="21"/>
    </row>
    <row r="780" spans="42:46" s="17" customFormat="1" ht="12.75" customHeight="1">
      <c r="AP780" s="14"/>
      <c r="AQ780" s="20"/>
      <c r="AR780" s="21"/>
      <c r="AS780" s="20"/>
      <c r="AT780" s="21"/>
    </row>
    <row r="781" spans="42:46" s="17" customFormat="1" ht="12.75" customHeight="1">
      <c r="AP781" s="14"/>
      <c r="AQ781" s="20"/>
      <c r="AR781" s="21"/>
      <c r="AS781" s="20"/>
      <c r="AT781" s="21"/>
    </row>
    <row r="782" spans="42:46" s="17" customFormat="1" ht="12.75" customHeight="1">
      <c r="AP782" s="14"/>
      <c r="AQ782" s="20"/>
      <c r="AR782" s="21"/>
      <c r="AS782" s="20"/>
      <c r="AT782" s="21"/>
    </row>
    <row r="783" spans="42:46" s="17" customFormat="1" ht="12.75" customHeight="1">
      <c r="AP783" s="14"/>
      <c r="AQ783" s="20"/>
      <c r="AR783" s="21"/>
      <c r="AS783" s="20"/>
      <c r="AT783" s="21"/>
    </row>
    <row r="784" spans="42:46" s="17" customFormat="1" ht="12.75" customHeight="1">
      <c r="AP784" s="14"/>
      <c r="AQ784" s="20"/>
      <c r="AR784" s="21"/>
      <c r="AS784" s="20"/>
      <c r="AT784" s="21"/>
    </row>
    <row r="785" spans="42:46" s="17" customFormat="1" ht="12.75" customHeight="1">
      <c r="AP785" s="14"/>
      <c r="AQ785" s="20"/>
      <c r="AR785" s="21"/>
      <c r="AS785" s="20"/>
      <c r="AT785" s="21"/>
    </row>
    <row r="786" spans="42:46" s="17" customFormat="1" ht="12.75" customHeight="1">
      <c r="AP786" s="14"/>
      <c r="AQ786" s="20"/>
      <c r="AR786" s="21"/>
      <c r="AS786" s="20"/>
      <c r="AT786" s="21"/>
    </row>
    <row r="787" spans="42:46" s="17" customFormat="1" ht="12.75" customHeight="1">
      <c r="AP787" s="14"/>
      <c r="AQ787" s="20"/>
      <c r="AR787" s="21"/>
      <c r="AS787" s="20"/>
      <c r="AT787" s="21"/>
    </row>
    <row r="788" spans="42:46" s="17" customFormat="1" ht="12.75" customHeight="1">
      <c r="AP788" s="14"/>
      <c r="AQ788" s="20"/>
      <c r="AR788" s="21"/>
      <c r="AS788" s="20"/>
      <c r="AT788" s="21"/>
    </row>
    <row r="789" spans="42:46" s="17" customFormat="1" ht="12.75" customHeight="1">
      <c r="AP789" s="14"/>
      <c r="AQ789" s="20"/>
      <c r="AR789" s="21"/>
      <c r="AS789" s="20"/>
      <c r="AT789" s="21"/>
    </row>
    <row r="790" spans="42:46" s="17" customFormat="1" ht="12.75" customHeight="1">
      <c r="AP790" s="14"/>
      <c r="AQ790" s="20"/>
      <c r="AR790" s="21"/>
      <c r="AS790" s="20"/>
      <c r="AT790" s="21"/>
    </row>
    <row r="791" spans="42:46" s="17" customFormat="1" ht="12.75" customHeight="1">
      <c r="AP791" s="14"/>
      <c r="AQ791" s="20"/>
      <c r="AR791" s="21"/>
      <c r="AS791" s="20"/>
      <c r="AT791" s="21"/>
    </row>
    <row r="792" spans="42:46" s="17" customFormat="1" ht="12.75" customHeight="1">
      <c r="AP792" s="14"/>
      <c r="AQ792" s="20"/>
      <c r="AR792" s="21"/>
      <c r="AS792" s="20"/>
      <c r="AT792" s="21"/>
    </row>
    <row r="793" spans="42:46" s="17" customFormat="1" ht="12.75" customHeight="1">
      <c r="AP793" s="14"/>
      <c r="AQ793" s="20"/>
      <c r="AR793" s="21"/>
      <c r="AS793" s="20"/>
      <c r="AT793" s="21"/>
    </row>
    <row r="794" spans="42:46" s="17" customFormat="1" ht="12.75" customHeight="1">
      <c r="AP794" s="14"/>
      <c r="AQ794" s="20"/>
      <c r="AR794" s="21"/>
      <c r="AS794" s="20"/>
      <c r="AT794" s="21"/>
    </row>
    <row r="795" spans="42:46" s="17" customFormat="1" ht="12.75" customHeight="1">
      <c r="AP795" s="14"/>
      <c r="AQ795" s="20"/>
      <c r="AR795" s="21"/>
      <c r="AS795" s="20"/>
      <c r="AT795" s="21"/>
    </row>
    <row r="796" spans="42:46" s="17" customFormat="1" ht="12.75" customHeight="1">
      <c r="AP796" s="22"/>
      <c r="AQ796" s="23"/>
      <c r="AR796" s="24"/>
      <c r="AS796" s="23"/>
      <c r="AT796" s="24"/>
    </row>
  </sheetData>
  <sheetProtection formatCells="0" formatColumns="0" formatRows="0" insertColumns="0" insertRows="0" insertHyperlinks="0" deleteColumns="0" deleteRows="0" sort="0" autoFilter="0" pivotTables="0"/>
  <mergeCells count="96">
    <mergeCell ref="DW68:DX68"/>
    <mergeCell ref="DW62:DX62"/>
    <mergeCell ref="DW70:DX70"/>
    <mergeCell ref="DW35:DX35"/>
    <mergeCell ref="DW39:DX39"/>
    <mergeCell ref="DW45:DX45"/>
    <mergeCell ref="DW69:DX69"/>
    <mergeCell ref="DW63:DX63"/>
    <mergeCell ref="DW60:DX60"/>
    <mergeCell ref="DW56:DX56"/>
    <mergeCell ref="DW65:DX65"/>
    <mergeCell ref="DW58:DX58"/>
    <mergeCell ref="DW61:DX61"/>
    <mergeCell ref="DW64:DX64"/>
    <mergeCell ref="DW57:DX57"/>
    <mergeCell ref="DW36:DX36"/>
    <mergeCell ref="DW33:DX33"/>
    <mergeCell ref="DW55:DX55"/>
    <mergeCell ref="DW47:DX47"/>
    <mergeCell ref="DW50:DX50"/>
    <mergeCell ref="DW34:DX34"/>
    <mergeCell ref="DW46:DX46"/>
    <mergeCell ref="DW52:DX52"/>
    <mergeCell ref="DW41:DX41"/>
    <mergeCell ref="DW43:DX43"/>
    <mergeCell ref="DW53:DX53"/>
    <mergeCell ref="DW54:DX54"/>
    <mergeCell ref="DW51:DX51"/>
    <mergeCell ref="DW49:DX49"/>
    <mergeCell ref="DW44:DX44"/>
    <mergeCell ref="DW30:DX30"/>
    <mergeCell ref="DR4:DR5"/>
    <mergeCell ref="DW25:DX25"/>
    <mergeCell ref="DV4:DV5"/>
    <mergeCell ref="DW6:DX6"/>
    <mergeCell ref="DW10:DX10"/>
    <mergeCell ref="DW22:DX22"/>
    <mergeCell ref="DW7:DX7"/>
    <mergeCell ref="DW16:DX16"/>
    <mergeCell ref="O4:O5"/>
    <mergeCell ref="DU4:DU5"/>
    <mergeCell ref="P4:P5"/>
    <mergeCell ref="R4:R5"/>
    <mergeCell ref="Q4:Q5"/>
    <mergeCell ref="T4:T5"/>
    <mergeCell ref="S4:S5"/>
    <mergeCell ref="W4:W5"/>
    <mergeCell ref="V4:V5"/>
    <mergeCell ref="AA4:AA5"/>
    <mergeCell ref="U4:U5"/>
    <mergeCell ref="X4:X5"/>
    <mergeCell ref="Y4:Y5"/>
    <mergeCell ref="Z4:Z5"/>
    <mergeCell ref="DS4:DS5"/>
    <mergeCell ref="DT4:DT5"/>
    <mergeCell ref="N4:N5"/>
    <mergeCell ref="F4:F5"/>
    <mergeCell ref="G4:H5"/>
    <mergeCell ref="I4:I5"/>
    <mergeCell ref="K4:K5"/>
    <mergeCell ref="J4:J5"/>
    <mergeCell ref="L4:L5"/>
    <mergeCell ref="M4:M5"/>
    <mergeCell ref="DQ4:DQ5"/>
    <mergeCell ref="AC4:AC5"/>
    <mergeCell ref="DN4:DN5"/>
    <mergeCell ref="AB4:AB5"/>
    <mergeCell ref="AY4:BA4"/>
    <mergeCell ref="AD4:AF4"/>
    <mergeCell ref="DP4:DP5"/>
    <mergeCell ref="AV4:AW4"/>
    <mergeCell ref="AG4:AH4"/>
    <mergeCell ref="AJ4:AJ5"/>
    <mergeCell ref="BC4:BG4"/>
    <mergeCell ref="DO4:DO5"/>
    <mergeCell ref="A4:A5"/>
    <mergeCell ref="B4:B5"/>
    <mergeCell ref="C4:C5"/>
    <mergeCell ref="D4:D5"/>
    <mergeCell ref="E4:E5"/>
    <mergeCell ref="DW67:DX67"/>
    <mergeCell ref="DW40:DX40"/>
    <mergeCell ref="DW42:DX42"/>
    <mergeCell ref="DY4:DY5"/>
    <mergeCell ref="DW4:DX5"/>
    <mergeCell ref="DW14:DX14"/>
    <mergeCell ref="DW20:DX20"/>
    <mergeCell ref="DW13:DX13"/>
    <mergeCell ref="DW8:DX8"/>
    <mergeCell ref="DW17:DX17"/>
    <mergeCell ref="DW9:DX9"/>
    <mergeCell ref="DW15:DX15"/>
    <mergeCell ref="DW18:DX18"/>
    <mergeCell ref="DW31:DX31"/>
    <mergeCell ref="DW19:DX19"/>
    <mergeCell ref="DW21:DX21"/>
  </mergeCells>
  <phoneticPr fontId="26" type="noConversion"/>
  <conditionalFormatting sqref="BB1:BB4 BB6:BB1048576">
    <cfRule type="cellIs" dxfId="0" priority="30" operator="greaterThan">
      <formula>0.03</formula>
    </cfRule>
  </conditionalFormatting>
  <conditionalFormatting sqref="BD6:BD70 BF6:BF70 BH6:CG70">
    <cfRule type="dataBar" priority="3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{0FB13A84-2C8A-4ACC-869D-4483ACD46E76}</x14:id>
        </ext>
      </extLst>
    </cfRule>
  </conditionalFormatting>
  <dataValidations count="1">
    <dataValidation type="list" allowBlank="1" showInputMessage="1" showErrorMessage="1" sqref="A71:B1048576 AP71:AS1048576 AT6:AT1048576 AR6:AR70 AP6:AP38" xr:uid="{30A2A164-634D-4C43-8D1E-BFF13D24283C}">
      <formula1>#REF!</formula1>
    </dataValidation>
  </dataValidations>
  <pageMargins left="0.1" right="0.1" top="0.1" bottom="0.74803149606299202" header="0.1" footer="0.1"/>
  <pageSetup paperSize="9" scale="10" pageOrder="overThenDown" orientation="landscape" r:id="rId1"/>
  <headerFooter>
    <oddHeader>&amp;L&amp;G</oddHeader>
    <oddFooter>&amp;L&amp;"Arial,Regular"&amp;14PRO 02 V2&amp;C&amp;"Arial,Regular"&amp;14Page &amp;P of &amp;N&amp;R&amp;"Arial,Regular"&amp;14Effective  Date: 08/02/2022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B13A84-2C8A-4ACC-869D-4483ACD46E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BD6:BD70 BF6:BF70 BH6:CG70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L1183"/>
  <sheetViews>
    <sheetView topLeftCell="D1" zoomScale="115" zoomScaleNormal="115" workbookViewId="0">
      <pane ySplit="6" topLeftCell="A313" activePane="bottomLeft" state="frozen"/>
      <selection pane="bottomLeft" activeCell="I5" sqref="I5"/>
    </sheetView>
  </sheetViews>
  <sheetFormatPr defaultRowHeight="14.5"/>
  <cols>
    <col min="1" max="1" width="15.1796875" customWidth="1"/>
    <col min="2" max="2" width="48.81640625" customWidth="1"/>
    <col min="3" max="3" width="18.1796875" customWidth="1"/>
    <col min="4" max="4" width="17.453125" customWidth="1"/>
    <col min="5" max="5" width="29.26953125" customWidth="1"/>
    <col min="6" max="6" width="16.26953125" customWidth="1"/>
    <col min="7" max="8" width="15.7265625" customWidth="1"/>
    <col min="9" max="9" width="20.1796875" customWidth="1"/>
  </cols>
  <sheetData>
    <row r="1" spans="1:12">
      <c r="A1" s="1"/>
      <c r="B1" s="2"/>
      <c r="C1" s="3"/>
      <c r="D1" s="3"/>
      <c r="E1" s="3"/>
      <c r="F1" s="4"/>
      <c r="G1" s="2"/>
      <c r="H1" s="2"/>
      <c r="I1" s="4"/>
      <c r="K1" s="10"/>
      <c r="L1" s="10"/>
    </row>
    <row r="2" spans="1:12">
      <c r="A2" s="7" t="s">
        <v>337</v>
      </c>
      <c r="B2" s="8"/>
      <c r="C2" s="9"/>
      <c r="D2" s="9"/>
      <c r="E2" s="9"/>
      <c r="F2" s="5"/>
      <c r="G2" s="8"/>
      <c r="H2" s="8"/>
      <c r="I2" s="5"/>
      <c r="K2" s="10"/>
      <c r="L2" s="11"/>
    </row>
    <row r="3" spans="1:12">
      <c r="A3" s="6" t="s">
        <v>338</v>
      </c>
      <c r="B3" s="16" t="s">
        <v>1148</v>
      </c>
      <c r="C3" s="9"/>
      <c r="D3" s="9"/>
      <c r="E3" s="9"/>
      <c r="F3" s="5"/>
      <c r="G3" s="8"/>
      <c r="H3" s="8"/>
      <c r="I3" s="5"/>
      <c r="K3" s="10"/>
      <c r="L3" s="11"/>
    </row>
    <row r="4" spans="1:12">
      <c r="A4" s="6" t="s">
        <v>339</v>
      </c>
      <c r="B4" s="16" t="s">
        <v>1152</v>
      </c>
      <c r="C4" s="9"/>
      <c r="D4" s="9"/>
      <c r="E4" s="9"/>
      <c r="F4" s="5"/>
      <c r="G4" s="8"/>
      <c r="H4" s="8"/>
      <c r="I4" s="5"/>
      <c r="K4" s="10"/>
      <c r="L4" s="11"/>
    </row>
    <row r="5" spans="1:12">
      <c r="A5" s="8"/>
      <c r="B5" s="8"/>
      <c r="C5" s="230" t="s">
        <v>340</v>
      </c>
      <c r="D5" s="9"/>
      <c r="E5" s="9"/>
      <c r="F5" s="231" t="s">
        <v>341</v>
      </c>
      <c r="G5" s="232"/>
      <c r="H5" s="233" t="s">
        <v>342</v>
      </c>
      <c r="I5" s="230" t="s">
        <v>1036</v>
      </c>
      <c r="K5" s="10"/>
      <c r="L5" s="11"/>
    </row>
    <row r="6" spans="1:12">
      <c r="A6" s="234" t="s">
        <v>198</v>
      </c>
      <c r="B6" s="234" t="s">
        <v>197</v>
      </c>
      <c r="C6" s="235" t="s">
        <v>343</v>
      </c>
      <c r="D6" s="236" t="s">
        <v>344</v>
      </c>
      <c r="E6" s="236" t="s">
        <v>345</v>
      </c>
      <c r="F6" s="83" t="s">
        <v>346</v>
      </c>
      <c r="G6" s="84" t="s">
        <v>347</v>
      </c>
      <c r="H6" s="236" t="s">
        <v>348</v>
      </c>
      <c r="I6" s="237" t="s">
        <v>343</v>
      </c>
      <c r="K6" s="10"/>
      <c r="L6" s="11"/>
    </row>
    <row r="7" spans="1:12">
      <c r="A7" s="238">
        <v>486135</v>
      </c>
      <c r="B7" s="239" t="s">
        <v>912</v>
      </c>
      <c r="C7" s="240">
        <v>4</v>
      </c>
      <c r="D7" s="241" t="s">
        <v>1038</v>
      </c>
      <c r="E7" s="241" t="s">
        <v>1030</v>
      </c>
      <c r="F7" s="240">
        <v>2.5</v>
      </c>
      <c r="G7" s="240"/>
      <c r="H7" s="239">
        <v>2.8</v>
      </c>
      <c r="I7" s="242">
        <v>21.2</v>
      </c>
      <c r="K7" s="10"/>
      <c r="L7" s="11"/>
    </row>
    <row r="8" spans="1:12">
      <c r="A8" s="238">
        <v>480196</v>
      </c>
      <c r="B8" s="239" t="s">
        <v>906</v>
      </c>
      <c r="C8" s="240">
        <v>4</v>
      </c>
      <c r="D8" s="241" t="s">
        <v>1038</v>
      </c>
      <c r="E8" s="241" t="s">
        <v>1030</v>
      </c>
      <c r="F8" s="240">
        <v>2.5</v>
      </c>
      <c r="G8" s="240"/>
      <c r="H8" s="239">
        <v>2.8</v>
      </c>
      <c r="I8" s="242">
        <v>21.2</v>
      </c>
      <c r="K8" s="10"/>
      <c r="L8" s="11"/>
    </row>
    <row r="9" spans="1:12">
      <c r="A9" s="238">
        <v>483356</v>
      </c>
      <c r="B9" s="239" t="s">
        <v>910</v>
      </c>
      <c r="C9" s="240">
        <v>4</v>
      </c>
      <c r="D9" s="241" t="s">
        <v>1038</v>
      </c>
      <c r="E9" s="241" t="s">
        <v>1030</v>
      </c>
      <c r="F9" s="240">
        <v>2.5</v>
      </c>
      <c r="G9" s="240"/>
      <c r="H9" s="239">
        <v>2.8</v>
      </c>
      <c r="I9" s="242">
        <v>20.399999999999999</v>
      </c>
      <c r="K9" s="10"/>
      <c r="L9" s="12"/>
    </row>
    <row r="10" spans="1:12">
      <c r="A10" s="238">
        <v>483357</v>
      </c>
      <c r="B10" s="239" t="s">
        <v>911</v>
      </c>
      <c r="C10" s="240">
        <v>4</v>
      </c>
      <c r="D10" s="241" t="s">
        <v>1038</v>
      </c>
      <c r="E10" s="241" t="s">
        <v>1030</v>
      </c>
      <c r="F10" s="240">
        <v>2.5</v>
      </c>
      <c r="G10" s="240"/>
      <c r="H10" s="239">
        <v>2.8</v>
      </c>
      <c r="I10" s="242">
        <v>20.399999999999999</v>
      </c>
      <c r="K10" s="10"/>
      <c r="L10" s="11"/>
    </row>
    <row r="11" spans="1:12">
      <c r="A11" s="238">
        <v>480198</v>
      </c>
      <c r="B11" s="239" t="s">
        <v>907</v>
      </c>
      <c r="C11" s="240">
        <v>4</v>
      </c>
      <c r="D11" s="241" t="s">
        <v>1038</v>
      </c>
      <c r="E11" s="241" t="s">
        <v>1030</v>
      </c>
      <c r="F11" s="240">
        <v>2.5</v>
      </c>
      <c r="G11" s="240"/>
      <c r="H11" s="239">
        <v>2.8</v>
      </c>
      <c r="I11" s="242">
        <v>21.2</v>
      </c>
      <c r="K11" s="10"/>
      <c r="L11" s="11"/>
    </row>
    <row r="12" spans="1:12">
      <c r="A12" s="238">
        <v>480199</v>
      </c>
      <c r="B12" s="239" t="s">
        <v>908</v>
      </c>
      <c r="C12" s="240">
        <v>4</v>
      </c>
      <c r="D12" s="241" t="s">
        <v>1038</v>
      </c>
      <c r="E12" s="241" t="s">
        <v>1030</v>
      </c>
      <c r="F12" s="240">
        <v>2.5</v>
      </c>
      <c r="G12" s="240"/>
      <c r="H12" s="239">
        <v>2.5</v>
      </c>
      <c r="I12" s="242">
        <v>21.2</v>
      </c>
      <c r="K12" s="10"/>
      <c r="L12" s="11"/>
    </row>
    <row r="13" spans="1:12">
      <c r="A13" s="238">
        <v>454179</v>
      </c>
      <c r="B13" s="239" t="s">
        <v>822</v>
      </c>
      <c r="C13" s="240">
        <v>4</v>
      </c>
      <c r="D13" s="241" t="s">
        <v>1038</v>
      </c>
      <c r="E13" s="241" t="s">
        <v>291</v>
      </c>
      <c r="F13" s="240">
        <v>7</v>
      </c>
      <c r="G13" s="240"/>
      <c r="H13" s="239">
        <f t="shared" ref="H13:H18" si="0">F13</f>
        <v>7</v>
      </c>
      <c r="I13" s="242">
        <v>15.2</v>
      </c>
      <c r="K13" s="10"/>
      <c r="L13" s="11"/>
    </row>
    <row r="14" spans="1:12">
      <c r="A14" s="238">
        <v>555589</v>
      </c>
      <c r="B14" s="239" t="s">
        <v>999</v>
      </c>
      <c r="C14" s="240">
        <v>4</v>
      </c>
      <c r="D14" s="241" t="s">
        <v>1038</v>
      </c>
      <c r="E14" s="241" t="s">
        <v>1184</v>
      </c>
      <c r="F14" s="240">
        <v>3.1</v>
      </c>
      <c r="G14" s="240"/>
      <c r="H14" s="239">
        <f t="shared" si="0"/>
        <v>3.1</v>
      </c>
      <c r="I14" s="242">
        <v>9</v>
      </c>
      <c r="K14" s="10"/>
      <c r="L14" s="11"/>
    </row>
    <row r="15" spans="1:12">
      <c r="A15" s="238">
        <v>453724</v>
      </c>
      <c r="B15" s="239" t="s">
        <v>615</v>
      </c>
      <c r="C15" s="240">
        <v>24</v>
      </c>
      <c r="D15" s="241" t="s">
        <v>1038</v>
      </c>
      <c r="E15" s="241" t="s">
        <v>1184</v>
      </c>
      <c r="F15" s="240">
        <v>2.4</v>
      </c>
      <c r="G15" s="240"/>
      <c r="H15" s="239">
        <f t="shared" si="0"/>
        <v>2.4</v>
      </c>
      <c r="I15" s="242">
        <v>19.295999999999999</v>
      </c>
      <c r="K15" s="10"/>
      <c r="L15" s="11"/>
    </row>
    <row r="16" spans="1:12">
      <c r="A16" s="238">
        <v>453725</v>
      </c>
      <c r="B16" s="239" t="s">
        <v>616</v>
      </c>
      <c r="C16" s="240">
        <v>24</v>
      </c>
      <c r="D16" s="241" t="s">
        <v>1038</v>
      </c>
      <c r="E16" s="241" t="s">
        <v>1184</v>
      </c>
      <c r="F16" s="240">
        <v>2.4</v>
      </c>
      <c r="G16" s="240"/>
      <c r="H16" s="239">
        <f t="shared" si="0"/>
        <v>2.4</v>
      </c>
      <c r="I16" s="242">
        <v>19.295999999999999</v>
      </c>
      <c r="K16" s="10"/>
      <c r="L16" s="11"/>
    </row>
    <row r="17" spans="1:12">
      <c r="A17" s="238">
        <v>453732</v>
      </c>
      <c r="B17" s="239" t="s">
        <v>617</v>
      </c>
      <c r="C17" s="240">
        <v>24</v>
      </c>
      <c r="D17" s="241" t="s">
        <v>1038</v>
      </c>
      <c r="E17" s="241" t="s">
        <v>1184</v>
      </c>
      <c r="F17" s="240">
        <v>2.4</v>
      </c>
      <c r="G17" s="240"/>
      <c r="H17" s="239">
        <f t="shared" si="0"/>
        <v>2.4</v>
      </c>
      <c r="I17" s="242">
        <v>19.295999999999999</v>
      </c>
      <c r="K17" s="10"/>
      <c r="L17" s="11"/>
    </row>
    <row r="18" spans="1:12">
      <c r="A18" s="238">
        <v>453733</v>
      </c>
      <c r="B18" s="239" t="s">
        <v>618</v>
      </c>
      <c r="C18" s="240">
        <v>24</v>
      </c>
      <c r="D18" s="241" t="s">
        <v>1038</v>
      </c>
      <c r="E18" s="241" t="s">
        <v>1184</v>
      </c>
      <c r="F18" s="240">
        <v>2.4</v>
      </c>
      <c r="G18" s="240"/>
      <c r="H18" s="239">
        <f t="shared" si="0"/>
        <v>2.4</v>
      </c>
      <c r="I18" s="242">
        <v>19.295999999999999</v>
      </c>
      <c r="K18" s="10"/>
      <c r="L18" s="11"/>
    </row>
    <row r="19" spans="1:12">
      <c r="A19" s="238">
        <v>453735</v>
      </c>
      <c r="B19" s="239" t="s">
        <v>619</v>
      </c>
      <c r="C19" s="240">
        <v>6</v>
      </c>
      <c r="D19" s="241" t="s">
        <v>1038</v>
      </c>
      <c r="E19" s="241" t="s">
        <v>291</v>
      </c>
      <c r="F19" s="240">
        <v>4.3</v>
      </c>
      <c r="G19" s="240"/>
      <c r="H19" s="239">
        <v>24.8</v>
      </c>
      <c r="I19" s="242">
        <v>21.75</v>
      </c>
      <c r="K19" s="10"/>
      <c r="L19" s="11"/>
    </row>
    <row r="20" spans="1:12">
      <c r="A20" s="238">
        <v>453736</v>
      </c>
      <c r="B20" s="239" t="s">
        <v>620</v>
      </c>
      <c r="C20" s="240">
        <v>6</v>
      </c>
      <c r="D20" s="241" t="s">
        <v>1038</v>
      </c>
      <c r="E20" s="241" t="s">
        <v>291</v>
      </c>
      <c r="F20" s="240">
        <v>4.3</v>
      </c>
      <c r="G20" s="240"/>
      <c r="H20" s="239">
        <f>F20</f>
        <v>4.3</v>
      </c>
      <c r="I20" s="242">
        <v>21.75</v>
      </c>
      <c r="K20" s="10"/>
      <c r="L20" s="11"/>
    </row>
    <row r="21" spans="1:12">
      <c r="A21" s="238">
        <v>453737</v>
      </c>
      <c r="B21" s="239" t="s">
        <v>621</v>
      </c>
      <c r="C21" s="240">
        <v>6</v>
      </c>
      <c r="D21" s="241" t="s">
        <v>1038</v>
      </c>
      <c r="E21" s="241" t="s">
        <v>291</v>
      </c>
      <c r="F21" s="240">
        <v>4.3</v>
      </c>
      <c r="G21" s="240"/>
      <c r="H21" s="239">
        <f>F21</f>
        <v>4.3</v>
      </c>
      <c r="I21" s="242">
        <v>21.75</v>
      </c>
      <c r="K21" s="10"/>
      <c r="L21" s="11"/>
    </row>
    <row r="22" spans="1:12">
      <c r="A22" s="238">
        <v>542887</v>
      </c>
      <c r="B22" s="239" t="s">
        <v>974</v>
      </c>
      <c r="C22" s="240">
        <v>4</v>
      </c>
      <c r="D22" s="241" t="s">
        <v>1038</v>
      </c>
      <c r="E22" s="241" t="s">
        <v>291</v>
      </c>
      <c r="F22" s="240">
        <v>4.3</v>
      </c>
      <c r="G22" s="240"/>
      <c r="H22" s="239">
        <f>F22</f>
        <v>4.3</v>
      </c>
      <c r="I22" s="242">
        <v>14.52</v>
      </c>
      <c r="K22" s="10"/>
      <c r="L22" s="11"/>
    </row>
    <row r="23" spans="1:12">
      <c r="A23" s="238">
        <v>453738</v>
      </c>
      <c r="B23" s="239" t="s">
        <v>622</v>
      </c>
      <c r="C23" s="240">
        <v>2</v>
      </c>
      <c r="D23" s="241" t="s">
        <v>1038</v>
      </c>
      <c r="E23" s="241" t="s">
        <v>291</v>
      </c>
      <c r="F23" s="240">
        <v>9.5</v>
      </c>
      <c r="G23" s="240"/>
      <c r="H23" s="239">
        <f>F23</f>
        <v>9.5</v>
      </c>
      <c r="I23" s="242">
        <v>13.8</v>
      </c>
      <c r="K23" s="10"/>
      <c r="L23" s="11"/>
    </row>
    <row r="24" spans="1:12">
      <c r="A24" s="238">
        <v>453739</v>
      </c>
      <c r="B24" s="239" t="s">
        <v>623</v>
      </c>
      <c r="C24" s="240">
        <v>2</v>
      </c>
      <c r="D24" s="241" t="s">
        <v>1038</v>
      </c>
      <c r="E24" s="241" t="s">
        <v>1184</v>
      </c>
      <c r="F24" s="240">
        <v>4.4000000000000004</v>
      </c>
      <c r="G24" s="240"/>
      <c r="H24" s="239">
        <v>4.4400000000000004</v>
      </c>
      <c r="I24" s="242">
        <v>11.2</v>
      </c>
      <c r="K24" s="10"/>
      <c r="L24" s="11"/>
    </row>
    <row r="25" spans="1:12">
      <c r="A25" s="238">
        <v>566824</v>
      </c>
      <c r="B25" s="239" t="s">
        <v>1012</v>
      </c>
      <c r="C25" s="240">
        <v>0</v>
      </c>
      <c r="D25" s="241" t="s">
        <v>1038</v>
      </c>
      <c r="E25" s="241" t="s">
        <v>291</v>
      </c>
      <c r="F25" s="240">
        <v>12.2</v>
      </c>
      <c r="G25" s="240"/>
      <c r="H25" s="239">
        <f>F25</f>
        <v>12.2</v>
      </c>
      <c r="I25" s="242">
        <v>19.7</v>
      </c>
      <c r="K25" s="10"/>
      <c r="L25" s="11"/>
    </row>
    <row r="26" spans="1:12">
      <c r="A26" s="238">
        <v>567509</v>
      </c>
      <c r="B26" s="239" t="s">
        <v>1013</v>
      </c>
      <c r="C26" s="240">
        <v>0</v>
      </c>
      <c r="D26" s="241" t="s">
        <v>1038</v>
      </c>
      <c r="E26" s="241" t="s">
        <v>291</v>
      </c>
      <c r="F26" s="240">
        <v>13.2</v>
      </c>
      <c r="G26" s="240"/>
      <c r="H26" s="239">
        <f>F26</f>
        <v>13.2</v>
      </c>
      <c r="I26" s="242">
        <v>19.7</v>
      </c>
      <c r="K26" s="10"/>
      <c r="L26" s="11"/>
    </row>
    <row r="27" spans="1:12">
      <c r="A27" s="238">
        <v>460841</v>
      </c>
      <c r="B27" s="239" t="s">
        <v>878</v>
      </c>
      <c r="C27" s="240">
        <v>2</v>
      </c>
      <c r="D27" s="241" t="s">
        <v>1038</v>
      </c>
      <c r="E27" s="241" t="s">
        <v>291</v>
      </c>
      <c r="F27" s="240">
        <v>9.4</v>
      </c>
      <c r="G27" s="240"/>
      <c r="H27" s="239">
        <f>F27</f>
        <v>9.4</v>
      </c>
      <c r="I27" s="242">
        <v>12.4</v>
      </c>
      <c r="K27" s="10"/>
      <c r="L27" s="11"/>
    </row>
    <row r="28" spans="1:12">
      <c r="A28" s="238">
        <v>454180</v>
      </c>
      <c r="B28" s="239" t="s">
        <v>823</v>
      </c>
      <c r="C28" s="240">
        <v>2</v>
      </c>
      <c r="D28" s="241" t="s">
        <v>1038</v>
      </c>
      <c r="E28" s="241" t="s">
        <v>291</v>
      </c>
      <c r="F28" s="240">
        <v>9.4</v>
      </c>
      <c r="G28" s="240"/>
      <c r="H28" s="239">
        <v>9.44</v>
      </c>
      <c r="I28" s="242">
        <v>16.399999999999999</v>
      </c>
      <c r="K28" s="10"/>
      <c r="L28" s="11"/>
    </row>
    <row r="29" spans="1:12">
      <c r="A29" s="238">
        <v>454196</v>
      </c>
      <c r="B29" s="239" t="s">
        <v>832</v>
      </c>
      <c r="C29" s="240">
        <v>2</v>
      </c>
      <c r="D29" s="241" t="s">
        <v>1038</v>
      </c>
      <c r="E29" s="241" t="s">
        <v>291</v>
      </c>
      <c r="F29" s="240">
        <v>9.4</v>
      </c>
      <c r="G29" s="240"/>
      <c r="H29" s="239">
        <f>F29</f>
        <v>9.4</v>
      </c>
      <c r="I29" s="242">
        <v>16.399999999999999</v>
      </c>
      <c r="K29" s="10"/>
      <c r="L29" s="11"/>
    </row>
    <row r="30" spans="1:12">
      <c r="A30" s="238">
        <v>467024</v>
      </c>
      <c r="B30" s="239" t="s">
        <v>888</v>
      </c>
      <c r="C30" s="240">
        <v>2</v>
      </c>
      <c r="D30" s="241" t="s">
        <v>1038</v>
      </c>
      <c r="E30" s="241" t="s">
        <v>291</v>
      </c>
      <c r="F30" s="240">
        <v>9.4</v>
      </c>
      <c r="G30" s="240"/>
      <c r="H30" s="239">
        <f>F30</f>
        <v>9.4</v>
      </c>
      <c r="I30" s="242">
        <v>14</v>
      </c>
      <c r="K30" s="10"/>
      <c r="L30" s="11"/>
    </row>
    <row r="31" spans="1:12">
      <c r="A31" s="238">
        <v>454201</v>
      </c>
      <c r="B31" s="239" t="s">
        <v>835</v>
      </c>
      <c r="C31" s="240">
        <v>2</v>
      </c>
      <c r="D31" s="241" t="s">
        <v>1038</v>
      </c>
      <c r="E31" s="241" t="s">
        <v>291</v>
      </c>
      <c r="F31" s="240">
        <v>9.4</v>
      </c>
      <c r="G31" s="240"/>
      <c r="H31" s="239">
        <f>F31</f>
        <v>9.4</v>
      </c>
      <c r="I31" s="242">
        <v>16.399999999999999</v>
      </c>
      <c r="K31" s="10"/>
      <c r="L31" s="11"/>
    </row>
    <row r="32" spans="1:12">
      <c r="A32" s="238">
        <v>561720</v>
      </c>
      <c r="B32" s="239" t="s">
        <v>1111</v>
      </c>
      <c r="C32" s="240">
        <v>0</v>
      </c>
      <c r="D32" s="241" t="s">
        <v>1038</v>
      </c>
      <c r="E32" s="241" t="s">
        <v>1184</v>
      </c>
      <c r="F32" s="240">
        <v>6.399</v>
      </c>
      <c r="G32" s="240"/>
      <c r="H32" s="239"/>
      <c r="I32" s="242">
        <v>20.100000000000001</v>
      </c>
      <c r="K32" s="10"/>
      <c r="L32" s="11"/>
    </row>
    <row r="33" spans="1:12">
      <c r="A33" s="238">
        <v>454185</v>
      </c>
      <c r="B33" s="239" t="s">
        <v>826</v>
      </c>
      <c r="C33" s="240">
        <v>4</v>
      </c>
      <c r="D33" s="241" t="s">
        <v>1038</v>
      </c>
      <c r="E33" s="241" t="s">
        <v>1032</v>
      </c>
      <c r="F33" s="240">
        <v>6.4</v>
      </c>
      <c r="G33" s="240"/>
      <c r="H33" s="239">
        <v>6.5</v>
      </c>
      <c r="I33" s="242">
        <v>20.100000000000001</v>
      </c>
      <c r="K33" s="10"/>
      <c r="L33" s="11"/>
    </row>
    <row r="34" spans="1:12">
      <c r="A34" s="238">
        <v>454186</v>
      </c>
      <c r="B34" s="239" t="s">
        <v>827</v>
      </c>
      <c r="C34" s="240">
        <v>4</v>
      </c>
      <c r="D34" s="241" t="s">
        <v>1038</v>
      </c>
      <c r="E34" s="241" t="s">
        <v>1032</v>
      </c>
      <c r="F34" s="240">
        <v>5.7</v>
      </c>
      <c r="G34" s="240"/>
      <c r="H34" s="239">
        <v>6.5</v>
      </c>
      <c r="I34" s="242">
        <v>20.100000000000001</v>
      </c>
      <c r="K34" s="10"/>
      <c r="L34" s="11"/>
    </row>
    <row r="35" spans="1:12">
      <c r="A35" s="238">
        <v>454144</v>
      </c>
      <c r="B35" s="239" t="s">
        <v>808</v>
      </c>
      <c r="C35" s="240">
        <v>1</v>
      </c>
      <c r="D35" s="241" t="s">
        <v>1038</v>
      </c>
      <c r="E35" s="241" t="s">
        <v>1031</v>
      </c>
      <c r="F35" s="240">
        <v>12.3</v>
      </c>
      <c r="G35" s="240"/>
      <c r="H35" s="239">
        <v>13</v>
      </c>
      <c r="I35" s="242">
        <v>13</v>
      </c>
      <c r="K35" s="10"/>
      <c r="L35" s="11"/>
    </row>
    <row r="36" spans="1:12">
      <c r="A36" s="238">
        <v>453742</v>
      </c>
      <c r="B36" s="239" t="s">
        <v>624</v>
      </c>
      <c r="C36" s="240">
        <v>1</v>
      </c>
      <c r="D36" s="241" t="s">
        <v>1038</v>
      </c>
      <c r="E36" s="241" t="s">
        <v>296</v>
      </c>
      <c r="F36" s="240">
        <v>12.3</v>
      </c>
      <c r="G36" s="240"/>
      <c r="H36" s="239">
        <f>F36</f>
        <v>12.3</v>
      </c>
      <c r="I36" s="242">
        <v>13</v>
      </c>
      <c r="K36" s="10"/>
      <c r="L36" s="11"/>
    </row>
    <row r="37" spans="1:12">
      <c r="A37" s="238">
        <v>453743</v>
      </c>
      <c r="B37" s="239" t="s">
        <v>625</v>
      </c>
      <c r="C37" s="240">
        <v>1</v>
      </c>
      <c r="D37" s="241" t="s">
        <v>1038</v>
      </c>
      <c r="E37" s="241" t="s">
        <v>296</v>
      </c>
      <c r="F37" s="240">
        <v>12.3</v>
      </c>
      <c r="G37" s="240"/>
      <c r="H37" s="239">
        <f>F37</f>
        <v>12.3</v>
      </c>
      <c r="I37" s="242">
        <v>13</v>
      </c>
      <c r="K37" s="10"/>
      <c r="L37" s="11"/>
    </row>
    <row r="38" spans="1:12">
      <c r="A38" s="238">
        <v>453744</v>
      </c>
      <c r="B38" s="239" t="s">
        <v>626</v>
      </c>
      <c r="C38" s="240">
        <v>1</v>
      </c>
      <c r="D38" s="241" t="s">
        <v>1038</v>
      </c>
      <c r="E38" s="241" t="s">
        <v>296</v>
      </c>
      <c r="F38" s="240">
        <v>12.3</v>
      </c>
      <c r="G38" s="240"/>
      <c r="H38" s="239">
        <f>F38</f>
        <v>12.3</v>
      </c>
      <c r="I38" s="242">
        <v>13</v>
      </c>
      <c r="K38" s="10"/>
      <c r="L38" s="11"/>
    </row>
    <row r="39" spans="1:12">
      <c r="A39" s="238">
        <v>453745</v>
      </c>
      <c r="B39" s="239" t="s">
        <v>627</v>
      </c>
      <c r="C39" s="240">
        <v>1</v>
      </c>
      <c r="D39" s="241" t="s">
        <v>1038</v>
      </c>
      <c r="E39" s="241" t="s">
        <v>1031</v>
      </c>
      <c r="F39" s="240">
        <v>12.3</v>
      </c>
      <c r="G39" s="240"/>
      <c r="H39" s="239">
        <v>12.7</v>
      </c>
      <c r="I39" s="242">
        <v>13</v>
      </c>
      <c r="K39" s="10"/>
      <c r="L39" s="11"/>
    </row>
    <row r="40" spans="1:12">
      <c r="A40" s="238">
        <v>453747</v>
      </c>
      <c r="B40" s="239" t="s">
        <v>628</v>
      </c>
      <c r="C40" s="240">
        <v>8</v>
      </c>
      <c r="D40" s="241" t="s">
        <v>1038</v>
      </c>
      <c r="E40" s="241" t="s">
        <v>299</v>
      </c>
      <c r="F40" s="240">
        <v>3.6</v>
      </c>
      <c r="G40" s="240"/>
      <c r="H40" s="239">
        <v>3.5</v>
      </c>
      <c r="I40" s="242">
        <v>14</v>
      </c>
      <c r="K40" s="10"/>
      <c r="L40" s="11"/>
    </row>
    <row r="41" spans="1:12">
      <c r="A41" s="238">
        <v>544098</v>
      </c>
      <c r="B41" s="239" t="s">
        <v>977</v>
      </c>
      <c r="C41" s="240">
        <v>0</v>
      </c>
      <c r="D41" s="241" t="s">
        <v>1038</v>
      </c>
      <c r="E41" s="241" t="s">
        <v>299</v>
      </c>
      <c r="F41" s="240">
        <v>4.5999999999999996</v>
      </c>
      <c r="G41" s="240"/>
      <c r="H41" s="239">
        <v>3.5</v>
      </c>
      <c r="I41" s="242">
        <v>14</v>
      </c>
      <c r="K41" s="10"/>
      <c r="L41" s="11"/>
    </row>
    <row r="42" spans="1:12">
      <c r="A42" s="238">
        <v>465633</v>
      </c>
      <c r="B42" s="239" t="s">
        <v>884</v>
      </c>
      <c r="C42" s="240">
        <v>8</v>
      </c>
      <c r="D42" s="241" t="s">
        <v>1038</v>
      </c>
      <c r="E42" s="241" t="s">
        <v>299</v>
      </c>
      <c r="F42" s="240">
        <v>3.6</v>
      </c>
      <c r="G42" s="240"/>
      <c r="H42" s="239">
        <f>F42</f>
        <v>3.6</v>
      </c>
      <c r="I42" s="242">
        <v>14</v>
      </c>
      <c r="K42" s="10"/>
      <c r="L42" s="11"/>
    </row>
    <row r="43" spans="1:12">
      <c r="A43" s="238">
        <v>532334</v>
      </c>
      <c r="B43" s="239" t="s">
        <v>1107</v>
      </c>
      <c r="C43" s="240">
        <v>8</v>
      </c>
      <c r="D43" s="241" t="s">
        <v>1038</v>
      </c>
      <c r="E43" s="241" t="s">
        <v>299</v>
      </c>
      <c r="F43" s="240">
        <v>4.5999999999999996</v>
      </c>
      <c r="G43" s="240"/>
      <c r="H43" s="239"/>
      <c r="I43" s="242">
        <v>14</v>
      </c>
      <c r="K43" s="10"/>
      <c r="L43" s="11"/>
    </row>
    <row r="44" spans="1:12">
      <c r="A44" s="238">
        <v>453748</v>
      </c>
      <c r="B44" s="239" t="s">
        <v>629</v>
      </c>
      <c r="C44" s="240">
        <v>8</v>
      </c>
      <c r="D44" s="241" t="s">
        <v>1038</v>
      </c>
      <c r="E44" s="241" t="s">
        <v>299</v>
      </c>
      <c r="F44" s="240">
        <v>3.6</v>
      </c>
      <c r="G44" s="240"/>
      <c r="H44" s="239">
        <f>F44</f>
        <v>3.6</v>
      </c>
      <c r="I44" s="242">
        <v>14</v>
      </c>
      <c r="K44" s="10"/>
      <c r="L44" s="11"/>
    </row>
    <row r="45" spans="1:12">
      <c r="A45" s="238">
        <v>454176</v>
      </c>
      <c r="B45" s="239" t="s">
        <v>819</v>
      </c>
      <c r="C45" s="240">
        <v>8</v>
      </c>
      <c r="D45" s="241" t="s">
        <v>1038</v>
      </c>
      <c r="E45" s="241" t="s">
        <v>299</v>
      </c>
      <c r="F45" s="240">
        <v>3.6</v>
      </c>
      <c r="G45" s="240"/>
      <c r="H45" s="239">
        <v>3.6</v>
      </c>
      <c r="I45" s="242">
        <v>14</v>
      </c>
      <c r="K45" s="10"/>
      <c r="L45" s="11"/>
    </row>
    <row r="46" spans="1:12">
      <c r="A46" s="238">
        <v>502715</v>
      </c>
      <c r="B46" s="239" t="s">
        <v>938</v>
      </c>
      <c r="C46" s="240">
        <v>8</v>
      </c>
      <c r="D46" s="241" t="s">
        <v>1038</v>
      </c>
      <c r="E46" s="241" t="s">
        <v>299</v>
      </c>
      <c r="F46" s="240">
        <v>3.6</v>
      </c>
      <c r="G46" s="240"/>
      <c r="H46" s="239">
        <v>3.6</v>
      </c>
      <c r="I46" s="242">
        <v>16</v>
      </c>
      <c r="K46" s="10"/>
      <c r="L46" s="11"/>
    </row>
    <row r="47" spans="1:12">
      <c r="A47" s="238">
        <v>453749</v>
      </c>
      <c r="B47" s="239" t="s">
        <v>630</v>
      </c>
      <c r="C47" s="240">
        <v>8</v>
      </c>
      <c r="D47" s="241" t="s">
        <v>1038</v>
      </c>
      <c r="E47" s="241" t="s">
        <v>299</v>
      </c>
      <c r="F47" s="240">
        <v>3.6</v>
      </c>
      <c r="G47" s="240"/>
      <c r="H47" s="239">
        <f>F47</f>
        <v>3.6</v>
      </c>
      <c r="I47" s="242">
        <v>14</v>
      </c>
      <c r="K47" s="10"/>
      <c r="L47" s="11"/>
    </row>
    <row r="48" spans="1:12">
      <c r="A48" s="238">
        <v>453750</v>
      </c>
      <c r="B48" s="239" t="s">
        <v>631</v>
      </c>
      <c r="C48" s="240">
        <v>8</v>
      </c>
      <c r="D48" s="241" t="s">
        <v>1038</v>
      </c>
      <c r="E48" s="241" t="s">
        <v>299</v>
      </c>
      <c r="F48" s="240">
        <v>3.6</v>
      </c>
      <c r="G48" s="240"/>
      <c r="H48" s="239">
        <v>3.6</v>
      </c>
      <c r="I48" s="242">
        <v>14</v>
      </c>
      <c r="K48" s="10"/>
      <c r="L48" s="11"/>
    </row>
    <row r="49" spans="1:12">
      <c r="A49" s="238">
        <v>454240</v>
      </c>
      <c r="B49" s="239" t="s">
        <v>855</v>
      </c>
      <c r="C49" s="240">
        <v>8</v>
      </c>
      <c r="D49" s="241" t="s">
        <v>1038</v>
      </c>
      <c r="E49" s="241" t="s">
        <v>299</v>
      </c>
      <c r="F49" s="240">
        <v>3.6</v>
      </c>
      <c r="G49" s="240"/>
      <c r="H49" s="239">
        <f>F49</f>
        <v>3.6</v>
      </c>
      <c r="I49" s="242">
        <v>14</v>
      </c>
      <c r="K49" s="10"/>
      <c r="L49" s="11"/>
    </row>
    <row r="50" spans="1:12">
      <c r="A50" s="238">
        <v>453751</v>
      </c>
      <c r="B50" s="239" t="s">
        <v>632</v>
      </c>
      <c r="C50" s="240">
        <v>8</v>
      </c>
      <c r="D50" s="241" t="s">
        <v>1038</v>
      </c>
      <c r="E50" s="241" t="s">
        <v>299</v>
      </c>
      <c r="F50" s="240">
        <v>3.6</v>
      </c>
      <c r="G50" s="240"/>
      <c r="H50" s="239">
        <v>3.6</v>
      </c>
      <c r="I50" s="242">
        <v>14</v>
      </c>
      <c r="K50" s="10"/>
      <c r="L50" s="11"/>
    </row>
    <row r="51" spans="1:12">
      <c r="A51" s="238">
        <v>453752</v>
      </c>
      <c r="B51" s="239" t="s">
        <v>633</v>
      </c>
      <c r="C51" s="240">
        <v>8</v>
      </c>
      <c r="D51" s="241" t="s">
        <v>1038</v>
      </c>
      <c r="E51" s="241" t="s">
        <v>299</v>
      </c>
      <c r="F51" s="240">
        <v>3.6</v>
      </c>
      <c r="G51" s="240"/>
      <c r="H51" s="239">
        <f>F51</f>
        <v>3.6</v>
      </c>
      <c r="I51" s="242">
        <v>14</v>
      </c>
      <c r="K51" s="10"/>
      <c r="L51" s="11"/>
    </row>
    <row r="52" spans="1:12">
      <c r="A52" s="238">
        <v>453753</v>
      </c>
      <c r="B52" s="239" t="s">
        <v>313</v>
      </c>
      <c r="C52" s="240">
        <v>8</v>
      </c>
      <c r="D52" s="241" t="s">
        <v>1038</v>
      </c>
      <c r="E52" s="241" t="s">
        <v>299</v>
      </c>
      <c r="F52" s="240">
        <v>3.6</v>
      </c>
      <c r="G52" s="240"/>
      <c r="H52" s="239">
        <v>3.5</v>
      </c>
      <c r="I52" s="242">
        <v>14</v>
      </c>
      <c r="K52" s="10"/>
      <c r="L52" s="11"/>
    </row>
    <row r="53" spans="1:12">
      <c r="A53" s="238">
        <v>532333</v>
      </c>
      <c r="B53" s="239" t="s">
        <v>966</v>
      </c>
      <c r="C53" s="240">
        <v>8</v>
      </c>
      <c r="D53" s="241" t="s">
        <v>1038</v>
      </c>
      <c r="E53" s="241" t="s">
        <v>299</v>
      </c>
      <c r="F53" s="240">
        <v>4.5999999999999996</v>
      </c>
      <c r="G53" s="240"/>
      <c r="H53" s="239">
        <v>3.5</v>
      </c>
      <c r="I53" s="242">
        <v>14</v>
      </c>
      <c r="K53" s="10"/>
      <c r="L53" s="11"/>
    </row>
    <row r="54" spans="1:12">
      <c r="A54" s="238">
        <v>453754</v>
      </c>
      <c r="B54" s="239" t="s">
        <v>634</v>
      </c>
      <c r="C54" s="240">
        <v>8</v>
      </c>
      <c r="D54" s="241" t="s">
        <v>1038</v>
      </c>
      <c r="E54" s="241" t="s">
        <v>299</v>
      </c>
      <c r="F54" s="240">
        <v>3.6</v>
      </c>
      <c r="G54" s="240"/>
      <c r="H54" s="239">
        <v>3.42</v>
      </c>
      <c r="I54" s="242">
        <v>14</v>
      </c>
      <c r="K54" s="10"/>
      <c r="L54" s="11"/>
    </row>
    <row r="55" spans="1:12">
      <c r="A55" s="238">
        <v>453755</v>
      </c>
      <c r="B55" s="239" t="s">
        <v>635</v>
      </c>
      <c r="C55" s="240">
        <v>8</v>
      </c>
      <c r="D55" s="241" t="s">
        <v>1038</v>
      </c>
      <c r="E55" s="241" t="s">
        <v>299</v>
      </c>
      <c r="F55" s="240">
        <v>3.6</v>
      </c>
      <c r="G55" s="240"/>
      <c r="H55" s="239">
        <f>F55</f>
        <v>3.6</v>
      </c>
      <c r="I55" s="242">
        <v>14</v>
      </c>
      <c r="K55" s="10"/>
      <c r="L55" s="11"/>
    </row>
    <row r="56" spans="1:12">
      <c r="A56" s="238">
        <v>453756</v>
      </c>
      <c r="B56" s="239" t="s">
        <v>636</v>
      </c>
      <c r="C56" s="240">
        <v>8</v>
      </c>
      <c r="D56" s="241" t="s">
        <v>1038</v>
      </c>
      <c r="E56" s="241" t="s">
        <v>299</v>
      </c>
      <c r="F56" s="240">
        <v>3.6</v>
      </c>
      <c r="G56" s="240"/>
      <c r="H56" s="239">
        <f>F56</f>
        <v>3.6</v>
      </c>
      <c r="I56" s="242">
        <v>14</v>
      </c>
      <c r="K56" s="10"/>
      <c r="L56" s="11"/>
    </row>
    <row r="57" spans="1:12">
      <c r="A57" s="238">
        <v>503940</v>
      </c>
      <c r="B57" s="239" t="s">
        <v>941</v>
      </c>
      <c r="C57" s="240">
        <v>0</v>
      </c>
      <c r="D57" s="241" t="s">
        <v>1038</v>
      </c>
      <c r="E57" s="241" t="s">
        <v>291</v>
      </c>
      <c r="F57" s="240">
        <v>15.5</v>
      </c>
      <c r="G57" s="240"/>
      <c r="H57" s="239"/>
      <c r="I57" s="242">
        <v>13.2</v>
      </c>
      <c r="K57" s="10"/>
      <c r="L57" s="11"/>
    </row>
    <row r="58" spans="1:12">
      <c r="A58" s="238">
        <v>503974</v>
      </c>
      <c r="B58" s="239" t="s">
        <v>942</v>
      </c>
      <c r="C58" s="240">
        <v>0</v>
      </c>
      <c r="D58" s="241" t="s">
        <v>1038</v>
      </c>
      <c r="E58" s="241" t="s">
        <v>291</v>
      </c>
      <c r="F58" s="240">
        <v>15.5</v>
      </c>
      <c r="G58" s="240"/>
      <c r="H58" s="239">
        <f t="shared" ref="H58:H71" si="1">F58</f>
        <v>15.5</v>
      </c>
      <c r="I58" s="242">
        <v>13.2</v>
      </c>
      <c r="K58" s="10"/>
      <c r="L58" s="11"/>
    </row>
    <row r="59" spans="1:12">
      <c r="A59" s="238">
        <v>553482</v>
      </c>
      <c r="B59" s="239" t="s">
        <v>992</v>
      </c>
      <c r="C59" s="240">
        <v>0</v>
      </c>
      <c r="D59" s="241" t="s">
        <v>1038</v>
      </c>
      <c r="E59" s="241" t="s">
        <v>291</v>
      </c>
      <c r="F59" s="240">
        <v>15.5</v>
      </c>
      <c r="G59" s="240"/>
      <c r="H59" s="239">
        <f t="shared" si="1"/>
        <v>15.5</v>
      </c>
      <c r="I59" s="242">
        <v>13.2</v>
      </c>
      <c r="K59" s="10"/>
      <c r="L59" s="11"/>
    </row>
    <row r="60" spans="1:12">
      <c r="A60" s="238">
        <v>453758</v>
      </c>
      <c r="B60" s="239" t="s">
        <v>637</v>
      </c>
      <c r="C60" s="240">
        <v>0</v>
      </c>
      <c r="D60" s="241" t="s">
        <v>1038</v>
      </c>
      <c r="E60" s="241" t="s">
        <v>291</v>
      </c>
      <c r="F60" s="240">
        <v>14.5</v>
      </c>
      <c r="G60" s="240"/>
      <c r="H60" s="239">
        <f t="shared" si="1"/>
        <v>14.5</v>
      </c>
      <c r="I60" s="242">
        <v>13.2</v>
      </c>
      <c r="K60" s="10"/>
      <c r="L60" s="11"/>
    </row>
    <row r="61" spans="1:12">
      <c r="A61" s="238">
        <v>509852</v>
      </c>
      <c r="B61" s="239" t="s">
        <v>948</v>
      </c>
      <c r="C61" s="240">
        <v>0</v>
      </c>
      <c r="D61" s="241" t="s">
        <v>1038</v>
      </c>
      <c r="E61" s="241" t="s">
        <v>291</v>
      </c>
      <c r="F61" s="240">
        <v>15.5</v>
      </c>
      <c r="G61" s="240"/>
      <c r="H61" s="239">
        <f t="shared" si="1"/>
        <v>15.5</v>
      </c>
      <c r="I61" s="242">
        <v>13.2</v>
      </c>
      <c r="K61" s="10"/>
      <c r="L61" s="11"/>
    </row>
    <row r="62" spans="1:12">
      <c r="A62" s="238">
        <v>503976</v>
      </c>
      <c r="B62" s="239" t="s">
        <v>943</v>
      </c>
      <c r="C62" s="240">
        <v>0</v>
      </c>
      <c r="D62" s="241" t="s">
        <v>1038</v>
      </c>
      <c r="E62" s="241" t="s">
        <v>291</v>
      </c>
      <c r="F62" s="240">
        <v>15.5</v>
      </c>
      <c r="G62" s="240"/>
      <c r="H62" s="239">
        <f t="shared" si="1"/>
        <v>15.5</v>
      </c>
      <c r="I62" s="242">
        <v>13.2</v>
      </c>
      <c r="K62" s="10"/>
      <c r="L62" s="11"/>
    </row>
    <row r="63" spans="1:12">
      <c r="A63" s="238">
        <v>509876</v>
      </c>
      <c r="B63" s="239" t="s">
        <v>949</v>
      </c>
      <c r="C63" s="240">
        <v>0</v>
      </c>
      <c r="D63" s="241" t="s">
        <v>1038</v>
      </c>
      <c r="E63" s="241" t="s">
        <v>291</v>
      </c>
      <c r="F63" s="240">
        <v>15.5</v>
      </c>
      <c r="G63" s="240"/>
      <c r="H63" s="239">
        <f t="shared" si="1"/>
        <v>15.5</v>
      </c>
      <c r="I63" s="242">
        <v>13.2</v>
      </c>
      <c r="K63" s="10"/>
      <c r="L63" s="11"/>
    </row>
    <row r="64" spans="1:12">
      <c r="A64" s="238">
        <v>503980</v>
      </c>
      <c r="B64" s="239" t="s">
        <v>944</v>
      </c>
      <c r="C64" s="240">
        <v>0</v>
      </c>
      <c r="D64" s="241" t="s">
        <v>1038</v>
      </c>
      <c r="E64" s="241" t="s">
        <v>291</v>
      </c>
      <c r="F64" s="240">
        <v>15.5</v>
      </c>
      <c r="G64" s="240"/>
      <c r="H64" s="239">
        <f t="shared" si="1"/>
        <v>15.5</v>
      </c>
      <c r="I64" s="242">
        <v>13.2</v>
      </c>
      <c r="K64" s="10"/>
      <c r="L64" s="11"/>
    </row>
    <row r="65" spans="1:12">
      <c r="A65" s="238">
        <v>453759</v>
      </c>
      <c r="B65" s="239" t="s">
        <v>638</v>
      </c>
      <c r="C65" s="240">
        <v>2</v>
      </c>
      <c r="D65" s="241" t="s">
        <v>1038</v>
      </c>
      <c r="E65" s="241" t="s">
        <v>291</v>
      </c>
      <c r="F65" s="240">
        <v>13.200000000000001</v>
      </c>
      <c r="G65" s="240"/>
      <c r="H65" s="239">
        <f t="shared" si="1"/>
        <v>13.200000000000001</v>
      </c>
      <c r="I65" s="242">
        <v>15.6</v>
      </c>
      <c r="K65" s="10"/>
      <c r="L65" s="11"/>
    </row>
    <row r="66" spans="1:12">
      <c r="A66" s="238">
        <v>453760</v>
      </c>
      <c r="B66" s="239" t="s">
        <v>639</v>
      </c>
      <c r="C66" s="240">
        <v>2</v>
      </c>
      <c r="D66" s="241" t="s">
        <v>1038</v>
      </c>
      <c r="E66" s="241" t="s">
        <v>291</v>
      </c>
      <c r="F66" s="240">
        <v>13.200000000000001</v>
      </c>
      <c r="G66" s="240"/>
      <c r="H66" s="239">
        <f t="shared" si="1"/>
        <v>13.200000000000001</v>
      </c>
      <c r="I66" s="242">
        <v>15.6</v>
      </c>
      <c r="K66" s="10"/>
      <c r="L66" s="11"/>
    </row>
    <row r="67" spans="1:12">
      <c r="A67" s="238">
        <v>453761</v>
      </c>
      <c r="B67" s="239" t="s">
        <v>640</v>
      </c>
      <c r="C67" s="240">
        <v>2</v>
      </c>
      <c r="D67" s="241" t="s">
        <v>1038</v>
      </c>
      <c r="E67" s="241" t="s">
        <v>291</v>
      </c>
      <c r="F67" s="240">
        <v>13.200000000000001</v>
      </c>
      <c r="G67" s="240"/>
      <c r="H67" s="239">
        <f t="shared" si="1"/>
        <v>13.200000000000001</v>
      </c>
      <c r="I67" s="242">
        <v>15.6</v>
      </c>
      <c r="K67" s="10"/>
      <c r="L67" s="11"/>
    </row>
    <row r="68" spans="1:12">
      <c r="A68" s="238">
        <v>453762</v>
      </c>
      <c r="B68" s="239" t="s">
        <v>641</v>
      </c>
      <c r="C68" s="240">
        <v>2</v>
      </c>
      <c r="D68" s="241" t="s">
        <v>1038</v>
      </c>
      <c r="E68" s="241" t="s">
        <v>291</v>
      </c>
      <c r="F68" s="240">
        <v>13.200000000000001</v>
      </c>
      <c r="G68" s="240"/>
      <c r="H68" s="239">
        <f t="shared" si="1"/>
        <v>13.200000000000001</v>
      </c>
      <c r="I68" s="242">
        <v>15.6</v>
      </c>
      <c r="K68" s="10"/>
      <c r="L68" s="11"/>
    </row>
    <row r="69" spans="1:12">
      <c r="A69" s="238">
        <v>453763</v>
      </c>
      <c r="B69" s="239" t="s">
        <v>642</v>
      </c>
      <c r="C69" s="240">
        <v>2</v>
      </c>
      <c r="D69" s="241" t="s">
        <v>1038</v>
      </c>
      <c r="E69" s="241" t="s">
        <v>291</v>
      </c>
      <c r="F69" s="240">
        <v>13.2</v>
      </c>
      <c r="G69" s="240"/>
      <c r="H69" s="239">
        <f t="shared" si="1"/>
        <v>13.2</v>
      </c>
      <c r="I69" s="242">
        <v>15.6</v>
      </c>
      <c r="K69" s="10"/>
      <c r="L69" s="11"/>
    </row>
    <row r="70" spans="1:12">
      <c r="A70" s="238">
        <v>453764</v>
      </c>
      <c r="B70" s="239" t="s">
        <v>643</v>
      </c>
      <c r="C70" s="240">
        <v>2</v>
      </c>
      <c r="D70" s="241" t="s">
        <v>1038</v>
      </c>
      <c r="E70" s="241" t="s">
        <v>291</v>
      </c>
      <c r="F70" s="240">
        <v>13.200000000000001</v>
      </c>
      <c r="G70" s="240"/>
      <c r="H70" s="239">
        <f t="shared" si="1"/>
        <v>13.200000000000001</v>
      </c>
      <c r="I70" s="242">
        <v>15.6</v>
      </c>
      <c r="K70" s="10"/>
      <c r="L70" s="11"/>
    </row>
    <row r="71" spans="1:12">
      <c r="A71" s="238">
        <v>454175</v>
      </c>
      <c r="B71" s="239" t="s">
        <v>818</v>
      </c>
      <c r="C71" s="240">
        <v>2</v>
      </c>
      <c r="D71" s="241" t="s">
        <v>1038</v>
      </c>
      <c r="E71" s="241" t="s">
        <v>291</v>
      </c>
      <c r="F71" s="240">
        <v>13.200000000000001</v>
      </c>
      <c r="G71" s="240"/>
      <c r="H71" s="239">
        <f t="shared" si="1"/>
        <v>13.200000000000001</v>
      </c>
      <c r="I71" s="242">
        <v>15.6</v>
      </c>
      <c r="K71" s="10"/>
      <c r="L71" s="11"/>
    </row>
    <row r="72" spans="1:12">
      <c r="A72" s="238">
        <v>453765</v>
      </c>
      <c r="B72" s="239" t="s">
        <v>644</v>
      </c>
      <c r="C72" s="240">
        <v>2</v>
      </c>
      <c r="D72" s="241" t="s">
        <v>1038</v>
      </c>
      <c r="E72" s="241" t="s">
        <v>291</v>
      </c>
      <c r="F72" s="240">
        <v>13.200000000000001</v>
      </c>
      <c r="G72" s="240"/>
      <c r="H72" s="239">
        <v>13.8</v>
      </c>
      <c r="I72" s="242">
        <v>15.6</v>
      </c>
      <c r="K72" s="10"/>
      <c r="L72" s="11"/>
    </row>
    <row r="73" spans="1:12">
      <c r="A73" s="238">
        <v>454229</v>
      </c>
      <c r="B73" s="239" t="s">
        <v>854</v>
      </c>
      <c r="C73" s="240">
        <v>2</v>
      </c>
      <c r="D73" s="241" t="s">
        <v>1038</v>
      </c>
      <c r="E73" s="241" t="s">
        <v>291</v>
      </c>
      <c r="F73" s="240">
        <v>13.200000000000001</v>
      </c>
      <c r="G73" s="240"/>
      <c r="H73" s="239">
        <f>F73</f>
        <v>13.200000000000001</v>
      </c>
      <c r="I73" s="242">
        <v>15.6</v>
      </c>
      <c r="K73" s="10"/>
      <c r="L73" s="11"/>
    </row>
    <row r="74" spans="1:12">
      <c r="A74" s="238">
        <v>453766</v>
      </c>
      <c r="B74" s="239" t="s">
        <v>645</v>
      </c>
      <c r="C74" s="240">
        <v>1</v>
      </c>
      <c r="D74" s="241" t="s">
        <v>1038</v>
      </c>
      <c r="E74" s="241" t="s">
        <v>291</v>
      </c>
      <c r="F74" s="240">
        <v>16.600000000000001</v>
      </c>
      <c r="G74" s="240"/>
      <c r="H74" s="239">
        <f>F74</f>
        <v>16.600000000000001</v>
      </c>
      <c r="I74" s="242">
        <v>14.3</v>
      </c>
      <c r="K74" s="10"/>
      <c r="L74" s="11"/>
    </row>
    <row r="75" spans="1:12">
      <c r="A75" s="238">
        <v>453767</v>
      </c>
      <c r="B75" s="239" t="s">
        <v>646</v>
      </c>
      <c r="C75" s="240">
        <v>1</v>
      </c>
      <c r="D75" s="241" t="s">
        <v>1038</v>
      </c>
      <c r="E75" s="241" t="s">
        <v>291</v>
      </c>
      <c r="F75" s="240">
        <v>16.600000000000001</v>
      </c>
      <c r="G75" s="240"/>
      <c r="H75" s="239">
        <f>F75</f>
        <v>16.600000000000001</v>
      </c>
      <c r="I75" s="242">
        <v>14.3</v>
      </c>
      <c r="K75" s="10"/>
      <c r="L75" s="11"/>
    </row>
    <row r="76" spans="1:12">
      <c r="A76" s="238">
        <v>453768</v>
      </c>
      <c r="B76" s="239" t="s">
        <v>647</v>
      </c>
      <c r="C76" s="240">
        <v>1</v>
      </c>
      <c r="D76" s="241" t="s">
        <v>1038</v>
      </c>
      <c r="E76" s="241" t="s">
        <v>1030</v>
      </c>
      <c r="F76" s="240">
        <v>12.6</v>
      </c>
      <c r="G76" s="240"/>
      <c r="H76" s="239">
        <f>F76</f>
        <v>12.6</v>
      </c>
      <c r="I76" s="242">
        <v>11.1</v>
      </c>
      <c r="K76" s="10"/>
      <c r="L76" s="11"/>
    </row>
    <row r="77" spans="1:12">
      <c r="A77" s="238">
        <v>454252</v>
      </c>
      <c r="B77" s="239" t="s">
        <v>861</v>
      </c>
      <c r="C77" s="240">
        <v>1</v>
      </c>
      <c r="D77" s="241" t="s">
        <v>1038</v>
      </c>
      <c r="E77" s="241" t="s">
        <v>1030</v>
      </c>
      <c r="F77" s="240">
        <v>12.6</v>
      </c>
      <c r="G77" s="240"/>
      <c r="H77" s="239">
        <f>F77</f>
        <v>12.6</v>
      </c>
      <c r="I77" s="242">
        <v>11.1</v>
      </c>
      <c r="K77" s="10"/>
      <c r="L77" s="11"/>
    </row>
    <row r="78" spans="1:12">
      <c r="A78" s="238">
        <v>454253</v>
      </c>
      <c r="B78" s="239" t="s">
        <v>862</v>
      </c>
      <c r="C78" s="240">
        <v>1</v>
      </c>
      <c r="D78" s="241" t="s">
        <v>1038</v>
      </c>
      <c r="E78" s="241" t="s">
        <v>296</v>
      </c>
      <c r="F78" s="240">
        <v>12.6</v>
      </c>
      <c r="G78" s="240"/>
      <c r="H78" s="239">
        <v>12.75</v>
      </c>
      <c r="I78" s="242">
        <v>11.1</v>
      </c>
      <c r="K78" s="10"/>
      <c r="L78" s="11"/>
    </row>
    <row r="79" spans="1:12">
      <c r="A79" s="238">
        <v>453769</v>
      </c>
      <c r="B79" s="239" t="s">
        <v>648</v>
      </c>
      <c r="C79" s="240">
        <v>1</v>
      </c>
      <c r="D79" s="241" t="s">
        <v>1038</v>
      </c>
      <c r="E79" s="241" t="s">
        <v>1031</v>
      </c>
      <c r="F79" s="240">
        <v>12.700000000000001</v>
      </c>
      <c r="G79" s="240"/>
      <c r="H79" s="239">
        <v>12.4</v>
      </c>
      <c r="I79" s="242">
        <v>11.1</v>
      </c>
      <c r="K79" s="10"/>
      <c r="L79" s="11"/>
    </row>
    <row r="80" spans="1:12">
      <c r="A80" s="238">
        <v>454219</v>
      </c>
      <c r="B80" s="239" t="s">
        <v>846</v>
      </c>
      <c r="C80" s="240">
        <v>1</v>
      </c>
      <c r="D80" s="241" t="s">
        <v>1038</v>
      </c>
      <c r="E80" s="241" t="s">
        <v>291</v>
      </c>
      <c r="F80" s="240">
        <v>12.6</v>
      </c>
      <c r="G80" s="240"/>
      <c r="H80" s="239">
        <f>F80</f>
        <v>12.6</v>
      </c>
      <c r="I80" s="242">
        <v>13.4</v>
      </c>
      <c r="K80" s="10"/>
      <c r="L80" s="11"/>
    </row>
    <row r="81" spans="1:12">
      <c r="A81" s="238">
        <v>454249</v>
      </c>
      <c r="B81" s="239" t="s">
        <v>858</v>
      </c>
      <c r="C81" s="240">
        <v>4</v>
      </c>
      <c r="D81" s="241" t="s">
        <v>1038</v>
      </c>
      <c r="E81" s="241" t="s">
        <v>1184</v>
      </c>
      <c r="F81" s="240">
        <v>4.2</v>
      </c>
      <c r="G81" s="240"/>
      <c r="H81" s="239">
        <f>F81</f>
        <v>4.2</v>
      </c>
      <c r="I81" s="242">
        <v>14.6</v>
      </c>
      <c r="K81" s="10"/>
      <c r="L81" s="11"/>
    </row>
    <row r="82" spans="1:12">
      <c r="A82" s="238">
        <v>454251</v>
      </c>
      <c r="B82" s="239" t="s">
        <v>860</v>
      </c>
      <c r="C82" s="240">
        <v>4</v>
      </c>
      <c r="D82" s="241" t="s">
        <v>1038</v>
      </c>
      <c r="E82" s="241" t="s">
        <v>293</v>
      </c>
      <c r="F82" s="240">
        <v>4.2</v>
      </c>
      <c r="G82" s="240"/>
      <c r="H82" s="239">
        <v>4.05</v>
      </c>
      <c r="I82" s="242">
        <v>14.6</v>
      </c>
      <c r="K82" s="10"/>
      <c r="L82" s="11"/>
    </row>
    <row r="83" spans="1:12">
      <c r="A83" s="238">
        <v>556157</v>
      </c>
      <c r="B83" s="239" t="s">
        <v>1044</v>
      </c>
      <c r="C83" s="240">
        <v>4</v>
      </c>
      <c r="D83" s="241" t="s">
        <v>1038</v>
      </c>
      <c r="E83" s="241" t="s">
        <v>293</v>
      </c>
      <c r="F83" s="240">
        <v>5.1999999999999993</v>
      </c>
      <c r="G83" s="240"/>
      <c r="H83" s="239">
        <v>4.8</v>
      </c>
      <c r="I83" s="242">
        <v>15.2</v>
      </c>
      <c r="K83" s="10"/>
      <c r="L83" s="11"/>
    </row>
    <row r="84" spans="1:12">
      <c r="A84" s="238">
        <v>465632</v>
      </c>
      <c r="B84" s="239" t="s">
        <v>883</v>
      </c>
      <c r="C84" s="240">
        <v>4</v>
      </c>
      <c r="D84" s="241" t="s">
        <v>1038</v>
      </c>
      <c r="E84" s="241" t="s">
        <v>1184</v>
      </c>
      <c r="F84" s="240">
        <v>4.2</v>
      </c>
      <c r="G84" s="240"/>
      <c r="H84" s="239">
        <f>F84</f>
        <v>4.2</v>
      </c>
      <c r="I84" s="242">
        <v>14.6</v>
      </c>
      <c r="K84" s="10"/>
      <c r="L84" s="11"/>
    </row>
    <row r="85" spans="1:12">
      <c r="A85" s="238">
        <v>617309</v>
      </c>
      <c r="B85" s="239" t="s">
        <v>1233</v>
      </c>
      <c r="C85" s="240">
        <v>4</v>
      </c>
      <c r="D85" s="241" t="s">
        <v>1038</v>
      </c>
      <c r="E85" s="241" t="s">
        <v>1184</v>
      </c>
      <c r="F85" s="240">
        <v>5.2</v>
      </c>
      <c r="G85" s="240"/>
      <c r="H85" s="239">
        <v>5.2</v>
      </c>
      <c r="I85" s="242">
        <v>17.600000000000001</v>
      </c>
      <c r="K85" s="10"/>
      <c r="L85" s="11"/>
    </row>
    <row r="86" spans="1:12">
      <c r="A86" s="238">
        <v>454166</v>
      </c>
      <c r="B86" s="239" t="s">
        <v>814</v>
      </c>
      <c r="C86" s="240">
        <v>4</v>
      </c>
      <c r="D86" s="241" t="s">
        <v>1038</v>
      </c>
      <c r="E86" s="241" t="s">
        <v>293</v>
      </c>
      <c r="F86" s="240">
        <v>4.2</v>
      </c>
      <c r="G86" s="240"/>
      <c r="H86" s="239">
        <v>4.8</v>
      </c>
      <c r="I86" s="242">
        <v>14.6</v>
      </c>
      <c r="K86" s="10"/>
      <c r="L86" s="11"/>
    </row>
    <row r="87" spans="1:12">
      <c r="A87" s="238">
        <v>454165</v>
      </c>
      <c r="B87" s="239" t="s">
        <v>813</v>
      </c>
      <c r="C87" s="240">
        <v>4</v>
      </c>
      <c r="D87" s="241" t="s">
        <v>1038</v>
      </c>
      <c r="E87" s="241" t="s">
        <v>293</v>
      </c>
      <c r="F87" s="240">
        <v>4.2</v>
      </c>
      <c r="G87" s="240"/>
      <c r="H87" s="239">
        <v>4.7</v>
      </c>
      <c r="I87" s="242">
        <v>14.6</v>
      </c>
      <c r="K87" s="10"/>
      <c r="L87" s="11"/>
    </row>
    <row r="88" spans="1:12">
      <c r="A88" s="238">
        <v>454250</v>
      </c>
      <c r="B88" s="239" t="s">
        <v>859</v>
      </c>
      <c r="C88" s="240">
        <v>4</v>
      </c>
      <c r="D88" s="241" t="s">
        <v>1038</v>
      </c>
      <c r="E88" s="241" t="s">
        <v>1184</v>
      </c>
      <c r="F88" s="240">
        <v>4.2</v>
      </c>
      <c r="G88" s="240"/>
      <c r="H88" s="239">
        <f>F88</f>
        <v>4.2</v>
      </c>
      <c r="I88" s="242">
        <v>14.6</v>
      </c>
      <c r="K88" s="10"/>
      <c r="L88" s="11"/>
    </row>
    <row r="89" spans="1:12">
      <c r="A89" s="238">
        <v>454256</v>
      </c>
      <c r="B89" s="239" t="s">
        <v>865</v>
      </c>
      <c r="C89" s="240">
        <v>2</v>
      </c>
      <c r="D89" s="241" t="s">
        <v>1038</v>
      </c>
      <c r="E89" s="241" t="s">
        <v>1030</v>
      </c>
      <c r="F89" s="240">
        <v>38</v>
      </c>
      <c r="G89" s="240"/>
      <c r="H89" s="239">
        <f>F89</f>
        <v>38</v>
      </c>
      <c r="I89" s="242">
        <v>24</v>
      </c>
      <c r="K89" s="10"/>
      <c r="L89" s="11"/>
    </row>
    <row r="90" spans="1:12">
      <c r="A90" s="238">
        <v>454255</v>
      </c>
      <c r="B90" s="239" t="s">
        <v>864</v>
      </c>
      <c r="C90" s="240">
        <v>0</v>
      </c>
      <c r="D90" s="241" t="s">
        <v>1038</v>
      </c>
      <c r="E90" s="241" t="s">
        <v>1030</v>
      </c>
      <c r="F90" s="240">
        <v>38</v>
      </c>
      <c r="G90" s="240"/>
      <c r="H90" s="239">
        <f>F90</f>
        <v>38</v>
      </c>
      <c r="I90" s="242">
        <v>24</v>
      </c>
      <c r="K90" s="10"/>
      <c r="L90" s="11"/>
    </row>
    <row r="91" spans="1:12">
      <c r="A91" s="238">
        <v>453770</v>
      </c>
      <c r="B91" s="239" t="s">
        <v>649</v>
      </c>
      <c r="C91" s="240">
        <v>4</v>
      </c>
      <c r="D91" s="241" t="s">
        <v>1038</v>
      </c>
      <c r="E91" s="241" t="s">
        <v>1030</v>
      </c>
      <c r="F91" s="240">
        <v>4.8999999999999995</v>
      </c>
      <c r="G91" s="240"/>
      <c r="H91" s="239">
        <f>F91</f>
        <v>4.8999999999999995</v>
      </c>
      <c r="I91" s="242">
        <v>14.6</v>
      </c>
      <c r="K91" s="10"/>
      <c r="L91" s="12"/>
    </row>
    <row r="92" spans="1:12">
      <c r="A92" s="238">
        <v>454164</v>
      </c>
      <c r="B92" s="239" t="s">
        <v>812</v>
      </c>
      <c r="C92" s="240">
        <v>4</v>
      </c>
      <c r="D92" s="241" t="s">
        <v>1038</v>
      </c>
      <c r="E92" s="241" t="s">
        <v>1030</v>
      </c>
      <c r="F92" s="240">
        <v>4.8999999999999995</v>
      </c>
      <c r="G92" s="240"/>
      <c r="H92" s="239">
        <v>4.96</v>
      </c>
      <c r="I92" s="242">
        <v>14.6</v>
      </c>
      <c r="K92" s="10"/>
      <c r="L92" s="12"/>
    </row>
    <row r="93" spans="1:12">
      <c r="A93" s="238">
        <v>453771</v>
      </c>
      <c r="B93" s="239" t="s">
        <v>650</v>
      </c>
      <c r="C93" s="240">
        <v>4</v>
      </c>
      <c r="D93" s="241" t="s">
        <v>1038</v>
      </c>
      <c r="E93" s="241" t="s">
        <v>1030</v>
      </c>
      <c r="F93" s="240">
        <v>21</v>
      </c>
      <c r="G93" s="240"/>
      <c r="H93" s="239">
        <f>F93</f>
        <v>21</v>
      </c>
      <c r="I93" s="242">
        <v>28</v>
      </c>
      <c r="K93" s="10"/>
      <c r="L93" s="11"/>
    </row>
    <row r="94" spans="1:12">
      <c r="A94" s="238">
        <v>453772</v>
      </c>
      <c r="B94" s="239" t="s">
        <v>651</v>
      </c>
      <c r="C94" s="240">
        <v>1</v>
      </c>
      <c r="D94" s="241" t="s">
        <v>1038</v>
      </c>
      <c r="E94" s="241" t="s">
        <v>291</v>
      </c>
      <c r="F94" s="240">
        <v>21</v>
      </c>
      <c r="G94" s="240"/>
      <c r="H94" s="239">
        <f>F94</f>
        <v>21</v>
      </c>
      <c r="I94" s="242">
        <v>12</v>
      </c>
      <c r="K94" s="10"/>
      <c r="L94" s="11"/>
    </row>
    <row r="95" spans="1:12">
      <c r="A95" s="238">
        <v>453773</v>
      </c>
      <c r="B95" s="239" t="s">
        <v>652</v>
      </c>
      <c r="C95" s="240">
        <v>1</v>
      </c>
      <c r="D95" s="241" t="s">
        <v>1038</v>
      </c>
      <c r="E95" s="241" t="s">
        <v>1031</v>
      </c>
      <c r="F95" s="240">
        <v>28</v>
      </c>
      <c r="G95" s="240"/>
      <c r="H95" s="239">
        <v>28.02</v>
      </c>
      <c r="I95" s="242">
        <v>18</v>
      </c>
      <c r="K95" s="10"/>
      <c r="L95" s="11"/>
    </row>
    <row r="96" spans="1:12">
      <c r="A96" s="238">
        <v>453774</v>
      </c>
      <c r="B96" s="239" t="s">
        <v>653</v>
      </c>
      <c r="C96" s="240">
        <v>1</v>
      </c>
      <c r="D96" s="241" t="s">
        <v>1038</v>
      </c>
      <c r="E96" s="241" t="s">
        <v>291</v>
      </c>
      <c r="F96" s="240">
        <v>28</v>
      </c>
      <c r="G96" s="240"/>
      <c r="H96" s="239">
        <f>F96</f>
        <v>28</v>
      </c>
      <c r="I96" s="242">
        <v>18</v>
      </c>
      <c r="K96" s="10"/>
      <c r="L96" s="11"/>
    </row>
    <row r="97" spans="1:12">
      <c r="A97" s="238">
        <v>467905</v>
      </c>
      <c r="B97" s="239" t="s">
        <v>889</v>
      </c>
      <c r="C97" s="240">
        <v>1</v>
      </c>
      <c r="D97" s="241" t="s">
        <v>1038</v>
      </c>
      <c r="E97" s="241" t="s">
        <v>1030</v>
      </c>
      <c r="F97" s="240">
        <v>24.7</v>
      </c>
      <c r="G97" s="240"/>
      <c r="H97" s="239">
        <f>F97</f>
        <v>24.7</v>
      </c>
      <c r="I97" s="242">
        <v>18</v>
      </c>
      <c r="K97" s="10"/>
      <c r="L97" s="11"/>
    </row>
    <row r="98" spans="1:12">
      <c r="A98" s="238">
        <v>453775</v>
      </c>
      <c r="B98" s="239" t="s">
        <v>654</v>
      </c>
      <c r="C98" s="240">
        <v>1</v>
      </c>
      <c r="D98" s="241" t="s">
        <v>1038</v>
      </c>
      <c r="E98" s="241" t="s">
        <v>1031</v>
      </c>
      <c r="F98" s="240">
        <v>24.7</v>
      </c>
      <c r="G98" s="240"/>
      <c r="H98" s="239">
        <v>32.659999999999997</v>
      </c>
      <c r="I98" s="242">
        <v>15.5</v>
      </c>
      <c r="K98" s="10"/>
      <c r="L98" s="11"/>
    </row>
    <row r="99" spans="1:12">
      <c r="A99" s="238">
        <v>453776</v>
      </c>
      <c r="B99" s="239" t="s">
        <v>655</v>
      </c>
      <c r="C99" s="240">
        <v>1</v>
      </c>
      <c r="D99" s="241" t="s">
        <v>1038</v>
      </c>
      <c r="E99" s="241" t="s">
        <v>1031</v>
      </c>
      <c r="F99" s="240">
        <v>28.4</v>
      </c>
      <c r="G99" s="240"/>
      <c r="H99" s="239">
        <v>25.36</v>
      </c>
      <c r="I99" s="242">
        <v>15.5</v>
      </c>
      <c r="K99" s="10"/>
      <c r="L99" s="11"/>
    </row>
    <row r="100" spans="1:12">
      <c r="A100" s="238">
        <v>453777</v>
      </c>
      <c r="B100" s="239" t="s">
        <v>656</v>
      </c>
      <c r="C100" s="240">
        <v>1</v>
      </c>
      <c r="D100" s="241" t="s">
        <v>1038</v>
      </c>
      <c r="E100" s="241" t="s">
        <v>291</v>
      </c>
      <c r="F100" s="240">
        <v>28.4</v>
      </c>
      <c r="G100" s="240"/>
      <c r="H100" s="239">
        <f>F100</f>
        <v>28.4</v>
      </c>
      <c r="I100" s="242">
        <v>15.5</v>
      </c>
      <c r="K100" s="10"/>
      <c r="L100" s="11"/>
    </row>
    <row r="101" spans="1:12">
      <c r="A101" s="238">
        <v>453778</v>
      </c>
      <c r="B101" s="239" t="s">
        <v>657</v>
      </c>
      <c r="C101" s="240">
        <v>1</v>
      </c>
      <c r="D101" s="241" t="s">
        <v>1038</v>
      </c>
      <c r="E101" s="241" t="s">
        <v>291</v>
      </c>
      <c r="F101" s="240">
        <v>28.4</v>
      </c>
      <c r="G101" s="240"/>
      <c r="H101" s="239">
        <f>F101</f>
        <v>28.4</v>
      </c>
      <c r="I101" s="242">
        <v>15.5</v>
      </c>
      <c r="K101" s="10"/>
      <c r="L101" s="11"/>
    </row>
    <row r="102" spans="1:12">
      <c r="A102" s="238">
        <v>453779</v>
      </c>
      <c r="B102" s="239" t="s">
        <v>658</v>
      </c>
      <c r="C102" s="240">
        <v>1</v>
      </c>
      <c r="D102" s="241" t="s">
        <v>1038</v>
      </c>
      <c r="E102" s="241" t="s">
        <v>1030</v>
      </c>
      <c r="F102" s="240">
        <v>28.4</v>
      </c>
      <c r="G102" s="240"/>
      <c r="H102" s="239">
        <f>F102</f>
        <v>28.4</v>
      </c>
      <c r="I102" s="242">
        <v>15.5</v>
      </c>
      <c r="K102" s="10"/>
      <c r="L102" s="11"/>
    </row>
    <row r="103" spans="1:12">
      <c r="A103" s="238">
        <v>453780</v>
      </c>
      <c r="B103" s="239" t="s">
        <v>659</v>
      </c>
      <c r="C103" s="240">
        <v>1</v>
      </c>
      <c r="D103" s="241" t="s">
        <v>1038</v>
      </c>
      <c r="E103" s="241" t="s">
        <v>293</v>
      </c>
      <c r="F103" s="240">
        <v>18.2</v>
      </c>
      <c r="G103" s="240"/>
      <c r="H103" s="239">
        <v>17.600000000000001</v>
      </c>
      <c r="I103" s="242">
        <v>27</v>
      </c>
      <c r="K103" s="10"/>
      <c r="L103" s="11"/>
    </row>
    <row r="104" spans="1:12">
      <c r="A104" s="238">
        <v>453781</v>
      </c>
      <c r="B104" s="239" t="s">
        <v>660</v>
      </c>
      <c r="C104" s="240">
        <v>1</v>
      </c>
      <c r="D104" s="241" t="s">
        <v>1038</v>
      </c>
      <c r="E104" s="241" t="s">
        <v>293</v>
      </c>
      <c r="F104" s="240">
        <v>4.8999999999999995</v>
      </c>
      <c r="G104" s="240"/>
      <c r="H104" s="239">
        <v>5.4</v>
      </c>
      <c r="I104" s="242">
        <v>27</v>
      </c>
      <c r="K104" s="10"/>
      <c r="L104" s="11"/>
    </row>
    <row r="105" spans="1:12">
      <c r="A105" s="238">
        <v>453782</v>
      </c>
      <c r="B105" s="239" t="s">
        <v>661</v>
      </c>
      <c r="C105" s="240">
        <v>1</v>
      </c>
      <c r="D105" s="241" t="s">
        <v>1038</v>
      </c>
      <c r="E105" s="241" t="s">
        <v>293</v>
      </c>
      <c r="F105" s="240">
        <v>18.2</v>
      </c>
      <c r="G105" s="240"/>
      <c r="H105" s="239">
        <v>17.5</v>
      </c>
      <c r="I105" s="242">
        <v>27</v>
      </c>
      <c r="K105" s="10"/>
      <c r="L105" s="11"/>
    </row>
    <row r="106" spans="1:12">
      <c r="A106" s="238">
        <v>453783</v>
      </c>
      <c r="B106" s="239" t="s">
        <v>662</v>
      </c>
      <c r="C106" s="240">
        <v>1</v>
      </c>
      <c r="D106" s="241" t="s">
        <v>1038</v>
      </c>
      <c r="E106" s="241" t="s">
        <v>293</v>
      </c>
      <c r="F106" s="240">
        <v>4.8999999999999995</v>
      </c>
      <c r="G106" s="240"/>
      <c r="H106" s="239">
        <v>5</v>
      </c>
      <c r="I106" s="242">
        <v>27</v>
      </c>
      <c r="K106" s="10"/>
      <c r="L106" s="11"/>
    </row>
    <row r="107" spans="1:12">
      <c r="A107" s="238">
        <v>453784</v>
      </c>
      <c r="B107" s="239" t="s">
        <v>663</v>
      </c>
      <c r="C107" s="240">
        <v>1</v>
      </c>
      <c r="D107" s="241" t="s">
        <v>1038</v>
      </c>
      <c r="E107" s="241" t="s">
        <v>293</v>
      </c>
      <c r="F107" s="240">
        <v>18.2</v>
      </c>
      <c r="G107" s="240"/>
      <c r="H107" s="239">
        <v>17.63</v>
      </c>
      <c r="I107" s="242">
        <v>27</v>
      </c>
      <c r="K107" s="10"/>
      <c r="L107" s="11"/>
    </row>
    <row r="108" spans="1:12">
      <c r="A108" s="238">
        <v>453785</v>
      </c>
      <c r="B108" s="239" t="s">
        <v>664</v>
      </c>
      <c r="C108" s="240">
        <v>1</v>
      </c>
      <c r="D108" s="241" t="s">
        <v>1038</v>
      </c>
      <c r="E108" s="241" t="s">
        <v>293</v>
      </c>
      <c r="F108" s="240">
        <v>4.8999999999999995</v>
      </c>
      <c r="G108" s="240"/>
      <c r="H108" s="239">
        <v>5.07</v>
      </c>
      <c r="I108" s="242">
        <v>27</v>
      </c>
      <c r="K108" s="10"/>
      <c r="L108" s="11"/>
    </row>
    <row r="109" spans="1:12">
      <c r="A109" s="238">
        <v>453786</v>
      </c>
      <c r="B109" s="239" t="s">
        <v>665</v>
      </c>
      <c r="C109" s="240">
        <v>1</v>
      </c>
      <c r="D109" s="241" t="s">
        <v>1038</v>
      </c>
      <c r="E109" s="241" t="s">
        <v>293</v>
      </c>
      <c r="F109" s="240">
        <v>18.2</v>
      </c>
      <c r="G109" s="240"/>
      <c r="H109" s="239">
        <v>17.63</v>
      </c>
      <c r="I109" s="242">
        <v>5.9</v>
      </c>
      <c r="K109" s="10"/>
      <c r="L109" s="11"/>
    </row>
    <row r="110" spans="1:12">
      <c r="A110" s="238">
        <v>453787</v>
      </c>
      <c r="B110" s="239" t="s">
        <v>666</v>
      </c>
      <c r="C110" s="240">
        <v>1</v>
      </c>
      <c r="D110" s="241" t="s">
        <v>1038</v>
      </c>
      <c r="E110" s="241" t="s">
        <v>293</v>
      </c>
      <c r="F110" s="240">
        <v>4.8999999999999995</v>
      </c>
      <c r="G110" s="240"/>
      <c r="H110" s="239">
        <v>5.5</v>
      </c>
      <c r="I110" s="242">
        <v>5.9</v>
      </c>
      <c r="K110" s="10"/>
      <c r="L110" s="11"/>
    </row>
    <row r="111" spans="1:12">
      <c r="A111" s="238">
        <v>453788</v>
      </c>
      <c r="B111" s="239" t="s">
        <v>667</v>
      </c>
      <c r="C111" s="240">
        <v>1</v>
      </c>
      <c r="D111" s="241" t="s">
        <v>1038</v>
      </c>
      <c r="E111" s="241" t="s">
        <v>291</v>
      </c>
      <c r="F111" s="240">
        <v>32</v>
      </c>
      <c r="G111" s="240"/>
      <c r="H111" s="239">
        <v>33</v>
      </c>
      <c r="I111" s="242">
        <v>14.2</v>
      </c>
      <c r="K111" s="10"/>
      <c r="L111" s="11"/>
    </row>
    <row r="112" spans="1:12">
      <c r="A112" s="238">
        <v>490790</v>
      </c>
      <c r="B112" s="239" t="s">
        <v>933</v>
      </c>
      <c r="C112" s="240">
        <v>1</v>
      </c>
      <c r="D112" s="241" t="s">
        <v>1038</v>
      </c>
      <c r="E112" s="241" t="s">
        <v>1030</v>
      </c>
      <c r="F112" s="240">
        <v>33</v>
      </c>
      <c r="G112" s="240"/>
      <c r="H112" s="239">
        <f>F112</f>
        <v>33</v>
      </c>
      <c r="I112" s="242">
        <v>14.2</v>
      </c>
      <c r="K112" s="10"/>
      <c r="L112" s="11"/>
    </row>
    <row r="113" spans="1:12">
      <c r="A113" s="238">
        <v>490789</v>
      </c>
      <c r="B113" s="239" t="s">
        <v>932</v>
      </c>
      <c r="C113" s="240">
        <v>1</v>
      </c>
      <c r="D113" s="241" t="s">
        <v>1038</v>
      </c>
      <c r="E113" s="241" t="s">
        <v>291</v>
      </c>
      <c r="F113" s="240">
        <v>33</v>
      </c>
      <c r="G113" s="240"/>
      <c r="H113" s="239">
        <v>33</v>
      </c>
      <c r="I113" s="242">
        <v>14.2</v>
      </c>
      <c r="K113" s="10"/>
      <c r="L113" s="11"/>
    </row>
    <row r="114" spans="1:12">
      <c r="A114" s="238">
        <v>490791</v>
      </c>
      <c r="B114" s="239" t="s">
        <v>934</v>
      </c>
      <c r="C114" s="240">
        <v>1</v>
      </c>
      <c r="D114" s="241" t="s">
        <v>1038</v>
      </c>
      <c r="E114" s="241" t="s">
        <v>1030</v>
      </c>
      <c r="F114" s="240">
        <v>33</v>
      </c>
      <c r="G114" s="240"/>
      <c r="H114" s="239">
        <f>F114</f>
        <v>33</v>
      </c>
      <c r="I114" s="242">
        <v>14.2</v>
      </c>
      <c r="K114" s="10"/>
      <c r="L114" s="11"/>
    </row>
    <row r="115" spans="1:12">
      <c r="A115" s="238">
        <v>532972</v>
      </c>
      <c r="B115" s="239" t="s">
        <v>967</v>
      </c>
      <c r="C115" s="240">
        <v>0</v>
      </c>
      <c r="D115" s="241" t="s">
        <v>1038</v>
      </c>
      <c r="E115" s="241" t="s">
        <v>291</v>
      </c>
      <c r="F115" s="240">
        <v>33</v>
      </c>
      <c r="G115" s="240"/>
      <c r="H115" s="239">
        <f>F115</f>
        <v>33</v>
      </c>
      <c r="I115" s="242">
        <v>14.2</v>
      </c>
      <c r="K115" s="10"/>
      <c r="L115" s="11"/>
    </row>
    <row r="116" spans="1:12">
      <c r="A116" s="238">
        <v>490787</v>
      </c>
      <c r="B116" s="239" t="s">
        <v>930</v>
      </c>
      <c r="C116" s="240">
        <v>1</v>
      </c>
      <c r="D116" s="241" t="s">
        <v>1038</v>
      </c>
      <c r="E116" s="241" t="s">
        <v>291</v>
      </c>
      <c r="F116" s="240">
        <v>33</v>
      </c>
      <c r="G116" s="240"/>
      <c r="H116" s="239">
        <f>F116</f>
        <v>33</v>
      </c>
      <c r="I116" s="242">
        <v>14.2</v>
      </c>
      <c r="K116" s="10"/>
      <c r="L116" s="11"/>
    </row>
    <row r="117" spans="1:12">
      <c r="A117" s="238">
        <v>490788</v>
      </c>
      <c r="B117" s="239" t="s">
        <v>931</v>
      </c>
      <c r="C117" s="240">
        <v>1</v>
      </c>
      <c r="D117" s="241" t="s">
        <v>1038</v>
      </c>
      <c r="E117" s="241" t="s">
        <v>291</v>
      </c>
      <c r="F117" s="240">
        <v>33</v>
      </c>
      <c r="G117" s="240"/>
      <c r="H117" s="239">
        <v>33</v>
      </c>
      <c r="I117" s="242">
        <v>14.2</v>
      </c>
      <c r="K117" s="10"/>
      <c r="L117" s="11"/>
    </row>
    <row r="118" spans="1:12">
      <c r="A118" s="238">
        <v>453789</v>
      </c>
      <c r="B118" s="239" t="s">
        <v>668</v>
      </c>
      <c r="C118" s="240">
        <v>1</v>
      </c>
      <c r="D118" s="241" t="s">
        <v>1038</v>
      </c>
      <c r="E118" s="241" t="s">
        <v>1030</v>
      </c>
      <c r="F118" s="240">
        <v>32</v>
      </c>
      <c r="G118" s="240"/>
      <c r="H118" s="239">
        <f>F118</f>
        <v>32</v>
      </c>
      <c r="I118" s="242">
        <v>14.2</v>
      </c>
      <c r="K118" s="10"/>
      <c r="L118" s="11"/>
    </row>
    <row r="119" spans="1:12">
      <c r="A119" s="238">
        <v>453790</v>
      </c>
      <c r="B119" s="239" t="s">
        <v>669</v>
      </c>
      <c r="C119" s="240">
        <v>1</v>
      </c>
      <c r="D119" s="241" t="s">
        <v>1038</v>
      </c>
      <c r="E119" s="241" t="s">
        <v>1030</v>
      </c>
      <c r="F119" s="240">
        <v>32</v>
      </c>
      <c r="G119" s="240"/>
      <c r="H119" s="239">
        <f>F119</f>
        <v>32</v>
      </c>
      <c r="I119" s="242">
        <v>14.2</v>
      </c>
      <c r="K119" s="10"/>
      <c r="L119" s="11"/>
    </row>
    <row r="120" spans="1:12">
      <c r="A120" s="238">
        <v>453791</v>
      </c>
      <c r="B120" s="239" t="s">
        <v>670</v>
      </c>
      <c r="C120" s="240">
        <v>1</v>
      </c>
      <c r="D120" s="241" t="s">
        <v>1038</v>
      </c>
      <c r="E120" s="241" t="s">
        <v>291</v>
      </c>
      <c r="F120" s="240">
        <v>32</v>
      </c>
      <c r="G120" s="240"/>
      <c r="H120" s="239">
        <v>33</v>
      </c>
      <c r="I120" s="242">
        <v>14.2</v>
      </c>
      <c r="K120" s="10"/>
      <c r="L120" s="11"/>
    </row>
    <row r="121" spans="1:12">
      <c r="A121" s="238">
        <v>456286</v>
      </c>
      <c r="B121" s="239" t="s">
        <v>874</v>
      </c>
      <c r="C121" s="240">
        <v>1</v>
      </c>
      <c r="D121" s="241" t="s">
        <v>1038</v>
      </c>
      <c r="E121" s="241" t="s">
        <v>1030</v>
      </c>
      <c r="F121" s="240">
        <v>32</v>
      </c>
      <c r="G121" s="240"/>
      <c r="H121" s="239">
        <f>F121</f>
        <v>32</v>
      </c>
      <c r="I121" s="242">
        <v>14.2</v>
      </c>
      <c r="K121" s="10"/>
      <c r="L121" s="11"/>
    </row>
    <row r="122" spans="1:12">
      <c r="A122" s="238">
        <v>453792</v>
      </c>
      <c r="B122" s="239" t="s">
        <v>671</v>
      </c>
      <c r="C122" s="240">
        <v>1</v>
      </c>
      <c r="D122" s="241" t="s">
        <v>1038</v>
      </c>
      <c r="E122" s="241" t="s">
        <v>291</v>
      </c>
      <c r="F122" s="240">
        <v>32</v>
      </c>
      <c r="G122" s="240"/>
      <c r="H122" s="239">
        <v>33</v>
      </c>
      <c r="I122" s="242">
        <v>14.2</v>
      </c>
      <c r="K122" s="10"/>
      <c r="L122" s="11"/>
    </row>
    <row r="123" spans="1:12">
      <c r="A123" s="238">
        <v>486892</v>
      </c>
      <c r="B123" s="239" t="s">
        <v>914</v>
      </c>
      <c r="C123" s="240">
        <v>1</v>
      </c>
      <c r="D123" s="241" t="s">
        <v>1038</v>
      </c>
      <c r="E123" s="241" t="s">
        <v>291</v>
      </c>
      <c r="F123" s="240">
        <v>33</v>
      </c>
      <c r="G123" s="240"/>
      <c r="H123" s="239">
        <f>F123</f>
        <v>33</v>
      </c>
      <c r="I123" s="242">
        <v>14.2</v>
      </c>
      <c r="K123" s="10"/>
      <c r="L123" s="11"/>
    </row>
    <row r="124" spans="1:12">
      <c r="A124" s="238">
        <v>486893</v>
      </c>
      <c r="B124" s="239" t="s">
        <v>915</v>
      </c>
      <c r="C124" s="240">
        <v>1</v>
      </c>
      <c r="D124" s="241" t="s">
        <v>1038</v>
      </c>
      <c r="E124" s="241" t="s">
        <v>291</v>
      </c>
      <c r="F124" s="240">
        <v>33</v>
      </c>
      <c r="G124" s="240"/>
      <c r="H124" s="239">
        <f>F124</f>
        <v>33</v>
      </c>
      <c r="I124" s="242">
        <v>14.2</v>
      </c>
      <c r="K124" s="10"/>
      <c r="L124" s="11"/>
    </row>
    <row r="125" spans="1:12">
      <c r="A125" s="238">
        <v>486894</v>
      </c>
      <c r="B125" s="239" t="s">
        <v>916</v>
      </c>
      <c r="C125" s="240">
        <v>1</v>
      </c>
      <c r="D125" s="241" t="s">
        <v>1038</v>
      </c>
      <c r="E125" s="241" t="s">
        <v>291</v>
      </c>
      <c r="F125" s="240">
        <v>33</v>
      </c>
      <c r="G125" s="240"/>
      <c r="H125" s="239">
        <f>F125</f>
        <v>33</v>
      </c>
      <c r="I125" s="242">
        <v>14.2</v>
      </c>
      <c r="K125" s="10"/>
      <c r="L125" s="11"/>
    </row>
    <row r="126" spans="1:12">
      <c r="A126" s="238">
        <v>486895</v>
      </c>
      <c r="B126" s="239" t="s">
        <v>917</v>
      </c>
      <c r="C126" s="240">
        <v>1</v>
      </c>
      <c r="D126" s="241" t="s">
        <v>1038</v>
      </c>
      <c r="E126" s="241" t="s">
        <v>291</v>
      </c>
      <c r="F126" s="240">
        <v>33</v>
      </c>
      <c r="G126" s="240"/>
      <c r="H126" s="239">
        <v>33</v>
      </c>
      <c r="I126" s="242">
        <v>14.2</v>
      </c>
      <c r="K126" s="10"/>
      <c r="L126" s="12"/>
    </row>
    <row r="127" spans="1:12">
      <c r="A127" s="238">
        <v>489246</v>
      </c>
      <c r="B127" s="239" t="s">
        <v>926</v>
      </c>
      <c r="C127" s="240">
        <v>1</v>
      </c>
      <c r="D127" s="241" t="s">
        <v>1038</v>
      </c>
      <c r="E127" s="241" t="s">
        <v>291</v>
      </c>
      <c r="F127" s="240">
        <v>33</v>
      </c>
      <c r="G127" s="240"/>
      <c r="H127" s="239">
        <v>33</v>
      </c>
      <c r="I127" s="242">
        <v>14.2</v>
      </c>
      <c r="K127" s="10"/>
      <c r="L127" s="11"/>
    </row>
    <row r="128" spans="1:12">
      <c r="A128" s="238">
        <v>486896</v>
      </c>
      <c r="B128" s="239" t="s">
        <v>918</v>
      </c>
      <c r="C128" s="240">
        <v>1</v>
      </c>
      <c r="D128" s="241" t="s">
        <v>1038</v>
      </c>
      <c r="E128" s="241" t="s">
        <v>291</v>
      </c>
      <c r="F128" s="240">
        <v>33</v>
      </c>
      <c r="G128" s="240"/>
      <c r="H128" s="239">
        <f>F128</f>
        <v>33</v>
      </c>
      <c r="I128" s="242">
        <v>14.2</v>
      </c>
      <c r="K128" s="10"/>
      <c r="L128" s="11"/>
    </row>
    <row r="129" spans="1:12">
      <c r="A129" s="238">
        <v>486897</v>
      </c>
      <c r="B129" s="239" t="s">
        <v>919</v>
      </c>
      <c r="C129" s="240">
        <v>1</v>
      </c>
      <c r="D129" s="241" t="s">
        <v>1038</v>
      </c>
      <c r="E129" s="241" t="s">
        <v>291</v>
      </c>
      <c r="F129" s="240">
        <v>33</v>
      </c>
      <c r="G129" s="240"/>
      <c r="H129" s="239">
        <v>33</v>
      </c>
      <c r="I129" s="242">
        <v>14.2</v>
      </c>
      <c r="K129" s="10"/>
      <c r="L129" s="11"/>
    </row>
    <row r="130" spans="1:12">
      <c r="A130" s="238">
        <v>489247</v>
      </c>
      <c r="B130" s="239" t="s">
        <v>927</v>
      </c>
      <c r="C130" s="240">
        <v>1</v>
      </c>
      <c r="D130" s="241" t="s">
        <v>1038</v>
      </c>
      <c r="E130" s="241" t="s">
        <v>291</v>
      </c>
      <c r="F130" s="240">
        <v>33</v>
      </c>
      <c r="G130" s="240"/>
      <c r="H130" s="239">
        <v>33</v>
      </c>
      <c r="I130" s="242">
        <v>14.2</v>
      </c>
      <c r="K130" s="10"/>
      <c r="L130" s="11"/>
    </row>
    <row r="131" spans="1:12">
      <c r="A131" s="238">
        <v>489248</v>
      </c>
      <c r="B131" s="239" t="s">
        <v>928</v>
      </c>
      <c r="C131" s="240">
        <v>1</v>
      </c>
      <c r="D131" s="241" t="s">
        <v>1038</v>
      </c>
      <c r="E131" s="241" t="s">
        <v>291</v>
      </c>
      <c r="F131" s="240">
        <v>33</v>
      </c>
      <c r="G131" s="240"/>
      <c r="H131" s="239">
        <v>33</v>
      </c>
      <c r="I131" s="242">
        <v>14.2</v>
      </c>
      <c r="K131" s="10"/>
      <c r="L131" s="11"/>
    </row>
    <row r="132" spans="1:12">
      <c r="A132" s="238">
        <v>454167</v>
      </c>
      <c r="B132" s="239" t="s">
        <v>815</v>
      </c>
      <c r="C132" s="240">
        <v>1</v>
      </c>
      <c r="D132" s="241" t="s">
        <v>1038</v>
      </c>
      <c r="E132" s="241" t="s">
        <v>1030</v>
      </c>
      <c r="F132" s="240">
        <v>32</v>
      </c>
      <c r="G132" s="240"/>
      <c r="H132" s="239">
        <f t="shared" ref="H132:H137" si="2">F132</f>
        <v>32</v>
      </c>
      <c r="I132" s="242">
        <v>14.2</v>
      </c>
      <c r="K132" s="10"/>
      <c r="L132" s="11"/>
    </row>
    <row r="133" spans="1:12">
      <c r="A133" s="238">
        <v>454209</v>
      </c>
      <c r="B133" s="239" t="s">
        <v>840</v>
      </c>
      <c r="C133" s="240">
        <v>1</v>
      </c>
      <c r="D133" s="241" t="s">
        <v>1038</v>
      </c>
      <c r="E133" s="241" t="s">
        <v>291</v>
      </c>
      <c r="F133" s="240">
        <v>33</v>
      </c>
      <c r="G133" s="240"/>
      <c r="H133" s="239">
        <f t="shared" si="2"/>
        <v>33</v>
      </c>
      <c r="I133" s="242">
        <v>14.2</v>
      </c>
      <c r="K133" s="10"/>
      <c r="L133" s="11"/>
    </row>
    <row r="134" spans="1:12">
      <c r="A134" s="238">
        <v>454205</v>
      </c>
      <c r="B134" s="239" t="s">
        <v>838</v>
      </c>
      <c r="C134" s="240">
        <v>1</v>
      </c>
      <c r="D134" s="241" t="s">
        <v>1038</v>
      </c>
      <c r="E134" s="241" t="s">
        <v>291</v>
      </c>
      <c r="F134" s="240">
        <v>33</v>
      </c>
      <c r="G134" s="240"/>
      <c r="H134" s="239">
        <f t="shared" si="2"/>
        <v>33</v>
      </c>
      <c r="I134" s="242">
        <v>14.2</v>
      </c>
      <c r="K134" s="10"/>
      <c r="L134" s="12"/>
    </row>
    <row r="135" spans="1:12">
      <c r="A135" s="238">
        <v>454206</v>
      </c>
      <c r="B135" s="239" t="s">
        <v>839</v>
      </c>
      <c r="C135" s="240">
        <v>1</v>
      </c>
      <c r="D135" s="241" t="s">
        <v>1038</v>
      </c>
      <c r="E135" s="241" t="s">
        <v>291</v>
      </c>
      <c r="F135" s="240">
        <v>33</v>
      </c>
      <c r="G135" s="240"/>
      <c r="H135" s="239">
        <f t="shared" si="2"/>
        <v>33</v>
      </c>
      <c r="I135" s="242">
        <v>14.2</v>
      </c>
      <c r="K135" s="10"/>
      <c r="L135" s="12"/>
    </row>
    <row r="136" spans="1:12">
      <c r="A136" s="238">
        <v>454222</v>
      </c>
      <c r="B136" s="239" t="s">
        <v>848</v>
      </c>
      <c r="C136" s="240">
        <v>1</v>
      </c>
      <c r="D136" s="241" t="s">
        <v>1038</v>
      </c>
      <c r="E136" s="241" t="s">
        <v>1030</v>
      </c>
      <c r="F136" s="240">
        <v>32</v>
      </c>
      <c r="G136" s="240"/>
      <c r="H136" s="239">
        <f t="shared" si="2"/>
        <v>32</v>
      </c>
      <c r="I136" s="242">
        <v>14.2</v>
      </c>
      <c r="K136" s="10"/>
      <c r="L136" s="12"/>
    </row>
    <row r="137" spans="1:12">
      <c r="A137" s="238">
        <v>453794</v>
      </c>
      <c r="B137" s="239" t="s">
        <v>672</v>
      </c>
      <c r="C137" s="240">
        <v>1</v>
      </c>
      <c r="D137" s="241" t="s">
        <v>1038</v>
      </c>
      <c r="E137" s="241" t="s">
        <v>291</v>
      </c>
      <c r="F137" s="240">
        <v>38.5</v>
      </c>
      <c r="G137" s="240"/>
      <c r="H137" s="239">
        <f t="shared" si="2"/>
        <v>38.5</v>
      </c>
      <c r="I137" s="242">
        <v>14.9</v>
      </c>
      <c r="K137" s="10"/>
      <c r="L137" s="12"/>
    </row>
    <row r="138" spans="1:12">
      <c r="A138" s="238">
        <v>453795</v>
      </c>
      <c r="B138" s="239" t="s">
        <v>673</v>
      </c>
      <c r="C138" s="240">
        <v>1</v>
      </c>
      <c r="D138" s="241" t="s">
        <v>1038</v>
      </c>
      <c r="E138" s="241" t="s">
        <v>291</v>
      </c>
      <c r="F138" s="240">
        <v>38.5</v>
      </c>
      <c r="G138" s="240"/>
      <c r="H138" s="239">
        <v>40</v>
      </c>
      <c r="I138" s="242">
        <v>14.9</v>
      </c>
      <c r="K138" s="10"/>
      <c r="L138" s="12"/>
    </row>
    <row r="139" spans="1:12">
      <c r="A139" s="238">
        <v>453796</v>
      </c>
      <c r="B139" s="239" t="s">
        <v>1133</v>
      </c>
      <c r="C139" s="240">
        <v>16</v>
      </c>
      <c r="D139" s="241" t="s">
        <v>1038</v>
      </c>
      <c r="E139" s="241" t="s">
        <v>291</v>
      </c>
      <c r="F139" s="240">
        <v>4</v>
      </c>
      <c r="G139" s="240"/>
      <c r="H139" s="243">
        <v>4</v>
      </c>
      <c r="I139" s="242">
        <v>20.8</v>
      </c>
      <c r="K139" s="10"/>
      <c r="L139" s="12"/>
    </row>
    <row r="140" spans="1:12">
      <c r="A140" s="238">
        <v>453797</v>
      </c>
      <c r="B140" s="239" t="s">
        <v>674</v>
      </c>
      <c r="C140" s="240">
        <v>16</v>
      </c>
      <c r="D140" s="241" t="s">
        <v>1038</v>
      </c>
      <c r="E140" s="241" t="s">
        <v>291</v>
      </c>
      <c r="F140" s="240">
        <v>3.5</v>
      </c>
      <c r="G140" s="240"/>
      <c r="H140" s="243">
        <v>4</v>
      </c>
      <c r="I140" s="242">
        <v>16.704000000000001</v>
      </c>
      <c r="K140" s="10"/>
      <c r="L140" s="12"/>
    </row>
    <row r="141" spans="1:12">
      <c r="A141" s="238">
        <v>453798</v>
      </c>
      <c r="B141" s="239" t="s">
        <v>675</v>
      </c>
      <c r="C141" s="240">
        <v>1</v>
      </c>
      <c r="D141" s="241" t="s">
        <v>1038</v>
      </c>
      <c r="E141" s="241" t="s">
        <v>296</v>
      </c>
      <c r="F141" s="240">
        <v>46</v>
      </c>
      <c r="G141" s="240"/>
      <c r="H141" s="239">
        <v>45.98</v>
      </c>
      <c r="I141" s="242">
        <v>14.9</v>
      </c>
      <c r="K141" s="10"/>
      <c r="L141" s="12"/>
    </row>
    <row r="142" spans="1:12">
      <c r="A142" s="238">
        <v>453969</v>
      </c>
      <c r="B142" s="239" t="s">
        <v>798</v>
      </c>
      <c r="C142" s="240">
        <v>1</v>
      </c>
      <c r="D142" s="241" t="s">
        <v>1038</v>
      </c>
      <c r="E142" s="241" t="s">
        <v>291</v>
      </c>
      <c r="F142" s="240">
        <v>33</v>
      </c>
      <c r="G142" s="240"/>
      <c r="H142" s="239">
        <f t="shared" ref="H142:H153" si="3">F142</f>
        <v>33</v>
      </c>
      <c r="I142" s="242">
        <v>14.1</v>
      </c>
      <c r="K142" s="10"/>
      <c r="L142" s="12"/>
    </row>
    <row r="143" spans="1:12">
      <c r="A143" s="238">
        <v>453970</v>
      </c>
      <c r="B143" s="239" t="s">
        <v>799</v>
      </c>
      <c r="C143" s="240">
        <v>1</v>
      </c>
      <c r="D143" s="241" t="s">
        <v>1038</v>
      </c>
      <c r="E143" s="241" t="s">
        <v>291</v>
      </c>
      <c r="F143" s="240">
        <v>33</v>
      </c>
      <c r="G143" s="240"/>
      <c r="H143" s="239">
        <f t="shared" si="3"/>
        <v>33</v>
      </c>
      <c r="I143" s="242">
        <v>14.1</v>
      </c>
      <c r="K143" s="10"/>
      <c r="L143" s="12"/>
    </row>
    <row r="144" spans="1:12">
      <c r="A144" s="238">
        <v>453971</v>
      </c>
      <c r="B144" s="239" t="s">
        <v>800</v>
      </c>
      <c r="C144" s="240">
        <v>1</v>
      </c>
      <c r="D144" s="241" t="s">
        <v>1038</v>
      </c>
      <c r="E144" s="241" t="s">
        <v>291</v>
      </c>
      <c r="F144" s="240">
        <v>33</v>
      </c>
      <c r="G144" s="240"/>
      <c r="H144" s="239">
        <f t="shared" si="3"/>
        <v>33</v>
      </c>
      <c r="I144" s="242">
        <v>14.1</v>
      </c>
      <c r="K144" s="10"/>
      <c r="L144" s="12"/>
    </row>
    <row r="145" spans="1:12">
      <c r="A145" s="238">
        <v>453972</v>
      </c>
      <c r="B145" s="239" t="s">
        <v>801</v>
      </c>
      <c r="C145" s="240">
        <v>1</v>
      </c>
      <c r="D145" s="241" t="s">
        <v>1038</v>
      </c>
      <c r="E145" s="241" t="s">
        <v>291</v>
      </c>
      <c r="F145" s="240">
        <v>33</v>
      </c>
      <c r="G145" s="240"/>
      <c r="H145" s="239">
        <f t="shared" si="3"/>
        <v>33</v>
      </c>
      <c r="I145" s="242">
        <v>14.1</v>
      </c>
      <c r="K145" s="10"/>
      <c r="L145" s="12"/>
    </row>
    <row r="146" spans="1:12">
      <c r="A146" s="238">
        <v>453973</v>
      </c>
      <c r="B146" s="239" t="s">
        <v>802</v>
      </c>
      <c r="C146" s="240">
        <v>1</v>
      </c>
      <c r="D146" s="241" t="s">
        <v>1038</v>
      </c>
      <c r="E146" s="241" t="s">
        <v>291</v>
      </c>
      <c r="F146" s="240">
        <v>33</v>
      </c>
      <c r="G146" s="240"/>
      <c r="H146" s="239">
        <f t="shared" si="3"/>
        <v>33</v>
      </c>
      <c r="I146" s="242">
        <v>14.1</v>
      </c>
      <c r="K146" s="10"/>
      <c r="L146" s="12"/>
    </row>
    <row r="147" spans="1:12">
      <c r="A147" s="238">
        <v>453974</v>
      </c>
      <c r="B147" s="239" t="s">
        <v>803</v>
      </c>
      <c r="C147" s="240">
        <v>1</v>
      </c>
      <c r="D147" s="241" t="s">
        <v>1038</v>
      </c>
      <c r="E147" s="241" t="s">
        <v>291</v>
      </c>
      <c r="F147" s="240">
        <v>33</v>
      </c>
      <c r="G147" s="240"/>
      <c r="H147" s="239">
        <f t="shared" si="3"/>
        <v>33</v>
      </c>
      <c r="I147" s="242">
        <v>14.1</v>
      </c>
      <c r="K147" s="10"/>
      <c r="L147" s="12"/>
    </row>
    <row r="148" spans="1:12">
      <c r="A148" s="238">
        <v>453975</v>
      </c>
      <c r="B148" s="239" t="s">
        <v>804</v>
      </c>
      <c r="C148" s="240">
        <v>1</v>
      </c>
      <c r="D148" s="241" t="s">
        <v>1038</v>
      </c>
      <c r="E148" s="241" t="s">
        <v>291</v>
      </c>
      <c r="F148" s="240">
        <v>33</v>
      </c>
      <c r="G148" s="240"/>
      <c r="H148" s="239">
        <f t="shared" si="3"/>
        <v>33</v>
      </c>
      <c r="I148" s="242">
        <v>14.1</v>
      </c>
      <c r="K148" s="10"/>
      <c r="L148" s="11"/>
    </row>
    <row r="149" spans="1:12">
      <c r="A149" s="238">
        <v>454159</v>
      </c>
      <c r="B149" s="239" t="s">
        <v>811</v>
      </c>
      <c r="C149" s="240">
        <v>1</v>
      </c>
      <c r="D149" s="241" t="s">
        <v>1038</v>
      </c>
      <c r="E149" s="241" t="s">
        <v>1030</v>
      </c>
      <c r="F149" s="240">
        <v>32</v>
      </c>
      <c r="G149" s="240"/>
      <c r="H149" s="239">
        <f t="shared" si="3"/>
        <v>32</v>
      </c>
      <c r="I149" s="242">
        <v>14.1</v>
      </c>
      <c r="K149" s="10"/>
      <c r="L149" s="11"/>
    </row>
    <row r="150" spans="1:12">
      <c r="A150" s="238">
        <v>453799</v>
      </c>
      <c r="B150" s="239" t="s">
        <v>676</v>
      </c>
      <c r="C150" s="240">
        <v>1</v>
      </c>
      <c r="D150" s="241" t="s">
        <v>1038</v>
      </c>
      <c r="E150" s="241" t="s">
        <v>291</v>
      </c>
      <c r="F150" s="240">
        <v>32</v>
      </c>
      <c r="G150" s="240"/>
      <c r="H150" s="239">
        <f t="shared" si="3"/>
        <v>32</v>
      </c>
      <c r="I150" s="242">
        <v>14.1</v>
      </c>
      <c r="K150" s="10"/>
      <c r="L150" s="11"/>
    </row>
    <row r="151" spans="1:12">
      <c r="A151" s="238">
        <v>453800</v>
      </c>
      <c r="B151" s="239" t="s">
        <v>677</v>
      </c>
      <c r="C151" s="240">
        <v>1</v>
      </c>
      <c r="D151" s="241" t="s">
        <v>1038</v>
      </c>
      <c r="E151" s="241" t="s">
        <v>291</v>
      </c>
      <c r="F151" s="240">
        <v>41.2</v>
      </c>
      <c r="G151" s="240"/>
      <c r="H151" s="239">
        <f t="shared" si="3"/>
        <v>41.2</v>
      </c>
      <c r="I151" s="242">
        <v>23</v>
      </c>
      <c r="K151" s="10"/>
      <c r="L151" s="11"/>
    </row>
    <row r="152" spans="1:12">
      <c r="A152" s="238">
        <v>453801</v>
      </c>
      <c r="B152" s="239" t="s">
        <v>678</v>
      </c>
      <c r="C152" s="240">
        <v>1</v>
      </c>
      <c r="D152" s="241" t="s">
        <v>1038</v>
      </c>
      <c r="E152" s="241" t="s">
        <v>291</v>
      </c>
      <c r="F152" s="240">
        <v>41.2</v>
      </c>
      <c r="G152" s="240"/>
      <c r="H152" s="239">
        <f t="shared" si="3"/>
        <v>41.2</v>
      </c>
      <c r="I152" s="242">
        <v>23</v>
      </c>
      <c r="K152" s="10"/>
      <c r="L152" s="11"/>
    </row>
    <row r="153" spans="1:12">
      <c r="A153" s="238">
        <v>453802</v>
      </c>
      <c r="B153" s="239" t="s">
        <v>679</v>
      </c>
      <c r="C153" s="240">
        <v>1</v>
      </c>
      <c r="D153" s="241" t="s">
        <v>1038</v>
      </c>
      <c r="E153" s="241" t="s">
        <v>291</v>
      </c>
      <c r="F153" s="240">
        <v>41.2</v>
      </c>
      <c r="G153" s="240"/>
      <c r="H153" s="239">
        <f t="shared" si="3"/>
        <v>41.2</v>
      </c>
      <c r="I153" s="242">
        <v>23</v>
      </c>
      <c r="K153" s="10"/>
      <c r="L153" s="12"/>
    </row>
    <row r="154" spans="1:12">
      <c r="A154" s="238">
        <v>454213</v>
      </c>
      <c r="B154" s="239" t="s">
        <v>841</v>
      </c>
      <c r="C154" s="240">
        <v>1</v>
      </c>
      <c r="D154" s="241" t="s">
        <v>1038</v>
      </c>
      <c r="E154" s="241" t="s">
        <v>303</v>
      </c>
      <c r="F154" s="240">
        <v>33</v>
      </c>
      <c r="G154" s="240"/>
      <c r="H154" s="239">
        <v>33</v>
      </c>
      <c r="I154" s="242">
        <v>14</v>
      </c>
      <c r="K154" s="10"/>
      <c r="L154" s="12"/>
    </row>
    <row r="155" spans="1:12">
      <c r="A155" s="238">
        <v>454226</v>
      </c>
      <c r="B155" s="239" t="s">
        <v>851</v>
      </c>
      <c r="C155" s="240">
        <v>1</v>
      </c>
      <c r="D155" s="241" t="s">
        <v>1038</v>
      </c>
      <c r="E155" s="241" t="s">
        <v>303</v>
      </c>
      <c r="F155" s="240">
        <v>66</v>
      </c>
      <c r="G155" s="240"/>
      <c r="H155" s="239">
        <v>64.7</v>
      </c>
      <c r="I155" s="242">
        <v>19.100000000000001</v>
      </c>
      <c r="K155" s="10"/>
      <c r="L155" s="11"/>
    </row>
    <row r="156" spans="1:12">
      <c r="A156" s="238">
        <v>459351</v>
      </c>
      <c r="B156" s="239" t="s">
        <v>1229</v>
      </c>
      <c r="C156" s="240">
        <v>4</v>
      </c>
      <c r="D156" s="241" t="s">
        <v>1038</v>
      </c>
      <c r="E156" s="241" t="s">
        <v>293</v>
      </c>
      <c r="F156" s="240">
        <v>4.6999999999999993</v>
      </c>
      <c r="G156" s="240"/>
      <c r="H156" s="239">
        <v>4.72</v>
      </c>
      <c r="I156" s="242">
        <v>14.9</v>
      </c>
      <c r="K156" s="10"/>
      <c r="L156" s="11"/>
    </row>
    <row r="157" spans="1:12">
      <c r="A157" s="238">
        <v>453803</v>
      </c>
      <c r="B157" s="239" t="s">
        <v>680</v>
      </c>
      <c r="C157" s="240">
        <v>4</v>
      </c>
      <c r="D157" s="241" t="s">
        <v>1038</v>
      </c>
      <c r="E157" s="241" t="s">
        <v>293</v>
      </c>
      <c r="F157" s="240">
        <v>4.6999999999999993</v>
      </c>
      <c r="G157" s="240"/>
      <c r="H157" s="239">
        <v>4.72</v>
      </c>
      <c r="I157" s="242">
        <v>14.9</v>
      </c>
      <c r="K157" s="10"/>
      <c r="L157" s="11"/>
    </row>
    <row r="158" spans="1:12">
      <c r="A158" s="238">
        <v>524918</v>
      </c>
      <c r="B158" s="239" t="s">
        <v>957</v>
      </c>
      <c r="C158" s="240">
        <v>4</v>
      </c>
      <c r="D158" s="241" t="s">
        <v>1038</v>
      </c>
      <c r="E158" s="241" t="s">
        <v>293</v>
      </c>
      <c r="F158" s="240">
        <v>4.6999999999999993</v>
      </c>
      <c r="G158" s="240"/>
      <c r="H158" s="239">
        <v>4.7</v>
      </c>
      <c r="I158" s="242">
        <v>16.5</v>
      </c>
      <c r="K158" s="10"/>
      <c r="L158" s="11"/>
    </row>
    <row r="159" spans="1:12">
      <c r="A159" s="238">
        <v>453804</v>
      </c>
      <c r="B159" s="239" t="s">
        <v>681</v>
      </c>
      <c r="C159" s="240">
        <v>4</v>
      </c>
      <c r="D159" s="241" t="s">
        <v>1038</v>
      </c>
      <c r="E159" s="241" t="s">
        <v>293</v>
      </c>
      <c r="F159" s="240">
        <v>4.6999999999999993</v>
      </c>
      <c r="G159" s="240"/>
      <c r="H159" s="239">
        <v>4.7</v>
      </c>
      <c r="I159" s="242">
        <v>14.9</v>
      </c>
      <c r="K159" s="10"/>
      <c r="L159" s="11"/>
    </row>
    <row r="160" spans="1:12">
      <c r="A160" s="238">
        <v>453805</v>
      </c>
      <c r="B160" s="239" t="s">
        <v>682</v>
      </c>
      <c r="C160" s="240">
        <v>4</v>
      </c>
      <c r="D160" s="241" t="s">
        <v>1038</v>
      </c>
      <c r="E160" s="241" t="s">
        <v>293</v>
      </c>
      <c r="F160" s="240">
        <v>4.6999999999999993</v>
      </c>
      <c r="G160" s="240"/>
      <c r="H160" s="239">
        <v>4.7</v>
      </c>
      <c r="I160" s="242">
        <v>14.9</v>
      </c>
      <c r="K160" s="10"/>
      <c r="L160" s="11"/>
    </row>
    <row r="161" spans="1:12">
      <c r="A161" s="238">
        <v>453806</v>
      </c>
      <c r="B161" s="239" t="s">
        <v>683</v>
      </c>
      <c r="C161" s="240">
        <v>4</v>
      </c>
      <c r="D161" s="241" t="s">
        <v>1038</v>
      </c>
      <c r="E161" s="241" t="s">
        <v>293</v>
      </c>
      <c r="F161" s="240">
        <v>4.6999999999999993</v>
      </c>
      <c r="G161" s="240"/>
      <c r="H161" s="239">
        <v>4.7</v>
      </c>
      <c r="I161" s="242">
        <v>14.9</v>
      </c>
      <c r="K161" s="10"/>
      <c r="L161" s="11"/>
    </row>
    <row r="162" spans="1:12">
      <c r="A162" s="238">
        <v>453807</v>
      </c>
      <c r="B162" s="239" t="s">
        <v>684</v>
      </c>
      <c r="C162" s="240">
        <v>1</v>
      </c>
      <c r="D162" s="241" t="s">
        <v>1038</v>
      </c>
      <c r="E162" s="241" t="s">
        <v>291</v>
      </c>
      <c r="F162" s="240">
        <v>57.7</v>
      </c>
      <c r="G162" s="240"/>
      <c r="H162" s="239">
        <v>62.4</v>
      </c>
      <c r="I162" s="242">
        <v>19.2</v>
      </c>
      <c r="K162" s="10"/>
      <c r="L162" s="11"/>
    </row>
    <row r="163" spans="1:12">
      <c r="A163" s="238">
        <v>453976</v>
      </c>
      <c r="B163" s="239" t="s">
        <v>805</v>
      </c>
      <c r="C163" s="240">
        <v>1</v>
      </c>
      <c r="D163" s="241" t="s">
        <v>1038</v>
      </c>
      <c r="E163" s="241" t="s">
        <v>303</v>
      </c>
      <c r="F163" s="240">
        <v>62</v>
      </c>
      <c r="G163" s="240"/>
      <c r="H163" s="239">
        <v>62.3</v>
      </c>
      <c r="I163" s="242">
        <v>16.5</v>
      </c>
      <c r="K163" s="10"/>
      <c r="L163" s="11"/>
    </row>
    <row r="164" spans="1:12">
      <c r="A164" s="238">
        <v>453991</v>
      </c>
      <c r="B164" s="239" t="s">
        <v>807</v>
      </c>
      <c r="C164" s="240">
        <v>1</v>
      </c>
      <c r="D164" s="241" t="s">
        <v>1038</v>
      </c>
      <c r="E164" s="241" t="s">
        <v>303</v>
      </c>
      <c r="F164" s="240">
        <v>65.5</v>
      </c>
      <c r="G164" s="240"/>
      <c r="H164" s="239">
        <v>62.4</v>
      </c>
      <c r="I164" s="242">
        <v>19.899999999999999</v>
      </c>
      <c r="K164" s="10"/>
      <c r="L164" s="11"/>
    </row>
    <row r="165" spans="1:12">
      <c r="A165" s="238">
        <v>453808</v>
      </c>
      <c r="B165" s="239" t="s">
        <v>685</v>
      </c>
      <c r="C165" s="240">
        <v>1</v>
      </c>
      <c r="D165" s="241" t="s">
        <v>1038</v>
      </c>
      <c r="E165" s="241" t="s">
        <v>291</v>
      </c>
      <c r="F165" s="240">
        <v>70.099999999999994</v>
      </c>
      <c r="G165" s="240"/>
      <c r="H165" s="239">
        <v>71</v>
      </c>
      <c r="I165" s="242">
        <v>19.7</v>
      </c>
      <c r="K165" s="10"/>
      <c r="L165" s="11"/>
    </row>
    <row r="166" spans="1:12">
      <c r="A166" s="238">
        <v>454281</v>
      </c>
      <c r="B166" s="239" t="s">
        <v>868</v>
      </c>
      <c r="C166" s="240">
        <v>2</v>
      </c>
      <c r="D166" s="241" t="s">
        <v>1038</v>
      </c>
      <c r="E166" s="241" t="s">
        <v>290</v>
      </c>
      <c r="F166" s="240">
        <v>5.7</v>
      </c>
      <c r="G166" s="240"/>
      <c r="H166" s="239">
        <v>5</v>
      </c>
      <c r="I166" s="242">
        <v>12.9</v>
      </c>
      <c r="K166" s="10"/>
      <c r="L166" s="11"/>
    </row>
    <row r="167" spans="1:12">
      <c r="A167" s="238">
        <v>454280</v>
      </c>
      <c r="B167" s="239" t="s">
        <v>867</v>
      </c>
      <c r="C167" s="240">
        <v>2</v>
      </c>
      <c r="D167" s="241" t="s">
        <v>1038</v>
      </c>
      <c r="E167" s="241" t="s">
        <v>290</v>
      </c>
      <c r="F167" s="240">
        <v>5.7</v>
      </c>
      <c r="G167" s="240"/>
      <c r="H167" s="239">
        <v>5</v>
      </c>
      <c r="I167" s="242">
        <v>12.9</v>
      </c>
      <c r="K167" s="10"/>
      <c r="L167" s="11"/>
    </row>
    <row r="168" spans="1:12">
      <c r="A168" s="238">
        <v>456142</v>
      </c>
      <c r="B168" s="239" t="s">
        <v>872</v>
      </c>
      <c r="C168" s="240">
        <v>1</v>
      </c>
      <c r="D168" s="241" t="s">
        <v>1038</v>
      </c>
      <c r="E168" s="241" t="s">
        <v>291</v>
      </c>
      <c r="F168" s="240">
        <v>11.3</v>
      </c>
      <c r="G168" s="240"/>
      <c r="H168" s="239">
        <v>11.57</v>
      </c>
      <c r="I168" s="242">
        <v>3.5</v>
      </c>
      <c r="K168" s="10"/>
      <c r="L168" s="11"/>
    </row>
    <row r="169" spans="1:12">
      <c r="A169" s="238">
        <v>454178</v>
      </c>
      <c r="B169" s="239" t="s">
        <v>821</v>
      </c>
      <c r="C169" s="240">
        <v>6</v>
      </c>
      <c r="D169" s="241" t="s">
        <v>1038</v>
      </c>
      <c r="E169" s="241" t="s">
        <v>1188</v>
      </c>
      <c r="F169" s="240">
        <v>11.3</v>
      </c>
      <c r="G169" s="240"/>
      <c r="H169" s="239">
        <f>F169</f>
        <v>11.3</v>
      </c>
      <c r="I169" s="242">
        <v>21</v>
      </c>
      <c r="K169" s="10"/>
      <c r="L169" s="12"/>
    </row>
    <row r="170" spans="1:12">
      <c r="A170" s="238">
        <v>453813</v>
      </c>
      <c r="B170" s="239" t="s">
        <v>687</v>
      </c>
      <c r="C170" s="240">
        <v>2</v>
      </c>
      <c r="D170" s="241" t="s">
        <v>1038</v>
      </c>
      <c r="E170" s="241" t="s">
        <v>1184</v>
      </c>
      <c r="F170" s="240">
        <v>12.8</v>
      </c>
      <c r="G170" s="240"/>
      <c r="H170" s="239">
        <f>F170</f>
        <v>12.8</v>
      </c>
      <c r="I170" s="242">
        <v>13</v>
      </c>
      <c r="K170" s="10"/>
      <c r="L170" s="11"/>
    </row>
    <row r="171" spans="1:12">
      <c r="A171" s="238">
        <v>453814</v>
      </c>
      <c r="B171" s="239" t="s">
        <v>688</v>
      </c>
      <c r="C171" s="240">
        <v>4</v>
      </c>
      <c r="D171" s="241" t="s">
        <v>1038</v>
      </c>
      <c r="E171" s="241" t="s">
        <v>293</v>
      </c>
      <c r="F171" s="240">
        <v>12.1</v>
      </c>
      <c r="G171" s="240"/>
      <c r="H171" s="239">
        <v>12.4</v>
      </c>
      <c r="I171" s="242">
        <v>19.399999999999999</v>
      </c>
      <c r="K171" s="10"/>
      <c r="L171" s="11"/>
    </row>
    <row r="172" spans="1:12">
      <c r="A172" s="238">
        <v>454145</v>
      </c>
      <c r="B172" s="239" t="s">
        <v>809</v>
      </c>
      <c r="C172" s="240">
        <v>4</v>
      </c>
      <c r="D172" s="241" t="s">
        <v>1038</v>
      </c>
      <c r="E172" s="241" t="s">
        <v>293</v>
      </c>
      <c r="F172" s="240">
        <v>12.1</v>
      </c>
      <c r="G172" s="240"/>
      <c r="H172" s="239">
        <f>F172</f>
        <v>12.1</v>
      </c>
      <c r="I172" s="242">
        <v>19.399999999999999</v>
      </c>
      <c r="K172" s="10"/>
      <c r="L172" s="11"/>
    </row>
    <row r="173" spans="1:12">
      <c r="A173" s="238">
        <v>454146</v>
      </c>
      <c r="B173" s="239" t="s">
        <v>810</v>
      </c>
      <c r="C173" s="240">
        <v>4</v>
      </c>
      <c r="D173" s="241" t="s">
        <v>1038</v>
      </c>
      <c r="E173" s="241" t="s">
        <v>1184</v>
      </c>
      <c r="F173" s="240">
        <v>12.1</v>
      </c>
      <c r="G173" s="240"/>
      <c r="H173" s="239">
        <f>F173</f>
        <v>12.1</v>
      </c>
      <c r="I173" s="242">
        <v>19.399999999999999</v>
      </c>
      <c r="K173" s="10"/>
      <c r="L173" s="11"/>
    </row>
    <row r="174" spans="1:12">
      <c r="A174" s="238">
        <v>453815</v>
      </c>
      <c r="B174" s="239" t="s">
        <v>689</v>
      </c>
      <c r="C174" s="240">
        <v>2</v>
      </c>
      <c r="D174" s="241" t="s">
        <v>1038</v>
      </c>
      <c r="E174" s="241" t="s">
        <v>291</v>
      </c>
      <c r="F174" s="240">
        <v>16.2</v>
      </c>
      <c r="G174" s="240"/>
      <c r="H174" s="239">
        <f>F174</f>
        <v>16.2</v>
      </c>
      <c r="I174" s="242">
        <v>15.7</v>
      </c>
      <c r="K174" s="10"/>
      <c r="L174" s="11"/>
    </row>
    <row r="175" spans="1:12">
      <c r="A175" s="238">
        <v>453816</v>
      </c>
      <c r="B175" s="239" t="s">
        <v>690</v>
      </c>
      <c r="C175" s="240">
        <v>2</v>
      </c>
      <c r="D175" s="241" t="s">
        <v>1038</v>
      </c>
      <c r="E175" s="241" t="s">
        <v>291</v>
      </c>
      <c r="F175" s="240">
        <v>16.2</v>
      </c>
      <c r="G175" s="240"/>
      <c r="H175" s="239">
        <f>F175</f>
        <v>16.2</v>
      </c>
      <c r="I175" s="242">
        <v>15.7</v>
      </c>
      <c r="K175" s="10"/>
      <c r="L175" s="11"/>
    </row>
    <row r="176" spans="1:12">
      <c r="A176" s="238">
        <v>453817</v>
      </c>
      <c r="B176" s="239" t="s">
        <v>691</v>
      </c>
      <c r="C176" s="240">
        <v>2</v>
      </c>
      <c r="D176" s="241" t="s">
        <v>1038</v>
      </c>
      <c r="E176" s="241" t="s">
        <v>291</v>
      </c>
      <c r="F176" s="240">
        <v>16.2</v>
      </c>
      <c r="G176" s="240"/>
      <c r="H176" s="239">
        <f>F176</f>
        <v>16.2</v>
      </c>
      <c r="I176" s="242">
        <v>15.7</v>
      </c>
      <c r="K176" s="10"/>
      <c r="L176" s="11"/>
    </row>
    <row r="177" spans="1:12">
      <c r="A177" s="238">
        <v>453820</v>
      </c>
      <c r="B177" s="239" t="s">
        <v>692</v>
      </c>
      <c r="C177" s="240">
        <v>1</v>
      </c>
      <c r="D177" s="241" t="s">
        <v>1038</v>
      </c>
      <c r="E177" s="241" t="s">
        <v>290</v>
      </c>
      <c r="F177" s="240">
        <v>20</v>
      </c>
      <c r="G177" s="240"/>
      <c r="H177" s="239">
        <v>20</v>
      </c>
      <c r="I177" s="242">
        <v>17.600000000000001</v>
      </c>
      <c r="K177" s="10"/>
      <c r="L177" s="11"/>
    </row>
    <row r="178" spans="1:12">
      <c r="A178" s="238">
        <v>454282</v>
      </c>
      <c r="B178" s="239" t="s">
        <v>869</v>
      </c>
      <c r="C178" s="240">
        <v>1</v>
      </c>
      <c r="D178" s="241" t="s">
        <v>1038</v>
      </c>
      <c r="E178" s="241" t="s">
        <v>291</v>
      </c>
      <c r="F178" s="240">
        <v>21</v>
      </c>
      <c r="G178" s="240"/>
      <c r="H178" s="239">
        <f t="shared" ref="H178:H183" si="4">F178</f>
        <v>21</v>
      </c>
      <c r="I178" s="242">
        <v>14</v>
      </c>
      <c r="K178" s="10"/>
      <c r="L178" s="11"/>
    </row>
    <row r="179" spans="1:12">
      <c r="A179" s="238">
        <v>453821</v>
      </c>
      <c r="B179" s="239" t="s">
        <v>693</v>
      </c>
      <c r="C179" s="240">
        <v>2</v>
      </c>
      <c r="D179" s="241" t="s">
        <v>1038</v>
      </c>
      <c r="E179" s="241" t="s">
        <v>291</v>
      </c>
      <c r="F179" s="240">
        <v>21</v>
      </c>
      <c r="G179" s="240"/>
      <c r="H179" s="239">
        <f t="shared" si="4"/>
        <v>21</v>
      </c>
      <c r="I179" s="242">
        <v>14</v>
      </c>
      <c r="K179" s="10"/>
      <c r="L179" s="11"/>
    </row>
    <row r="180" spans="1:12">
      <c r="A180" s="238">
        <v>566823</v>
      </c>
      <c r="B180" s="239" t="s">
        <v>1011</v>
      </c>
      <c r="C180" s="240">
        <v>0</v>
      </c>
      <c r="D180" s="241" t="s">
        <v>1038</v>
      </c>
      <c r="E180" s="241" t="s">
        <v>291</v>
      </c>
      <c r="F180" s="240">
        <v>18.5</v>
      </c>
      <c r="G180" s="240"/>
      <c r="H180" s="239">
        <f t="shared" si="4"/>
        <v>18.5</v>
      </c>
      <c r="I180" s="242">
        <v>22.2</v>
      </c>
      <c r="K180" s="10"/>
      <c r="L180" s="11"/>
    </row>
    <row r="181" spans="1:12">
      <c r="A181" s="238">
        <v>453825</v>
      </c>
      <c r="B181" s="239" t="s">
        <v>694</v>
      </c>
      <c r="C181" s="240">
        <v>1</v>
      </c>
      <c r="D181" s="241" t="s">
        <v>1038</v>
      </c>
      <c r="E181" s="241" t="s">
        <v>291</v>
      </c>
      <c r="F181" s="240">
        <v>23.2</v>
      </c>
      <c r="G181" s="240"/>
      <c r="H181" s="239">
        <f t="shared" si="4"/>
        <v>23.2</v>
      </c>
      <c r="I181" s="242">
        <v>14</v>
      </c>
      <c r="K181" s="10"/>
      <c r="L181" s="11"/>
    </row>
    <row r="182" spans="1:12">
      <c r="A182" s="238">
        <v>454195</v>
      </c>
      <c r="B182" s="239" t="s">
        <v>831</v>
      </c>
      <c r="C182" s="240">
        <v>1</v>
      </c>
      <c r="D182" s="241" t="s">
        <v>1038</v>
      </c>
      <c r="E182" s="241" t="s">
        <v>291</v>
      </c>
      <c r="F182" s="240">
        <v>23.2</v>
      </c>
      <c r="G182" s="240"/>
      <c r="H182" s="239">
        <f t="shared" si="4"/>
        <v>23.2</v>
      </c>
      <c r="I182" s="242">
        <v>14</v>
      </c>
      <c r="K182" s="10"/>
      <c r="L182" s="11"/>
    </row>
    <row r="183" spans="1:12">
      <c r="A183" s="238">
        <v>554978</v>
      </c>
      <c r="B183" s="239" t="s">
        <v>993</v>
      </c>
      <c r="C183" s="240">
        <v>2</v>
      </c>
      <c r="D183" s="241" t="s">
        <v>1038</v>
      </c>
      <c r="E183" s="241" t="s">
        <v>291</v>
      </c>
      <c r="F183" s="240">
        <v>23.2</v>
      </c>
      <c r="G183" s="240"/>
      <c r="H183" s="239">
        <f t="shared" si="4"/>
        <v>23.2</v>
      </c>
      <c r="I183" s="242">
        <v>30</v>
      </c>
      <c r="K183" s="10"/>
      <c r="L183" s="11"/>
    </row>
    <row r="184" spans="1:12">
      <c r="A184" s="238">
        <v>453826</v>
      </c>
      <c r="B184" s="239" t="s">
        <v>695</v>
      </c>
      <c r="C184" s="240">
        <v>1</v>
      </c>
      <c r="D184" s="241" t="s">
        <v>1038</v>
      </c>
      <c r="E184" s="241" t="s">
        <v>291</v>
      </c>
      <c r="F184" s="240">
        <v>23.2</v>
      </c>
      <c r="G184" s="240"/>
      <c r="H184" s="239">
        <v>24.32</v>
      </c>
      <c r="I184" s="242">
        <v>14</v>
      </c>
      <c r="K184" s="10"/>
      <c r="L184" s="11"/>
    </row>
    <row r="185" spans="1:12">
      <c r="A185" s="238">
        <v>453827</v>
      </c>
      <c r="B185" s="239" t="s">
        <v>696</v>
      </c>
      <c r="C185" s="240">
        <v>1</v>
      </c>
      <c r="D185" s="241" t="s">
        <v>1038</v>
      </c>
      <c r="E185" s="241" t="s">
        <v>291</v>
      </c>
      <c r="F185" s="240">
        <v>23.2</v>
      </c>
      <c r="G185" s="240"/>
      <c r="H185" s="239">
        <f t="shared" ref="H185:H190" si="5">F185</f>
        <v>23.2</v>
      </c>
      <c r="I185" s="242">
        <v>14</v>
      </c>
      <c r="K185" s="10"/>
      <c r="L185" s="11"/>
    </row>
    <row r="186" spans="1:12">
      <c r="A186" s="238">
        <v>453828</v>
      </c>
      <c r="B186" s="239" t="s">
        <v>697</v>
      </c>
      <c r="C186" s="240">
        <v>1</v>
      </c>
      <c r="D186" s="241" t="s">
        <v>1038</v>
      </c>
      <c r="E186" s="241" t="s">
        <v>1030</v>
      </c>
      <c r="F186" s="240">
        <v>24.2</v>
      </c>
      <c r="G186" s="240"/>
      <c r="H186" s="239">
        <f t="shared" si="5"/>
        <v>24.2</v>
      </c>
      <c r="I186" s="242">
        <v>13.6</v>
      </c>
      <c r="K186" s="10"/>
      <c r="L186" s="12"/>
    </row>
    <row r="187" spans="1:12">
      <c r="A187" s="238">
        <v>453829</v>
      </c>
      <c r="B187" s="239" t="s">
        <v>698</v>
      </c>
      <c r="C187" s="240">
        <v>1</v>
      </c>
      <c r="D187" s="241" t="s">
        <v>1038</v>
      </c>
      <c r="E187" s="241" t="s">
        <v>1030</v>
      </c>
      <c r="F187" s="240">
        <v>24.2</v>
      </c>
      <c r="G187" s="240"/>
      <c r="H187" s="239">
        <f t="shared" si="5"/>
        <v>24.2</v>
      </c>
      <c r="I187" s="242">
        <v>11.9</v>
      </c>
      <c r="K187" s="10"/>
      <c r="L187" s="11"/>
    </row>
    <row r="188" spans="1:12">
      <c r="A188" s="238">
        <v>453830</v>
      </c>
      <c r="B188" s="239" t="s">
        <v>699</v>
      </c>
      <c r="C188" s="240">
        <v>1</v>
      </c>
      <c r="D188" s="241" t="s">
        <v>1038</v>
      </c>
      <c r="E188" s="241" t="s">
        <v>1030</v>
      </c>
      <c r="F188" s="240">
        <v>24.2</v>
      </c>
      <c r="G188" s="240"/>
      <c r="H188" s="239">
        <f t="shared" si="5"/>
        <v>24.2</v>
      </c>
      <c r="I188" s="242">
        <v>13.6</v>
      </c>
      <c r="K188" s="10"/>
      <c r="L188" s="11"/>
    </row>
    <row r="189" spans="1:12">
      <c r="A189" s="238">
        <v>453831</v>
      </c>
      <c r="B189" s="239" t="s">
        <v>700</v>
      </c>
      <c r="C189" s="240">
        <v>1</v>
      </c>
      <c r="D189" s="241" t="s">
        <v>1038</v>
      </c>
      <c r="E189" s="241" t="s">
        <v>1030</v>
      </c>
      <c r="F189" s="240">
        <v>24.2</v>
      </c>
      <c r="G189" s="240"/>
      <c r="H189" s="239">
        <f t="shared" si="5"/>
        <v>24.2</v>
      </c>
      <c r="I189" s="242">
        <v>11.9</v>
      </c>
      <c r="K189" s="10"/>
      <c r="L189" s="12"/>
    </row>
    <row r="190" spans="1:12">
      <c r="A190" s="238">
        <v>453832</v>
      </c>
      <c r="B190" s="239" t="s">
        <v>701</v>
      </c>
      <c r="C190" s="240">
        <v>1</v>
      </c>
      <c r="D190" s="241" t="s">
        <v>1038</v>
      </c>
      <c r="E190" s="241" t="s">
        <v>1030</v>
      </c>
      <c r="F190" s="240">
        <v>24.2</v>
      </c>
      <c r="G190" s="240"/>
      <c r="H190" s="239">
        <f t="shared" si="5"/>
        <v>24.2</v>
      </c>
      <c r="I190" s="242">
        <v>13.6</v>
      </c>
      <c r="K190" s="10"/>
      <c r="L190" s="11"/>
    </row>
    <row r="191" spans="1:12">
      <c r="A191" s="238">
        <v>453833</v>
      </c>
      <c r="B191" s="239" t="s">
        <v>702</v>
      </c>
      <c r="C191" s="240">
        <v>1</v>
      </c>
      <c r="D191" s="241" t="s">
        <v>1038</v>
      </c>
      <c r="E191" s="241" t="s">
        <v>291</v>
      </c>
      <c r="F191" s="240">
        <v>24</v>
      </c>
      <c r="G191" s="240"/>
      <c r="H191" s="239">
        <v>24</v>
      </c>
      <c r="I191" s="242">
        <v>14</v>
      </c>
      <c r="K191" s="10"/>
      <c r="L191" s="11"/>
    </row>
    <row r="192" spans="1:12">
      <c r="A192" s="238">
        <v>454174</v>
      </c>
      <c r="B192" s="239" t="s">
        <v>817</v>
      </c>
      <c r="C192" s="240">
        <v>1</v>
      </c>
      <c r="D192" s="241" t="s">
        <v>1038</v>
      </c>
      <c r="E192" s="241" t="s">
        <v>291</v>
      </c>
      <c r="F192" s="240">
        <v>24</v>
      </c>
      <c r="G192" s="240"/>
      <c r="H192" s="239">
        <f>F192</f>
        <v>24</v>
      </c>
      <c r="I192" s="242">
        <v>13.7</v>
      </c>
      <c r="K192" s="10"/>
      <c r="L192" s="12"/>
    </row>
    <row r="193" spans="1:12">
      <c r="A193" s="238">
        <v>454197</v>
      </c>
      <c r="B193" s="239" t="s">
        <v>833</v>
      </c>
      <c r="C193" s="240">
        <v>1</v>
      </c>
      <c r="D193" s="241" t="s">
        <v>1038</v>
      </c>
      <c r="E193" s="241" t="s">
        <v>291</v>
      </c>
      <c r="F193" s="240">
        <v>24</v>
      </c>
      <c r="G193" s="240"/>
      <c r="H193" s="239">
        <f>F193</f>
        <v>24</v>
      </c>
      <c r="I193" s="242">
        <v>13.7</v>
      </c>
      <c r="K193" s="10"/>
      <c r="L193" s="12"/>
    </row>
    <row r="194" spans="1:12">
      <c r="A194" s="238">
        <v>453835</v>
      </c>
      <c r="B194" s="239" t="s">
        <v>703</v>
      </c>
      <c r="C194" s="240">
        <v>1</v>
      </c>
      <c r="D194" s="241" t="s">
        <v>1038</v>
      </c>
      <c r="E194" s="241" t="s">
        <v>291</v>
      </c>
      <c r="F194" s="240">
        <v>24</v>
      </c>
      <c r="G194" s="240"/>
      <c r="H194" s="239">
        <f>F194</f>
        <v>24</v>
      </c>
      <c r="I194" s="242">
        <v>13.7</v>
      </c>
      <c r="K194" s="10"/>
      <c r="L194" s="12"/>
    </row>
    <row r="195" spans="1:12">
      <c r="A195" s="238">
        <v>453836</v>
      </c>
      <c r="B195" s="239" t="s">
        <v>704</v>
      </c>
      <c r="C195" s="240">
        <v>1</v>
      </c>
      <c r="D195" s="241" t="s">
        <v>1038</v>
      </c>
      <c r="E195" s="241" t="s">
        <v>291</v>
      </c>
      <c r="F195" s="240">
        <v>24</v>
      </c>
      <c r="G195" s="240"/>
      <c r="H195" s="239">
        <v>24.6</v>
      </c>
      <c r="I195" s="242">
        <v>13.7</v>
      </c>
      <c r="K195" s="10"/>
      <c r="L195" s="12"/>
    </row>
    <row r="196" spans="1:12">
      <c r="A196" s="238">
        <v>453837</v>
      </c>
      <c r="B196" s="239" t="s">
        <v>705</v>
      </c>
      <c r="C196" s="240">
        <v>1</v>
      </c>
      <c r="D196" s="241" t="s">
        <v>1038</v>
      </c>
      <c r="E196" s="241" t="s">
        <v>291</v>
      </c>
      <c r="F196" s="240">
        <v>32.6</v>
      </c>
      <c r="G196" s="240"/>
      <c r="H196" s="239">
        <f>F196</f>
        <v>32.6</v>
      </c>
      <c r="I196" s="242">
        <v>12.5</v>
      </c>
      <c r="K196" s="10"/>
      <c r="L196" s="11"/>
    </row>
    <row r="197" spans="1:12">
      <c r="A197" s="238">
        <v>454218</v>
      </c>
      <c r="B197" s="239" t="s">
        <v>845</v>
      </c>
      <c r="C197" s="240">
        <v>1</v>
      </c>
      <c r="D197" s="241" t="s">
        <v>1038</v>
      </c>
      <c r="E197" s="241" t="s">
        <v>291</v>
      </c>
      <c r="F197" s="240">
        <v>33</v>
      </c>
      <c r="G197" s="240"/>
      <c r="H197" s="239">
        <f>F197</f>
        <v>33</v>
      </c>
      <c r="I197" s="242">
        <v>14</v>
      </c>
      <c r="K197" s="10"/>
      <c r="L197" s="12"/>
    </row>
    <row r="198" spans="1:12">
      <c r="A198" s="238">
        <v>453839</v>
      </c>
      <c r="B198" s="239" t="s">
        <v>706</v>
      </c>
      <c r="C198" s="240">
        <v>1</v>
      </c>
      <c r="D198" s="241" t="s">
        <v>1038</v>
      </c>
      <c r="E198" s="241" t="s">
        <v>291</v>
      </c>
      <c r="F198" s="240">
        <v>36</v>
      </c>
      <c r="G198" s="240"/>
      <c r="H198" s="239">
        <v>36</v>
      </c>
      <c r="I198" s="242">
        <v>12.5</v>
      </c>
      <c r="K198" s="10"/>
      <c r="L198" s="12"/>
    </row>
    <row r="199" spans="1:12">
      <c r="A199" s="238">
        <v>453840</v>
      </c>
      <c r="B199" s="239" t="s">
        <v>707</v>
      </c>
      <c r="C199" s="240">
        <v>1</v>
      </c>
      <c r="D199" s="241" t="s">
        <v>1038</v>
      </c>
      <c r="E199" s="241" t="s">
        <v>291</v>
      </c>
      <c r="F199" s="240">
        <v>36</v>
      </c>
      <c r="G199" s="240"/>
      <c r="H199" s="239">
        <v>34.5</v>
      </c>
      <c r="I199" s="242">
        <v>12.5</v>
      </c>
      <c r="K199" s="10"/>
      <c r="L199" s="11"/>
    </row>
    <row r="200" spans="1:12">
      <c r="A200" s="238">
        <v>453841</v>
      </c>
      <c r="B200" s="239" t="s">
        <v>708</v>
      </c>
      <c r="C200" s="240">
        <v>1</v>
      </c>
      <c r="D200" s="241" t="s">
        <v>1038</v>
      </c>
      <c r="E200" s="241" t="s">
        <v>291</v>
      </c>
      <c r="F200" s="240">
        <v>36</v>
      </c>
      <c r="G200" s="240"/>
      <c r="H200" s="239">
        <f>F200</f>
        <v>36</v>
      </c>
      <c r="I200" s="242">
        <v>12.5</v>
      </c>
      <c r="K200" s="10"/>
      <c r="L200" s="11"/>
    </row>
    <row r="201" spans="1:12">
      <c r="A201" s="238">
        <v>454254</v>
      </c>
      <c r="B201" s="239" t="s">
        <v>863</v>
      </c>
      <c r="C201" s="240">
        <v>1</v>
      </c>
      <c r="D201" s="241" t="s">
        <v>1038</v>
      </c>
      <c r="E201" s="241" t="s">
        <v>1030</v>
      </c>
      <c r="F201" s="240">
        <v>87</v>
      </c>
      <c r="G201" s="240"/>
      <c r="H201" s="239">
        <f>F201</f>
        <v>87</v>
      </c>
      <c r="I201" s="242">
        <v>24</v>
      </c>
      <c r="K201" s="10"/>
      <c r="L201" s="12"/>
    </row>
    <row r="202" spans="1:12">
      <c r="A202" s="238">
        <v>454169</v>
      </c>
      <c r="B202" s="239" t="s">
        <v>816</v>
      </c>
      <c r="C202" s="240">
        <v>1</v>
      </c>
      <c r="D202" s="241" t="s">
        <v>1038</v>
      </c>
      <c r="E202" s="241" t="s">
        <v>291</v>
      </c>
      <c r="F202" s="240">
        <v>41</v>
      </c>
      <c r="G202" s="240"/>
      <c r="H202" s="239">
        <f>F202</f>
        <v>41</v>
      </c>
      <c r="I202" s="242">
        <v>14</v>
      </c>
      <c r="K202" s="10"/>
      <c r="L202" s="11"/>
    </row>
    <row r="203" spans="1:12">
      <c r="A203" s="238">
        <v>453842</v>
      </c>
      <c r="B203" s="239" t="s">
        <v>709</v>
      </c>
      <c r="C203" s="240">
        <v>2</v>
      </c>
      <c r="D203" s="241" t="s">
        <v>1038</v>
      </c>
      <c r="E203" s="241" t="s">
        <v>1184</v>
      </c>
      <c r="F203" s="240">
        <v>33</v>
      </c>
      <c r="G203" s="240"/>
      <c r="H203" s="239">
        <f>F203</f>
        <v>33</v>
      </c>
      <c r="I203" s="242">
        <v>20</v>
      </c>
      <c r="K203" s="10"/>
      <c r="L203" s="11"/>
    </row>
    <row r="204" spans="1:12">
      <c r="A204" s="238">
        <v>453843</v>
      </c>
      <c r="B204" s="239" t="s">
        <v>710</v>
      </c>
      <c r="C204" s="240">
        <v>1</v>
      </c>
      <c r="D204" s="241" t="s">
        <v>1038</v>
      </c>
      <c r="E204" s="241" t="s">
        <v>291</v>
      </c>
      <c r="F204" s="240">
        <v>40</v>
      </c>
      <c r="G204" s="240"/>
      <c r="H204" s="239">
        <f>F204</f>
        <v>40</v>
      </c>
      <c r="I204" s="242">
        <v>12</v>
      </c>
      <c r="K204" s="10"/>
      <c r="L204" s="11"/>
    </row>
    <row r="205" spans="1:12">
      <c r="A205" s="238">
        <v>453844</v>
      </c>
      <c r="B205" s="239" t="s">
        <v>711</v>
      </c>
      <c r="C205" s="240">
        <v>1</v>
      </c>
      <c r="D205" s="241" t="s">
        <v>1038</v>
      </c>
      <c r="E205" s="241" t="s">
        <v>1030</v>
      </c>
      <c r="F205" s="240">
        <v>48.5</v>
      </c>
      <c r="G205" s="240"/>
      <c r="H205" s="239">
        <v>51</v>
      </c>
      <c r="I205" s="242">
        <v>15.5</v>
      </c>
      <c r="K205" s="10"/>
      <c r="L205" s="11"/>
    </row>
    <row r="206" spans="1:12">
      <c r="A206" s="238">
        <v>453845</v>
      </c>
      <c r="B206" s="239" t="s">
        <v>712</v>
      </c>
      <c r="C206" s="240">
        <v>1</v>
      </c>
      <c r="D206" s="241" t="s">
        <v>1038</v>
      </c>
      <c r="E206" s="241" t="s">
        <v>1030</v>
      </c>
      <c r="F206" s="240">
        <v>48.5</v>
      </c>
      <c r="G206" s="240"/>
      <c r="H206" s="239">
        <v>51.04</v>
      </c>
      <c r="I206" s="242">
        <v>15.5</v>
      </c>
      <c r="K206" s="10"/>
      <c r="L206" s="11"/>
    </row>
    <row r="207" spans="1:12">
      <c r="A207" s="238">
        <v>453846</v>
      </c>
      <c r="B207" s="239" t="s">
        <v>713</v>
      </c>
      <c r="C207" s="240">
        <v>1</v>
      </c>
      <c r="D207" s="241" t="s">
        <v>1038</v>
      </c>
      <c r="E207" s="241" t="s">
        <v>291</v>
      </c>
      <c r="F207" s="240">
        <v>44.599999999999994</v>
      </c>
      <c r="G207" s="240"/>
      <c r="H207" s="239">
        <v>38.5</v>
      </c>
      <c r="I207" s="242">
        <v>12.7</v>
      </c>
      <c r="K207" s="10"/>
      <c r="L207" s="11"/>
    </row>
    <row r="208" spans="1:12">
      <c r="A208" s="238">
        <v>453847</v>
      </c>
      <c r="B208" s="239" t="s">
        <v>714</v>
      </c>
      <c r="C208" s="240">
        <v>1</v>
      </c>
      <c r="D208" s="241" t="s">
        <v>1038</v>
      </c>
      <c r="E208" s="241" t="s">
        <v>291</v>
      </c>
      <c r="F208" s="240">
        <v>44.599999999999994</v>
      </c>
      <c r="G208" s="240"/>
      <c r="H208" s="239">
        <f>F208</f>
        <v>44.599999999999994</v>
      </c>
      <c r="I208" s="242">
        <v>12.7</v>
      </c>
      <c r="K208" s="10"/>
      <c r="L208" s="11"/>
    </row>
    <row r="209" spans="1:12">
      <c r="A209" s="238">
        <v>454187</v>
      </c>
      <c r="B209" s="239" t="s">
        <v>828</v>
      </c>
      <c r="C209" s="240">
        <v>1</v>
      </c>
      <c r="D209" s="241" t="s">
        <v>1038</v>
      </c>
      <c r="E209" s="241" t="s">
        <v>1030</v>
      </c>
      <c r="F209" s="240">
        <v>56.8</v>
      </c>
      <c r="G209" s="240"/>
      <c r="H209" s="239">
        <v>58</v>
      </c>
      <c r="I209" s="242">
        <v>14.4</v>
      </c>
      <c r="K209" s="10"/>
      <c r="L209" s="11"/>
    </row>
    <row r="210" spans="1:12">
      <c r="A210" s="238">
        <v>453848</v>
      </c>
      <c r="B210" s="239" t="s">
        <v>715</v>
      </c>
      <c r="C210" s="240">
        <v>1</v>
      </c>
      <c r="D210" s="241" t="s">
        <v>1038</v>
      </c>
      <c r="E210" s="241" t="s">
        <v>291</v>
      </c>
      <c r="F210" s="240">
        <v>56.800000000000004</v>
      </c>
      <c r="G210" s="240"/>
      <c r="H210" s="239">
        <f>F210</f>
        <v>56.800000000000004</v>
      </c>
      <c r="I210" s="242">
        <v>15.7</v>
      </c>
      <c r="K210" s="10"/>
      <c r="L210" s="11"/>
    </row>
    <row r="211" spans="1:12">
      <c r="A211" s="238">
        <v>453849</v>
      </c>
      <c r="B211" s="239" t="s">
        <v>716</v>
      </c>
      <c r="C211" s="240">
        <v>1</v>
      </c>
      <c r="D211" s="241" t="s">
        <v>1038</v>
      </c>
      <c r="E211" s="241" t="s">
        <v>291</v>
      </c>
      <c r="F211" s="240">
        <v>50.2</v>
      </c>
      <c r="G211" s="240"/>
      <c r="H211" s="239">
        <f>F211</f>
        <v>50.2</v>
      </c>
      <c r="I211" s="242">
        <v>15</v>
      </c>
      <c r="K211" s="10"/>
      <c r="L211" s="11"/>
    </row>
    <row r="212" spans="1:12">
      <c r="A212" s="238">
        <v>454203</v>
      </c>
      <c r="B212" s="239" t="s">
        <v>837</v>
      </c>
      <c r="C212" s="240">
        <v>1</v>
      </c>
      <c r="D212" s="241" t="s">
        <v>1038</v>
      </c>
      <c r="E212" s="241" t="s">
        <v>291</v>
      </c>
      <c r="F212" s="240">
        <v>50.2</v>
      </c>
      <c r="G212" s="240"/>
      <c r="H212" s="239">
        <f>F212</f>
        <v>50.2</v>
      </c>
      <c r="I212" s="242">
        <v>15</v>
      </c>
      <c r="K212" s="10"/>
      <c r="L212" s="11"/>
    </row>
    <row r="213" spans="1:12">
      <c r="A213" s="238">
        <v>453850</v>
      </c>
      <c r="B213" s="239" t="s">
        <v>717</v>
      </c>
      <c r="C213" s="240">
        <v>1</v>
      </c>
      <c r="D213" s="241" t="s">
        <v>1038</v>
      </c>
      <c r="E213" s="241" t="s">
        <v>291</v>
      </c>
      <c r="F213" s="240">
        <v>50.2</v>
      </c>
      <c r="G213" s="240"/>
      <c r="H213" s="239">
        <f>F213</f>
        <v>50.2</v>
      </c>
      <c r="I213" s="242">
        <v>15</v>
      </c>
      <c r="K213" s="10"/>
      <c r="L213" s="11"/>
    </row>
    <row r="214" spans="1:12">
      <c r="A214" s="238">
        <v>453851</v>
      </c>
      <c r="B214" s="239" t="s">
        <v>718</v>
      </c>
      <c r="C214" s="240">
        <v>1</v>
      </c>
      <c r="D214" s="241" t="s">
        <v>1038</v>
      </c>
      <c r="E214" s="241" t="s">
        <v>291</v>
      </c>
      <c r="F214" s="240">
        <v>53.2</v>
      </c>
      <c r="G214" s="240"/>
      <c r="H214" s="239">
        <f>F214</f>
        <v>53.2</v>
      </c>
      <c r="I214" s="242">
        <v>13.7</v>
      </c>
      <c r="K214" s="10"/>
      <c r="L214" s="11"/>
    </row>
    <row r="215" spans="1:12">
      <c r="A215" s="238">
        <v>456285</v>
      </c>
      <c r="B215" s="239" t="s">
        <v>873</v>
      </c>
      <c r="C215" s="240">
        <v>1</v>
      </c>
      <c r="D215" s="241" t="s">
        <v>1038</v>
      </c>
      <c r="E215" s="241" t="s">
        <v>291</v>
      </c>
      <c r="F215" s="240">
        <v>53.2</v>
      </c>
      <c r="G215" s="240"/>
      <c r="H215" s="239">
        <v>51</v>
      </c>
      <c r="I215" s="242">
        <v>13.7</v>
      </c>
      <c r="K215" s="10"/>
      <c r="L215" s="11"/>
    </row>
    <row r="216" spans="1:12">
      <c r="A216" s="238">
        <v>453852</v>
      </c>
      <c r="B216" s="239" t="s">
        <v>719</v>
      </c>
      <c r="C216" s="240">
        <v>1</v>
      </c>
      <c r="D216" s="241" t="s">
        <v>1038</v>
      </c>
      <c r="E216" s="241" t="s">
        <v>291</v>
      </c>
      <c r="F216" s="240">
        <v>53.2</v>
      </c>
      <c r="G216" s="240"/>
      <c r="H216" s="239">
        <v>49.4</v>
      </c>
      <c r="I216" s="242">
        <v>13.7</v>
      </c>
      <c r="K216" s="10"/>
      <c r="L216" s="11"/>
    </row>
    <row r="217" spans="1:12">
      <c r="A217" s="238">
        <v>454202</v>
      </c>
      <c r="B217" s="239" t="s">
        <v>836</v>
      </c>
      <c r="C217" s="240">
        <v>1</v>
      </c>
      <c r="D217" s="241" t="s">
        <v>1038</v>
      </c>
      <c r="E217" s="241" t="s">
        <v>291</v>
      </c>
      <c r="F217" s="240">
        <v>53.2</v>
      </c>
      <c r="G217" s="240"/>
      <c r="H217" s="239">
        <v>51.64</v>
      </c>
      <c r="I217" s="242">
        <v>13.8</v>
      </c>
      <c r="K217" s="10"/>
      <c r="L217" s="11"/>
    </row>
    <row r="218" spans="1:12">
      <c r="A218" s="238">
        <v>453853</v>
      </c>
      <c r="B218" s="239" t="s">
        <v>720</v>
      </c>
      <c r="C218" s="240">
        <v>1</v>
      </c>
      <c r="D218" s="241" t="s">
        <v>1038</v>
      </c>
      <c r="E218" s="241" t="s">
        <v>291</v>
      </c>
      <c r="F218" s="240">
        <v>52.2</v>
      </c>
      <c r="G218" s="240"/>
      <c r="H218" s="239">
        <v>52</v>
      </c>
      <c r="I218" s="242">
        <v>13.6</v>
      </c>
      <c r="K218" s="10"/>
      <c r="L218" s="12"/>
    </row>
    <row r="219" spans="1:12">
      <c r="A219" s="238">
        <v>453854</v>
      </c>
      <c r="B219" s="239" t="s">
        <v>721</v>
      </c>
      <c r="C219" s="240">
        <v>1</v>
      </c>
      <c r="D219" s="241" t="s">
        <v>1038</v>
      </c>
      <c r="E219" s="241" t="s">
        <v>291</v>
      </c>
      <c r="F219" s="240">
        <v>52</v>
      </c>
      <c r="G219" s="240"/>
      <c r="H219" s="239">
        <v>52.14</v>
      </c>
      <c r="I219" s="242">
        <v>15</v>
      </c>
      <c r="K219" s="10"/>
      <c r="L219" s="12"/>
    </row>
    <row r="220" spans="1:12">
      <c r="A220" s="238">
        <v>453855</v>
      </c>
      <c r="B220" s="239" t="s">
        <v>722</v>
      </c>
      <c r="C220" s="240">
        <v>1</v>
      </c>
      <c r="D220" s="241" t="s">
        <v>1038</v>
      </c>
      <c r="E220" s="241" t="s">
        <v>291</v>
      </c>
      <c r="F220" s="240">
        <v>52</v>
      </c>
      <c r="G220" s="240"/>
      <c r="H220" s="239">
        <v>51.4</v>
      </c>
      <c r="I220" s="242">
        <v>15</v>
      </c>
      <c r="K220" s="10"/>
      <c r="L220" s="12"/>
    </row>
    <row r="221" spans="1:12">
      <c r="A221" s="238">
        <v>453856</v>
      </c>
      <c r="B221" s="239" t="s">
        <v>723</v>
      </c>
      <c r="C221" s="240">
        <v>1</v>
      </c>
      <c r="D221" s="241" t="s">
        <v>1038</v>
      </c>
      <c r="E221" s="241" t="s">
        <v>291</v>
      </c>
      <c r="F221" s="240">
        <v>80.8</v>
      </c>
      <c r="G221" s="240"/>
      <c r="H221" s="239">
        <v>81</v>
      </c>
      <c r="I221" s="242">
        <v>14.9</v>
      </c>
      <c r="K221" s="10"/>
      <c r="L221" s="11"/>
    </row>
    <row r="222" spans="1:12">
      <c r="A222" s="238">
        <v>453857</v>
      </c>
      <c r="B222" s="239" t="s">
        <v>724</v>
      </c>
      <c r="C222" s="240">
        <v>1</v>
      </c>
      <c r="D222" s="241" t="s">
        <v>1038</v>
      </c>
      <c r="E222" s="241" t="s">
        <v>291</v>
      </c>
      <c r="F222" s="240">
        <v>74</v>
      </c>
      <c r="G222" s="240"/>
      <c r="H222" s="239">
        <f>F222</f>
        <v>74</v>
      </c>
      <c r="I222" s="242">
        <v>24</v>
      </c>
      <c r="K222" s="10"/>
      <c r="L222" s="11"/>
    </row>
    <row r="223" spans="1:12">
      <c r="A223" s="238">
        <v>453858</v>
      </c>
      <c r="B223" s="239" t="s">
        <v>725</v>
      </c>
      <c r="C223" s="240">
        <v>1</v>
      </c>
      <c r="D223" s="241" t="s">
        <v>1038</v>
      </c>
      <c r="E223" s="241" t="s">
        <v>291</v>
      </c>
      <c r="F223" s="240">
        <v>60</v>
      </c>
      <c r="G223" s="240"/>
      <c r="H223" s="239">
        <v>60.5</v>
      </c>
      <c r="I223" s="242">
        <v>15</v>
      </c>
      <c r="K223" s="10"/>
      <c r="L223" s="11"/>
    </row>
    <row r="224" spans="1:12">
      <c r="A224" s="238">
        <v>453859</v>
      </c>
      <c r="B224" s="239" t="s">
        <v>726</v>
      </c>
      <c r="C224" s="240">
        <v>1</v>
      </c>
      <c r="D224" s="241" t="s">
        <v>1038</v>
      </c>
      <c r="E224" s="241" t="s">
        <v>291</v>
      </c>
      <c r="F224" s="240">
        <v>60</v>
      </c>
      <c r="G224" s="240"/>
      <c r="H224" s="239">
        <f>F224</f>
        <v>60</v>
      </c>
      <c r="I224" s="242">
        <v>15</v>
      </c>
      <c r="K224" s="10"/>
      <c r="L224" s="11"/>
    </row>
    <row r="225" spans="1:12">
      <c r="A225" s="238">
        <v>453860</v>
      </c>
      <c r="B225" s="239" t="s">
        <v>727</v>
      </c>
      <c r="C225" s="240">
        <v>1</v>
      </c>
      <c r="D225" s="241" t="s">
        <v>1038</v>
      </c>
      <c r="E225" s="241" t="s">
        <v>291</v>
      </c>
      <c r="F225" s="240">
        <v>60</v>
      </c>
      <c r="G225" s="240"/>
      <c r="H225" s="239">
        <v>60.15</v>
      </c>
      <c r="I225" s="242">
        <v>15</v>
      </c>
      <c r="K225" s="10"/>
      <c r="L225" s="11"/>
    </row>
    <row r="226" spans="1:12">
      <c r="A226" s="238">
        <v>453861</v>
      </c>
      <c r="B226" s="239" t="s">
        <v>728</v>
      </c>
      <c r="C226" s="240">
        <v>1</v>
      </c>
      <c r="D226" s="241" t="s">
        <v>1038</v>
      </c>
      <c r="E226" s="241" t="s">
        <v>291</v>
      </c>
      <c r="F226" s="240">
        <v>60</v>
      </c>
      <c r="G226" s="240"/>
      <c r="H226" s="239">
        <f>F226</f>
        <v>60</v>
      </c>
      <c r="I226" s="242">
        <v>15</v>
      </c>
      <c r="K226" s="10"/>
      <c r="L226" s="11"/>
    </row>
    <row r="227" spans="1:12">
      <c r="A227" s="238">
        <v>453862</v>
      </c>
      <c r="B227" s="239" t="s">
        <v>729</v>
      </c>
      <c r="C227" s="240">
        <v>1</v>
      </c>
      <c r="D227" s="241" t="s">
        <v>1038</v>
      </c>
      <c r="E227" s="241" t="s">
        <v>291</v>
      </c>
      <c r="F227" s="240">
        <v>117.5</v>
      </c>
      <c r="G227" s="240"/>
      <c r="H227" s="239">
        <f>F227</f>
        <v>117.5</v>
      </c>
      <c r="I227" s="242">
        <v>18</v>
      </c>
      <c r="K227" s="10"/>
      <c r="L227" s="11"/>
    </row>
    <row r="228" spans="1:12">
      <c r="A228" s="238">
        <v>453864</v>
      </c>
      <c r="B228" s="239" t="s">
        <v>730</v>
      </c>
      <c r="C228" s="240">
        <v>1</v>
      </c>
      <c r="D228" s="241" t="s">
        <v>1038</v>
      </c>
      <c r="E228" s="241" t="s">
        <v>291</v>
      </c>
      <c r="F228" s="240">
        <v>117.5</v>
      </c>
      <c r="G228" s="240"/>
      <c r="H228" s="239">
        <f>F228</f>
        <v>117.5</v>
      </c>
      <c r="I228" s="242">
        <v>18</v>
      </c>
      <c r="K228" s="10"/>
      <c r="L228" s="11"/>
    </row>
    <row r="229" spans="1:12">
      <c r="A229" s="238">
        <v>454214</v>
      </c>
      <c r="B229" s="239" t="s">
        <v>842</v>
      </c>
      <c r="C229" s="240">
        <v>1</v>
      </c>
      <c r="D229" s="241" t="s">
        <v>1038</v>
      </c>
      <c r="E229" s="241" t="s">
        <v>291</v>
      </c>
      <c r="F229" s="240">
        <v>118</v>
      </c>
      <c r="G229" s="240"/>
      <c r="H229" s="239">
        <v>118</v>
      </c>
      <c r="I229" s="242">
        <v>46.4</v>
      </c>
      <c r="K229" s="10"/>
      <c r="L229" s="11"/>
    </row>
    <row r="230" spans="1:12">
      <c r="A230" s="238">
        <v>454215</v>
      </c>
      <c r="B230" s="239" t="s">
        <v>843</v>
      </c>
      <c r="C230" s="240">
        <v>1</v>
      </c>
      <c r="D230" s="241" t="s">
        <v>1038</v>
      </c>
      <c r="E230" s="241" t="s">
        <v>291</v>
      </c>
      <c r="F230" s="240">
        <v>118</v>
      </c>
      <c r="G230" s="240"/>
      <c r="H230" s="239">
        <v>117.67</v>
      </c>
      <c r="I230" s="242">
        <v>46.4</v>
      </c>
      <c r="K230" s="10"/>
      <c r="L230" s="11"/>
    </row>
    <row r="231" spans="1:12">
      <c r="A231" s="238">
        <v>454225</v>
      </c>
      <c r="B231" s="239" t="s">
        <v>850</v>
      </c>
      <c r="C231" s="240">
        <v>1</v>
      </c>
      <c r="D231" s="241" t="s">
        <v>1038</v>
      </c>
      <c r="E231" s="241" t="s">
        <v>291</v>
      </c>
      <c r="F231" s="240">
        <v>60</v>
      </c>
      <c r="G231" s="240"/>
      <c r="H231" s="239">
        <f>F231</f>
        <v>60</v>
      </c>
      <c r="I231" s="242">
        <v>25</v>
      </c>
      <c r="K231" s="10"/>
      <c r="L231" s="11"/>
    </row>
    <row r="232" spans="1:12">
      <c r="A232" s="238">
        <v>453990</v>
      </c>
      <c r="B232" s="239" t="s">
        <v>806</v>
      </c>
      <c r="C232" s="240">
        <v>1</v>
      </c>
      <c r="D232" s="241" t="s">
        <v>1038</v>
      </c>
      <c r="E232" s="241" t="s">
        <v>291</v>
      </c>
      <c r="F232" s="240">
        <v>177</v>
      </c>
      <c r="G232" s="240"/>
      <c r="H232" s="239">
        <f>F232</f>
        <v>177</v>
      </c>
      <c r="I232" s="242">
        <v>24</v>
      </c>
      <c r="K232" s="10"/>
      <c r="L232" s="11"/>
    </row>
    <row r="233" spans="1:12">
      <c r="A233" s="238">
        <v>584529</v>
      </c>
      <c r="B233" s="239" t="s">
        <v>1121</v>
      </c>
      <c r="C233" s="240">
        <v>1</v>
      </c>
      <c r="D233" s="241" t="s">
        <v>1038</v>
      </c>
      <c r="E233" s="241" t="s">
        <v>291</v>
      </c>
      <c r="F233" s="240">
        <v>177</v>
      </c>
      <c r="G233" s="240"/>
      <c r="H233" s="239"/>
      <c r="I233" s="242">
        <v>24</v>
      </c>
      <c r="K233" s="10"/>
      <c r="L233" s="11"/>
    </row>
    <row r="234" spans="1:12">
      <c r="A234" s="238">
        <v>476794</v>
      </c>
      <c r="B234" s="239" t="s">
        <v>899</v>
      </c>
      <c r="C234" s="240">
        <v>2</v>
      </c>
      <c r="D234" s="241" t="s">
        <v>1038</v>
      </c>
      <c r="E234" s="241" t="s">
        <v>290</v>
      </c>
      <c r="F234" s="240">
        <v>9.9</v>
      </c>
      <c r="G234" s="240"/>
      <c r="H234" s="239">
        <v>10.5</v>
      </c>
      <c r="I234" s="242">
        <v>11.6</v>
      </c>
      <c r="K234" s="10"/>
      <c r="L234" s="11"/>
    </row>
    <row r="235" spans="1:12">
      <c r="A235" s="238">
        <v>588241</v>
      </c>
      <c r="B235" s="239" t="s">
        <v>1108</v>
      </c>
      <c r="C235" s="240">
        <v>0</v>
      </c>
      <c r="D235" s="241" t="s">
        <v>1038</v>
      </c>
      <c r="E235" s="241" t="s">
        <v>331</v>
      </c>
      <c r="F235" s="240">
        <v>2.0880000000000001</v>
      </c>
      <c r="G235" s="240"/>
      <c r="H235" s="239"/>
      <c r="I235" s="242">
        <v>17</v>
      </c>
      <c r="K235" s="10"/>
      <c r="L235" s="11"/>
    </row>
    <row r="236" spans="1:12">
      <c r="A236" s="238">
        <v>480195</v>
      </c>
      <c r="B236" s="239" t="s">
        <v>1112</v>
      </c>
      <c r="C236" s="240">
        <v>4</v>
      </c>
      <c r="D236" s="241" t="s">
        <v>1038</v>
      </c>
      <c r="E236" s="241" t="s">
        <v>331</v>
      </c>
      <c r="F236" s="240">
        <v>2.2000000000000002</v>
      </c>
      <c r="G236" s="240"/>
      <c r="H236" s="239">
        <v>1.5</v>
      </c>
      <c r="I236" s="242">
        <v>17</v>
      </c>
      <c r="K236" s="10"/>
      <c r="L236" s="11"/>
    </row>
    <row r="237" spans="1:12">
      <c r="A237" s="238">
        <v>453878</v>
      </c>
      <c r="B237" s="239" t="s">
        <v>731</v>
      </c>
      <c r="C237" s="240">
        <v>4</v>
      </c>
      <c r="D237" s="241" t="s">
        <v>1038</v>
      </c>
      <c r="E237" s="241" t="s">
        <v>1184</v>
      </c>
      <c r="F237" s="240">
        <v>4.3999999999999995</v>
      </c>
      <c r="G237" s="240"/>
      <c r="H237" s="239">
        <f>F237</f>
        <v>4.3999999999999995</v>
      </c>
      <c r="I237" s="242">
        <v>17</v>
      </c>
      <c r="K237" s="10"/>
      <c r="L237" s="11"/>
    </row>
    <row r="238" spans="1:12">
      <c r="A238" s="238">
        <v>453879</v>
      </c>
      <c r="B238" s="239" t="s">
        <v>732</v>
      </c>
      <c r="C238" s="240">
        <v>4</v>
      </c>
      <c r="D238" s="241" t="s">
        <v>1038</v>
      </c>
      <c r="E238" s="241" t="s">
        <v>293</v>
      </c>
      <c r="F238" s="240">
        <v>4.3999999999999995</v>
      </c>
      <c r="G238" s="240"/>
      <c r="H238" s="239">
        <v>4.3</v>
      </c>
      <c r="I238" s="242">
        <v>17</v>
      </c>
      <c r="K238" s="10"/>
      <c r="L238" s="11"/>
    </row>
    <row r="239" spans="1:12">
      <c r="A239" s="238">
        <v>454198</v>
      </c>
      <c r="B239" s="239" t="s">
        <v>834</v>
      </c>
      <c r="C239" s="240">
        <v>8</v>
      </c>
      <c r="D239" s="241" t="s">
        <v>1038</v>
      </c>
      <c r="E239" s="241" t="s">
        <v>303</v>
      </c>
      <c r="F239" s="240">
        <v>1.8</v>
      </c>
      <c r="G239" s="240"/>
      <c r="H239" s="239">
        <v>1.8</v>
      </c>
      <c r="I239" s="242">
        <v>32.799999999999997</v>
      </c>
      <c r="K239" s="10"/>
      <c r="L239" s="11"/>
    </row>
    <row r="240" spans="1:12">
      <c r="A240" s="244">
        <v>621407</v>
      </c>
      <c r="B240" s="239" t="s">
        <v>1281</v>
      </c>
      <c r="C240" s="240">
        <v>2</v>
      </c>
      <c r="D240" s="241" t="s">
        <v>1038</v>
      </c>
      <c r="E240" s="241" t="s">
        <v>1280</v>
      </c>
      <c r="F240" s="240">
        <v>27.8</v>
      </c>
      <c r="G240" s="240"/>
      <c r="H240" s="239">
        <v>27.8</v>
      </c>
      <c r="I240" s="242">
        <v>17.8</v>
      </c>
      <c r="K240" s="10"/>
      <c r="L240" s="11"/>
    </row>
    <row r="241" spans="1:12">
      <c r="A241" s="244">
        <v>621409</v>
      </c>
      <c r="B241" s="239" t="s">
        <v>1282</v>
      </c>
      <c r="C241" s="240">
        <v>4</v>
      </c>
      <c r="D241" s="241" t="s">
        <v>1038</v>
      </c>
      <c r="E241" s="241" t="s">
        <v>1280</v>
      </c>
      <c r="F241" s="240">
        <v>7</v>
      </c>
      <c r="G241" s="240"/>
      <c r="H241" s="239">
        <v>7</v>
      </c>
      <c r="I241" s="242">
        <v>40</v>
      </c>
      <c r="K241" s="10"/>
      <c r="L241" s="11"/>
    </row>
    <row r="242" spans="1:12">
      <c r="A242" s="245">
        <v>667577</v>
      </c>
      <c r="B242" s="239" t="s">
        <v>1350</v>
      </c>
      <c r="C242" s="240">
        <v>4</v>
      </c>
      <c r="D242" s="241" t="s">
        <v>1215</v>
      </c>
      <c r="E242" s="241" t="s">
        <v>1316</v>
      </c>
      <c r="F242" s="240">
        <v>31</v>
      </c>
      <c r="G242" s="240"/>
      <c r="H242" s="239">
        <f t="shared" ref="H242:H249" si="6">F242</f>
        <v>31</v>
      </c>
      <c r="I242" s="242">
        <v>8</v>
      </c>
      <c r="K242" s="10"/>
      <c r="L242" s="11"/>
    </row>
    <row r="243" spans="1:12">
      <c r="A243" s="245">
        <v>667576</v>
      </c>
      <c r="B243" s="239" t="s">
        <v>1351</v>
      </c>
      <c r="C243" s="240">
        <v>4</v>
      </c>
      <c r="D243" s="241" t="s">
        <v>1215</v>
      </c>
      <c r="E243" s="241" t="s">
        <v>1316</v>
      </c>
      <c r="F243" s="240">
        <v>20</v>
      </c>
      <c r="G243" s="240"/>
      <c r="H243" s="239">
        <f t="shared" si="6"/>
        <v>20</v>
      </c>
      <c r="I243" s="242">
        <v>7.5</v>
      </c>
      <c r="K243" s="10"/>
      <c r="L243" s="11"/>
    </row>
    <row r="244" spans="1:12">
      <c r="A244" s="245">
        <v>667575</v>
      </c>
      <c r="B244" s="239" t="s">
        <v>1352</v>
      </c>
      <c r="C244" s="240">
        <v>4</v>
      </c>
      <c r="D244" s="241" t="s">
        <v>1215</v>
      </c>
      <c r="E244" s="241" t="s">
        <v>1316</v>
      </c>
      <c r="F244" s="240">
        <v>13</v>
      </c>
      <c r="G244" s="240"/>
      <c r="H244" s="239">
        <f t="shared" si="6"/>
        <v>13</v>
      </c>
      <c r="I244" s="242">
        <v>7.5</v>
      </c>
      <c r="K244" s="10"/>
      <c r="L244" s="11"/>
    </row>
    <row r="245" spans="1:12">
      <c r="A245" s="238">
        <v>322439</v>
      </c>
      <c r="B245" s="239" t="s">
        <v>371</v>
      </c>
      <c r="C245" s="240">
        <v>4</v>
      </c>
      <c r="D245" s="241" t="s">
        <v>1037</v>
      </c>
      <c r="E245" s="241" t="s">
        <v>287</v>
      </c>
      <c r="F245" s="240">
        <v>30.2</v>
      </c>
      <c r="G245" s="240"/>
      <c r="H245" s="239">
        <f t="shared" si="6"/>
        <v>30.2</v>
      </c>
      <c r="I245" s="242">
        <v>27</v>
      </c>
      <c r="K245" s="10"/>
      <c r="L245" s="11"/>
    </row>
    <row r="246" spans="1:12">
      <c r="A246" s="238">
        <v>322456</v>
      </c>
      <c r="B246" s="239" t="s">
        <v>377</v>
      </c>
      <c r="C246" s="240">
        <v>4</v>
      </c>
      <c r="D246" s="241" t="s">
        <v>1037</v>
      </c>
      <c r="E246" s="241" t="s">
        <v>287</v>
      </c>
      <c r="F246" s="240">
        <v>26.1</v>
      </c>
      <c r="G246" s="240"/>
      <c r="H246" s="239">
        <f t="shared" si="6"/>
        <v>26.1</v>
      </c>
      <c r="I246" s="242">
        <v>22</v>
      </c>
      <c r="K246" s="10"/>
      <c r="L246" s="11"/>
    </row>
    <row r="247" spans="1:12">
      <c r="A247" s="238">
        <v>322462</v>
      </c>
      <c r="B247" s="239" t="s">
        <v>380</v>
      </c>
      <c r="C247" s="240">
        <v>4</v>
      </c>
      <c r="D247" s="241" t="s">
        <v>1037</v>
      </c>
      <c r="E247" s="241" t="s">
        <v>287</v>
      </c>
      <c r="F247" s="240">
        <v>41.9</v>
      </c>
      <c r="G247" s="240"/>
      <c r="H247" s="239">
        <f t="shared" si="6"/>
        <v>41.9</v>
      </c>
      <c r="I247" s="242">
        <v>22</v>
      </c>
      <c r="K247" s="10"/>
      <c r="L247" s="11"/>
    </row>
    <row r="248" spans="1:12">
      <c r="A248" s="238">
        <v>322463</v>
      </c>
      <c r="B248" s="239" t="s">
        <v>381</v>
      </c>
      <c r="C248" s="240">
        <v>4</v>
      </c>
      <c r="D248" s="241" t="s">
        <v>1037</v>
      </c>
      <c r="E248" s="241" t="s">
        <v>287</v>
      </c>
      <c r="F248" s="240">
        <v>40</v>
      </c>
      <c r="G248" s="240"/>
      <c r="H248" s="239">
        <f t="shared" si="6"/>
        <v>40</v>
      </c>
      <c r="I248" s="242">
        <v>22</v>
      </c>
      <c r="K248" s="10"/>
      <c r="L248" s="11"/>
    </row>
    <row r="249" spans="1:12">
      <c r="A249" s="238">
        <v>322465</v>
      </c>
      <c r="B249" s="239" t="s">
        <v>382</v>
      </c>
      <c r="C249" s="240">
        <v>4</v>
      </c>
      <c r="D249" s="241" t="s">
        <v>1037</v>
      </c>
      <c r="E249" s="241" t="s">
        <v>287</v>
      </c>
      <c r="F249" s="240">
        <v>30.1</v>
      </c>
      <c r="G249" s="240"/>
      <c r="H249" s="239">
        <f t="shared" si="6"/>
        <v>30.1</v>
      </c>
      <c r="I249" s="242">
        <v>24</v>
      </c>
      <c r="K249" s="10"/>
      <c r="L249" s="11"/>
    </row>
    <row r="250" spans="1:12">
      <c r="A250" s="238">
        <v>322482</v>
      </c>
      <c r="B250" s="239" t="s">
        <v>387</v>
      </c>
      <c r="C250" s="240">
        <v>4</v>
      </c>
      <c r="D250" s="241" t="s">
        <v>1037</v>
      </c>
      <c r="E250" s="241" t="s">
        <v>287</v>
      </c>
      <c r="F250" s="240">
        <v>51.2</v>
      </c>
      <c r="G250" s="240"/>
      <c r="H250" s="239">
        <v>31</v>
      </c>
      <c r="I250" s="242">
        <v>17.68</v>
      </c>
      <c r="K250" s="10"/>
      <c r="L250" s="11"/>
    </row>
    <row r="251" spans="1:12">
      <c r="A251" s="238">
        <v>601608</v>
      </c>
      <c r="B251" s="239" t="s">
        <v>1181</v>
      </c>
      <c r="C251" s="240">
        <v>4</v>
      </c>
      <c r="D251" s="241" t="s">
        <v>1037</v>
      </c>
      <c r="E251" s="241" t="s">
        <v>287</v>
      </c>
      <c r="F251" s="240">
        <v>32</v>
      </c>
      <c r="G251" s="240"/>
      <c r="H251" s="239">
        <v>32</v>
      </c>
      <c r="I251" s="242">
        <v>27.6</v>
      </c>
      <c r="K251" s="10"/>
      <c r="L251" s="11"/>
    </row>
    <row r="252" spans="1:12">
      <c r="A252" s="238">
        <v>523813</v>
      </c>
      <c r="B252" s="239" t="s">
        <v>956</v>
      </c>
      <c r="C252" s="240">
        <v>4</v>
      </c>
      <c r="D252" s="241" t="s">
        <v>1037</v>
      </c>
      <c r="E252" s="241" t="s">
        <v>287</v>
      </c>
      <c r="F252" s="240">
        <v>40.799999999999997</v>
      </c>
      <c r="G252" s="240"/>
      <c r="H252" s="239">
        <v>41.3</v>
      </c>
      <c r="I252" s="242">
        <v>22</v>
      </c>
      <c r="K252" s="10"/>
      <c r="L252" s="11"/>
    </row>
    <row r="253" spans="1:12">
      <c r="A253" s="238">
        <v>532976</v>
      </c>
      <c r="B253" s="239" t="s">
        <v>968</v>
      </c>
      <c r="C253" s="240">
        <v>4</v>
      </c>
      <c r="D253" s="241" t="s">
        <v>1037</v>
      </c>
      <c r="E253" s="241" t="s">
        <v>287</v>
      </c>
      <c r="F253" s="240">
        <v>41.6</v>
      </c>
      <c r="G253" s="240"/>
      <c r="H253" s="239">
        <v>41.5</v>
      </c>
      <c r="I253" s="242">
        <v>25.56</v>
      </c>
      <c r="K253" s="10"/>
      <c r="L253" s="11"/>
    </row>
    <row r="254" spans="1:12">
      <c r="A254" s="238">
        <v>606768</v>
      </c>
      <c r="B254" s="239" t="s">
        <v>1279</v>
      </c>
      <c r="C254" s="240">
        <v>4</v>
      </c>
      <c r="D254" s="241" t="s">
        <v>1037</v>
      </c>
      <c r="E254" s="241" t="s">
        <v>287</v>
      </c>
      <c r="F254" s="240">
        <v>32</v>
      </c>
      <c r="G254" s="240"/>
      <c r="H254" s="239">
        <v>32</v>
      </c>
      <c r="I254" s="242">
        <v>25.56</v>
      </c>
      <c r="K254" s="10"/>
      <c r="L254" s="11"/>
    </row>
    <row r="255" spans="1:12">
      <c r="A255" s="238">
        <v>379514</v>
      </c>
      <c r="B255" s="239" t="s">
        <v>269</v>
      </c>
      <c r="C255" s="240">
        <v>4</v>
      </c>
      <c r="D255" s="241" t="s">
        <v>1037</v>
      </c>
      <c r="E255" s="241" t="s">
        <v>287</v>
      </c>
      <c r="F255" s="240">
        <v>40</v>
      </c>
      <c r="G255" s="240"/>
      <c r="H255" s="239">
        <v>41.13</v>
      </c>
      <c r="I255" s="242">
        <v>23.2</v>
      </c>
      <c r="K255" s="10"/>
      <c r="L255" s="11"/>
    </row>
    <row r="256" spans="1:12">
      <c r="A256" s="238">
        <v>322478</v>
      </c>
      <c r="B256" s="239" t="s">
        <v>259</v>
      </c>
      <c r="C256" s="240">
        <v>4</v>
      </c>
      <c r="D256" s="241" t="s">
        <v>1037</v>
      </c>
      <c r="E256" s="241" t="s">
        <v>287</v>
      </c>
      <c r="F256" s="240">
        <v>41.5</v>
      </c>
      <c r="G256" s="240"/>
      <c r="H256" s="239">
        <v>30.5</v>
      </c>
      <c r="I256" s="242">
        <v>24</v>
      </c>
      <c r="K256" s="10"/>
      <c r="L256" s="11"/>
    </row>
    <row r="257" spans="1:12">
      <c r="A257" s="238">
        <v>504598</v>
      </c>
      <c r="B257" s="239" t="s">
        <v>945</v>
      </c>
      <c r="C257" s="240">
        <v>4</v>
      </c>
      <c r="D257" s="241" t="s">
        <v>1037</v>
      </c>
      <c r="E257" s="241" t="s">
        <v>287</v>
      </c>
      <c r="F257" s="240">
        <v>28</v>
      </c>
      <c r="G257" s="240"/>
      <c r="H257" s="239">
        <v>30.2</v>
      </c>
      <c r="I257" s="242">
        <v>22.24</v>
      </c>
      <c r="K257" s="10"/>
      <c r="L257" s="11"/>
    </row>
    <row r="258" spans="1:12">
      <c r="A258" s="238">
        <v>324162</v>
      </c>
      <c r="B258" s="239" t="s">
        <v>196</v>
      </c>
      <c r="C258" s="240">
        <v>4</v>
      </c>
      <c r="D258" s="241" t="s">
        <v>1037</v>
      </c>
      <c r="E258" s="241" t="s">
        <v>287</v>
      </c>
      <c r="F258" s="240">
        <v>28</v>
      </c>
      <c r="G258" s="240"/>
      <c r="H258" s="239">
        <v>30.5</v>
      </c>
      <c r="I258" s="242">
        <v>28.08</v>
      </c>
      <c r="K258" s="10"/>
      <c r="L258" s="11"/>
    </row>
    <row r="259" spans="1:12">
      <c r="A259" s="238">
        <v>340461</v>
      </c>
      <c r="B259" s="239" t="s">
        <v>195</v>
      </c>
      <c r="C259" s="240">
        <v>4</v>
      </c>
      <c r="D259" s="241" t="s">
        <v>1037</v>
      </c>
      <c r="E259" s="241" t="s">
        <v>287</v>
      </c>
      <c r="F259" s="240">
        <v>24.9</v>
      </c>
      <c r="G259" s="240"/>
      <c r="H259" s="239">
        <v>29.6</v>
      </c>
      <c r="I259" s="242">
        <v>28.04</v>
      </c>
      <c r="K259" s="10"/>
      <c r="L259" s="11"/>
    </row>
    <row r="260" spans="1:12">
      <c r="A260" s="238">
        <v>324863</v>
      </c>
      <c r="B260" s="239" t="s">
        <v>199</v>
      </c>
      <c r="C260" s="240">
        <v>4</v>
      </c>
      <c r="D260" s="241" t="s">
        <v>1037</v>
      </c>
      <c r="E260" s="241" t="s">
        <v>287</v>
      </c>
      <c r="F260" s="240">
        <v>30.4</v>
      </c>
      <c r="G260" s="240"/>
      <c r="H260" s="239">
        <v>30.5</v>
      </c>
      <c r="I260" s="242">
        <v>28.4</v>
      </c>
      <c r="K260" s="10"/>
      <c r="L260" s="11"/>
    </row>
    <row r="261" spans="1:12">
      <c r="A261" s="238">
        <v>343313</v>
      </c>
      <c r="B261" s="239" t="s">
        <v>256</v>
      </c>
      <c r="C261" s="240">
        <v>4</v>
      </c>
      <c r="D261" s="241" t="s">
        <v>1037</v>
      </c>
      <c r="E261" s="241" t="s">
        <v>287</v>
      </c>
      <c r="F261" s="240">
        <v>30.9</v>
      </c>
      <c r="G261" s="240"/>
      <c r="H261" s="239">
        <v>12.5</v>
      </c>
      <c r="I261" s="242">
        <v>27.8</v>
      </c>
      <c r="K261" s="10"/>
      <c r="L261" s="11"/>
    </row>
    <row r="262" spans="1:12">
      <c r="A262" s="238">
        <v>322440</v>
      </c>
      <c r="B262" s="239" t="s">
        <v>194</v>
      </c>
      <c r="C262" s="240">
        <v>4</v>
      </c>
      <c r="D262" s="241" t="s">
        <v>1037</v>
      </c>
      <c r="E262" s="241" t="s">
        <v>287</v>
      </c>
      <c r="F262" s="240">
        <v>28</v>
      </c>
      <c r="G262" s="240"/>
      <c r="H262" s="239">
        <v>30.4</v>
      </c>
      <c r="I262" s="242">
        <v>27</v>
      </c>
      <c r="K262" s="10"/>
      <c r="L262" s="11"/>
    </row>
    <row r="263" spans="1:12">
      <c r="A263" s="238">
        <v>322384</v>
      </c>
      <c r="B263" s="239" t="s">
        <v>193</v>
      </c>
      <c r="C263" s="240">
        <v>4</v>
      </c>
      <c r="D263" s="241" t="s">
        <v>1037</v>
      </c>
      <c r="E263" s="241" t="s">
        <v>287</v>
      </c>
      <c r="F263" s="240">
        <v>12.5</v>
      </c>
      <c r="G263" s="240"/>
      <c r="H263" s="239">
        <v>12.5</v>
      </c>
      <c r="I263" s="242">
        <v>17.920000000000002</v>
      </c>
      <c r="K263" s="10"/>
      <c r="L263" s="11"/>
    </row>
    <row r="264" spans="1:12">
      <c r="A264" s="238">
        <v>322383</v>
      </c>
      <c r="B264" s="239" t="s">
        <v>192</v>
      </c>
      <c r="C264" s="240">
        <v>4</v>
      </c>
      <c r="D264" s="241" t="s">
        <v>1037</v>
      </c>
      <c r="E264" s="241" t="s">
        <v>287</v>
      </c>
      <c r="F264" s="240">
        <v>12.5</v>
      </c>
      <c r="G264" s="240"/>
      <c r="H264" s="239">
        <v>12.5</v>
      </c>
      <c r="I264" s="242">
        <v>17.920000000000002</v>
      </c>
      <c r="K264" s="10"/>
      <c r="L264" s="11"/>
    </row>
    <row r="265" spans="1:12">
      <c r="A265" s="238">
        <v>586058</v>
      </c>
      <c r="B265" s="239" t="s">
        <v>1122</v>
      </c>
      <c r="C265" s="240">
        <v>4</v>
      </c>
      <c r="D265" s="241" t="s">
        <v>1037</v>
      </c>
      <c r="E265" s="241" t="s">
        <v>287</v>
      </c>
      <c r="F265" s="240">
        <v>12.5</v>
      </c>
      <c r="G265" s="240"/>
      <c r="H265" s="239">
        <v>12.5</v>
      </c>
      <c r="I265" s="242">
        <v>17.920000000000002</v>
      </c>
      <c r="K265" s="10"/>
      <c r="L265" s="11"/>
    </row>
    <row r="266" spans="1:12">
      <c r="A266" s="238">
        <v>322390</v>
      </c>
      <c r="B266" s="239" t="s">
        <v>191</v>
      </c>
      <c r="C266" s="240">
        <v>4</v>
      </c>
      <c r="D266" s="241" t="s">
        <v>1037</v>
      </c>
      <c r="E266" s="241" t="s">
        <v>287</v>
      </c>
      <c r="F266" s="240">
        <v>12.5</v>
      </c>
      <c r="G266" s="240"/>
      <c r="H266" s="239">
        <v>12.5</v>
      </c>
      <c r="I266" s="242">
        <v>18.64</v>
      </c>
      <c r="K266" s="10"/>
      <c r="L266" s="11"/>
    </row>
    <row r="267" spans="1:12">
      <c r="A267" s="238">
        <v>322389</v>
      </c>
      <c r="B267" s="239" t="s">
        <v>1325</v>
      </c>
      <c r="C267" s="240">
        <v>4</v>
      </c>
      <c r="D267" s="241" t="s">
        <v>1037</v>
      </c>
      <c r="E267" s="241" t="s">
        <v>287</v>
      </c>
      <c r="F267" s="240">
        <v>12.5</v>
      </c>
      <c r="G267" s="240"/>
      <c r="H267" s="239">
        <f>F267</f>
        <v>12.5</v>
      </c>
      <c r="I267" s="242">
        <v>18.64</v>
      </c>
      <c r="K267" s="10"/>
      <c r="L267" s="11"/>
    </row>
    <row r="268" spans="1:12">
      <c r="A268" s="238">
        <v>322403</v>
      </c>
      <c r="B268" s="239" t="s">
        <v>359</v>
      </c>
      <c r="C268" s="240">
        <v>4</v>
      </c>
      <c r="D268" s="241" t="s">
        <v>1037</v>
      </c>
      <c r="E268" s="241" t="s">
        <v>287</v>
      </c>
      <c r="F268" s="240">
        <v>16</v>
      </c>
      <c r="G268" s="240"/>
      <c r="H268" s="239">
        <f>F268</f>
        <v>16</v>
      </c>
      <c r="I268" s="242">
        <v>20</v>
      </c>
      <c r="K268" s="10"/>
      <c r="L268" s="11"/>
    </row>
    <row r="269" spans="1:12">
      <c r="A269" s="238">
        <v>322404</v>
      </c>
      <c r="B269" s="239" t="s">
        <v>360</v>
      </c>
      <c r="C269" s="240">
        <v>4</v>
      </c>
      <c r="D269" s="241" t="s">
        <v>1037</v>
      </c>
      <c r="E269" s="241" t="s">
        <v>287</v>
      </c>
      <c r="F269" s="240">
        <v>17</v>
      </c>
      <c r="G269" s="240"/>
      <c r="H269" s="239">
        <v>16.899999999999999</v>
      </c>
      <c r="I269" s="242">
        <v>16</v>
      </c>
      <c r="K269" s="10"/>
      <c r="L269" s="11"/>
    </row>
    <row r="270" spans="1:12">
      <c r="A270" s="238">
        <v>324194</v>
      </c>
      <c r="B270" s="239" t="s">
        <v>190</v>
      </c>
      <c r="C270" s="240">
        <v>4</v>
      </c>
      <c r="D270" s="241" t="s">
        <v>1037</v>
      </c>
      <c r="E270" s="241" t="s">
        <v>287</v>
      </c>
      <c r="F270" s="240">
        <v>17</v>
      </c>
      <c r="G270" s="240"/>
      <c r="H270" s="239">
        <v>16.899999999999999</v>
      </c>
      <c r="I270" s="242">
        <v>18.32</v>
      </c>
      <c r="K270" s="10"/>
      <c r="L270" s="11"/>
    </row>
    <row r="271" spans="1:12">
      <c r="A271" s="238">
        <v>322408</v>
      </c>
      <c r="B271" s="239" t="s">
        <v>189</v>
      </c>
      <c r="C271" s="240">
        <v>4</v>
      </c>
      <c r="D271" s="241" t="s">
        <v>1037</v>
      </c>
      <c r="E271" s="241" t="s">
        <v>287</v>
      </c>
      <c r="F271" s="240">
        <v>16</v>
      </c>
      <c r="G271" s="240"/>
      <c r="H271" s="239">
        <f>F271</f>
        <v>16</v>
      </c>
      <c r="I271" s="242">
        <v>18.32</v>
      </c>
      <c r="K271" s="10"/>
      <c r="L271" s="11"/>
    </row>
    <row r="272" spans="1:12">
      <c r="A272" s="238">
        <v>322491</v>
      </c>
      <c r="B272" s="239" t="s">
        <v>393</v>
      </c>
      <c r="C272" s="240">
        <v>4</v>
      </c>
      <c r="D272" s="241" t="s">
        <v>1037</v>
      </c>
      <c r="E272" s="241" t="s">
        <v>287</v>
      </c>
      <c r="F272" s="240">
        <v>21</v>
      </c>
      <c r="G272" s="240"/>
      <c r="H272" s="239">
        <f>F272</f>
        <v>21</v>
      </c>
      <c r="I272" s="242">
        <v>17</v>
      </c>
      <c r="K272" s="10"/>
      <c r="L272" s="11"/>
    </row>
    <row r="273" spans="1:12">
      <c r="A273" s="238">
        <v>322488</v>
      </c>
      <c r="B273" s="239" t="s">
        <v>390</v>
      </c>
      <c r="C273" s="240">
        <v>4</v>
      </c>
      <c r="D273" s="241" t="s">
        <v>1037</v>
      </c>
      <c r="E273" s="241" t="s">
        <v>287</v>
      </c>
      <c r="F273" s="240">
        <v>22.5</v>
      </c>
      <c r="G273" s="240"/>
      <c r="H273" s="239">
        <v>20.6</v>
      </c>
      <c r="I273" s="242">
        <v>14</v>
      </c>
      <c r="K273" s="10"/>
      <c r="L273" s="11"/>
    </row>
    <row r="274" spans="1:12">
      <c r="A274" s="238">
        <v>322490</v>
      </c>
      <c r="B274" s="239" t="s">
        <v>392</v>
      </c>
      <c r="C274" s="240">
        <v>4</v>
      </c>
      <c r="D274" s="241" t="s">
        <v>1037</v>
      </c>
      <c r="E274" s="241" t="s">
        <v>287</v>
      </c>
      <c r="F274" s="240">
        <v>23</v>
      </c>
      <c r="G274" s="240"/>
      <c r="H274" s="239">
        <f>F274</f>
        <v>23</v>
      </c>
      <c r="I274" s="242">
        <v>18.52</v>
      </c>
      <c r="K274" s="10"/>
      <c r="L274" s="11"/>
    </row>
    <row r="275" spans="1:12">
      <c r="A275" s="238">
        <v>322486</v>
      </c>
      <c r="B275" s="239" t="s">
        <v>389</v>
      </c>
      <c r="C275" s="240">
        <v>4</v>
      </c>
      <c r="D275" s="241" t="s">
        <v>1037</v>
      </c>
      <c r="E275" s="241" t="s">
        <v>287</v>
      </c>
      <c r="F275" s="240">
        <v>27</v>
      </c>
      <c r="G275" s="240"/>
      <c r="H275" s="239">
        <v>16.8</v>
      </c>
      <c r="I275" s="242">
        <v>24</v>
      </c>
      <c r="K275" s="10"/>
      <c r="L275" s="11"/>
    </row>
    <row r="276" spans="1:12">
      <c r="A276" s="238">
        <v>322487</v>
      </c>
      <c r="B276" s="239" t="s">
        <v>188</v>
      </c>
      <c r="C276" s="240">
        <v>4</v>
      </c>
      <c r="D276" s="241" t="s">
        <v>1037</v>
      </c>
      <c r="E276" s="241" t="s">
        <v>287</v>
      </c>
      <c r="F276" s="240">
        <v>27</v>
      </c>
      <c r="G276" s="240"/>
      <c r="H276" s="239">
        <v>20.6</v>
      </c>
      <c r="I276" s="242">
        <v>24</v>
      </c>
      <c r="K276" s="10"/>
      <c r="L276" s="11"/>
    </row>
    <row r="277" spans="1:12">
      <c r="A277" s="238">
        <v>324207</v>
      </c>
      <c r="B277" s="239" t="s">
        <v>187</v>
      </c>
      <c r="C277" s="240">
        <v>4</v>
      </c>
      <c r="D277" s="241" t="s">
        <v>1037</v>
      </c>
      <c r="E277" s="241" t="s">
        <v>287</v>
      </c>
      <c r="F277" s="240">
        <v>27</v>
      </c>
      <c r="G277" s="240"/>
      <c r="H277" s="239">
        <f>F277</f>
        <v>27</v>
      </c>
      <c r="I277" s="242">
        <v>18.32</v>
      </c>
      <c r="K277" s="10"/>
      <c r="L277" s="11"/>
    </row>
    <row r="278" spans="1:12">
      <c r="A278" s="238">
        <v>324212</v>
      </c>
      <c r="B278" s="239" t="s">
        <v>186</v>
      </c>
      <c r="C278" s="240">
        <v>4</v>
      </c>
      <c r="D278" s="241" t="s">
        <v>1037</v>
      </c>
      <c r="E278" s="241" t="s">
        <v>287</v>
      </c>
      <c r="F278" s="240">
        <v>16</v>
      </c>
      <c r="G278" s="240"/>
      <c r="H278" s="239">
        <f>F278</f>
        <v>16</v>
      </c>
      <c r="I278" s="242">
        <v>18.32</v>
      </c>
      <c r="K278" s="10"/>
      <c r="L278" s="11"/>
    </row>
    <row r="279" spans="1:12">
      <c r="A279" s="238">
        <v>322489</v>
      </c>
      <c r="B279" s="239" t="s">
        <v>391</v>
      </c>
      <c r="C279" s="240">
        <v>4</v>
      </c>
      <c r="D279" s="241" t="s">
        <v>1037</v>
      </c>
      <c r="E279" s="241" t="s">
        <v>287</v>
      </c>
      <c r="F279" s="240">
        <v>20</v>
      </c>
      <c r="G279" s="240"/>
      <c r="H279" s="239">
        <v>27.5</v>
      </c>
      <c r="I279" s="242">
        <v>14</v>
      </c>
      <c r="K279" s="10"/>
      <c r="L279" s="11"/>
    </row>
    <row r="280" spans="1:12">
      <c r="A280" s="238">
        <v>322515</v>
      </c>
      <c r="B280" s="239" t="s">
        <v>407</v>
      </c>
      <c r="C280" s="240">
        <v>2</v>
      </c>
      <c r="D280" s="241" t="s">
        <v>1037</v>
      </c>
      <c r="E280" s="241" t="s">
        <v>287</v>
      </c>
      <c r="F280" s="240">
        <v>73.400000000000006</v>
      </c>
      <c r="G280" s="240"/>
      <c r="H280" s="239">
        <v>26.78</v>
      </c>
      <c r="I280" s="242">
        <v>15</v>
      </c>
      <c r="K280" s="10"/>
      <c r="L280" s="11"/>
    </row>
    <row r="281" spans="1:12">
      <c r="A281" s="238">
        <v>322426</v>
      </c>
      <c r="B281" s="239" t="s">
        <v>200</v>
      </c>
      <c r="C281" s="240">
        <v>4</v>
      </c>
      <c r="D281" s="241" t="s">
        <v>1037</v>
      </c>
      <c r="E281" s="241" t="s">
        <v>287</v>
      </c>
      <c r="F281" s="240">
        <v>27</v>
      </c>
      <c r="G281" s="240"/>
      <c r="H281" s="239">
        <f>F281</f>
        <v>27</v>
      </c>
      <c r="I281" s="242">
        <v>18.52</v>
      </c>
      <c r="K281" s="10"/>
      <c r="L281" s="11"/>
    </row>
    <row r="282" spans="1:12">
      <c r="A282" s="238">
        <v>322494</v>
      </c>
      <c r="B282" s="239" t="s">
        <v>395</v>
      </c>
      <c r="C282" s="240">
        <v>4</v>
      </c>
      <c r="D282" s="241" t="s">
        <v>1037</v>
      </c>
      <c r="E282" s="241" t="s">
        <v>287</v>
      </c>
      <c r="F282" s="240">
        <v>29</v>
      </c>
      <c r="G282" s="240"/>
      <c r="H282" s="239">
        <f>F282</f>
        <v>29</v>
      </c>
      <c r="I282" s="242">
        <v>14</v>
      </c>
      <c r="K282" s="10"/>
      <c r="L282" s="11"/>
    </row>
    <row r="283" spans="1:12">
      <c r="A283" s="238">
        <v>326953</v>
      </c>
      <c r="B283" s="239" t="s">
        <v>201</v>
      </c>
      <c r="C283" s="240">
        <v>4</v>
      </c>
      <c r="D283" s="241" t="s">
        <v>1037</v>
      </c>
      <c r="E283" s="241" t="s">
        <v>287</v>
      </c>
      <c r="F283" s="240">
        <v>27</v>
      </c>
      <c r="G283" s="240"/>
      <c r="H283" s="239">
        <v>27.09</v>
      </c>
      <c r="I283" s="242">
        <v>24</v>
      </c>
      <c r="K283" s="10"/>
      <c r="L283" s="11"/>
    </row>
    <row r="284" spans="1:12">
      <c r="A284" s="238">
        <v>322505</v>
      </c>
      <c r="B284" s="239" t="s">
        <v>185</v>
      </c>
      <c r="C284" s="240">
        <v>4</v>
      </c>
      <c r="D284" s="241" t="s">
        <v>1037</v>
      </c>
      <c r="E284" s="241" t="s">
        <v>287</v>
      </c>
      <c r="F284" s="240">
        <v>27</v>
      </c>
      <c r="G284" s="240"/>
      <c r="H284" s="239">
        <v>31</v>
      </c>
      <c r="I284" s="242">
        <v>27.96</v>
      </c>
      <c r="K284" s="10"/>
      <c r="L284" s="11"/>
    </row>
    <row r="285" spans="1:12">
      <c r="A285" s="238">
        <v>322507</v>
      </c>
      <c r="B285" s="239" t="s">
        <v>184</v>
      </c>
      <c r="C285" s="240">
        <v>4</v>
      </c>
      <c r="D285" s="241" t="s">
        <v>1037</v>
      </c>
      <c r="E285" s="241" t="s">
        <v>287</v>
      </c>
      <c r="F285" s="240">
        <v>27</v>
      </c>
      <c r="G285" s="240"/>
      <c r="H285" s="239">
        <v>31</v>
      </c>
      <c r="I285" s="242">
        <v>26.96</v>
      </c>
      <c r="K285" s="10"/>
      <c r="L285" s="11"/>
    </row>
    <row r="286" spans="1:12">
      <c r="A286" s="238">
        <v>322506</v>
      </c>
      <c r="B286" s="239" t="s">
        <v>183</v>
      </c>
      <c r="C286" s="240">
        <v>4</v>
      </c>
      <c r="D286" s="241" t="s">
        <v>1037</v>
      </c>
      <c r="E286" s="241" t="s">
        <v>287</v>
      </c>
      <c r="F286" s="240">
        <v>32</v>
      </c>
      <c r="G286" s="240"/>
      <c r="H286" s="239">
        <v>32</v>
      </c>
      <c r="I286" s="242">
        <v>25.64</v>
      </c>
      <c r="K286" s="10"/>
      <c r="L286" s="11"/>
    </row>
    <row r="287" spans="1:12">
      <c r="A287" s="238">
        <v>324682</v>
      </c>
      <c r="B287" s="239" t="s">
        <v>182</v>
      </c>
      <c r="C287" s="240">
        <v>4</v>
      </c>
      <c r="D287" s="241" t="s">
        <v>1037</v>
      </c>
      <c r="E287" s="241" t="s">
        <v>287</v>
      </c>
      <c r="F287" s="240">
        <v>33</v>
      </c>
      <c r="G287" s="240"/>
      <c r="H287" s="239">
        <v>33</v>
      </c>
      <c r="I287" s="242">
        <v>23.972000000000001</v>
      </c>
      <c r="K287" s="10"/>
      <c r="L287" s="11"/>
    </row>
    <row r="288" spans="1:12">
      <c r="A288" s="238">
        <v>322509</v>
      </c>
      <c r="B288" s="239" t="s">
        <v>181</v>
      </c>
      <c r="C288" s="240">
        <v>4</v>
      </c>
      <c r="D288" s="241" t="s">
        <v>1037</v>
      </c>
      <c r="E288" s="241" t="s">
        <v>287</v>
      </c>
      <c r="F288" s="240">
        <v>32</v>
      </c>
      <c r="G288" s="240"/>
      <c r="H288" s="239">
        <v>32</v>
      </c>
      <c r="I288" s="242">
        <v>25.92</v>
      </c>
      <c r="K288" s="10"/>
      <c r="L288" s="11"/>
    </row>
    <row r="289" spans="1:12">
      <c r="A289" s="238">
        <v>322511</v>
      </c>
      <c r="B289" s="239" t="s">
        <v>202</v>
      </c>
      <c r="C289" s="240">
        <v>4</v>
      </c>
      <c r="D289" s="241" t="s">
        <v>1037</v>
      </c>
      <c r="E289" s="241" t="s">
        <v>287</v>
      </c>
      <c r="F289" s="240">
        <v>44.8</v>
      </c>
      <c r="G289" s="240"/>
      <c r="H289" s="239">
        <f>F289</f>
        <v>44.8</v>
      </c>
      <c r="I289" s="242">
        <v>23.6</v>
      </c>
      <c r="K289" s="10"/>
      <c r="L289" s="11"/>
    </row>
    <row r="290" spans="1:12">
      <c r="A290" s="238">
        <v>322512</v>
      </c>
      <c r="B290" s="239" t="s">
        <v>405</v>
      </c>
      <c r="C290" s="240">
        <v>4</v>
      </c>
      <c r="D290" s="241" t="s">
        <v>1037</v>
      </c>
      <c r="E290" s="241" t="s">
        <v>287</v>
      </c>
      <c r="F290" s="240">
        <v>48.4</v>
      </c>
      <c r="G290" s="240"/>
      <c r="H290" s="239">
        <f>F290</f>
        <v>48.4</v>
      </c>
      <c r="I290" s="242">
        <v>23</v>
      </c>
      <c r="K290" s="10"/>
      <c r="L290" s="11"/>
    </row>
    <row r="291" spans="1:12">
      <c r="A291" s="238">
        <v>322514</v>
      </c>
      <c r="B291" s="239" t="s">
        <v>406</v>
      </c>
      <c r="C291" s="240">
        <v>4</v>
      </c>
      <c r="D291" s="241" t="s">
        <v>1037</v>
      </c>
      <c r="E291" s="241" t="s">
        <v>287</v>
      </c>
      <c r="F291" s="240">
        <v>37.700000000000003</v>
      </c>
      <c r="G291" s="240"/>
      <c r="H291" s="239">
        <v>45.39</v>
      </c>
      <c r="I291" s="242">
        <v>30</v>
      </c>
      <c r="K291" s="10"/>
      <c r="L291" s="11"/>
    </row>
    <row r="292" spans="1:12">
      <c r="A292" s="238">
        <v>322525</v>
      </c>
      <c r="B292" s="239" t="s">
        <v>180</v>
      </c>
      <c r="C292" s="240">
        <v>4</v>
      </c>
      <c r="D292" s="241" t="s">
        <v>1037</v>
      </c>
      <c r="E292" s="241" t="s">
        <v>287</v>
      </c>
      <c r="F292" s="240">
        <v>45</v>
      </c>
      <c r="G292" s="240"/>
      <c r="H292" s="239">
        <f>F292</f>
        <v>45</v>
      </c>
      <c r="I292" s="242">
        <v>27</v>
      </c>
      <c r="K292" s="10"/>
      <c r="L292" s="11"/>
    </row>
    <row r="293" spans="1:12">
      <c r="A293" s="238">
        <v>322521</v>
      </c>
      <c r="B293" s="239" t="s">
        <v>179</v>
      </c>
      <c r="C293" s="240">
        <v>4</v>
      </c>
      <c r="D293" s="241" t="s">
        <v>1037</v>
      </c>
      <c r="E293" s="241" t="s">
        <v>287</v>
      </c>
      <c r="F293" s="240">
        <v>55</v>
      </c>
      <c r="G293" s="240"/>
      <c r="H293" s="239">
        <v>56.95</v>
      </c>
      <c r="I293" s="242">
        <v>27.52</v>
      </c>
      <c r="K293" s="10"/>
      <c r="L293" s="11"/>
    </row>
    <row r="294" spans="1:12">
      <c r="A294" s="238">
        <v>322523</v>
      </c>
      <c r="B294" s="239" t="s">
        <v>410</v>
      </c>
      <c r="C294" s="240">
        <v>4</v>
      </c>
      <c r="D294" s="241" t="s">
        <v>1037</v>
      </c>
      <c r="E294" s="241" t="s">
        <v>287</v>
      </c>
      <c r="F294" s="240">
        <v>47.9</v>
      </c>
      <c r="G294" s="240"/>
      <c r="H294" s="239">
        <v>56.9</v>
      </c>
      <c r="I294" s="242">
        <v>30.36</v>
      </c>
      <c r="K294" s="10"/>
      <c r="L294" s="11"/>
    </row>
    <row r="295" spans="1:12">
      <c r="A295" s="238">
        <v>322517</v>
      </c>
      <c r="B295" s="239" t="s">
        <v>178</v>
      </c>
      <c r="C295" s="240">
        <v>4</v>
      </c>
      <c r="D295" s="241" t="s">
        <v>1037</v>
      </c>
      <c r="E295" s="241" t="s">
        <v>287</v>
      </c>
      <c r="F295" s="240">
        <v>45.3</v>
      </c>
      <c r="G295" s="240"/>
      <c r="H295" s="239">
        <f>F295</f>
        <v>45.3</v>
      </c>
      <c r="I295" s="242">
        <v>25.88</v>
      </c>
      <c r="K295" s="10"/>
      <c r="L295" s="11"/>
    </row>
    <row r="296" spans="1:12">
      <c r="A296" s="238">
        <v>323077</v>
      </c>
      <c r="B296" s="239" t="s">
        <v>177</v>
      </c>
      <c r="C296" s="240">
        <v>4</v>
      </c>
      <c r="D296" s="241" t="s">
        <v>1037</v>
      </c>
      <c r="E296" s="241" t="s">
        <v>287</v>
      </c>
      <c r="F296" s="240">
        <v>57.9</v>
      </c>
      <c r="G296" s="240"/>
      <c r="H296" s="239">
        <v>56.89</v>
      </c>
      <c r="I296" s="242">
        <v>31.68</v>
      </c>
      <c r="K296" s="10"/>
      <c r="L296" s="11"/>
    </row>
    <row r="297" spans="1:12">
      <c r="A297" s="238">
        <v>323079</v>
      </c>
      <c r="B297" s="239" t="s">
        <v>452</v>
      </c>
      <c r="C297" s="240">
        <v>4</v>
      </c>
      <c r="D297" s="241" t="s">
        <v>1037</v>
      </c>
      <c r="E297" s="241" t="s">
        <v>287</v>
      </c>
      <c r="F297" s="240">
        <v>57.9</v>
      </c>
      <c r="G297" s="240"/>
      <c r="H297" s="239">
        <f>F297</f>
        <v>57.9</v>
      </c>
      <c r="I297" s="242">
        <v>31.68</v>
      </c>
      <c r="K297" s="10"/>
      <c r="L297" s="11"/>
    </row>
    <row r="298" spans="1:12">
      <c r="A298" s="238">
        <v>323081</v>
      </c>
      <c r="B298" s="239" t="s">
        <v>255</v>
      </c>
      <c r="C298" s="240">
        <v>4</v>
      </c>
      <c r="D298" s="241" t="s">
        <v>1037</v>
      </c>
      <c r="E298" s="241" t="s">
        <v>287</v>
      </c>
      <c r="F298" s="240">
        <v>57.9</v>
      </c>
      <c r="G298" s="240"/>
      <c r="H298" s="239">
        <v>56.9</v>
      </c>
      <c r="I298" s="242">
        <v>31.68</v>
      </c>
      <c r="K298" s="10"/>
      <c r="L298" s="12"/>
    </row>
    <row r="299" spans="1:12">
      <c r="A299" s="238">
        <v>323083</v>
      </c>
      <c r="B299" s="239" t="s">
        <v>176</v>
      </c>
      <c r="C299" s="240">
        <v>4</v>
      </c>
      <c r="D299" s="241" t="s">
        <v>1037</v>
      </c>
      <c r="E299" s="241" t="s">
        <v>287</v>
      </c>
      <c r="F299" s="240">
        <v>57.9</v>
      </c>
      <c r="G299" s="240"/>
      <c r="H299" s="239">
        <v>56.9</v>
      </c>
      <c r="I299" s="242">
        <v>31.68</v>
      </c>
      <c r="K299" s="10"/>
      <c r="L299" s="11"/>
    </row>
    <row r="300" spans="1:12">
      <c r="A300" s="238">
        <v>322516</v>
      </c>
      <c r="B300" s="239" t="s">
        <v>203</v>
      </c>
      <c r="C300" s="240">
        <v>4</v>
      </c>
      <c r="D300" s="241" t="s">
        <v>1037</v>
      </c>
      <c r="E300" s="241" t="s">
        <v>287</v>
      </c>
      <c r="F300" s="240">
        <v>56.9</v>
      </c>
      <c r="G300" s="240"/>
      <c r="H300" s="239">
        <v>45.2</v>
      </c>
      <c r="I300" s="242">
        <v>23.24</v>
      </c>
      <c r="K300" s="10"/>
      <c r="L300" s="11"/>
    </row>
    <row r="301" spans="1:12">
      <c r="A301" s="238">
        <v>322522</v>
      </c>
      <c r="B301" s="239" t="s">
        <v>409</v>
      </c>
      <c r="C301" s="240">
        <v>4</v>
      </c>
      <c r="D301" s="241" t="s">
        <v>1037</v>
      </c>
      <c r="E301" s="241" t="s">
        <v>287</v>
      </c>
      <c r="F301" s="240">
        <v>45.2</v>
      </c>
      <c r="G301" s="240"/>
      <c r="H301" s="239">
        <v>45.33</v>
      </c>
      <c r="I301" s="242">
        <v>25</v>
      </c>
      <c r="K301" s="10"/>
      <c r="L301" s="11"/>
    </row>
    <row r="302" spans="1:12">
      <c r="A302" s="238">
        <v>323005</v>
      </c>
      <c r="B302" s="239" t="s">
        <v>445</v>
      </c>
      <c r="C302" s="240">
        <v>4</v>
      </c>
      <c r="D302" s="241" t="s">
        <v>1037</v>
      </c>
      <c r="E302" s="241" t="s">
        <v>287</v>
      </c>
      <c r="F302" s="240">
        <v>55</v>
      </c>
      <c r="G302" s="240"/>
      <c r="H302" s="239">
        <v>45.28</v>
      </c>
      <c r="I302" s="242">
        <v>23.52</v>
      </c>
      <c r="K302" s="10"/>
      <c r="L302" s="11"/>
    </row>
    <row r="303" spans="1:12">
      <c r="A303" s="238">
        <v>323089</v>
      </c>
      <c r="B303" s="239" t="s">
        <v>454</v>
      </c>
      <c r="C303" s="240">
        <v>4</v>
      </c>
      <c r="D303" s="241" t="s">
        <v>1037</v>
      </c>
      <c r="E303" s="241" t="s">
        <v>287</v>
      </c>
      <c r="F303" s="240">
        <v>56</v>
      </c>
      <c r="G303" s="240"/>
      <c r="H303" s="239">
        <v>55.51</v>
      </c>
      <c r="I303" s="242">
        <v>23.52</v>
      </c>
      <c r="K303" s="10"/>
      <c r="L303" s="11"/>
    </row>
    <row r="304" spans="1:12">
      <c r="A304" s="238">
        <v>323087</v>
      </c>
      <c r="B304" s="239" t="s">
        <v>453</v>
      </c>
      <c r="C304" s="240">
        <v>4</v>
      </c>
      <c r="D304" s="241" t="s">
        <v>1037</v>
      </c>
      <c r="E304" s="241" t="s">
        <v>287</v>
      </c>
      <c r="F304" s="240">
        <v>56</v>
      </c>
      <c r="G304" s="240"/>
      <c r="H304" s="239">
        <f>F304</f>
        <v>56</v>
      </c>
      <c r="I304" s="242">
        <v>23.52</v>
      </c>
      <c r="K304" s="10"/>
      <c r="L304" s="11"/>
    </row>
    <row r="305" spans="1:12">
      <c r="A305" s="238">
        <v>325137</v>
      </c>
      <c r="B305" s="239" t="s">
        <v>175</v>
      </c>
      <c r="C305" s="240">
        <v>4</v>
      </c>
      <c r="D305" s="241" t="s">
        <v>1037</v>
      </c>
      <c r="E305" s="241" t="s">
        <v>287</v>
      </c>
      <c r="F305" s="240">
        <v>44</v>
      </c>
      <c r="G305" s="240"/>
      <c r="H305" s="239">
        <v>56.8</v>
      </c>
      <c r="I305" s="242">
        <v>30.4</v>
      </c>
      <c r="K305" s="10"/>
      <c r="L305" s="11"/>
    </row>
    <row r="306" spans="1:12">
      <c r="A306" s="238">
        <v>329667</v>
      </c>
      <c r="B306" s="239" t="s">
        <v>491</v>
      </c>
      <c r="C306" s="240">
        <v>4</v>
      </c>
      <c r="D306" s="241" t="s">
        <v>1037</v>
      </c>
      <c r="E306" s="241" t="s">
        <v>287</v>
      </c>
      <c r="F306" s="240">
        <v>56.5</v>
      </c>
      <c r="G306" s="240"/>
      <c r="H306" s="239">
        <v>56.5</v>
      </c>
      <c r="I306" s="242">
        <v>38.72</v>
      </c>
      <c r="K306" s="10"/>
      <c r="L306" s="11"/>
    </row>
    <row r="307" spans="1:12">
      <c r="A307" s="238">
        <v>379517</v>
      </c>
      <c r="B307" s="239" t="s">
        <v>536</v>
      </c>
      <c r="C307" s="240">
        <v>4</v>
      </c>
      <c r="D307" s="241" t="s">
        <v>1037</v>
      </c>
      <c r="E307" s="241" t="s">
        <v>287</v>
      </c>
      <c r="F307" s="240">
        <v>44</v>
      </c>
      <c r="G307" s="240"/>
      <c r="H307" s="239">
        <f>F307</f>
        <v>44</v>
      </c>
      <c r="I307" s="242">
        <v>29.4</v>
      </c>
      <c r="K307" s="10"/>
      <c r="L307" s="11"/>
    </row>
    <row r="308" spans="1:12">
      <c r="A308" s="238">
        <v>322527</v>
      </c>
      <c r="B308" s="239" t="s">
        <v>174</v>
      </c>
      <c r="C308" s="240">
        <v>4</v>
      </c>
      <c r="D308" s="241" t="s">
        <v>1037</v>
      </c>
      <c r="E308" s="241" t="s">
        <v>287</v>
      </c>
      <c r="F308" s="240">
        <v>45.3</v>
      </c>
      <c r="G308" s="240"/>
      <c r="H308" s="239">
        <v>44.5</v>
      </c>
      <c r="I308" s="242">
        <v>30.12</v>
      </c>
      <c r="K308" s="10"/>
      <c r="L308" s="11"/>
    </row>
    <row r="309" spans="1:12">
      <c r="A309" s="238">
        <v>555192</v>
      </c>
      <c r="B309" s="239" t="s">
        <v>996</v>
      </c>
      <c r="C309" s="240">
        <v>4</v>
      </c>
      <c r="D309" s="241" t="s">
        <v>1037</v>
      </c>
      <c r="E309" s="241" t="s">
        <v>287</v>
      </c>
      <c r="F309" s="240">
        <v>44</v>
      </c>
      <c r="G309" s="240"/>
      <c r="H309" s="239">
        <v>76.2</v>
      </c>
      <c r="I309" s="242">
        <v>28</v>
      </c>
      <c r="K309" s="10"/>
      <c r="L309" s="11"/>
    </row>
    <row r="310" spans="1:12">
      <c r="A310" s="238">
        <v>322447</v>
      </c>
      <c r="B310" s="239" t="s">
        <v>204</v>
      </c>
      <c r="C310" s="240">
        <v>2</v>
      </c>
      <c r="D310" s="241" t="s">
        <v>1037</v>
      </c>
      <c r="E310" s="241" t="s">
        <v>287</v>
      </c>
      <c r="F310" s="240">
        <v>76.2</v>
      </c>
      <c r="G310" s="240"/>
      <c r="H310" s="239">
        <f>F310</f>
        <v>76.2</v>
      </c>
      <c r="I310" s="242">
        <v>16</v>
      </c>
      <c r="K310" s="10"/>
      <c r="L310" s="11"/>
    </row>
    <row r="311" spans="1:12">
      <c r="A311" s="238">
        <v>323094</v>
      </c>
      <c r="B311" s="239" t="s">
        <v>456</v>
      </c>
      <c r="C311" s="240">
        <v>4</v>
      </c>
      <c r="D311" s="241" t="s">
        <v>1037</v>
      </c>
      <c r="E311" s="241" t="s">
        <v>287</v>
      </c>
      <c r="F311" s="240">
        <v>77.2</v>
      </c>
      <c r="G311" s="240"/>
      <c r="H311" s="239">
        <f>F311</f>
        <v>77.2</v>
      </c>
      <c r="I311" s="242">
        <v>32</v>
      </c>
      <c r="K311" s="10"/>
      <c r="L311" s="11"/>
    </row>
    <row r="312" spans="1:12">
      <c r="A312" s="238">
        <v>322534</v>
      </c>
      <c r="B312" s="239" t="s">
        <v>413</v>
      </c>
      <c r="C312" s="240">
        <v>4</v>
      </c>
      <c r="D312" s="241" t="s">
        <v>1037</v>
      </c>
      <c r="E312" s="241" t="s">
        <v>287</v>
      </c>
      <c r="F312" s="240">
        <v>35</v>
      </c>
      <c r="G312" s="240"/>
      <c r="H312" s="239">
        <v>56.94</v>
      </c>
      <c r="I312" s="242">
        <v>23.24</v>
      </c>
      <c r="K312" s="10"/>
      <c r="L312" s="11"/>
    </row>
    <row r="313" spans="1:12">
      <c r="A313" s="238">
        <v>324205</v>
      </c>
      <c r="B313" s="239" t="s">
        <v>284</v>
      </c>
      <c r="C313" s="240">
        <v>2</v>
      </c>
      <c r="D313" s="241" t="s">
        <v>1037</v>
      </c>
      <c r="E313" s="241" t="s">
        <v>287</v>
      </c>
      <c r="F313" s="240">
        <v>57</v>
      </c>
      <c r="G313" s="240"/>
      <c r="H313" s="239">
        <v>45.04</v>
      </c>
      <c r="I313" s="242">
        <v>18</v>
      </c>
      <c r="K313" s="10"/>
      <c r="L313" s="11"/>
    </row>
    <row r="314" spans="1:12">
      <c r="A314" s="238">
        <v>324211</v>
      </c>
      <c r="B314" s="239" t="s">
        <v>281</v>
      </c>
      <c r="C314" s="240">
        <v>4</v>
      </c>
      <c r="D314" s="241" t="s">
        <v>1037</v>
      </c>
      <c r="E314" s="241" t="s">
        <v>287</v>
      </c>
      <c r="F314" s="240">
        <v>44</v>
      </c>
      <c r="G314" s="240"/>
      <c r="H314" s="239">
        <v>73.2</v>
      </c>
      <c r="I314" s="242">
        <v>36</v>
      </c>
      <c r="K314" s="10"/>
      <c r="L314" s="11"/>
    </row>
    <row r="315" spans="1:12">
      <c r="A315" s="238">
        <v>322466</v>
      </c>
      <c r="B315" s="239" t="s">
        <v>205</v>
      </c>
      <c r="C315" s="240">
        <v>2</v>
      </c>
      <c r="D315" s="241" t="s">
        <v>1037</v>
      </c>
      <c r="E315" s="241" t="s">
        <v>287</v>
      </c>
      <c r="F315" s="240">
        <v>74</v>
      </c>
      <c r="G315" s="240"/>
      <c r="H315" s="239">
        <f>F315</f>
        <v>74</v>
      </c>
      <c r="I315" s="242">
        <v>33</v>
      </c>
      <c r="K315" s="10"/>
      <c r="L315" s="11"/>
    </row>
    <row r="316" spans="1:12">
      <c r="A316" s="238">
        <v>323110</v>
      </c>
      <c r="B316" s="239" t="s">
        <v>173</v>
      </c>
      <c r="C316" s="240">
        <v>2</v>
      </c>
      <c r="D316" s="241" t="s">
        <v>1037</v>
      </c>
      <c r="E316" s="241" t="s">
        <v>287</v>
      </c>
      <c r="F316" s="240">
        <v>75</v>
      </c>
      <c r="G316" s="240"/>
      <c r="H316" s="239">
        <v>73.2</v>
      </c>
      <c r="I316" s="242">
        <v>33</v>
      </c>
      <c r="K316" s="10"/>
      <c r="L316" s="11"/>
    </row>
    <row r="317" spans="1:12">
      <c r="A317" s="238">
        <v>323117</v>
      </c>
      <c r="B317" s="239" t="s">
        <v>172</v>
      </c>
      <c r="C317" s="240">
        <v>2</v>
      </c>
      <c r="D317" s="241" t="s">
        <v>1037</v>
      </c>
      <c r="E317" s="241" t="s">
        <v>287</v>
      </c>
      <c r="F317" s="240">
        <v>75</v>
      </c>
      <c r="G317" s="240"/>
      <c r="H317" s="239">
        <v>73.2</v>
      </c>
      <c r="I317" s="242">
        <v>33</v>
      </c>
      <c r="K317" s="10"/>
      <c r="L317" s="11"/>
    </row>
    <row r="318" spans="1:12">
      <c r="A318" s="238">
        <v>323111</v>
      </c>
      <c r="B318" s="239" t="s">
        <v>171</v>
      </c>
      <c r="C318" s="240">
        <v>2</v>
      </c>
      <c r="D318" s="241" t="s">
        <v>1037</v>
      </c>
      <c r="E318" s="241" t="s">
        <v>287</v>
      </c>
      <c r="F318" s="240">
        <v>75</v>
      </c>
      <c r="G318" s="240"/>
      <c r="H318" s="239">
        <v>73.2</v>
      </c>
      <c r="I318" s="242">
        <v>33</v>
      </c>
      <c r="K318" s="10"/>
      <c r="L318" s="11"/>
    </row>
    <row r="319" spans="1:12">
      <c r="A319" s="238">
        <v>323113</v>
      </c>
      <c r="B319" s="239" t="s">
        <v>170</v>
      </c>
      <c r="C319" s="240">
        <v>2</v>
      </c>
      <c r="D319" s="241" t="s">
        <v>1037</v>
      </c>
      <c r="E319" s="241" t="s">
        <v>287</v>
      </c>
      <c r="F319" s="240">
        <v>75</v>
      </c>
      <c r="G319" s="240"/>
      <c r="H319" s="239">
        <v>73.2</v>
      </c>
      <c r="I319" s="242">
        <v>33</v>
      </c>
      <c r="K319" s="10"/>
      <c r="L319" s="11"/>
    </row>
    <row r="320" spans="1:12">
      <c r="A320" s="238">
        <v>322559</v>
      </c>
      <c r="B320" s="239" t="s">
        <v>419</v>
      </c>
      <c r="C320" s="240">
        <v>2</v>
      </c>
      <c r="D320" s="241" t="s">
        <v>1037</v>
      </c>
      <c r="E320" s="241" t="s">
        <v>287</v>
      </c>
      <c r="F320" s="240">
        <v>74.2</v>
      </c>
      <c r="G320" s="240"/>
      <c r="H320" s="239">
        <v>73.39</v>
      </c>
      <c r="I320" s="242">
        <v>31.94</v>
      </c>
      <c r="K320" s="10"/>
      <c r="L320" s="11"/>
    </row>
    <row r="321" spans="1:12">
      <c r="A321" s="238">
        <v>325952</v>
      </c>
      <c r="B321" s="239" t="s">
        <v>206</v>
      </c>
      <c r="C321" s="240">
        <v>2</v>
      </c>
      <c r="D321" s="241" t="s">
        <v>1037</v>
      </c>
      <c r="E321" s="241" t="s">
        <v>287</v>
      </c>
      <c r="F321" s="240">
        <v>75.2</v>
      </c>
      <c r="G321" s="240"/>
      <c r="H321" s="239">
        <v>73.2</v>
      </c>
      <c r="I321" s="242">
        <v>31.94</v>
      </c>
      <c r="K321" s="10"/>
      <c r="L321" s="11"/>
    </row>
    <row r="322" spans="1:12">
      <c r="A322" s="238">
        <v>323107</v>
      </c>
      <c r="B322" s="239" t="s">
        <v>169</v>
      </c>
      <c r="C322" s="240">
        <v>2</v>
      </c>
      <c r="D322" s="241" t="s">
        <v>1037</v>
      </c>
      <c r="E322" s="241" t="s">
        <v>287</v>
      </c>
      <c r="F322" s="240">
        <v>75</v>
      </c>
      <c r="G322" s="240"/>
      <c r="H322" s="239">
        <v>75</v>
      </c>
      <c r="I322" s="242">
        <v>31.94</v>
      </c>
      <c r="K322" s="10"/>
      <c r="L322" s="11"/>
    </row>
    <row r="323" spans="1:12">
      <c r="A323" s="238">
        <v>323106</v>
      </c>
      <c r="B323" s="239" t="s">
        <v>457</v>
      </c>
      <c r="C323" s="240">
        <v>2</v>
      </c>
      <c r="D323" s="241" t="s">
        <v>1037</v>
      </c>
      <c r="E323" s="241" t="s">
        <v>287</v>
      </c>
      <c r="F323" s="240">
        <v>75</v>
      </c>
      <c r="G323" s="240"/>
      <c r="H323" s="239">
        <f>F323</f>
        <v>75</v>
      </c>
      <c r="I323" s="242">
        <v>31.94</v>
      </c>
      <c r="K323" s="10"/>
      <c r="L323" s="11"/>
    </row>
    <row r="324" spans="1:12">
      <c r="A324" s="238">
        <v>322538</v>
      </c>
      <c r="B324" s="239" t="s">
        <v>414</v>
      </c>
      <c r="C324" s="240">
        <v>2</v>
      </c>
      <c r="D324" s="241" t="s">
        <v>1037</v>
      </c>
      <c r="E324" s="241" t="s">
        <v>287</v>
      </c>
      <c r="F324" s="240">
        <v>75</v>
      </c>
      <c r="G324" s="240"/>
      <c r="H324" s="239">
        <f>F324</f>
        <v>75</v>
      </c>
      <c r="I324" s="242">
        <v>31.94</v>
      </c>
      <c r="K324" s="10"/>
      <c r="L324" s="11"/>
    </row>
    <row r="325" spans="1:12">
      <c r="A325" s="238">
        <v>322550</v>
      </c>
      <c r="B325" s="239" t="s">
        <v>168</v>
      </c>
      <c r="C325" s="240">
        <v>2</v>
      </c>
      <c r="D325" s="241" t="s">
        <v>1037</v>
      </c>
      <c r="E325" s="241" t="s">
        <v>287</v>
      </c>
      <c r="F325" s="240">
        <v>74</v>
      </c>
      <c r="G325" s="240"/>
      <c r="H325" s="239">
        <f>F325</f>
        <v>74</v>
      </c>
      <c r="I325" s="242">
        <v>30</v>
      </c>
      <c r="K325" s="10"/>
      <c r="L325" s="11"/>
    </row>
    <row r="326" spans="1:12">
      <c r="A326" s="238">
        <v>324218</v>
      </c>
      <c r="B326" s="239" t="s">
        <v>479</v>
      </c>
      <c r="C326" s="240">
        <v>4</v>
      </c>
      <c r="D326" s="241" t="s">
        <v>1037</v>
      </c>
      <c r="E326" s="241" t="s">
        <v>287</v>
      </c>
      <c r="F326" s="240">
        <v>77</v>
      </c>
      <c r="G326" s="240"/>
      <c r="H326" s="239">
        <v>11</v>
      </c>
      <c r="I326" s="242">
        <v>42.4</v>
      </c>
      <c r="K326" s="10"/>
      <c r="L326" s="11"/>
    </row>
    <row r="327" spans="1:12">
      <c r="A327" s="238">
        <v>435444</v>
      </c>
      <c r="B327" s="239" t="s">
        <v>596</v>
      </c>
      <c r="C327" s="240">
        <v>4</v>
      </c>
      <c r="D327" s="241" t="s">
        <v>1037</v>
      </c>
      <c r="E327" s="241" t="s">
        <v>287</v>
      </c>
      <c r="F327" s="240">
        <v>11</v>
      </c>
      <c r="G327" s="240"/>
      <c r="H327" s="239">
        <v>18.399999999999999</v>
      </c>
      <c r="I327" s="242">
        <v>15.44</v>
      </c>
      <c r="K327" s="10"/>
      <c r="L327" s="11"/>
    </row>
    <row r="328" spans="1:12">
      <c r="A328" s="238">
        <v>586276</v>
      </c>
      <c r="B328" s="239" t="s">
        <v>1109</v>
      </c>
      <c r="C328" s="240">
        <v>6</v>
      </c>
      <c r="D328" s="241" t="s">
        <v>1037</v>
      </c>
      <c r="E328" s="241" t="s">
        <v>315</v>
      </c>
      <c r="F328" s="240">
        <v>12.3</v>
      </c>
      <c r="G328" s="240">
        <v>12.3</v>
      </c>
      <c r="H328" s="239">
        <v>12.3</v>
      </c>
      <c r="I328" s="242">
        <v>26</v>
      </c>
      <c r="K328" s="10"/>
      <c r="L328" s="11"/>
    </row>
    <row r="329" spans="1:12">
      <c r="A329" s="238">
        <v>666344</v>
      </c>
      <c r="B329" s="239" t="s">
        <v>1338</v>
      </c>
      <c r="C329" s="240">
        <v>6</v>
      </c>
      <c r="D329" s="241" t="s">
        <v>1037</v>
      </c>
      <c r="E329" s="241" t="s">
        <v>1353</v>
      </c>
      <c r="F329" s="240">
        <v>12.3</v>
      </c>
      <c r="G329" s="240">
        <v>12.3</v>
      </c>
      <c r="H329" s="239">
        <v>12.3</v>
      </c>
      <c r="I329" s="242">
        <v>26</v>
      </c>
      <c r="K329" s="10"/>
      <c r="L329" s="11"/>
    </row>
    <row r="330" spans="1:12">
      <c r="A330" s="238">
        <v>626988</v>
      </c>
      <c r="B330" s="239" t="s">
        <v>1285</v>
      </c>
      <c r="C330" s="240">
        <v>6</v>
      </c>
      <c r="D330" s="241" t="s">
        <v>1037</v>
      </c>
      <c r="E330" s="241" t="s">
        <v>315</v>
      </c>
      <c r="F330" s="240">
        <v>12.3</v>
      </c>
      <c r="G330" s="240">
        <v>12.3</v>
      </c>
      <c r="H330" s="239">
        <v>12.3</v>
      </c>
      <c r="I330" s="242">
        <v>26</v>
      </c>
      <c r="K330" s="10"/>
      <c r="L330" s="11"/>
    </row>
    <row r="331" spans="1:12">
      <c r="A331" s="238">
        <v>558028</v>
      </c>
      <c r="B331" s="239" t="s">
        <v>1045</v>
      </c>
      <c r="C331" s="240">
        <v>6</v>
      </c>
      <c r="D331" s="241" t="s">
        <v>1037</v>
      </c>
      <c r="E331" s="241" t="s">
        <v>315</v>
      </c>
      <c r="F331" s="240">
        <v>12.3</v>
      </c>
      <c r="G331" s="240"/>
      <c r="H331" s="239">
        <v>12.35</v>
      </c>
      <c r="I331" s="242">
        <v>17.52</v>
      </c>
      <c r="K331" s="10"/>
      <c r="L331" s="11"/>
    </row>
    <row r="332" spans="1:12">
      <c r="A332" s="238">
        <v>584554</v>
      </c>
      <c r="B332" s="239" t="s">
        <v>1110</v>
      </c>
      <c r="C332" s="240">
        <v>7</v>
      </c>
      <c r="D332" s="241" t="s">
        <v>1037</v>
      </c>
      <c r="E332" s="241" t="s">
        <v>315</v>
      </c>
      <c r="F332" s="240">
        <v>17.399999999999999</v>
      </c>
      <c r="G332" s="240"/>
      <c r="H332" s="239">
        <f>F332</f>
        <v>17.399999999999999</v>
      </c>
      <c r="I332" s="242">
        <v>17.010000000000002</v>
      </c>
      <c r="K332" s="10"/>
      <c r="L332" s="11"/>
    </row>
    <row r="333" spans="1:12">
      <c r="A333" s="238">
        <v>325511</v>
      </c>
      <c r="B333" s="239" t="s">
        <v>279</v>
      </c>
      <c r="C333" s="240">
        <v>4</v>
      </c>
      <c r="D333" s="241" t="s">
        <v>1037</v>
      </c>
      <c r="E333" s="241" t="s">
        <v>287</v>
      </c>
      <c r="F333" s="240">
        <v>18.350000000000001</v>
      </c>
      <c r="G333" s="240"/>
      <c r="H333" s="239">
        <v>18.350000000000001</v>
      </c>
      <c r="I333" s="242">
        <v>18.96</v>
      </c>
      <c r="K333" s="10"/>
      <c r="L333" s="11"/>
    </row>
    <row r="334" spans="1:12">
      <c r="A334" s="238">
        <v>580324</v>
      </c>
      <c r="B334" s="239" t="s">
        <v>1035</v>
      </c>
      <c r="C334" s="240">
        <v>4</v>
      </c>
      <c r="D334" s="241" t="s">
        <v>1037</v>
      </c>
      <c r="E334" s="241" t="s">
        <v>287</v>
      </c>
      <c r="F334" s="240">
        <v>11.3</v>
      </c>
      <c r="G334" s="240"/>
      <c r="H334" s="239">
        <f>F334</f>
        <v>11.3</v>
      </c>
      <c r="I334" s="242">
        <v>19.239999999999998</v>
      </c>
      <c r="K334" s="10"/>
      <c r="L334" s="11"/>
    </row>
    <row r="335" spans="1:12">
      <c r="A335" s="238">
        <v>322379</v>
      </c>
      <c r="B335" s="239" t="s">
        <v>1035</v>
      </c>
      <c r="C335" s="240">
        <v>4</v>
      </c>
      <c r="D335" s="241" t="s">
        <v>1037</v>
      </c>
      <c r="E335" s="241" t="s">
        <v>287</v>
      </c>
      <c r="F335" s="240">
        <v>18.349999999999998</v>
      </c>
      <c r="G335" s="240"/>
      <c r="H335" s="239">
        <v>11.3</v>
      </c>
      <c r="I335" s="242">
        <v>19.239999999999998</v>
      </c>
      <c r="K335" s="10"/>
      <c r="L335" s="11"/>
    </row>
    <row r="336" spans="1:12">
      <c r="A336" s="238">
        <v>322382</v>
      </c>
      <c r="B336" s="239" t="s">
        <v>350</v>
      </c>
      <c r="C336" s="240">
        <v>4</v>
      </c>
      <c r="D336" s="241" t="s">
        <v>1037</v>
      </c>
      <c r="E336" s="241" t="s">
        <v>287</v>
      </c>
      <c r="F336" s="240">
        <v>11.3</v>
      </c>
      <c r="G336" s="240"/>
      <c r="H336" s="239">
        <v>18.8</v>
      </c>
      <c r="I336" s="242">
        <v>15.44</v>
      </c>
      <c r="K336" s="10"/>
      <c r="L336" s="11"/>
    </row>
    <row r="337" spans="1:12">
      <c r="A337" s="238">
        <v>549814</v>
      </c>
      <c r="B337" s="239" t="s">
        <v>987</v>
      </c>
      <c r="C337" s="240">
        <v>4</v>
      </c>
      <c r="D337" s="241" t="s">
        <v>1037</v>
      </c>
      <c r="E337" s="241" t="s">
        <v>287</v>
      </c>
      <c r="F337" s="240">
        <v>18.349999999999998</v>
      </c>
      <c r="G337" s="240"/>
      <c r="H337" s="239">
        <v>11.3</v>
      </c>
      <c r="I337" s="242">
        <v>19.239999999999998</v>
      </c>
      <c r="K337" s="10"/>
      <c r="L337" s="11"/>
    </row>
    <row r="338" spans="1:12">
      <c r="A338" s="238">
        <v>322380</v>
      </c>
      <c r="B338" s="239" t="s">
        <v>349</v>
      </c>
      <c r="C338" s="240">
        <v>4</v>
      </c>
      <c r="D338" s="241" t="s">
        <v>1037</v>
      </c>
      <c r="E338" s="241" t="s">
        <v>287</v>
      </c>
      <c r="F338" s="240">
        <v>11.3</v>
      </c>
      <c r="G338" s="240"/>
      <c r="H338" s="239">
        <f>F338</f>
        <v>11.3</v>
      </c>
      <c r="I338" s="242">
        <v>19.239999999999998</v>
      </c>
      <c r="K338" s="10"/>
      <c r="L338" s="11"/>
    </row>
    <row r="339" spans="1:12">
      <c r="A339" s="238">
        <v>322388</v>
      </c>
      <c r="B339" s="239" t="s">
        <v>353</v>
      </c>
      <c r="C339" s="240">
        <v>4</v>
      </c>
      <c r="D339" s="241" t="s">
        <v>1037</v>
      </c>
      <c r="E339" s="241" t="s">
        <v>287</v>
      </c>
      <c r="F339" s="240">
        <v>18.8</v>
      </c>
      <c r="G339" s="240"/>
      <c r="H339" s="239">
        <v>18.8</v>
      </c>
      <c r="I339" s="242">
        <v>20</v>
      </c>
      <c r="K339" s="10"/>
      <c r="L339" s="11"/>
    </row>
    <row r="340" spans="1:12">
      <c r="A340" s="238">
        <v>471417</v>
      </c>
      <c r="B340" s="239" t="s">
        <v>891</v>
      </c>
      <c r="C340" s="240">
        <v>7</v>
      </c>
      <c r="D340" s="241" t="s">
        <v>1037</v>
      </c>
      <c r="E340" s="241" t="s">
        <v>287</v>
      </c>
      <c r="F340" s="240">
        <v>18.8</v>
      </c>
      <c r="G340" s="240"/>
      <c r="H340" s="239">
        <v>18.8</v>
      </c>
      <c r="I340" s="242">
        <v>14.301000000000002</v>
      </c>
      <c r="K340" s="10"/>
      <c r="L340" s="11"/>
    </row>
    <row r="341" spans="1:12">
      <c r="A341" s="238">
        <v>494371</v>
      </c>
      <c r="B341" s="239" t="s">
        <v>937</v>
      </c>
      <c r="C341" s="240">
        <v>7</v>
      </c>
      <c r="D341" s="241" t="s">
        <v>1037</v>
      </c>
      <c r="E341" s="241" t="s">
        <v>287</v>
      </c>
      <c r="F341" s="240">
        <v>18.8</v>
      </c>
      <c r="G341" s="240"/>
      <c r="H341" s="239">
        <v>18.8</v>
      </c>
      <c r="I341" s="242">
        <v>15.049999999999999</v>
      </c>
      <c r="K341" s="10"/>
      <c r="L341" s="11"/>
    </row>
    <row r="342" spans="1:12">
      <c r="A342" s="238">
        <v>552181</v>
      </c>
      <c r="B342" s="239" t="s">
        <v>989</v>
      </c>
      <c r="C342" s="240">
        <v>6</v>
      </c>
      <c r="D342" s="241" t="s">
        <v>1037</v>
      </c>
      <c r="E342" s="241" t="s">
        <v>315</v>
      </c>
      <c r="F342" s="240">
        <v>14.7</v>
      </c>
      <c r="G342" s="240"/>
      <c r="H342" s="239">
        <v>14.7</v>
      </c>
      <c r="I342" s="242">
        <v>27</v>
      </c>
      <c r="K342" s="10"/>
      <c r="L342" s="11"/>
    </row>
    <row r="343" spans="1:12">
      <c r="A343" s="238">
        <v>666342</v>
      </c>
      <c r="B343" s="239" t="s">
        <v>1366</v>
      </c>
      <c r="C343" s="240">
        <v>6</v>
      </c>
      <c r="D343" s="241" t="s">
        <v>1037</v>
      </c>
      <c r="E343" s="241" t="s">
        <v>1353</v>
      </c>
      <c r="F343" s="240">
        <v>14.7</v>
      </c>
      <c r="G343" s="240"/>
      <c r="H343" s="239">
        <v>14.7</v>
      </c>
      <c r="I343" s="242">
        <v>27</v>
      </c>
      <c r="K343" s="10"/>
      <c r="L343" s="11"/>
    </row>
    <row r="344" spans="1:12">
      <c r="A344" s="238">
        <v>550076</v>
      </c>
      <c r="B344" s="239" t="s">
        <v>1284</v>
      </c>
      <c r="C344" s="240">
        <v>6</v>
      </c>
      <c r="D344" s="241" t="s">
        <v>1037</v>
      </c>
      <c r="E344" s="241" t="s">
        <v>315</v>
      </c>
      <c r="F344" s="240">
        <v>14.7</v>
      </c>
      <c r="G344" s="240"/>
      <c r="H344" s="239">
        <v>14.7</v>
      </c>
      <c r="I344" s="242">
        <v>22.5</v>
      </c>
      <c r="K344" s="10"/>
      <c r="L344" s="11"/>
    </row>
    <row r="345" spans="1:12">
      <c r="A345" s="238">
        <v>596313</v>
      </c>
      <c r="B345" s="239" t="s">
        <v>1166</v>
      </c>
      <c r="C345" s="240">
        <v>4</v>
      </c>
      <c r="D345" s="241" t="s">
        <v>1037</v>
      </c>
      <c r="E345" s="241" t="s">
        <v>287</v>
      </c>
      <c r="F345" s="240">
        <v>15</v>
      </c>
      <c r="G345" s="240"/>
      <c r="H345" s="239">
        <v>15</v>
      </c>
      <c r="I345" s="242">
        <v>20.8</v>
      </c>
      <c r="K345" s="10"/>
      <c r="L345" s="11"/>
    </row>
    <row r="346" spans="1:12">
      <c r="A346" s="238">
        <v>466923</v>
      </c>
      <c r="B346" s="239" t="s">
        <v>886</v>
      </c>
      <c r="C346" s="240">
        <v>4</v>
      </c>
      <c r="D346" s="241" t="s">
        <v>1037</v>
      </c>
      <c r="E346" s="241" t="s">
        <v>287</v>
      </c>
      <c r="F346" s="240">
        <v>19</v>
      </c>
      <c r="G346" s="240"/>
      <c r="H346" s="239">
        <v>18.899999999999999</v>
      </c>
      <c r="I346" s="242">
        <v>20.8</v>
      </c>
      <c r="K346" s="10"/>
      <c r="L346" s="11"/>
    </row>
    <row r="347" spans="1:12">
      <c r="A347" s="238">
        <v>324192</v>
      </c>
      <c r="B347" s="239" t="s">
        <v>167</v>
      </c>
      <c r="C347" s="240">
        <v>4</v>
      </c>
      <c r="D347" s="241" t="s">
        <v>1037</v>
      </c>
      <c r="E347" s="241" t="s">
        <v>287</v>
      </c>
      <c r="F347" s="240">
        <v>11.299999999999999</v>
      </c>
      <c r="G347" s="240"/>
      <c r="H347" s="239">
        <f>F347</f>
        <v>11.299999999999999</v>
      </c>
      <c r="I347" s="242">
        <v>16</v>
      </c>
      <c r="K347" s="10"/>
      <c r="L347" s="11"/>
    </row>
    <row r="348" spans="1:12">
      <c r="A348" s="238">
        <v>322400</v>
      </c>
      <c r="B348" s="239" t="s">
        <v>357</v>
      </c>
      <c r="C348" s="240">
        <v>4</v>
      </c>
      <c r="D348" s="241" t="s">
        <v>1037</v>
      </c>
      <c r="E348" s="241" t="s">
        <v>287</v>
      </c>
      <c r="F348" s="240">
        <v>19</v>
      </c>
      <c r="G348" s="240"/>
      <c r="H348" s="239">
        <v>18.600000000000001</v>
      </c>
      <c r="I348" s="242">
        <v>16</v>
      </c>
      <c r="K348" s="10"/>
      <c r="L348" s="11"/>
    </row>
    <row r="349" spans="1:12">
      <c r="A349" s="238">
        <v>324193</v>
      </c>
      <c r="B349" s="239" t="s">
        <v>471</v>
      </c>
      <c r="C349" s="240">
        <v>4</v>
      </c>
      <c r="D349" s="241" t="s">
        <v>1037</v>
      </c>
      <c r="E349" s="241" t="s">
        <v>287</v>
      </c>
      <c r="F349" s="240">
        <v>11.3</v>
      </c>
      <c r="G349" s="240"/>
      <c r="H349" s="239">
        <f>F349</f>
        <v>11.3</v>
      </c>
      <c r="I349" s="242">
        <v>16</v>
      </c>
      <c r="K349" s="10"/>
      <c r="L349" s="11"/>
    </row>
    <row r="350" spans="1:12">
      <c r="A350" s="238">
        <v>324195</v>
      </c>
      <c r="B350" s="239" t="s">
        <v>472</v>
      </c>
      <c r="C350" s="240">
        <v>4</v>
      </c>
      <c r="D350" s="241" t="s">
        <v>1037</v>
      </c>
      <c r="E350" s="241" t="s">
        <v>287</v>
      </c>
      <c r="F350" s="240">
        <v>19</v>
      </c>
      <c r="G350" s="240"/>
      <c r="H350" s="239">
        <v>18.5</v>
      </c>
      <c r="I350" s="242">
        <v>16</v>
      </c>
      <c r="K350" s="10"/>
      <c r="L350" s="11"/>
    </row>
    <row r="351" spans="1:12">
      <c r="A351" s="238">
        <v>324197</v>
      </c>
      <c r="B351" s="239" t="s">
        <v>473</v>
      </c>
      <c r="C351" s="240">
        <v>4</v>
      </c>
      <c r="D351" s="241" t="s">
        <v>1037</v>
      </c>
      <c r="E351" s="241" t="s">
        <v>287</v>
      </c>
      <c r="F351" s="240">
        <v>11.3</v>
      </c>
      <c r="G351" s="240"/>
      <c r="H351" s="239">
        <v>18.84</v>
      </c>
      <c r="I351" s="242">
        <v>16</v>
      </c>
      <c r="K351" s="10"/>
      <c r="L351" s="11"/>
    </row>
    <row r="352" spans="1:12">
      <c r="A352" s="238">
        <v>502963</v>
      </c>
      <c r="B352" s="239" t="s">
        <v>939</v>
      </c>
      <c r="C352" s="240">
        <v>4</v>
      </c>
      <c r="D352" s="241" t="s">
        <v>1037</v>
      </c>
      <c r="E352" s="241" t="s">
        <v>287</v>
      </c>
      <c r="F352" s="240">
        <v>18.5</v>
      </c>
      <c r="G352" s="240"/>
      <c r="H352" s="239">
        <v>18.8</v>
      </c>
      <c r="I352" s="242">
        <v>20.36</v>
      </c>
      <c r="K352" s="10"/>
      <c r="L352" s="11"/>
    </row>
    <row r="353" spans="1:12">
      <c r="A353" s="238">
        <v>596313</v>
      </c>
      <c r="B353" s="239" t="s">
        <v>1164</v>
      </c>
      <c r="C353" s="240">
        <v>4</v>
      </c>
      <c r="D353" s="241" t="s">
        <v>1037</v>
      </c>
      <c r="E353" s="241" t="s">
        <v>287</v>
      </c>
      <c r="F353" s="240"/>
      <c r="G353" s="240"/>
      <c r="H353" s="239"/>
      <c r="I353" s="242">
        <v>20.36</v>
      </c>
      <c r="K353" s="10"/>
      <c r="L353" s="11"/>
    </row>
    <row r="354" spans="1:12">
      <c r="A354" s="238">
        <v>388549</v>
      </c>
      <c r="B354" s="239" t="s">
        <v>282</v>
      </c>
      <c r="C354" s="240">
        <v>4</v>
      </c>
      <c r="D354" s="241" t="s">
        <v>1037</v>
      </c>
      <c r="E354" s="241" t="s">
        <v>287</v>
      </c>
      <c r="F354" s="240">
        <v>19</v>
      </c>
      <c r="G354" s="240"/>
      <c r="H354" s="239">
        <v>19</v>
      </c>
      <c r="I354" s="242">
        <v>16.128</v>
      </c>
      <c r="K354" s="10"/>
      <c r="L354" s="11"/>
    </row>
    <row r="355" spans="1:12">
      <c r="A355" s="238">
        <v>322399</v>
      </c>
      <c r="B355" s="239" t="s">
        <v>262</v>
      </c>
      <c r="C355" s="240">
        <v>4</v>
      </c>
      <c r="D355" s="241" t="s">
        <v>1037</v>
      </c>
      <c r="E355" s="241" t="s">
        <v>287</v>
      </c>
      <c r="F355" s="240">
        <v>19</v>
      </c>
      <c r="G355" s="240"/>
      <c r="H355" s="239">
        <v>23</v>
      </c>
      <c r="I355" s="242">
        <v>20</v>
      </c>
      <c r="K355" s="10"/>
      <c r="L355" s="11"/>
    </row>
    <row r="356" spans="1:12">
      <c r="A356" s="238">
        <v>543590</v>
      </c>
      <c r="B356" s="239" t="s">
        <v>975</v>
      </c>
      <c r="C356" s="240">
        <v>4</v>
      </c>
      <c r="D356" s="241" t="s">
        <v>1037</v>
      </c>
      <c r="E356" s="241" t="s">
        <v>287</v>
      </c>
      <c r="F356" s="240">
        <v>19</v>
      </c>
      <c r="G356" s="240"/>
      <c r="H356" s="239">
        <v>19</v>
      </c>
      <c r="I356" s="242">
        <v>18.72</v>
      </c>
      <c r="K356" s="10"/>
      <c r="L356" s="11"/>
    </row>
    <row r="357" spans="1:12">
      <c r="A357" s="238">
        <v>597024</v>
      </c>
      <c r="B357" s="239" t="s">
        <v>1167</v>
      </c>
      <c r="C357" s="240">
        <v>4</v>
      </c>
      <c r="D357" s="241" t="s">
        <v>1037</v>
      </c>
      <c r="E357" s="241" t="s">
        <v>287</v>
      </c>
      <c r="F357" s="240">
        <v>19</v>
      </c>
      <c r="G357" s="240"/>
      <c r="H357" s="239">
        <v>19</v>
      </c>
      <c r="I357" s="242">
        <v>20.76</v>
      </c>
      <c r="K357" s="10"/>
      <c r="L357" s="11"/>
    </row>
    <row r="358" spans="1:12">
      <c r="A358" s="238">
        <v>414439</v>
      </c>
      <c r="B358" s="239" t="s">
        <v>573</v>
      </c>
      <c r="C358" s="240">
        <v>6</v>
      </c>
      <c r="D358" s="241" t="s">
        <v>1037</v>
      </c>
      <c r="E358" s="241" t="s">
        <v>287</v>
      </c>
      <c r="F358" s="240">
        <v>15</v>
      </c>
      <c r="G358" s="240"/>
      <c r="H358" s="239">
        <v>23</v>
      </c>
      <c r="I358" s="242">
        <v>15</v>
      </c>
      <c r="K358" s="10"/>
      <c r="L358" s="11"/>
    </row>
    <row r="359" spans="1:12">
      <c r="A359" s="238">
        <v>340460</v>
      </c>
      <c r="B359" s="239" t="s">
        <v>166</v>
      </c>
      <c r="C359" s="240">
        <v>4</v>
      </c>
      <c r="D359" s="241" t="s">
        <v>1037</v>
      </c>
      <c r="E359" s="241" t="s">
        <v>287</v>
      </c>
      <c r="F359" s="240">
        <v>15.05</v>
      </c>
      <c r="G359" s="240"/>
      <c r="H359" s="239">
        <v>15.05</v>
      </c>
      <c r="I359" s="242">
        <v>20</v>
      </c>
      <c r="K359" s="10"/>
      <c r="L359" s="11"/>
    </row>
    <row r="360" spans="1:12">
      <c r="A360" s="238">
        <v>330605</v>
      </c>
      <c r="B360" s="239" t="s">
        <v>492</v>
      </c>
      <c r="C360" s="240">
        <v>4</v>
      </c>
      <c r="D360" s="241" t="s">
        <v>1037</v>
      </c>
      <c r="E360" s="241" t="s">
        <v>287</v>
      </c>
      <c r="F360" s="240">
        <v>19.399999999999999</v>
      </c>
      <c r="G360" s="240"/>
      <c r="H360" s="239">
        <v>15</v>
      </c>
      <c r="I360" s="242">
        <v>20.52</v>
      </c>
      <c r="K360" s="10"/>
      <c r="L360" s="11"/>
    </row>
    <row r="361" spans="1:12">
      <c r="A361" s="238">
        <v>324190</v>
      </c>
      <c r="B361" s="239" t="s">
        <v>470</v>
      </c>
      <c r="C361" s="240">
        <v>4</v>
      </c>
      <c r="D361" s="241" t="s">
        <v>1037</v>
      </c>
      <c r="E361" s="241" t="s">
        <v>287</v>
      </c>
      <c r="F361" s="240">
        <v>15.5</v>
      </c>
      <c r="G361" s="240"/>
      <c r="H361" s="239">
        <v>15.5</v>
      </c>
      <c r="I361" s="242">
        <v>34.119999999999997</v>
      </c>
      <c r="K361" s="10"/>
      <c r="L361" s="11"/>
    </row>
    <row r="362" spans="1:12">
      <c r="A362" s="238">
        <v>326796</v>
      </c>
      <c r="B362" s="239" t="s">
        <v>207</v>
      </c>
      <c r="C362" s="240">
        <v>4</v>
      </c>
      <c r="D362" s="241" t="s">
        <v>1037</v>
      </c>
      <c r="E362" s="241" t="s">
        <v>287</v>
      </c>
      <c r="F362" s="240">
        <v>23</v>
      </c>
      <c r="G362" s="240"/>
      <c r="H362" s="239">
        <v>18.7</v>
      </c>
      <c r="I362" s="242">
        <v>19.68</v>
      </c>
      <c r="K362" s="10"/>
      <c r="L362" s="11"/>
    </row>
    <row r="363" spans="1:12">
      <c r="A363" s="238">
        <v>322406</v>
      </c>
      <c r="B363" s="239" t="s">
        <v>165</v>
      </c>
      <c r="C363" s="240">
        <v>4</v>
      </c>
      <c r="D363" s="241" t="s">
        <v>1037</v>
      </c>
      <c r="E363" s="241" t="s">
        <v>287</v>
      </c>
      <c r="F363" s="240">
        <v>23</v>
      </c>
      <c r="G363" s="240"/>
      <c r="H363" s="239">
        <v>18.7</v>
      </c>
      <c r="I363" s="242">
        <v>20</v>
      </c>
      <c r="K363" s="10"/>
      <c r="L363" s="11"/>
    </row>
    <row r="364" spans="1:12">
      <c r="A364" s="238">
        <v>324202</v>
      </c>
      <c r="B364" s="239" t="s">
        <v>164</v>
      </c>
      <c r="C364" s="240">
        <v>4</v>
      </c>
      <c r="D364" s="241" t="s">
        <v>1037</v>
      </c>
      <c r="E364" s="241" t="s">
        <v>287</v>
      </c>
      <c r="F364" s="240">
        <v>18.700000000000003</v>
      </c>
      <c r="G364" s="240"/>
      <c r="H364" s="239">
        <v>28</v>
      </c>
      <c r="I364" s="242">
        <v>20</v>
      </c>
      <c r="K364" s="10"/>
      <c r="L364" s="11"/>
    </row>
    <row r="365" spans="1:12">
      <c r="A365" s="238">
        <v>322407</v>
      </c>
      <c r="B365" s="239" t="s">
        <v>163</v>
      </c>
      <c r="C365" s="240">
        <v>4</v>
      </c>
      <c r="D365" s="241" t="s">
        <v>1037</v>
      </c>
      <c r="E365" s="241" t="s">
        <v>287</v>
      </c>
      <c r="F365" s="240">
        <v>18.7</v>
      </c>
      <c r="G365" s="240"/>
      <c r="H365" s="239">
        <v>26.66</v>
      </c>
      <c r="I365" s="242">
        <v>20</v>
      </c>
      <c r="K365" s="10"/>
      <c r="L365" s="11"/>
    </row>
    <row r="366" spans="1:12">
      <c r="A366" s="238">
        <v>486568</v>
      </c>
      <c r="B366" s="239" t="s">
        <v>913</v>
      </c>
      <c r="C366" s="240">
        <v>7</v>
      </c>
      <c r="D366" s="241" t="s">
        <v>1037</v>
      </c>
      <c r="E366" s="241" t="s">
        <v>287</v>
      </c>
      <c r="F366" s="240">
        <v>27.6</v>
      </c>
      <c r="G366" s="240"/>
      <c r="H366" s="239">
        <v>27.6</v>
      </c>
      <c r="I366" s="242">
        <v>19.004999999999999</v>
      </c>
      <c r="K366" s="10"/>
      <c r="L366" s="11"/>
    </row>
    <row r="367" spans="1:12">
      <c r="A367" s="238">
        <v>493995</v>
      </c>
      <c r="B367" s="239" t="s">
        <v>936</v>
      </c>
      <c r="C367" s="240">
        <v>7</v>
      </c>
      <c r="D367" s="241" t="s">
        <v>1037</v>
      </c>
      <c r="E367" s="241" t="s">
        <v>287</v>
      </c>
      <c r="F367" s="240">
        <v>27</v>
      </c>
      <c r="G367" s="240"/>
      <c r="H367" s="239">
        <v>27.2</v>
      </c>
      <c r="I367" s="242">
        <v>23.099999999999998</v>
      </c>
      <c r="K367" s="10"/>
      <c r="L367" s="11"/>
    </row>
    <row r="368" spans="1:12">
      <c r="A368" s="238">
        <v>558106</v>
      </c>
      <c r="B368" s="239" t="s">
        <v>1123</v>
      </c>
      <c r="C368" s="240">
        <v>6</v>
      </c>
      <c r="D368" s="241" t="s">
        <v>1037</v>
      </c>
      <c r="E368" s="241" t="s">
        <v>315</v>
      </c>
      <c r="F368" s="240">
        <v>28</v>
      </c>
      <c r="G368" s="240"/>
      <c r="H368" s="239">
        <v>26</v>
      </c>
      <c r="I368" s="242">
        <v>42</v>
      </c>
      <c r="K368" s="10"/>
      <c r="L368" s="11"/>
    </row>
    <row r="369" spans="1:12">
      <c r="A369" s="238">
        <v>555979</v>
      </c>
      <c r="B369" s="239" t="s">
        <v>1000</v>
      </c>
      <c r="C369" s="240">
        <v>6</v>
      </c>
      <c r="D369" s="241" t="s">
        <v>1037</v>
      </c>
      <c r="E369" s="241" t="s">
        <v>315</v>
      </c>
      <c r="F369" s="240">
        <v>28</v>
      </c>
      <c r="G369" s="240"/>
      <c r="H369" s="239">
        <v>28</v>
      </c>
      <c r="I369" s="242">
        <v>42</v>
      </c>
      <c r="K369" s="10"/>
      <c r="L369" s="12"/>
    </row>
    <row r="370" spans="1:12">
      <c r="A370" s="238">
        <v>666343</v>
      </c>
      <c r="B370" s="239" t="s">
        <v>1354</v>
      </c>
      <c r="C370" s="240">
        <v>6</v>
      </c>
      <c r="D370" s="241" t="s">
        <v>1037</v>
      </c>
      <c r="E370" s="241" t="s">
        <v>1353</v>
      </c>
      <c r="F370" s="240">
        <v>28</v>
      </c>
      <c r="G370" s="240"/>
      <c r="H370" s="239">
        <v>28</v>
      </c>
      <c r="I370" s="242">
        <v>42</v>
      </c>
      <c r="K370" s="10"/>
      <c r="L370" s="12"/>
    </row>
    <row r="371" spans="1:12">
      <c r="A371" s="238">
        <v>550077</v>
      </c>
      <c r="B371" s="239" t="s">
        <v>1204</v>
      </c>
      <c r="C371" s="240">
        <v>6</v>
      </c>
      <c r="D371" s="241" t="s">
        <v>1037</v>
      </c>
      <c r="E371" s="241" t="s">
        <v>315</v>
      </c>
      <c r="F371" s="240">
        <v>28</v>
      </c>
      <c r="G371" s="240"/>
      <c r="H371" s="239">
        <f>F371</f>
        <v>28</v>
      </c>
      <c r="I371" s="242">
        <v>42</v>
      </c>
      <c r="K371" s="10"/>
      <c r="L371" s="11"/>
    </row>
    <row r="372" spans="1:12">
      <c r="A372" s="238">
        <v>416201</v>
      </c>
      <c r="B372" s="239" t="s">
        <v>577</v>
      </c>
      <c r="C372" s="240">
        <v>4</v>
      </c>
      <c r="D372" s="241" t="s">
        <v>1037</v>
      </c>
      <c r="E372" s="241" t="s">
        <v>287</v>
      </c>
      <c r="F372" s="240">
        <v>30</v>
      </c>
      <c r="G372" s="240"/>
      <c r="H372" s="239">
        <v>20</v>
      </c>
      <c r="I372" s="242">
        <v>38.64</v>
      </c>
      <c r="K372" s="10"/>
      <c r="L372" s="11"/>
    </row>
    <row r="373" spans="1:12">
      <c r="A373" s="238">
        <v>322413</v>
      </c>
      <c r="B373" s="239" t="s">
        <v>362</v>
      </c>
      <c r="C373" s="240">
        <v>4</v>
      </c>
      <c r="D373" s="241" t="s">
        <v>1037</v>
      </c>
      <c r="E373" s="241" t="s">
        <v>287</v>
      </c>
      <c r="F373" s="240">
        <v>22.8</v>
      </c>
      <c r="G373" s="240"/>
      <c r="H373" s="239">
        <v>23</v>
      </c>
      <c r="I373" s="242">
        <v>25.84</v>
      </c>
      <c r="K373" s="10"/>
      <c r="L373" s="11"/>
    </row>
    <row r="374" spans="1:12">
      <c r="A374" s="238">
        <v>529003</v>
      </c>
      <c r="B374" s="239" t="s">
        <v>961</v>
      </c>
      <c r="C374" s="240">
        <v>4</v>
      </c>
      <c r="D374" s="241" t="s">
        <v>1037</v>
      </c>
      <c r="E374" s="241" t="s">
        <v>287</v>
      </c>
      <c r="F374" s="240">
        <v>19</v>
      </c>
      <c r="G374" s="240"/>
      <c r="H374" s="239">
        <v>18.899999999999999</v>
      </c>
      <c r="I374" s="242">
        <v>21</v>
      </c>
      <c r="K374" s="10"/>
      <c r="L374" s="11"/>
    </row>
    <row r="375" spans="1:12">
      <c r="A375" s="238">
        <v>607338</v>
      </c>
      <c r="B375" s="239" t="s">
        <v>1225</v>
      </c>
      <c r="C375" s="240">
        <v>4</v>
      </c>
      <c r="D375" s="241" t="s">
        <v>1037</v>
      </c>
      <c r="E375" s="241" t="s">
        <v>287</v>
      </c>
      <c r="F375" s="240">
        <v>23</v>
      </c>
      <c r="G375" s="240"/>
      <c r="H375" s="239">
        <v>23</v>
      </c>
      <c r="I375" s="242">
        <v>21</v>
      </c>
      <c r="K375" s="10"/>
      <c r="L375" s="11"/>
    </row>
    <row r="376" spans="1:12">
      <c r="A376" s="238">
        <v>463202</v>
      </c>
      <c r="B376" s="239" t="s">
        <v>881</v>
      </c>
      <c r="C376" s="240">
        <v>4</v>
      </c>
      <c r="D376" s="241" t="s">
        <v>1037</v>
      </c>
      <c r="E376" s="241" t="s">
        <v>287</v>
      </c>
      <c r="F376" s="240">
        <v>23</v>
      </c>
      <c r="G376" s="240"/>
      <c r="H376" s="239">
        <v>23</v>
      </c>
      <c r="I376" s="242">
        <v>22.92</v>
      </c>
      <c r="K376" s="10"/>
      <c r="L376" s="11"/>
    </row>
    <row r="377" spans="1:12">
      <c r="A377" s="238">
        <v>342607</v>
      </c>
      <c r="B377" s="239" t="s">
        <v>162</v>
      </c>
      <c r="C377" s="240">
        <v>4</v>
      </c>
      <c r="D377" s="241" t="s">
        <v>1037</v>
      </c>
      <c r="E377" s="241" t="s">
        <v>287</v>
      </c>
      <c r="F377" s="240">
        <v>18.900000000000002</v>
      </c>
      <c r="G377" s="240"/>
      <c r="H377" s="239">
        <v>24</v>
      </c>
      <c r="I377" s="242">
        <v>20.12</v>
      </c>
      <c r="K377" s="10"/>
      <c r="L377" s="11"/>
    </row>
    <row r="378" spans="1:12">
      <c r="A378" s="238">
        <v>324199</v>
      </c>
      <c r="B378" s="239" t="s">
        <v>161</v>
      </c>
      <c r="C378" s="240">
        <v>4</v>
      </c>
      <c r="D378" s="241" t="s">
        <v>1037</v>
      </c>
      <c r="E378" s="241" t="s">
        <v>287</v>
      </c>
      <c r="F378" s="240">
        <v>29.5</v>
      </c>
      <c r="G378" s="240"/>
      <c r="H378" s="239">
        <v>29.5</v>
      </c>
      <c r="I378" s="242">
        <v>19.32</v>
      </c>
      <c r="K378" s="10"/>
      <c r="L378" s="11"/>
    </row>
    <row r="379" spans="1:12">
      <c r="A379" s="245">
        <v>601939</v>
      </c>
      <c r="B379" s="239" t="s">
        <v>1182</v>
      </c>
      <c r="C379" s="240">
        <v>4</v>
      </c>
      <c r="D379" s="241" t="s">
        <v>1037</v>
      </c>
      <c r="E379" s="241" t="s">
        <v>287</v>
      </c>
      <c r="F379" s="240">
        <v>22</v>
      </c>
      <c r="G379" s="240"/>
      <c r="H379" s="239">
        <v>22</v>
      </c>
      <c r="I379" s="242">
        <v>19.32</v>
      </c>
      <c r="K379" s="10"/>
      <c r="L379" s="11"/>
    </row>
    <row r="380" spans="1:12">
      <c r="A380" s="238">
        <v>416868</v>
      </c>
      <c r="B380" s="239" t="s">
        <v>578</v>
      </c>
      <c r="C380" s="240">
        <v>4</v>
      </c>
      <c r="D380" s="241" t="s">
        <v>1037</v>
      </c>
      <c r="E380" s="241" t="s">
        <v>287</v>
      </c>
      <c r="F380" s="240">
        <v>24</v>
      </c>
      <c r="G380" s="240"/>
      <c r="H380" s="239">
        <v>29.5</v>
      </c>
      <c r="I380" s="242">
        <v>28.4</v>
      </c>
      <c r="K380" s="10"/>
      <c r="L380" s="11"/>
    </row>
    <row r="381" spans="1:12">
      <c r="A381" s="238">
        <v>324204</v>
      </c>
      <c r="B381" s="239" t="s">
        <v>474</v>
      </c>
      <c r="C381" s="240">
        <v>4</v>
      </c>
      <c r="D381" s="241" t="s">
        <v>1037</v>
      </c>
      <c r="E381" s="241" t="s">
        <v>287</v>
      </c>
      <c r="F381" s="240">
        <v>29.5</v>
      </c>
      <c r="G381" s="240"/>
      <c r="H381" s="239">
        <v>23.34</v>
      </c>
      <c r="I381" s="242">
        <v>19.32</v>
      </c>
      <c r="K381" s="10"/>
      <c r="L381" s="11"/>
    </row>
    <row r="382" spans="1:12">
      <c r="A382" s="238">
        <v>343762</v>
      </c>
      <c r="B382" s="239" t="s">
        <v>521</v>
      </c>
      <c r="C382" s="240">
        <v>4</v>
      </c>
      <c r="D382" s="241" t="s">
        <v>1037</v>
      </c>
      <c r="E382" s="241" t="s">
        <v>287</v>
      </c>
      <c r="F382" s="240">
        <v>29.5</v>
      </c>
      <c r="G382" s="240"/>
      <c r="H382" s="239">
        <v>23.06</v>
      </c>
      <c r="I382" s="242">
        <v>36.6</v>
      </c>
      <c r="K382" s="10"/>
      <c r="L382" s="11"/>
    </row>
    <row r="383" spans="1:12">
      <c r="A383" s="238">
        <v>322421</v>
      </c>
      <c r="B383" s="239" t="s">
        <v>366</v>
      </c>
      <c r="C383" s="240">
        <v>4</v>
      </c>
      <c r="D383" s="241" t="s">
        <v>1037</v>
      </c>
      <c r="E383" s="241" t="s">
        <v>287</v>
      </c>
      <c r="F383" s="240">
        <v>23</v>
      </c>
      <c r="G383" s="240"/>
      <c r="H383" s="239">
        <v>23</v>
      </c>
      <c r="I383" s="242">
        <v>31</v>
      </c>
      <c r="K383" s="10"/>
      <c r="L383" s="11"/>
    </row>
    <row r="384" spans="1:12">
      <c r="A384" s="238">
        <v>324179</v>
      </c>
      <c r="B384" s="239" t="s">
        <v>160</v>
      </c>
      <c r="C384" s="240">
        <v>4</v>
      </c>
      <c r="D384" s="241" t="s">
        <v>1037</v>
      </c>
      <c r="E384" s="241" t="s">
        <v>287</v>
      </c>
      <c r="F384" s="240">
        <v>23</v>
      </c>
      <c r="G384" s="240"/>
      <c r="H384" s="239">
        <v>23.6</v>
      </c>
      <c r="I384" s="242">
        <v>19.32</v>
      </c>
      <c r="K384" s="10"/>
      <c r="L384" s="12"/>
    </row>
    <row r="385" spans="1:12">
      <c r="A385" s="238">
        <v>442034</v>
      </c>
      <c r="B385" s="239" t="s">
        <v>605</v>
      </c>
      <c r="C385" s="240">
        <v>4</v>
      </c>
      <c r="D385" s="241" t="s">
        <v>1037</v>
      </c>
      <c r="E385" s="241" t="s">
        <v>287</v>
      </c>
      <c r="F385" s="240">
        <v>23</v>
      </c>
      <c r="G385" s="240"/>
      <c r="H385" s="239">
        <v>23</v>
      </c>
      <c r="I385" s="242">
        <v>22</v>
      </c>
      <c r="K385" s="10"/>
      <c r="L385" s="11"/>
    </row>
    <row r="386" spans="1:12">
      <c r="A386" s="238">
        <v>324163</v>
      </c>
      <c r="B386" s="239" t="s">
        <v>159</v>
      </c>
      <c r="C386" s="240">
        <v>4</v>
      </c>
      <c r="D386" s="241" t="s">
        <v>1037</v>
      </c>
      <c r="E386" s="241" t="s">
        <v>287</v>
      </c>
      <c r="F386" s="240">
        <v>23.5</v>
      </c>
      <c r="G386" s="240"/>
      <c r="H386" s="239">
        <v>24</v>
      </c>
      <c r="I386" s="242">
        <v>22.5</v>
      </c>
      <c r="K386" s="10"/>
      <c r="L386" s="11"/>
    </row>
    <row r="387" spans="1:12">
      <c r="A387" s="238">
        <v>322423</v>
      </c>
      <c r="B387" s="239" t="s">
        <v>158</v>
      </c>
      <c r="C387" s="240">
        <v>4</v>
      </c>
      <c r="D387" s="241" t="s">
        <v>1037</v>
      </c>
      <c r="E387" s="241" t="s">
        <v>287</v>
      </c>
      <c r="F387" s="240">
        <v>23</v>
      </c>
      <c r="G387" s="240"/>
      <c r="H387" s="239">
        <f>F387</f>
        <v>23</v>
      </c>
      <c r="I387" s="242">
        <v>21</v>
      </c>
      <c r="K387" s="10"/>
      <c r="L387" s="12"/>
    </row>
    <row r="388" spans="1:12">
      <c r="A388" s="238">
        <v>423213</v>
      </c>
      <c r="B388" s="239" t="s">
        <v>579</v>
      </c>
      <c r="C388" s="240">
        <v>4</v>
      </c>
      <c r="D388" s="241" t="s">
        <v>1037</v>
      </c>
      <c r="E388" s="241" t="s">
        <v>287</v>
      </c>
      <c r="F388" s="240">
        <v>23</v>
      </c>
      <c r="G388" s="240"/>
      <c r="H388" s="239">
        <v>23</v>
      </c>
      <c r="I388" s="242">
        <v>22.5</v>
      </c>
      <c r="K388" s="10"/>
      <c r="L388" s="11"/>
    </row>
    <row r="389" spans="1:12">
      <c r="A389" s="238">
        <v>544784</v>
      </c>
      <c r="B389" s="239" t="s">
        <v>978</v>
      </c>
      <c r="C389" s="240">
        <v>4</v>
      </c>
      <c r="D389" s="241" t="s">
        <v>1037</v>
      </c>
      <c r="E389" s="241" t="s">
        <v>287</v>
      </c>
      <c r="F389" s="240">
        <v>30</v>
      </c>
      <c r="G389" s="240"/>
      <c r="H389" s="239">
        <v>23</v>
      </c>
      <c r="I389" s="242">
        <v>31.4</v>
      </c>
      <c r="K389" s="10"/>
      <c r="L389" s="11"/>
    </row>
    <row r="390" spans="1:12">
      <c r="A390" s="238">
        <v>322999</v>
      </c>
      <c r="B390" s="239" t="s">
        <v>265</v>
      </c>
      <c r="C390" s="240">
        <v>4</v>
      </c>
      <c r="D390" s="241" t="s">
        <v>1037</v>
      </c>
      <c r="E390" s="241" t="s">
        <v>287</v>
      </c>
      <c r="F390" s="240">
        <v>23</v>
      </c>
      <c r="G390" s="240"/>
      <c r="H390" s="239">
        <v>23</v>
      </c>
      <c r="I390" s="242">
        <v>18</v>
      </c>
      <c r="K390" s="10"/>
      <c r="L390" s="12"/>
    </row>
    <row r="391" spans="1:12">
      <c r="A391" s="238">
        <v>323000</v>
      </c>
      <c r="B391" s="239" t="s">
        <v>157</v>
      </c>
      <c r="C391" s="240">
        <v>4</v>
      </c>
      <c r="D391" s="241" t="s">
        <v>1037</v>
      </c>
      <c r="E391" s="241" t="s">
        <v>287</v>
      </c>
      <c r="F391" s="240">
        <v>24</v>
      </c>
      <c r="G391" s="240"/>
      <c r="H391" s="239">
        <v>23</v>
      </c>
      <c r="I391" s="242">
        <v>36</v>
      </c>
      <c r="K391" s="10"/>
      <c r="L391" s="11"/>
    </row>
    <row r="392" spans="1:12">
      <c r="A392" s="238">
        <v>408094</v>
      </c>
      <c r="B392" s="239" t="s">
        <v>556</v>
      </c>
      <c r="C392" s="240">
        <v>4</v>
      </c>
      <c r="D392" s="241" t="s">
        <v>1037</v>
      </c>
      <c r="E392" s="241" t="s">
        <v>287</v>
      </c>
      <c r="F392" s="240">
        <v>23</v>
      </c>
      <c r="G392" s="240"/>
      <c r="H392" s="239">
        <v>30</v>
      </c>
      <c r="I392" s="242">
        <v>26</v>
      </c>
      <c r="K392" s="10"/>
      <c r="L392" s="12"/>
    </row>
    <row r="393" spans="1:12">
      <c r="A393" s="238">
        <v>324180</v>
      </c>
      <c r="B393" s="239" t="s">
        <v>156</v>
      </c>
      <c r="C393" s="240">
        <v>4</v>
      </c>
      <c r="D393" s="241" t="s">
        <v>1037</v>
      </c>
      <c r="E393" s="241" t="s">
        <v>287</v>
      </c>
      <c r="F393" s="240">
        <v>23.7</v>
      </c>
      <c r="G393" s="240"/>
      <c r="H393" s="239">
        <v>23</v>
      </c>
      <c r="I393" s="242">
        <v>19.32</v>
      </c>
      <c r="K393" s="10"/>
      <c r="L393" s="11"/>
    </row>
    <row r="394" spans="1:12">
      <c r="A394" s="238">
        <v>401602</v>
      </c>
      <c r="B394" s="239" t="s">
        <v>549</v>
      </c>
      <c r="C394" s="240">
        <v>4</v>
      </c>
      <c r="D394" s="241" t="s">
        <v>1037</v>
      </c>
      <c r="E394" s="241" t="s">
        <v>287</v>
      </c>
      <c r="F394" s="240">
        <v>30</v>
      </c>
      <c r="G394" s="240"/>
      <c r="H394" s="239">
        <v>30</v>
      </c>
      <c r="I394" s="242">
        <v>34</v>
      </c>
      <c r="K394" s="10"/>
      <c r="L394" s="12"/>
    </row>
    <row r="395" spans="1:12">
      <c r="A395" s="238">
        <v>322493</v>
      </c>
      <c r="B395" s="239" t="s">
        <v>394</v>
      </c>
      <c r="C395" s="240">
        <v>4</v>
      </c>
      <c r="D395" s="241" t="s">
        <v>1037</v>
      </c>
      <c r="E395" s="241" t="s">
        <v>287</v>
      </c>
      <c r="F395" s="240">
        <v>23</v>
      </c>
      <c r="G395" s="240"/>
      <c r="H395" s="239">
        <f>F395</f>
        <v>23</v>
      </c>
      <c r="I395" s="242">
        <v>22.5</v>
      </c>
      <c r="K395" s="10"/>
      <c r="L395" s="11"/>
    </row>
    <row r="396" spans="1:12">
      <c r="A396" s="238">
        <v>409008</v>
      </c>
      <c r="B396" s="239" t="s">
        <v>558</v>
      </c>
      <c r="C396" s="240">
        <v>4</v>
      </c>
      <c r="D396" s="241" t="s">
        <v>1037</v>
      </c>
      <c r="E396" s="241" t="s">
        <v>287</v>
      </c>
      <c r="F396" s="240">
        <v>23</v>
      </c>
      <c r="G396" s="240"/>
      <c r="H396" s="239">
        <v>24.3</v>
      </c>
      <c r="I396" s="242">
        <v>23</v>
      </c>
      <c r="K396" s="10"/>
      <c r="L396" s="12"/>
    </row>
    <row r="397" spans="1:12">
      <c r="A397" s="238">
        <v>407207</v>
      </c>
      <c r="B397" s="239" t="s">
        <v>555</v>
      </c>
      <c r="C397" s="240">
        <v>4</v>
      </c>
      <c r="D397" s="241" t="s">
        <v>1037</v>
      </c>
      <c r="E397" s="241" t="s">
        <v>287</v>
      </c>
      <c r="F397" s="240">
        <v>23</v>
      </c>
      <c r="G397" s="240"/>
      <c r="H397" s="239">
        <f>F397</f>
        <v>23</v>
      </c>
      <c r="I397" s="242">
        <v>24</v>
      </c>
      <c r="K397" s="10"/>
      <c r="L397" s="11"/>
    </row>
    <row r="398" spans="1:12">
      <c r="A398" s="238">
        <v>322428</v>
      </c>
      <c r="B398" s="239" t="s">
        <v>155</v>
      </c>
      <c r="C398" s="240">
        <v>4</v>
      </c>
      <c r="D398" s="241" t="s">
        <v>1037</v>
      </c>
      <c r="E398" s="241" t="s">
        <v>287</v>
      </c>
      <c r="F398" s="240">
        <v>23</v>
      </c>
      <c r="G398" s="240"/>
      <c r="H398" s="239">
        <f>F398</f>
        <v>23</v>
      </c>
      <c r="I398" s="242">
        <v>18</v>
      </c>
      <c r="K398" s="10"/>
      <c r="L398" s="11"/>
    </row>
    <row r="399" spans="1:12">
      <c r="A399" s="238">
        <v>362356</v>
      </c>
      <c r="B399" s="239" t="s">
        <v>531</v>
      </c>
      <c r="C399" s="240">
        <v>4</v>
      </c>
      <c r="D399" s="241" t="s">
        <v>1037</v>
      </c>
      <c r="E399" s="241" t="s">
        <v>287</v>
      </c>
      <c r="F399" s="240">
        <v>36</v>
      </c>
      <c r="G399" s="240"/>
      <c r="H399" s="239">
        <v>30</v>
      </c>
      <c r="I399" s="242">
        <v>35</v>
      </c>
      <c r="K399" s="10"/>
      <c r="L399" s="11"/>
    </row>
    <row r="400" spans="1:12">
      <c r="A400" s="238">
        <v>326797</v>
      </c>
      <c r="B400" s="239" t="s">
        <v>487</v>
      </c>
      <c r="C400" s="240">
        <v>4</v>
      </c>
      <c r="D400" s="241" t="s">
        <v>1037</v>
      </c>
      <c r="E400" s="241" t="s">
        <v>287</v>
      </c>
      <c r="F400" s="240">
        <v>30.5</v>
      </c>
      <c r="G400" s="240"/>
      <c r="H400" s="239">
        <v>23.87</v>
      </c>
      <c r="I400" s="242">
        <v>21</v>
      </c>
      <c r="K400" s="10"/>
      <c r="L400" s="11"/>
    </row>
    <row r="401" spans="1:12">
      <c r="A401" s="238">
        <v>429880</v>
      </c>
      <c r="B401" s="239" t="s">
        <v>591</v>
      </c>
      <c r="C401" s="240">
        <v>4</v>
      </c>
      <c r="D401" s="241" t="s">
        <v>1037</v>
      </c>
      <c r="E401" s="241" t="s">
        <v>287</v>
      </c>
      <c r="F401" s="240">
        <v>30</v>
      </c>
      <c r="G401" s="240"/>
      <c r="H401" s="239">
        <v>31</v>
      </c>
      <c r="I401" s="242">
        <v>38.4</v>
      </c>
      <c r="K401" s="10"/>
      <c r="L401" s="11"/>
    </row>
    <row r="402" spans="1:12">
      <c r="A402" s="238">
        <v>322495</v>
      </c>
      <c r="B402" s="239" t="s">
        <v>396</v>
      </c>
      <c r="C402" s="240">
        <v>4</v>
      </c>
      <c r="D402" s="241" t="s">
        <v>1037</v>
      </c>
      <c r="E402" s="241" t="s">
        <v>287</v>
      </c>
      <c r="F402" s="240">
        <v>24</v>
      </c>
      <c r="G402" s="240"/>
      <c r="H402" s="239">
        <v>24.2</v>
      </c>
      <c r="I402" s="242">
        <v>33</v>
      </c>
      <c r="K402" s="10"/>
      <c r="L402" s="11"/>
    </row>
    <row r="403" spans="1:12">
      <c r="A403" s="238">
        <v>555281</v>
      </c>
      <c r="B403" s="239" t="s">
        <v>997</v>
      </c>
      <c r="C403" s="240">
        <v>4</v>
      </c>
      <c r="D403" s="241" t="s">
        <v>1037</v>
      </c>
      <c r="E403" s="241" t="s">
        <v>287</v>
      </c>
      <c r="F403" s="240">
        <v>30</v>
      </c>
      <c r="G403" s="240"/>
      <c r="H403" s="239">
        <f>F403</f>
        <v>30</v>
      </c>
      <c r="I403" s="242">
        <v>27</v>
      </c>
      <c r="K403" s="10"/>
      <c r="L403" s="11"/>
    </row>
    <row r="404" spans="1:12">
      <c r="A404" s="238">
        <v>322497</v>
      </c>
      <c r="B404" s="239" t="s">
        <v>398</v>
      </c>
      <c r="C404" s="240">
        <v>4</v>
      </c>
      <c r="D404" s="241" t="s">
        <v>1037</v>
      </c>
      <c r="E404" s="241" t="s">
        <v>287</v>
      </c>
      <c r="F404" s="240">
        <v>23</v>
      </c>
      <c r="G404" s="240"/>
      <c r="H404" s="239">
        <v>23.09</v>
      </c>
      <c r="I404" s="242">
        <v>24.28</v>
      </c>
      <c r="K404" s="10"/>
      <c r="L404" s="11"/>
    </row>
    <row r="405" spans="1:12">
      <c r="A405" s="238">
        <v>322496</v>
      </c>
      <c r="B405" s="239" t="s">
        <v>397</v>
      </c>
      <c r="C405" s="240">
        <v>4</v>
      </c>
      <c r="D405" s="241" t="s">
        <v>1037</v>
      </c>
      <c r="E405" s="241" t="s">
        <v>287</v>
      </c>
      <c r="F405" s="240">
        <v>28.9</v>
      </c>
      <c r="G405" s="240"/>
      <c r="H405" s="239">
        <f>F405</f>
        <v>28.9</v>
      </c>
      <c r="I405" s="242">
        <v>21.52</v>
      </c>
      <c r="K405" s="10"/>
      <c r="L405" s="11"/>
    </row>
    <row r="406" spans="1:12">
      <c r="A406" s="238">
        <v>323027</v>
      </c>
      <c r="B406" s="239" t="s">
        <v>449</v>
      </c>
      <c r="C406" s="240">
        <v>4</v>
      </c>
      <c r="D406" s="241" t="s">
        <v>1037</v>
      </c>
      <c r="E406" s="241" t="s">
        <v>287</v>
      </c>
      <c r="F406" s="240">
        <v>23.9</v>
      </c>
      <c r="G406" s="240"/>
      <c r="H406" s="239">
        <v>29.15</v>
      </c>
      <c r="I406" s="242">
        <v>27.44</v>
      </c>
      <c r="K406" s="10"/>
      <c r="L406" s="11"/>
    </row>
    <row r="407" spans="1:12">
      <c r="A407" s="238">
        <v>324124</v>
      </c>
      <c r="B407" s="239" t="s">
        <v>208</v>
      </c>
      <c r="C407" s="240">
        <v>4</v>
      </c>
      <c r="D407" s="241" t="s">
        <v>1037</v>
      </c>
      <c r="E407" s="241" t="s">
        <v>287</v>
      </c>
      <c r="F407" s="240">
        <v>23</v>
      </c>
      <c r="G407" s="240"/>
      <c r="H407" s="239">
        <f>F407</f>
        <v>23</v>
      </c>
      <c r="I407" s="242">
        <v>27.64</v>
      </c>
      <c r="K407" s="10"/>
      <c r="L407" s="11"/>
    </row>
    <row r="408" spans="1:12">
      <c r="A408" s="238">
        <v>322499</v>
      </c>
      <c r="B408" s="239" t="s">
        <v>399</v>
      </c>
      <c r="C408" s="240">
        <v>4</v>
      </c>
      <c r="D408" s="241" t="s">
        <v>1037</v>
      </c>
      <c r="E408" s="241" t="s">
        <v>287</v>
      </c>
      <c r="F408" s="240">
        <v>23</v>
      </c>
      <c r="G408" s="240"/>
      <c r="H408" s="239">
        <f>F408</f>
        <v>23</v>
      </c>
      <c r="I408" s="242">
        <v>27.64</v>
      </c>
      <c r="K408" s="10"/>
      <c r="L408" s="11"/>
    </row>
    <row r="409" spans="1:12">
      <c r="A409" s="238">
        <v>322500</v>
      </c>
      <c r="B409" s="239" t="s">
        <v>400</v>
      </c>
      <c r="C409" s="240">
        <v>4</v>
      </c>
      <c r="D409" s="241" t="s">
        <v>1037</v>
      </c>
      <c r="E409" s="241" t="s">
        <v>287</v>
      </c>
      <c r="F409" s="240">
        <v>20</v>
      </c>
      <c r="G409" s="240"/>
      <c r="H409" s="239">
        <v>29.15</v>
      </c>
      <c r="I409" s="242">
        <v>21.56</v>
      </c>
      <c r="K409" s="10"/>
      <c r="L409" s="11"/>
    </row>
    <row r="410" spans="1:12">
      <c r="A410" s="238">
        <v>329970</v>
      </c>
      <c r="B410" s="239" t="s">
        <v>154</v>
      </c>
      <c r="C410" s="240">
        <v>4</v>
      </c>
      <c r="D410" s="241" t="s">
        <v>1037</v>
      </c>
      <c r="E410" s="241" t="s">
        <v>287</v>
      </c>
      <c r="F410" s="240">
        <v>30</v>
      </c>
      <c r="G410" s="240"/>
      <c r="H410" s="239">
        <f t="shared" ref="H410:H415" si="7">F410</f>
        <v>30</v>
      </c>
      <c r="I410" s="242">
        <v>29.28</v>
      </c>
      <c r="K410" s="10"/>
      <c r="L410" s="11"/>
    </row>
    <row r="411" spans="1:12">
      <c r="A411" s="238">
        <v>322434</v>
      </c>
      <c r="B411" s="239" t="s">
        <v>153</v>
      </c>
      <c r="C411" s="240">
        <v>4</v>
      </c>
      <c r="D411" s="241" t="s">
        <v>1037</v>
      </c>
      <c r="E411" s="241" t="s">
        <v>287</v>
      </c>
      <c r="F411" s="240">
        <v>30</v>
      </c>
      <c r="G411" s="240"/>
      <c r="H411" s="239">
        <f t="shared" si="7"/>
        <v>30</v>
      </c>
      <c r="I411" s="242">
        <v>34.72</v>
      </c>
      <c r="K411" s="10"/>
      <c r="L411" s="11"/>
    </row>
    <row r="412" spans="1:12">
      <c r="A412" s="238">
        <v>620599</v>
      </c>
      <c r="B412" s="239" t="s">
        <v>1267</v>
      </c>
      <c r="C412" s="240">
        <v>4</v>
      </c>
      <c r="D412" s="241" t="s">
        <v>1037</v>
      </c>
      <c r="E412" s="241" t="s">
        <v>1355</v>
      </c>
      <c r="F412" s="240">
        <v>55</v>
      </c>
      <c r="G412" s="240"/>
      <c r="H412" s="239">
        <f t="shared" si="7"/>
        <v>55</v>
      </c>
      <c r="I412" s="242">
        <v>28</v>
      </c>
      <c r="K412" s="10"/>
      <c r="L412" s="11"/>
    </row>
    <row r="413" spans="1:12">
      <c r="A413" s="238">
        <v>620901</v>
      </c>
      <c r="B413" s="239" t="s">
        <v>1258</v>
      </c>
      <c r="C413" s="240">
        <v>4</v>
      </c>
      <c r="D413" s="241" t="s">
        <v>1037</v>
      </c>
      <c r="E413" s="241" t="s">
        <v>287</v>
      </c>
      <c r="F413" s="240">
        <v>55</v>
      </c>
      <c r="G413" s="240"/>
      <c r="H413" s="239">
        <f t="shared" si="7"/>
        <v>55</v>
      </c>
      <c r="I413" s="242">
        <v>28</v>
      </c>
      <c r="K413" s="10"/>
      <c r="L413" s="11"/>
    </row>
    <row r="414" spans="1:12">
      <c r="A414" s="238">
        <v>544852</v>
      </c>
      <c r="B414" s="239" t="s">
        <v>979</v>
      </c>
      <c r="C414" s="240">
        <v>4</v>
      </c>
      <c r="D414" s="241" t="s">
        <v>1037</v>
      </c>
      <c r="E414" s="241" t="s">
        <v>287</v>
      </c>
      <c r="F414" s="240">
        <v>30</v>
      </c>
      <c r="G414" s="240"/>
      <c r="H414" s="239">
        <f t="shared" si="7"/>
        <v>30</v>
      </c>
      <c r="I414" s="242">
        <v>30</v>
      </c>
      <c r="K414" s="10"/>
      <c r="L414" s="11"/>
    </row>
    <row r="415" spans="1:12">
      <c r="A415" s="238">
        <v>324125</v>
      </c>
      <c r="B415" s="239" t="s">
        <v>462</v>
      </c>
      <c r="C415" s="240">
        <v>4</v>
      </c>
      <c r="D415" s="241" t="s">
        <v>1037</v>
      </c>
      <c r="E415" s="241" t="s">
        <v>287</v>
      </c>
      <c r="F415" s="240">
        <v>22.8</v>
      </c>
      <c r="G415" s="240"/>
      <c r="H415" s="239">
        <f t="shared" si="7"/>
        <v>22.8</v>
      </c>
      <c r="I415" s="242">
        <v>34.72</v>
      </c>
      <c r="K415" s="10"/>
      <c r="L415" s="11"/>
    </row>
    <row r="416" spans="1:12">
      <c r="A416" s="238">
        <v>322501</v>
      </c>
      <c r="B416" s="239" t="s">
        <v>401</v>
      </c>
      <c r="C416" s="240">
        <v>4</v>
      </c>
      <c r="D416" s="241" t="s">
        <v>1037</v>
      </c>
      <c r="E416" s="241" t="s">
        <v>287</v>
      </c>
      <c r="F416" s="240">
        <v>22.8</v>
      </c>
      <c r="G416" s="240"/>
      <c r="H416" s="239">
        <v>23.3</v>
      </c>
      <c r="I416" s="242">
        <v>27.64</v>
      </c>
      <c r="K416" s="10"/>
      <c r="L416" s="11"/>
    </row>
    <row r="417" spans="1:12">
      <c r="A417" s="238">
        <v>480471</v>
      </c>
      <c r="B417" s="239" t="s">
        <v>909</v>
      </c>
      <c r="C417" s="240">
        <v>4</v>
      </c>
      <c r="D417" s="241" t="s">
        <v>1037</v>
      </c>
      <c r="E417" s="241" t="s">
        <v>287</v>
      </c>
      <c r="F417" s="240">
        <v>30</v>
      </c>
      <c r="G417" s="240"/>
      <c r="H417" s="239">
        <v>24</v>
      </c>
      <c r="I417" s="242">
        <v>24.48</v>
      </c>
      <c r="K417" s="10"/>
      <c r="L417" s="11"/>
    </row>
    <row r="418" spans="1:12">
      <c r="A418" s="238">
        <v>322438</v>
      </c>
      <c r="B418" s="239" t="s">
        <v>152</v>
      </c>
      <c r="C418" s="240">
        <v>4</v>
      </c>
      <c r="D418" s="241" t="s">
        <v>1037</v>
      </c>
      <c r="E418" s="241" t="s">
        <v>287</v>
      </c>
      <c r="F418" s="240">
        <v>23</v>
      </c>
      <c r="G418" s="240"/>
      <c r="H418" s="239">
        <v>23</v>
      </c>
      <c r="I418" s="242">
        <v>22</v>
      </c>
      <c r="K418" s="10"/>
      <c r="L418" s="11"/>
    </row>
    <row r="419" spans="1:12">
      <c r="A419" s="238">
        <v>423215</v>
      </c>
      <c r="B419" s="239" t="s">
        <v>580</v>
      </c>
      <c r="C419" s="240">
        <v>4</v>
      </c>
      <c r="D419" s="241" t="s">
        <v>1037</v>
      </c>
      <c r="E419" s="241" t="s">
        <v>287</v>
      </c>
      <c r="F419" s="240">
        <v>24</v>
      </c>
      <c r="G419" s="240"/>
      <c r="H419" s="239">
        <v>24</v>
      </c>
      <c r="I419" s="242">
        <v>22</v>
      </c>
      <c r="K419" s="10"/>
      <c r="L419" s="11"/>
    </row>
    <row r="420" spans="1:12">
      <c r="A420" s="238">
        <v>408095</v>
      </c>
      <c r="B420" s="239" t="s">
        <v>557</v>
      </c>
      <c r="C420" s="240">
        <v>4</v>
      </c>
      <c r="D420" s="241" t="s">
        <v>1037</v>
      </c>
      <c r="E420" s="241" t="s">
        <v>287</v>
      </c>
      <c r="F420" s="240">
        <v>23</v>
      </c>
      <c r="G420" s="240"/>
      <c r="H420" s="239">
        <v>23</v>
      </c>
      <c r="I420" s="242">
        <v>26</v>
      </c>
      <c r="K420" s="10"/>
      <c r="L420" s="11"/>
    </row>
    <row r="421" spans="1:12">
      <c r="A421" s="238">
        <v>464690</v>
      </c>
      <c r="B421" s="239" t="s">
        <v>882</v>
      </c>
      <c r="C421" s="240">
        <v>4</v>
      </c>
      <c r="D421" s="241" t="s">
        <v>1037</v>
      </c>
      <c r="E421" s="241" t="s">
        <v>287</v>
      </c>
      <c r="F421" s="240">
        <v>35.6</v>
      </c>
      <c r="G421" s="240"/>
      <c r="H421" s="239">
        <v>35.6</v>
      </c>
      <c r="I421" s="242">
        <v>29</v>
      </c>
      <c r="K421" s="10"/>
      <c r="L421" s="11"/>
    </row>
    <row r="422" spans="1:12">
      <c r="A422" s="238">
        <v>347623</v>
      </c>
      <c r="B422" s="239" t="s">
        <v>151</v>
      </c>
      <c r="C422" s="240">
        <v>4</v>
      </c>
      <c r="D422" s="241" t="s">
        <v>1037</v>
      </c>
      <c r="E422" s="241" t="s">
        <v>287</v>
      </c>
      <c r="F422" s="240">
        <v>35.6</v>
      </c>
      <c r="G422" s="240"/>
      <c r="H422" s="239">
        <v>35.6</v>
      </c>
      <c r="I422" s="242">
        <v>27</v>
      </c>
      <c r="K422" s="10"/>
      <c r="L422" s="11"/>
    </row>
    <row r="423" spans="1:12">
      <c r="A423" s="238">
        <v>577492</v>
      </c>
      <c r="B423" s="239" t="s">
        <v>1022</v>
      </c>
      <c r="C423" s="240">
        <v>4</v>
      </c>
      <c r="D423" s="241" t="s">
        <v>1037</v>
      </c>
      <c r="E423" s="241" t="s">
        <v>287</v>
      </c>
      <c r="F423" s="240">
        <v>35.6</v>
      </c>
      <c r="G423" s="240"/>
      <c r="H423" s="239">
        <v>35.6</v>
      </c>
      <c r="I423" s="242">
        <v>27</v>
      </c>
      <c r="K423" s="10"/>
      <c r="L423" s="11"/>
    </row>
    <row r="424" spans="1:12">
      <c r="A424" s="238">
        <v>529004</v>
      </c>
      <c r="B424" s="239" t="s">
        <v>962</v>
      </c>
      <c r="C424" s="240">
        <v>4</v>
      </c>
      <c r="D424" s="241" t="s">
        <v>1037</v>
      </c>
      <c r="E424" s="241" t="s">
        <v>287</v>
      </c>
      <c r="F424" s="240">
        <v>31</v>
      </c>
      <c r="G424" s="240"/>
      <c r="H424" s="239">
        <v>31</v>
      </c>
      <c r="I424" s="242">
        <v>29</v>
      </c>
      <c r="K424" s="10"/>
      <c r="L424" s="11"/>
    </row>
    <row r="425" spans="1:12">
      <c r="A425" s="238">
        <v>322446</v>
      </c>
      <c r="B425" s="239" t="s">
        <v>209</v>
      </c>
      <c r="C425" s="240">
        <v>4</v>
      </c>
      <c r="D425" s="241" t="s">
        <v>1037</v>
      </c>
      <c r="E425" s="241" t="s">
        <v>287</v>
      </c>
      <c r="F425" s="240">
        <v>31</v>
      </c>
      <c r="G425" s="240"/>
      <c r="H425" s="239">
        <v>44</v>
      </c>
      <c r="I425" s="242">
        <v>27</v>
      </c>
      <c r="K425" s="10"/>
      <c r="L425" s="11"/>
    </row>
    <row r="426" spans="1:12">
      <c r="A426" s="238">
        <v>324178</v>
      </c>
      <c r="B426" s="239" t="s">
        <v>210</v>
      </c>
      <c r="C426" s="240">
        <v>4</v>
      </c>
      <c r="D426" s="241" t="s">
        <v>1037</v>
      </c>
      <c r="E426" s="241" t="s">
        <v>287</v>
      </c>
      <c r="F426" s="240">
        <v>23</v>
      </c>
      <c r="G426" s="240"/>
      <c r="H426" s="239">
        <v>44</v>
      </c>
      <c r="I426" s="242">
        <v>25</v>
      </c>
      <c r="K426" s="10"/>
      <c r="L426" s="11"/>
    </row>
    <row r="427" spans="1:12">
      <c r="A427" s="238">
        <v>580035</v>
      </c>
      <c r="B427" s="239" t="s">
        <v>1052</v>
      </c>
      <c r="C427" s="240">
        <v>4</v>
      </c>
      <c r="D427" s="241" t="s">
        <v>1037</v>
      </c>
      <c r="E427" s="241" t="s">
        <v>287</v>
      </c>
      <c r="F427" s="240">
        <v>44</v>
      </c>
      <c r="G427" s="240"/>
      <c r="H427" s="239">
        <v>44</v>
      </c>
      <c r="I427" s="242">
        <v>28.88</v>
      </c>
      <c r="K427" s="10"/>
      <c r="L427" s="11"/>
    </row>
    <row r="428" spans="1:12">
      <c r="A428" s="238">
        <v>322503</v>
      </c>
      <c r="B428" s="239" t="s">
        <v>150</v>
      </c>
      <c r="C428" s="240">
        <v>4</v>
      </c>
      <c r="D428" s="241" t="s">
        <v>1037</v>
      </c>
      <c r="E428" s="241" t="s">
        <v>287</v>
      </c>
      <c r="F428" s="240">
        <v>44</v>
      </c>
      <c r="G428" s="240"/>
      <c r="H428" s="239">
        <v>44</v>
      </c>
      <c r="I428" s="242">
        <v>28.88</v>
      </c>
      <c r="K428" s="10"/>
      <c r="L428" s="11"/>
    </row>
    <row r="429" spans="1:12">
      <c r="A429" s="238">
        <v>558274</v>
      </c>
      <c r="B429" s="239" t="s">
        <v>1004</v>
      </c>
      <c r="C429" s="240">
        <v>1</v>
      </c>
      <c r="D429" s="241" t="s">
        <v>1039</v>
      </c>
      <c r="E429" s="241" t="s">
        <v>333</v>
      </c>
      <c r="F429" s="240">
        <v>86.5</v>
      </c>
      <c r="G429" s="240"/>
      <c r="H429" s="239">
        <v>100.8</v>
      </c>
      <c r="I429" s="242">
        <v>45.5</v>
      </c>
      <c r="K429" s="10"/>
      <c r="L429" s="11"/>
    </row>
    <row r="430" spans="1:12">
      <c r="A430" s="238">
        <v>558276</v>
      </c>
      <c r="B430" s="239" t="s">
        <v>1005</v>
      </c>
      <c r="C430" s="240">
        <v>1</v>
      </c>
      <c r="D430" s="241" t="s">
        <v>1039</v>
      </c>
      <c r="E430" s="241" t="s">
        <v>332</v>
      </c>
      <c r="F430" s="240">
        <v>86.5</v>
      </c>
      <c r="G430" s="240"/>
      <c r="H430" s="239">
        <v>45</v>
      </c>
      <c r="I430" s="242">
        <v>40</v>
      </c>
      <c r="K430" s="10"/>
      <c r="L430" s="11"/>
    </row>
    <row r="431" spans="1:12">
      <c r="A431" s="238">
        <v>476105</v>
      </c>
      <c r="B431" s="239" t="s">
        <v>898</v>
      </c>
      <c r="C431" s="240">
        <v>4</v>
      </c>
      <c r="D431" s="241" t="s">
        <v>1037</v>
      </c>
      <c r="E431" s="241" t="s">
        <v>287</v>
      </c>
      <c r="F431" s="240">
        <v>44.9</v>
      </c>
      <c r="G431" s="240"/>
      <c r="H431" s="239">
        <v>45</v>
      </c>
      <c r="I431" s="242">
        <v>32.04</v>
      </c>
      <c r="K431" s="10"/>
      <c r="L431" s="11"/>
    </row>
    <row r="432" spans="1:12">
      <c r="A432" s="238">
        <v>666666</v>
      </c>
      <c r="B432" s="239" t="s">
        <v>1156</v>
      </c>
      <c r="C432" s="240">
        <v>4</v>
      </c>
      <c r="D432" s="241" t="s">
        <v>1037</v>
      </c>
      <c r="E432" s="241" t="s">
        <v>287</v>
      </c>
      <c r="F432" s="240">
        <v>44.9</v>
      </c>
      <c r="G432" s="240"/>
      <c r="H432" s="239">
        <v>45</v>
      </c>
      <c r="I432" s="242">
        <v>32.04</v>
      </c>
      <c r="K432" s="10"/>
      <c r="L432" s="11"/>
    </row>
    <row r="433" spans="1:12">
      <c r="A433" s="238">
        <v>409578</v>
      </c>
      <c r="B433" s="239" t="s">
        <v>559</v>
      </c>
      <c r="C433" s="240">
        <v>4</v>
      </c>
      <c r="D433" s="241" t="s">
        <v>1037</v>
      </c>
      <c r="E433" s="241" t="s">
        <v>287</v>
      </c>
      <c r="F433" s="240">
        <v>45</v>
      </c>
      <c r="G433" s="240"/>
      <c r="H433" s="239">
        <v>23</v>
      </c>
      <c r="I433" s="242">
        <v>34</v>
      </c>
      <c r="K433" s="10"/>
      <c r="L433" s="11"/>
    </row>
    <row r="434" spans="1:12">
      <c r="A434" s="238">
        <v>337998</v>
      </c>
      <c r="B434" s="239" t="s">
        <v>511</v>
      </c>
      <c r="C434" s="240">
        <v>4</v>
      </c>
      <c r="D434" s="241" t="s">
        <v>1037</v>
      </c>
      <c r="E434" s="241" t="s">
        <v>287</v>
      </c>
      <c r="F434" s="240">
        <v>23</v>
      </c>
      <c r="G434" s="240"/>
      <c r="H434" s="239">
        <f>F434</f>
        <v>23</v>
      </c>
      <c r="I434" s="242">
        <v>29</v>
      </c>
      <c r="K434" s="10"/>
      <c r="L434" s="11"/>
    </row>
    <row r="435" spans="1:12">
      <c r="A435" s="238">
        <v>322508</v>
      </c>
      <c r="B435" s="239" t="s">
        <v>404</v>
      </c>
      <c r="C435" s="240">
        <v>4</v>
      </c>
      <c r="D435" s="241" t="s">
        <v>1037</v>
      </c>
      <c r="E435" s="241" t="s">
        <v>287</v>
      </c>
      <c r="F435" s="240">
        <v>23</v>
      </c>
      <c r="G435" s="240"/>
      <c r="H435" s="239">
        <v>32</v>
      </c>
      <c r="I435" s="242">
        <v>27</v>
      </c>
      <c r="K435" s="10"/>
      <c r="L435" s="11"/>
    </row>
    <row r="436" spans="1:12">
      <c r="A436" s="238">
        <v>322504</v>
      </c>
      <c r="B436" s="239" t="s">
        <v>403</v>
      </c>
      <c r="C436" s="240">
        <v>4</v>
      </c>
      <c r="D436" s="241" t="s">
        <v>1037</v>
      </c>
      <c r="E436" s="241" t="s">
        <v>287</v>
      </c>
      <c r="F436" s="240">
        <v>22.8</v>
      </c>
      <c r="G436" s="240"/>
      <c r="H436" s="239">
        <f>F436</f>
        <v>22.8</v>
      </c>
      <c r="I436" s="242">
        <v>29</v>
      </c>
      <c r="K436" s="10"/>
      <c r="L436" s="11"/>
    </row>
    <row r="437" spans="1:12">
      <c r="A437" s="238">
        <v>322455</v>
      </c>
      <c r="B437" s="239" t="s">
        <v>376</v>
      </c>
      <c r="C437" s="240">
        <v>4</v>
      </c>
      <c r="D437" s="241" t="s">
        <v>1037</v>
      </c>
      <c r="E437" s="241" t="s">
        <v>287</v>
      </c>
      <c r="F437" s="240">
        <v>23.3</v>
      </c>
      <c r="G437" s="240"/>
      <c r="H437" s="239">
        <f>F437</f>
        <v>23.3</v>
      </c>
      <c r="I437" s="242">
        <v>21</v>
      </c>
      <c r="K437" s="10"/>
      <c r="L437" s="11"/>
    </row>
    <row r="438" spans="1:12">
      <c r="A438" s="238">
        <v>432203</v>
      </c>
      <c r="B438" s="239" t="s">
        <v>593</v>
      </c>
      <c r="C438" s="240">
        <v>4</v>
      </c>
      <c r="D438" s="241" t="s">
        <v>1037</v>
      </c>
      <c r="E438" s="241" t="s">
        <v>287</v>
      </c>
      <c r="F438" s="240">
        <v>32</v>
      </c>
      <c r="G438" s="240"/>
      <c r="H438" s="239">
        <v>32</v>
      </c>
      <c r="I438" s="242">
        <v>27</v>
      </c>
      <c r="K438" s="10"/>
      <c r="L438" s="11"/>
    </row>
    <row r="439" spans="1:12">
      <c r="A439" s="238">
        <v>427090</v>
      </c>
      <c r="B439" s="239" t="s">
        <v>587</v>
      </c>
      <c r="C439" s="240">
        <v>4</v>
      </c>
      <c r="D439" s="241" t="s">
        <v>1037</v>
      </c>
      <c r="E439" s="241" t="s">
        <v>287</v>
      </c>
      <c r="F439" s="240">
        <v>24</v>
      </c>
      <c r="G439" s="240"/>
      <c r="H439" s="239">
        <f>F439</f>
        <v>24</v>
      </c>
      <c r="I439" s="242">
        <v>26.8</v>
      </c>
      <c r="K439" s="10"/>
      <c r="L439" s="11"/>
    </row>
    <row r="440" spans="1:12">
      <c r="A440" s="238">
        <v>322458</v>
      </c>
      <c r="B440" s="239" t="s">
        <v>378</v>
      </c>
      <c r="C440" s="240">
        <v>4</v>
      </c>
      <c r="D440" s="241" t="s">
        <v>1037</v>
      </c>
      <c r="E440" s="241" t="s">
        <v>287</v>
      </c>
      <c r="F440" s="240">
        <v>41.9</v>
      </c>
      <c r="G440" s="240"/>
      <c r="H440" s="239">
        <v>44.23</v>
      </c>
      <c r="I440" s="242">
        <v>24.52</v>
      </c>
      <c r="K440" s="10"/>
      <c r="L440" s="11"/>
    </row>
    <row r="441" spans="1:12">
      <c r="A441" s="238">
        <v>326798</v>
      </c>
      <c r="B441" s="239" t="s">
        <v>488</v>
      </c>
      <c r="C441" s="240">
        <v>4</v>
      </c>
      <c r="D441" s="241" t="s">
        <v>1037</v>
      </c>
      <c r="E441" s="241" t="s">
        <v>287</v>
      </c>
      <c r="F441" s="240">
        <v>29.099999999999998</v>
      </c>
      <c r="G441" s="240"/>
      <c r="H441" s="239">
        <v>44.05</v>
      </c>
      <c r="I441" s="242">
        <v>29.7</v>
      </c>
      <c r="K441" s="10"/>
      <c r="L441" s="11"/>
    </row>
    <row r="442" spans="1:12">
      <c r="A442" s="238">
        <v>322450</v>
      </c>
      <c r="B442" s="239" t="s">
        <v>374</v>
      </c>
      <c r="C442" s="240">
        <v>4</v>
      </c>
      <c r="D442" s="241" t="s">
        <v>1037</v>
      </c>
      <c r="E442" s="241" t="s">
        <v>287</v>
      </c>
      <c r="F442" s="240">
        <v>29</v>
      </c>
      <c r="G442" s="240"/>
      <c r="H442" s="239">
        <v>44.5</v>
      </c>
      <c r="I442" s="242">
        <v>25.92</v>
      </c>
      <c r="K442" s="10"/>
      <c r="L442" s="11"/>
    </row>
    <row r="443" spans="1:12">
      <c r="A443" s="238">
        <v>322451</v>
      </c>
      <c r="B443" s="239" t="s">
        <v>149</v>
      </c>
      <c r="C443" s="240">
        <v>4</v>
      </c>
      <c r="D443" s="241" t="s">
        <v>1037</v>
      </c>
      <c r="E443" s="241" t="s">
        <v>287</v>
      </c>
      <c r="F443" s="240">
        <v>45.6</v>
      </c>
      <c r="G443" s="240"/>
      <c r="H443" s="239">
        <v>45.6</v>
      </c>
      <c r="I443" s="242">
        <v>29.84</v>
      </c>
      <c r="K443" s="10"/>
      <c r="L443" s="11"/>
    </row>
    <row r="444" spans="1:12">
      <c r="A444" s="238">
        <v>393808</v>
      </c>
      <c r="B444" s="239" t="s">
        <v>544</v>
      </c>
      <c r="C444" s="240">
        <v>4</v>
      </c>
      <c r="D444" s="241" t="s">
        <v>1037</v>
      </c>
      <c r="E444" s="241" t="s">
        <v>287</v>
      </c>
      <c r="F444" s="240">
        <v>45.6</v>
      </c>
      <c r="G444" s="240"/>
      <c r="H444" s="239">
        <v>45.6</v>
      </c>
      <c r="I444" s="242">
        <v>29.6</v>
      </c>
      <c r="K444" s="10"/>
      <c r="L444" s="11"/>
    </row>
    <row r="445" spans="1:12">
      <c r="A445" s="238">
        <v>322449</v>
      </c>
      <c r="B445" s="239" t="s">
        <v>373</v>
      </c>
      <c r="C445" s="240">
        <v>4</v>
      </c>
      <c r="D445" s="241" t="s">
        <v>1037</v>
      </c>
      <c r="E445" s="241" t="s">
        <v>287</v>
      </c>
      <c r="F445" s="240">
        <v>44.2</v>
      </c>
      <c r="G445" s="240"/>
      <c r="H445" s="239">
        <f>F445</f>
        <v>44.2</v>
      </c>
      <c r="I445" s="242">
        <v>22</v>
      </c>
      <c r="K445" s="10"/>
      <c r="L445" s="11"/>
    </row>
    <row r="446" spans="1:12">
      <c r="A446" s="238">
        <v>376698</v>
      </c>
      <c r="B446" s="239" t="s">
        <v>257</v>
      </c>
      <c r="C446" s="240">
        <v>4</v>
      </c>
      <c r="D446" s="241" t="s">
        <v>1037</v>
      </c>
      <c r="E446" s="241" t="s">
        <v>287</v>
      </c>
      <c r="F446" s="240">
        <v>44.199999999999996</v>
      </c>
      <c r="G446" s="240"/>
      <c r="H446" s="239">
        <f>F446</f>
        <v>44.199999999999996</v>
      </c>
      <c r="I446" s="242">
        <v>30.288</v>
      </c>
      <c r="K446" s="10"/>
      <c r="L446" s="11"/>
    </row>
    <row r="447" spans="1:12">
      <c r="A447" s="238">
        <v>539101</v>
      </c>
      <c r="B447" s="239" t="s">
        <v>970</v>
      </c>
      <c r="C447" s="240">
        <v>4</v>
      </c>
      <c r="D447" s="241" t="s">
        <v>1037</v>
      </c>
      <c r="E447" s="241" t="s">
        <v>287</v>
      </c>
      <c r="F447" s="240">
        <v>68</v>
      </c>
      <c r="G447" s="240"/>
      <c r="H447" s="239">
        <v>68</v>
      </c>
      <c r="I447" s="242">
        <v>31.2</v>
      </c>
      <c r="K447" s="10"/>
      <c r="L447" s="11"/>
    </row>
    <row r="448" spans="1:12">
      <c r="A448" s="238">
        <v>479856</v>
      </c>
      <c r="B448" s="239" t="s">
        <v>904</v>
      </c>
      <c r="C448" s="240">
        <v>4</v>
      </c>
      <c r="D448" s="241" t="s">
        <v>1037</v>
      </c>
      <c r="E448" s="241" t="s">
        <v>287</v>
      </c>
      <c r="F448" s="240">
        <v>68</v>
      </c>
      <c r="G448" s="240"/>
      <c r="H448" s="239">
        <v>68</v>
      </c>
      <c r="I448" s="242">
        <v>32</v>
      </c>
      <c r="K448" s="10"/>
      <c r="L448" s="11"/>
    </row>
    <row r="449" spans="1:12">
      <c r="A449" s="238">
        <v>504840</v>
      </c>
      <c r="B449" s="239" t="s">
        <v>946</v>
      </c>
      <c r="C449" s="240">
        <v>4</v>
      </c>
      <c r="D449" s="241" t="s">
        <v>1037</v>
      </c>
      <c r="E449" s="241" t="s">
        <v>287</v>
      </c>
      <c r="F449" s="240">
        <v>68</v>
      </c>
      <c r="G449" s="240"/>
      <c r="H449" s="239">
        <v>68</v>
      </c>
      <c r="I449" s="242">
        <v>32</v>
      </c>
      <c r="K449" s="10"/>
      <c r="L449" s="11"/>
    </row>
    <row r="450" spans="1:12">
      <c r="A450" s="238">
        <v>409579</v>
      </c>
      <c r="B450" s="239" t="s">
        <v>560</v>
      </c>
      <c r="C450" s="240">
        <v>4</v>
      </c>
      <c r="D450" s="241" t="s">
        <v>1037</v>
      </c>
      <c r="E450" s="241" t="s">
        <v>287</v>
      </c>
      <c r="F450" s="240">
        <v>60</v>
      </c>
      <c r="G450" s="240"/>
      <c r="H450" s="239">
        <v>60</v>
      </c>
      <c r="I450" s="242">
        <v>17</v>
      </c>
      <c r="K450" s="10"/>
      <c r="L450" s="11"/>
    </row>
    <row r="451" spans="1:12">
      <c r="A451" s="238">
        <v>579613</v>
      </c>
      <c r="B451" s="239" t="s">
        <v>1026</v>
      </c>
      <c r="C451" s="240">
        <v>4</v>
      </c>
      <c r="D451" s="241" t="s">
        <v>1037</v>
      </c>
      <c r="E451" s="241" t="s">
        <v>287</v>
      </c>
      <c r="F451" s="240">
        <v>68</v>
      </c>
      <c r="G451" s="240"/>
      <c r="H451" s="239">
        <v>68</v>
      </c>
      <c r="I451" s="242">
        <v>31.6</v>
      </c>
      <c r="K451" s="10"/>
      <c r="L451" s="11"/>
    </row>
    <row r="452" spans="1:12">
      <c r="A452" s="238">
        <v>442310</v>
      </c>
      <c r="B452" s="239" t="s">
        <v>607</v>
      </c>
      <c r="C452" s="240">
        <v>4</v>
      </c>
      <c r="D452" s="241" t="s">
        <v>1037</v>
      </c>
      <c r="E452" s="241" t="s">
        <v>287</v>
      </c>
      <c r="F452" s="240">
        <v>68.8</v>
      </c>
      <c r="G452" s="240"/>
      <c r="H452" s="239">
        <v>68.8</v>
      </c>
      <c r="I452" s="242">
        <v>33.840000000000003</v>
      </c>
      <c r="K452" s="10"/>
      <c r="L452" s="11"/>
    </row>
    <row r="453" spans="1:12">
      <c r="A453" s="238">
        <v>361751</v>
      </c>
      <c r="B453" s="239" t="s">
        <v>530</v>
      </c>
      <c r="C453" s="240">
        <v>4</v>
      </c>
      <c r="D453" s="241" t="s">
        <v>1037</v>
      </c>
      <c r="E453" s="241" t="s">
        <v>287</v>
      </c>
      <c r="F453" s="240">
        <v>68.8</v>
      </c>
      <c r="G453" s="240"/>
      <c r="H453" s="239">
        <v>68</v>
      </c>
      <c r="I453" s="242">
        <v>29</v>
      </c>
      <c r="K453" s="10"/>
      <c r="L453" s="11"/>
    </row>
    <row r="454" spans="1:12">
      <c r="A454" s="238">
        <v>347401</v>
      </c>
      <c r="B454" s="239" t="s">
        <v>524</v>
      </c>
      <c r="C454" s="240">
        <v>4</v>
      </c>
      <c r="D454" s="241" t="s">
        <v>1037</v>
      </c>
      <c r="E454" s="241" t="s">
        <v>287</v>
      </c>
      <c r="F454" s="240">
        <v>54.1</v>
      </c>
      <c r="G454" s="240"/>
      <c r="H454" s="239">
        <v>68</v>
      </c>
      <c r="I454" s="242">
        <v>29</v>
      </c>
      <c r="K454" s="10"/>
      <c r="L454" s="11"/>
    </row>
    <row r="455" spans="1:12">
      <c r="A455" s="238">
        <v>620901</v>
      </c>
      <c r="B455" s="239" t="s">
        <v>1001</v>
      </c>
      <c r="C455" s="240">
        <v>4</v>
      </c>
      <c r="D455" s="241" t="s">
        <v>1037</v>
      </c>
      <c r="E455" s="241" t="s">
        <v>287</v>
      </c>
      <c r="F455" s="240">
        <v>55</v>
      </c>
      <c r="G455" s="240"/>
      <c r="H455" s="239">
        <v>55</v>
      </c>
      <c r="I455" s="242">
        <v>28</v>
      </c>
      <c r="K455" s="10"/>
      <c r="L455" s="11"/>
    </row>
    <row r="456" spans="1:12">
      <c r="A456" s="238">
        <v>337471</v>
      </c>
      <c r="B456" s="239" t="s">
        <v>148</v>
      </c>
      <c r="C456" s="240">
        <v>4</v>
      </c>
      <c r="D456" s="241" t="s">
        <v>1037</v>
      </c>
      <c r="E456" s="241" t="s">
        <v>287</v>
      </c>
      <c r="F456" s="240">
        <v>67.2</v>
      </c>
      <c r="G456" s="240"/>
      <c r="H456" s="239">
        <v>55</v>
      </c>
      <c r="I456" s="242">
        <v>41.4</v>
      </c>
      <c r="K456" s="10"/>
      <c r="L456" s="11"/>
    </row>
    <row r="457" spans="1:12">
      <c r="A457" s="238">
        <v>579684</v>
      </c>
      <c r="B457" s="239" t="s">
        <v>1048</v>
      </c>
      <c r="C457" s="240">
        <v>4</v>
      </c>
      <c r="D457" s="241" t="s">
        <v>1037</v>
      </c>
      <c r="E457" s="241" t="s">
        <v>287</v>
      </c>
      <c r="F457" s="240">
        <v>44</v>
      </c>
      <c r="G457" s="240"/>
      <c r="H457" s="239">
        <v>54.25</v>
      </c>
      <c r="I457" s="242">
        <v>35</v>
      </c>
      <c r="K457" s="10"/>
      <c r="L457" s="11"/>
    </row>
    <row r="458" spans="1:12">
      <c r="A458" s="238">
        <v>438155</v>
      </c>
      <c r="B458" s="239" t="s">
        <v>599</v>
      </c>
      <c r="C458" s="240">
        <v>4</v>
      </c>
      <c r="D458" s="241" t="s">
        <v>1037</v>
      </c>
      <c r="E458" s="241" t="s">
        <v>287</v>
      </c>
      <c r="F458" s="240">
        <v>45</v>
      </c>
      <c r="G458" s="240"/>
      <c r="H458" s="239">
        <v>44</v>
      </c>
      <c r="I458" s="242">
        <v>33.42</v>
      </c>
      <c r="K458" s="10"/>
      <c r="L458" s="11"/>
    </row>
    <row r="459" spans="1:12">
      <c r="A459" s="238">
        <v>337470</v>
      </c>
      <c r="B459" s="239" t="s">
        <v>147</v>
      </c>
      <c r="C459" s="240">
        <v>4</v>
      </c>
      <c r="D459" s="241" t="s">
        <v>1037</v>
      </c>
      <c r="E459" s="241" t="s">
        <v>287</v>
      </c>
      <c r="F459" s="240">
        <v>55</v>
      </c>
      <c r="G459" s="240"/>
      <c r="H459" s="239">
        <v>55</v>
      </c>
      <c r="I459" s="242">
        <v>27</v>
      </c>
      <c r="K459" s="10"/>
      <c r="L459" s="11"/>
    </row>
    <row r="460" spans="1:12">
      <c r="A460" s="238">
        <v>322529</v>
      </c>
      <c r="B460" s="239" t="s">
        <v>411</v>
      </c>
      <c r="C460" s="240">
        <v>4</v>
      </c>
      <c r="D460" s="241" t="s">
        <v>1037</v>
      </c>
      <c r="E460" s="241" t="s">
        <v>287</v>
      </c>
      <c r="F460" s="240">
        <v>45</v>
      </c>
      <c r="G460" s="240"/>
      <c r="H460" s="239">
        <v>55.02</v>
      </c>
      <c r="I460" s="242">
        <v>27.92</v>
      </c>
      <c r="K460" s="10"/>
      <c r="L460" s="11"/>
    </row>
    <row r="461" spans="1:12">
      <c r="A461" s="238">
        <v>322528</v>
      </c>
      <c r="B461" s="239" t="s">
        <v>146</v>
      </c>
      <c r="C461" s="240">
        <v>4</v>
      </c>
      <c r="D461" s="241" t="s">
        <v>1037</v>
      </c>
      <c r="E461" s="241" t="s">
        <v>287</v>
      </c>
      <c r="F461" s="240">
        <v>44.2</v>
      </c>
      <c r="G461" s="240"/>
      <c r="H461" s="239">
        <f>F461</f>
        <v>44.2</v>
      </c>
      <c r="I461" s="242">
        <v>25</v>
      </c>
      <c r="K461" s="10"/>
      <c r="L461" s="11"/>
    </row>
    <row r="462" spans="1:12">
      <c r="A462" s="238">
        <v>334550</v>
      </c>
      <c r="B462" s="239" t="s">
        <v>211</v>
      </c>
      <c r="C462" s="240">
        <v>4</v>
      </c>
      <c r="D462" s="241" t="s">
        <v>1037</v>
      </c>
      <c r="E462" s="241" t="s">
        <v>287</v>
      </c>
      <c r="F462" s="240">
        <v>44.199999999999996</v>
      </c>
      <c r="G462" s="240"/>
      <c r="H462" s="239">
        <f>F462</f>
        <v>44.199999999999996</v>
      </c>
      <c r="I462" s="242">
        <v>30</v>
      </c>
      <c r="K462" s="10"/>
      <c r="L462" s="11"/>
    </row>
    <row r="463" spans="1:12">
      <c r="A463" s="238">
        <v>322530</v>
      </c>
      <c r="B463" s="239" t="s">
        <v>1270</v>
      </c>
      <c r="C463" s="240">
        <v>4</v>
      </c>
      <c r="D463" s="241" t="s">
        <v>1037</v>
      </c>
      <c r="E463" s="241" t="s">
        <v>287</v>
      </c>
      <c r="F463" s="240">
        <v>55</v>
      </c>
      <c r="G463" s="240"/>
      <c r="H463" s="239">
        <v>55</v>
      </c>
      <c r="I463" s="242">
        <v>28</v>
      </c>
      <c r="K463" s="10"/>
      <c r="L463" s="11"/>
    </row>
    <row r="464" spans="1:12">
      <c r="A464" s="238">
        <v>623934</v>
      </c>
      <c r="B464" s="239" t="s">
        <v>412</v>
      </c>
      <c r="C464" s="240">
        <v>4</v>
      </c>
      <c r="D464" s="241" t="s">
        <v>1037</v>
      </c>
      <c r="E464" s="241" t="s">
        <v>287</v>
      </c>
      <c r="F464" s="240">
        <v>44.2</v>
      </c>
      <c r="G464" s="240"/>
      <c r="H464" s="239">
        <v>43</v>
      </c>
      <c r="I464" s="242">
        <v>28</v>
      </c>
      <c r="K464" s="10"/>
      <c r="L464" s="11"/>
    </row>
    <row r="465" spans="1:12">
      <c r="A465" s="238">
        <v>541381</v>
      </c>
      <c r="B465" s="239" t="s">
        <v>320</v>
      </c>
      <c r="C465" s="240">
        <v>4</v>
      </c>
      <c r="D465" s="241" t="s">
        <v>1037</v>
      </c>
      <c r="E465" s="241" t="s">
        <v>287</v>
      </c>
      <c r="F465" s="240">
        <v>55</v>
      </c>
      <c r="G465" s="240"/>
      <c r="H465" s="239">
        <v>55</v>
      </c>
      <c r="I465" s="242">
        <v>30.08</v>
      </c>
      <c r="K465" s="10"/>
      <c r="L465" s="12"/>
    </row>
    <row r="466" spans="1:12">
      <c r="A466" s="238">
        <v>521997</v>
      </c>
      <c r="B466" s="239" t="s">
        <v>953</v>
      </c>
      <c r="C466" s="240">
        <v>4</v>
      </c>
      <c r="D466" s="241" t="s">
        <v>1037</v>
      </c>
      <c r="E466" s="241" t="s">
        <v>287</v>
      </c>
      <c r="F466" s="240">
        <v>44</v>
      </c>
      <c r="G466" s="240"/>
      <c r="H466" s="239">
        <v>40.590000000000003</v>
      </c>
      <c r="I466" s="242">
        <v>27.04</v>
      </c>
      <c r="K466" s="10"/>
      <c r="L466" s="12"/>
    </row>
    <row r="467" spans="1:12">
      <c r="A467" s="238">
        <v>322468</v>
      </c>
      <c r="B467" s="239" t="s">
        <v>384</v>
      </c>
      <c r="C467" s="240">
        <v>4</v>
      </c>
      <c r="D467" s="241" t="s">
        <v>1037</v>
      </c>
      <c r="E467" s="241" t="s">
        <v>287</v>
      </c>
      <c r="F467" s="240">
        <v>43</v>
      </c>
      <c r="G467" s="240"/>
      <c r="H467" s="239">
        <f>F467</f>
        <v>43</v>
      </c>
      <c r="I467" s="242">
        <v>24.92</v>
      </c>
      <c r="K467" s="10"/>
      <c r="L467" s="12"/>
    </row>
    <row r="468" spans="1:12">
      <c r="A468" s="238">
        <v>322475</v>
      </c>
      <c r="B468" s="239" t="s">
        <v>386</v>
      </c>
      <c r="C468" s="240">
        <v>4</v>
      </c>
      <c r="D468" s="241" t="s">
        <v>1037</v>
      </c>
      <c r="E468" s="241" t="s">
        <v>287</v>
      </c>
      <c r="F468" s="240">
        <v>53</v>
      </c>
      <c r="G468" s="240"/>
      <c r="H468" s="239">
        <f>F468</f>
        <v>53</v>
      </c>
      <c r="I468" s="242">
        <v>28</v>
      </c>
      <c r="K468" s="10"/>
      <c r="L468" s="11"/>
    </row>
    <row r="469" spans="1:12">
      <c r="A469" s="238">
        <v>323037</v>
      </c>
      <c r="B469" s="239" t="s">
        <v>450</v>
      </c>
      <c r="C469" s="240">
        <v>4</v>
      </c>
      <c r="D469" s="241" t="s">
        <v>1037</v>
      </c>
      <c r="E469" s="241" t="s">
        <v>287</v>
      </c>
      <c r="F469" s="240">
        <v>39.14</v>
      </c>
      <c r="G469" s="240"/>
      <c r="H469" s="239">
        <v>39.1</v>
      </c>
      <c r="I469" s="242">
        <v>22</v>
      </c>
      <c r="K469" s="10"/>
      <c r="L469" s="11"/>
    </row>
    <row r="470" spans="1:12">
      <c r="A470" s="238">
        <v>619711</v>
      </c>
      <c r="B470" s="239" t="s">
        <v>1243</v>
      </c>
      <c r="C470" s="240">
        <v>1</v>
      </c>
      <c r="D470" s="241" t="s">
        <v>1037</v>
      </c>
      <c r="E470" s="241" t="s">
        <v>287</v>
      </c>
      <c r="F470" s="240">
        <v>39.14</v>
      </c>
      <c r="G470" s="240"/>
      <c r="H470" s="239">
        <v>39.1</v>
      </c>
      <c r="I470" s="242">
        <v>9</v>
      </c>
      <c r="K470" s="10"/>
      <c r="L470" s="11"/>
    </row>
    <row r="471" spans="1:12">
      <c r="A471" s="238">
        <v>324294</v>
      </c>
      <c r="B471" s="239" t="s">
        <v>482</v>
      </c>
      <c r="C471" s="240">
        <v>4</v>
      </c>
      <c r="D471" s="241" t="s">
        <v>1037</v>
      </c>
      <c r="E471" s="241" t="s">
        <v>287</v>
      </c>
      <c r="F471" s="240">
        <v>39.299999999999997</v>
      </c>
      <c r="G471" s="240"/>
      <c r="H471" s="239">
        <v>40.6</v>
      </c>
      <c r="I471" s="242">
        <v>23.92</v>
      </c>
      <c r="K471" s="10"/>
      <c r="L471" s="11"/>
    </row>
    <row r="472" spans="1:12">
      <c r="A472" s="238">
        <v>322457</v>
      </c>
      <c r="B472" s="239" t="s">
        <v>145</v>
      </c>
      <c r="C472" s="240">
        <v>4</v>
      </c>
      <c r="D472" s="241" t="s">
        <v>1037</v>
      </c>
      <c r="E472" s="241" t="s">
        <v>287</v>
      </c>
      <c r="F472" s="240">
        <v>40</v>
      </c>
      <c r="G472" s="240"/>
      <c r="H472" s="239">
        <v>40.47</v>
      </c>
      <c r="I472" s="242">
        <v>26.2</v>
      </c>
      <c r="K472" s="10"/>
      <c r="L472" s="11"/>
    </row>
    <row r="473" spans="1:12">
      <c r="A473" s="238">
        <v>322459</v>
      </c>
      <c r="B473" s="239" t="s">
        <v>144</v>
      </c>
      <c r="C473" s="240">
        <v>4</v>
      </c>
      <c r="D473" s="241" t="s">
        <v>1037</v>
      </c>
      <c r="E473" s="241" t="s">
        <v>287</v>
      </c>
      <c r="F473" s="240">
        <v>40.5</v>
      </c>
      <c r="G473" s="240"/>
      <c r="H473" s="239">
        <v>40.5</v>
      </c>
      <c r="I473" s="242">
        <v>22.5</v>
      </c>
      <c r="K473" s="10"/>
      <c r="L473" s="11"/>
    </row>
    <row r="474" spans="1:12">
      <c r="A474" s="238">
        <v>322448</v>
      </c>
      <c r="B474" s="239" t="s">
        <v>143</v>
      </c>
      <c r="C474" s="240">
        <v>4</v>
      </c>
      <c r="D474" s="241" t="s">
        <v>1037</v>
      </c>
      <c r="E474" s="241" t="s">
        <v>1355</v>
      </c>
      <c r="F474" s="240">
        <v>40</v>
      </c>
      <c r="G474" s="240"/>
      <c r="H474" s="239">
        <v>40</v>
      </c>
      <c r="I474" s="242">
        <v>23</v>
      </c>
      <c r="K474" s="10"/>
      <c r="L474" s="11"/>
    </row>
    <row r="475" spans="1:12">
      <c r="A475" s="238">
        <v>324191</v>
      </c>
      <c r="B475" s="239" t="s">
        <v>142</v>
      </c>
      <c r="C475" s="240">
        <v>4</v>
      </c>
      <c r="D475" s="241" t="s">
        <v>1037</v>
      </c>
      <c r="E475" s="241" t="s">
        <v>287</v>
      </c>
      <c r="F475" s="240">
        <v>44</v>
      </c>
      <c r="G475" s="240"/>
      <c r="H475" s="239">
        <v>32</v>
      </c>
      <c r="I475" s="242">
        <v>27.9</v>
      </c>
      <c r="K475" s="10"/>
      <c r="L475" s="11"/>
    </row>
    <row r="476" spans="1:12">
      <c r="A476" s="238">
        <v>324183</v>
      </c>
      <c r="B476" s="239" t="s">
        <v>141</v>
      </c>
      <c r="C476" s="240">
        <v>4</v>
      </c>
      <c r="D476" s="241" t="s">
        <v>1037</v>
      </c>
      <c r="E476" s="241" t="s">
        <v>287</v>
      </c>
      <c r="F476" s="240">
        <v>36.729999999999997</v>
      </c>
      <c r="G476" s="240"/>
      <c r="H476" s="239">
        <v>36.729999999999997</v>
      </c>
      <c r="I476" s="242">
        <v>34.119999999999997</v>
      </c>
      <c r="K476" s="10"/>
      <c r="L476" s="11"/>
    </row>
    <row r="477" spans="1:12">
      <c r="A477" s="238">
        <v>399476</v>
      </c>
      <c r="B477" s="239" t="s">
        <v>285</v>
      </c>
      <c r="C477" s="240">
        <v>4</v>
      </c>
      <c r="D477" s="241" t="s">
        <v>1037</v>
      </c>
      <c r="E477" s="241" t="s">
        <v>287</v>
      </c>
      <c r="F477" s="240">
        <v>36.729999999999997</v>
      </c>
      <c r="G477" s="240"/>
      <c r="H477" s="239">
        <v>36.729999999999997</v>
      </c>
      <c r="I477" s="242">
        <v>36</v>
      </c>
      <c r="K477" s="10"/>
      <c r="L477" s="11"/>
    </row>
    <row r="478" spans="1:12">
      <c r="A478" s="238">
        <v>324185</v>
      </c>
      <c r="B478" s="239" t="s">
        <v>469</v>
      </c>
      <c r="C478" s="240">
        <v>4</v>
      </c>
      <c r="D478" s="241" t="s">
        <v>1037</v>
      </c>
      <c r="E478" s="241" t="s">
        <v>287</v>
      </c>
      <c r="F478" s="240">
        <v>36.729999999999997</v>
      </c>
      <c r="G478" s="240"/>
      <c r="H478" s="239">
        <v>36.729999999999997</v>
      </c>
      <c r="I478" s="242">
        <v>34.119999999999997</v>
      </c>
      <c r="K478" s="10"/>
      <c r="L478" s="11"/>
    </row>
    <row r="479" spans="1:12">
      <c r="A479" s="238">
        <v>324186</v>
      </c>
      <c r="B479" s="239" t="s">
        <v>140</v>
      </c>
      <c r="C479" s="240">
        <v>4</v>
      </c>
      <c r="D479" s="241" t="s">
        <v>1037</v>
      </c>
      <c r="E479" s="241" t="s">
        <v>287</v>
      </c>
      <c r="F479" s="240">
        <v>36.729999999999997</v>
      </c>
      <c r="G479" s="240"/>
      <c r="H479" s="239">
        <v>36.729999999999997</v>
      </c>
      <c r="I479" s="242">
        <v>34.119999999999997</v>
      </c>
      <c r="K479" s="10"/>
      <c r="L479" s="11"/>
    </row>
    <row r="480" spans="1:12">
      <c r="A480" s="238">
        <v>324187</v>
      </c>
      <c r="B480" s="239" t="s">
        <v>139</v>
      </c>
      <c r="C480" s="240">
        <v>4</v>
      </c>
      <c r="D480" s="241" t="s">
        <v>1037</v>
      </c>
      <c r="E480" s="241" t="s">
        <v>287</v>
      </c>
      <c r="F480" s="240">
        <v>36.729999999999997</v>
      </c>
      <c r="G480" s="240"/>
      <c r="H480" s="239">
        <v>36.729999999999997</v>
      </c>
      <c r="I480" s="242">
        <v>34.119999999999997</v>
      </c>
      <c r="K480" s="10"/>
      <c r="L480" s="11"/>
    </row>
    <row r="481" spans="1:12">
      <c r="A481" s="238">
        <v>324184</v>
      </c>
      <c r="B481" s="239" t="s">
        <v>138</v>
      </c>
      <c r="C481" s="240">
        <v>4</v>
      </c>
      <c r="D481" s="241" t="s">
        <v>1037</v>
      </c>
      <c r="E481" s="241" t="s">
        <v>287</v>
      </c>
      <c r="F481" s="240">
        <v>36.729999999999997</v>
      </c>
      <c r="G481" s="240"/>
      <c r="H481" s="239">
        <v>36.799999999999997</v>
      </c>
      <c r="I481" s="242">
        <v>34.119999999999997</v>
      </c>
      <c r="K481" s="10"/>
      <c r="L481" s="11"/>
    </row>
    <row r="482" spans="1:12">
      <c r="A482" s="238">
        <v>324188</v>
      </c>
      <c r="B482" s="239" t="s">
        <v>137</v>
      </c>
      <c r="C482" s="240">
        <v>4</v>
      </c>
      <c r="D482" s="241" t="s">
        <v>1037</v>
      </c>
      <c r="E482" s="241" t="s">
        <v>287</v>
      </c>
      <c r="F482" s="240">
        <v>36.800000000000004</v>
      </c>
      <c r="G482" s="240"/>
      <c r="H482" s="239">
        <f>F482</f>
        <v>36.800000000000004</v>
      </c>
      <c r="I482" s="242">
        <v>35</v>
      </c>
      <c r="K482" s="10"/>
      <c r="L482" s="11"/>
    </row>
    <row r="483" spans="1:12">
      <c r="A483" s="238">
        <v>322418</v>
      </c>
      <c r="B483" s="239" t="s">
        <v>136</v>
      </c>
      <c r="C483" s="240">
        <v>4</v>
      </c>
      <c r="D483" s="241" t="s">
        <v>1037</v>
      </c>
      <c r="E483" s="241" t="s">
        <v>287</v>
      </c>
      <c r="F483" s="240">
        <v>36</v>
      </c>
      <c r="G483" s="240"/>
      <c r="H483" s="239">
        <v>7.1</v>
      </c>
      <c r="I483" s="242">
        <v>35</v>
      </c>
      <c r="K483" s="10"/>
      <c r="L483" s="12"/>
    </row>
    <row r="484" spans="1:12">
      <c r="A484" s="238">
        <v>324182</v>
      </c>
      <c r="B484" s="239" t="s">
        <v>468</v>
      </c>
      <c r="C484" s="240">
        <v>4</v>
      </c>
      <c r="D484" s="241" t="s">
        <v>1037</v>
      </c>
      <c r="E484" s="241" t="s">
        <v>287</v>
      </c>
      <c r="F484" s="240">
        <v>36.800000000000004</v>
      </c>
      <c r="G484" s="240"/>
      <c r="H484" s="246">
        <f>F484*1.3</f>
        <v>47.840000000000011</v>
      </c>
      <c r="I484" s="242">
        <v>35</v>
      </c>
      <c r="K484" s="10"/>
      <c r="L484" s="11"/>
    </row>
    <row r="485" spans="1:12">
      <c r="A485" s="238">
        <v>590133</v>
      </c>
      <c r="B485" s="239" t="s">
        <v>1142</v>
      </c>
      <c r="C485" s="240">
        <v>4</v>
      </c>
      <c r="D485" s="241" t="s">
        <v>1037</v>
      </c>
      <c r="E485" s="241" t="s">
        <v>287</v>
      </c>
      <c r="F485" s="240">
        <v>36.729999999999997</v>
      </c>
      <c r="G485" s="240"/>
      <c r="H485" s="239">
        <v>36.799999999999997</v>
      </c>
      <c r="I485" s="242">
        <v>36</v>
      </c>
      <c r="K485" s="10"/>
      <c r="L485" s="11"/>
    </row>
    <row r="486" spans="1:12">
      <c r="A486" s="238">
        <v>522217</v>
      </c>
      <c r="B486" s="239" t="s">
        <v>955</v>
      </c>
      <c r="C486" s="240">
        <v>4</v>
      </c>
      <c r="D486" s="241" t="s">
        <v>1039</v>
      </c>
      <c r="E486" s="241" t="s">
        <v>1217</v>
      </c>
      <c r="F486" s="240">
        <v>6</v>
      </c>
      <c r="G486" s="240"/>
      <c r="H486" s="239">
        <v>6</v>
      </c>
      <c r="I486" s="242">
        <v>21.5</v>
      </c>
      <c r="K486" s="10"/>
      <c r="L486" s="12"/>
    </row>
    <row r="487" spans="1:12">
      <c r="A487" s="238">
        <v>541511</v>
      </c>
      <c r="B487" s="239" t="s">
        <v>972</v>
      </c>
      <c r="C487" s="240">
        <v>4</v>
      </c>
      <c r="D487" s="241" t="s">
        <v>1039</v>
      </c>
      <c r="E487" s="241" t="s">
        <v>295</v>
      </c>
      <c r="F487" s="240">
        <v>7.1</v>
      </c>
      <c r="G487" s="240"/>
      <c r="H487" s="239">
        <v>27.3</v>
      </c>
      <c r="I487" s="242">
        <v>18</v>
      </c>
      <c r="K487" s="10"/>
      <c r="L487" s="11"/>
    </row>
    <row r="488" spans="1:12">
      <c r="A488" s="238">
        <v>453884</v>
      </c>
      <c r="B488" s="239" t="s">
        <v>733</v>
      </c>
      <c r="C488" s="240">
        <v>4</v>
      </c>
      <c r="D488" s="241" t="s">
        <v>1039</v>
      </c>
      <c r="E488" s="241" t="s">
        <v>295</v>
      </c>
      <c r="F488" s="240">
        <v>6</v>
      </c>
      <c r="G488" s="240"/>
      <c r="H488" s="246">
        <f>F488*1.3</f>
        <v>7.8000000000000007</v>
      </c>
      <c r="I488" s="242">
        <v>18</v>
      </c>
      <c r="K488" s="10"/>
      <c r="L488" s="12"/>
    </row>
    <row r="489" spans="1:12">
      <c r="A489" s="238">
        <v>480192</v>
      </c>
      <c r="B489" s="239" t="s">
        <v>905</v>
      </c>
      <c r="C489" s="240">
        <v>4</v>
      </c>
      <c r="D489" s="241" t="s">
        <v>1039</v>
      </c>
      <c r="E489" s="241" t="s">
        <v>1331</v>
      </c>
      <c r="F489" s="240">
        <v>15.2</v>
      </c>
      <c r="G489" s="240"/>
      <c r="H489" s="246">
        <f>F489*1.3</f>
        <v>19.759999999999998</v>
      </c>
      <c r="I489" s="242">
        <v>21</v>
      </c>
      <c r="K489" s="10"/>
      <c r="L489" s="11"/>
    </row>
    <row r="490" spans="1:12">
      <c r="A490" s="238">
        <v>453885</v>
      </c>
      <c r="B490" s="239" t="s">
        <v>734</v>
      </c>
      <c r="C490" s="240">
        <v>4</v>
      </c>
      <c r="D490" s="241" t="s">
        <v>1039</v>
      </c>
      <c r="E490" s="241" t="s">
        <v>1217</v>
      </c>
      <c r="F490" s="240">
        <v>18</v>
      </c>
      <c r="G490" s="240"/>
      <c r="H490" s="239">
        <v>12</v>
      </c>
      <c r="I490" s="242">
        <v>21.2</v>
      </c>
      <c r="K490" s="10"/>
      <c r="L490" s="11"/>
    </row>
    <row r="491" spans="1:12">
      <c r="A491" s="238">
        <v>453886</v>
      </c>
      <c r="B491" s="239" t="s">
        <v>735</v>
      </c>
      <c r="C491" s="240">
        <v>4</v>
      </c>
      <c r="D491" s="241" t="s">
        <v>1039</v>
      </c>
      <c r="E491" s="241" t="s">
        <v>1217</v>
      </c>
      <c r="F491" s="240">
        <v>18</v>
      </c>
      <c r="G491" s="240"/>
      <c r="H491" s="246">
        <f t="shared" ref="H491:H497" si="8">F491*1.3</f>
        <v>23.400000000000002</v>
      </c>
      <c r="I491" s="242">
        <v>21.2</v>
      </c>
      <c r="K491" s="10"/>
      <c r="L491" s="12"/>
    </row>
    <row r="492" spans="1:12">
      <c r="A492" s="238">
        <v>453887</v>
      </c>
      <c r="B492" s="239" t="s">
        <v>736</v>
      </c>
      <c r="C492" s="240">
        <v>4</v>
      </c>
      <c r="D492" s="241" t="s">
        <v>1039</v>
      </c>
      <c r="E492" s="241" t="s">
        <v>292</v>
      </c>
      <c r="F492" s="240">
        <v>12</v>
      </c>
      <c r="G492" s="240"/>
      <c r="H492" s="246">
        <f t="shared" si="8"/>
        <v>15.600000000000001</v>
      </c>
      <c r="I492" s="242">
        <v>18</v>
      </c>
      <c r="K492" s="10"/>
      <c r="L492" s="12"/>
    </row>
    <row r="493" spans="1:12">
      <c r="A493" s="238">
        <v>618592</v>
      </c>
      <c r="B493" s="239" t="s">
        <v>1288</v>
      </c>
      <c r="C493" s="240">
        <v>4</v>
      </c>
      <c r="D493" s="241" t="s">
        <v>1039</v>
      </c>
      <c r="E493" s="241" t="s">
        <v>292</v>
      </c>
      <c r="F493" s="240">
        <v>15</v>
      </c>
      <c r="G493" s="240"/>
      <c r="H493" s="246">
        <v>26</v>
      </c>
      <c r="I493" s="242">
        <v>25</v>
      </c>
      <c r="K493" s="10"/>
      <c r="L493" s="12"/>
    </row>
    <row r="494" spans="1:12">
      <c r="A494" s="238">
        <v>453888</v>
      </c>
      <c r="B494" s="239" t="s">
        <v>1224</v>
      </c>
      <c r="C494" s="240">
        <v>4</v>
      </c>
      <c r="D494" s="241" t="s">
        <v>1039</v>
      </c>
      <c r="E494" s="241" t="s">
        <v>1217</v>
      </c>
      <c r="F494" s="240">
        <v>20</v>
      </c>
      <c r="G494" s="240"/>
      <c r="H494" s="246">
        <f t="shared" si="8"/>
        <v>26</v>
      </c>
      <c r="I494" s="242">
        <v>20</v>
      </c>
      <c r="K494" s="10"/>
      <c r="L494" s="11"/>
    </row>
    <row r="495" spans="1:12">
      <c r="A495" s="238">
        <v>454177</v>
      </c>
      <c r="B495" s="239" t="s">
        <v>820</v>
      </c>
      <c r="C495" s="240">
        <v>4</v>
      </c>
      <c r="D495" s="241" t="s">
        <v>1039</v>
      </c>
      <c r="E495" s="241" t="s">
        <v>295</v>
      </c>
      <c r="F495" s="240">
        <v>18</v>
      </c>
      <c r="G495" s="240"/>
      <c r="H495" s="246">
        <f t="shared" si="8"/>
        <v>23.400000000000002</v>
      </c>
      <c r="I495" s="242">
        <v>17</v>
      </c>
      <c r="K495" s="10"/>
      <c r="L495" s="12"/>
    </row>
    <row r="496" spans="1:12">
      <c r="A496" s="238">
        <v>453889</v>
      </c>
      <c r="B496" s="239" t="s">
        <v>737</v>
      </c>
      <c r="C496" s="240">
        <v>4</v>
      </c>
      <c r="D496" s="241" t="s">
        <v>1039</v>
      </c>
      <c r="E496" s="241" t="s">
        <v>295</v>
      </c>
      <c r="F496" s="240">
        <v>17</v>
      </c>
      <c r="G496" s="240"/>
      <c r="H496" s="246">
        <f t="shared" si="8"/>
        <v>22.1</v>
      </c>
      <c r="I496" s="242">
        <v>20.7</v>
      </c>
      <c r="K496" s="10"/>
      <c r="L496" s="11"/>
    </row>
    <row r="497" spans="1:12">
      <c r="A497" s="238">
        <v>453890</v>
      </c>
      <c r="B497" s="239" t="s">
        <v>738</v>
      </c>
      <c r="C497" s="240">
        <v>4</v>
      </c>
      <c r="D497" s="241" t="s">
        <v>1039</v>
      </c>
      <c r="E497" s="241" t="s">
        <v>1217</v>
      </c>
      <c r="F497" s="240">
        <v>16</v>
      </c>
      <c r="G497" s="240"/>
      <c r="H497" s="246">
        <f t="shared" si="8"/>
        <v>20.8</v>
      </c>
      <c r="I497" s="242">
        <v>16.5</v>
      </c>
      <c r="K497" s="10"/>
      <c r="L497" s="11"/>
    </row>
    <row r="498" spans="1:12">
      <c r="A498" s="238">
        <v>453891</v>
      </c>
      <c r="B498" s="239" t="s">
        <v>739</v>
      </c>
      <c r="C498" s="240">
        <v>4</v>
      </c>
      <c r="D498" s="241" t="s">
        <v>1039</v>
      </c>
      <c r="E498" s="241" t="s">
        <v>1217</v>
      </c>
      <c r="F498" s="240">
        <v>19</v>
      </c>
      <c r="G498" s="240"/>
      <c r="H498" s="239">
        <v>19.899999999999999</v>
      </c>
      <c r="I498" s="242">
        <v>20</v>
      </c>
      <c r="K498" s="10"/>
      <c r="L498" s="11"/>
    </row>
    <row r="499" spans="1:12">
      <c r="A499" s="238">
        <v>453892</v>
      </c>
      <c r="B499" s="239" t="s">
        <v>740</v>
      </c>
      <c r="C499" s="240">
        <v>4</v>
      </c>
      <c r="D499" s="241" t="s">
        <v>1039</v>
      </c>
      <c r="E499" s="241" t="s">
        <v>1217</v>
      </c>
      <c r="F499" s="240">
        <v>20</v>
      </c>
      <c r="G499" s="240"/>
      <c r="H499" s="246">
        <f>F499*1.3</f>
        <v>26</v>
      </c>
      <c r="I499" s="242">
        <v>18</v>
      </c>
      <c r="K499" s="10"/>
      <c r="L499" s="11"/>
    </row>
    <row r="500" spans="1:12">
      <c r="A500" s="238">
        <v>453893</v>
      </c>
      <c r="B500" s="239" t="s">
        <v>741</v>
      </c>
      <c r="C500" s="240">
        <v>4</v>
      </c>
      <c r="D500" s="241" t="s">
        <v>1039</v>
      </c>
      <c r="E500" s="241" t="s">
        <v>295</v>
      </c>
      <c r="F500" s="240">
        <v>20</v>
      </c>
      <c r="G500" s="240"/>
      <c r="H500" s="239">
        <v>20</v>
      </c>
      <c r="I500" s="242">
        <v>18</v>
      </c>
      <c r="K500" s="10"/>
      <c r="L500" s="11"/>
    </row>
    <row r="501" spans="1:12">
      <c r="A501" s="238">
        <v>453894</v>
      </c>
      <c r="B501" s="239" t="s">
        <v>742</v>
      </c>
      <c r="C501" s="240">
        <v>4</v>
      </c>
      <c r="D501" s="241" t="s">
        <v>1039</v>
      </c>
      <c r="E501" s="241" t="s">
        <v>295</v>
      </c>
      <c r="F501" s="240">
        <v>19</v>
      </c>
      <c r="G501" s="240"/>
      <c r="H501" s="239">
        <v>34</v>
      </c>
      <c r="I501" s="242">
        <v>18</v>
      </c>
      <c r="K501" s="10"/>
      <c r="L501" s="11"/>
    </row>
    <row r="502" spans="1:12">
      <c r="A502" s="238">
        <v>503660</v>
      </c>
      <c r="B502" s="239" t="s">
        <v>940</v>
      </c>
      <c r="C502" s="240">
        <v>4</v>
      </c>
      <c r="D502" s="241" t="s">
        <v>1039</v>
      </c>
      <c r="E502" s="241" t="s">
        <v>295</v>
      </c>
      <c r="F502" s="240">
        <v>21</v>
      </c>
      <c r="G502" s="240"/>
      <c r="H502" s="239">
        <v>38.1</v>
      </c>
      <c r="I502" s="242">
        <v>21.4</v>
      </c>
      <c r="K502" s="10"/>
      <c r="L502" s="12"/>
    </row>
    <row r="503" spans="1:12">
      <c r="A503" s="238">
        <v>453895</v>
      </c>
      <c r="B503" s="239" t="s">
        <v>743</v>
      </c>
      <c r="C503" s="240">
        <v>4</v>
      </c>
      <c r="D503" s="241" t="s">
        <v>1039</v>
      </c>
      <c r="E503" s="241" t="s">
        <v>1217</v>
      </c>
      <c r="F503" s="240">
        <v>20.6</v>
      </c>
      <c r="G503" s="240"/>
      <c r="H503" s="246">
        <v>33.5</v>
      </c>
      <c r="I503" s="242">
        <v>20.7</v>
      </c>
      <c r="K503" s="10"/>
      <c r="L503" s="12"/>
    </row>
    <row r="504" spans="1:12">
      <c r="A504" s="238">
        <v>461195</v>
      </c>
      <c r="B504" s="239" t="s">
        <v>879</v>
      </c>
      <c r="C504" s="240">
        <v>4</v>
      </c>
      <c r="D504" s="241" t="s">
        <v>1039</v>
      </c>
      <c r="E504" s="241" t="s">
        <v>295</v>
      </c>
      <c r="F504" s="240">
        <v>25</v>
      </c>
      <c r="G504" s="240"/>
      <c r="H504" s="239">
        <v>38</v>
      </c>
      <c r="I504" s="242">
        <v>20</v>
      </c>
      <c r="K504" s="10"/>
      <c r="L504" s="11"/>
    </row>
    <row r="505" spans="1:12">
      <c r="A505" s="238">
        <v>453896</v>
      </c>
      <c r="B505" s="239" t="s">
        <v>744</v>
      </c>
      <c r="C505" s="240">
        <v>4</v>
      </c>
      <c r="D505" s="241" t="s">
        <v>1039</v>
      </c>
      <c r="E505" s="241" t="s">
        <v>295</v>
      </c>
      <c r="F505" s="240">
        <v>20</v>
      </c>
      <c r="G505" s="240"/>
      <c r="H505" s="239">
        <v>21</v>
      </c>
      <c r="I505" s="242">
        <v>20</v>
      </c>
      <c r="K505" s="10"/>
      <c r="L505" s="12"/>
    </row>
    <row r="506" spans="1:12">
      <c r="A506" s="238">
        <v>453897</v>
      </c>
      <c r="B506" s="239" t="s">
        <v>745</v>
      </c>
      <c r="C506" s="240">
        <v>4</v>
      </c>
      <c r="D506" s="241" t="s">
        <v>1039</v>
      </c>
      <c r="E506" s="241" t="s">
        <v>1217</v>
      </c>
      <c r="F506" s="240">
        <v>19.399999999999999</v>
      </c>
      <c r="G506" s="240"/>
      <c r="H506" s="246">
        <f>F506*1.3</f>
        <v>25.22</v>
      </c>
      <c r="I506" s="242">
        <v>18</v>
      </c>
      <c r="K506" s="10"/>
      <c r="L506" s="12"/>
    </row>
    <row r="507" spans="1:12">
      <c r="A507" s="238">
        <v>453898</v>
      </c>
      <c r="B507" s="239" t="s">
        <v>746</v>
      </c>
      <c r="C507" s="240">
        <v>4</v>
      </c>
      <c r="D507" s="241" t="s">
        <v>1039</v>
      </c>
      <c r="E507" s="241" t="s">
        <v>1217</v>
      </c>
      <c r="F507" s="240">
        <v>20.7</v>
      </c>
      <c r="G507" s="240"/>
      <c r="H507" s="239">
        <v>30</v>
      </c>
      <c r="I507" s="242">
        <v>19.100000000000001</v>
      </c>
      <c r="K507" s="10"/>
      <c r="L507" s="11"/>
    </row>
    <row r="508" spans="1:12">
      <c r="A508" s="238">
        <v>454881</v>
      </c>
      <c r="B508" s="239" t="s">
        <v>870</v>
      </c>
      <c r="C508" s="240">
        <v>4</v>
      </c>
      <c r="D508" s="241" t="s">
        <v>1039</v>
      </c>
      <c r="E508" s="241" t="s">
        <v>295</v>
      </c>
      <c r="F508" s="240">
        <v>20.7</v>
      </c>
      <c r="G508" s="240"/>
      <c r="H508" s="246">
        <f>F508*1.3</f>
        <v>26.91</v>
      </c>
      <c r="I508" s="242">
        <v>19.100000000000001</v>
      </c>
      <c r="K508" s="10"/>
      <c r="L508" s="11"/>
    </row>
    <row r="509" spans="1:12">
      <c r="A509" s="238">
        <v>454883</v>
      </c>
      <c r="B509" s="239" t="s">
        <v>300</v>
      </c>
      <c r="C509" s="240">
        <v>4</v>
      </c>
      <c r="D509" s="241" t="s">
        <v>1039</v>
      </c>
      <c r="E509" s="241" t="s">
        <v>295</v>
      </c>
      <c r="F509" s="240">
        <v>20</v>
      </c>
      <c r="G509" s="240"/>
      <c r="H509" s="246">
        <f>F509*1.3</f>
        <v>26</v>
      </c>
      <c r="I509" s="242">
        <v>18.600000000000001</v>
      </c>
      <c r="K509" s="10"/>
      <c r="L509" s="12"/>
    </row>
    <row r="510" spans="1:12">
      <c r="A510" s="238">
        <v>453899</v>
      </c>
      <c r="B510" s="239" t="s">
        <v>747</v>
      </c>
      <c r="C510" s="240">
        <v>4</v>
      </c>
      <c r="D510" s="241" t="s">
        <v>1039</v>
      </c>
      <c r="E510" s="241" t="s">
        <v>1217</v>
      </c>
      <c r="F510" s="240">
        <v>20</v>
      </c>
      <c r="G510" s="240"/>
      <c r="H510" s="239">
        <v>31</v>
      </c>
      <c r="I510" s="242">
        <v>18</v>
      </c>
      <c r="K510" s="10"/>
      <c r="L510" s="12"/>
    </row>
    <row r="511" spans="1:12">
      <c r="A511" s="238">
        <v>453900</v>
      </c>
      <c r="B511" s="239" t="s">
        <v>748</v>
      </c>
      <c r="C511" s="240">
        <v>4</v>
      </c>
      <c r="D511" s="241" t="s">
        <v>1039</v>
      </c>
      <c r="E511" s="241" t="s">
        <v>295</v>
      </c>
      <c r="F511" s="240">
        <v>20.6</v>
      </c>
      <c r="G511" s="240"/>
      <c r="H511" s="246">
        <f>F511*1.3</f>
        <v>26.78</v>
      </c>
      <c r="I511" s="242">
        <v>18</v>
      </c>
      <c r="K511" s="10"/>
      <c r="L511" s="11"/>
    </row>
    <row r="512" spans="1:12">
      <c r="A512" s="238">
        <v>453901</v>
      </c>
      <c r="B512" s="239" t="s">
        <v>749</v>
      </c>
      <c r="C512" s="240">
        <v>4</v>
      </c>
      <c r="D512" s="241" t="s">
        <v>1039</v>
      </c>
      <c r="E512" s="241" t="s">
        <v>295</v>
      </c>
      <c r="F512" s="240">
        <v>20.6</v>
      </c>
      <c r="G512" s="240"/>
      <c r="H512" s="239">
        <v>25</v>
      </c>
      <c r="I512" s="242">
        <v>18</v>
      </c>
      <c r="K512" s="10"/>
      <c r="L512" s="12"/>
    </row>
    <row r="513" spans="1:12">
      <c r="A513" s="238">
        <v>454224</v>
      </c>
      <c r="B513" s="239" t="s">
        <v>849</v>
      </c>
      <c r="C513" s="240">
        <v>4</v>
      </c>
      <c r="D513" s="241" t="s">
        <v>1039</v>
      </c>
      <c r="E513" s="241" t="s">
        <v>295</v>
      </c>
      <c r="F513" s="240">
        <v>20</v>
      </c>
      <c r="G513" s="240"/>
      <c r="H513" s="239">
        <v>60.5</v>
      </c>
      <c r="I513" s="242">
        <v>20.399999999999999</v>
      </c>
      <c r="K513" s="10"/>
      <c r="L513" s="12"/>
    </row>
    <row r="514" spans="1:12">
      <c r="A514" s="238">
        <v>467002</v>
      </c>
      <c r="B514" s="239" t="s">
        <v>887</v>
      </c>
      <c r="C514" s="240">
        <v>4</v>
      </c>
      <c r="D514" s="241" t="s">
        <v>1039</v>
      </c>
      <c r="E514" s="241" t="s">
        <v>295</v>
      </c>
      <c r="F514" s="240">
        <v>21</v>
      </c>
      <c r="G514" s="240"/>
      <c r="H514" s="239">
        <v>37.5</v>
      </c>
      <c r="I514" s="242">
        <v>18</v>
      </c>
      <c r="K514" s="10"/>
      <c r="L514" s="12"/>
    </row>
    <row r="515" spans="1:12">
      <c r="A515" s="238">
        <v>453811</v>
      </c>
      <c r="B515" s="239" t="s">
        <v>686</v>
      </c>
      <c r="C515" s="240">
        <v>1</v>
      </c>
      <c r="D515" s="241" t="s">
        <v>1039</v>
      </c>
      <c r="E515" s="241" t="s">
        <v>1217</v>
      </c>
      <c r="F515" s="240">
        <v>38</v>
      </c>
      <c r="G515" s="240"/>
      <c r="H515" s="239">
        <v>60.3</v>
      </c>
      <c r="I515" s="242">
        <v>30</v>
      </c>
      <c r="K515" s="10"/>
      <c r="L515" s="12"/>
    </row>
    <row r="516" spans="1:12">
      <c r="A516" s="238">
        <v>453902</v>
      </c>
      <c r="B516" s="239" t="s">
        <v>750</v>
      </c>
      <c r="C516" s="240">
        <v>4</v>
      </c>
      <c r="D516" s="241" t="s">
        <v>1039</v>
      </c>
      <c r="E516" s="241" t="s">
        <v>1217</v>
      </c>
      <c r="F516" s="240">
        <v>21</v>
      </c>
      <c r="G516" s="240"/>
      <c r="H516" s="239">
        <v>24.6</v>
      </c>
      <c r="I516" s="242">
        <v>18</v>
      </c>
      <c r="K516" s="10"/>
      <c r="L516" s="12"/>
    </row>
    <row r="517" spans="1:12">
      <c r="A517" s="238">
        <v>453903</v>
      </c>
      <c r="B517" s="239" t="s">
        <v>751</v>
      </c>
      <c r="C517" s="240">
        <v>4</v>
      </c>
      <c r="D517" s="241" t="s">
        <v>1039</v>
      </c>
      <c r="E517" s="241" t="s">
        <v>295</v>
      </c>
      <c r="F517" s="240">
        <v>23.4</v>
      </c>
      <c r="G517" s="240"/>
      <c r="H517" s="239">
        <v>28</v>
      </c>
      <c r="I517" s="242">
        <v>22.6</v>
      </c>
      <c r="K517" s="10"/>
      <c r="L517" s="12"/>
    </row>
    <row r="518" spans="1:12">
      <c r="A518" s="238">
        <v>453904</v>
      </c>
      <c r="B518" s="239" t="s">
        <v>752</v>
      </c>
      <c r="C518" s="240">
        <v>4</v>
      </c>
      <c r="D518" s="241" t="s">
        <v>1039</v>
      </c>
      <c r="E518" s="241" t="s">
        <v>295</v>
      </c>
      <c r="F518" s="240">
        <v>24</v>
      </c>
      <c r="G518" s="240"/>
      <c r="H518" s="239">
        <v>25</v>
      </c>
      <c r="I518" s="242">
        <v>26.4</v>
      </c>
      <c r="K518" s="10"/>
      <c r="L518" s="11"/>
    </row>
    <row r="519" spans="1:12">
      <c r="A519" s="238">
        <v>453905</v>
      </c>
      <c r="B519" s="239" t="s">
        <v>753</v>
      </c>
      <c r="C519" s="240">
        <v>4</v>
      </c>
      <c r="D519" s="241" t="s">
        <v>1039</v>
      </c>
      <c r="E519" s="241" t="s">
        <v>295</v>
      </c>
      <c r="F519" s="240">
        <v>28</v>
      </c>
      <c r="G519" s="240"/>
      <c r="H519" s="239">
        <v>26</v>
      </c>
      <c r="I519" s="242">
        <v>24.4</v>
      </c>
      <c r="K519" s="10"/>
      <c r="L519" s="12"/>
    </row>
    <row r="520" spans="1:12">
      <c r="A520" s="238">
        <v>465634</v>
      </c>
      <c r="B520" s="239" t="s">
        <v>885</v>
      </c>
      <c r="C520" s="240">
        <v>4</v>
      </c>
      <c r="D520" s="241" t="s">
        <v>1039</v>
      </c>
      <c r="E520" s="241" t="s">
        <v>295</v>
      </c>
      <c r="F520" s="240">
        <v>28</v>
      </c>
      <c r="G520" s="240"/>
      <c r="H520" s="239">
        <v>29</v>
      </c>
      <c r="I520" s="242">
        <v>19.100000000000001</v>
      </c>
      <c r="K520" s="10"/>
      <c r="L520" s="12"/>
    </row>
    <row r="521" spans="1:12">
      <c r="A521" s="238">
        <v>459267</v>
      </c>
      <c r="B521" s="239" t="s">
        <v>877</v>
      </c>
      <c r="C521" s="240">
        <v>4</v>
      </c>
      <c r="D521" s="241" t="s">
        <v>1039</v>
      </c>
      <c r="E521" s="241" t="s">
        <v>295</v>
      </c>
      <c r="F521" s="240">
        <v>23</v>
      </c>
      <c r="G521" s="240"/>
      <c r="H521" s="246">
        <f>F521*1.3</f>
        <v>29.900000000000002</v>
      </c>
      <c r="I521" s="242">
        <v>18</v>
      </c>
      <c r="K521" s="10"/>
      <c r="L521" s="12"/>
    </row>
    <row r="522" spans="1:12">
      <c r="A522" s="238">
        <v>453906</v>
      </c>
      <c r="B522" s="239" t="s">
        <v>754</v>
      </c>
      <c r="C522" s="240">
        <v>4</v>
      </c>
      <c r="D522" s="241" t="s">
        <v>1039</v>
      </c>
      <c r="E522" s="241" t="s">
        <v>295</v>
      </c>
      <c r="F522" s="240">
        <v>28</v>
      </c>
      <c r="G522" s="240"/>
      <c r="H522" s="239">
        <v>27</v>
      </c>
      <c r="I522" s="242">
        <v>18</v>
      </c>
      <c r="K522" s="10"/>
      <c r="L522" s="12"/>
    </row>
    <row r="523" spans="1:12">
      <c r="A523" s="238">
        <v>453907</v>
      </c>
      <c r="B523" s="239" t="s">
        <v>755</v>
      </c>
      <c r="C523" s="240">
        <v>4</v>
      </c>
      <c r="D523" s="241" t="s">
        <v>1039</v>
      </c>
      <c r="E523" s="241" t="s">
        <v>295</v>
      </c>
      <c r="F523" s="240">
        <v>23</v>
      </c>
      <c r="G523" s="240"/>
      <c r="H523" s="239">
        <v>24</v>
      </c>
      <c r="I523" s="242">
        <v>20</v>
      </c>
      <c r="K523" s="10"/>
      <c r="L523" s="12"/>
    </row>
    <row r="524" spans="1:12">
      <c r="A524" s="238">
        <v>453908</v>
      </c>
      <c r="B524" s="239" t="s">
        <v>756</v>
      </c>
      <c r="C524" s="240">
        <v>4</v>
      </c>
      <c r="D524" s="241" t="s">
        <v>1039</v>
      </c>
      <c r="E524" s="241" t="s">
        <v>295</v>
      </c>
      <c r="F524" s="240">
        <v>26.8</v>
      </c>
      <c r="G524" s="240"/>
      <c r="H524" s="246">
        <f>F524*1.3</f>
        <v>34.840000000000003</v>
      </c>
      <c r="I524" s="242">
        <v>18</v>
      </c>
      <c r="K524" s="10"/>
      <c r="L524" s="12"/>
    </row>
    <row r="525" spans="1:12">
      <c r="A525" s="238">
        <v>453909</v>
      </c>
      <c r="B525" s="239" t="s">
        <v>757</v>
      </c>
      <c r="C525" s="240">
        <v>4</v>
      </c>
      <c r="D525" s="241" t="s">
        <v>1039</v>
      </c>
      <c r="E525" s="241" t="s">
        <v>295</v>
      </c>
      <c r="F525" s="240">
        <v>23.3</v>
      </c>
      <c r="G525" s="240"/>
      <c r="H525" s="239">
        <v>25.3</v>
      </c>
      <c r="I525" s="242">
        <v>24.1</v>
      </c>
      <c r="K525" s="10"/>
      <c r="L525" s="11"/>
    </row>
    <row r="526" spans="1:12">
      <c r="A526" s="238">
        <v>461197</v>
      </c>
      <c r="B526" s="239" t="s">
        <v>880</v>
      </c>
      <c r="C526" s="240">
        <v>4</v>
      </c>
      <c r="D526" s="241" t="s">
        <v>1039</v>
      </c>
      <c r="E526" s="241" t="s">
        <v>295</v>
      </c>
      <c r="F526" s="240">
        <v>23</v>
      </c>
      <c r="G526" s="240"/>
      <c r="H526" s="239">
        <v>26</v>
      </c>
      <c r="I526" s="242">
        <v>18</v>
      </c>
      <c r="K526" s="10"/>
      <c r="L526" s="11"/>
    </row>
    <row r="527" spans="1:12">
      <c r="A527" s="238">
        <v>453910</v>
      </c>
      <c r="B527" s="239" t="s">
        <v>758</v>
      </c>
      <c r="C527" s="240">
        <v>4</v>
      </c>
      <c r="D527" s="241" t="s">
        <v>1039</v>
      </c>
      <c r="E527" s="241" t="s">
        <v>295</v>
      </c>
      <c r="F527" s="240">
        <v>21</v>
      </c>
      <c r="G527" s="240"/>
      <c r="H527" s="239">
        <v>35</v>
      </c>
      <c r="I527" s="242">
        <v>18</v>
      </c>
      <c r="K527" s="10"/>
      <c r="L527" s="11"/>
    </row>
    <row r="528" spans="1:12">
      <c r="A528" s="238">
        <v>493614</v>
      </c>
      <c r="B528" s="239" t="s">
        <v>935</v>
      </c>
      <c r="C528" s="240">
        <v>4</v>
      </c>
      <c r="D528" s="241" t="s">
        <v>1039</v>
      </c>
      <c r="E528" s="241" t="s">
        <v>295</v>
      </c>
      <c r="F528" s="240">
        <v>21</v>
      </c>
      <c r="G528" s="240"/>
      <c r="H528" s="239">
        <v>36</v>
      </c>
      <c r="I528" s="242">
        <v>18</v>
      </c>
      <c r="K528" s="10"/>
      <c r="L528" s="12"/>
    </row>
    <row r="529" spans="1:12">
      <c r="A529" s="238">
        <v>453911</v>
      </c>
      <c r="B529" s="239" t="s">
        <v>759</v>
      </c>
      <c r="C529" s="240">
        <v>4</v>
      </c>
      <c r="D529" s="241" t="s">
        <v>1039</v>
      </c>
      <c r="E529" s="241" t="s">
        <v>294</v>
      </c>
      <c r="F529" s="240">
        <v>34</v>
      </c>
      <c r="G529" s="240"/>
      <c r="H529" s="246">
        <f>F529*1.3</f>
        <v>44.2</v>
      </c>
      <c r="I529" s="242">
        <v>19</v>
      </c>
      <c r="K529" s="10"/>
      <c r="L529" s="12"/>
    </row>
    <row r="530" spans="1:12">
      <c r="A530" s="238">
        <v>453912</v>
      </c>
      <c r="B530" s="239" t="s">
        <v>760</v>
      </c>
      <c r="C530" s="240">
        <v>4</v>
      </c>
      <c r="D530" s="241" t="s">
        <v>1039</v>
      </c>
      <c r="E530" s="241" t="s">
        <v>1183</v>
      </c>
      <c r="F530" s="240">
        <v>34</v>
      </c>
      <c r="G530" s="240"/>
      <c r="H530" s="246">
        <f>F530*1.3</f>
        <v>44.2</v>
      </c>
      <c r="I530" s="242">
        <v>19</v>
      </c>
      <c r="K530" s="10"/>
      <c r="L530" s="11"/>
    </row>
    <row r="531" spans="1:12">
      <c r="A531" s="238">
        <v>453913</v>
      </c>
      <c r="B531" s="239" t="s">
        <v>761</v>
      </c>
      <c r="C531" s="240">
        <v>4</v>
      </c>
      <c r="D531" s="241" t="s">
        <v>1039</v>
      </c>
      <c r="E531" s="241" t="s">
        <v>294</v>
      </c>
      <c r="F531" s="240">
        <v>34</v>
      </c>
      <c r="G531" s="240"/>
      <c r="H531" s="239">
        <v>29.5</v>
      </c>
      <c r="I531" s="242">
        <v>19</v>
      </c>
      <c r="K531" s="10"/>
      <c r="L531" s="11"/>
    </row>
    <row r="532" spans="1:12">
      <c r="A532" s="238">
        <v>453914</v>
      </c>
      <c r="B532" s="239" t="s">
        <v>762</v>
      </c>
      <c r="C532" s="240">
        <v>4</v>
      </c>
      <c r="D532" s="241" t="s">
        <v>1039</v>
      </c>
      <c r="E532" s="241" t="s">
        <v>295</v>
      </c>
      <c r="F532" s="240">
        <v>28</v>
      </c>
      <c r="G532" s="240"/>
      <c r="H532" s="239">
        <v>24</v>
      </c>
      <c r="I532" s="242">
        <v>22</v>
      </c>
      <c r="K532" s="10"/>
      <c r="L532" s="11"/>
    </row>
    <row r="533" spans="1:12">
      <c r="A533" s="238">
        <v>453916</v>
      </c>
      <c r="B533" s="239" t="s">
        <v>764</v>
      </c>
      <c r="C533" s="240">
        <v>4</v>
      </c>
      <c r="D533" s="241" t="s">
        <v>1039</v>
      </c>
      <c r="E533" s="241" t="s">
        <v>295</v>
      </c>
      <c r="F533" s="240">
        <v>29.5</v>
      </c>
      <c r="G533" s="240"/>
      <c r="H533" s="246">
        <v>43.5</v>
      </c>
      <c r="I533" s="242">
        <v>21.1</v>
      </c>
      <c r="K533" s="10"/>
      <c r="L533" s="11"/>
    </row>
    <row r="534" spans="1:12">
      <c r="A534" s="238">
        <v>453915</v>
      </c>
      <c r="B534" s="239" t="s">
        <v>763</v>
      </c>
      <c r="C534" s="240">
        <v>4</v>
      </c>
      <c r="D534" s="241" t="s">
        <v>1039</v>
      </c>
      <c r="E534" s="241" t="s">
        <v>295</v>
      </c>
      <c r="F534" s="240">
        <v>24</v>
      </c>
      <c r="G534" s="240"/>
      <c r="H534" s="239">
        <v>37.799999999999997</v>
      </c>
      <c r="I534" s="242">
        <v>30.54</v>
      </c>
      <c r="K534" s="10"/>
      <c r="L534" s="11"/>
    </row>
    <row r="535" spans="1:12">
      <c r="A535" s="238">
        <v>453917</v>
      </c>
      <c r="B535" s="239" t="s">
        <v>765</v>
      </c>
      <c r="C535" s="240">
        <v>4</v>
      </c>
      <c r="D535" s="241" t="s">
        <v>1039</v>
      </c>
      <c r="E535" s="241" t="s">
        <v>295</v>
      </c>
      <c r="F535" s="240">
        <v>23</v>
      </c>
      <c r="G535" s="240"/>
      <c r="H535" s="246">
        <f>F535*1.3</f>
        <v>29.900000000000002</v>
      </c>
      <c r="I535" s="242">
        <v>21.1</v>
      </c>
      <c r="K535" s="10"/>
      <c r="L535" s="11"/>
    </row>
    <row r="536" spans="1:12">
      <c r="A536" s="238">
        <v>454228</v>
      </c>
      <c r="B536" s="239" t="s">
        <v>853</v>
      </c>
      <c r="C536" s="240">
        <v>4</v>
      </c>
      <c r="D536" s="241" t="s">
        <v>1039</v>
      </c>
      <c r="E536" s="241" t="s">
        <v>295</v>
      </c>
      <c r="F536" s="240">
        <v>23</v>
      </c>
      <c r="G536" s="240"/>
      <c r="H536" s="239">
        <v>40.200000000000003</v>
      </c>
      <c r="I536" s="242">
        <v>23</v>
      </c>
      <c r="K536" s="10"/>
      <c r="L536" s="11"/>
    </row>
    <row r="537" spans="1:12">
      <c r="A537" s="238">
        <v>453918</v>
      </c>
      <c r="B537" s="239" t="s">
        <v>766</v>
      </c>
      <c r="C537" s="240">
        <v>4</v>
      </c>
      <c r="D537" s="241" t="s">
        <v>1039</v>
      </c>
      <c r="E537" s="241" t="s">
        <v>295</v>
      </c>
      <c r="F537" s="240">
        <v>24</v>
      </c>
      <c r="G537" s="240"/>
      <c r="H537" s="246">
        <f>F537*1.3</f>
        <v>31.200000000000003</v>
      </c>
      <c r="I537" s="242">
        <v>18</v>
      </c>
      <c r="K537" s="10"/>
      <c r="L537" s="11"/>
    </row>
    <row r="538" spans="1:12">
      <c r="A538" s="238">
        <v>454259</v>
      </c>
      <c r="B538" s="239" t="s">
        <v>301</v>
      </c>
      <c r="C538" s="240">
        <v>4</v>
      </c>
      <c r="D538" s="241" t="s">
        <v>1039</v>
      </c>
      <c r="E538" s="241" t="s">
        <v>295</v>
      </c>
      <c r="F538" s="240">
        <v>24</v>
      </c>
      <c r="G538" s="240"/>
      <c r="H538" s="239">
        <v>40.700000000000003</v>
      </c>
      <c r="I538" s="242">
        <v>18</v>
      </c>
      <c r="K538" s="10"/>
      <c r="L538" s="12"/>
    </row>
    <row r="539" spans="1:12">
      <c r="A539" s="238">
        <v>453919</v>
      </c>
      <c r="B539" s="239" t="s">
        <v>767</v>
      </c>
      <c r="C539" s="240">
        <v>4</v>
      </c>
      <c r="D539" s="241" t="s">
        <v>1039</v>
      </c>
      <c r="E539" s="241" t="s">
        <v>295</v>
      </c>
      <c r="F539" s="240">
        <v>23.6</v>
      </c>
      <c r="G539" s="240"/>
      <c r="H539" s="246">
        <f>F539*1.3</f>
        <v>30.680000000000003</v>
      </c>
      <c r="I539" s="242">
        <v>20.3</v>
      </c>
      <c r="K539" s="10"/>
      <c r="L539" s="11"/>
    </row>
    <row r="540" spans="1:12">
      <c r="A540" s="238">
        <v>453920</v>
      </c>
      <c r="B540" s="239" t="s">
        <v>768</v>
      </c>
      <c r="C540" s="240">
        <v>4</v>
      </c>
      <c r="D540" s="241" t="s">
        <v>1039</v>
      </c>
      <c r="E540" s="241" t="s">
        <v>295</v>
      </c>
      <c r="F540" s="240">
        <v>28</v>
      </c>
      <c r="G540" s="240"/>
      <c r="H540" s="246">
        <f>F540*1.3</f>
        <v>36.4</v>
      </c>
      <c r="I540" s="242">
        <v>19</v>
      </c>
      <c r="K540" s="10"/>
      <c r="L540" s="11"/>
    </row>
    <row r="541" spans="1:12">
      <c r="A541" s="238">
        <v>453921</v>
      </c>
      <c r="B541" s="239" t="s">
        <v>769</v>
      </c>
      <c r="C541" s="240">
        <v>2</v>
      </c>
      <c r="D541" s="241" t="s">
        <v>1039</v>
      </c>
      <c r="E541" s="241" t="s">
        <v>295</v>
      </c>
      <c r="F541" s="240">
        <v>31.7</v>
      </c>
      <c r="G541" s="240"/>
      <c r="H541" s="239">
        <v>46</v>
      </c>
      <c r="I541" s="242">
        <v>20.100000000000001</v>
      </c>
      <c r="K541" s="10"/>
      <c r="L541" s="12"/>
    </row>
    <row r="542" spans="1:12">
      <c r="A542" s="238">
        <v>528872</v>
      </c>
      <c r="B542" s="239" t="s">
        <v>959</v>
      </c>
      <c r="C542" s="240">
        <v>4</v>
      </c>
      <c r="D542" s="241" t="s">
        <v>1039</v>
      </c>
      <c r="E542" s="241" t="s">
        <v>295</v>
      </c>
      <c r="F542" s="240">
        <v>35</v>
      </c>
      <c r="G542" s="240"/>
      <c r="H542" s="246">
        <f>F542*1.3</f>
        <v>45.5</v>
      </c>
      <c r="I542" s="242">
        <v>25</v>
      </c>
      <c r="K542" s="10"/>
      <c r="L542" s="12"/>
    </row>
    <row r="543" spans="1:12">
      <c r="A543" s="238">
        <v>531765</v>
      </c>
      <c r="B543" s="239" t="s">
        <v>964</v>
      </c>
      <c r="C543" s="240">
        <v>4</v>
      </c>
      <c r="D543" s="241" t="s">
        <v>1039</v>
      </c>
      <c r="E543" s="241" t="s">
        <v>295</v>
      </c>
      <c r="F543" s="240">
        <v>35.1</v>
      </c>
      <c r="G543" s="240"/>
      <c r="H543" s="239">
        <v>24</v>
      </c>
      <c r="I543" s="242">
        <v>26.1</v>
      </c>
      <c r="K543" s="10"/>
      <c r="L543" s="12"/>
    </row>
    <row r="544" spans="1:12">
      <c r="A544" s="238">
        <v>453922</v>
      </c>
      <c r="B544" s="239" t="s">
        <v>770</v>
      </c>
      <c r="C544" s="240">
        <v>4</v>
      </c>
      <c r="D544" s="241" t="s">
        <v>1039</v>
      </c>
      <c r="E544" s="241" t="s">
        <v>295</v>
      </c>
      <c r="F544" s="240">
        <v>23</v>
      </c>
      <c r="G544" s="240"/>
      <c r="H544" s="246">
        <f>F544*1.3</f>
        <v>29.900000000000002</v>
      </c>
      <c r="I544" s="242">
        <v>20</v>
      </c>
      <c r="K544" s="10"/>
      <c r="L544" s="11"/>
    </row>
    <row r="545" spans="1:12">
      <c r="A545" s="238">
        <v>472338</v>
      </c>
      <c r="B545" s="239" t="s">
        <v>893</v>
      </c>
      <c r="C545" s="240">
        <v>4</v>
      </c>
      <c r="D545" s="241" t="s">
        <v>1039</v>
      </c>
      <c r="E545" s="241" t="s">
        <v>295</v>
      </c>
      <c r="F545" s="240">
        <v>21</v>
      </c>
      <c r="G545" s="240"/>
      <c r="H545" s="246">
        <f>F545*1.3</f>
        <v>27.3</v>
      </c>
      <c r="I545" s="242">
        <v>18</v>
      </c>
      <c r="K545" s="10"/>
      <c r="L545" s="12"/>
    </row>
    <row r="546" spans="1:12">
      <c r="A546" s="238">
        <v>453923</v>
      </c>
      <c r="B546" s="239" t="s">
        <v>771</v>
      </c>
      <c r="C546" s="240">
        <v>4</v>
      </c>
      <c r="D546" s="241" t="s">
        <v>1039</v>
      </c>
      <c r="E546" s="241" t="s">
        <v>295</v>
      </c>
      <c r="F546" s="240">
        <v>39.200000000000003</v>
      </c>
      <c r="G546" s="240"/>
      <c r="H546" s="239">
        <v>60</v>
      </c>
      <c r="I546" s="242">
        <v>32.5</v>
      </c>
      <c r="K546" s="10"/>
      <c r="L546" s="11"/>
    </row>
    <row r="547" spans="1:12">
      <c r="A547" s="238">
        <v>453924</v>
      </c>
      <c r="B547" s="239" t="s">
        <v>772</v>
      </c>
      <c r="C547" s="240">
        <v>4</v>
      </c>
      <c r="D547" s="241" t="s">
        <v>1039</v>
      </c>
      <c r="E547" s="241" t="s">
        <v>295</v>
      </c>
      <c r="F547" s="240">
        <v>28</v>
      </c>
      <c r="G547" s="240"/>
      <c r="H547" s="239">
        <v>28.5</v>
      </c>
      <c r="I547" s="242">
        <v>20</v>
      </c>
      <c r="K547" s="10"/>
      <c r="L547" s="11"/>
    </row>
    <row r="548" spans="1:12">
      <c r="A548" s="238">
        <v>552603</v>
      </c>
      <c r="B548" s="239" t="s">
        <v>990</v>
      </c>
      <c r="C548" s="240">
        <v>4</v>
      </c>
      <c r="D548" s="241" t="s">
        <v>1039</v>
      </c>
      <c r="E548" s="241" t="s">
        <v>295</v>
      </c>
      <c r="F548" s="240">
        <v>45</v>
      </c>
      <c r="G548" s="240"/>
      <c r="H548" s="239">
        <v>36</v>
      </c>
      <c r="I548" s="242">
        <v>30</v>
      </c>
      <c r="K548" s="10"/>
      <c r="L548" s="12"/>
    </row>
    <row r="549" spans="1:12">
      <c r="A549" s="238">
        <v>453925</v>
      </c>
      <c r="B549" s="239" t="s">
        <v>773</v>
      </c>
      <c r="C549" s="240">
        <v>1</v>
      </c>
      <c r="D549" s="241" t="s">
        <v>1039</v>
      </c>
      <c r="E549" s="241" t="s">
        <v>295</v>
      </c>
      <c r="F549" s="240">
        <v>28</v>
      </c>
      <c r="G549" s="240"/>
      <c r="H549" s="239">
        <v>58</v>
      </c>
      <c r="I549" s="242">
        <v>19</v>
      </c>
      <c r="K549" s="10"/>
      <c r="L549" s="12"/>
    </row>
    <row r="550" spans="1:12">
      <c r="A550" s="238">
        <v>454241</v>
      </c>
      <c r="B550" s="239" t="s">
        <v>856</v>
      </c>
      <c r="C550" s="240">
        <v>4</v>
      </c>
      <c r="D550" s="241" t="s">
        <v>1039</v>
      </c>
      <c r="E550" s="241" t="s">
        <v>295</v>
      </c>
      <c r="F550" s="240">
        <v>36</v>
      </c>
      <c r="G550" s="240"/>
      <c r="H550" s="246">
        <f>F550*1.3</f>
        <v>46.800000000000004</v>
      </c>
      <c r="I550" s="242">
        <v>22.8</v>
      </c>
      <c r="K550" s="10"/>
      <c r="L550" s="12"/>
    </row>
    <row r="551" spans="1:12">
      <c r="A551" s="238">
        <v>454183</v>
      </c>
      <c r="B551" s="239" t="s">
        <v>824</v>
      </c>
      <c r="C551" s="240">
        <v>2</v>
      </c>
      <c r="D551" s="241" t="s">
        <v>1039</v>
      </c>
      <c r="E551" s="241" t="s">
        <v>292</v>
      </c>
      <c r="F551" s="240">
        <v>38</v>
      </c>
      <c r="G551" s="240"/>
      <c r="H551" s="239">
        <v>44.08</v>
      </c>
      <c r="I551" s="242">
        <v>20.9</v>
      </c>
      <c r="K551" s="10"/>
      <c r="L551" s="12"/>
    </row>
    <row r="552" spans="1:12">
      <c r="A552" s="238">
        <v>454184</v>
      </c>
      <c r="B552" s="239" t="s">
        <v>825</v>
      </c>
      <c r="C552" s="240">
        <v>2</v>
      </c>
      <c r="D552" s="241" t="s">
        <v>1039</v>
      </c>
      <c r="E552" s="241" t="s">
        <v>292</v>
      </c>
      <c r="F552" s="240">
        <v>38</v>
      </c>
      <c r="G552" s="240"/>
      <c r="H552" s="239"/>
      <c r="I552" s="242">
        <v>20.9</v>
      </c>
      <c r="K552" s="10"/>
      <c r="L552" s="12"/>
    </row>
    <row r="553" spans="1:12">
      <c r="A553" s="238">
        <v>453926</v>
      </c>
      <c r="B553" s="239" t="s">
        <v>774</v>
      </c>
      <c r="C553" s="240">
        <v>2</v>
      </c>
      <c r="D553" s="241" t="s">
        <v>1039</v>
      </c>
      <c r="E553" s="241" t="s">
        <v>295</v>
      </c>
      <c r="F553" s="240">
        <v>34</v>
      </c>
      <c r="G553" s="240"/>
      <c r="H553" s="239">
        <v>31</v>
      </c>
      <c r="I553" s="242">
        <v>18</v>
      </c>
      <c r="K553" s="10"/>
      <c r="L553" s="12"/>
    </row>
    <row r="554" spans="1:12">
      <c r="A554" s="238">
        <v>554304</v>
      </c>
      <c r="B554" s="239" t="s">
        <v>774</v>
      </c>
      <c r="C554" s="240">
        <v>2</v>
      </c>
      <c r="D554" s="241" t="s">
        <v>1039</v>
      </c>
      <c r="E554" s="241" t="s">
        <v>295</v>
      </c>
      <c r="F554" s="240">
        <v>34</v>
      </c>
      <c r="G554" s="240"/>
      <c r="H554" s="239">
        <v>61.2</v>
      </c>
      <c r="I554" s="242">
        <v>18</v>
      </c>
      <c r="K554" s="10"/>
      <c r="L554" s="12"/>
    </row>
    <row r="555" spans="1:12">
      <c r="A555" s="238">
        <v>453927</v>
      </c>
      <c r="B555" s="239" t="s">
        <v>775</v>
      </c>
      <c r="C555" s="240">
        <v>2</v>
      </c>
      <c r="D555" s="241" t="s">
        <v>1039</v>
      </c>
      <c r="E555" s="241" t="s">
        <v>295</v>
      </c>
      <c r="F555" s="240">
        <v>31.4</v>
      </c>
      <c r="G555" s="240"/>
      <c r="H555" s="239">
        <v>67.8</v>
      </c>
      <c r="I555" s="242">
        <v>21.6</v>
      </c>
      <c r="K555" s="10"/>
      <c r="L555" s="12"/>
    </row>
    <row r="556" spans="1:12">
      <c r="A556" s="238">
        <v>453928</v>
      </c>
      <c r="B556" s="239" t="s">
        <v>776</v>
      </c>
      <c r="C556" s="240">
        <v>2</v>
      </c>
      <c r="D556" s="241" t="s">
        <v>1039</v>
      </c>
      <c r="E556" s="241" t="s">
        <v>295</v>
      </c>
      <c r="F556" s="240">
        <v>43</v>
      </c>
      <c r="G556" s="240"/>
      <c r="H556" s="239">
        <v>61.41</v>
      </c>
      <c r="I556" s="242">
        <v>22.2</v>
      </c>
      <c r="K556" s="10"/>
      <c r="L556" s="12"/>
    </row>
    <row r="557" spans="1:12">
      <c r="A557" s="238">
        <v>454217</v>
      </c>
      <c r="B557" s="239" t="s">
        <v>844</v>
      </c>
      <c r="C557" s="240">
        <v>1</v>
      </c>
      <c r="D557" s="241" t="s">
        <v>1039</v>
      </c>
      <c r="E557" s="241" t="s">
        <v>295</v>
      </c>
      <c r="F557" s="240">
        <v>45</v>
      </c>
      <c r="G557" s="240"/>
      <c r="H557" s="239">
        <v>64.81</v>
      </c>
      <c r="I557" s="242">
        <v>27.5</v>
      </c>
      <c r="K557" s="10"/>
      <c r="L557" s="11"/>
    </row>
    <row r="558" spans="1:12">
      <c r="A558" s="238">
        <v>453929</v>
      </c>
      <c r="B558" s="239" t="s">
        <v>777</v>
      </c>
      <c r="C558" s="240">
        <v>4</v>
      </c>
      <c r="D558" s="241" t="s">
        <v>1039</v>
      </c>
      <c r="E558" s="241" t="s">
        <v>295</v>
      </c>
      <c r="F558" s="240">
        <v>42</v>
      </c>
      <c r="G558" s="240"/>
      <c r="H558" s="239">
        <v>62</v>
      </c>
      <c r="I558" s="242">
        <v>35</v>
      </c>
      <c r="K558" s="10"/>
      <c r="L558" s="11"/>
    </row>
    <row r="559" spans="1:12">
      <c r="A559" s="238">
        <v>453934</v>
      </c>
      <c r="B559" s="239" t="s">
        <v>782</v>
      </c>
      <c r="C559" s="240">
        <v>1</v>
      </c>
      <c r="D559" s="241" t="s">
        <v>1039</v>
      </c>
      <c r="E559" s="241" t="s">
        <v>295</v>
      </c>
      <c r="F559" s="240">
        <v>41</v>
      </c>
      <c r="G559" s="240"/>
      <c r="H559" s="246">
        <f>F559*1.3</f>
        <v>53.300000000000004</v>
      </c>
      <c r="I559" s="242">
        <v>20</v>
      </c>
      <c r="K559" s="10"/>
      <c r="L559" s="12"/>
    </row>
    <row r="560" spans="1:12">
      <c r="A560" s="238">
        <v>453935</v>
      </c>
      <c r="B560" s="239" t="s">
        <v>783</v>
      </c>
      <c r="C560" s="240">
        <v>2</v>
      </c>
      <c r="D560" s="241" t="s">
        <v>1039</v>
      </c>
      <c r="E560" s="241" t="s">
        <v>295</v>
      </c>
      <c r="F560" s="240">
        <v>53.9</v>
      </c>
      <c r="G560" s="240"/>
      <c r="H560" s="239">
        <v>77.5</v>
      </c>
      <c r="I560" s="242">
        <v>24.2</v>
      </c>
      <c r="K560" s="10"/>
      <c r="L560" s="12"/>
    </row>
    <row r="561" spans="1:12">
      <c r="A561" s="238">
        <v>454192</v>
      </c>
      <c r="B561" s="239" t="s">
        <v>830</v>
      </c>
      <c r="C561" s="240">
        <v>4</v>
      </c>
      <c r="D561" s="241" t="s">
        <v>1039</v>
      </c>
      <c r="E561" s="241" t="s">
        <v>292</v>
      </c>
      <c r="F561" s="240">
        <v>60</v>
      </c>
      <c r="G561" s="240"/>
      <c r="H561" s="246">
        <f>F561*1.3</f>
        <v>78</v>
      </c>
      <c r="I561" s="242">
        <v>48.2</v>
      </c>
      <c r="K561" s="10"/>
      <c r="L561" s="12"/>
    </row>
    <row r="562" spans="1:12">
      <c r="A562" s="238">
        <v>453936</v>
      </c>
      <c r="B562" s="239" t="s">
        <v>784</v>
      </c>
      <c r="C562" s="240">
        <v>2</v>
      </c>
      <c r="D562" s="241" t="s">
        <v>1039</v>
      </c>
      <c r="E562" s="241" t="s">
        <v>295</v>
      </c>
      <c r="F562" s="240">
        <v>57.6</v>
      </c>
      <c r="G562" s="240"/>
      <c r="H562" s="239">
        <v>45</v>
      </c>
      <c r="I562" s="242">
        <v>27.2</v>
      </c>
      <c r="K562" s="10"/>
      <c r="L562" s="12"/>
    </row>
    <row r="563" spans="1:12">
      <c r="A563" s="238">
        <v>454221</v>
      </c>
      <c r="B563" s="239" t="s">
        <v>847</v>
      </c>
      <c r="C563" s="240">
        <v>2</v>
      </c>
      <c r="D563" s="241" t="s">
        <v>1039</v>
      </c>
      <c r="E563" s="241" t="s">
        <v>295</v>
      </c>
      <c r="F563" s="240">
        <v>44.699999999999996</v>
      </c>
      <c r="G563" s="240"/>
      <c r="H563" s="246">
        <f>F563*1.3</f>
        <v>58.11</v>
      </c>
      <c r="I563" s="242">
        <v>21.6</v>
      </c>
      <c r="K563" s="10"/>
      <c r="L563" s="12"/>
    </row>
    <row r="564" spans="1:12">
      <c r="A564" s="238">
        <v>453937</v>
      </c>
      <c r="B564" s="239" t="s">
        <v>785</v>
      </c>
      <c r="C564" s="240">
        <v>2</v>
      </c>
      <c r="D564" s="241" t="s">
        <v>1039</v>
      </c>
      <c r="E564" s="241" t="s">
        <v>292</v>
      </c>
      <c r="F564" s="240">
        <v>44.699999999999996</v>
      </c>
      <c r="G564" s="240"/>
      <c r="H564" s="246">
        <f>F564*1.3</f>
        <v>58.11</v>
      </c>
      <c r="I564" s="242">
        <v>21.6</v>
      </c>
      <c r="K564" s="10"/>
      <c r="L564" s="11"/>
    </row>
    <row r="565" spans="1:12">
      <c r="A565" s="238">
        <v>453938</v>
      </c>
      <c r="B565" s="239" t="s">
        <v>786</v>
      </c>
      <c r="C565" s="240">
        <v>2</v>
      </c>
      <c r="D565" s="241" t="s">
        <v>1039</v>
      </c>
      <c r="E565" s="241" t="s">
        <v>295</v>
      </c>
      <c r="F565" s="240">
        <v>74.8</v>
      </c>
      <c r="G565" s="240"/>
      <c r="H565" s="239">
        <v>54</v>
      </c>
      <c r="I565" s="242">
        <v>24</v>
      </c>
      <c r="K565" s="10"/>
      <c r="L565" s="11"/>
    </row>
    <row r="566" spans="1:12">
      <c r="A566" s="238">
        <v>453939</v>
      </c>
      <c r="B566" s="239" t="s">
        <v>787</v>
      </c>
      <c r="C566" s="240">
        <v>2</v>
      </c>
      <c r="D566" s="241" t="s">
        <v>1039</v>
      </c>
      <c r="E566" s="241" t="s">
        <v>295</v>
      </c>
      <c r="F566" s="240">
        <v>74.8</v>
      </c>
      <c r="G566" s="240"/>
      <c r="H566" s="246">
        <f>F566*1.3</f>
        <v>97.24</v>
      </c>
      <c r="I566" s="242">
        <v>28</v>
      </c>
      <c r="K566" s="10"/>
      <c r="L566" s="11"/>
    </row>
    <row r="567" spans="1:12">
      <c r="A567" s="238">
        <v>453940</v>
      </c>
      <c r="B567" s="239" t="s">
        <v>788</v>
      </c>
      <c r="C567" s="240">
        <v>2</v>
      </c>
      <c r="D567" s="241" t="s">
        <v>1039</v>
      </c>
      <c r="E567" s="241" t="s">
        <v>295</v>
      </c>
      <c r="F567" s="240">
        <v>55</v>
      </c>
      <c r="G567" s="240"/>
      <c r="H567" s="239">
        <v>61</v>
      </c>
      <c r="I567" s="242">
        <v>24</v>
      </c>
      <c r="K567" s="10"/>
      <c r="L567" s="11"/>
    </row>
    <row r="568" spans="1:12">
      <c r="A568" s="238">
        <v>453941</v>
      </c>
      <c r="B568" s="239" t="s">
        <v>789</v>
      </c>
      <c r="C568" s="240">
        <v>2</v>
      </c>
      <c r="D568" s="241" t="s">
        <v>1039</v>
      </c>
      <c r="E568" s="241" t="s">
        <v>1183</v>
      </c>
      <c r="F568" s="240">
        <v>54</v>
      </c>
      <c r="G568" s="240"/>
      <c r="H568" s="239">
        <v>66.8</v>
      </c>
      <c r="I568" s="242">
        <v>22</v>
      </c>
      <c r="K568" s="10"/>
      <c r="L568" s="11"/>
    </row>
    <row r="569" spans="1:12">
      <c r="A569" s="238">
        <v>453942</v>
      </c>
      <c r="B569" s="239" t="s">
        <v>298</v>
      </c>
      <c r="C569" s="240">
        <v>2</v>
      </c>
      <c r="D569" s="241" t="s">
        <v>1039</v>
      </c>
      <c r="E569" s="241" t="s">
        <v>1217</v>
      </c>
      <c r="F569" s="240">
        <v>60</v>
      </c>
      <c r="G569" s="240"/>
      <c r="H569" s="239">
        <v>79.5</v>
      </c>
      <c r="I569" s="242">
        <v>21</v>
      </c>
      <c r="K569" s="10"/>
      <c r="L569" s="11"/>
    </row>
    <row r="570" spans="1:12">
      <c r="A570" s="238">
        <v>453943</v>
      </c>
      <c r="B570" s="239" t="s">
        <v>790</v>
      </c>
      <c r="C570" s="240">
        <v>2</v>
      </c>
      <c r="D570" s="241" t="s">
        <v>1039</v>
      </c>
      <c r="E570" s="241" t="s">
        <v>295</v>
      </c>
      <c r="F570" s="240">
        <v>67.5</v>
      </c>
      <c r="G570" s="240"/>
      <c r="H570" s="239">
        <v>61.15</v>
      </c>
      <c r="I570" s="242">
        <v>28</v>
      </c>
      <c r="K570" s="10"/>
      <c r="L570" s="11"/>
    </row>
    <row r="571" spans="1:12">
      <c r="A571" s="238">
        <v>453944</v>
      </c>
      <c r="B571" s="239" t="s">
        <v>791</v>
      </c>
      <c r="C571" s="240">
        <v>2</v>
      </c>
      <c r="D571" s="241" t="s">
        <v>1039</v>
      </c>
      <c r="E571" s="241" t="s">
        <v>292</v>
      </c>
      <c r="F571" s="240">
        <v>60</v>
      </c>
      <c r="G571" s="240"/>
      <c r="H571" s="239">
        <v>79.2</v>
      </c>
      <c r="I571" s="242">
        <v>26</v>
      </c>
      <c r="K571" s="10"/>
      <c r="L571" s="11"/>
    </row>
    <row r="572" spans="1:12">
      <c r="A572" s="238">
        <v>453945</v>
      </c>
      <c r="B572" s="239" t="s">
        <v>792</v>
      </c>
      <c r="C572" s="240">
        <v>2</v>
      </c>
      <c r="D572" s="241" t="s">
        <v>1039</v>
      </c>
      <c r="E572" s="241" t="s">
        <v>292</v>
      </c>
      <c r="F572" s="240">
        <v>60</v>
      </c>
      <c r="G572" s="240"/>
      <c r="H572" s="239">
        <v>82.2</v>
      </c>
      <c r="I572" s="242">
        <v>26</v>
      </c>
      <c r="K572" s="10"/>
      <c r="L572" s="11"/>
    </row>
    <row r="573" spans="1:12">
      <c r="A573" s="238">
        <v>453946</v>
      </c>
      <c r="B573" s="239" t="s">
        <v>793</v>
      </c>
      <c r="C573" s="240">
        <v>2</v>
      </c>
      <c r="D573" s="241" t="s">
        <v>1039</v>
      </c>
      <c r="E573" s="241" t="s">
        <v>294</v>
      </c>
      <c r="F573" s="240">
        <v>62.4</v>
      </c>
      <c r="G573" s="240"/>
      <c r="H573" s="246">
        <f>F573*1.3</f>
        <v>81.12</v>
      </c>
      <c r="I573" s="242">
        <v>24.8</v>
      </c>
      <c r="K573" s="10"/>
      <c r="L573" s="11"/>
    </row>
    <row r="574" spans="1:12">
      <c r="A574" s="238">
        <v>454191</v>
      </c>
      <c r="B574" s="239" t="s">
        <v>829</v>
      </c>
      <c r="C574" s="240">
        <v>2</v>
      </c>
      <c r="D574" s="241" t="s">
        <v>1039</v>
      </c>
      <c r="E574" s="241" t="s">
        <v>294</v>
      </c>
      <c r="F574" s="240">
        <v>63.4</v>
      </c>
      <c r="G574" s="240"/>
      <c r="H574" s="239">
        <v>61</v>
      </c>
      <c r="I574" s="242">
        <v>24.8</v>
      </c>
      <c r="K574" s="10"/>
      <c r="L574" s="11"/>
    </row>
    <row r="575" spans="1:12">
      <c r="A575" s="238">
        <v>453947</v>
      </c>
      <c r="B575" s="239" t="s">
        <v>794</v>
      </c>
      <c r="C575" s="240">
        <v>2</v>
      </c>
      <c r="D575" s="241" t="s">
        <v>1039</v>
      </c>
      <c r="E575" s="241" t="s">
        <v>294</v>
      </c>
      <c r="F575" s="240">
        <v>62.4</v>
      </c>
      <c r="G575" s="240"/>
      <c r="H575" s="239">
        <v>88.9</v>
      </c>
      <c r="I575" s="242">
        <v>24.8</v>
      </c>
      <c r="K575" s="10"/>
      <c r="L575" s="11"/>
    </row>
    <row r="576" spans="1:12">
      <c r="A576" s="238">
        <v>453948</v>
      </c>
      <c r="B576" s="239" t="s">
        <v>795</v>
      </c>
      <c r="C576" s="240">
        <v>2</v>
      </c>
      <c r="D576" s="241" t="s">
        <v>1039</v>
      </c>
      <c r="E576" s="241" t="s">
        <v>1183</v>
      </c>
      <c r="F576" s="240">
        <v>62.4</v>
      </c>
      <c r="G576" s="240"/>
      <c r="H576" s="239">
        <v>51</v>
      </c>
      <c r="I576" s="242">
        <v>24.8</v>
      </c>
      <c r="K576" s="10"/>
      <c r="L576" s="11"/>
    </row>
    <row r="577" spans="1:12">
      <c r="A577" s="238">
        <v>454279</v>
      </c>
      <c r="B577" s="239" t="s">
        <v>866</v>
      </c>
      <c r="C577" s="240">
        <v>2</v>
      </c>
      <c r="D577" s="241" t="s">
        <v>1039</v>
      </c>
      <c r="E577" s="241" t="s">
        <v>295</v>
      </c>
      <c r="F577" s="240">
        <v>87</v>
      </c>
      <c r="G577" s="240"/>
      <c r="H577" s="239"/>
      <c r="I577" s="242">
        <v>35.9</v>
      </c>
      <c r="K577" s="10"/>
      <c r="L577" s="12"/>
    </row>
    <row r="578" spans="1:12">
      <c r="A578" s="238">
        <v>453949</v>
      </c>
      <c r="B578" s="239" t="s">
        <v>796</v>
      </c>
      <c r="C578" s="240">
        <v>1</v>
      </c>
      <c r="D578" s="241" t="s">
        <v>1039</v>
      </c>
      <c r="E578" s="241" t="s">
        <v>294</v>
      </c>
      <c r="F578" s="240">
        <v>51</v>
      </c>
      <c r="G578" s="240"/>
      <c r="H578" s="246">
        <f>F578*1.3</f>
        <v>66.3</v>
      </c>
      <c r="I578" s="242">
        <v>28</v>
      </c>
      <c r="K578" s="10"/>
      <c r="L578" s="11"/>
    </row>
    <row r="579" spans="1:12">
      <c r="A579" s="238">
        <v>453951</v>
      </c>
      <c r="B579" s="239" t="s">
        <v>1124</v>
      </c>
      <c r="C579" s="240">
        <v>1</v>
      </c>
      <c r="D579" s="241" t="s">
        <v>1039</v>
      </c>
      <c r="E579" s="241" t="s">
        <v>292</v>
      </c>
      <c r="F579" s="240">
        <v>100</v>
      </c>
      <c r="G579" s="240"/>
      <c r="H579" s="246">
        <f>F579*1.3</f>
        <v>130</v>
      </c>
      <c r="I579" s="242">
        <v>33</v>
      </c>
      <c r="K579" s="10"/>
      <c r="L579" s="11"/>
    </row>
    <row r="580" spans="1:12">
      <c r="A580" s="238">
        <v>453952</v>
      </c>
      <c r="B580" s="239" t="s">
        <v>797</v>
      </c>
      <c r="C580" s="240">
        <v>1</v>
      </c>
      <c r="D580" s="241" t="s">
        <v>1039</v>
      </c>
      <c r="E580" s="241" t="s">
        <v>292</v>
      </c>
      <c r="F580" s="240">
        <v>121</v>
      </c>
      <c r="G580" s="240"/>
      <c r="H580" s="239">
        <v>22.6</v>
      </c>
      <c r="I580" s="242">
        <v>13.5</v>
      </c>
      <c r="K580" s="10"/>
      <c r="L580" s="12"/>
    </row>
    <row r="581" spans="1:12">
      <c r="A581" s="238">
        <v>454248</v>
      </c>
      <c r="B581" s="239" t="s">
        <v>857</v>
      </c>
      <c r="C581" s="240">
        <v>1</v>
      </c>
      <c r="D581" s="241" t="s">
        <v>1039</v>
      </c>
      <c r="E581" s="241" t="s">
        <v>292</v>
      </c>
      <c r="F581" s="240">
        <v>96</v>
      </c>
      <c r="G581" s="240"/>
      <c r="H581" s="239">
        <v>31</v>
      </c>
      <c r="I581" s="242">
        <v>25.6</v>
      </c>
      <c r="K581" s="10"/>
      <c r="L581" s="11"/>
    </row>
    <row r="582" spans="1:12">
      <c r="A582" s="238">
        <v>444555</v>
      </c>
      <c r="B582" s="239" t="s">
        <v>1153</v>
      </c>
      <c r="C582" s="240">
        <v>1</v>
      </c>
      <c r="D582" s="241" t="s">
        <v>1039</v>
      </c>
      <c r="E582" s="241" t="s">
        <v>292</v>
      </c>
      <c r="F582" s="240">
        <v>122</v>
      </c>
      <c r="G582" s="240"/>
      <c r="H582" s="239">
        <v>169.2</v>
      </c>
      <c r="I582" s="242">
        <v>39.799999999999997</v>
      </c>
      <c r="K582" s="10"/>
      <c r="L582" s="11"/>
    </row>
    <row r="583" spans="1:12">
      <c r="A583" s="238">
        <v>324126</v>
      </c>
      <c r="B583" s="239" t="s">
        <v>135</v>
      </c>
      <c r="C583" s="240">
        <v>4</v>
      </c>
      <c r="D583" s="241" t="s">
        <v>1037</v>
      </c>
      <c r="E583" s="241" t="s">
        <v>287</v>
      </c>
      <c r="F583" s="240">
        <v>22.6</v>
      </c>
      <c r="G583" s="240"/>
      <c r="H583" s="239">
        <v>31</v>
      </c>
      <c r="I583" s="242">
        <v>16.04</v>
      </c>
      <c r="K583" s="10"/>
      <c r="L583" s="11"/>
    </row>
    <row r="584" spans="1:12">
      <c r="A584" s="238">
        <v>438507</v>
      </c>
      <c r="B584" s="239" t="s">
        <v>601</v>
      </c>
      <c r="C584" s="240">
        <v>4</v>
      </c>
      <c r="D584" s="241" t="s">
        <v>1037</v>
      </c>
      <c r="E584" s="241" t="s">
        <v>287</v>
      </c>
      <c r="F584" s="240">
        <v>31</v>
      </c>
      <c r="G584" s="240"/>
      <c r="H584" s="239">
        <v>31.25</v>
      </c>
      <c r="I584" s="242">
        <v>29.6</v>
      </c>
      <c r="K584" s="10"/>
      <c r="L584" s="12"/>
    </row>
    <row r="585" spans="1:12">
      <c r="A585" s="238">
        <v>368717</v>
      </c>
      <c r="B585" s="239" t="s">
        <v>134</v>
      </c>
      <c r="C585" s="240">
        <v>4</v>
      </c>
      <c r="D585" s="241" t="s">
        <v>1037</v>
      </c>
      <c r="E585" s="241" t="s">
        <v>287</v>
      </c>
      <c r="F585" s="240">
        <v>31</v>
      </c>
      <c r="G585" s="240"/>
      <c r="H585" s="239">
        <v>29.8</v>
      </c>
      <c r="I585" s="242">
        <v>34.448</v>
      </c>
      <c r="K585" s="10"/>
      <c r="L585" s="11"/>
    </row>
    <row r="586" spans="1:12">
      <c r="A586" s="238">
        <v>369308</v>
      </c>
      <c r="B586" s="239" t="s">
        <v>133</v>
      </c>
      <c r="C586" s="240">
        <v>4</v>
      </c>
      <c r="D586" s="241" t="s">
        <v>1037</v>
      </c>
      <c r="E586" s="241" t="s">
        <v>287</v>
      </c>
      <c r="F586" s="240">
        <v>31</v>
      </c>
      <c r="G586" s="240"/>
      <c r="H586" s="239">
        <v>31</v>
      </c>
      <c r="I586" s="242">
        <v>28.4</v>
      </c>
      <c r="K586" s="10"/>
      <c r="L586" s="11"/>
    </row>
    <row r="587" spans="1:12">
      <c r="A587" s="238">
        <v>324684</v>
      </c>
      <c r="B587" s="239" t="s">
        <v>212</v>
      </c>
      <c r="C587" s="240">
        <v>4</v>
      </c>
      <c r="D587" s="241" t="s">
        <v>1037</v>
      </c>
      <c r="E587" s="241" t="s">
        <v>287</v>
      </c>
      <c r="F587" s="240">
        <v>29.8</v>
      </c>
      <c r="G587" s="240"/>
      <c r="H587" s="239">
        <v>31.3</v>
      </c>
      <c r="I587" s="242">
        <v>22.14</v>
      </c>
      <c r="K587" s="10"/>
      <c r="L587" s="11"/>
    </row>
    <row r="588" spans="1:12">
      <c r="A588" s="238">
        <v>561718</v>
      </c>
      <c r="B588" s="239" t="s">
        <v>322</v>
      </c>
      <c r="C588" s="240">
        <v>4</v>
      </c>
      <c r="D588" s="241" t="s">
        <v>1037</v>
      </c>
      <c r="E588" s="241" t="s">
        <v>287</v>
      </c>
      <c r="F588" s="240">
        <v>31</v>
      </c>
      <c r="G588" s="240"/>
      <c r="H588" s="239">
        <v>31.5</v>
      </c>
      <c r="I588" s="242">
        <v>28</v>
      </c>
      <c r="K588" s="10"/>
      <c r="L588" s="12"/>
    </row>
    <row r="589" spans="1:12">
      <c r="A589" s="238">
        <v>324151</v>
      </c>
      <c r="B589" s="239" t="s">
        <v>132</v>
      </c>
      <c r="C589" s="240">
        <v>4</v>
      </c>
      <c r="D589" s="241" t="s">
        <v>1037</v>
      </c>
      <c r="E589" s="241" t="s">
        <v>287</v>
      </c>
      <c r="F589" s="240">
        <v>31.3</v>
      </c>
      <c r="G589" s="240"/>
      <c r="H589" s="239">
        <v>31.5</v>
      </c>
      <c r="I589" s="242">
        <v>28</v>
      </c>
      <c r="K589" s="10"/>
      <c r="L589" s="11"/>
    </row>
    <row r="590" spans="1:12">
      <c r="A590" s="238">
        <v>324683</v>
      </c>
      <c r="B590" s="239" t="s">
        <v>131</v>
      </c>
      <c r="C590" s="240">
        <v>4</v>
      </c>
      <c r="D590" s="241" t="s">
        <v>1037</v>
      </c>
      <c r="E590" s="241" t="s">
        <v>287</v>
      </c>
      <c r="F590" s="240">
        <v>31.5</v>
      </c>
      <c r="G590" s="240"/>
      <c r="H590" s="239">
        <v>31.01</v>
      </c>
      <c r="I590" s="242">
        <v>21.62</v>
      </c>
      <c r="K590" s="10"/>
      <c r="L590" s="12"/>
    </row>
    <row r="591" spans="1:12">
      <c r="A591" s="238">
        <v>324152</v>
      </c>
      <c r="B591" s="239" t="s">
        <v>130</v>
      </c>
      <c r="C591" s="240">
        <v>4</v>
      </c>
      <c r="D591" s="241" t="s">
        <v>1037</v>
      </c>
      <c r="E591" s="241" t="s">
        <v>287</v>
      </c>
      <c r="F591" s="240">
        <v>31.5</v>
      </c>
      <c r="G591" s="240"/>
      <c r="H591" s="239">
        <v>29.4</v>
      </c>
      <c r="I591" s="242">
        <v>36.4</v>
      </c>
      <c r="K591" s="10"/>
      <c r="L591" s="11"/>
    </row>
    <row r="592" spans="1:12">
      <c r="A592" s="238">
        <v>369307</v>
      </c>
      <c r="B592" s="239" t="s">
        <v>129</v>
      </c>
      <c r="C592" s="240">
        <v>4</v>
      </c>
      <c r="D592" s="241" t="s">
        <v>1037</v>
      </c>
      <c r="E592" s="241" t="s">
        <v>287</v>
      </c>
      <c r="F592" s="240">
        <v>32</v>
      </c>
      <c r="G592" s="240"/>
      <c r="H592" s="239">
        <f>F592</f>
        <v>32</v>
      </c>
      <c r="I592" s="242">
        <v>32.4</v>
      </c>
      <c r="K592" s="10"/>
      <c r="L592" s="12"/>
    </row>
    <row r="593" spans="1:12">
      <c r="A593" s="238">
        <v>329555</v>
      </c>
      <c r="B593" s="239" t="s">
        <v>213</v>
      </c>
      <c r="C593" s="240">
        <v>4</v>
      </c>
      <c r="D593" s="241" t="s">
        <v>1037</v>
      </c>
      <c r="E593" s="241" t="s">
        <v>287</v>
      </c>
      <c r="F593" s="240">
        <v>29.4</v>
      </c>
      <c r="G593" s="240"/>
      <c r="H593" s="239">
        <f>F593</f>
        <v>29.4</v>
      </c>
      <c r="I593" s="242">
        <v>21.32</v>
      </c>
      <c r="K593" s="10"/>
      <c r="L593" s="11"/>
    </row>
    <row r="594" spans="1:12">
      <c r="A594" s="238">
        <v>322548</v>
      </c>
      <c r="B594" s="239" t="s">
        <v>417</v>
      </c>
      <c r="C594" s="240">
        <v>4</v>
      </c>
      <c r="D594" s="241" t="s">
        <v>1037</v>
      </c>
      <c r="E594" s="241" t="s">
        <v>287</v>
      </c>
      <c r="F594" s="240">
        <v>77</v>
      </c>
      <c r="G594" s="240"/>
      <c r="H594" s="239">
        <v>15.31</v>
      </c>
      <c r="I594" s="242">
        <v>38.92</v>
      </c>
      <c r="K594" s="10"/>
      <c r="L594" s="11"/>
    </row>
    <row r="595" spans="1:12">
      <c r="A595" s="238">
        <v>322386</v>
      </c>
      <c r="B595" s="239" t="s">
        <v>351</v>
      </c>
      <c r="C595" s="240">
        <v>4</v>
      </c>
      <c r="D595" s="241" t="s">
        <v>1037</v>
      </c>
      <c r="E595" s="241" t="s">
        <v>287</v>
      </c>
      <c r="F595" s="240">
        <v>16</v>
      </c>
      <c r="G595" s="240"/>
      <c r="H595" s="239">
        <f>F595</f>
        <v>16</v>
      </c>
      <c r="I595" s="242">
        <v>20</v>
      </c>
      <c r="K595" s="10"/>
      <c r="L595" s="12"/>
    </row>
    <row r="596" spans="1:12">
      <c r="A596" s="238">
        <v>322385</v>
      </c>
      <c r="B596" s="239" t="s">
        <v>128</v>
      </c>
      <c r="C596" s="240">
        <v>4</v>
      </c>
      <c r="D596" s="241" t="s">
        <v>1037</v>
      </c>
      <c r="E596" s="241" t="s">
        <v>287</v>
      </c>
      <c r="F596" s="240">
        <v>16</v>
      </c>
      <c r="G596" s="240"/>
      <c r="H596" s="239">
        <v>16</v>
      </c>
      <c r="I596" s="242">
        <v>20</v>
      </c>
      <c r="K596" s="10"/>
      <c r="L596" s="12"/>
    </row>
    <row r="597" spans="1:12">
      <c r="A597" s="238">
        <v>322387</v>
      </c>
      <c r="B597" s="239" t="s">
        <v>352</v>
      </c>
      <c r="C597" s="240">
        <v>4</v>
      </c>
      <c r="D597" s="241" t="s">
        <v>1037</v>
      </c>
      <c r="E597" s="241" t="s">
        <v>287</v>
      </c>
      <c r="F597" s="240">
        <v>16</v>
      </c>
      <c r="G597" s="240"/>
      <c r="H597" s="239">
        <f>F597</f>
        <v>16</v>
      </c>
      <c r="I597" s="242">
        <v>20</v>
      </c>
      <c r="K597" s="10"/>
      <c r="L597" s="12"/>
    </row>
    <row r="598" spans="1:12">
      <c r="A598" s="238">
        <v>322391</v>
      </c>
      <c r="B598" s="239" t="s">
        <v>214</v>
      </c>
      <c r="C598" s="240">
        <v>4</v>
      </c>
      <c r="D598" s="241" t="s">
        <v>1037</v>
      </c>
      <c r="E598" s="241" t="s">
        <v>287</v>
      </c>
      <c r="F598" s="240">
        <v>20</v>
      </c>
      <c r="G598" s="240"/>
      <c r="H598" s="239">
        <f>F598</f>
        <v>20</v>
      </c>
      <c r="I598" s="242">
        <v>20</v>
      </c>
      <c r="K598" s="10"/>
      <c r="L598" s="12"/>
    </row>
    <row r="599" spans="1:12">
      <c r="A599" s="238">
        <v>322393</v>
      </c>
      <c r="B599" s="239" t="s">
        <v>355</v>
      </c>
      <c r="C599" s="240">
        <v>4</v>
      </c>
      <c r="D599" s="241" t="s">
        <v>1037</v>
      </c>
      <c r="E599" s="241" t="s">
        <v>287</v>
      </c>
      <c r="F599" s="240">
        <v>20</v>
      </c>
      <c r="G599" s="240"/>
      <c r="H599" s="239">
        <v>20</v>
      </c>
      <c r="I599" s="242">
        <v>20</v>
      </c>
      <c r="K599" s="10"/>
      <c r="L599" s="12"/>
    </row>
    <row r="600" spans="1:12">
      <c r="A600" s="238">
        <v>322392</v>
      </c>
      <c r="B600" s="239" t="s">
        <v>354</v>
      </c>
      <c r="C600" s="240">
        <v>4</v>
      </c>
      <c r="D600" s="241" t="s">
        <v>1037</v>
      </c>
      <c r="E600" s="241" t="s">
        <v>287</v>
      </c>
      <c r="F600" s="240">
        <v>20</v>
      </c>
      <c r="G600" s="240"/>
      <c r="H600" s="239">
        <v>20</v>
      </c>
      <c r="I600" s="242">
        <v>20</v>
      </c>
      <c r="K600" s="10"/>
      <c r="L600" s="11"/>
    </row>
    <row r="601" spans="1:12">
      <c r="A601" s="238">
        <v>322396</v>
      </c>
      <c r="B601" s="239" t="s">
        <v>127</v>
      </c>
      <c r="C601" s="240">
        <v>4</v>
      </c>
      <c r="D601" s="241" t="s">
        <v>1037</v>
      </c>
      <c r="E601" s="241" t="s">
        <v>287</v>
      </c>
      <c r="F601" s="240">
        <v>20</v>
      </c>
      <c r="G601" s="240"/>
      <c r="H601" s="239">
        <v>20</v>
      </c>
      <c r="I601" s="242">
        <v>21.76</v>
      </c>
      <c r="K601" s="10"/>
      <c r="L601" s="11"/>
    </row>
    <row r="602" spans="1:12">
      <c r="A602" s="238">
        <v>322394</v>
      </c>
      <c r="B602" s="239" t="s">
        <v>126</v>
      </c>
      <c r="C602" s="240">
        <v>4</v>
      </c>
      <c r="D602" s="241" t="s">
        <v>1037</v>
      </c>
      <c r="E602" s="241" t="s">
        <v>287</v>
      </c>
      <c r="F602" s="240">
        <v>20</v>
      </c>
      <c r="G602" s="240"/>
      <c r="H602" s="239">
        <v>20</v>
      </c>
      <c r="I602" s="242">
        <v>19.14</v>
      </c>
      <c r="K602" s="10"/>
      <c r="L602" s="12"/>
    </row>
    <row r="603" spans="1:12">
      <c r="A603" s="238">
        <v>324198</v>
      </c>
      <c r="B603" s="239" t="s">
        <v>125</v>
      </c>
      <c r="C603" s="240">
        <v>4</v>
      </c>
      <c r="D603" s="241" t="s">
        <v>1037</v>
      </c>
      <c r="E603" s="241" t="s">
        <v>287</v>
      </c>
      <c r="F603" s="240">
        <v>20</v>
      </c>
      <c r="G603" s="240"/>
      <c r="H603" s="239">
        <f>F603</f>
        <v>20</v>
      </c>
      <c r="I603" s="242">
        <v>19.5</v>
      </c>
      <c r="K603" s="10"/>
      <c r="L603" s="12"/>
    </row>
    <row r="604" spans="1:12">
      <c r="A604" s="238">
        <v>322401</v>
      </c>
      <c r="B604" s="239" t="s">
        <v>263</v>
      </c>
      <c r="C604" s="240">
        <v>4</v>
      </c>
      <c r="D604" s="241" t="s">
        <v>1037</v>
      </c>
      <c r="E604" s="241" t="s">
        <v>287</v>
      </c>
      <c r="F604" s="240">
        <v>15.5</v>
      </c>
      <c r="G604" s="240"/>
      <c r="H604" s="239">
        <v>20.350000000000001</v>
      </c>
      <c r="I604" s="242">
        <v>19.920000000000002</v>
      </c>
      <c r="K604" s="10"/>
      <c r="L604" s="11"/>
    </row>
    <row r="605" spans="1:12">
      <c r="A605" s="238">
        <v>322402</v>
      </c>
      <c r="B605" s="239" t="s">
        <v>358</v>
      </c>
      <c r="C605" s="240">
        <v>4</v>
      </c>
      <c r="D605" s="241" t="s">
        <v>1037</v>
      </c>
      <c r="E605" s="241" t="s">
        <v>287</v>
      </c>
      <c r="F605" s="240">
        <v>20.400000000000002</v>
      </c>
      <c r="G605" s="240"/>
      <c r="H605" s="239">
        <v>20</v>
      </c>
      <c r="I605" s="242">
        <v>20.12</v>
      </c>
      <c r="K605" s="10"/>
      <c r="L605" s="11"/>
    </row>
    <row r="606" spans="1:12">
      <c r="A606" s="238">
        <v>344585</v>
      </c>
      <c r="B606" s="239" t="s">
        <v>124</v>
      </c>
      <c r="C606" s="240">
        <v>4</v>
      </c>
      <c r="D606" s="241" t="s">
        <v>1037</v>
      </c>
      <c r="E606" s="241" t="s">
        <v>287</v>
      </c>
      <c r="F606" s="240">
        <v>20</v>
      </c>
      <c r="G606" s="240"/>
      <c r="H606" s="239">
        <v>20</v>
      </c>
      <c r="I606" s="242">
        <v>22.36</v>
      </c>
      <c r="K606" s="10"/>
      <c r="L606" s="11"/>
    </row>
    <row r="607" spans="1:12">
      <c r="A607" s="238">
        <v>324200</v>
      </c>
      <c r="B607" s="239" t="s">
        <v>123</v>
      </c>
      <c r="C607" s="240">
        <v>4</v>
      </c>
      <c r="D607" s="241" t="s">
        <v>1037</v>
      </c>
      <c r="E607" s="241" t="s">
        <v>287</v>
      </c>
      <c r="F607" s="240">
        <v>20</v>
      </c>
      <c r="G607" s="240"/>
      <c r="H607" s="239">
        <v>20</v>
      </c>
      <c r="I607" s="242">
        <v>21.64</v>
      </c>
      <c r="K607" s="10"/>
      <c r="L607" s="11"/>
    </row>
    <row r="608" spans="1:12">
      <c r="A608" s="238">
        <v>322405</v>
      </c>
      <c r="B608" s="239" t="s">
        <v>215</v>
      </c>
      <c r="C608" s="240">
        <v>4</v>
      </c>
      <c r="D608" s="241" t="s">
        <v>1037</v>
      </c>
      <c r="E608" s="241" t="s">
        <v>287</v>
      </c>
      <c r="F608" s="240">
        <v>20</v>
      </c>
      <c r="G608" s="240"/>
      <c r="H608" s="239">
        <f>F608</f>
        <v>20</v>
      </c>
      <c r="I608" s="242">
        <v>21.64</v>
      </c>
      <c r="K608" s="10"/>
      <c r="L608" s="11"/>
    </row>
    <row r="609" spans="1:12">
      <c r="A609" s="238">
        <v>611949</v>
      </c>
      <c r="B609" s="239" t="s">
        <v>1236</v>
      </c>
      <c r="C609" s="240">
        <v>4</v>
      </c>
      <c r="D609" s="241" t="s">
        <v>1037</v>
      </c>
      <c r="E609" s="241" t="s">
        <v>287</v>
      </c>
      <c r="F609" s="240">
        <v>20</v>
      </c>
      <c r="G609" s="240"/>
      <c r="H609" s="239">
        <f>F609</f>
        <v>20</v>
      </c>
      <c r="I609" s="242">
        <v>21.64</v>
      </c>
      <c r="K609" s="10"/>
      <c r="L609" s="11"/>
    </row>
    <row r="610" spans="1:12">
      <c r="A610" s="238">
        <v>324196</v>
      </c>
      <c r="B610" s="239" t="s">
        <v>122</v>
      </c>
      <c r="C610" s="240">
        <v>4</v>
      </c>
      <c r="D610" s="241" t="s">
        <v>1037</v>
      </c>
      <c r="E610" s="241" t="s">
        <v>287</v>
      </c>
      <c r="F610" s="240">
        <v>20</v>
      </c>
      <c r="G610" s="240"/>
      <c r="H610" s="239">
        <f>F610</f>
        <v>20</v>
      </c>
      <c r="I610" s="242">
        <v>21.64</v>
      </c>
      <c r="K610" s="10"/>
      <c r="L610" s="12"/>
    </row>
    <row r="611" spans="1:12">
      <c r="A611" s="238">
        <v>599672</v>
      </c>
      <c r="B611" s="239" t="s">
        <v>1179</v>
      </c>
      <c r="C611" s="240">
        <v>4</v>
      </c>
      <c r="D611" s="241" t="s">
        <v>1037</v>
      </c>
      <c r="E611" s="241" t="s">
        <v>287</v>
      </c>
      <c r="F611" s="240">
        <v>20</v>
      </c>
      <c r="G611" s="240"/>
      <c r="H611" s="239">
        <f>F611</f>
        <v>20</v>
      </c>
      <c r="I611" s="242">
        <v>21.64</v>
      </c>
      <c r="K611" s="10"/>
      <c r="L611" s="12"/>
    </row>
    <row r="612" spans="1:12">
      <c r="A612" s="238">
        <v>322414</v>
      </c>
      <c r="B612" s="239" t="s">
        <v>363</v>
      </c>
      <c r="C612" s="240">
        <v>4</v>
      </c>
      <c r="D612" s="241" t="s">
        <v>1037</v>
      </c>
      <c r="E612" s="241" t="s">
        <v>287</v>
      </c>
      <c r="F612" s="240">
        <v>20.6</v>
      </c>
      <c r="G612" s="240"/>
      <c r="H612" s="239">
        <v>23</v>
      </c>
      <c r="I612" s="242">
        <v>22</v>
      </c>
      <c r="K612" s="10"/>
      <c r="L612" s="12"/>
    </row>
    <row r="613" spans="1:12">
      <c r="A613" s="238">
        <v>603551</v>
      </c>
      <c r="B613" s="239" t="s">
        <v>1190</v>
      </c>
      <c r="C613" s="240">
        <v>4</v>
      </c>
      <c r="D613" s="241" t="s">
        <v>1037</v>
      </c>
      <c r="E613" s="241" t="s">
        <v>287</v>
      </c>
      <c r="F613" s="240">
        <v>20.6</v>
      </c>
      <c r="G613" s="240"/>
      <c r="H613" s="239">
        <v>20.6</v>
      </c>
      <c r="I613" s="242">
        <v>22</v>
      </c>
      <c r="K613" s="10"/>
      <c r="L613" s="12"/>
    </row>
    <row r="614" spans="1:12">
      <c r="A614" s="238">
        <v>604853</v>
      </c>
      <c r="B614" s="239" t="s">
        <v>1206</v>
      </c>
      <c r="C614" s="240">
        <v>1</v>
      </c>
      <c r="D614" s="241" t="s">
        <v>1037</v>
      </c>
      <c r="E614" s="241" t="s">
        <v>287</v>
      </c>
      <c r="F614" s="240">
        <v>20.6</v>
      </c>
      <c r="G614" s="240"/>
      <c r="H614" s="239">
        <v>20.6</v>
      </c>
      <c r="I614" s="242">
        <v>9</v>
      </c>
      <c r="K614" s="10"/>
      <c r="L614" s="12"/>
    </row>
    <row r="615" spans="1:12">
      <c r="A615" s="238">
        <v>322415</v>
      </c>
      <c r="B615" s="239" t="s">
        <v>364</v>
      </c>
      <c r="C615" s="240">
        <v>4</v>
      </c>
      <c r="D615" s="241" t="s">
        <v>1037</v>
      </c>
      <c r="E615" s="241" t="s">
        <v>287</v>
      </c>
      <c r="F615" s="240">
        <v>30.2</v>
      </c>
      <c r="G615" s="240"/>
      <c r="H615" s="239">
        <v>22.28</v>
      </c>
      <c r="I615" s="242">
        <v>18</v>
      </c>
      <c r="K615" s="10"/>
      <c r="L615" s="12"/>
    </row>
    <row r="616" spans="1:12">
      <c r="A616" s="238">
        <v>322485</v>
      </c>
      <c r="B616" s="239" t="s">
        <v>216</v>
      </c>
      <c r="C616" s="240">
        <v>4</v>
      </c>
      <c r="D616" s="241" t="s">
        <v>1037</v>
      </c>
      <c r="E616" s="241" t="s">
        <v>287</v>
      </c>
      <c r="F616" s="240">
        <v>23</v>
      </c>
      <c r="G616" s="240"/>
      <c r="H616" s="239">
        <v>29</v>
      </c>
      <c r="I616" s="242">
        <v>17</v>
      </c>
      <c r="K616" s="10"/>
      <c r="L616" s="11"/>
    </row>
    <row r="617" spans="1:12">
      <c r="A617" s="238">
        <v>323015</v>
      </c>
      <c r="B617" s="239" t="s">
        <v>217</v>
      </c>
      <c r="C617" s="240">
        <v>4</v>
      </c>
      <c r="D617" s="241" t="s">
        <v>1037</v>
      </c>
      <c r="E617" s="241" t="s">
        <v>287</v>
      </c>
      <c r="F617" s="240">
        <v>22.5</v>
      </c>
      <c r="G617" s="240"/>
      <c r="H617" s="239">
        <v>23</v>
      </c>
      <c r="I617" s="242">
        <v>14</v>
      </c>
      <c r="K617" s="10"/>
      <c r="L617" s="12"/>
    </row>
    <row r="618" spans="1:12">
      <c r="A618" s="238">
        <v>400860</v>
      </c>
      <c r="B618" s="239" t="s">
        <v>548</v>
      </c>
      <c r="C618" s="240">
        <v>4</v>
      </c>
      <c r="D618" s="241" t="s">
        <v>1037</v>
      </c>
      <c r="E618" s="241" t="s">
        <v>287</v>
      </c>
      <c r="F618" s="240">
        <v>29</v>
      </c>
      <c r="G618" s="240"/>
      <c r="H618" s="239">
        <v>29.27</v>
      </c>
      <c r="I618" s="242">
        <v>22</v>
      </c>
      <c r="K618" s="10"/>
      <c r="L618" s="12"/>
    </row>
    <row r="619" spans="1:12">
      <c r="A619" s="238">
        <v>324215</v>
      </c>
      <c r="B619" s="239" t="s">
        <v>477</v>
      </c>
      <c r="C619" s="240">
        <v>4</v>
      </c>
      <c r="D619" s="241" t="s">
        <v>1037</v>
      </c>
      <c r="E619" s="241" t="s">
        <v>287</v>
      </c>
      <c r="F619" s="240">
        <v>23</v>
      </c>
      <c r="G619" s="240"/>
      <c r="H619" s="239">
        <v>23</v>
      </c>
      <c r="I619" s="242">
        <v>20.12</v>
      </c>
      <c r="K619" s="10"/>
      <c r="L619" s="12"/>
    </row>
    <row r="620" spans="1:12">
      <c r="A620" s="238">
        <v>324214</v>
      </c>
      <c r="B620" s="239" t="s">
        <v>121</v>
      </c>
      <c r="C620" s="240">
        <v>4</v>
      </c>
      <c r="D620" s="241" t="s">
        <v>1037</v>
      </c>
      <c r="E620" s="241" t="s">
        <v>287</v>
      </c>
      <c r="F620" s="240">
        <v>27</v>
      </c>
      <c r="G620" s="240"/>
      <c r="H620" s="239">
        <v>29</v>
      </c>
      <c r="I620" s="242">
        <v>20.12</v>
      </c>
      <c r="K620" s="10"/>
      <c r="L620" s="11"/>
    </row>
    <row r="621" spans="1:12">
      <c r="A621" s="238">
        <v>397405</v>
      </c>
      <c r="B621" s="239" t="s">
        <v>546</v>
      </c>
      <c r="C621" s="240">
        <v>4</v>
      </c>
      <c r="D621" s="241" t="s">
        <v>1037</v>
      </c>
      <c r="E621" s="241" t="s">
        <v>287</v>
      </c>
      <c r="F621" s="240">
        <v>29</v>
      </c>
      <c r="G621" s="240"/>
      <c r="H621" s="239">
        <v>29</v>
      </c>
      <c r="I621" s="242">
        <v>24.4</v>
      </c>
      <c r="K621" s="10"/>
      <c r="L621" s="11"/>
    </row>
    <row r="622" spans="1:12">
      <c r="A622" s="238">
        <v>328482</v>
      </c>
      <c r="B622" s="239" t="s">
        <v>490</v>
      </c>
      <c r="C622" s="240">
        <v>4</v>
      </c>
      <c r="D622" s="241" t="s">
        <v>1037</v>
      </c>
      <c r="E622" s="241" t="s">
        <v>287</v>
      </c>
      <c r="F622" s="240">
        <v>23</v>
      </c>
      <c r="G622" s="240"/>
      <c r="H622" s="239">
        <v>23</v>
      </c>
      <c r="I622" s="242">
        <v>22</v>
      </c>
      <c r="K622" s="10"/>
      <c r="L622" s="12"/>
    </row>
    <row r="623" spans="1:12" ht="16.5" customHeight="1">
      <c r="A623" s="238">
        <v>322492</v>
      </c>
      <c r="B623" s="239" t="s">
        <v>218</v>
      </c>
      <c r="C623" s="240">
        <v>4</v>
      </c>
      <c r="D623" s="241" t="s">
        <v>1037</v>
      </c>
      <c r="E623" s="241" t="s">
        <v>287</v>
      </c>
      <c r="F623" s="240">
        <v>23</v>
      </c>
      <c r="G623" s="240"/>
      <c r="H623" s="239">
        <v>23</v>
      </c>
      <c r="I623" s="242">
        <v>22</v>
      </c>
      <c r="K623" s="10"/>
      <c r="L623" s="12"/>
    </row>
    <row r="624" spans="1:12" ht="16.5" customHeight="1">
      <c r="A624" s="247">
        <v>597507</v>
      </c>
      <c r="B624" s="239" t="s">
        <v>1170</v>
      </c>
      <c r="C624" s="240">
        <v>4</v>
      </c>
      <c r="D624" s="241" t="s">
        <v>1037</v>
      </c>
      <c r="E624" s="241" t="s">
        <v>287</v>
      </c>
      <c r="F624" s="240">
        <v>23</v>
      </c>
      <c r="G624" s="240"/>
      <c r="H624" s="239">
        <v>23</v>
      </c>
      <c r="I624" s="242">
        <v>22</v>
      </c>
      <c r="K624" s="10"/>
      <c r="L624" s="12"/>
    </row>
    <row r="625" spans="1:12" ht="16.5" customHeight="1">
      <c r="A625" s="247">
        <v>597508</v>
      </c>
      <c r="B625" s="239" t="s">
        <v>1228</v>
      </c>
      <c r="C625" s="240">
        <v>1</v>
      </c>
      <c r="D625" s="241" t="s">
        <v>1037</v>
      </c>
      <c r="E625" s="241" t="s">
        <v>287</v>
      </c>
      <c r="F625" s="240">
        <v>23</v>
      </c>
      <c r="G625" s="240"/>
      <c r="H625" s="239">
        <v>23</v>
      </c>
      <c r="I625" s="242">
        <v>9</v>
      </c>
      <c r="K625" s="10"/>
      <c r="L625" s="12"/>
    </row>
    <row r="626" spans="1:12" ht="16.5" customHeight="1">
      <c r="A626" s="247">
        <v>597676</v>
      </c>
      <c r="B626" s="239" t="s">
        <v>1173</v>
      </c>
      <c r="C626" s="240">
        <v>1</v>
      </c>
      <c r="D626" s="241" t="s">
        <v>1037</v>
      </c>
      <c r="E626" s="241" t="s">
        <v>287</v>
      </c>
      <c r="F626" s="240">
        <v>23</v>
      </c>
      <c r="G626" s="240"/>
      <c r="H626" s="239">
        <v>23</v>
      </c>
      <c r="I626" s="242">
        <v>9</v>
      </c>
      <c r="K626" s="10"/>
      <c r="L626" s="12"/>
    </row>
    <row r="627" spans="1:12" ht="16.5" customHeight="1">
      <c r="A627" s="247">
        <v>597675</v>
      </c>
      <c r="B627" s="239" t="s">
        <v>1174</v>
      </c>
      <c r="C627" s="240">
        <v>1</v>
      </c>
      <c r="D627" s="241" t="s">
        <v>1037</v>
      </c>
      <c r="E627" s="241" t="s">
        <v>287</v>
      </c>
      <c r="F627" s="240">
        <v>23</v>
      </c>
      <c r="G627" s="240"/>
      <c r="H627" s="239">
        <v>23</v>
      </c>
      <c r="I627" s="242">
        <v>9</v>
      </c>
      <c r="K627" s="10"/>
      <c r="L627" s="12"/>
    </row>
    <row r="628" spans="1:12" ht="16.5" customHeight="1">
      <c r="A628" s="247">
        <v>597674</v>
      </c>
      <c r="B628" s="239" t="s">
        <v>1175</v>
      </c>
      <c r="C628" s="240">
        <v>1</v>
      </c>
      <c r="D628" s="241" t="s">
        <v>1037</v>
      </c>
      <c r="E628" s="241" t="s">
        <v>287</v>
      </c>
      <c r="F628" s="240">
        <v>23</v>
      </c>
      <c r="G628" s="240"/>
      <c r="H628" s="239">
        <v>23</v>
      </c>
      <c r="I628" s="242">
        <v>9</v>
      </c>
      <c r="K628" s="10"/>
      <c r="L628" s="12"/>
    </row>
    <row r="629" spans="1:12" ht="16.5" customHeight="1">
      <c r="A629" s="247">
        <v>657982</v>
      </c>
      <c r="B629" s="239" t="s">
        <v>1319</v>
      </c>
      <c r="C629" s="240">
        <v>1</v>
      </c>
      <c r="D629" s="241" t="s">
        <v>1037</v>
      </c>
      <c r="E629" s="241" t="s">
        <v>287</v>
      </c>
      <c r="F629" s="240">
        <v>23</v>
      </c>
      <c r="G629" s="240"/>
      <c r="H629" s="239">
        <v>23</v>
      </c>
      <c r="I629" s="242">
        <v>9</v>
      </c>
      <c r="K629" s="10"/>
      <c r="L629" s="12"/>
    </row>
    <row r="630" spans="1:12" ht="16.5" customHeight="1">
      <c r="A630" s="247">
        <v>658124</v>
      </c>
      <c r="B630" s="239" t="s">
        <v>1320</v>
      </c>
      <c r="C630" s="240">
        <v>1</v>
      </c>
      <c r="D630" s="241" t="s">
        <v>1037</v>
      </c>
      <c r="E630" s="241" t="s">
        <v>287</v>
      </c>
      <c r="F630" s="240">
        <v>23</v>
      </c>
      <c r="G630" s="240"/>
      <c r="H630" s="239">
        <v>23</v>
      </c>
      <c r="I630" s="242">
        <v>9</v>
      </c>
      <c r="K630" s="10"/>
      <c r="L630" s="12"/>
    </row>
    <row r="631" spans="1:12" ht="16.5" customHeight="1">
      <c r="A631" s="247">
        <v>658159</v>
      </c>
      <c r="B631" s="239" t="s">
        <v>1321</v>
      </c>
      <c r="C631" s="240">
        <v>1</v>
      </c>
      <c r="D631" s="241" t="s">
        <v>1037</v>
      </c>
      <c r="E631" s="241" t="s">
        <v>287</v>
      </c>
      <c r="F631" s="240">
        <v>23</v>
      </c>
      <c r="G631" s="240"/>
      <c r="H631" s="239">
        <v>23</v>
      </c>
      <c r="I631" s="242">
        <v>9</v>
      </c>
      <c r="K631" s="10"/>
      <c r="L631" s="12"/>
    </row>
    <row r="632" spans="1:12" ht="16.5" customHeight="1">
      <c r="A632" s="247">
        <v>658161</v>
      </c>
      <c r="B632" s="239" t="s">
        <v>1322</v>
      </c>
      <c r="C632" s="240">
        <v>1</v>
      </c>
      <c r="D632" s="241" t="s">
        <v>1037</v>
      </c>
      <c r="E632" s="241" t="s">
        <v>287</v>
      </c>
      <c r="F632" s="240">
        <v>23</v>
      </c>
      <c r="G632" s="240"/>
      <c r="H632" s="239">
        <v>23</v>
      </c>
      <c r="I632" s="242">
        <v>9</v>
      </c>
      <c r="K632" s="10"/>
      <c r="L632" s="12"/>
    </row>
    <row r="633" spans="1:12">
      <c r="A633" s="238">
        <v>324203</v>
      </c>
      <c r="B633" s="239" t="s">
        <v>120</v>
      </c>
      <c r="C633" s="240">
        <v>4</v>
      </c>
      <c r="D633" s="241" t="s">
        <v>1037</v>
      </c>
      <c r="E633" s="241" t="s">
        <v>287</v>
      </c>
      <c r="F633" s="240">
        <v>36</v>
      </c>
      <c r="G633" s="240"/>
      <c r="H633" s="239">
        <v>29.1</v>
      </c>
      <c r="I633" s="242">
        <v>20.12</v>
      </c>
      <c r="K633" s="10"/>
      <c r="L633" s="12"/>
    </row>
    <row r="634" spans="1:12">
      <c r="A634" s="238">
        <v>322427</v>
      </c>
      <c r="B634" s="239" t="s">
        <v>119</v>
      </c>
      <c r="C634" s="240">
        <v>4</v>
      </c>
      <c r="D634" s="241" t="s">
        <v>1037</v>
      </c>
      <c r="E634" s="241" t="s">
        <v>287</v>
      </c>
      <c r="F634" s="240">
        <v>29</v>
      </c>
      <c r="G634" s="240"/>
      <c r="H634" s="239">
        <v>29</v>
      </c>
      <c r="I634" s="242">
        <v>27.428000000000001</v>
      </c>
      <c r="K634" s="10"/>
      <c r="L634" s="12"/>
    </row>
    <row r="635" spans="1:12">
      <c r="A635" s="238">
        <v>490532</v>
      </c>
      <c r="B635" s="239" t="s">
        <v>929</v>
      </c>
      <c r="C635" s="240">
        <v>4</v>
      </c>
      <c r="D635" s="241" t="s">
        <v>1037</v>
      </c>
      <c r="E635" s="241" t="s">
        <v>287</v>
      </c>
      <c r="F635" s="240">
        <v>29</v>
      </c>
      <c r="G635" s="240"/>
      <c r="H635" s="239">
        <v>29</v>
      </c>
      <c r="I635" s="242">
        <v>26.4</v>
      </c>
      <c r="K635" s="10"/>
      <c r="L635" s="11"/>
    </row>
    <row r="636" spans="1:12">
      <c r="A636" s="238">
        <v>372120</v>
      </c>
      <c r="B636" s="239" t="s">
        <v>118</v>
      </c>
      <c r="C636" s="240">
        <v>4</v>
      </c>
      <c r="D636" s="241" t="s">
        <v>1037</v>
      </c>
      <c r="E636" s="241" t="s">
        <v>287</v>
      </c>
      <c r="F636" s="240">
        <v>29</v>
      </c>
      <c r="G636" s="240"/>
      <c r="H636" s="239">
        <v>29</v>
      </c>
      <c r="I636" s="242">
        <v>23</v>
      </c>
      <c r="K636" s="10"/>
      <c r="L636" s="12"/>
    </row>
    <row r="637" spans="1:12">
      <c r="A637" s="238">
        <v>409780</v>
      </c>
      <c r="B637" s="239" t="s">
        <v>561</v>
      </c>
      <c r="C637" s="240">
        <v>4</v>
      </c>
      <c r="D637" s="241" t="s">
        <v>1037</v>
      </c>
      <c r="E637" s="241" t="s">
        <v>287</v>
      </c>
      <c r="F637" s="240">
        <v>29</v>
      </c>
      <c r="G637" s="240"/>
      <c r="H637" s="239">
        <v>29</v>
      </c>
      <c r="I637" s="242">
        <v>24</v>
      </c>
      <c r="K637" s="10"/>
      <c r="L637" s="12"/>
    </row>
    <row r="638" spans="1:12">
      <c r="A638" s="238">
        <v>410764</v>
      </c>
      <c r="B638" s="239" t="s">
        <v>564</v>
      </c>
      <c r="C638" s="240">
        <v>4</v>
      </c>
      <c r="D638" s="241" t="s">
        <v>1037</v>
      </c>
      <c r="E638" s="241" t="s">
        <v>287</v>
      </c>
      <c r="F638" s="240">
        <v>29</v>
      </c>
      <c r="G638" s="240"/>
      <c r="H638" s="239">
        <v>48</v>
      </c>
      <c r="I638" s="242">
        <v>22.4</v>
      </c>
      <c r="K638" s="10"/>
      <c r="L638" s="11"/>
    </row>
    <row r="639" spans="1:12">
      <c r="A639" s="238">
        <v>428484</v>
      </c>
      <c r="B639" s="239" t="s">
        <v>590</v>
      </c>
      <c r="C639" s="240">
        <v>4</v>
      </c>
      <c r="D639" s="241" t="s">
        <v>1037</v>
      </c>
      <c r="E639" s="241" t="s">
        <v>287</v>
      </c>
      <c r="F639" s="240">
        <v>29</v>
      </c>
      <c r="G639" s="240"/>
      <c r="H639" s="239">
        <v>29</v>
      </c>
      <c r="I639" s="242">
        <v>21.4</v>
      </c>
      <c r="K639" s="10"/>
      <c r="L639" s="11"/>
    </row>
    <row r="640" spans="1:12">
      <c r="A640" s="238">
        <v>554979</v>
      </c>
      <c r="B640" s="239" t="s">
        <v>994</v>
      </c>
      <c r="C640" s="240">
        <v>4</v>
      </c>
      <c r="D640" s="241" t="s">
        <v>1037</v>
      </c>
      <c r="E640" s="241" t="s">
        <v>287</v>
      </c>
      <c r="F640" s="240">
        <v>29</v>
      </c>
      <c r="G640" s="240"/>
      <c r="H640" s="239">
        <v>23</v>
      </c>
      <c r="I640" s="242">
        <v>24</v>
      </c>
      <c r="K640" s="10"/>
      <c r="L640" s="12"/>
    </row>
    <row r="641" spans="1:12">
      <c r="A641" s="238">
        <v>426555</v>
      </c>
      <c r="B641" s="239" t="s">
        <v>586</v>
      </c>
      <c r="C641" s="240">
        <v>4</v>
      </c>
      <c r="D641" s="241" t="s">
        <v>1037</v>
      </c>
      <c r="E641" s="241" t="s">
        <v>287</v>
      </c>
      <c r="F641" s="240">
        <v>29</v>
      </c>
      <c r="G641" s="240"/>
      <c r="H641" s="239">
        <f>F641</f>
        <v>29</v>
      </c>
      <c r="I641" s="242">
        <v>22.72</v>
      </c>
      <c r="K641" s="10"/>
      <c r="L641" s="12"/>
    </row>
    <row r="642" spans="1:12">
      <c r="A642" s="238">
        <v>457837</v>
      </c>
      <c r="B642" s="239" t="s">
        <v>875</v>
      </c>
      <c r="C642" s="240">
        <v>4</v>
      </c>
      <c r="D642" s="241" t="s">
        <v>1037</v>
      </c>
      <c r="E642" s="241" t="s">
        <v>287</v>
      </c>
      <c r="F642" s="240">
        <v>23</v>
      </c>
      <c r="G642" s="240"/>
      <c r="H642" s="239">
        <v>29</v>
      </c>
      <c r="I642" s="242">
        <v>20.399999999999999</v>
      </c>
      <c r="K642" s="10"/>
      <c r="L642" s="12"/>
    </row>
    <row r="643" spans="1:12">
      <c r="A643" s="238">
        <v>561158</v>
      </c>
      <c r="B643" s="239" t="s">
        <v>1006</v>
      </c>
      <c r="C643" s="240">
        <v>4</v>
      </c>
      <c r="D643" s="241" t="s">
        <v>1037</v>
      </c>
      <c r="E643" s="241" t="s">
        <v>287</v>
      </c>
      <c r="F643" s="240">
        <v>23</v>
      </c>
      <c r="G643" s="240"/>
      <c r="H643" s="239">
        <v>29</v>
      </c>
      <c r="I643" s="242">
        <v>20.399999999999999</v>
      </c>
      <c r="K643" s="10"/>
      <c r="L643" s="12"/>
    </row>
    <row r="644" spans="1:12">
      <c r="A644" s="238">
        <v>449365</v>
      </c>
      <c r="B644" s="239" t="s">
        <v>610</v>
      </c>
      <c r="C644" s="240">
        <v>4</v>
      </c>
      <c r="D644" s="241" t="s">
        <v>1037</v>
      </c>
      <c r="E644" s="241" t="s">
        <v>287</v>
      </c>
      <c r="F644" s="240">
        <v>29</v>
      </c>
      <c r="G644" s="240"/>
      <c r="H644" s="239">
        <v>29</v>
      </c>
      <c r="I644" s="242">
        <v>21.6</v>
      </c>
      <c r="K644" s="10"/>
      <c r="L644" s="11"/>
    </row>
    <row r="645" spans="1:12">
      <c r="A645" s="238">
        <v>504928</v>
      </c>
      <c r="B645" s="239" t="s">
        <v>947</v>
      </c>
      <c r="C645" s="240">
        <v>4</v>
      </c>
      <c r="D645" s="241" t="s">
        <v>1037</v>
      </c>
      <c r="E645" s="241" t="s">
        <v>287</v>
      </c>
      <c r="F645" s="240">
        <v>29</v>
      </c>
      <c r="G645" s="240"/>
      <c r="H645" s="239">
        <f>F645</f>
        <v>29</v>
      </c>
      <c r="I645" s="242">
        <v>27.6</v>
      </c>
      <c r="K645" s="10"/>
      <c r="L645" s="11"/>
    </row>
    <row r="646" spans="1:12">
      <c r="A646" s="238">
        <v>322437</v>
      </c>
      <c r="B646" s="239" t="s">
        <v>370</v>
      </c>
      <c r="C646" s="240">
        <v>4</v>
      </c>
      <c r="D646" s="241" t="s">
        <v>1037</v>
      </c>
      <c r="E646" s="241" t="s">
        <v>287</v>
      </c>
      <c r="F646" s="240">
        <v>28</v>
      </c>
      <c r="G646" s="240"/>
      <c r="H646" s="239">
        <v>29</v>
      </c>
      <c r="I646" s="242">
        <v>22</v>
      </c>
      <c r="K646" s="10"/>
      <c r="L646" s="12"/>
    </row>
    <row r="647" spans="1:12">
      <c r="A647" s="238">
        <v>451191</v>
      </c>
      <c r="B647" s="239" t="s">
        <v>613</v>
      </c>
      <c r="C647" s="240">
        <v>4</v>
      </c>
      <c r="D647" s="241" t="s">
        <v>1037</v>
      </c>
      <c r="E647" s="241" t="s">
        <v>287</v>
      </c>
      <c r="F647" s="240">
        <v>29</v>
      </c>
      <c r="G647" s="240"/>
      <c r="H647" s="239">
        <v>29</v>
      </c>
      <c r="I647" s="242">
        <v>24</v>
      </c>
      <c r="K647" s="10"/>
      <c r="L647" s="11"/>
    </row>
    <row r="648" spans="1:12">
      <c r="A648" s="238">
        <v>449885</v>
      </c>
      <c r="B648" s="239" t="s">
        <v>612</v>
      </c>
      <c r="C648" s="240">
        <v>4</v>
      </c>
      <c r="D648" s="241" t="s">
        <v>1037</v>
      </c>
      <c r="E648" s="241" t="s">
        <v>287</v>
      </c>
      <c r="F648" s="240">
        <v>29</v>
      </c>
      <c r="G648" s="240"/>
      <c r="H648" s="239">
        <v>24</v>
      </c>
      <c r="I648" s="242">
        <v>24.72</v>
      </c>
      <c r="K648" s="10"/>
      <c r="L648" s="12"/>
    </row>
    <row r="649" spans="1:12">
      <c r="A649" s="238">
        <v>436445</v>
      </c>
      <c r="B649" s="239" t="s">
        <v>597</v>
      </c>
      <c r="C649" s="240">
        <v>4</v>
      </c>
      <c r="D649" s="241" t="s">
        <v>1037</v>
      </c>
      <c r="E649" s="241" t="s">
        <v>287</v>
      </c>
      <c r="F649" s="240">
        <v>29</v>
      </c>
      <c r="G649" s="240"/>
      <c r="H649" s="239">
        <v>29.22</v>
      </c>
      <c r="I649" s="242">
        <v>23.6</v>
      </c>
      <c r="K649" s="10"/>
      <c r="L649" s="11"/>
    </row>
    <row r="650" spans="1:12">
      <c r="A650" s="238">
        <v>322502</v>
      </c>
      <c r="B650" s="239" t="s">
        <v>402</v>
      </c>
      <c r="C650" s="240">
        <v>4</v>
      </c>
      <c r="D650" s="241" t="s">
        <v>1037</v>
      </c>
      <c r="E650" s="241" t="s">
        <v>287</v>
      </c>
      <c r="F650" s="240">
        <v>24</v>
      </c>
      <c r="G650" s="240"/>
      <c r="H650" s="239">
        <v>48</v>
      </c>
      <c r="I650" s="242">
        <v>18.52</v>
      </c>
      <c r="K650" s="10"/>
      <c r="L650" s="11"/>
    </row>
    <row r="651" spans="1:12">
      <c r="A651" s="238">
        <v>336009</v>
      </c>
      <c r="B651" s="239" t="s">
        <v>219</v>
      </c>
      <c r="C651" s="240">
        <v>4</v>
      </c>
      <c r="D651" s="241" t="s">
        <v>1037</v>
      </c>
      <c r="E651" s="241" t="s">
        <v>287</v>
      </c>
      <c r="F651" s="240">
        <v>27</v>
      </c>
      <c r="G651" s="240"/>
      <c r="H651" s="239">
        <v>29</v>
      </c>
      <c r="I651" s="242">
        <v>20</v>
      </c>
      <c r="K651" s="10"/>
      <c r="L651" s="12"/>
    </row>
    <row r="652" spans="1:12">
      <c r="A652" s="238">
        <v>427379</v>
      </c>
      <c r="B652" s="239" t="s">
        <v>589</v>
      </c>
      <c r="C652" s="240">
        <v>4</v>
      </c>
      <c r="D652" s="241" t="s">
        <v>1037</v>
      </c>
      <c r="E652" s="241" t="s">
        <v>287</v>
      </c>
      <c r="F652" s="240">
        <v>29</v>
      </c>
      <c r="G652" s="240"/>
      <c r="H652" s="239">
        <v>55</v>
      </c>
      <c r="I652" s="242">
        <v>26.56</v>
      </c>
      <c r="K652" s="10"/>
      <c r="L652" s="11"/>
    </row>
    <row r="653" spans="1:12">
      <c r="A653" s="238">
        <v>404639</v>
      </c>
      <c r="B653" s="239" t="s">
        <v>554</v>
      </c>
      <c r="C653" s="240">
        <v>4</v>
      </c>
      <c r="D653" s="241" t="s">
        <v>1037</v>
      </c>
      <c r="E653" s="241" t="s">
        <v>287</v>
      </c>
      <c r="F653" s="240">
        <v>49</v>
      </c>
      <c r="G653" s="240"/>
      <c r="H653" s="239">
        <f>F653</f>
        <v>49</v>
      </c>
      <c r="I653" s="242">
        <v>27.2</v>
      </c>
      <c r="K653" s="10"/>
      <c r="L653" s="11"/>
    </row>
    <row r="654" spans="1:12">
      <c r="A654" s="238">
        <v>402305</v>
      </c>
      <c r="B654" s="239" t="s">
        <v>553</v>
      </c>
      <c r="C654" s="240">
        <v>4</v>
      </c>
      <c r="D654" s="241" t="s">
        <v>1037</v>
      </c>
      <c r="E654" s="241" t="s">
        <v>287</v>
      </c>
      <c r="F654" s="240">
        <v>29</v>
      </c>
      <c r="G654" s="240"/>
      <c r="H654" s="239">
        <v>29</v>
      </c>
      <c r="I654" s="242">
        <v>22</v>
      </c>
      <c r="K654" s="10"/>
      <c r="L654" s="12"/>
    </row>
    <row r="655" spans="1:12">
      <c r="A655" s="238">
        <v>549409</v>
      </c>
      <c r="B655" s="239" t="s">
        <v>984</v>
      </c>
      <c r="C655" s="240">
        <v>4</v>
      </c>
      <c r="D655" s="241" t="s">
        <v>1037</v>
      </c>
      <c r="E655" s="241" t="s">
        <v>287</v>
      </c>
      <c r="F655" s="240">
        <v>32</v>
      </c>
      <c r="G655" s="240"/>
      <c r="H655" s="239">
        <f>F655</f>
        <v>32</v>
      </c>
      <c r="I655" s="242">
        <v>25.92</v>
      </c>
      <c r="K655" s="10"/>
      <c r="L655" s="12"/>
    </row>
    <row r="656" spans="1:12">
      <c r="A656" s="238">
        <v>336372</v>
      </c>
      <c r="B656" s="239" t="s">
        <v>508</v>
      </c>
      <c r="C656" s="240">
        <v>4</v>
      </c>
      <c r="D656" s="241" t="s">
        <v>1037</v>
      </c>
      <c r="E656" s="241" t="s">
        <v>287</v>
      </c>
      <c r="F656" s="240">
        <v>29.2</v>
      </c>
      <c r="G656" s="240"/>
      <c r="H656" s="239">
        <v>48.5</v>
      </c>
      <c r="I656" s="242">
        <v>27</v>
      </c>
      <c r="K656" s="10"/>
      <c r="L656" s="12"/>
    </row>
    <row r="657" spans="1:12">
      <c r="A657" s="238">
        <v>323071</v>
      </c>
      <c r="B657" s="239" t="s">
        <v>451</v>
      </c>
      <c r="C657" s="240">
        <v>4</v>
      </c>
      <c r="D657" s="241" t="s">
        <v>1037</v>
      </c>
      <c r="E657" s="241" t="s">
        <v>287</v>
      </c>
      <c r="F657" s="240">
        <v>45.8</v>
      </c>
      <c r="G657" s="240"/>
      <c r="H657" s="239">
        <f>F657</f>
        <v>45.8</v>
      </c>
      <c r="I657" s="242">
        <v>27</v>
      </c>
      <c r="K657" s="10"/>
      <c r="L657" s="12"/>
    </row>
    <row r="658" spans="1:12">
      <c r="A658" s="238">
        <v>589412</v>
      </c>
      <c r="B658" s="239" t="s">
        <v>1136</v>
      </c>
      <c r="C658" s="240">
        <v>4</v>
      </c>
      <c r="D658" s="241" t="s">
        <v>1037</v>
      </c>
      <c r="E658" s="241" t="s">
        <v>287</v>
      </c>
      <c r="F658" s="240">
        <v>48.39</v>
      </c>
      <c r="G658" s="240"/>
      <c r="H658" s="239">
        <f>F658</f>
        <v>48.39</v>
      </c>
      <c r="I658" s="242">
        <v>28</v>
      </c>
      <c r="K658" s="10"/>
      <c r="L658" s="11"/>
    </row>
    <row r="659" spans="1:12">
      <c r="A659" s="238">
        <v>626029</v>
      </c>
      <c r="B659" s="239" t="s">
        <v>1309</v>
      </c>
      <c r="C659" s="240">
        <v>4</v>
      </c>
      <c r="D659" s="241" t="s">
        <v>1037</v>
      </c>
      <c r="E659" s="241" t="s">
        <v>287</v>
      </c>
      <c r="F659" s="240">
        <v>48.39</v>
      </c>
      <c r="G659" s="240"/>
      <c r="H659" s="239">
        <f>F659</f>
        <v>48.39</v>
      </c>
      <c r="I659" s="242">
        <v>28</v>
      </c>
      <c r="K659" s="10"/>
      <c r="L659" s="11"/>
    </row>
    <row r="660" spans="1:12">
      <c r="A660" s="238">
        <v>652202</v>
      </c>
      <c r="B660" s="239" t="s">
        <v>1313</v>
      </c>
      <c r="C660" s="240">
        <v>1</v>
      </c>
      <c r="D660" s="241" t="s">
        <v>1037</v>
      </c>
      <c r="E660" s="241" t="s">
        <v>287</v>
      </c>
      <c r="F660" s="240">
        <v>48.39</v>
      </c>
      <c r="G660" s="240"/>
      <c r="H660" s="239">
        <f t="shared" ref="H660:H662" si="9">F660</f>
        <v>48.39</v>
      </c>
      <c r="I660" s="242">
        <v>9</v>
      </c>
      <c r="K660" s="10"/>
      <c r="L660" s="11"/>
    </row>
    <row r="661" spans="1:12">
      <c r="A661" s="238">
        <v>652203</v>
      </c>
      <c r="B661" s="239" t="s">
        <v>1311</v>
      </c>
      <c r="C661" s="240">
        <v>1</v>
      </c>
      <c r="D661" s="241" t="s">
        <v>1037</v>
      </c>
      <c r="E661" s="241" t="s">
        <v>287</v>
      </c>
      <c r="F661" s="240">
        <v>48.39</v>
      </c>
      <c r="G661" s="240"/>
      <c r="H661" s="239">
        <f t="shared" si="9"/>
        <v>48.39</v>
      </c>
      <c r="I661" s="242">
        <v>9</v>
      </c>
      <c r="K661" s="10"/>
      <c r="L661" s="11"/>
    </row>
    <row r="662" spans="1:12">
      <c r="A662" s="238">
        <v>652204</v>
      </c>
      <c r="B662" s="239" t="s">
        <v>1312</v>
      </c>
      <c r="C662" s="240">
        <v>1</v>
      </c>
      <c r="D662" s="241" t="s">
        <v>1037</v>
      </c>
      <c r="E662" s="241" t="s">
        <v>287</v>
      </c>
      <c r="F662" s="240">
        <v>48.39</v>
      </c>
      <c r="G662" s="240"/>
      <c r="H662" s="239">
        <f t="shared" si="9"/>
        <v>48.39</v>
      </c>
      <c r="I662" s="242">
        <v>9</v>
      </c>
      <c r="K662" s="10"/>
      <c r="L662" s="11"/>
    </row>
    <row r="663" spans="1:12">
      <c r="A663" s="238">
        <v>437808</v>
      </c>
      <c r="B663" s="239" t="s">
        <v>598</v>
      </c>
      <c r="C663" s="240">
        <v>4</v>
      </c>
      <c r="D663" s="241" t="s">
        <v>1037</v>
      </c>
      <c r="E663" s="241" t="s">
        <v>287</v>
      </c>
      <c r="F663" s="240">
        <v>55</v>
      </c>
      <c r="G663" s="240"/>
      <c r="H663" s="239">
        <f>F663</f>
        <v>55</v>
      </c>
      <c r="I663" s="242">
        <v>30.8</v>
      </c>
      <c r="K663" s="10"/>
      <c r="L663" s="11"/>
    </row>
    <row r="664" spans="1:12">
      <c r="A664" s="238">
        <v>341231</v>
      </c>
      <c r="B664" s="239" t="s">
        <v>519</v>
      </c>
      <c r="C664" s="240">
        <v>4</v>
      </c>
      <c r="D664" s="241" t="s">
        <v>1037</v>
      </c>
      <c r="E664" s="241" t="s">
        <v>287</v>
      </c>
      <c r="F664" s="240">
        <v>48</v>
      </c>
      <c r="G664" s="240"/>
      <c r="H664" s="239">
        <v>48.3</v>
      </c>
      <c r="I664" s="242">
        <v>28.96</v>
      </c>
      <c r="K664" s="10"/>
      <c r="L664" s="11"/>
    </row>
    <row r="665" spans="1:12">
      <c r="A665" s="238">
        <v>324261</v>
      </c>
      <c r="B665" s="239" t="s">
        <v>220</v>
      </c>
      <c r="C665" s="240">
        <v>4</v>
      </c>
      <c r="D665" s="241" t="s">
        <v>1037</v>
      </c>
      <c r="E665" s="241" t="s">
        <v>287</v>
      </c>
      <c r="F665" s="240">
        <v>49</v>
      </c>
      <c r="G665" s="240"/>
      <c r="H665" s="239">
        <f>F665</f>
        <v>49</v>
      </c>
      <c r="I665" s="242">
        <v>27</v>
      </c>
      <c r="K665" s="10"/>
      <c r="L665" s="12"/>
    </row>
    <row r="666" spans="1:12">
      <c r="A666" s="238">
        <v>393922</v>
      </c>
      <c r="B666" s="239" t="s">
        <v>545</v>
      </c>
      <c r="C666" s="240">
        <v>4</v>
      </c>
      <c r="D666" s="241" t="s">
        <v>1037</v>
      </c>
      <c r="E666" s="241" t="s">
        <v>287</v>
      </c>
      <c r="F666" s="240">
        <v>55</v>
      </c>
      <c r="G666" s="240"/>
      <c r="H666" s="239">
        <f>F666</f>
        <v>55</v>
      </c>
      <c r="I666" s="242">
        <v>33.200000000000003</v>
      </c>
      <c r="K666" s="10"/>
      <c r="L666" s="12"/>
    </row>
    <row r="667" spans="1:12">
      <c r="A667" s="238">
        <v>324210</v>
      </c>
      <c r="B667" s="239" t="s">
        <v>476</v>
      </c>
      <c r="C667" s="240">
        <v>4</v>
      </c>
      <c r="D667" s="241" t="s">
        <v>1037</v>
      </c>
      <c r="E667" s="241" t="s">
        <v>287</v>
      </c>
      <c r="F667" s="240">
        <v>48.3</v>
      </c>
      <c r="G667" s="240"/>
      <c r="H667" s="239">
        <v>48.4</v>
      </c>
      <c r="I667" s="242">
        <v>25</v>
      </c>
      <c r="K667" s="10"/>
      <c r="L667" s="12"/>
    </row>
    <row r="668" spans="1:12">
      <c r="A668" s="238">
        <v>324208</v>
      </c>
      <c r="B668" s="239" t="s">
        <v>475</v>
      </c>
      <c r="C668" s="240">
        <v>4</v>
      </c>
      <c r="D668" s="241" t="s">
        <v>1037</v>
      </c>
      <c r="E668" s="241" t="s">
        <v>287</v>
      </c>
      <c r="F668" s="240">
        <v>58.9</v>
      </c>
      <c r="G668" s="240"/>
      <c r="H668" s="239">
        <f>F668</f>
        <v>58.9</v>
      </c>
      <c r="I668" s="242">
        <v>25</v>
      </c>
      <c r="K668" s="10"/>
      <c r="L668" s="11"/>
    </row>
    <row r="669" spans="1:12">
      <c r="A669" s="238">
        <v>322556</v>
      </c>
      <c r="B669" s="239" t="s">
        <v>418</v>
      </c>
      <c r="C669" s="240">
        <v>4</v>
      </c>
      <c r="D669" s="241" t="s">
        <v>1037</v>
      </c>
      <c r="E669" s="241" t="s">
        <v>287</v>
      </c>
      <c r="F669" s="240">
        <v>48.9</v>
      </c>
      <c r="G669" s="240"/>
      <c r="H669" s="239">
        <v>48.5</v>
      </c>
      <c r="I669" s="242">
        <v>27.6</v>
      </c>
      <c r="K669" s="10"/>
      <c r="L669" s="12"/>
    </row>
    <row r="670" spans="1:12">
      <c r="A670" s="238">
        <v>323092</v>
      </c>
      <c r="B670" s="239" t="s">
        <v>117</v>
      </c>
      <c r="C670" s="240">
        <v>4</v>
      </c>
      <c r="D670" s="241" t="s">
        <v>1037</v>
      </c>
      <c r="E670" s="241" t="s">
        <v>287</v>
      </c>
      <c r="F670" s="240">
        <v>48.9</v>
      </c>
      <c r="G670" s="240"/>
      <c r="H670" s="239">
        <v>48.9</v>
      </c>
      <c r="I670" s="242">
        <v>27.6</v>
      </c>
      <c r="K670" s="10"/>
      <c r="L670" s="11"/>
    </row>
    <row r="671" spans="1:12">
      <c r="A671" s="238">
        <v>324206</v>
      </c>
      <c r="B671" s="239" t="s">
        <v>221</v>
      </c>
      <c r="C671" s="240">
        <v>4</v>
      </c>
      <c r="D671" s="241" t="s">
        <v>1037</v>
      </c>
      <c r="E671" s="241" t="s">
        <v>287</v>
      </c>
      <c r="F671" s="240">
        <v>48</v>
      </c>
      <c r="G671" s="240"/>
      <c r="H671" s="239">
        <v>49</v>
      </c>
      <c r="I671" s="242">
        <v>25</v>
      </c>
      <c r="K671" s="10"/>
      <c r="L671" s="11"/>
    </row>
    <row r="672" spans="1:12">
      <c r="A672" s="238">
        <v>347521</v>
      </c>
      <c r="B672" s="239" t="s">
        <v>525</v>
      </c>
      <c r="C672" s="240">
        <v>4</v>
      </c>
      <c r="D672" s="241" t="s">
        <v>1037</v>
      </c>
      <c r="E672" s="241" t="s">
        <v>287</v>
      </c>
      <c r="F672" s="240">
        <v>48.2</v>
      </c>
      <c r="G672" s="240"/>
      <c r="H672" s="239">
        <f>F672</f>
        <v>48.2</v>
      </c>
      <c r="I672" s="242">
        <v>29</v>
      </c>
      <c r="K672" s="10"/>
      <c r="L672" s="11"/>
    </row>
    <row r="673" spans="1:12">
      <c r="A673" s="238">
        <v>347542</v>
      </c>
      <c r="B673" s="239" t="s">
        <v>526</v>
      </c>
      <c r="C673" s="240">
        <v>4</v>
      </c>
      <c r="D673" s="241" t="s">
        <v>1037</v>
      </c>
      <c r="E673" s="241" t="s">
        <v>287</v>
      </c>
      <c r="F673" s="240">
        <v>49.2</v>
      </c>
      <c r="G673" s="240"/>
      <c r="H673" s="239">
        <f>F673</f>
        <v>49.2</v>
      </c>
      <c r="I673" s="242">
        <v>31.68</v>
      </c>
      <c r="K673" s="10"/>
      <c r="L673" s="11"/>
    </row>
    <row r="674" spans="1:12">
      <c r="A674" s="238">
        <v>331676</v>
      </c>
      <c r="B674" s="239" t="s">
        <v>494</v>
      </c>
      <c r="C674" s="240">
        <v>4</v>
      </c>
      <c r="D674" s="241" t="s">
        <v>1037</v>
      </c>
      <c r="E674" s="241" t="s">
        <v>287</v>
      </c>
      <c r="F674" s="240">
        <v>56</v>
      </c>
      <c r="G674" s="240"/>
      <c r="H674" s="239">
        <v>58</v>
      </c>
      <c r="I674" s="242">
        <v>43.12</v>
      </c>
      <c r="K674" s="10"/>
      <c r="L674" s="11"/>
    </row>
    <row r="675" spans="1:12">
      <c r="A675" s="238">
        <v>323009</v>
      </c>
      <c r="B675" s="239" t="s">
        <v>446</v>
      </c>
      <c r="C675" s="240">
        <v>4</v>
      </c>
      <c r="D675" s="241" t="s">
        <v>1037</v>
      </c>
      <c r="E675" s="241" t="s">
        <v>287</v>
      </c>
      <c r="F675" s="240">
        <v>45</v>
      </c>
      <c r="G675" s="240"/>
      <c r="H675" s="239">
        <v>56.5</v>
      </c>
      <c r="I675" s="242">
        <v>26.4</v>
      </c>
      <c r="K675" s="10"/>
      <c r="L675" s="12"/>
    </row>
    <row r="676" spans="1:12">
      <c r="A676" s="238">
        <v>398922</v>
      </c>
      <c r="B676" s="239" t="s">
        <v>547</v>
      </c>
      <c r="C676" s="240">
        <v>4</v>
      </c>
      <c r="D676" s="241" t="s">
        <v>1037</v>
      </c>
      <c r="E676" s="241" t="s">
        <v>287</v>
      </c>
      <c r="F676" s="240">
        <v>46</v>
      </c>
      <c r="G676" s="240"/>
      <c r="H676" s="239">
        <v>48.71</v>
      </c>
      <c r="I676" s="242">
        <v>26.4</v>
      </c>
      <c r="K676" s="10"/>
      <c r="L676" s="12"/>
    </row>
    <row r="677" spans="1:12">
      <c r="A677" s="238">
        <v>323091</v>
      </c>
      <c r="B677" s="239" t="s">
        <v>455</v>
      </c>
      <c r="C677" s="240">
        <v>4</v>
      </c>
      <c r="D677" s="241" t="s">
        <v>1037</v>
      </c>
      <c r="E677" s="241" t="s">
        <v>287</v>
      </c>
      <c r="F677" s="240">
        <v>48.71</v>
      </c>
      <c r="G677" s="240"/>
      <c r="H677" s="239">
        <v>48.71</v>
      </c>
      <c r="I677" s="242">
        <v>26.4</v>
      </c>
      <c r="K677" s="10"/>
      <c r="L677" s="11"/>
    </row>
    <row r="678" spans="1:12">
      <c r="A678" s="238">
        <v>410269</v>
      </c>
      <c r="B678" s="239" t="s">
        <v>563</v>
      </c>
      <c r="C678" s="240">
        <v>4</v>
      </c>
      <c r="D678" s="241" t="s">
        <v>1037</v>
      </c>
      <c r="E678" s="241" t="s">
        <v>287</v>
      </c>
      <c r="F678" s="240">
        <v>48.5</v>
      </c>
      <c r="G678" s="240"/>
      <c r="H678" s="239">
        <v>49</v>
      </c>
      <c r="I678" s="242">
        <v>26.4</v>
      </c>
      <c r="K678" s="10"/>
      <c r="L678" s="12"/>
    </row>
    <row r="679" spans="1:12">
      <c r="A679" s="238">
        <v>329228</v>
      </c>
      <c r="B679" s="239" t="s">
        <v>116</v>
      </c>
      <c r="C679" s="240">
        <v>4</v>
      </c>
      <c r="D679" s="241" t="s">
        <v>1037</v>
      </c>
      <c r="E679" s="241" t="s">
        <v>287</v>
      </c>
      <c r="F679" s="240">
        <v>56.4</v>
      </c>
      <c r="G679" s="240"/>
      <c r="H679" s="239">
        <f>F679</f>
        <v>56.4</v>
      </c>
      <c r="I679" s="242">
        <v>40.68</v>
      </c>
      <c r="K679" s="10"/>
      <c r="L679" s="11"/>
    </row>
    <row r="680" spans="1:12">
      <c r="A680" s="238">
        <v>324150</v>
      </c>
      <c r="B680" s="239" t="s">
        <v>463</v>
      </c>
      <c r="C680" s="240">
        <v>4</v>
      </c>
      <c r="D680" s="241" t="s">
        <v>1037</v>
      </c>
      <c r="E680" s="241" t="s">
        <v>287</v>
      </c>
      <c r="F680" s="240">
        <v>56.8</v>
      </c>
      <c r="G680" s="240"/>
      <c r="H680" s="239">
        <v>56.5</v>
      </c>
      <c r="I680" s="242">
        <v>28.5</v>
      </c>
      <c r="K680" s="10"/>
      <c r="L680" s="12"/>
    </row>
    <row r="681" spans="1:12">
      <c r="A681" s="245">
        <v>593537</v>
      </c>
      <c r="B681" s="239" t="s">
        <v>1261</v>
      </c>
      <c r="C681" s="240">
        <v>4</v>
      </c>
      <c r="D681" s="241" t="s">
        <v>1037</v>
      </c>
      <c r="E681" s="241" t="s">
        <v>1177</v>
      </c>
      <c r="F681" s="240">
        <v>56.8</v>
      </c>
      <c r="G681" s="240"/>
      <c r="H681" s="239">
        <v>56.5</v>
      </c>
      <c r="I681" s="242">
        <v>28.5</v>
      </c>
      <c r="K681" s="10"/>
      <c r="L681" s="12"/>
    </row>
    <row r="682" spans="1:12">
      <c r="A682" s="245">
        <v>622636</v>
      </c>
      <c r="B682" s="239" t="s">
        <v>1269</v>
      </c>
      <c r="C682" s="240">
        <v>4</v>
      </c>
      <c r="D682" s="241" t="s">
        <v>1037</v>
      </c>
      <c r="E682" s="241" t="s">
        <v>1177</v>
      </c>
      <c r="F682" s="240">
        <v>56.8</v>
      </c>
      <c r="G682" s="240"/>
      <c r="H682" s="239">
        <v>56.5</v>
      </c>
      <c r="I682" s="242">
        <v>28.5</v>
      </c>
      <c r="K682" s="10"/>
      <c r="L682" s="12"/>
    </row>
    <row r="683" spans="1:12">
      <c r="A683" s="248">
        <v>657222</v>
      </c>
      <c r="B683" s="239" t="s">
        <v>1324</v>
      </c>
      <c r="C683" s="240">
        <v>2</v>
      </c>
      <c r="D683" s="241" t="s">
        <v>1037</v>
      </c>
      <c r="E683" s="241" t="s">
        <v>1177</v>
      </c>
      <c r="F683" s="240">
        <v>56.8</v>
      </c>
      <c r="G683" s="240"/>
      <c r="H683" s="239">
        <v>56.5</v>
      </c>
      <c r="I683" s="242">
        <v>28.5</v>
      </c>
      <c r="K683" s="10"/>
      <c r="L683" s="12"/>
    </row>
    <row r="684" spans="1:12">
      <c r="A684" s="238">
        <v>322520</v>
      </c>
      <c r="B684" s="239" t="s">
        <v>408</v>
      </c>
      <c r="C684" s="240">
        <v>4</v>
      </c>
      <c r="D684" s="241" t="s">
        <v>1037</v>
      </c>
      <c r="E684" s="241" t="s">
        <v>1177</v>
      </c>
      <c r="F684" s="240">
        <v>55</v>
      </c>
      <c r="G684" s="240"/>
      <c r="H684" s="239">
        <f>F684</f>
        <v>55</v>
      </c>
      <c r="I684" s="242">
        <v>30</v>
      </c>
      <c r="K684" s="10"/>
      <c r="L684" s="11"/>
    </row>
    <row r="685" spans="1:12">
      <c r="A685" s="238">
        <v>425348</v>
      </c>
      <c r="B685" s="239" t="s">
        <v>584</v>
      </c>
      <c r="C685" s="240">
        <v>4</v>
      </c>
      <c r="D685" s="241" t="s">
        <v>1037</v>
      </c>
      <c r="E685" s="241" t="s">
        <v>1177</v>
      </c>
      <c r="F685" s="240">
        <v>48.5</v>
      </c>
      <c r="G685" s="240"/>
      <c r="H685" s="239">
        <v>58.9</v>
      </c>
      <c r="I685" s="242">
        <v>28.76</v>
      </c>
      <c r="K685" s="10"/>
      <c r="L685" s="11"/>
    </row>
    <row r="686" spans="1:12">
      <c r="A686" s="238">
        <v>549410</v>
      </c>
      <c r="B686" s="239" t="s">
        <v>985</v>
      </c>
      <c r="C686" s="240">
        <v>4</v>
      </c>
      <c r="D686" s="241" t="s">
        <v>1037</v>
      </c>
      <c r="E686" s="241" t="s">
        <v>1177</v>
      </c>
      <c r="F686" s="240">
        <v>48</v>
      </c>
      <c r="G686" s="240"/>
      <c r="H686" s="239">
        <f>F686</f>
        <v>48</v>
      </c>
      <c r="I686" s="242">
        <v>30.12</v>
      </c>
      <c r="K686" s="10"/>
      <c r="L686" s="11"/>
    </row>
    <row r="687" spans="1:12">
      <c r="A687" s="238">
        <v>322531</v>
      </c>
      <c r="B687" s="239" t="s">
        <v>115</v>
      </c>
      <c r="C687" s="240">
        <v>4</v>
      </c>
      <c r="D687" s="241" t="s">
        <v>1037</v>
      </c>
      <c r="E687" s="241" t="s">
        <v>1177</v>
      </c>
      <c r="F687" s="240">
        <v>57</v>
      </c>
      <c r="G687" s="240"/>
      <c r="H687" s="239">
        <v>77</v>
      </c>
      <c r="I687" s="242">
        <v>29</v>
      </c>
      <c r="K687" s="10"/>
      <c r="L687" s="11"/>
    </row>
    <row r="688" spans="1:12">
      <c r="A688" s="238">
        <v>411761</v>
      </c>
      <c r="B688" s="239" t="s">
        <v>567</v>
      </c>
      <c r="C688" s="240">
        <v>4</v>
      </c>
      <c r="D688" s="241" t="s">
        <v>1037</v>
      </c>
      <c r="E688" s="241" t="s">
        <v>1177</v>
      </c>
      <c r="F688" s="240">
        <v>56.9</v>
      </c>
      <c r="G688" s="240"/>
      <c r="H688" s="239">
        <v>55.9</v>
      </c>
      <c r="I688" s="242">
        <v>26</v>
      </c>
      <c r="K688" s="10"/>
      <c r="L688" s="12"/>
    </row>
    <row r="689" spans="1:12">
      <c r="A689" s="238">
        <v>323011</v>
      </c>
      <c r="B689" s="239" t="s">
        <v>447</v>
      </c>
      <c r="C689" s="240">
        <v>2</v>
      </c>
      <c r="D689" s="241" t="s">
        <v>1037</v>
      </c>
      <c r="E689" s="241" t="s">
        <v>1177</v>
      </c>
      <c r="F689" s="240">
        <v>55.9</v>
      </c>
      <c r="G689" s="240"/>
      <c r="H689" s="239">
        <f>F689</f>
        <v>55.9</v>
      </c>
      <c r="I689" s="242">
        <v>13</v>
      </c>
      <c r="K689" s="10"/>
      <c r="L689" s="11"/>
    </row>
    <row r="690" spans="1:12">
      <c r="A690" s="238">
        <v>323102</v>
      </c>
      <c r="B690" s="239" t="s">
        <v>277</v>
      </c>
      <c r="C690" s="240">
        <v>4</v>
      </c>
      <c r="D690" s="241" t="s">
        <v>1037</v>
      </c>
      <c r="E690" s="241" t="s">
        <v>287</v>
      </c>
      <c r="F690" s="240">
        <v>56.9</v>
      </c>
      <c r="G690" s="240"/>
      <c r="H690" s="239">
        <v>56.9</v>
      </c>
      <c r="I690" s="242">
        <v>26</v>
      </c>
      <c r="K690" s="10"/>
      <c r="L690" s="11"/>
    </row>
    <row r="691" spans="1:12">
      <c r="A691" s="238">
        <v>323104</v>
      </c>
      <c r="B691" s="239" t="s">
        <v>278</v>
      </c>
      <c r="C691" s="240">
        <v>4</v>
      </c>
      <c r="D691" s="241" t="s">
        <v>1037</v>
      </c>
      <c r="E691" s="241" t="s">
        <v>287</v>
      </c>
      <c r="F691" s="240">
        <v>56.9</v>
      </c>
      <c r="G691" s="240"/>
      <c r="H691" s="239">
        <v>55.9</v>
      </c>
      <c r="I691" s="242">
        <v>26</v>
      </c>
      <c r="K691" s="10"/>
      <c r="L691" s="12"/>
    </row>
    <row r="692" spans="1:12">
      <c r="A692" s="238">
        <v>650368</v>
      </c>
      <c r="B692" s="239" t="s">
        <v>1310</v>
      </c>
      <c r="C692" s="240">
        <v>4</v>
      </c>
      <c r="D692" s="241" t="s">
        <v>1037</v>
      </c>
      <c r="E692" s="241" t="s">
        <v>287</v>
      </c>
      <c r="F692" s="240">
        <v>56.9</v>
      </c>
      <c r="G692" s="240"/>
      <c r="H692" s="239">
        <v>55.9</v>
      </c>
      <c r="I692" s="242">
        <v>26</v>
      </c>
      <c r="K692" s="10"/>
      <c r="L692" s="12"/>
    </row>
    <row r="693" spans="1:12">
      <c r="A693" s="238">
        <v>324638</v>
      </c>
      <c r="B693" s="239" t="s">
        <v>114</v>
      </c>
      <c r="C693" s="240">
        <v>4</v>
      </c>
      <c r="D693" s="241" t="s">
        <v>1037</v>
      </c>
      <c r="E693" s="241" t="s">
        <v>287</v>
      </c>
      <c r="F693" s="240">
        <v>77.5</v>
      </c>
      <c r="G693" s="240"/>
      <c r="H693" s="239">
        <f>F693</f>
        <v>77.5</v>
      </c>
      <c r="I693" s="242">
        <v>36</v>
      </c>
      <c r="K693" s="10"/>
      <c r="L693" s="12"/>
    </row>
    <row r="694" spans="1:12">
      <c r="A694" s="238">
        <v>324640</v>
      </c>
      <c r="B694" s="239" t="s">
        <v>484</v>
      </c>
      <c r="C694" s="240">
        <v>4</v>
      </c>
      <c r="D694" s="241" t="s">
        <v>1037</v>
      </c>
      <c r="E694" s="241" t="s">
        <v>287</v>
      </c>
      <c r="F694" s="240">
        <v>77.5</v>
      </c>
      <c r="G694" s="240"/>
      <c r="H694" s="239">
        <f>F694</f>
        <v>77.5</v>
      </c>
      <c r="I694" s="242">
        <v>36</v>
      </c>
      <c r="K694" s="10"/>
      <c r="L694" s="12"/>
    </row>
    <row r="695" spans="1:12">
      <c r="A695" s="238">
        <v>322547</v>
      </c>
      <c r="B695" s="239" t="s">
        <v>416</v>
      </c>
      <c r="C695" s="240">
        <v>4</v>
      </c>
      <c r="D695" s="241" t="s">
        <v>1037</v>
      </c>
      <c r="E695" s="241" t="s">
        <v>287</v>
      </c>
      <c r="F695" s="240">
        <v>77</v>
      </c>
      <c r="G695" s="240"/>
      <c r="H695" s="239">
        <f>F695</f>
        <v>77</v>
      </c>
      <c r="I695" s="242">
        <v>36</v>
      </c>
      <c r="K695" s="10"/>
      <c r="L695" s="11"/>
    </row>
    <row r="696" spans="1:12">
      <c r="A696" s="238">
        <v>323012</v>
      </c>
      <c r="B696" s="239" t="s">
        <v>448</v>
      </c>
      <c r="C696" s="240">
        <v>2</v>
      </c>
      <c r="D696" s="241" t="s">
        <v>1037</v>
      </c>
      <c r="E696" s="241" t="s">
        <v>287</v>
      </c>
      <c r="F696" s="240">
        <v>55</v>
      </c>
      <c r="G696" s="240"/>
      <c r="H696" s="239">
        <f>F696</f>
        <v>55</v>
      </c>
      <c r="I696" s="242">
        <v>17</v>
      </c>
      <c r="K696" s="10"/>
      <c r="L696" s="11"/>
    </row>
    <row r="697" spans="1:12">
      <c r="A697" s="238">
        <v>323115</v>
      </c>
      <c r="B697" s="239" t="s">
        <v>458</v>
      </c>
      <c r="C697" s="240">
        <v>2</v>
      </c>
      <c r="D697" s="241" t="s">
        <v>1037</v>
      </c>
      <c r="E697" s="241" t="s">
        <v>287</v>
      </c>
      <c r="F697" s="240">
        <v>56</v>
      </c>
      <c r="G697" s="240"/>
      <c r="H697" s="239">
        <v>78</v>
      </c>
      <c r="I697" s="242">
        <v>17</v>
      </c>
      <c r="K697" s="10"/>
      <c r="L697" s="12"/>
    </row>
    <row r="698" spans="1:12">
      <c r="A698" s="238">
        <v>424601</v>
      </c>
      <c r="B698" s="239" t="s">
        <v>582</v>
      </c>
      <c r="C698" s="240">
        <v>2</v>
      </c>
      <c r="D698" s="241" t="s">
        <v>1037</v>
      </c>
      <c r="E698" s="241" t="s">
        <v>287</v>
      </c>
      <c r="F698" s="240">
        <v>72</v>
      </c>
      <c r="G698" s="240"/>
      <c r="H698" s="239">
        <f>F698</f>
        <v>72</v>
      </c>
      <c r="I698" s="242">
        <v>80.8</v>
      </c>
      <c r="K698" s="10"/>
      <c r="L698" s="11"/>
    </row>
    <row r="699" spans="1:12">
      <c r="A699" s="238">
        <v>424597</v>
      </c>
      <c r="B699" s="239" t="s">
        <v>581</v>
      </c>
      <c r="C699" s="240">
        <v>2</v>
      </c>
      <c r="D699" s="241" t="s">
        <v>1037</v>
      </c>
      <c r="E699" s="241" t="s">
        <v>287</v>
      </c>
      <c r="F699" s="240">
        <v>73</v>
      </c>
      <c r="G699" s="240"/>
      <c r="H699" s="239">
        <v>76</v>
      </c>
      <c r="I699" s="242">
        <v>40.4</v>
      </c>
      <c r="K699" s="10"/>
      <c r="L699" s="11"/>
    </row>
    <row r="700" spans="1:12">
      <c r="A700" s="238">
        <v>618217</v>
      </c>
      <c r="B700" s="239" t="s">
        <v>1237</v>
      </c>
      <c r="C700" s="240">
        <v>2</v>
      </c>
      <c r="D700" s="241" t="s">
        <v>1037</v>
      </c>
      <c r="E700" s="241" t="s">
        <v>287</v>
      </c>
      <c r="F700" s="240">
        <v>73</v>
      </c>
      <c r="G700" s="240"/>
      <c r="H700" s="239">
        <v>76</v>
      </c>
      <c r="I700" s="242">
        <v>40.4</v>
      </c>
      <c r="K700" s="10"/>
      <c r="L700" s="11"/>
    </row>
    <row r="701" spans="1:12">
      <c r="A701" s="238">
        <v>322398</v>
      </c>
      <c r="B701" s="239" t="s">
        <v>356</v>
      </c>
      <c r="C701" s="240">
        <v>4</v>
      </c>
      <c r="D701" s="241" t="s">
        <v>1037</v>
      </c>
      <c r="E701" s="241" t="s">
        <v>287</v>
      </c>
      <c r="F701" s="240">
        <v>76.900000000000006</v>
      </c>
      <c r="G701" s="240"/>
      <c r="H701" s="239">
        <v>72</v>
      </c>
      <c r="I701" s="242">
        <v>36</v>
      </c>
      <c r="K701" s="10"/>
      <c r="L701" s="11"/>
    </row>
    <row r="702" spans="1:12">
      <c r="A702" s="238">
        <v>322541</v>
      </c>
      <c r="B702" s="239" t="s">
        <v>415</v>
      </c>
      <c r="C702" s="240">
        <v>4</v>
      </c>
      <c r="D702" s="241" t="s">
        <v>1037</v>
      </c>
      <c r="E702" s="241" t="s">
        <v>287</v>
      </c>
      <c r="F702" s="240">
        <v>77.900000000000006</v>
      </c>
      <c r="G702" s="240"/>
      <c r="H702" s="239">
        <f>F702</f>
        <v>77.900000000000006</v>
      </c>
      <c r="I702" s="242">
        <v>36</v>
      </c>
      <c r="K702" s="10"/>
      <c r="L702" s="12"/>
    </row>
    <row r="703" spans="1:12">
      <c r="A703" s="238">
        <v>575317</v>
      </c>
      <c r="B703" s="239" t="s">
        <v>1015</v>
      </c>
      <c r="C703" s="240">
        <v>4</v>
      </c>
      <c r="D703" s="241" t="s">
        <v>1037</v>
      </c>
      <c r="E703" s="241" t="s">
        <v>287</v>
      </c>
      <c r="F703" s="240">
        <v>77.900000000000006</v>
      </c>
      <c r="G703" s="240"/>
      <c r="H703" s="239">
        <v>77</v>
      </c>
      <c r="I703" s="242">
        <v>36</v>
      </c>
      <c r="K703" s="10"/>
      <c r="L703" s="12"/>
    </row>
    <row r="704" spans="1:12">
      <c r="A704" s="238">
        <v>324217</v>
      </c>
      <c r="B704" s="239" t="s">
        <v>478</v>
      </c>
      <c r="C704" s="240">
        <v>2</v>
      </c>
      <c r="D704" s="241" t="s">
        <v>1037</v>
      </c>
      <c r="E704" s="241" t="s">
        <v>287</v>
      </c>
      <c r="F704" s="240">
        <v>75.599999999999994</v>
      </c>
      <c r="G704" s="240"/>
      <c r="H704" s="239">
        <v>77</v>
      </c>
      <c r="I704" s="242">
        <v>18</v>
      </c>
      <c r="K704" s="10"/>
      <c r="L704" s="12"/>
    </row>
    <row r="705" spans="1:12">
      <c r="A705" s="238">
        <v>323132</v>
      </c>
      <c r="B705" s="239" t="s">
        <v>459</v>
      </c>
      <c r="C705" s="240">
        <v>4</v>
      </c>
      <c r="D705" s="241" t="s">
        <v>1037</v>
      </c>
      <c r="E705" s="241" t="s">
        <v>287</v>
      </c>
      <c r="F705" s="240">
        <v>76</v>
      </c>
      <c r="G705" s="240"/>
      <c r="H705" s="239">
        <f>F705</f>
        <v>76</v>
      </c>
      <c r="I705" s="242">
        <v>35</v>
      </c>
      <c r="K705" s="10"/>
      <c r="L705" s="12"/>
    </row>
    <row r="706" spans="1:12">
      <c r="A706" s="238">
        <v>441778</v>
      </c>
      <c r="B706" s="239" t="s">
        <v>603</v>
      </c>
      <c r="C706" s="240">
        <v>4</v>
      </c>
      <c r="D706" s="241" t="s">
        <v>1037</v>
      </c>
      <c r="E706" s="241" t="s">
        <v>287</v>
      </c>
      <c r="F706" s="240">
        <v>77</v>
      </c>
      <c r="G706" s="240"/>
      <c r="H706" s="239">
        <v>77</v>
      </c>
      <c r="I706" s="242">
        <v>35</v>
      </c>
      <c r="K706" s="10"/>
      <c r="L706" s="12"/>
    </row>
    <row r="707" spans="1:12">
      <c r="A707" s="238">
        <v>323133</v>
      </c>
      <c r="B707" s="239" t="s">
        <v>460</v>
      </c>
      <c r="C707" s="240">
        <v>4</v>
      </c>
      <c r="D707" s="241" t="s">
        <v>1037</v>
      </c>
      <c r="E707" s="241" t="s">
        <v>287</v>
      </c>
      <c r="F707" s="240">
        <v>77</v>
      </c>
      <c r="G707" s="240"/>
      <c r="H707" s="239">
        <v>77</v>
      </c>
      <c r="I707" s="242">
        <v>35</v>
      </c>
      <c r="K707" s="10"/>
      <c r="L707" s="11"/>
    </row>
    <row r="708" spans="1:12">
      <c r="A708" s="238">
        <v>323135</v>
      </c>
      <c r="B708" s="239" t="s">
        <v>461</v>
      </c>
      <c r="C708" s="240">
        <v>4</v>
      </c>
      <c r="D708" s="241" t="s">
        <v>1037</v>
      </c>
      <c r="E708" s="241" t="s">
        <v>287</v>
      </c>
      <c r="F708" s="240">
        <v>77</v>
      </c>
      <c r="G708" s="240"/>
      <c r="H708" s="239">
        <v>77</v>
      </c>
      <c r="I708" s="242">
        <v>35</v>
      </c>
      <c r="K708" s="10"/>
      <c r="L708" s="11"/>
    </row>
    <row r="709" spans="1:12">
      <c r="A709" s="238">
        <v>414333</v>
      </c>
      <c r="B709" s="239" t="s">
        <v>572</v>
      </c>
      <c r="C709" s="240">
        <v>4</v>
      </c>
      <c r="D709" s="241" t="s">
        <v>1037</v>
      </c>
      <c r="E709" s="241" t="s">
        <v>287</v>
      </c>
      <c r="F709" s="240">
        <v>77</v>
      </c>
      <c r="G709" s="240"/>
      <c r="H709" s="239">
        <v>76</v>
      </c>
      <c r="I709" s="242">
        <v>35</v>
      </c>
      <c r="K709" s="10"/>
      <c r="L709" s="12"/>
    </row>
    <row r="710" spans="1:12">
      <c r="A710" s="238">
        <v>361596</v>
      </c>
      <c r="B710" s="239" t="s">
        <v>113</v>
      </c>
      <c r="C710" s="240">
        <v>2</v>
      </c>
      <c r="D710" s="241" t="s">
        <v>1037</v>
      </c>
      <c r="E710" s="241" t="s">
        <v>287</v>
      </c>
      <c r="F710" s="240">
        <v>70.7</v>
      </c>
      <c r="G710" s="240"/>
      <c r="H710" s="239">
        <v>69.7</v>
      </c>
      <c r="I710" s="242">
        <v>75.36</v>
      </c>
      <c r="K710" s="10"/>
      <c r="L710" s="11"/>
    </row>
    <row r="711" spans="1:12">
      <c r="A711" s="238">
        <v>336740</v>
      </c>
      <c r="B711" s="239" t="s">
        <v>112</v>
      </c>
      <c r="C711" s="240">
        <v>2</v>
      </c>
      <c r="D711" s="241" t="s">
        <v>1037</v>
      </c>
      <c r="E711" s="241" t="s">
        <v>287</v>
      </c>
      <c r="F711" s="240">
        <v>70.7</v>
      </c>
      <c r="G711" s="240"/>
      <c r="H711" s="239">
        <v>69.7</v>
      </c>
      <c r="I711" s="242">
        <v>75.36</v>
      </c>
      <c r="K711" s="10"/>
      <c r="L711" s="12"/>
    </row>
    <row r="712" spans="1:12">
      <c r="A712" s="238">
        <v>336739</v>
      </c>
      <c r="B712" s="239" t="s">
        <v>509</v>
      </c>
      <c r="C712" s="240">
        <v>2</v>
      </c>
      <c r="D712" s="241" t="s">
        <v>1037</v>
      </c>
      <c r="E712" s="241" t="s">
        <v>287</v>
      </c>
      <c r="F712" s="240">
        <v>69.7</v>
      </c>
      <c r="G712" s="240"/>
      <c r="H712" s="239"/>
      <c r="I712" s="242">
        <v>37.68</v>
      </c>
      <c r="K712" s="10"/>
      <c r="L712" s="12"/>
    </row>
    <row r="713" spans="1:12">
      <c r="A713" s="238">
        <v>362734</v>
      </c>
      <c r="B713" s="239" t="s">
        <v>258</v>
      </c>
      <c r="C713" s="240">
        <v>2</v>
      </c>
      <c r="D713" s="241" t="s">
        <v>1037</v>
      </c>
      <c r="E713" s="241" t="s">
        <v>287</v>
      </c>
      <c r="F713" s="240">
        <v>69.900000000000006</v>
      </c>
      <c r="G713" s="240"/>
      <c r="H713" s="239">
        <f>F713</f>
        <v>69.900000000000006</v>
      </c>
      <c r="I713" s="242">
        <v>36.46</v>
      </c>
      <c r="K713" s="10"/>
      <c r="L713" s="12"/>
    </row>
    <row r="714" spans="1:12">
      <c r="A714" s="238">
        <v>338957</v>
      </c>
      <c r="B714" s="239" t="s">
        <v>111</v>
      </c>
      <c r="C714" s="240">
        <v>2</v>
      </c>
      <c r="D714" s="241" t="s">
        <v>1038</v>
      </c>
      <c r="E714" s="241" t="s">
        <v>1030</v>
      </c>
      <c r="F714" s="240">
        <v>48.26</v>
      </c>
      <c r="G714" s="240"/>
      <c r="H714" s="239">
        <v>48.3</v>
      </c>
      <c r="I714" s="242">
        <v>36.799999999999997</v>
      </c>
      <c r="K714" s="10"/>
      <c r="L714" s="12"/>
    </row>
    <row r="715" spans="1:12">
      <c r="A715" s="238">
        <v>322623</v>
      </c>
      <c r="B715" s="239" t="s">
        <v>110</v>
      </c>
      <c r="C715" s="240">
        <v>2</v>
      </c>
      <c r="D715" s="241" t="s">
        <v>1038</v>
      </c>
      <c r="E715" s="241" t="s">
        <v>1030</v>
      </c>
      <c r="F715" s="240">
        <v>48.260000000000005</v>
      </c>
      <c r="G715" s="240"/>
      <c r="H715" s="239">
        <v>48.3</v>
      </c>
      <c r="I715" s="242">
        <v>24.6</v>
      </c>
      <c r="K715" s="10"/>
      <c r="L715" s="11"/>
    </row>
    <row r="716" spans="1:12">
      <c r="A716" s="238">
        <v>322615</v>
      </c>
      <c r="B716" s="239" t="s">
        <v>431</v>
      </c>
      <c r="C716" s="240">
        <v>2</v>
      </c>
      <c r="D716" s="241" t="s">
        <v>1038</v>
      </c>
      <c r="E716" s="241" t="s">
        <v>1030</v>
      </c>
      <c r="F716" s="240">
        <v>48.26</v>
      </c>
      <c r="G716" s="240"/>
      <c r="H716" s="239">
        <f>F716</f>
        <v>48.26</v>
      </c>
      <c r="I716" s="242">
        <v>45</v>
      </c>
      <c r="K716" s="10"/>
      <c r="L716" s="11"/>
    </row>
    <row r="717" spans="1:12">
      <c r="A717" s="238">
        <v>322605</v>
      </c>
      <c r="B717" s="239" t="s">
        <v>109</v>
      </c>
      <c r="C717" s="240">
        <v>4</v>
      </c>
      <c r="D717" s="241" t="s">
        <v>1038</v>
      </c>
      <c r="E717" s="241" t="s">
        <v>290</v>
      </c>
      <c r="F717" s="240">
        <v>4.8499999999999996</v>
      </c>
      <c r="G717" s="240"/>
      <c r="H717" s="239">
        <v>4.6500000000000004</v>
      </c>
      <c r="I717" s="242">
        <v>16.2</v>
      </c>
      <c r="K717" s="10"/>
      <c r="L717" s="11"/>
    </row>
    <row r="718" spans="1:12">
      <c r="A718" s="238">
        <v>322607</v>
      </c>
      <c r="B718" s="239" t="s">
        <v>108</v>
      </c>
      <c r="C718" s="240">
        <v>4</v>
      </c>
      <c r="D718" s="241" t="s">
        <v>1038</v>
      </c>
      <c r="E718" s="241" t="s">
        <v>290</v>
      </c>
      <c r="F718" s="240">
        <v>4.8499999999999996</v>
      </c>
      <c r="G718" s="240"/>
      <c r="H718" s="239">
        <v>4.6500000000000004</v>
      </c>
      <c r="I718" s="242">
        <v>16.2</v>
      </c>
      <c r="K718" s="10"/>
      <c r="L718" s="11"/>
    </row>
    <row r="719" spans="1:12">
      <c r="A719" s="238">
        <v>342604</v>
      </c>
      <c r="B719" s="239" t="s">
        <v>107</v>
      </c>
      <c r="C719" s="240">
        <v>4</v>
      </c>
      <c r="D719" s="241" t="s">
        <v>1038</v>
      </c>
      <c r="E719" s="241" t="s">
        <v>290</v>
      </c>
      <c r="F719" s="240">
        <v>4.8499999999999996</v>
      </c>
      <c r="G719" s="240"/>
      <c r="H719" s="239">
        <v>4.6500000000000004</v>
      </c>
      <c r="I719" s="242">
        <v>16.2</v>
      </c>
      <c r="K719" s="10"/>
      <c r="L719" s="12"/>
    </row>
    <row r="720" spans="1:12">
      <c r="A720" s="238">
        <v>322602</v>
      </c>
      <c r="B720" s="239" t="s">
        <v>106</v>
      </c>
      <c r="C720" s="240">
        <v>4</v>
      </c>
      <c r="D720" s="241" t="s">
        <v>1038</v>
      </c>
      <c r="E720" s="241" t="s">
        <v>290</v>
      </c>
      <c r="F720" s="240">
        <v>4.8499999999999996</v>
      </c>
      <c r="G720" s="240"/>
      <c r="H720" s="239">
        <v>4.6500000000000004</v>
      </c>
      <c r="I720" s="242">
        <v>16.2</v>
      </c>
      <c r="K720" s="10"/>
      <c r="L720" s="12"/>
    </row>
    <row r="721" spans="1:12">
      <c r="A721" s="238">
        <v>368040</v>
      </c>
      <c r="B721" s="239" t="s">
        <v>105</v>
      </c>
      <c r="C721" s="240">
        <v>4</v>
      </c>
      <c r="D721" s="241" t="s">
        <v>1038</v>
      </c>
      <c r="E721" s="241" t="s">
        <v>290</v>
      </c>
      <c r="F721" s="240">
        <v>4.8499999999999996</v>
      </c>
      <c r="G721" s="240"/>
      <c r="H721" s="239">
        <v>4.6500000000000004</v>
      </c>
      <c r="I721" s="242">
        <v>16.2</v>
      </c>
      <c r="K721" s="10"/>
      <c r="L721" s="11"/>
    </row>
    <row r="722" spans="1:12">
      <c r="A722" s="238">
        <v>323509</v>
      </c>
      <c r="B722" s="239" t="s">
        <v>104</v>
      </c>
      <c r="C722" s="240">
        <v>4</v>
      </c>
      <c r="D722" s="241" t="s">
        <v>1038</v>
      </c>
      <c r="E722" s="241" t="s">
        <v>290</v>
      </c>
      <c r="F722" s="240">
        <v>4.8499999999999996</v>
      </c>
      <c r="G722" s="240"/>
      <c r="H722" s="239">
        <v>4.6500000000000004</v>
      </c>
      <c r="I722" s="242">
        <v>16.2</v>
      </c>
      <c r="K722" s="10"/>
      <c r="L722" s="12"/>
    </row>
    <row r="723" spans="1:12">
      <c r="A723" s="238">
        <v>549292</v>
      </c>
      <c r="B723" s="239" t="s">
        <v>983</v>
      </c>
      <c r="C723" s="240">
        <v>4</v>
      </c>
      <c r="D723" s="241" t="s">
        <v>1038</v>
      </c>
      <c r="E723" s="241" t="s">
        <v>290</v>
      </c>
      <c r="F723" s="240">
        <v>4.8499999999999996</v>
      </c>
      <c r="G723" s="240"/>
      <c r="H723" s="239">
        <f>F723</f>
        <v>4.8499999999999996</v>
      </c>
      <c r="I723" s="242">
        <v>16.2</v>
      </c>
      <c r="K723" s="10"/>
      <c r="L723" s="12"/>
    </row>
    <row r="724" spans="1:12">
      <c r="A724" s="238">
        <v>322611</v>
      </c>
      <c r="B724" s="239" t="s">
        <v>103</v>
      </c>
      <c r="C724" s="240">
        <v>4</v>
      </c>
      <c r="D724" s="241" t="s">
        <v>1038</v>
      </c>
      <c r="E724" s="241" t="s">
        <v>290</v>
      </c>
      <c r="F724" s="240">
        <v>4.8499999999999996</v>
      </c>
      <c r="G724" s="240"/>
      <c r="H724" s="239">
        <v>4.6500000000000004</v>
      </c>
      <c r="I724" s="242">
        <v>16.2</v>
      </c>
      <c r="K724" s="10"/>
      <c r="L724" s="11"/>
    </row>
    <row r="725" spans="1:12">
      <c r="A725" s="238">
        <v>532300</v>
      </c>
      <c r="B725" s="239" t="s">
        <v>965</v>
      </c>
      <c r="C725" s="240">
        <v>4</v>
      </c>
      <c r="D725" s="241" t="s">
        <v>1038</v>
      </c>
      <c r="E725" s="241" t="s">
        <v>290</v>
      </c>
      <c r="F725" s="240">
        <v>4.8499999999999996</v>
      </c>
      <c r="G725" s="240"/>
      <c r="H725" s="239">
        <f>F725</f>
        <v>4.8499999999999996</v>
      </c>
      <c r="I725" s="242">
        <v>16.2</v>
      </c>
      <c r="K725" s="10"/>
      <c r="L725" s="11"/>
    </row>
    <row r="726" spans="1:12">
      <c r="A726" s="238">
        <v>322595</v>
      </c>
      <c r="B726" s="239" t="s">
        <v>1113</v>
      </c>
      <c r="C726" s="240">
        <v>4</v>
      </c>
      <c r="D726" s="241" t="s">
        <v>1038</v>
      </c>
      <c r="E726" s="241" t="s">
        <v>290</v>
      </c>
      <c r="F726" s="240">
        <v>4.8499999999999996</v>
      </c>
      <c r="G726" s="240"/>
      <c r="H726" s="239">
        <v>4.6500000000000004</v>
      </c>
      <c r="I726" s="242">
        <v>16.2</v>
      </c>
      <c r="K726" s="10"/>
      <c r="L726" s="11"/>
    </row>
    <row r="727" spans="1:12">
      <c r="A727" s="238">
        <v>587779</v>
      </c>
      <c r="B727" s="239" t="s">
        <v>1059</v>
      </c>
      <c r="C727" s="240">
        <v>0</v>
      </c>
      <c r="D727" s="241" t="s">
        <v>1038</v>
      </c>
      <c r="E727" s="241" t="s">
        <v>290</v>
      </c>
      <c r="F727" s="240">
        <v>4.8499999999999996</v>
      </c>
      <c r="G727" s="240"/>
      <c r="H727" s="239">
        <f>F727</f>
        <v>4.8499999999999996</v>
      </c>
      <c r="I727" s="242">
        <v>16.2</v>
      </c>
      <c r="K727" s="10"/>
      <c r="L727" s="11"/>
    </row>
    <row r="728" spans="1:12">
      <c r="A728" s="238">
        <v>322609</v>
      </c>
      <c r="B728" s="239" t="s">
        <v>222</v>
      </c>
      <c r="C728" s="240">
        <v>4</v>
      </c>
      <c r="D728" s="241" t="s">
        <v>1038</v>
      </c>
      <c r="E728" s="241" t="s">
        <v>290</v>
      </c>
      <c r="F728" s="240">
        <v>4.8499999999999996</v>
      </c>
      <c r="G728" s="240"/>
      <c r="H728" s="239">
        <v>4.6500000000000004</v>
      </c>
      <c r="I728" s="242">
        <v>16.2</v>
      </c>
      <c r="K728" s="10"/>
      <c r="L728" s="12"/>
    </row>
    <row r="729" spans="1:12">
      <c r="A729" s="238">
        <v>322601</v>
      </c>
      <c r="B729" s="239" t="s">
        <v>102</v>
      </c>
      <c r="C729" s="240">
        <v>4</v>
      </c>
      <c r="D729" s="241" t="s">
        <v>1038</v>
      </c>
      <c r="E729" s="241" t="s">
        <v>290</v>
      </c>
      <c r="F729" s="240">
        <v>4.8499999999999996</v>
      </c>
      <c r="G729" s="240"/>
      <c r="H729" s="239">
        <v>4.6500000000000004</v>
      </c>
      <c r="I729" s="242">
        <v>16.2</v>
      </c>
      <c r="K729" s="10"/>
      <c r="L729" s="11"/>
    </row>
    <row r="730" spans="1:12">
      <c r="A730" s="238">
        <v>549760</v>
      </c>
      <c r="B730" s="239" t="s">
        <v>986</v>
      </c>
      <c r="C730" s="240">
        <v>4</v>
      </c>
      <c r="D730" s="241" t="s">
        <v>1038</v>
      </c>
      <c r="E730" s="241" t="s">
        <v>290</v>
      </c>
      <c r="F730" s="240">
        <v>4.8499999999999996</v>
      </c>
      <c r="G730" s="240"/>
      <c r="H730" s="239">
        <f>F730</f>
        <v>4.8499999999999996</v>
      </c>
      <c r="I730" s="242">
        <v>16.2</v>
      </c>
      <c r="K730" s="10"/>
      <c r="L730" s="12"/>
    </row>
    <row r="731" spans="1:12">
      <c r="A731" s="238">
        <v>589040</v>
      </c>
      <c r="B731" s="239" t="s">
        <v>1130</v>
      </c>
      <c r="C731" s="240">
        <v>0</v>
      </c>
      <c r="D731" s="241" t="s">
        <v>1038</v>
      </c>
      <c r="E731" s="241" t="s">
        <v>290</v>
      </c>
      <c r="F731" s="240">
        <v>4.8499999999999996</v>
      </c>
      <c r="G731" s="240"/>
      <c r="H731" s="239">
        <v>4.6500000000000004</v>
      </c>
      <c r="I731" s="242">
        <v>16.2</v>
      </c>
      <c r="K731" s="10"/>
      <c r="L731" s="11"/>
    </row>
    <row r="732" spans="1:12">
      <c r="A732" s="238">
        <v>322597</v>
      </c>
      <c r="B732" s="239" t="s">
        <v>1131</v>
      </c>
      <c r="C732" s="240">
        <v>4</v>
      </c>
      <c r="D732" s="241" t="s">
        <v>1038</v>
      </c>
      <c r="E732" s="241" t="s">
        <v>290</v>
      </c>
      <c r="F732" s="240">
        <v>4.8499999999999996</v>
      </c>
      <c r="G732" s="240"/>
      <c r="H732" s="239">
        <v>4.6500000000000004</v>
      </c>
      <c r="I732" s="242">
        <v>16.2</v>
      </c>
      <c r="K732" s="10"/>
      <c r="L732" s="11"/>
    </row>
    <row r="733" spans="1:12">
      <c r="A733" s="238">
        <v>324220</v>
      </c>
      <c r="B733" s="239" t="s">
        <v>223</v>
      </c>
      <c r="C733" s="240">
        <v>4</v>
      </c>
      <c r="D733" s="241" t="s">
        <v>1038</v>
      </c>
      <c r="E733" s="241" t="s">
        <v>302</v>
      </c>
      <c r="F733" s="240">
        <v>3.6</v>
      </c>
      <c r="G733" s="240"/>
      <c r="H733" s="239">
        <v>3.6</v>
      </c>
      <c r="I733" s="242">
        <v>14</v>
      </c>
      <c r="K733" s="10"/>
      <c r="L733" s="11"/>
    </row>
    <row r="734" spans="1:12">
      <c r="A734" s="238">
        <v>324158</v>
      </c>
      <c r="B734" s="239" t="s">
        <v>464</v>
      </c>
      <c r="C734" s="240">
        <v>4</v>
      </c>
      <c r="D734" s="241" t="s">
        <v>1038</v>
      </c>
      <c r="E734" s="241" t="s">
        <v>302</v>
      </c>
      <c r="F734" s="240">
        <v>2.9</v>
      </c>
      <c r="G734" s="240"/>
      <c r="H734" s="239">
        <f>F734</f>
        <v>2.9</v>
      </c>
      <c r="I734" s="242">
        <v>16</v>
      </c>
      <c r="K734" s="10"/>
      <c r="L734" s="11"/>
    </row>
    <row r="735" spans="1:12">
      <c r="A735" s="238">
        <v>336166</v>
      </c>
      <c r="B735" s="239" t="s">
        <v>224</v>
      </c>
      <c r="C735" s="240">
        <v>4</v>
      </c>
      <c r="D735" s="241" t="s">
        <v>1038</v>
      </c>
      <c r="E735" s="241" t="s">
        <v>1030</v>
      </c>
      <c r="F735" s="240">
        <v>6.5</v>
      </c>
      <c r="G735" s="240"/>
      <c r="H735" s="239">
        <v>7.5</v>
      </c>
      <c r="I735" s="242">
        <v>20</v>
      </c>
      <c r="K735" s="10"/>
      <c r="L735" s="11"/>
    </row>
    <row r="736" spans="1:12">
      <c r="A736" s="238">
        <v>322613</v>
      </c>
      <c r="B736" s="239" t="s">
        <v>430</v>
      </c>
      <c r="C736" s="240">
        <v>4</v>
      </c>
      <c r="D736" s="241" t="s">
        <v>1038</v>
      </c>
      <c r="E736" s="241" t="s">
        <v>1030</v>
      </c>
      <c r="F736" s="240">
        <v>3.6</v>
      </c>
      <c r="G736" s="240"/>
      <c r="H736" s="239">
        <f>F736</f>
        <v>3.6</v>
      </c>
      <c r="I736" s="242">
        <v>20</v>
      </c>
      <c r="K736" s="10"/>
      <c r="L736" s="12"/>
    </row>
    <row r="737" spans="1:12">
      <c r="A737" s="238">
        <v>336167</v>
      </c>
      <c r="B737" s="239" t="s">
        <v>507</v>
      </c>
      <c r="C737" s="240">
        <v>4</v>
      </c>
      <c r="D737" s="241" t="s">
        <v>1038</v>
      </c>
      <c r="E737" s="241" t="s">
        <v>1030</v>
      </c>
      <c r="F737" s="240">
        <v>2.9</v>
      </c>
      <c r="G737" s="240"/>
      <c r="H737" s="239">
        <f>F737</f>
        <v>2.9</v>
      </c>
      <c r="I737" s="242">
        <v>19.8</v>
      </c>
      <c r="K737" s="10"/>
      <c r="L737" s="12"/>
    </row>
    <row r="738" spans="1:12">
      <c r="A738" s="238">
        <v>324221</v>
      </c>
      <c r="B738" s="239" t="s">
        <v>480</v>
      </c>
      <c r="C738" s="240">
        <v>4</v>
      </c>
      <c r="D738" s="241" t="s">
        <v>1038</v>
      </c>
      <c r="E738" s="241" t="s">
        <v>1030</v>
      </c>
      <c r="F738" s="240">
        <v>2.9</v>
      </c>
      <c r="G738" s="240"/>
      <c r="H738" s="239">
        <v>4</v>
      </c>
      <c r="I738" s="242">
        <v>18</v>
      </c>
      <c r="K738" s="10"/>
      <c r="L738" s="12"/>
    </row>
    <row r="739" spans="1:12">
      <c r="A739" s="238">
        <v>415463</v>
      </c>
      <c r="B739" s="239" t="s">
        <v>576</v>
      </c>
      <c r="C739" s="240">
        <v>4</v>
      </c>
      <c r="D739" s="241" t="s">
        <v>1038</v>
      </c>
      <c r="E739" s="241" t="s">
        <v>1030</v>
      </c>
      <c r="F739" s="240">
        <v>6.5</v>
      </c>
      <c r="G739" s="240"/>
      <c r="H739" s="239">
        <f>F739</f>
        <v>6.5</v>
      </c>
      <c r="I739" s="242">
        <v>18</v>
      </c>
      <c r="K739" s="10"/>
      <c r="L739" s="12"/>
    </row>
    <row r="740" spans="1:12">
      <c r="A740" s="238">
        <v>401633</v>
      </c>
      <c r="B740" s="239" t="s">
        <v>550</v>
      </c>
      <c r="C740" s="240">
        <v>8</v>
      </c>
      <c r="D740" s="241" t="s">
        <v>1038</v>
      </c>
      <c r="E740" s="241" t="s">
        <v>1030</v>
      </c>
      <c r="F740" s="240">
        <v>0.30000000000000004</v>
      </c>
      <c r="G740" s="240"/>
      <c r="H740" s="239">
        <v>2</v>
      </c>
      <c r="I740" s="242">
        <v>17.600000000000001</v>
      </c>
      <c r="K740" s="10"/>
      <c r="L740" s="12"/>
    </row>
    <row r="741" spans="1:12">
      <c r="A741" s="238">
        <v>387397</v>
      </c>
      <c r="B741" s="239" t="s">
        <v>540</v>
      </c>
      <c r="C741" s="240">
        <v>8</v>
      </c>
      <c r="D741" s="241" t="s">
        <v>1038</v>
      </c>
      <c r="E741" s="241" t="s">
        <v>1030</v>
      </c>
      <c r="F741" s="240">
        <v>0.30000000000000004</v>
      </c>
      <c r="G741" s="240"/>
      <c r="H741" s="239">
        <v>2</v>
      </c>
      <c r="I741" s="242">
        <v>17.600000000000001</v>
      </c>
      <c r="K741" s="10"/>
      <c r="L741" s="12"/>
    </row>
    <row r="742" spans="1:12">
      <c r="A742" s="238">
        <v>333685</v>
      </c>
      <c r="B742" s="239" t="s">
        <v>495</v>
      </c>
      <c r="C742" s="240">
        <v>8</v>
      </c>
      <c r="D742" s="241" t="s">
        <v>1038</v>
      </c>
      <c r="E742" s="241" t="s">
        <v>1030</v>
      </c>
      <c r="F742" s="240">
        <v>2.3000000000000003</v>
      </c>
      <c r="G742" s="240"/>
      <c r="H742" s="239">
        <v>2</v>
      </c>
      <c r="I742" s="242">
        <v>17.600000000000001</v>
      </c>
      <c r="K742" s="10"/>
      <c r="L742" s="12"/>
    </row>
    <row r="743" spans="1:12">
      <c r="A743" s="238">
        <v>324161</v>
      </c>
      <c r="B743" s="239" t="s">
        <v>465</v>
      </c>
      <c r="C743" s="240">
        <v>8</v>
      </c>
      <c r="D743" s="241" t="s">
        <v>1038</v>
      </c>
      <c r="E743" s="241" t="s">
        <v>1030</v>
      </c>
      <c r="F743" s="240">
        <v>0.30000000000000004</v>
      </c>
      <c r="G743" s="240"/>
      <c r="H743" s="239">
        <v>2.4</v>
      </c>
      <c r="I743" s="242">
        <v>17.600000000000001</v>
      </c>
      <c r="K743" s="10"/>
      <c r="L743" s="12"/>
    </row>
    <row r="744" spans="1:12">
      <c r="A744" s="238">
        <v>324159</v>
      </c>
      <c r="B744" s="239" t="s">
        <v>101</v>
      </c>
      <c r="C744" s="240">
        <v>4</v>
      </c>
      <c r="D744" s="241" t="s">
        <v>1038</v>
      </c>
      <c r="E744" s="241" t="s">
        <v>1030</v>
      </c>
      <c r="F744" s="240">
        <v>6.4</v>
      </c>
      <c r="G744" s="240"/>
      <c r="H744" s="239">
        <v>6.4</v>
      </c>
      <c r="I744" s="242">
        <v>10.52</v>
      </c>
      <c r="K744" s="10"/>
      <c r="L744" s="12"/>
    </row>
    <row r="745" spans="1:12">
      <c r="A745" s="238">
        <v>401636</v>
      </c>
      <c r="B745" s="239" t="s">
        <v>551</v>
      </c>
      <c r="C745" s="240">
        <v>4</v>
      </c>
      <c r="D745" s="241" t="s">
        <v>1038</v>
      </c>
      <c r="E745" s="241" t="s">
        <v>1030</v>
      </c>
      <c r="F745" s="240">
        <v>6.4</v>
      </c>
      <c r="G745" s="240"/>
      <c r="H745" s="239">
        <f>F745</f>
        <v>6.4</v>
      </c>
      <c r="I745" s="242">
        <v>10.52</v>
      </c>
      <c r="K745" s="10"/>
      <c r="L745" s="12"/>
    </row>
    <row r="746" spans="1:12">
      <c r="A746" s="238">
        <v>442036</v>
      </c>
      <c r="B746" s="239" t="s">
        <v>606</v>
      </c>
      <c r="C746" s="240">
        <v>4</v>
      </c>
      <c r="D746" s="241" t="s">
        <v>1038</v>
      </c>
      <c r="E746" s="241" t="s">
        <v>1030</v>
      </c>
      <c r="F746" s="240">
        <v>6.4</v>
      </c>
      <c r="G746" s="240"/>
      <c r="H746" s="239">
        <f>F746</f>
        <v>6.4</v>
      </c>
      <c r="I746" s="242">
        <v>10.52</v>
      </c>
      <c r="K746" s="10"/>
      <c r="L746" s="11"/>
    </row>
    <row r="747" spans="1:12">
      <c r="A747" s="238">
        <v>387396</v>
      </c>
      <c r="B747" s="239" t="s">
        <v>276</v>
      </c>
      <c r="C747" s="240">
        <v>4</v>
      </c>
      <c r="D747" s="241" t="s">
        <v>1038</v>
      </c>
      <c r="E747" s="241" t="s">
        <v>1030</v>
      </c>
      <c r="F747" s="240">
        <v>6.4</v>
      </c>
      <c r="G747" s="240"/>
      <c r="H747" s="239">
        <v>6.4</v>
      </c>
      <c r="I747" s="242">
        <v>10.52</v>
      </c>
      <c r="K747" s="10"/>
      <c r="L747" s="11"/>
    </row>
    <row r="748" spans="1:12">
      <c r="A748" s="238">
        <v>324160</v>
      </c>
      <c r="B748" s="239" t="s">
        <v>225</v>
      </c>
      <c r="C748" s="240">
        <v>4</v>
      </c>
      <c r="D748" s="241" t="s">
        <v>1038</v>
      </c>
      <c r="E748" s="241" t="s">
        <v>1030</v>
      </c>
      <c r="F748" s="240">
        <v>6.4</v>
      </c>
      <c r="G748" s="240"/>
      <c r="H748" s="239">
        <v>6.4</v>
      </c>
      <c r="I748" s="242">
        <v>10.52</v>
      </c>
      <c r="K748" s="10"/>
      <c r="L748" s="12"/>
    </row>
    <row r="749" spans="1:12">
      <c r="A749" s="238">
        <v>322688</v>
      </c>
      <c r="B749" s="239" t="s">
        <v>226</v>
      </c>
      <c r="C749" s="240">
        <v>4</v>
      </c>
      <c r="D749" s="241" t="s">
        <v>1038</v>
      </c>
      <c r="E749" s="241" t="s">
        <v>1030</v>
      </c>
      <c r="F749" s="240">
        <v>6.4</v>
      </c>
      <c r="G749" s="240"/>
      <c r="H749" s="239">
        <v>6.4</v>
      </c>
      <c r="I749" s="242">
        <v>10.52</v>
      </c>
      <c r="K749" s="10"/>
      <c r="L749" s="12"/>
    </row>
    <row r="750" spans="1:12">
      <c r="A750" s="238">
        <v>322685</v>
      </c>
      <c r="B750" s="239" t="s">
        <v>100</v>
      </c>
      <c r="C750" s="240">
        <v>4</v>
      </c>
      <c r="D750" s="241" t="s">
        <v>1038</v>
      </c>
      <c r="E750" s="241" t="s">
        <v>1030</v>
      </c>
      <c r="F750" s="240">
        <v>6.4</v>
      </c>
      <c r="G750" s="240"/>
      <c r="H750" s="239">
        <v>6.4</v>
      </c>
      <c r="I750" s="242">
        <v>10.52</v>
      </c>
      <c r="K750" s="10"/>
      <c r="L750" s="11"/>
    </row>
    <row r="751" spans="1:12">
      <c r="A751" s="238">
        <v>473865</v>
      </c>
      <c r="B751" s="239" t="s">
        <v>895</v>
      </c>
      <c r="C751" s="240">
        <v>4</v>
      </c>
      <c r="D751" s="241" t="s">
        <v>1038</v>
      </c>
      <c r="E751" s="241" t="s">
        <v>1030</v>
      </c>
      <c r="F751" s="240">
        <v>6.4</v>
      </c>
      <c r="G751" s="240"/>
      <c r="H751" s="239">
        <f>F751</f>
        <v>6.4</v>
      </c>
      <c r="I751" s="242">
        <v>10.52</v>
      </c>
      <c r="K751" s="10"/>
      <c r="L751" s="11"/>
    </row>
    <row r="752" spans="1:12">
      <c r="A752" s="238">
        <v>473708</v>
      </c>
      <c r="B752" s="239" t="s">
        <v>894</v>
      </c>
      <c r="C752" s="240">
        <v>4</v>
      </c>
      <c r="D752" s="241" t="s">
        <v>1038</v>
      </c>
      <c r="E752" s="241" t="s">
        <v>1030</v>
      </c>
      <c r="F752" s="240">
        <v>7.4</v>
      </c>
      <c r="G752" s="240"/>
      <c r="H752" s="239">
        <f>F752</f>
        <v>7.4</v>
      </c>
      <c r="I752" s="242">
        <v>10.52</v>
      </c>
      <c r="K752" s="10"/>
      <c r="L752" s="11"/>
    </row>
    <row r="753" spans="1:12">
      <c r="A753" s="238">
        <v>386731</v>
      </c>
      <c r="B753" s="239" t="s">
        <v>274</v>
      </c>
      <c r="C753" s="240">
        <v>4</v>
      </c>
      <c r="D753" s="241" t="s">
        <v>1038</v>
      </c>
      <c r="E753" s="241" t="s">
        <v>1030</v>
      </c>
      <c r="F753" s="240">
        <v>7.4</v>
      </c>
      <c r="G753" s="240"/>
      <c r="H753" s="239">
        <v>6.4</v>
      </c>
      <c r="I753" s="242">
        <v>10.52</v>
      </c>
      <c r="K753" s="10"/>
      <c r="L753" s="12"/>
    </row>
    <row r="754" spans="1:12">
      <c r="A754" s="238">
        <v>384007</v>
      </c>
      <c r="B754" s="239" t="s">
        <v>272</v>
      </c>
      <c r="C754" s="240">
        <v>4</v>
      </c>
      <c r="D754" s="241" t="s">
        <v>1038</v>
      </c>
      <c r="E754" s="241" t="s">
        <v>1030</v>
      </c>
      <c r="F754" s="240">
        <v>6.4</v>
      </c>
      <c r="G754" s="240"/>
      <c r="H754" s="239">
        <v>6.4</v>
      </c>
      <c r="I754" s="242">
        <v>42</v>
      </c>
      <c r="K754" s="10"/>
      <c r="L754" s="12"/>
    </row>
    <row r="755" spans="1:12">
      <c r="A755" s="238">
        <v>529002</v>
      </c>
      <c r="B755" s="239" t="s">
        <v>960</v>
      </c>
      <c r="C755" s="240">
        <v>4</v>
      </c>
      <c r="D755" s="241" t="s">
        <v>1038</v>
      </c>
      <c r="E755" s="241" t="s">
        <v>1030</v>
      </c>
      <c r="F755" s="240">
        <v>7.4</v>
      </c>
      <c r="G755" s="240"/>
      <c r="H755" s="239">
        <f>F755</f>
        <v>7.4</v>
      </c>
      <c r="I755" s="242">
        <v>10.52</v>
      </c>
      <c r="K755" s="10"/>
      <c r="L755" s="12"/>
    </row>
    <row r="756" spans="1:12">
      <c r="A756" s="238">
        <v>322606</v>
      </c>
      <c r="B756" s="239" t="s">
        <v>427</v>
      </c>
      <c r="C756" s="240">
        <v>4</v>
      </c>
      <c r="D756" s="241" t="s">
        <v>1038</v>
      </c>
      <c r="E756" s="241" t="s">
        <v>1030</v>
      </c>
      <c r="F756" s="240">
        <v>4.6499999999999995</v>
      </c>
      <c r="G756" s="240"/>
      <c r="H756" s="239">
        <v>5</v>
      </c>
      <c r="I756" s="242">
        <v>16.2</v>
      </c>
      <c r="K756" s="10"/>
      <c r="L756" s="11"/>
    </row>
    <row r="757" spans="1:12">
      <c r="A757" s="238">
        <v>402078</v>
      </c>
      <c r="B757" s="239" t="s">
        <v>552</v>
      </c>
      <c r="C757" s="240">
        <v>4</v>
      </c>
      <c r="D757" s="241" t="s">
        <v>1038</v>
      </c>
      <c r="E757" s="241" t="s">
        <v>290</v>
      </c>
      <c r="F757" s="240">
        <v>4.6500000000000004</v>
      </c>
      <c r="G757" s="240"/>
      <c r="H757" s="239">
        <v>5</v>
      </c>
      <c r="I757" s="242">
        <v>16.2</v>
      </c>
      <c r="K757" s="10"/>
      <c r="L757" s="12"/>
    </row>
    <row r="758" spans="1:12">
      <c r="A758" s="238">
        <v>322612</v>
      </c>
      <c r="B758" s="239" t="s">
        <v>429</v>
      </c>
      <c r="C758" s="240">
        <v>4</v>
      </c>
      <c r="D758" s="241" t="s">
        <v>1038</v>
      </c>
      <c r="E758" s="241" t="s">
        <v>1030</v>
      </c>
      <c r="F758" s="240">
        <v>4.6499999999999995</v>
      </c>
      <c r="G758" s="240"/>
      <c r="H758" s="239">
        <v>5</v>
      </c>
      <c r="I758" s="242">
        <v>16.2</v>
      </c>
      <c r="K758" s="10"/>
      <c r="L758" s="12"/>
    </row>
    <row r="759" spans="1:12">
      <c r="A759" s="238">
        <v>322603</v>
      </c>
      <c r="B759" s="239" t="s">
        <v>426</v>
      </c>
      <c r="C759" s="240">
        <v>4</v>
      </c>
      <c r="D759" s="241" t="s">
        <v>1038</v>
      </c>
      <c r="E759" s="241" t="s">
        <v>1030</v>
      </c>
      <c r="F759" s="240">
        <v>4.6499999999999995</v>
      </c>
      <c r="G759" s="240"/>
      <c r="H759" s="239">
        <f>F759</f>
        <v>4.6499999999999995</v>
      </c>
      <c r="I759" s="242">
        <v>16.2</v>
      </c>
      <c r="K759" s="10"/>
      <c r="L759" s="12"/>
    </row>
    <row r="760" spans="1:12">
      <c r="A760" s="238">
        <v>322610</v>
      </c>
      <c r="B760" s="239" t="s">
        <v>99</v>
      </c>
      <c r="C760" s="240">
        <v>4</v>
      </c>
      <c r="D760" s="241" t="s">
        <v>1038</v>
      </c>
      <c r="E760" s="241" t="s">
        <v>1030</v>
      </c>
      <c r="F760" s="240">
        <v>4.6499999999999995</v>
      </c>
      <c r="G760" s="240"/>
      <c r="H760" s="239">
        <v>4.7</v>
      </c>
      <c r="I760" s="242">
        <v>16.2</v>
      </c>
      <c r="K760" s="10"/>
      <c r="L760" s="12"/>
    </row>
    <row r="761" spans="1:12">
      <c r="A761" s="238">
        <v>322594</v>
      </c>
      <c r="B761" s="239" t="s">
        <v>423</v>
      </c>
      <c r="C761" s="240">
        <v>4</v>
      </c>
      <c r="D761" s="241" t="s">
        <v>1038</v>
      </c>
      <c r="E761" s="241" t="s">
        <v>1030</v>
      </c>
      <c r="F761" s="240">
        <v>4.6499999999999995</v>
      </c>
      <c r="G761" s="240"/>
      <c r="H761" s="239">
        <v>5</v>
      </c>
      <c r="I761" s="242">
        <v>16.2</v>
      </c>
      <c r="K761" s="10"/>
      <c r="L761" s="11"/>
    </row>
    <row r="762" spans="1:12">
      <c r="A762" s="238">
        <v>322608</v>
      </c>
      <c r="B762" s="239" t="s">
        <v>428</v>
      </c>
      <c r="C762" s="240">
        <v>4</v>
      </c>
      <c r="D762" s="241" t="s">
        <v>1038</v>
      </c>
      <c r="E762" s="241" t="s">
        <v>1030</v>
      </c>
      <c r="F762" s="240">
        <v>4.6499999999999995</v>
      </c>
      <c r="G762" s="240"/>
      <c r="H762" s="239">
        <v>5</v>
      </c>
      <c r="I762" s="242">
        <v>16.2</v>
      </c>
      <c r="K762" s="10"/>
      <c r="L762" s="12"/>
    </row>
    <row r="763" spans="1:12">
      <c r="A763" s="238">
        <v>322600</v>
      </c>
      <c r="B763" s="239" t="s">
        <v>425</v>
      </c>
      <c r="C763" s="240">
        <v>4</v>
      </c>
      <c r="D763" s="241" t="s">
        <v>1038</v>
      </c>
      <c r="E763" s="241" t="s">
        <v>1030</v>
      </c>
      <c r="F763" s="240">
        <v>4.6499999999999995</v>
      </c>
      <c r="G763" s="240"/>
      <c r="H763" s="239">
        <v>5</v>
      </c>
      <c r="I763" s="242">
        <v>16.2</v>
      </c>
      <c r="K763" s="10"/>
      <c r="L763" s="12"/>
    </row>
    <row r="764" spans="1:12">
      <c r="A764" s="238">
        <v>322596</v>
      </c>
      <c r="B764" s="239" t="s">
        <v>424</v>
      </c>
      <c r="C764" s="240">
        <v>4</v>
      </c>
      <c r="D764" s="241" t="s">
        <v>1038</v>
      </c>
      <c r="E764" s="241" t="s">
        <v>1030</v>
      </c>
      <c r="F764" s="240">
        <v>4.6499999999999995</v>
      </c>
      <c r="G764" s="240"/>
      <c r="H764" s="239">
        <v>5</v>
      </c>
      <c r="I764" s="242">
        <v>16.2</v>
      </c>
      <c r="K764" s="10"/>
      <c r="L764" s="11"/>
    </row>
    <row r="765" spans="1:12">
      <c r="A765" s="238">
        <v>346917</v>
      </c>
      <c r="B765" s="239" t="s">
        <v>523</v>
      </c>
      <c r="C765" s="240">
        <v>4</v>
      </c>
      <c r="D765" s="241" t="s">
        <v>1038</v>
      </c>
      <c r="E765" s="241" t="s">
        <v>1030</v>
      </c>
      <c r="F765" s="240">
        <v>5.6499999999999995</v>
      </c>
      <c r="G765" s="240"/>
      <c r="H765" s="239">
        <v>4.7</v>
      </c>
      <c r="I765" s="242">
        <v>16.2</v>
      </c>
      <c r="K765" s="10"/>
      <c r="L765" s="12"/>
    </row>
    <row r="766" spans="1:12">
      <c r="A766" s="238">
        <v>387394</v>
      </c>
      <c r="B766" s="239" t="s">
        <v>539</v>
      </c>
      <c r="C766" s="240">
        <v>4</v>
      </c>
      <c r="D766" s="241" t="s">
        <v>1038</v>
      </c>
      <c r="E766" s="241" t="s">
        <v>1030</v>
      </c>
      <c r="F766" s="240">
        <v>4.3</v>
      </c>
      <c r="G766" s="240"/>
      <c r="H766" s="239">
        <v>4</v>
      </c>
      <c r="I766" s="242">
        <v>10.52</v>
      </c>
      <c r="K766" s="10"/>
      <c r="L766" s="12"/>
    </row>
    <row r="767" spans="1:12">
      <c r="A767" s="238">
        <v>386730</v>
      </c>
      <c r="B767" s="239" t="s">
        <v>538</v>
      </c>
      <c r="C767" s="240">
        <v>4</v>
      </c>
      <c r="D767" s="241" t="s">
        <v>1038</v>
      </c>
      <c r="E767" s="241" t="s">
        <v>1030</v>
      </c>
      <c r="F767" s="240">
        <v>4.3</v>
      </c>
      <c r="G767" s="240"/>
      <c r="H767" s="239">
        <v>4</v>
      </c>
      <c r="I767" s="242">
        <v>10.52</v>
      </c>
      <c r="K767" s="10"/>
      <c r="L767" s="12"/>
    </row>
    <row r="768" spans="1:12">
      <c r="A768" s="238">
        <v>333686</v>
      </c>
      <c r="B768" s="239" t="s">
        <v>496</v>
      </c>
      <c r="C768" s="240">
        <v>4</v>
      </c>
      <c r="D768" s="241" t="s">
        <v>1038</v>
      </c>
      <c r="E768" s="241" t="s">
        <v>1030</v>
      </c>
      <c r="F768" s="240">
        <v>4.3</v>
      </c>
      <c r="G768" s="240"/>
      <c r="H768" s="239">
        <f>F768</f>
        <v>4.3</v>
      </c>
      <c r="I768" s="242">
        <v>10.52</v>
      </c>
      <c r="K768" s="10"/>
      <c r="L768" s="11"/>
    </row>
    <row r="769" spans="1:12">
      <c r="A769" s="238">
        <v>324297</v>
      </c>
      <c r="B769" s="239" t="s">
        <v>483</v>
      </c>
      <c r="C769" s="240">
        <v>4</v>
      </c>
      <c r="D769" s="241" t="s">
        <v>1038</v>
      </c>
      <c r="E769" s="241" t="s">
        <v>1030</v>
      </c>
      <c r="F769" s="240">
        <v>4.3</v>
      </c>
      <c r="G769" s="240"/>
      <c r="H769" s="239">
        <v>4.17</v>
      </c>
      <c r="I769" s="242">
        <v>10.52</v>
      </c>
      <c r="K769" s="10"/>
      <c r="L769" s="11"/>
    </row>
    <row r="770" spans="1:12">
      <c r="A770" s="238">
        <v>380964</v>
      </c>
      <c r="B770" s="239" t="s">
        <v>270</v>
      </c>
      <c r="C770" s="240">
        <v>4</v>
      </c>
      <c r="D770" s="241" t="s">
        <v>1038</v>
      </c>
      <c r="E770" s="241" t="s">
        <v>1030</v>
      </c>
      <c r="F770" s="240">
        <v>5.5000000000000009</v>
      </c>
      <c r="G770" s="240"/>
      <c r="H770" s="239">
        <v>5.2</v>
      </c>
      <c r="I770" s="242">
        <v>16.8</v>
      </c>
      <c r="K770" s="10"/>
      <c r="L770" s="12"/>
    </row>
    <row r="771" spans="1:12">
      <c r="A771" s="238">
        <v>324230</v>
      </c>
      <c r="B771" s="239" t="s">
        <v>227</v>
      </c>
      <c r="C771" s="240">
        <v>4</v>
      </c>
      <c r="D771" s="241" t="s">
        <v>1038</v>
      </c>
      <c r="E771" s="241" t="s">
        <v>1030</v>
      </c>
      <c r="F771" s="240">
        <v>5.5</v>
      </c>
      <c r="G771" s="240"/>
      <c r="H771" s="239">
        <v>5.2</v>
      </c>
      <c r="I771" s="242">
        <v>14.8</v>
      </c>
      <c r="K771" s="10"/>
      <c r="L771" s="12"/>
    </row>
    <row r="772" spans="1:12">
      <c r="A772" s="238">
        <v>487478</v>
      </c>
      <c r="B772" s="239" t="s">
        <v>925</v>
      </c>
      <c r="C772" s="240">
        <v>12</v>
      </c>
      <c r="D772" s="241" t="s">
        <v>1038</v>
      </c>
      <c r="E772" s="241" t="s">
        <v>290</v>
      </c>
      <c r="F772" s="240">
        <v>5.7</v>
      </c>
      <c r="G772" s="240"/>
      <c r="H772" s="239">
        <f>F772</f>
        <v>5.7</v>
      </c>
      <c r="I772" s="242">
        <v>29.04</v>
      </c>
      <c r="K772" s="10"/>
      <c r="L772" s="12"/>
    </row>
    <row r="773" spans="1:12">
      <c r="A773" s="238">
        <v>487474</v>
      </c>
      <c r="B773" s="239" t="s">
        <v>922</v>
      </c>
      <c r="C773" s="240">
        <v>12</v>
      </c>
      <c r="D773" s="241" t="s">
        <v>1038</v>
      </c>
      <c r="E773" s="241" t="s">
        <v>290</v>
      </c>
      <c r="F773" s="240">
        <v>5.86</v>
      </c>
      <c r="G773" s="240"/>
      <c r="H773" s="239">
        <v>5.86</v>
      </c>
      <c r="I773" s="242">
        <v>29.04</v>
      </c>
      <c r="K773" s="10"/>
      <c r="L773" s="12"/>
    </row>
    <row r="774" spans="1:12">
      <c r="A774" s="238">
        <v>487475</v>
      </c>
      <c r="B774" s="239" t="s">
        <v>923</v>
      </c>
      <c r="C774" s="240">
        <v>12</v>
      </c>
      <c r="D774" s="241" t="s">
        <v>1038</v>
      </c>
      <c r="E774" s="241" t="s">
        <v>1169</v>
      </c>
      <c r="F774" s="240">
        <v>5.7</v>
      </c>
      <c r="G774" s="240"/>
      <c r="H774" s="239">
        <f>F774</f>
        <v>5.7</v>
      </c>
      <c r="I774" s="242">
        <v>29.04</v>
      </c>
      <c r="K774" s="10"/>
      <c r="L774" s="12"/>
    </row>
    <row r="775" spans="1:12">
      <c r="A775" s="238">
        <v>487472</v>
      </c>
      <c r="B775" s="239" t="s">
        <v>920</v>
      </c>
      <c r="C775" s="240">
        <v>12</v>
      </c>
      <c r="D775" s="241" t="s">
        <v>1038</v>
      </c>
      <c r="E775" s="241" t="s">
        <v>290</v>
      </c>
      <c r="F775" s="240">
        <v>5.86</v>
      </c>
      <c r="G775" s="240"/>
      <c r="H775" s="239">
        <v>5.86</v>
      </c>
      <c r="I775" s="242">
        <v>29.04</v>
      </c>
      <c r="K775" s="10"/>
      <c r="L775" s="12"/>
    </row>
    <row r="776" spans="1:12">
      <c r="A776" s="247">
        <v>597677</v>
      </c>
      <c r="B776" s="239" t="s">
        <v>1176</v>
      </c>
      <c r="C776" s="240">
        <v>12</v>
      </c>
      <c r="D776" s="241" t="s">
        <v>1038</v>
      </c>
      <c r="E776" s="241" t="s">
        <v>290</v>
      </c>
      <c r="F776" s="240">
        <v>5.86</v>
      </c>
      <c r="G776" s="240"/>
      <c r="H776" s="239">
        <v>5.86</v>
      </c>
      <c r="I776" s="242">
        <v>29.04</v>
      </c>
      <c r="K776" s="10"/>
      <c r="L776" s="12"/>
    </row>
    <row r="777" spans="1:12">
      <c r="A777" s="238">
        <v>487473</v>
      </c>
      <c r="B777" s="239" t="s">
        <v>921</v>
      </c>
      <c r="C777" s="240">
        <v>12</v>
      </c>
      <c r="D777" s="241" t="s">
        <v>1038</v>
      </c>
      <c r="E777" s="241" t="s">
        <v>290</v>
      </c>
      <c r="F777" s="240">
        <v>5.6</v>
      </c>
      <c r="G777" s="240"/>
      <c r="H777" s="239">
        <v>5.6</v>
      </c>
      <c r="I777" s="242">
        <v>29.04</v>
      </c>
      <c r="K777" s="10"/>
      <c r="L777" s="12"/>
    </row>
    <row r="778" spans="1:12">
      <c r="A778" s="238">
        <v>605737</v>
      </c>
      <c r="B778" s="239" t="s">
        <v>1208</v>
      </c>
      <c r="C778" s="240">
        <v>12</v>
      </c>
      <c r="D778" s="241" t="s">
        <v>1038</v>
      </c>
      <c r="E778" s="241" t="s">
        <v>290</v>
      </c>
      <c r="F778" s="240">
        <v>5.6</v>
      </c>
      <c r="G778" s="240"/>
      <c r="H778" s="239">
        <v>5.6</v>
      </c>
      <c r="I778" s="242">
        <v>29.04</v>
      </c>
      <c r="K778" s="10"/>
      <c r="L778" s="12"/>
    </row>
    <row r="779" spans="1:12">
      <c r="A779" s="245">
        <v>606524</v>
      </c>
      <c r="B779" s="239" t="s">
        <v>1211</v>
      </c>
      <c r="C779" s="240">
        <v>12</v>
      </c>
      <c r="D779" s="241" t="s">
        <v>1038</v>
      </c>
      <c r="E779" s="241" t="s">
        <v>290</v>
      </c>
      <c r="F779" s="240">
        <v>5.86</v>
      </c>
      <c r="G779" s="240"/>
      <c r="H779" s="239">
        <v>5.86</v>
      </c>
      <c r="I779" s="242">
        <v>29.04</v>
      </c>
      <c r="K779" s="10"/>
      <c r="L779" s="12"/>
    </row>
    <row r="780" spans="1:12">
      <c r="A780" s="245">
        <v>606528</v>
      </c>
      <c r="B780" s="239" t="s">
        <v>1212</v>
      </c>
      <c r="C780" s="240">
        <v>12</v>
      </c>
      <c r="D780" s="241" t="s">
        <v>1038</v>
      </c>
      <c r="E780" s="241" t="s">
        <v>290</v>
      </c>
      <c r="F780" s="240">
        <v>5.86</v>
      </c>
      <c r="G780" s="240"/>
      <c r="H780" s="239">
        <v>5.86</v>
      </c>
      <c r="I780" s="242">
        <v>29.04</v>
      </c>
      <c r="K780" s="10"/>
      <c r="L780" s="12"/>
    </row>
    <row r="781" spans="1:12">
      <c r="A781" s="245">
        <v>606531</v>
      </c>
      <c r="B781" s="239" t="s">
        <v>1223</v>
      </c>
      <c r="C781" s="240">
        <v>12</v>
      </c>
      <c r="D781" s="241" t="s">
        <v>1038</v>
      </c>
      <c r="E781" s="241" t="s">
        <v>290</v>
      </c>
      <c r="F781" s="240">
        <v>5.6</v>
      </c>
      <c r="G781" s="240"/>
      <c r="H781" s="239">
        <v>5.6</v>
      </c>
      <c r="I781" s="242">
        <v>29.04</v>
      </c>
      <c r="K781" s="10"/>
      <c r="L781" s="12"/>
    </row>
    <row r="782" spans="1:12">
      <c r="A782" s="238">
        <v>487476</v>
      </c>
      <c r="B782" s="239" t="s">
        <v>924</v>
      </c>
      <c r="C782" s="240">
        <v>12</v>
      </c>
      <c r="D782" s="241" t="s">
        <v>1038</v>
      </c>
      <c r="E782" s="241" t="s">
        <v>1169</v>
      </c>
      <c r="F782" s="240">
        <v>5.7</v>
      </c>
      <c r="G782" s="240"/>
      <c r="H782" s="239">
        <f>F782</f>
        <v>5.7</v>
      </c>
      <c r="I782" s="242">
        <v>29.04</v>
      </c>
      <c r="K782" s="10"/>
      <c r="L782" s="11"/>
    </row>
    <row r="783" spans="1:12">
      <c r="A783" s="238">
        <v>575368</v>
      </c>
      <c r="B783" s="239" t="s">
        <v>1016</v>
      </c>
      <c r="C783" s="240">
        <v>0</v>
      </c>
      <c r="D783" s="241" t="s">
        <v>1038</v>
      </c>
      <c r="E783" s="241" t="s">
        <v>1184</v>
      </c>
      <c r="F783" s="240">
        <v>4.5999999999999996</v>
      </c>
      <c r="G783" s="240"/>
      <c r="H783" s="239">
        <f>F783</f>
        <v>4.5999999999999996</v>
      </c>
      <c r="I783" s="242">
        <v>14</v>
      </c>
      <c r="K783" s="10"/>
      <c r="L783" s="12"/>
    </row>
    <row r="784" spans="1:12">
      <c r="A784" s="238">
        <v>576582</v>
      </c>
      <c r="B784" s="239" t="s">
        <v>1020</v>
      </c>
      <c r="C784" s="240">
        <v>0</v>
      </c>
      <c r="D784" s="241" t="s">
        <v>1038</v>
      </c>
      <c r="E784" s="241" t="s">
        <v>1185</v>
      </c>
      <c r="F784" s="240">
        <v>4.5999999999999996</v>
      </c>
      <c r="G784" s="240"/>
      <c r="H784" s="239">
        <f>F784</f>
        <v>4.5999999999999996</v>
      </c>
      <c r="I784" s="242">
        <v>14</v>
      </c>
      <c r="K784" s="10"/>
      <c r="L784" s="12"/>
    </row>
    <row r="785" spans="1:12">
      <c r="A785" s="238">
        <v>575376</v>
      </c>
      <c r="B785" s="239" t="s">
        <v>1017</v>
      </c>
      <c r="C785" s="240">
        <v>0</v>
      </c>
      <c r="D785" s="241" t="s">
        <v>1038</v>
      </c>
      <c r="E785" s="241" t="s">
        <v>1186</v>
      </c>
      <c r="F785" s="240">
        <v>4.5999999999999996</v>
      </c>
      <c r="G785" s="240"/>
      <c r="H785" s="239">
        <v>1</v>
      </c>
      <c r="I785" s="242">
        <v>14</v>
      </c>
      <c r="K785" s="10"/>
      <c r="L785" s="12"/>
    </row>
    <row r="786" spans="1:12">
      <c r="A786" s="238">
        <v>576586</v>
      </c>
      <c r="B786" s="239" t="s">
        <v>1021</v>
      </c>
      <c r="C786" s="240">
        <v>0</v>
      </c>
      <c r="D786" s="241" t="s">
        <v>1038</v>
      </c>
      <c r="E786" s="241" t="s">
        <v>1187</v>
      </c>
      <c r="F786" s="240">
        <v>4.5999999999999996</v>
      </c>
      <c r="G786" s="240"/>
      <c r="H786" s="239">
        <v>3.7</v>
      </c>
      <c r="I786" s="242">
        <v>14</v>
      </c>
      <c r="K786" s="10"/>
      <c r="L786" s="12"/>
    </row>
    <row r="787" spans="1:12">
      <c r="A787" s="238">
        <v>386242</v>
      </c>
      <c r="B787" s="239" t="s">
        <v>273</v>
      </c>
      <c r="C787" s="240">
        <v>2</v>
      </c>
      <c r="D787" s="241" t="s">
        <v>1038</v>
      </c>
      <c r="E787" s="241" t="s">
        <v>1030</v>
      </c>
      <c r="F787" s="240">
        <v>6.9999999999999991</v>
      </c>
      <c r="G787" s="240"/>
      <c r="H787" s="239">
        <v>6.9</v>
      </c>
      <c r="I787" s="242">
        <v>21</v>
      </c>
      <c r="K787" s="10"/>
      <c r="L787" s="11"/>
    </row>
    <row r="788" spans="1:12">
      <c r="A788" s="238">
        <v>564905</v>
      </c>
      <c r="B788" s="239" t="s">
        <v>1009</v>
      </c>
      <c r="C788" s="240">
        <v>0</v>
      </c>
      <c r="D788" s="241" t="s">
        <v>1038</v>
      </c>
      <c r="E788" s="241" t="s">
        <v>1184</v>
      </c>
      <c r="F788" s="240">
        <v>6.7</v>
      </c>
      <c r="G788" s="240"/>
      <c r="H788" s="239">
        <f>F788</f>
        <v>6.7</v>
      </c>
      <c r="I788" s="242">
        <v>20</v>
      </c>
      <c r="K788" s="10"/>
      <c r="L788" s="11"/>
    </row>
    <row r="789" spans="1:12">
      <c r="A789" s="238">
        <v>322689</v>
      </c>
      <c r="B789" s="239" t="s">
        <v>228</v>
      </c>
      <c r="C789" s="240">
        <v>2</v>
      </c>
      <c r="D789" s="241" t="s">
        <v>1038</v>
      </c>
      <c r="E789" s="241" t="s">
        <v>1030</v>
      </c>
      <c r="F789" s="240">
        <v>1.7</v>
      </c>
      <c r="G789" s="240"/>
      <c r="H789" s="239">
        <v>6.6</v>
      </c>
      <c r="I789" s="242">
        <v>21</v>
      </c>
      <c r="K789" s="10"/>
      <c r="L789" s="12"/>
    </row>
    <row r="790" spans="1:12">
      <c r="A790" s="238">
        <v>388221</v>
      </c>
      <c r="B790" s="239" t="s">
        <v>280</v>
      </c>
      <c r="C790" s="240">
        <v>2</v>
      </c>
      <c r="D790" s="241" t="s">
        <v>1038</v>
      </c>
      <c r="E790" s="241" t="s">
        <v>1030</v>
      </c>
      <c r="F790" s="240">
        <v>7.94</v>
      </c>
      <c r="G790" s="240"/>
      <c r="H790" s="239">
        <v>6.9</v>
      </c>
      <c r="I790" s="242">
        <v>21</v>
      </c>
      <c r="K790" s="10"/>
      <c r="L790" s="11"/>
    </row>
    <row r="791" spans="1:12">
      <c r="A791" s="238">
        <v>379463</v>
      </c>
      <c r="B791" s="239" t="s">
        <v>535</v>
      </c>
      <c r="C791" s="240">
        <v>2</v>
      </c>
      <c r="D791" s="241" t="s">
        <v>1038</v>
      </c>
      <c r="E791" s="241" t="s">
        <v>1030</v>
      </c>
      <c r="F791" s="240">
        <v>7.9999999999999991</v>
      </c>
      <c r="G791" s="240"/>
      <c r="H791" s="239">
        <v>6.9</v>
      </c>
      <c r="I791" s="242">
        <v>21</v>
      </c>
      <c r="K791" s="10"/>
      <c r="L791" s="12"/>
    </row>
    <row r="792" spans="1:12">
      <c r="A792" s="238">
        <v>580540</v>
      </c>
      <c r="B792" s="239" t="s">
        <v>1054</v>
      </c>
      <c r="C792" s="240">
        <v>8</v>
      </c>
      <c r="D792" s="241" t="s">
        <v>1038</v>
      </c>
      <c r="E792" s="241" t="s">
        <v>302</v>
      </c>
      <c r="F792" s="240">
        <v>1</v>
      </c>
      <c r="G792" s="240"/>
      <c r="H792" s="239">
        <v>3.7</v>
      </c>
      <c r="I792" s="242">
        <v>8.8000000000000007</v>
      </c>
      <c r="K792" s="10"/>
      <c r="L792" s="12"/>
    </row>
    <row r="793" spans="1:12">
      <c r="A793" s="238">
        <v>578505</v>
      </c>
      <c r="B793" s="239" t="s">
        <v>1356</v>
      </c>
      <c r="C793" s="240">
        <v>8</v>
      </c>
      <c r="D793" s="241" t="s">
        <v>1038</v>
      </c>
      <c r="E793" s="241" t="s">
        <v>1030</v>
      </c>
      <c r="F793" s="240">
        <v>4.7</v>
      </c>
      <c r="G793" s="240"/>
      <c r="H793" s="240">
        <v>4.7</v>
      </c>
      <c r="I793" s="242">
        <v>17.600000000000001</v>
      </c>
      <c r="K793" s="10"/>
      <c r="L793" s="12"/>
    </row>
    <row r="794" spans="1:12">
      <c r="A794" s="238">
        <v>322692</v>
      </c>
      <c r="B794" s="239" t="s">
        <v>1114</v>
      </c>
      <c r="C794" s="240">
        <v>8</v>
      </c>
      <c r="D794" s="241" t="s">
        <v>1038</v>
      </c>
      <c r="E794" s="241" t="s">
        <v>302</v>
      </c>
      <c r="F794" s="240">
        <v>1</v>
      </c>
      <c r="G794" s="240"/>
      <c r="H794" s="240">
        <v>1</v>
      </c>
      <c r="I794" s="242">
        <v>8.8000000000000007</v>
      </c>
      <c r="K794" s="10"/>
      <c r="L794" s="12"/>
    </row>
    <row r="795" spans="1:12">
      <c r="A795" s="238">
        <v>386248</v>
      </c>
      <c r="B795" s="239" t="s">
        <v>537</v>
      </c>
      <c r="C795" s="240">
        <v>2</v>
      </c>
      <c r="D795" s="241" t="s">
        <v>1038</v>
      </c>
      <c r="E795" s="241" t="s">
        <v>1030</v>
      </c>
      <c r="F795" s="240">
        <v>4.6999999999999993</v>
      </c>
      <c r="G795" s="240"/>
      <c r="H795" s="239">
        <f>F795</f>
        <v>4.6999999999999993</v>
      </c>
      <c r="I795" s="242">
        <v>21</v>
      </c>
      <c r="K795" s="10"/>
      <c r="L795" s="12"/>
    </row>
    <row r="796" spans="1:12">
      <c r="A796" s="238">
        <v>324685</v>
      </c>
      <c r="B796" s="239" t="s">
        <v>98</v>
      </c>
      <c r="C796" s="240">
        <v>8</v>
      </c>
      <c r="D796" s="241" t="s">
        <v>1038</v>
      </c>
      <c r="E796" s="241" t="s">
        <v>1030</v>
      </c>
      <c r="F796" s="240">
        <v>3.7</v>
      </c>
      <c r="G796" s="240"/>
      <c r="H796" s="239">
        <v>3.7</v>
      </c>
      <c r="I796" s="242">
        <v>17.600000000000001</v>
      </c>
      <c r="K796" s="10"/>
      <c r="L796" s="11"/>
    </row>
    <row r="797" spans="1:12">
      <c r="A797" s="238">
        <v>579681</v>
      </c>
      <c r="B797" s="239" t="s">
        <v>1047</v>
      </c>
      <c r="C797" s="240">
        <v>0</v>
      </c>
      <c r="D797" s="241" t="s">
        <v>1038</v>
      </c>
      <c r="E797" s="241" t="s">
        <v>1030</v>
      </c>
      <c r="F797" s="240">
        <v>3.7</v>
      </c>
      <c r="G797" s="240"/>
      <c r="H797" s="239">
        <v>3.7</v>
      </c>
      <c r="I797" s="242">
        <v>17.600000000000001</v>
      </c>
      <c r="K797" s="10"/>
      <c r="L797" s="12"/>
    </row>
    <row r="798" spans="1:12">
      <c r="A798" s="238">
        <v>322671</v>
      </c>
      <c r="B798" s="239" t="s">
        <v>1115</v>
      </c>
      <c r="C798" s="240">
        <v>8</v>
      </c>
      <c r="D798" s="241" t="s">
        <v>1038</v>
      </c>
      <c r="E798" s="241" t="s">
        <v>1030</v>
      </c>
      <c r="F798" s="240">
        <v>3.6999999999999997</v>
      </c>
      <c r="G798" s="240"/>
      <c r="H798" s="239"/>
      <c r="I798" s="242">
        <v>17.600000000000001</v>
      </c>
      <c r="K798" s="10"/>
      <c r="L798" s="12"/>
    </row>
    <row r="799" spans="1:12">
      <c r="A799" s="238">
        <v>555193</v>
      </c>
      <c r="B799" s="239" t="s">
        <v>321</v>
      </c>
      <c r="C799" s="240">
        <v>8</v>
      </c>
      <c r="D799" s="241" t="s">
        <v>1038</v>
      </c>
      <c r="E799" s="241" t="s">
        <v>1030</v>
      </c>
      <c r="F799" s="240">
        <v>3.6999999999999997</v>
      </c>
      <c r="G799" s="240"/>
      <c r="H799" s="239">
        <v>3.7</v>
      </c>
      <c r="I799" s="242">
        <v>17.600000000000001</v>
      </c>
      <c r="K799" s="10"/>
      <c r="L799" s="12"/>
    </row>
    <row r="800" spans="1:12">
      <c r="A800" s="238">
        <v>322633</v>
      </c>
      <c r="B800" s="239" t="s">
        <v>97</v>
      </c>
      <c r="C800" s="240">
        <v>8</v>
      </c>
      <c r="D800" s="241" t="s">
        <v>1038</v>
      </c>
      <c r="E800" s="241" t="s">
        <v>1030</v>
      </c>
      <c r="F800" s="240">
        <v>3.7</v>
      </c>
      <c r="G800" s="240"/>
      <c r="H800" s="239">
        <v>3.7</v>
      </c>
      <c r="I800" s="242">
        <v>17.600000000000001</v>
      </c>
      <c r="K800" s="10"/>
      <c r="L800" s="12"/>
    </row>
    <row r="801" spans="1:12">
      <c r="A801" s="238">
        <v>322678</v>
      </c>
      <c r="B801" s="239" t="s">
        <v>96</v>
      </c>
      <c r="C801" s="240">
        <v>8</v>
      </c>
      <c r="D801" s="241" t="s">
        <v>1038</v>
      </c>
      <c r="E801" s="241" t="s">
        <v>1030</v>
      </c>
      <c r="F801" s="240">
        <v>3.7</v>
      </c>
      <c r="G801" s="240"/>
      <c r="H801" s="239">
        <v>3.7</v>
      </c>
      <c r="I801" s="242">
        <v>17.600000000000001</v>
      </c>
      <c r="K801" s="10"/>
      <c r="L801" s="12"/>
    </row>
    <row r="802" spans="1:12">
      <c r="A802" s="238">
        <v>322668</v>
      </c>
      <c r="B802" s="239" t="s">
        <v>442</v>
      </c>
      <c r="C802" s="240">
        <v>8</v>
      </c>
      <c r="D802" s="241" t="s">
        <v>1038</v>
      </c>
      <c r="E802" s="241" t="s">
        <v>1030</v>
      </c>
      <c r="F802" s="240">
        <v>3.7</v>
      </c>
      <c r="G802" s="240"/>
      <c r="H802" s="239">
        <f>F802</f>
        <v>3.7</v>
      </c>
      <c r="I802" s="242">
        <v>17.600000000000001</v>
      </c>
      <c r="K802" s="10"/>
      <c r="L802" s="11"/>
    </row>
    <row r="803" spans="1:12">
      <c r="A803" s="238">
        <v>322639</v>
      </c>
      <c r="B803" s="239" t="s">
        <v>95</v>
      </c>
      <c r="C803" s="240">
        <v>8</v>
      </c>
      <c r="D803" s="241" t="s">
        <v>1038</v>
      </c>
      <c r="E803" s="241" t="s">
        <v>1030</v>
      </c>
      <c r="F803" s="240">
        <v>3.7</v>
      </c>
      <c r="G803" s="240"/>
      <c r="H803" s="239">
        <v>3.7</v>
      </c>
      <c r="I803" s="242">
        <v>17.600000000000001</v>
      </c>
      <c r="K803" s="10"/>
      <c r="L803" s="11"/>
    </row>
    <row r="804" spans="1:12">
      <c r="A804" s="238">
        <v>322580</v>
      </c>
      <c r="B804" s="239" t="s">
        <v>94</v>
      </c>
      <c r="C804" s="240">
        <v>8</v>
      </c>
      <c r="D804" s="241" t="s">
        <v>1038</v>
      </c>
      <c r="E804" s="241" t="s">
        <v>1030</v>
      </c>
      <c r="F804" s="240">
        <v>3.7</v>
      </c>
      <c r="G804" s="240"/>
      <c r="H804" s="239">
        <v>3.7</v>
      </c>
      <c r="I804" s="242">
        <v>17.600000000000001</v>
      </c>
      <c r="K804" s="10"/>
      <c r="L804" s="12"/>
    </row>
    <row r="805" spans="1:12">
      <c r="A805" s="238">
        <v>322614</v>
      </c>
      <c r="B805" s="239" t="s">
        <v>1116</v>
      </c>
      <c r="C805" s="240">
        <v>8</v>
      </c>
      <c r="D805" s="241" t="s">
        <v>1038</v>
      </c>
      <c r="E805" s="241" t="s">
        <v>1030</v>
      </c>
      <c r="F805" s="240">
        <v>3.7</v>
      </c>
      <c r="G805" s="240"/>
      <c r="H805" s="239"/>
      <c r="I805" s="242">
        <v>17.600000000000001</v>
      </c>
      <c r="K805" s="10"/>
      <c r="L805" s="12"/>
    </row>
    <row r="806" spans="1:12">
      <c r="A806" s="238">
        <v>585907</v>
      </c>
      <c r="B806" s="239" t="s">
        <v>1058</v>
      </c>
      <c r="C806" s="240">
        <v>0</v>
      </c>
      <c r="D806" s="241" t="s">
        <v>1038</v>
      </c>
      <c r="E806" s="241" t="s">
        <v>1030</v>
      </c>
      <c r="F806" s="240">
        <v>3.7</v>
      </c>
      <c r="G806" s="240"/>
      <c r="H806" s="239">
        <v>4</v>
      </c>
      <c r="I806" s="242">
        <v>17.600000000000001</v>
      </c>
      <c r="K806" s="10"/>
      <c r="L806" s="11"/>
    </row>
    <row r="807" spans="1:12">
      <c r="A807" s="238">
        <v>322684</v>
      </c>
      <c r="B807" s="239" t="s">
        <v>443</v>
      </c>
      <c r="C807" s="240">
        <v>8</v>
      </c>
      <c r="D807" s="241" t="s">
        <v>1038</v>
      </c>
      <c r="E807" s="241" t="s">
        <v>1030</v>
      </c>
      <c r="F807" s="240">
        <v>3.7</v>
      </c>
      <c r="G807" s="240"/>
      <c r="H807" s="239">
        <f>F807</f>
        <v>3.7</v>
      </c>
      <c r="I807" s="242">
        <v>17.600000000000001</v>
      </c>
      <c r="K807" s="10"/>
      <c r="L807" s="12"/>
    </row>
    <row r="808" spans="1:12">
      <c r="A808" s="238">
        <v>322624</v>
      </c>
      <c r="B808" s="239" t="s">
        <v>93</v>
      </c>
      <c r="C808" s="240">
        <v>8</v>
      </c>
      <c r="D808" s="241" t="s">
        <v>1038</v>
      </c>
      <c r="E808" s="241" t="s">
        <v>1030</v>
      </c>
      <c r="F808" s="240">
        <v>3.7</v>
      </c>
      <c r="G808" s="240"/>
      <c r="H808" s="239">
        <v>3.7</v>
      </c>
      <c r="I808" s="242">
        <v>17.600000000000001</v>
      </c>
      <c r="K808" s="10"/>
      <c r="L808" s="12"/>
    </row>
    <row r="809" spans="1:12">
      <c r="A809" s="238">
        <v>322551</v>
      </c>
      <c r="B809" s="239" t="s">
        <v>92</v>
      </c>
      <c r="C809" s="240">
        <v>8</v>
      </c>
      <c r="D809" s="241" t="s">
        <v>1038</v>
      </c>
      <c r="E809" s="241" t="s">
        <v>1030</v>
      </c>
      <c r="F809" s="240">
        <v>3.7</v>
      </c>
      <c r="G809" s="240"/>
      <c r="H809" s="239">
        <v>3.7</v>
      </c>
      <c r="I809" s="242">
        <v>17.600000000000001</v>
      </c>
      <c r="K809" s="10"/>
      <c r="L809" s="11"/>
    </row>
    <row r="810" spans="1:12">
      <c r="A810" s="238">
        <v>322567</v>
      </c>
      <c r="B810" s="239" t="s">
        <v>1040</v>
      </c>
      <c r="C810" s="240">
        <v>8</v>
      </c>
      <c r="D810" s="241" t="s">
        <v>1038</v>
      </c>
      <c r="E810" s="241" t="s">
        <v>1030</v>
      </c>
      <c r="F810" s="240">
        <v>3.7</v>
      </c>
      <c r="G810" s="240"/>
      <c r="H810" s="239">
        <v>3.7</v>
      </c>
      <c r="I810" s="242">
        <v>17.600000000000001</v>
      </c>
      <c r="K810" s="10"/>
      <c r="L810" s="12"/>
    </row>
    <row r="811" spans="1:12">
      <c r="A811" s="238">
        <v>584790</v>
      </c>
      <c r="B811" s="239" t="s">
        <v>1057</v>
      </c>
      <c r="C811" s="240">
        <v>0</v>
      </c>
      <c r="D811" s="241" t="s">
        <v>1038</v>
      </c>
      <c r="E811" s="241" t="s">
        <v>1030</v>
      </c>
      <c r="F811" s="240">
        <v>3.7</v>
      </c>
      <c r="G811" s="240"/>
      <c r="H811" s="239">
        <v>5</v>
      </c>
      <c r="I811" s="242">
        <v>17.600000000000001</v>
      </c>
      <c r="K811" s="10"/>
      <c r="L811" s="11"/>
    </row>
    <row r="812" spans="1:12">
      <c r="A812" s="238">
        <v>412218</v>
      </c>
      <c r="B812" s="239" t="s">
        <v>570</v>
      </c>
      <c r="C812" s="240">
        <v>8</v>
      </c>
      <c r="D812" s="241" t="s">
        <v>1038</v>
      </c>
      <c r="E812" s="241" t="s">
        <v>1030</v>
      </c>
      <c r="F812" s="240">
        <v>3.75</v>
      </c>
      <c r="G812" s="240"/>
      <c r="H812" s="239">
        <v>4</v>
      </c>
      <c r="I812" s="242">
        <v>17.600000000000001</v>
      </c>
      <c r="K812" s="10"/>
      <c r="L812" s="12"/>
    </row>
    <row r="813" spans="1:12">
      <c r="A813" s="238">
        <v>322677</v>
      </c>
      <c r="B813" s="239" t="s">
        <v>1117</v>
      </c>
      <c r="C813" s="240">
        <v>8</v>
      </c>
      <c r="D813" s="241" t="s">
        <v>1038</v>
      </c>
      <c r="E813" s="241" t="s">
        <v>1030</v>
      </c>
      <c r="F813" s="240">
        <v>3.75</v>
      </c>
      <c r="G813" s="240"/>
      <c r="H813" s="239"/>
      <c r="I813" s="242">
        <v>17.600000000000001</v>
      </c>
      <c r="K813" s="10"/>
      <c r="L813" s="11"/>
    </row>
    <row r="814" spans="1:12">
      <c r="A814" s="238">
        <v>579651</v>
      </c>
      <c r="B814" s="239" t="s">
        <v>1027</v>
      </c>
      <c r="C814" s="240">
        <v>0</v>
      </c>
      <c r="D814" s="241" t="s">
        <v>1038</v>
      </c>
      <c r="E814" s="241" t="s">
        <v>1030</v>
      </c>
      <c r="F814" s="240">
        <v>4.7</v>
      </c>
      <c r="G814" s="240"/>
      <c r="H814" s="239">
        <f>F814</f>
        <v>4.7</v>
      </c>
      <c r="I814" s="242">
        <v>17.600000000000001</v>
      </c>
      <c r="K814" s="10"/>
      <c r="L814" s="11"/>
    </row>
    <row r="815" spans="1:12">
      <c r="A815" s="238">
        <v>563999</v>
      </c>
      <c r="B815" s="239" t="s">
        <v>1008</v>
      </c>
      <c r="C815" s="240">
        <v>8</v>
      </c>
      <c r="D815" s="241" t="s">
        <v>1038</v>
      </c>
      <c r="E815" s="241" t="s">
        <v>1030</v>
      </c>
      <c r="F815" s="240">
        <v>4.7</v>
      </c>
      <c r="G815" s="240"/>
      <c r="H815" s="239">
        <f>F815</f>
        <v>4.7</v>
      </c>
      <c r="I815" s="242">
        <v>17.600000000000001</v>
      </c>
      <c r="K815" s="10"/>
      <c r="L815" s="11"/>
    </row>
    <row r="816" spans="1:12">
      <c r="A816" s="238">
        <v>322638</v>
      </c>
      <c r="B816" s="239" t="s">
        <v>91</v>
      </c>
      <c r="C816" s="240">
        <v>8</v>
      </c>
      <c r="D816" s="241" t="s">
        <v>1038</v>
      </c>
      <c r="E816" s="241" t="s">
        <v>1030</v>
      </c>
      <c r="F816" s="240">
        <v>3.75</v>
      </c>
      <c r="G816" s="240"/>
      <c r="H816" s="239">
        <v>4</v>
      </c>
      <c r="I816" s="242">
        <v>17.600000000000001</v>
      </c>
      <c r="K816" s="10"/>
      <c r="L816" s="11"/>
    </row>
    <row r="817" spans="1:12">
      <c r="A817" s="238">
        <v>322682</v>
      </c>
      <c r="B817" s="239" t="s">
        <v>90</v>
      </c>
      <c r="C817" s="240">
        <v>8</v>
      </c>
      <c r="D817" s="241" t="s">
        <v>1038</v>
      </c>
      <c r="E817" s="241" t="s">
        <v>1030</v>
      </c>
      <c r="F817" s="240">
        <v>3.75</v>
      </c>
      <c r="G817" s="240"/>
      <c r="H817" s="239">
        <v>4</v>
      </c>
      <c r="I817" s="242">
        <v>17.600000000000001</v>
      </c>
      <c r="K817" s="10"/>
      <c r="L817" s="11"/>
    </row>
    <row r="818" spans="1:12">
      <c r="A818" s="238">
        <v>411716</v>
      </c>
      <c r="B818" s="239" t="s">
        <v>1118</v>
      </c>
      <c r="C818" s="240">
        <v>8</v>
      </c>
      <c r="D818" s="241" t="s">
        <v>1038</v>
      </c>
      <c r="E818" s="241" t="s">
        <v>1030</v>
      </c>
      <c r="F818" s="240">
        <v>3.75</v>
      </c>
      <c r="G818" s="240"/>
      <c r="H818" s="239"/>
      <c r="I818" s="242">
        <v>17.600000000000001</v>
      </c>
      <c r="K818" s="10"/>
      <c r="L818" s="12"/>
    </row>
    <row r="819" spans="1:12">
      <c r="A819" s="238">
        <v>579879</v>
      </c>
      <c r="B819" s="239" t="s">
        <v>1051</v>
      </c>
      <c r="C819" s="240">
        <v>0</v>
      </c>
      <c r="D819" s="241" t="s">
        <v>1038</v>
      </c>
      <c r="E819" s="241" t="s">
        <v>1030</v>
      </c>
      <c r="F819" s="240">
        <v>4.7</v>
      </c>
      <c r="G819" s="240"/>
      <c r="H819" s="239">
        <v>4</v>
      </c>
      <c r="I819" s="242">
        <v>17.600000000000001</v>
      </c>
      <c r="K819" s="10"/>
      <c r="L819" s="11"/>
    </row>
    <row r="820" spans="1:12">
      <c r="A820" s="238">
        <v>322643</v>
      </c>
      <c r="B820" s="239" t="s">
        <v>436</v>
      </c>
      <c r="C820" s="240">
        <v>8</v>
      </c>
      <c r="D820" s="241" t="s">
        <v>1038</v>
      </c>
      <c r="E820" s="241" t="s">
        <v>1030</v>
      </c>
      <c r="F820" s="240">
        <v>3.75</v>
      </c>
      <c r="G820" s="240"/>
      <c r="H820" s="239">
        <f>F820</f>
        <v>3.75</v>
      </c>
      <c r="I820" s="242">
        <v>17.600000000000001</v>
      </c>
      <c r="K820" s="10"/>
      <c r="L820" s="12"/>
    </row>
    <row r="821" spans="1:12">
      <c r="A821" s="238">
        <v>577926</v>
      </c>
      <c r="B821" s="239" t="s">
        <v>1024</v>
      </c>
      <c r="C821" s="240">
        <v>0</v>
      </c>
      <c r="D821" s="241" t="s">
        <v>1038</v>
      </c>
      <c r="E821" s="241" t="s">
        <v>1030</v>
      </c>
      <c r="F821" s="240">
        <v>3.75</v>
      </c>
      <c r="G821" s="240"/>
      <c r="H821" s="239">
        <v>4</v>
      </c>
      <c r="I821" s="242">
        <v>17.600000000000001</v>
      </c>
      <c r="K821" s="10"/>
      <c r="L821" s="11"/>
    </row>
    <row r="822" spans="1:12">
      <c r="A822" s="238">
        <v>579653</v>
      </c>
      <c r="B822" s="239" t="s">
        <v>1028</v>
      </c>
      <c r="C822" s="240">
        <v>0</v>
      </c>
      <c r="D822" s="241" t="s">
        <v>1038</v>
      </c>
      <c r="E822" s="241" t="s">
        <v>1030</v>
      </c>
      <c r="F822" s="240">
        <v>4.7</v>
      </c>
      <c r="G822" s="240"/>
      <c r="H822" s="239">
        <v>4</v>
      </c>
      <c r="I822" s="242">
        <v>17.600000000000001</v>
      </c>
      <c r="K822" s="10"/>
      <c r="L822" s="12"/>
    </row>
    <row r="823" spans="1:12">
      <c r="A823" s="238">
        <v>471353</v>
      </c>
      <c r="B823" s="239" t="s">
        <v>890</v>
      </c>
      <c r="C823" s="240">
        <v>8</v>
      </c>
      <c r="D823" s="241" t="s">
        <v>1038</v>
      </c>
      <c r="E823" s="241" t="s">
        <v>1030</v>
      </c>
      <c r="F823" s="240">
        <v>4.7</v>
      </c>
      <c r="G823" s="240"/>
      <c r="H823" s="239">
        <f>F823</f>
        <v>4.7</v>
      </c>
      <c r="I823" s="242">
        <v>17.600000000000001</v>
      </c>
      <c r="K823" s="10"/>
      <c r="L823" s="11"/>
    </row>
    <row r="824" spans="1:12">
      <c r="A824" s="238">
        <v>449174</v>
      </c>
      <c r="B824" s="239" t="s">
        <v>609</v>
      </c>
      <c r="C824" s="240">
        <v>8</v>
      </c>
      <c r="D824" s="241" t="s">
        <v>1038</v>
      </c>
      <c r="E824" s="241" t="s">
        <v>1030</v>
      </c>
      <c r="F824" s="240">
        <v>3.75</v>
      </c>
      <c r="G824" s="240"/>
      <c r="H824" s="239">
        <f>F824</f>
        <v>3.75</v>
      </c>
      <c r="I824" s="242">
        <v>17.600000000000001</v>
      </c>
      <c r="K824" s="10"/>
      <c r="L824" s="11"/>
    </row>
    <row r="825" spans="1:12">
      <c r="A825" s="238">
        <v>424693</v>
      </c>
      <c r="B825" s="239" t="s">
        <v>583</v>
      </c>
      <c r="C825" s="240">
        <v>8</v>
      </c>
      <c r="D825" s="241" t="s">
        <v>1038</v>
      </c>
      <c r="E825" s="241" t="s">
        <v>1030</v>
      </c>
      <c r="F825" s="240">
        <v>3.75</v>
      </c>
      <c r="G825" s="240"/>
      <c r="H825" s="239">
        <v>4</v>
      </c>
      <c r="I825" s="242">
        <v>17.600000000000001</v>
      </c>
      <c r="K825" s="10"/>
      <c r="L825" s="11"/>
    </row>
    <row r="826" spans="1:12">
      <c r="A826" s="238">
        <v>322583</v>
      </c>
      <c r="B826" s="239" t="s">
        <v>1119</v>
      </c>
      <c r="C826" s="240">
        <v>8</v>
      </c>
      <c r="D826" s="241" t="s">
        <v>1038</v>
      </c>
      <c r="E826" s="241" t="s">
        <v>1030</v>
      </c>
      <c r="F826" s="240">
        <v>3.75</v>
      </c>
      <c r="G826" s="240"/>
      <c r="H826" s="239"/>
      <c r="I826" s="242">
        <v>17.600000000000001</v>
      </c>
      <c r="K826" s="10"/>
      <c r="L826" s="11"/>
    </row>
    <row r="827" spans="1:12">
      <c r="A827" s="238">
        <v>579877</v>
      </c>
      <c r="B827" s="239" t="s">
        <v>1049</v>
      </c>
      <c r="C827" s="240">
        <v>0</v>
      </c>
      <c r="D827" s="241" t="s">
        <v>1038</v>
      </c>
      <c r="E827" s="241" t="s">
        <v>1030</v>
      </c>
      <c r="F827" s="240">
        <v>4.7</v>
      </c>
      <c r="G827" s="240"/>
      <c r="H827" s="239">
        <v>4</v>
      </c>
      <c r="I827" s="242">
        <v>17.600000000000001</v>
      </c>
      <c r="K827" s="10"/>
      <c r="L827" s="11"/>
    </row>
    <row r="828" spans="1:12">
      <c r="A828" s="238">
        <v>563998</v>
      </c>
      <c r="B828" s="239" t="s">
        <v>1046</v>
      </c>
      <c r="C828" s="240">
        <v>8</v>
      </c>
      <c r="D828" s="241" t="s">
        <v>1038</v>
      </c>
      <c r="E828" s="241" t="s">
        <v>1030</v>
      </c>
      <c r="F828" s="240">
        <v>4.7</v>
      </c>
      <c r="G828" s="240"/>
      <c r="H828" s="239">
        <f>F828</f>
        <v>4.7</v>
      </c>
      <c r="I828" s="242">
        <v>17.600000000000001</v>
      </c>
      <c r="K828" s="10"/>
      <c r="L828" s="12"/>
    </row>
    <row r="829" spans="1:12">
      <c r="A829" s="238">
        <v>414983</v>
      </c>
      <c r="B829" s="239" t="s">
        <v>575</v>
      </c>
      <c r="C829" s="240">
        <v>8</v>
      </c>
      <c r="D829" s="241" t="s">
        <v>1038</v>
      </c>
      <c r="E829" s="241" t="s">
        <v>1030</v>
      </c>
      <c r="F829" s="240">
        <v>3.75</v>
      </c>
      <c r="G829" s="240"/>
      <c r="H829" s="239">
        <f>F829</f>
        <v>3.75</v>
      </c>
      <c r="I829" s="242">
        <v>17.600000000000001</v>
      </c>
      <c r="K829" s="10"/>
      <c r="L829" s="12"/>
    </row>
    <row r="830" spans="1:12">
      <c r="A830" s="238">
        <v>322620</v>
      </c>
      <c r="B830" s="239" t="s">
        <v>432</v>
      </c>
      <c r="C830" s="240">
        <v>8</v>
      </c>
      <c r="D830" s="241" t="s">
        <v>1038</v>
      </c>
      <c r="E830" s="241" t="s">
        <v>1030</v>
      </c>
      <c r="F830" s="240">
        <v>3.75</v>
      </c>
      <c r="G830" s="240"/>
      <c r="H830" s="239">
        <v>4</v>
      </c>
      <c r="I830" s="242">
        <v>17.600000000000001</v>
      </c>
      <c r="K830" s="10"/>
      <c r="L830" s="12"/>
    </row>
    <row r="831" spans="1:12">
      <c r="A831" s="238">
        <v>324154</v>
      </c>
      <c r="B831" s="239" t="s">
        <v>89</v>
      </c>
      <c r="C831" s="240">
        <v>8</v>
      </c>
      <c r="D831" s="241" t="s">
        <v>1038</v>
      </c>
      <c r="E831" s="241" t="s">
        <v>1030</v>
      </c>
      <c r="F831" s="240">
        <v>3.75</v>
      </c>
      <c r="G831" s="240"/>
      <c r="H831" s="239">
        <f>F831</f>
        <v>3.75</v>
      </c>
      <c r="I831" s="242">
        <v>17.600000000000001</v>
      </c>
      <c r="K831" s="10"/>
      <c r="L831" s="12"/>
    </row>
    <row r="832" spans="1:12">
      <c r="A832" s="238">
        <v>322558</v>
      </c>
      <c r="B832" s="239" t="s">
        <v>88</v>
      </c>
      <c r="C832" s="240">
        <v>8</v>
      </c>
      <c r="D832" s="241" t="s">
        <v>1038</v>
      </c>
      <c r="E832" s="241" t="s">
        <v>1030</v>
      </c>
      <c r="F832" s="240">
        <v>3.75</v>
      </c>
      <c r="G832" s="240"/>
      <c r="H832" s="239">
        <v>4</v>
      </c>
      <c r="I832" s="242">
        <v>17.600000000000001</v>
      </c>
      <c r="K832" s="10"/>
      <c r="L832" s="12"/>
    </row>
    <row r="833" spans="1:12">
      <c r="A833" s="238">
        <v>580047</v>
      </c>
      <c r="B833" s="239" t="s">
        <v>1053</v>
      </c>
      <c r="C833" s="240">
        <v>0</v>
      </c>
      <c r="D833" s="241" t="s">
        <v>1038</v>
      </c>
      <c r="E833" s="241" t="s">
        <v>1030</v>
      </c>
      <c r="F833" s="240">
        <v>4.7</v>
      </c>
      <c r="G833" s="240"/>
      <c r="H833" s="239">
        <v>5</v>
      </c>
      <c r="I833" s="242">
        <v>17.600000000000001</v>
      </c>
      <c r="K833" s="10"/>
      <c r="L833" s="11"/>
    </row>
    <row r="834" spans="1:12">
      <c r="A834" s="238">
        <v>111111</v>
      </c>
      <c r="B834" s="239" t="s">
        <v>1278</v>
      </c>
      <c r="C834" s="240">
        <v>8</v>
      </c>
      <c r="D834" s="241" t="s">
        <v>1038</v>
      </c>
      <c r="E834" s="241" t="s">
        <v>1030</v>
      </c>
      <c r="F834" s="240">
        <v>4.7</v>
      </c>
      <c r="G834" s="240"/>
      <c r="H834" s="239">
        <f>F834</f>
        <v>4.7</v>
      </c>
      <c r="I834" s="242">
        <v>17.600000000000001</v>
      </c>
      <c r="K834" s="10"/>
      <c r="L834" s="12"/>
    </row>
    <row r="835" spans="1:12">
      <c r="A835" s="238">
        <v>322573</v>
      </c>
      <c r="B835" s="239" t="s">
        <v>1120</v>
      </c>
      <c r="C835" s="240">
        <v>8</v>
      </c>
      <c r="D835" s="241" t="s">
        <v>1038</v>
      </c>
      <c r="E835" s="241" t="s">
        <v>1030</v>
      </c>
      <c r="F835" s="240">
        <v>3.75</v>
      </c>
      <c r="G835" s="240"/>
      <c r="H835" s="239"/>
      <c r="I835" s="242">
        <v>17.600000000000001</v>
      </c>
      <c r="K835" s="10"/>
      <c r="L835" s="12"/>
    </row>
    <row r="836" spans="1:12">
      <c r="A836" s="238">
        <v>579878</v>
      </c>
      <c r="B836" s="239" t="s">
        <v>1050</v>
      </c>
      <c r="C836" s="240">
        <v>0</v>
      </c>
      <c r="D836" s="241" t="s">
        <v>1038</v>
      </c>
      <c r="E836" s="241" t="s">
        <v>1030</v>
      </c>
      <c r="F836" s="240">
        <v>4.7</v>
      </c>
      <c r="G836" s="240"/>
      <c r="H836" s="239">
        <v>3.8</v>
      </c>
      <c r="I836" s="242">
        <v>17.600000000000001</v>
      </c>
      <c r="K836" s="10"/>
      <c r="L836" s="11"/>
    </row>
    <row r="837" spans="1:12">
      <c r="A837" s="238">
        <v>481769</v>
      </c>
      <c r="B837" s="239" t="s">
        <v>1043</v>
      </c>
      <c r="C837" s="240">
        <v>8</v>
      </c>
      <c r="D837" s="241" t="s">
        <v>1038</v>
      </c>
      <c r="E837" s="241" t="s">
        <v>1030</v>
      </c>
      <c r="F837" s="240">
        <v>4.7</v>
      </c>
      <c r="G837" s="240"/>
      <c r="H837" s="239">
        <f>F837</f>
        <v>4.7</v>
      </c>
      <c r="I837" s="242">
        <v>17.600000000000001</v>
      </c>
      <c r="K837" s="10"/>
      <c r="L837" s="11"/>
    </row>
    <row r="838" spans="1:12">
      <c r="A838" s="238">
        <v>322574</v>
      </c>
      <c r="B838" s="239" t="s">
        <v>421</v>
      </c>
      <c r="C838" s="240">
        <v>8</v>
      </c>
      <c r="D838" s="241" t="s">
        <v>1038</v>
      </c>
      <c r="E838" s="241" t="s">
        <v>1030</v>
      </c>
      <c r="F838" s="240">
        <v>4.7</v>
      </c>
      <c r="G838" s="240"/>
      <c r="H838" s="239">
        <v>5</v>
      </c>
      <c r="I838" s="242">
        <v>17.600000000000001</v>
      </c>
      <c r="K838" s="10"/>
      <c r="L838" s="12"/>
    </row>
    <row r="839" spans="1:12">
      <c r="A839" s="238">
        <v>578505</v>
      </c>
      <c r="B839" s="239" t="s">
        <v>1356</v>
      </c>
      <c r="C839" s="240">
        <v>0</v>
      </c>
      <c r="D839" s="241" t="s">
        <v>1038</v>
      </c>
      <c r="E839" s="241" t="s">
        <v>1030</v>
      </c>
      <c r="F839" s="240">
        <v>4.7</v>
      </c>
      <c r="G839" s="240"/>
      <c r="H839" s="239">
        <v>3.3</v>
      </c>
      <c r="I839" s="242">
        <v>17.600000000000001</v>
      </c>
      <c r="K839" s="10"/>
      <c r="L839" s="11"/>
    </row>
    <row r="840" spans="1:12">
      <c r="A840" s="238">
        <v>322675</v>
      </c>
      <c r="B840" s="239" t="s">
        <v>87</v>
      </c>
      <c r="C840" s="240">
        <v>8</v>
      </c>
      <c r="D840" s="241" t="s">
        <v>1038</v>
      </c>
      <c r="E840" s="241" t="s">
        <v>1030</v>
      </c>
      <c r="F840" s="240">
        <v>3.87</v>
      </c>
      <c r="G840" s="240"/>
      <c r="H840" s="239">
        <v>4</v>
      </c>
      <c r="I840" s="242">
        <v>17.600000000000001</v>
      </c>
      <c r="K840" s="10"/>
      <c r="L840" s="11"/>
    </row>
    <row r="841" spans="1:12">
      <c r="A841" s="238">
        <v>449366</v>
      </c>
      <c r="B841" s="239" t="s">
        <v>611</v>
      </c>
      <c r="C841" s="240">
        <v>8</v>
      </c>
      <c r="D841" s="241" t="s">
        <v>1038</v>
      </c>
      <c r="E841" s="241" t="s">
        <v>1030</v>
      </c>
      <c r="F841" s="240">
        <v>4.87</v>
      </c>
      <c r="G841" s="240"/>
      <c r="H841" s="239">
        <f>F841</f>
        <v>4.87</v>
      </c>
      <c r="I841" s="242">
        <v>17.600000000000001</v>
      </c>
      <c r="K841" s="10"/>
      <c r="L841" s="11"/>
    </row>
    <row r="842" spans="1:12">
      <c r="A842" s="238">
        <v>322636</v>
      </c>
      <c r="B842" s="239" t="s">
        <v>434</v>
      </c>
      <c r="C842" s="240">
        <v>8</v>
      </c>
      <c r="D842" s="241" t="s">
        <v>1038</v>
      </c>
      <c r="E842" s="241" t="s">
        <v>1030</v>
      </c>
      <c r="F842" s="240">
        <v>3.87</v>
      </c>
      <c r="G842" s="240"/>
      <c r="H842" s="239">
        <f>F842</f>
        <v>3.87</v>
      </c>
      <c r="I842" s="242">
        <v>17.600000000000001</v>
      </c>
      <c r="K842" s="10"/>
      <c r="L842" s="11"/>
    </row>
    <row r="843" spans="1:12">
      <c r="A843" s="238">
        <v>477022</v>
      </c>
      <c r="B843" s="239" t="s">
        <v>900</v>
      </c>
      <c r="C843" s="240">
        <v>8</v>
      </c>
      <c r="D843" s="241" t="s">
        <v>1038</v>
      </c>
      <c r="E843" s="241" t="s">
        <v>1030</v>
      </c>
      <c r="F843" s="240">
        <v>3.87</v>
      </c>
      <c r="G843" s="240"/>
      <c r="H843" s="239">
        <f>F843</f>
        <v>3.87</v>
      </c>
      <c r="I843" s="242">
        <v>17.600000000000001</v>
      </c>
      <c r="K843" s="10"/>
      <c r="L843" s="11"/>
    </row>
    <row r="844" spans="1:12">
      <c r="A844" s="238">
        <v>322577</v>
      </c>
      <c r="B844" s="239" t="s">
        <v>422</v>
      </c>
      <c r="C844" s="240">
        <v>8</v>
      </c>
      <c r="D844" s="241" t="s">
        <v>1038</v>
      </c>
      <c r="E844" s="241" t="s">
        <v>1030</v>
      </c>
      <c r="F844" s="240">
        <v>3.87</v>
      </c>
      <c r="G844" s="240"/>
      <c r="H844" s="239">
        <f>F844</f>
        <v>3.87</v>
      </c>
      <c r="I844" s="242">
        <v>17.600000000000001</v>
      </c>
      <c r="K844" s="10"/>
      <c r="L844" s="12"/>
    </row>
    <row r="845" spans="1:12">
      <c r="A845" s="238">
        <v>322641</v>
      </c>
      <c r="B845" s="239" t="s">
        <v>435</v>
      </c>
      <c r="C845" s="240">
        <v>8</v>
      </c>
      <c r="D845" s="241" t="s">
        <v>1038</v>
      </c>
      <c r="E845" s="241" t="s">
        <v>1030</v>
      </c>
      <c r="F845" s="240">
        <v>3.87</v>
      </c>
      <c r="G845" s="240"/>
      <c r="H845" s="239">
        <f>F845</f>
        <v>3.87</v>
      </c>
      <c r="I845" s="242">
        <v>17.600000000000001</v>
      </c>
      <c r="K845" s="10"/>
      <c r="L845" s="11"/>
    </row>
    <row r="846" spans="1:12">
      <c r="A846" s="238">
        <v>338383</v>
      </c>
      <c r="B846" s="239" t="s">
        <v>515</v>
      </c>
      <c r="C846" s="240">
        <v>8</v>
      </c>
      <c r="D846" s="241" t="s">
        <v>1038</v>
      </c>
      <c r="E846" s="241" t="s">
        <v>1030</v>
      </c>
      <c r="F846" s="240">
        <v>4.87</v>
      </c>
      <c r="G846" s="240"/>
      <c r="H846" s="239">
        <v>3.8</v>
      </c>
      <c r="I846" s="242">
        <v>17.600000000000001</v>
      </c>
      <c r="K846" s="10"/>
      <c r="L846" s="12"/>
    </row>
    <row r="847" spans="1:12">
      <c r="A847" s="238">
        <v>322582</v>
      </c>
      <c r="B847" s="239" t="s">
        <v>229</v>
      </c>
      <c r="C847" s="240">
        <v>8</v>
      </c>
      <c r="D847" s="241" t="s">
        <v>1038</v>
      </c>
      <c r="E847" s="241" t="s">
        <v>1030</v>
      </c>
      <c r="F847" s="240">
        <v>3.87</v>
      </c>
      <c r="G847" s="240"/>
      <c r="H847" s="239">
        <v>4</v>
      </c>
      <c r="I847" s="242">
        <v>17.600000000000001</v>
      </c>
      <c r="K847" s="10"/>
      <c r="L847" s="11"/>
    </row>
    <row r="848" spans="1:12">
      <c r="A848" s="238">
        <v>322618</v>
      </c>
      <c r="B848" s="239" t="s">
        <v>86</v>
      </c>
      <c r="C848" s="240">
        <v>8</v>
      </c>
      <c r="D848" s="241" t="s">
        <v>1038</v>
      </c>
      <c r="E848" s="241" t="s">
        <v>1030</v>
      </c>
      <c r="F848" s="240">
        <v>3.87</v>
      </c>
      <c r="G848" s="240"/>
      <c r="H848" s="239">
        <v>4</v>
      </c>
      <c r="I848" s="242">
        <v>17.600000000000001</v>
      </c>
      <c r="K848" s="10"/>
      <c r="L848" s="11"/>
    </row>
    <row r="849" spans="1:12">
      <c r="A849" s="238">
        <v>322690</v>
      </c>
      <c r="B849" s="239" t="s">
        <v>444</v>
      </c>
      <c r="C849" s="240">
        <v>8</v>
      </c>
      <c r="D849" s="241" t="s">
        <v>1038</v>
      </c>
      <c r="E849" s="241" t="s">
        <v>1030</v>
      </c>
      <c r="F849" s="240">
        <v>3.87</v>
      </c>
      <c r="G849" s="240"/>
      <c r="H849" s="239">
        <f>F849</f>
        <v>3.87</v>
      </c>
      <c r="I849" s="242">
        <v>17.600000000000001</v>
      </c>
      <c r="K849" s="10"/>
      <c r="L849" s="11"/>
    </row>
    <row r="850" spans="1:12">
      <c r="A850" s="238">
        <v>322631</v>
      </c>
      <c r="B850" s="239" t="s">
        <v>1042</v>
      </c>
      <c r="C850" s="240">
        <v>8</v>
      </c>
      <c r="D850" s="241" t="s">
        <v>1038</v>
      </c>
      <c r="E850" s="241" t="s">
        <v>1030</v>
      </c>
      <c r="F850" s="240">
        <v>3.87</v>
      </c>
      <c r="G850" s="240"/>
      <c r="H850" s="239">
        <f>F850</f>
        <v>3.87</v>
      </c>
      <c r="I850" s="242">
        <v>17.600000000000001</v>
      </c>
      <c r="K850" s="10"/>
      <c r="L850" s="12"/>
    </row>
    <row r="851" spans="1:12">
      <c r="A851" s="238">
        <v>322553</v>
      </c>
      <c r="B851" s="239" t="s">
        <v>85</v>
      </c>
      <c r="C851" s="240">
        <v>8</v>
      </c>
      <c r="D851" s="241" t="s">
        <v>1038</v>
      </c>
      <c r="E851" s="241" t="s">
        <v>1030</v>
      </c>
      <c r="F851" s="240">
        <v>3.87</v>
      </c>
      <c r="G851" s="240"/>
      <c r="H851" s="239">
        <v>4</v>
      </c>
      <c r="I851" s="242">
        <v>17.600000000000001</v>
      </c>
      <c r="K851" s="10"/>
      <c r="L851" s="11"/>
    </row>
    <row r="852" spans="1:12">
      <c r="A852" s="238">
        <v>322564</v>
      </c>
      <c r="B852" s="239" t="s">
        <v>264</v>
      </c>
      <c r="C852" s="240">
        <v>8</v>
      </c>
      <c r="D852" s="241" t="s">
        <v>1038</v>
      </c>
      <c r="E852" s="241" t="s">
        <v>1030</v>
      </c>
      <c r="F852" s="240">
        <v>4.87</v>
      </c>
      <c r="G852" s="240"/>
      <c r="H852" s="239">
        <v>4</v>
      </c>
      <c r="I852" s="242">
        <v>17.600000000000001</v>
      </c>
      <c r="K852" s="10"/>
      <c r="L852" s="12"/>
    </row>
    <row r="853" spans="1:12">
      <c r="A853" s="238">
        <v>581013</v>
      </c>
      <c r="B853" s="239" t="s">
        <v>1056</v>
      </c>
      <c r="C853" s="240">
        <v>0</v>
      </c>
      <c r="D853" s="241" t="s">
        <v>1038</v>
      </c>
      <c r="E853" s="241" t="s">
        <v>1030</v>
      </c>
      <c r="F853" s="240">
        <v>3.87</v>
      </c>
      <c r="G853" s="240"/>
      <c r="H853" s="239">
        <f>F853</f>
        <v>3.87</v>
      </c>
      <c r="I853" s="242">
        <v>17.600000000000001</v>
      </c>
      <c r="K853" s="10"/>
      <c r="L853" s="11"/>
    </row>
    <row r="854" spans="1:12">
      <c r="A854" s="238">
        <v>322571</v>
      </c>
      <c r="B854" s="239" t="s">
        <v>1041</v>
      </c>
      <c r="C854" s="240">
        <v>8</v>
      </c>
      <c r="D854" s="241" t="s">
        <v>1038</v>
      </c>
      <c r="E854" s="241" t="s">
        <v>1030</v>
      </c>
      <c r="F854" s="240">
        <v>3.87</v>
      </c>
      <c r="G854" s="240"/>
      <c r="H854" s="239">
        <f>F854</f>
        <v>3.87</v>
      </c>
      <c r="I854" s="242">
        <v>17.600000000000001</v>
      </c>
      <c r="K854" s="10"/>
      <c r="L854" s="11"/>
    </row>
    <row r="855" spans="1:12">
      <c r="A855" s="238">
        <v>340540</v>
      </c>
      <c r="B855" s="239" t="s">
        <v>84</v>
      </c>
      <c r="C855" s="240">
        <v>8</v>
      </c>
      <c r="D855" s="241" t="s">
        <v>1038</v>
      </c>
      <c r="E855" s="241" t="s">
        <v>1030</v>
      </c>
      <c r="F855" s="240">
        <v>4.3000000000000007</v>
      </c>
      <c r="G855" s="240"/>
      <c r="H855" s="239">
        <v>3.3</v>
      </c>
      <c r="I855" s="242">
        <v>17.600000000000001</v>
      </c>
      <c r="K855" s="10"/>
      <c r="L855" s="12"/>
    </row>
    <row r="856" spans="1:12">
      <c r="A856" s="238">
        <v>322670</v>
      </c>
      <c r="B856" s="239" t="s">
        <v>83</v>
      </c>
      <c r="C856" s="240">
        <v>8</v>
      </c>
      <c r="D856" s="241" t="s">
        <v>1038</v>
      </c>
      <c r="E856" s="241" t="s">
        <v>1030</v>
      </c>
      <c r="F856" s="240">
        <v>3.3000000000000003</v>
      </c>
      <c r="G856" s="240"/>
      <c r="H856" s="239">
        <v>3.5</v>
      </c>
      <c r="I856" s="242">
        <v>17.600000000000001</v>
      </c>
      <c r="K856" s="10"/>
      <c r="L856" s="11"/>
    </row>
    <row r="857" spans="1:12">
      <c r="A857" s="238">
        <v>322634</v>
      </c>
      <c r="B857" s="239" t="s">
        <v>82</v>
      </c>
      <c r="C857" s="240">
        <v>8</v>
      </c>
      <c r="D857" s="241" t="s">
        <v>1038</v>
      </c>
      <c r="E857" s="241" t="s">
        <v>1030</v>
      </c>
      <c r="F857" s="240">
        <v>3.3000000000000003</v>
      </c>
      <c r="G857" s="240"/>
      <c r="H857" s="239">
        <v>3.3</v>
      </c>
      <c r="I857" s="242">
        <v>17.600000000000001</v>
      </c>
      <c r="K857" s="10"/>
      <c r="L857" s="11"/>
    </row>
    <row r="858" spans="1:12">
      <c r="A858" s="238">
        <v>331854</v>
      </c>
      <c r="B858" s="239" t="s">
        <v>81</v>
      </c>
      <c r="C858" s="240">
        <v>8</v>
      </c>
      <c r="D858" s="241" t="s">
        <v>1038</v>
      </c>
      <c r="E858" s="241" t="s">
        <v>1030</v>
      </c>
      <c r="F858" s="240">
        <v>4.3000000000000007</v>
      </c>
      <c r="G858" s="240"/>
      <c r="H858" s="239">
        <v>3.3</v>
      </c>
      <c r="I858" s="242">
        <v>17.600000000000001</v>
      </c>
      <c r="K858" s="10"/>
      <c r="L858" s="12"/>
    </row>
    <row r="859" spans="1:12">
      <c r="A859" s="238">
        <v>579654</v>
      </c>
      <c r="B859" s="239" t="s">
        <v>1029</v>
      </c>
      <c r="C859" s="240">
        <v>0</v>
      </c>
      <c r="D859" s="241" t="s">
        <v>1038</v>
      </c>
      <c r="E859" s="241" t="s">
        <v>1030</v>
      </c>
      <c r="F859" s="240">
        <v>3.3000000000000003</v>
      </c>
      <c r="G859" s="240"/>
      <c r="H859" s="239">
        <v>31</v>
      </c>
      <c r="I859" s="242">
        <v>17.600000000000001</v>
      </c>
      <c r="K859" s="10"/>
      <c r="L859" s="11"/>
    </row>
    <row r="860" spans="1:12">
      <c r="A860" s="238">
        <v>322644</v>
      </c>
      <c r="B860" s="239" t="s">
        <v>437</v>
      </c>
      <c r="C860" s="240">
        <v>8</v>
      </c>
      <c r="D860" s="241" t="s">
        <v>1038</v>
      </c>
      <c r="E860" s="241" t="s">
        <v>1030</v>
      </c>
      <c r="F860" s="240">
        <v>3.3000000000000003</v>
      </c>
      <c r="G860" s="240"/>
      <c r="H860" s="239">
        <f>F860</f>
        <v>3.3000000000000003</v>
      </c>
      <c r="I860" s="242">
        <v>17.600000000000001</v>
      </c>
      <c r="K860" s="10"/>
      <c r="L860" s="11"/>
    </row>
    <row r="861" spans="1:12">
      <c r="A861" s="238">
        <v>328687</v>
      </c>
      <c r="B861" s="239" t="s">
        <v>80</v>
      </c>
      <c r="C861" s="240">
        <v>8</v>
      </c>
      <c r="D861" s="241" t="s">
        <v>1038</v>
      </c>
      <c r="E861" s="241" t="s">
        <v>1030</v>
      </c>
      <c r="F861" s="240">
        <v>4.3000000000000007</v>
      </c>
      <c r="G861" s="240"/>
      <c r="H861" s="239">
        <v>3.3</v>
      </c>
      <c r="I861" s="242">
        <v>17.600000000000001</v>
      </c>
      <c r="K861" s="10"/>
      <c r="L861" s="11"/>
    </row>
    <row r="862" spans="1:12">
      <c r="A862" s="238">
        <v>322584</v>
      </c>
      <c r="B862" s="239" t="s">
        <v>79</v>
      </c>
      <c r="C862" s="240">
        <v>8</v>
      </c>
      <c r="D862" s="241" t="s">
        <v>1038</v>
      </c>
      <c r="E862" s="241" t="s">
        <v>1030</v>
      </c>
      <c r="F862" s="240">
        <v>3.3000000000000003</v>
      </c>
      <c r="G862" s="240"/>
      <c r="H862" s="239">
        <v>3.3</v>
      </c>
      <c r="I862" s="242">
        <v>17.600000000000001</v>
      </c>
      <c r="K862" s="10"/>
      <c r="L862" s="12"/>
    </row>
    <row r="863" spans="1:12">
      <c r="A863" s="238">
        <v>577726</v>
      </c>
      <c r="B863" s="239" t="s">
        <v>1023</v>
      </c>
      <c r="C863" s="240">
        <v>0</v>
      </c>
      <c r="D863" s="241" t="s">
        <v>1038</v>
      </c>
      <c r="E863" s="241" t="s">
        <v>1030</v>
      </c>
      <c r="F863" s="240">
        <v>3.3000000000000003</v>
      </c>
      <c r="G863" s="240"/>
      <c r="H863" s="239">
        <v>30.5</v>
      </c>
      <c r="I863" s="242">
        <v>17.600000000000001</v>
      </c>
      <c r="K863" s="10"/>
      <c r="L863" s="11"/>
    </row>
    <row r="864" spans="1:12">
      <c r="A864" s="238">
        <v>322616</v>
      </c>
      <c r="B864" s="239" t="s">
        <v>78</v>
      </c>
      <c r="C864" s="240">
        <v>8</v>
      </c>
      <c r="D864" s="241" t="s">
        <v>1038</v>
      </c>
      <c r="E864" s="241" t="s">
        <v>1030</v>
      </c>
      <c r="F864" s="240">
        <v>3.3000000000000003</v>
      </c>
      <c r="G864" s="240"/>
      <c r="H864" s="239">
        <v>3.3</v>
      </c>
      <c r="I864" s="242">
        <v>17.600000000000001</v>
      </c>
      <c r="K864" s="10"/>
      <c r="L864" s="12"/>
    </row>
    <row r="865" spans="1:12">
      <c r="A865" s="238">
        <v>322683</v>
      </c>
      <c r="B865" s="239" t="s">
        <v>230</v>
      </c>
      <c r="C865" s="240">
        <v>8</v>
      </c>
      <c r="D865" s="241" t="s">
        <v>1038</v>
      </c>
      <c r="E865" s="241" t="s">
        <v>1030</v>
      </c>
      <c r="F865" s="240">
        <v>3.3000000000000003</v>
      </c>
      <c r="G865" s="240"/>
      <c r="H865" s="239">
        <v>3.3</v>
      </c>
      <c r="I865" s="242">
        <v>17.600000000000001</v>
      </c>
      <c r="K865" s="10"/>
      <c r="L865" s="12"/>
    </row>
    <row r="866" spans="1:12">
      <c r="A866" s="238">
        <v>322625</v>
      </c>
      <c r="B866" s="239" t="s">
        <v>433</v>
      </c>
      <c r="C866" s="240">
        <v>8</v>
      </c>
      <c r="D866" s="241" t="s">
        <v>1038</v>
      </c>
      <c r="E866" s="241" t="s">
        <v>1030</v>
      </c>
      <c r="F866" s="240">
        <v>3.3000000000000003</v>
      </c>
      <c r="G866" s="240"/>
      <c r="H866" s="239">
        <f>F866</f>
        <v>3.3000000000000003</v>
      </c>
      <c r="I866" s="242">
        <v>17.600000000000001</v>
      </c>
      <c r="K866" s="10"/>
      <c r="L866" s="12"/>
    </row>
    <row r="867" spans="1:12">
      <c r="A867" s="238">
        <v>322561</v>
      </c>
      <c r="B867" s="239" t="s">
        <v>77</v>
      </c>
      <c r="C867" s="240">
        <v>8</v>
      </c>
      <c r="D867" s="241" t="s">
        <v>1038</v>
      </c>
      <c r="E867" s="241" t="s">
        <v>1030</v>
      </c>
      <c r="F867" s="240">
        <v>3.3000000000000003</v>
      </c>
      <c r="G867" s="240"/>
      <c r="H867" s="239">
        <v>3.3</v>
      </c>
      <c r="I867" s="242">
        <v>17.600000000000001</v>
      </c>
      <c r="K867" s="10"/>
      <c r="L867" s="12"/>
    </row>
    <row r="868" spans="1:12">
      <c r="A868" s="238">
        <v>322560</v>
      </c>
      <c r="B868" s="239" t="s">
        <v>420</v>
      </c>
      <c r="C868" s="240">
        <v>8</v>
      </c>
      <c r="D868" s="241" t="s">
        <v>1038</v>
      </c>
      <c r="E868" s="241" t="s">
        <v>1030</v>
      </c>
      <c r="F868" s="240">
        <v>4.3000000000000007</v>
      </c>
      <c r="G868" s="240"/>
      <c r="H868" s="239">
        <v>3.3</v>
      </c>
      <c r="I868" s="242">
        <v>17.600000000000001</v>
      </c>
      <c r="K868" s="10"/>
      <c r="L868" s="12"/>
    </row>
    <row r="869" spans="1:12">
      <c r="A869" s="238">
        <v>322576</v>
      </c>
      <c r="B869" s="239" t="s">
        <v>76</v>
      </c>
      <c r="C869" s="240">
        <v>8</v>
      </c>
      <c r="D869" s="241" t="s">
        <v>1038</v>
      </c>
      <c r="E869" s="241" t="s">
        <v>1030</v>
      </c>
      <c r="F869" s="240">
        <v>3.3000000000000003</v>
      </c>
      <c r="G869" s="240"/>
      <c r="H869" s="239">
        <v>3.3</v>
      </c>
      <c r="I869" s="242">
        <v>17.600000000000001</v>
      </c>
      <c r="K869" s="10"/>
      <c r="L869" s="12"/>
    </row>
    <row r="870" spans="1:12">
      <c r="A870" s="238">
        <v>334551</v>
      </c>
      <c r="B870" s="239" t="s">
        <v>268</v>
      </c>
      <c r="C870" s="240">
        <v>8</v>
      </c>
      <c r="D870" s="241" t="s">
        <v>1038</v>
      </c>
      <c r="E870" s="241" t="s">
        <v>1030</v>
      </c>
      <c r="F870" s="240">
        <v>4.3000000000000007</v>
      </c>
      <c r="G870" s="240"/>
      <c r="H870" s="239">
        <v>3.3</v>
      </c>
      <c r="I870" s="242">
        <v>17.600000000000001</v>
      </c>
      <c r="K870" s="10"/>
      <c r="L870" s="11"/>
    </row>
    <row r="871" spans="1:12">
      <c r="A871" s="238">
        <v>322562</v>
      </c>
      <c r="B871" s="239" t="s">
        <v>231</v>
      </c>
      <c r="C871" s="240">
        <v>8</v>
      </c>
      <c r="D871" s="241" t="s">
        <v>1038</v>
      </c>
      <c r="E871" s="241" t="s">
        <v>303</v>
      </c>
      <c r="F871" s="240">
        <v>4.6999999999999993</v>
      </c>
      <c r="G871" s="240"/>
      <c r="H871" s="239">
        <v>4.7</v>
      </c>
      <c r="I871" s="242">
        <v>4.6399999999999997</v>
      </c>
      <c r="K871" s="10"/>
      <c r="L871" s="12"/>
    </row>
    <row r="872" spans="1:12">
      <c r="A872" s="238">
        <v>520334</v>
      </c>
      <c r="B872" s="239" t="s">
        <v>952</v>
      </c>
      <c r="C872" s="240">
        <v>4</v>
      </c>
      <c r="D872" s="241" t="s">
        <v>1038</v>
      </c>
      <c r="E872" s="241" t="s">
        <v>302</v>
      </c>
      <c r="F872" s="240">
        <v>10</v>
      </c>
      <c r="G872" s="240"/>
      <c r="H872" s="239">
        <v>9.75</v>
      </c>
      <c r="I872" s="242">
        <v>16.5</v>
      </c>
      <c r="K872" s="10"/>
      <c r="L872" s="12"/>
    </row>
    <row r="873" spans="1:12">
      <c r="A873" s="238">
        <v>546292</v>
      </c>
      <c r="B873" s="239" t="s">
        <v>982</v>
      </c>
      <c r="C873" s="240">
        <v>4</v>
      </c>
      <c r="D873" s="241" t="s">
        <v>1038</v>
      </c>
      <c r="E873" s="241" t="s">
        <v>293</v>
      </c>
      <c r="F873" s="240">
        <v>5.1000000000000005</v>
      </c>
      <c r="G873" s="240"/>
      <c r="H873" s="239">
        <f>F873</f>
        <v>5.1000000000000005</v>
      </c>
      <c r="I873" s="242">
        <v>18.399999999999999</v>
      </c>
      <c r="K873" s="10"/>
      <c r="L873" s="12"/>
    </row>
    <row r="874" spans="1:12">
      <c r="A874" s="238">
        <v>565885</v>
      </c>
      <c r="B874" s="239" t="s">
        <v>1010</v>
      </c>
      <c r="C874" s="240">
        <v>0</v>
      </c>
      <c r="D874" s="241" t="s">
        <v>1038</v>
      </c>
      <c r="E874" s="241" t="s">
        <v>293</v>
      </c>
      <c r="F874" s="240">
        <v>6.1000000000000005</v>
      </c>
      <c r="G874" s="240"/>
      <c r="H874" s="239">
        <f>F874</f>
        <v>6.1000000000000005</v>
      </c>
      <c r="I874" s="242">
        <v>18.399999999999999</v>
      </c>
      <c r="K874" s="10"/>
      <c r="L874" s="12"/>
    </row>
    <row r="875" spans="1:12">
      <c r="A875" s="238">
        <v>546271</v>
      </c>
      <c r="B875" s="239" t="s">
        <v>981</v>
      </c>
      <c r="C875" s="240">
        <v>4</v>
      </c>
      <c r="D875" s="241" t="s">
        <v>1038</v>
      </c>
      <c r="E875" s="241" t="s">
        <v>293</v>
      </c>
      <c r="F875" s="240">
        <v>6.1000000000000005</v>
      </c>
      <c r="G875" s="240"/>
      <c r="H875" s="239">
        <v>4.8</v>
      </c>
      <c r="I875" s="242">
        <v>18.399999999999999</v>
      </c>
      <c r="K875" s="10"/>
      <c r="L875" s="12"/>
    </row>
    <row r="876" spans="1:12">
      <c r="A876" s="238">
        <v>322694</v>
      </c>
      <c r="B876" s="239" t="s">
        <v>75</v>
      </c>
      <c r="C876" s="240">
        <v>4</v>
      </c>
      <c r="D876" s="241" t="s">
        <v>1038</v>
      </c>
      <c r="E876" s="241" t="s">
        <v>303</v>
      </c>
      <c r="F876" s="240">
        <v>2.8</v>
      </c>
      <c r="G876" s="240"/>
      <c r="H876" s="239">
        <v>2.8</v>
      </c>
      <c r="I876" s="242">
        <v>9.5</v>
      </c>
      <c r="K876" s="10"/>
      <c r="L876" s="12"/>
    </row>
    <row r="877" spans="1:12">
      <c r="A877" s="238">
        <v>322698</v>
      </c>
      <c r="B877" s="239" t="s">
        <v>232</v>
      </c>
      <c r="C877" s="240">
        <v>4</v>
      </c>
      <c r="D877" s="241" t="s">
        <v>1038</v>
      </c>
      <c r="E877" s="241" t="s">
        <v>303</v>
      </c>
      <c r="F877" s="240">
        <v>2.8000000000000003</v>
      </c>
      <c r="G877" s="240"/>
      <c r="H877" s="239">
        <v>2.8</v>
      </c>
      <c r="I877" s="242">
        <v>9.5</v>
      </c>
      <c r="K877" s="10"/>
      <c r="L877" s="12"/>
    </row>
    <row r="878" spans="1:12">
      <c r="A878" s="238">
        <v>322695</v>
      </c>
      <c r="B878" s="239" t="s">
        <v>74</v>
      </c>
      <c r="C878" s="240">
        <v>4</v>
      </c>
      <c r="D878" s="241" t="s">
        <v>1038</v>
      </c>
      <c r="E878" s="241" t="s">
        <v>303</v>
      </c>
      <c r="F878" s="240">
        <v>2.8000000000000003</v>
      </c>
      <c r="G878" s="240"/>
      <c r="H878" s="239">
        <v>2.8</v>
      </c>
      <c r="I878" s="242">
        <v>9.5</v>
      </c>
      <c r="K878" s="10"/>
      <c r="L878" s="12"/>
    </row>
    <row r="879" spans="1:12">
      <c r="A879" s="238">
        <v>665673</v>
      </c>
      <c r="B879" s="239" t="s">
        <v>1357</v>
      </c>
      <c r="C879" s="240">
        <v>8</v>
      </c>
      <c r="D879" s="241" t="s">
        <v>1038</v>
      </c>
      <c r="E879" s="241" t="s">
        <v>290</v>
      </c>
      <c r="F879" s="240">
        <v>2.1</v>
      </c>
      <c r="G879" s="240"/>
      <c r="H879" s="242">
        <v>2.1</v>
      </c>
      <c r="I879" s="242">
        <v>20</v>
      </c>
      <c r="K879" s="10"/>
      <c r="L879" s="12"/>
    </row>
    <row r="880" spans="1:12">
      <c r="A880" s="238">
        <v>665674</v>
      </c>
      <c r="B880" s="239" t="s">
        <v>1358</v>
      </c>
      <c r="C880" s="240">
        <v>8</v>
      </c>
      <c r="D880" s="241" t="s">
        <v>1038</v>
      </c>
      <c r="E880" s="241" t="s">
        <v>1359</v>
      </c>
      <c r="F880" s="240">
        <v>3.8010000000000002</v>
      </c>
      <c r="G880" s="240"/>
      <c r="H880" s="242">
        <v>3.8010000000000002</v>
      </c>
      <c r="I880" s="242">
        <v>30</v>
      </c>
      <c r="K880" s="10"/>
      <c r="L880" s="12"/>
    </row>
    <row r="881" spans="1:12">
      <c r="A881" s="238">
        <v>665672</v>
      </c>
      <c r="B881" s="239" t="s">
        <v>1360</v>
      </c>
      <c r="C881" s="240">
        <v>1</v>
      </c>
      <c r="D881" s="241" t="s">
        <v>1361</v>
      </c>
      <c r="E881" s="241" t="s">
        <v>1362</v>
      </c>
      <c r="F881" s="240">
        <v>5.9</v>
      </c>
      <c r="G881" s="240"/>
      <c r="H881" s="242">
        <v>5.9</v>
      </c>
      <c r="I881" s="242">
        <v>9</v>
      </c>
      <c r="K881" s="10"/>
      <c r="L881" s="12"/>
    </row>
    <row r="882" spans="1:12">
      <c r="A882" s="238">
        <v>322659</v>
      </c>
      <c r="B882" s="239" t="s">
        <v>441</v>
      </c>
      <c r="C882" s="240">
        <v>2</v>
      </c>
      <c r="D882" s="241" t="s">
        <v>1038</v>
      </c>
      <c r="E882" s="241" t="s">
        <v>302</v>
      </c>
      <c r="F882" s="240">
        <v>15.1</v>
      </c>
      <c r="G882" s="240"/>
      <c r="H882" s="239">
        <f>F882</f>
        <v>15.1</v>
      </c>
      <c r="I882" s="242">
        <v>6.76</v>
      </c>
      <c r="K882" s="10"/>
      <c r="L882" s="12"/>
    </row>
    <row r="883" spans="1:12">
      <c r="A883" s="238">
        <v>411346</v>
      </c>
      <c r="B883" s="239" t="s">
        <v>566</v>
      </c>
      <c r="C883" s="240">
        <v>2</v>
      </c>
      <c r="D883" s="241" t="s">
        <v>1038</v>
      </c>
      <c r="E883" s="241" t="s">
        <v>302</v>
      </c>
      <c r="F883" s="240">
        <v>16.100000000000001</v>
      </c>
      <c r="G883" s="240"/>
      <c r="H883" s="239">
        <f>F883</f>
        <v>16.100000000000001</v>
      </c>
      <c r="I883" s="242">
        <v>11</v>
      </c>
      <c r="K883" s="10"/>
      <c r="L883" s="11"/>
    </row>
    <row r="884" spans="1:12">
      <c r="A884" s="238">
        <v>322658</v>
      </c>
      <c r="B884" s="239" t="s">
        <v>440</v>
      </c>
      <c r="C884" s="240">
        <v>2</v>
      </c>
      <c r="D884" s="241" t="s">
        <v>1038</v>
      </c>
      <c r="E884" s="241" t="s">
        <v>302</v>
      </c>
      <c r="F884" s="240">
        <v>15.1</v>
      </c>
      <c r="G884" s="240"/>
      <c r="H884" s="239">
        <f>F884</f>
        <v>15.1</v>
      </c>
      <c r="I884" s="242">
        <v>6.76</v>
      </c>
      <c r="K884" s="10"/>
      <c r="L884" s="12"/>
    </row>
    <row r="885" spans="1:12">
      <c r="A885" s="238">
        <v>322656</v>
      </c>
      <c r="B885" s="239" t="s">
        <v>233</v>
      </c>
      <c r="C885" s="240">
        <v>2</v>
      </c>
      <c r="D885" s="241" t="s">
        <v>1038</v>
      </c>
      <c r="E885" s="241" t="s">
        <v>302</v>
      </c>
      <c r="F885" s="240">
        <v>15.1</v>
      </c>
      <c r="G885" s="240"/>
      <c r="H885" s="239">
        <v>13.85</v>
      </c>
      <c r="I885" s="242">
        <v>6.76</v>
      </c>
      <c r="K885" s="10"/>
      <c r="L885" s="12"/>
    </row>
    <row r="886" spans="1:12">
      <c r="A886" s="238">
        <v>322657</v>
      </c>
      <c r="B886" s="239" t="s">
        <v>73</v>
      </c>
      <c r="C886" s="240">
        <v>2</v>
      </c>
      <c r="D886" s="241" t="s">
        <v>1038</v>
      </c>
      <c r="E886" s="241" t="s">
        <v>302</v>
      </c>
      <c r="F886" s="240">
        <v>15.1</v>
      </c>
      <c r="G886" s="240"/>
      <c r="H886" s="239">
        <v>13.85</v>
      </c>
      <c r="I886" s="242">
        <v>6.76</v>
      </c>
      <c r="K886" s="10"/>
      <c r="L886" s="12"/>
    </row>
    <row r="887" spans="1:12">
      <c r="A887" s="238">
        <v>322655</v>
      </c>
      <c r="B887" s="239" t="s">
        <v>439</v>
      </c>
      <c r="C887" s="240">
        <v>2</v>
      </c>
      <c r="D887" s="241" t="s">
        <v>1038</v>
      </c>
      <c r="E887" s="241" t="s">
        <v>302</v>
      </c>
      <c r="F887" s="240">
        <v>15.1</v>
      </c>
      <c r="G887" s="240"/>
      <c r="H887" s="239">
        <f>F887</f>
        <v>15.1</v>
      </c>
      <c r="I887" s="242">
        <v>6.76</v>
      </c>
      <c r="K887" s="10"/>
      <c r="L887" s="12"/>
    </row>
    <row r="888" spans="1:12">
      <c r="A888" s="238">
        <v>519157</v>
      </c>
      <c r="B888" s="239" t="s">
        <v>950</v>
      </c>
      <c r="C888" s="240">
        <v>4</v>
      </c>
      <c r="D888" s="241" t="s">
        <v>1038</v>
      </c>
      <c r="E888" s="241" t="s">
        <v>302</v>
      </c>
      <c r="F888" s="240">
        <v>8.1999999999999993</v>
      </c>
      <c r="G888" s="240"/>
      <c r="H888" s="239">
        <f>F888</f>
        <v>8.1999999999999993</v>
      </c>
      <c r="I888" s="242">
        <v>16.88</v>
      </c>
      <c r="K888" s="10"/>
      <c r="L888" s="12"/>
    </row>
    <row r="889" spans="1:12">
      <c r="A889" s="238">
        <v>519158</v>
      </c>
      <c r="B889" s="239" t="s">
        <v>951</v>
      </c>
      <c r="C889" s="240">
        <v>4</v>
      </c>
      <c r="D889" s="241" t="s">
        <v>1038</v>
      </c>
      <c r="E889" s="241" t="s">
        <v>302</v>
      </c>
      <c r="F889" s="240">
        <v>4.5999999999999996</v>
      </c>
      <c r="G889" s="240"/>
      <c r="H889" s="239">
        <f>F889</f>
        <v>4.5999999999999996</v>
      </c>
      <c r="I889" s="242">
        <v>17.8</v>
      </c>
      <c r="K889" s="10"/>
      <c r="L889" s="12"/>
    </row>
    <row r="890" spans="1:12">
      <c r="A890" s="238">
        <v>328487</v>
      </c>
      <c r="B890" s="239" t="s">
        <v>72</v>
      </c>
      <c r="C890" s="240">
        <v>4</v>
      </c>
      <c r="D890" s="241" t="s">
        <v>1038</v>
      </c>
      <c r="E890" s="241" t="s">
        <v>302</v>
      </c>
      <c r="F890" s="240">
        <v>13.84</v>
      </c>
      <c r="G890" s="240"/>
      <c r="H890" s="239">
        <v>13</v>
      </c>
      <c r="I890" s="242">
        <v>12</v>
      </c>
      <c r="K890" s="10"/>
      <c r="L890" s="12"/>
    </row>
    <row r="891" spans="1:12">
      <c r="A891" s="238">
        <v>338315</v>
      </c>
      <c r="B891" s="239" t="s">
        <v>514</v>
      </c>
      <c r="C891" s="240">
        <v>4</v>
      </c>
      <c r="D891" s="241" t="s">
        <v>1038</v>
      </c>
      <c r="E891" s="241" t="s">
        <v>302</v>
      </c>
      <c r="F891" s="240">
        <v>8.1999999999999993</v>
      </c>
      <c r="G891" s="240"/>
      <c r="H891" s="239">
        <v>8</v>
      </c>
      <c r="I891" s="242">
        <v>16.88</v>
      </c>
      <c r="K891" s="10"/>
      <c r="L891" s="12"/>
    </row>
    <row r="892" spans="1:12">
      <c r="A892" s="238">
        <v>373387</v>
      </c>
      <c r="B892" s="239" t="s">
        <v>534</v>
      </c>
      <c r="C892" s="240">
        <v>4</v>
      </c>
      <c r="D892" s="241" t="s">
        <v>1038</v>
      </c>
      <c r="E892" s="241" t="s">
        <v>302</v>
      </c>
      <c r="F892" s="240">
        <v>4.5999999999999996</v>
      </c>
      <c r="G892" s="240"/>
      <c r="H892" s="239">
        <v>5</v>
      </c>
      <c r="I892" s="242">
        <v>17.8</v>
      </c>
      <c r="K892" s="10"/>
      <c r="L892" s="12"/>
    </row>
    <row r="893" spans="1:12">
      <c r="A893" s="238">
        <v>387467</v>
      </c>
      <c r="B893" s="239" t="s">
        <v>541</v>
      </c>
      <c r="C893" s="240">
        <v>4</v>
      </c>
      <c r="D893" s="241" t="s">
        <v>1038</v>
      </c>
      <c r="E893" s="241" t="s">
        <v>302</v>
      </c>
      <c r="F893" s="240">
        <v>12.84</v>
      </c>
      <c r="G893" s="240"/>
      <c r="H893" s="239">
        <v>12.6</v>
      </c>
      <c r="I893" s="242">
        <v>20</v>
      </c>
      <c r="K893" s="10"/>
      <c r="L893" s="12"/>
    </row>
    <row r="894" spans="1:12">
      <c r="A894" s="238">
        <v>387468</v>
      </c>
      <c r="B894" s="239" t="s">
        <v>542</v>
      </c>
      <c r="C894" s="240">
        <v>4</v>
      </c>
      <c r="D894" s="241" t="s">
        <v>1038</v>
      </c>
      <c r="E894" s="241" t="s">
        <v>302</v>
      </c>
      <c r="F894" s="240">
        <v>8.1999999999999993</v>
      </c>
      <c r="G894" s="240"/>
      <c r="H894" s="239">
        <f>F894</f>
        <v>8.1999999999999993</v>
      </c>
      <c r="I894" s="242">
        <v>16.88</v>
      </c>
      <c r="K894" s="10"/>
      <c r="L894" s="12"/>
    </row>
    <row r="895" spans="1:12">
      <c r="A895" s="238">
        <v>387469</v>
      </c>
      <c r="B895" s="239" t="s">
        <v>543</v>
      </c>
      <c r="C895" s="240">
        <v>4</v>
      </c>
      <c r="D895" s="241" t="s">
        <v>1038</v>
      </c>
      <c r="E895" s="241" t="s">
        <v>302</v>
      </c>
      <c r="F895" s="240">
        <v>4.5999999999999996</v>
      </c>
      <c r="G895" s="240"/>
      <c r="H895" s="239">
        <f>F895</f>
        <v>4.5999999999999996</v>
      </c>
      <c r="I895" s="242">
        <v>17.8</v>
      </c>
      <c r="K895" s="10"/>
      <c r="L895" s="12"/>
    </row>
    <row r="896" spans="1:12">
      <c r="A896" s="238">
        <v>324223</v>
      </c>
      <c r="B896" s="239" t="s">
        <v>481</v>
      </c>
      <c r="C896" s="240">
        <v>4</v>
      </c>
      <c r="D896" s="241" t="s">
        <v>1038</v>
      </c>
      <c r="E896" s="241" t="s">
        <v>302</v>
      </c>
      <c r="F896" s="240">
        <v>8.1999999999999993</v>
      </c>
      <c r="G896" s="240"/>
      <c r="H896" s="239">
        <f>F896</f>
        <v>8.1999999999999993</v>
      </c>
      <c r="I896" s="242">
        <v>16.88</v>
      </c>
      <c r="K896" s="10"/>
      <c r="L896" s="11"/>
    </row>
    <row r="897" spans="1:12">
      <c r="A897" s="238">
        <v>338312</v>
      </c>
      <c r="B897" s="239" t="s">
        <v>512</v>
      </c>
      <c r="C897" s="240">
        <v>4</v>
      </c>
      <c r="D897" s="241" t="s">
        <v>1038</v>
      </c>
      <c r="E897" s="241" t="s">
        <v>302</v>
      </c>
      <c r="F897" s="240">
        <v>4.5999999999999996</v>
      </c>
      <c r="G897" s="240"/>
      <c r="H897" s="239">
        <f>F897</f>
        <v>4.5999999999999996</v>
      </c>
      <c r="I897" s="242">
        <v>17.8</v>
      </c>
      <c r="K897" s="10"/>
      <c r="L897" s="11"/>
    </row>
    <row r="898" spans="1:12">
      <c r="A898" s="238">
        <v>324222</v>
      </c>
      <c r="B898" s="239" t="s">
        <v>234</v>
      </c>
      <c r="C898" s="240">
        <v>4</v>
      </c>
      <c r="D898" s="241" t="s">
        <v>1038</v>
      </c>
      <c r="E898" s="241" t="s">
        <v>302</v>
      </c>
      <c r="F898" s="240">
        <v>8.1999999999999993</v>
      </c>
      <c r="G898" s="240"/>
      <c r="H898" s="239">
        <v>13</v>
      </c>
      <c r="I898" s="242">
        <v>16.88</v>
      </c>
      <c r="K898" s="10"/>
      <c r="L898" s="12"/>
    </row>
    <row r="899" spans="1:12">
      <c r="A899" s="238">
        <v>373369</v>
      </c>
      <c r="B899" s="239" t="s">
        <v>532</v>
      </c>
      <c r="C899" s="240">
        <v>4</v>
      </c>
      <c r="D899" s="241" t="s">
        <v>1038</v>
      </c>
      <c r="E899" s="241" t="s">
        <v>302</v>
      </c>
      <c r="F899" s="240">
        <v>4.5999999999999996</v>
      </c>
      <c r="G899" s="240"/>
      <c r="H899" s="239">
        <f>F899</f>
        <v>4.5999999999999996</v>
      </c>
      <c r="I899" s="242">
        <v>17.8</v>
      </c>
      <c r="K899" s="10"/>
      <c r="L899" s="12"/>
    </row>
    <row r="900" spans="1:12">
      <c r="A900" s="238">
        <v>324224</v>
      </c>
      <c r="B900" s="239" t="s">
        <v>235</v>
      </c>
      <c r="C900" s="240">
        <v>4</v>
      </c>
      <c r="D900" s="241" t="s">
        <v>1038</v>
      </c>
      <c r="E900" s="241" t="s">
        <v>302</v>
      </c>
      <c r="F900" s="240">
        <v>8.1999999999999993</v>
      </c>
      <c r="G900" s="240"/>
      <c r="H900" s="239">
        <v>13</v>
      </c>
      <c r="I900" s="242">
        <v>16.88</v>
      </c>
      <c r="K900" s="10"/>
      <c r="L900" s="12"/>
    </row>
    <row r="901" spans="1:12">
      <c r="A901" s="238">
        <v>324225</v>
      </c>
      <c r="B901" s="239" t="s">
        <v>236</v>
      </c>
      <c r="C901" s="240">
        <v>4</v>
      </c>
      <c r="D901" s="241" t="s">
        <v>1038</v>
      </c>
      <c r="E901" s="241" t="s">
        <v>302</v>
      </c>
      <c r="F901" s="240">
        <v>4.5999999999999996</v>
      </c>
      <c r="G901" s="240"/>
      <c r="H901" s="239">
        <v>13</v>
      </c>
      <c r="I901" s="242">
        <v>17.8</v>
      </c>
      <c r="K901" s="10"/>
      <c r="L901" s="11"/>
    </row>
    <row r="902" spans="1:12">
      <c r="A902" s="238">
        <v>373385</v>
      </c>
      <c r="B902" s="239" t="s">
        <v>533</v>
      </c>
      <c r="C902" s="240">
        <v>4</v>
      </c>
      <c r="D902" s="241" t="s">
        <v>1038</v>
      </c>
      <c r="E902" s="241" t="s">
        <v>302</v>
      </c>
      <c r="F902" s="240">
        <v>4.5999999999999996</v>
      </c>
      <c r="G902" s="240"/>
      <c r="H902" s="239">
        <f>F902</f>
        <v>4.5999999999999996</v>
      </c>
      <c r="I902" s="242">
        <v>17.8</v>
      </c>
      <c r="K902" s="10"/>
      <c r="L902" s="11"/>
    </row>
    <row r="903" spans="1:12">
      <c r="A903" s="238">
        <v>322647</v>
      </c>
      <c r="B903" s="239" t="s">
        <v>71</v>
      </c>
      <c r="C903" s="240">
        <v>4</v>
      </c>
      <c r="D903" s="241" t="s">
        <v>1038</v>
      </c>
      <c r="E903" s="241" t="s">
        <v>302</v>
      </c>
      <c r="F903" s="240">
        <v>13.200000000000001</v>
      </c>
      <c r="G903" s="240"/>
      <c r="H903" s="239">
        <v>13.2</v>
      </c>
      <c r="I903" s="242">
        <v>20</v>
      </c>
      <c r="K903" s="10"/>
      <c r="L903" s="12"/>
    </row>
    <row r="904" spans="1:12">
      <c r="A904" s="238">
        <v>334752</v>
      </c>
      <c r="B904" s="239" t="s">
        <v>504</v>
      </c>
      <c r="C904" s="240">
        <v>4</v>
      </c>
      <c r="D904" s="241" t="s">
        <v>1038</v>
      </c>
      <c r="E904" s="241" t="s">
        <v>302</v>
      </c>
      <c r="F904" s="240">
        <v>14.200000000000001</v>
      </c>
      <c r="G904" s="240"/>
      <c r="H904" s="239">
        <f>F904</f>
        <v>14.200000000000001</v>
      </c>
      <c r="I904" s="242">
        <v>20</v>
      </c>
      <c r="K904" s="10"/>
      <c r="L904" s="11"/>
    </row>
    <row r="905" spans="1:12">
      <c r="A905" s="238">
        <v>328469</v>
      </c>
      <c r="B905" s="239" t="s">
        <v>489</v>
      </c>
      <c r="C905" s="240">
        <v>4</v>
      </c>
      <c r="D905" s="241" t="s">
        <v>1038</v>
      </c>
      <c r="E905" s="241" t="s">
        <v>302</v>
      </c>
      <c r="F905" s="240">
        <v>14.200000000000001</v>
      </c>
      <c r="G905" s="240"/>
      <c r="H905" s="239">
        <f>F905</f>
        <v>14.200000000000001</v>
      </c>
      <c r="I905" s="242">
        <v>20</v>
      </c>
      <c r="K905" s="10"/>
      <c r="L905" s="11"/>
    </row>
    <row r="906" spans="1:12">
      <c r="A906" s="238">
        <v>322650</v>
      </c>
      <c r="B906" s="239" t="s">
        <v>237</v>
      </c>
      <c r="C906" s="240">
        <v>4</v>
      </c>
      <c r="D906" s="241" t="s">
        <v>1038</v>
      </c>
      <c r="E906" s="241" t="s">
        <v>302</v>
      </c>
      <c r="F906" s="240">
        <v>13.200000000000001</v>
      </c>
      <c r="G906" s="240"/>
      <c r="H906" s="239">
        <v>13.2</v>
      </c>
      <c r="I906" s="242">
        <v>20</v>
      </c>
      <c r="K906" s="10"/>
      <c r="L906" s="11"/>
    </row>
    <row r="907" spans="1:12">
      <c r="A907" s="238">
        <v>338313</v>
      </c>
      <c r="B907" s="239" t="s">
        <v>513</v>
      </c>
      <c r="C907" s="240">
        <v>4</v>
      </c>
      <c r="D907" s="241" t="s">
        <v>1038</v>
      </c>
      <c r="E907" s="241" t="s">
        <v>302</v>
      </c>
      <c r="F907" s="240">
        <v>4.5999999999999996</v>
      </c>
      <c r="G907" s="240"/>
      <c r="H907" s="239">
        <f>F907</f>
        <v>4.5999999999999996</v>
      </c>
      <c r="I907" s="242">
        <v>17.8</v>
      </c>
      <c r="K907" s="10"/>
      <c r="L907" s="11"/>
    </row>
    <row r="908" spans="1:12">
      <c r="A908" s="238">
        <v>365134</v>
      </c>
      <c r="B908" s="239" t="s">
        <v>70</v>
      </c>
      <c r="C908" s="240">
        <v>4</v>
      </c>
      <c r="D908" s="241" t="s">
        <v>1038</v>
      </c>
      <c r="E908" s="241" t="s">
        <v>302</v>
      </c>
      <c r="F908" s="240">
        <v>14.200000000000001</v>
      </c>
      <c r="G908" s="240"/>
      <c r="H908" s="239">
        <v>13.2</v>
      </c>
      <c r="I908" s="242">
        <v>20</v>
      </c>
      <c r="K908" s="10"/>
      <c r="L908" s="11"/>
    </row>
    <row r="909" spans="1:12">
      <c r="A909" s="238">
        <v>452298</v>
      </c>
      <c r="B909" s="239" t="s">
        <v>614</v>
      </c>
      <c r="C909" s="240">
        <v>4</v>
      </c>
      <c r="D909" s="241" t="s">
        <v>1038</v>
      </c>
      <c r="E909" s="241" t="s">
        <v>302</v>
      </c>
      <c r="F909" s="240">
        <v>14.200000000000001</v>
      </c>
      <c r="G909" s="240"/>
      <c r="H909" s="239">
        <f>F909</f>
        <v>14.200000000000001</v>
      </c>
      <c r="I909" s="242">
        <v>20</v>
      </c>
      <c r="K909" s="10"/>
      <c r="L909" s="12"/>
    </row>
    <row r="910" spans="1:12">
      <c r="A910" s="238">
        <v>389517</v>
      </c>
      <c r="B910" s="239" t="s">
        <v>283</v>
      </c>
      <c r="C910" s="240">
        <v>4</v>
      </c>
      <c r="D910" s="241" t="s">
        <v>1038</v>
      </c>
      <c r="E910" s="241" t="s">
        <v>302</v>
      </c>
      <c r="F910" s="240">
        <v>13.200000000000001</v>
      </c>
      <c r="G910" s="240"/>
      <c r="H910" s="239">
        <v>13.2</v>
      </c>
      <c r="I910" s="242">
        <v>20</v>
      </c>
      <c r="K910" s="10"/>
      <c r="L910" s="12"/>
    </row>
    <row r="911" spans="1:12">
      <c r="A911" s="238">
        <v>324219</v>
      </c>
      <c r="B911" s="239" t="s">
        <v>69</v>
      </c>
      <c r="C911" s="240">
        <v>4</v>
      </c>
      <c r="D911" s="241" t="s">
        <v>1038</v>
      </c>
      <c r="E911" s="241" t="s">
        <v>302</v>
      </c>
      <c r="F911" s="240">
        <v>13.200000000000001</v>
      </c>
      <c r="G911" s="240"/>
      <c r="H911" s="239">
        <v>13.2</v>
      </c>
      <c r="I911" s="242">
        <v>20</v>
      </c>
      <c r="K911" s="10"/>
      <c r="L911" s="12"/>
    </row>
    <row r="912" spans="1:12">
      <c r="A912" s="238">
        <v>322665</v>
      </c>
      <c r="B912" s="239" t="s">
        <v>254</v>
      </c>
      <c r="C912" s="240">
        <v>4</v>
      </c>
      <c r="D912" s="241" t="s">
        <v>1038</v>
      </c>
      <c r="E912" s="241" t="s">
        <v>302</v>
      </c>
      <c r="F912" s="240">
        <v>13.200000000000001</v>
      </c>
      <c r="G912" s="240"/>
      <c r="H912" s="239">
        <v>13.2</v>
      </c>
      <c r="I912" s="242">
        <v>20</v>
      </c>
      <c r="K912" s="10"/>
      <c r="L912" s="12"/>
    </row>
    <row r="913" spans="1:12">
      <c r="A913" s="238">
        <v>334768</v>
      </c>
      <c r="B913" s="239" t="s">
        <v>505</v>
      </c>
      <c r="C913" s="240">
        <v>4</v>
      </c>
      <c r="D913" s="241" t="s">
        <v>1038</v>
      </c>
      <c r="E913" s="241" t="s">
        <v>302</v>
      </c>
      <c r="F913" s="240">
        <v>13.200000000000001</v>
      </c>
      <c r="G913" s="240"/>
      <c r="H913" s="239">
        <f>F913</f>
        <v>13.200000000000001</v>
      </c>
      <c r="I913" s="242">
        <v>20</v>
      </c>
      <c r="K913" s="10"/>
      <c r="L913" s="12"/>
    </row>
    <row r="914" spans="1:12">
      <c r="A914" s="238">
        <v>334731</v>
      </c>
      <c r="B914" s="239" t="s">
        <v>503</v>
      </c>
      <c r="C914" s="240">
        <v>4</v>
      </c>
      <c r="D914" s="241" t="s">
        <v>1038</v>
      </c>
      <c r="E914" s="241" t="s">
        <v>302</v>
      </c>
      <c r="F914" s="240">
        <v>14.200000000000001</v>
      </c>
      <c r="G914" s="240"/>
      <c r="H914" s="239">
        <f>F914</f>
        <v>14.200000000000001</v>
      </c>
      <c r="I914" s="242">
        <v>20</v>
      </c>
      <c r="K914" s="10"/>
      <c r="L914" s="12"/>
    </row>
    <row r="915" spans="1:12">
      <c r="A915" s="238">
        <v>425688</v>
      </c>
      <c r="B915" s="239" t="s">
        <v>585</v>
      </c>
      <c r="C915" s="240">
        <v>4</v>
      </c>
      <c r="D915" s="241" t="s">
        <v>1038</v>
      </c>
      <c r="E915" s="241" t="s">
        <v>302</v>
      </c>
      <c r="F915" s="240">
        <v>13.200000000000001</v>
      </c>
      <c r="G915" s="240"/>
      <c r="H915" s="239">
        <v>13</v>
      </c>
      <c r="I915" s="242">
        <v>20</v>
      </c>
      <c r="K915" s="10"/>
      <c r="L915" s="11"/>
    </row>
    <row r="916" spans="1:12">
      <c r="A916" s="238">
        <v>478369</v>
      </c>
      <c r="B916" s="239" t="s">
        <v>901</v>
      </c>
      <c r="C916" s="240">
        <v>4</v>
      </c>
      <c r="D916" s="241" t="s">
        <v>1038</v>
      </c>
      <c r="E916" s="241" t="s">
        <v>302</v>
      </c>
      <c r="F916" s="240">
        <v>14.200000000000001</v>
      </c>
      <c r="G916" s="240"/>
      <c r="H916" s="239">
        <f>F916</f>
        <v>14.200000000000001</v>
      </c>
      <c r="I916" s="242">
        <v>20</v>
      </c>
      <c r="K916" s="10"/>
      <c r="L916" s="11"/>
    </row>
    <row r="917" spans="1:12">
      <c r="A917" s="238">
        <v>459161</v>
      </c>
      <c r="B917" s="239" t="s">
        <v>876</v>
      </c>
      <c r="C917" s="240">
        <v>4</v>
      </c>
      <c r="D917" s="241" t="s">
        <v>1038</v>
      </c>
      <c r="E917" s="241" t="s">
        <v>302</v>
      </c>
      <c r="F917" s="240">
        <v>13.200000000000001</v>
      </c>
      <c r="G917" s="240"/>
      <c r="H917" s="239">
        <v>13.2</v>
      </c>
      <c r="I917" s="242">
        <v>20</v>
      </c>
      <c r="K917" s="10"/>
      <c r="L917" s="12"/>
    </row>
    <row r="918" spans="1:12">
      <c r="A918" s="238">
        <v>322646</v>
      </c>
      <c r="B918" s="239" t="s">
        <v>68</v>
      </c>
      <c r="C918" s="240">
        <v>4</v>
      </c>
      <c r="D918" s="241" t="s">
        <v>1038</v>
      </c>
      <c r="E918" s="241" t="s">
        <v>302</v>
      </c>
      <c r="F918" s="240">
        <v>13.200000000000001</v>
      </c>
      <c r="G918" s="240"/>
      <c r="H918" s="239">
        <v>13.2</v>
      </c>
      <c r="I918" s="242">
        <v>20</v>
      </c>
      <c r="K918" s="10"/>
      <c r="L918" s="11"/>
    </row>
    <row r="919" spans="1:12">
      <c r="A919" s="238">
        <v>322653</v>
      </c>
      <c r="B919" s="239" t="s">
        <v>438</v>
      </c>
      <c r="C919" s="240">
        <v>4</v>
      </c>
      <c r="D919" s="241" t="s">
        <v>1038</v>
      </c>
      <c r="E919" s="241" t="s">
        <v>302</v>
      </c>
      <c r="F919" s="240">
        <v>13.200000000000001</v>
      </c>
      <c r="G919" s="240"/>
      <c r="H919" s="239">
        <f>F919</f>
        <v>13.200000000000001</v>
      </c>
      <c r="I919" s="242">
        <v>20</v>
      </c>
      <c r="K919" s="10"/>
      <c r="L919" s="11"/>
    </row>
    <row r="920" spans="1:12">
      <c r="A920" s="238">
        <v>322654</v>
      </c>
      <c r="B920" s="239" t="s">
        <v>67</v>
      </c>
      <c r="C920" s="240">
        <v>4</v>
      </c>
      <c r="D920" s="241" t="s">
        <v>1038</v>
      </c>
      <c r="E920" s="241" t="s">
        <v>302</v>
      </c>
      <c r="F920" s="240">
        <v>14.200000000000001</v>
      </c>
      <c r="G920" s="240"/>
      <c r="H920" s="239">
        <v>13.2</v>
      </c>
      <c r="I920" s="242">
        <v>20</v>
      </c>
      <c r="K920" s="10"/>
      <c r="L920" s="12"/>
    </row>
    <row r="921" spans="1:12">
      <c r="A921" s="238">
        <v>324298</v>
      </c>
      <c r="B921" s="239" t="s">
        <v>66</v>
      </c>
      <c r="C921" s="240">
        <v>4</v>
      </c>
      <c r="D921" s="241" t="s">
        <v>1038</v>
      </c>
      <c r="E921" s="241" t="s">
        <v>302</v>
      </c>
      <c r="F921" s="240">
        <v>14.200000000000001</v>
      </c>
      <c r="G921" s="240"/>
      <c r="H921" s="239">
        <v>13.2</v>
      </c>
      <c r="I921" s="242">
        <v>20</v>
      </c>
      <c r="K921" s="10"/>
      <c r="L921" s="11"/>
    </row>
    <row r="922" spans="1:12">
      <c r="A922" s="238">
        <v>540600</v>
      </c>
      <c r="B922" s="239" t="s">
        <v>971</v>
      </c>
      <c r="C922" s="240">
        <v>4</v>
      </c>
      <c r="D922" s="241" t="s">
        <v>1038</v>
      </c>
      <c r="E922" s="241" t="s">
        <v>302</v>
      </c>
      <c r="F922" s="240">
        <v>14.200000000000001</v>
      </c>
      <c r="G922" s="240"/>
      <c r="H922" s="239">
        <f>F922</f>
        <v>14.200000000000001</v>
      </c>
      <c r="I922" s="242">
        <v>20</v>
      </c>
      <c r="K922" s="10"/>
      <c r="L922" s="11"/>
    </row>
    <row r="923" spans="1:12">
      <c r="A923" s="238">
        <v>322666</v>
      </c>
      <c r="B923" s="239" t="s">
        <v>238</v>
      </c>
      <c r="C923" s="240">
        <v>4</v>
      </c>
      <c r="D923" s="241" t="s">
        <v>1038</v>
      </c>
      <c r="E923" s="241" t="s">
        <v>302</v>
      </c>
      <c r="F923" s="240">
        <v>13.200000000000001</v>
      </c>
      <c r="G923" s="240"/>
      <c r="H923" s="239">
        <v>13.2</v>
      </c>
      <c r="I923" s="242">
        <v>20</v>
      </c>
      <c r="K923" s="10"/>
      <c r="L923" s="11"/>
    </row>
    <row r="924" spans="1:12">
      <c r="A924" s="238">
        <v>345184</v>
      </c>
      <c r="B924" s="239" t="s">
        <v>65</v>
      </c>
      <c r="C924" s="240">
        <v>4</v>
      </c>
      <c r="D924" s="241" t="s">
        <v>1038</v>
      </c>
      <c r="E924" s="241" t="s">
        <v>302</v>
      </c>
      <c r="F924" s="240">
        <v>14.200000000000001</v>
      </c>
      <c r="G924" s="240"/>
      <c r="H924" s="239">
        <v>13.2</v>
      </c>
      <c r="I924" s="242">
        <v>20</v>
      </c>
      <c r="K924" s="10"/>
      <c r="L924" s="11"/>
    </row>
    <row r="925" spans="1:12">
      <c r="A925" s="238">
        <v>543625</v>
      </c>
      <c r="B925" s="239" t="s">
        <v>976</v>
      </c>
      <c r="C925" s="240">
        <v>4</v>
      </c>
      <c r="D925" s="241" t="s">
        <v>1038</v>
      </c>
      <c r="E925" s="241" t="s">
        <v>302</v>
      </c>
      <c r="F925" s="240">
        <v>13.200000000000001</v>
      </c>
      <c r="G925" s="240"/>
      <c r="H925" s="239">
        <f>F925</f>
        <v>13.200000000000001</v>
      </c>
      <c r="I925" s="242">
        <v>20</v>
      </c>
      <c r="K925" s="10"/>
      <c r="L925" s="11"/>
    </row>
    <row r="926" spans="1:12">
      <c r="A926" s="238">
        <v>325544</v>
      </c>
      <c r="B926" s="239" t="s">
        <v>486</v>
      </c>
      <c r="C926" s="240">
        <v>4</v>
      </c>
      <c r="D926" s="241" t="s">
        <v>1038</v>
      </c>
      <c r="E926" s="241" t="s">
        <v>302</v>
      </c>
      <c r="F926" s="240">
        <v>14.200000000000001</v>
      </c>
      <c r="G926" s="240"/>
      <c r="H926" s="239">
        <f>F926</f>
        <v>14.200000000000001</v>
      </c>
      <c r="I926" s="242">
        <v>20</v>
      </c>
      <c r="K926" s="10"/>
      <c r="L926" s="11"/>
    </row>
    <row r="927" spans="1:12">
      <c r="A927" s="238">
        <v>322648</v>
      </c>
      <c r="B927" s="239" t="s">
        <v>64</v>
      </c>
      <c r="C927" s="240">
        <v>4</v>
      </c>
      <c r="D927" s="241" t="s">
        <v>1038</v>
      </c>
      <c r="E927" s="241" t="s">
        <v>302</v>
      </c>
      <c r="F927" s="240">
        <v>13.200000000000001</v>
      </c>
      <c r="G927" s="240"/>
      <c r="H927" s="239">
        <v>13.2</v>
      </c>
      <c r="I927" s="242">
        <v>20</v>
      </c>
      <c r="K927" s="10"/>
      <c r="L927" s="12"/>
    </row>
    <row r="928" spans="1:12">
      <c r="A928" s="238">
        <v>362713</v>
      </c>
      <c r="B928" s="239" t="s">
        <v>63</v>
      </c>
      <c r="C928" s="240">
        <v>4</v>
      </c>
      <c r="D928" s="241" t="s">
        <v>1038</v>
      </c>
      <c r="E928" s="241" t="s">
        <v>302</v>
      </c>
      <c r="F928" s="240">
        <v>14.200000000000001</v>
      </c>
      <c r="G928" s="240"/>
      <c r="H928" s="239">
        <v>13.2</v>
      </c>
      <c r="I928" s="242">
        <v>20</v>
      </c>
      <c r="K928" s="10"/>
      <c r="L928" s="12"/>
    </row>
    <row r="929" spans="1:12">
      <c r="A929" s="238">
        <v>322649</v>
      </c>
      <c r="B929" s="239" t="s">
        <v>62</v>
      </c>
      <c r="C929" s="240">
        <v>4</v>
      </c>
      <c r="D929" s="241" t="s">
        <v>1038</v>
      </c>
      <c r="E929" s="241" t="s">
        <v>302</v>
      </c>
      <c r="F929" s="240">
        <v>13.200000000000001</v>
      </c>
      <c r="G929" s="240"/>
      <c r="H929" s="239">
        <v>13.2</v>
      </c>
      <c r="I929" s="242">
        <v>20</v>
      </c>
      <c r="K929" s="10"/>
      <c r="L929" s="12"/>
    </row>
    <row r="930" spans="1:12">
      <c r="A930" s="238">
        <v>412041</v>
      </c>
      <c r="B930" s="239" t="s">
        <v>569</v>
      </c>
      <c r="C930" s="240">
        <v>2</v>
      </c>
      <c r="D930" s="241" t="s">
        <v>1038</v>
      </c>
      <c r="E930" s="241" t="s">
        <v>302</v>
      </c>
      <c r="F930" s="240">
        <v>15.1</v>
      </c>
      <c r="G930" s="240"/>
      <c r="H930" s="239">
        <f>F930</f>
        <v>15.1</v>
      </c>
      <c r="I930" s="242">
        <v>23.4</v>
      </c>
      <c r="K930" s="10"/>
      <c r="L930" s="11"/>
    </row>
    <row r="931" spans="1:12">
      <c r="A931" s="238">
        <v>322680</v>
      </c>
      <c r="B931" s="239" t="s">
        <v>61</v>
      </c>
      <c r="C931" s="240">
        <v>4</v>
      </c>
      <c r="D931" s="241" t="s">
        <v>1038</v>
      </c>
      <c r="E931" s="241" t="s">
        <v>1030</v>
      </c>
      <c r="F931" s="240">
        <v>7.3000000000000007</v>
      </c>
      <c r="G931" s="240"/>
      <c r="H931" s="239">
        <v>7</v>
      </c>
      <c r="I931" s="242">
        <v>15.3</v>
      </c>
      <c r="K931" s="10"/>
      <c r="L931" s="11"/>
    </row>
    <row r="932" spans="1:12">
      <c r="A932" s="238">
        <v>337709</v>
      </c>
      <c r="B932" s="239" t="s">
        <v>60</v>
      </c>
      <c r="C932" s="240">
        <v>4</v>
      </c>
      <c r="D932" s="241" t="s">
        <v>1038</v>
      </c>
      <c r="E932" s="241" t="s">
        <v>1030</v>
      </c>
      <c r="F932" s="240">
        <v>7.3000000000000007</v>
      </c>
      <c r="G932" s="240"/>
      <c r="H932" s="239">
        <v>7</v>
      </c>
      <c r="I932" s="242">
        <v>15.3</v>
      </c>
      <c r="K932" s="10"/>
      <c r="L932" s="11"/>
    </row>
    <row r="933" spans="1:12">
      <c r="A933" s="238">
        <v>322674</v>
      </c>
      <c r="B933" s="239" t="s">
        <v>59</v>
      </c>
      <c r="C933" s="240">
        <v>4</v>
      </c>
      <c r="D933" s="241" t="s">
        <v>1038</v>
      </c>
      <c r="E933" s="241" t="s">
        <v>1030</v>
      </c>
      <c r="F933" s="240">
        <v>10.3</v>
      </c>
      <c r="G933" s="240"/>
      <c r="H933" s="239">
        <v>7</v>
      </c>
      <c r="I933" s="242">
        <v>12</v>
      </c>
      <c r="K933" s="10"/>
      <c r="L933" s="12"/>
    </row>
    <row r="934" spans="1:12">
      <c r="A934" s="238">
        <v>361239</v>
      </c>
      <c r="B934" s="239" t="s">
        <v>528</v>
      </c>
      <c r="C934" s="240">
        <v>4</v>
      </c>
      <c r="D934" s="241" t="s">
        <v>1038</v>
      </c>
      <c r="E934" s="241" t="s">
        <v>1030</v>
      </c>
      <c r="F934" s="240">
        <v>7.3000000000000007</v>
      </c>
      <c r="G934" s="240"/>
      <c r="H934" s="239">
        <f>F934</f>
        <v>7.3000000000000007</v>
      </c>
      <c r="I934" s="242">
        <v>15.3</v>
      </c>
      <c r="K934" s="10"/>
      <c r="L934" s="12"/>
    </row>
    <row r="935" spans="1:12">
      <c r="A935" s="238">
        <v>359998</v>
      </c>
      <c r="B935" s="239" t="s">
        <v>58</v>
      </c>
      <c r="C935" s="240">
        <v>4</v>
      </c>
      <c r="D935" s="241" t="s">
        <v>1038</v>
      </c>
      <c r="E935" s="241" t="s">
        <v>1030</v>
      </c>
      <c r="F935" s="240">
        <v>8.3000000000000007</v>
      </c>
      <c r="G935" s="240"/>
      <c r="H935" s="239"/>
      <c r="I935" s="242">
        <v>15.3</v>
      </c>
      <c r="K935" s="10"/>
      <c r="L935" s="11"/>
    </row>
    <row r="936" spans="1:12">
      <c r="A936" s="238">
        <v>455983</v>
      </c>
      <c r="B936" s="239" t="s">
        <v>871</v>
      </c>
      <c r="C936" s="240">
        <v>4</v>
      </c>
      <c r="D936" s="241" t="s">
        <v>1038</v>
      </c>
      <c r="E936" s="241" t="s">
        <v>1030</v>
      </c>
      <c r="F936" s="240">
        <v>8.3000000000000007</v>
      </c>
      <c r="G936" s="240"/>
      <c r="H936" s="239">
        <v>8</v>
      </c>
      <c r="I936" s="242">
        <v>15.3</v>
      </c>
      <c r="K936" s="10"/>
      <c r="L936" s="12"/>
    </row>
    <row r="937" spans="1:12">
      <c r="A937" s="238">
        <v>326415</v>
      </c>
      <c r="B937" s="239" t="s">
        <v>239</v>
      </c>
      <c r="C937" s="240">
        <v>4</v>
      </c>
      <c r="D937" s="241" t="s">
        <v>1038</v>
      </c>
      <c r="E937" s="241" t="s">
        <v>1030</v>
      </c>
      <c r="F937" s="240">
        <v>7.3000000000000007</v>
      </c>
      <c r="G937" s="240"/>
      <c r="H937" s="239">
        <v>7</v>
      </c>
      <c r="I937" s="242">
        <v>15.3</v>
      </c>
      <c r="K937" s="10"/>
      <c r="L937" s="12"/>
    </row>
    <row r="938" spans="1:12">
      <c r="A938" s="238">
        <v>322672</v>
      </c>
      <c r="B938" s="239" t="s">
        <v>57</v>
      </c>
      <c r="C938" s="240">
        <v>4</v>
      </c>
      <c r="D938" s="241" t="s">
        <v>1038</v>
      </c>
      <c r="E938" s="241" t="s">
        <v>1030</v>
      </c>
      <c r="F938" s="240">
        <v>7.3000000000000007</v>
      </c>
      <c r="G938" s="240"/>
      <c r="H938" s="239">
        <v>7</v>
      </c>
      <c r="I938" s="242">
        <v>15.3</v>
      </c>
      <c r="K938" s="10"/>
      <c r="L938" s="12"/>
    </row>
    <row r="939" spans="1:12">
      <c r="A939" s="238">
        <v>502881</v>
      </c>
      <c r="B939" s="239" t="s">
        <v>1126</v>
      </c>
      <c r="C939" s="240">
        <v>4</v>
      </c>
      <c r="D939" s="241" t="s">
        <v>1038</v>
      </c>
      <c r="E939" s="241" t="s">
        <v>1030</v>
      </c>
      <c r="F939" s="240">
        <v>8.3000000000000007</v>
      </c>
      <c r="G939" s="240"/>
      <c r="H939" s="239">
        <f>F939</f>
        <v>8.3000000000000007</v>
      </c>
      <c r="I939" s="242">
        <v>15.3</v>
      </c>
      <c r="K939" s="10"/>
      <c r="L939" s="12"/>
    </row>
    <row r="940" spans="1:12">
      <c r="A940" s="238">
        <v>475572</v>
      </c>
      <c r="B940" s="239" t="s">
        <v>897</v>
      </c>
      <c r="C940" s="240">
        <v>4</v>
      </c>
      <c r="D940" s="241" t="s">
        <v>1038</v>
      </c>
      <c r="E940" s="241" t="s">
        <v>1030</v>
      </c>
      <c r="F940" s="240">
        <v>8.3000000000000007</v>
      </c>
      <c r="G940" s="240"/>
      <c r="H940" s="239">
        <v>7</v>
      </c>
      <c r="I940" s="242">
        <v>15.2</v>
      </c>
      <c r="K940" s="10"/>
      <c r="L940" s="12"/>
    </row>
    <row r="941" spans="1:12">
      <c r="A941" s="238">
        <v>322635</v>
      </c>
      <c r="B941" s="239" t="s">
        <v>56</v>
      </c>
      <c r="C941" s="240">
        <v>4</v>
      </c>
      <c r="D941" s="241" t="s">
        <v>1038</v>
      </c>
      <c r="E941" s="241" t="s">
        <v>1030</v>
      </c>
      <c r="F941" s="240">
        <v>7.3000000000000007</v>
      </c>
      <c r="G941" s="240"/>
      <c r="H941" s="239">
        <v>7</v>
      </c>
      <c r="I941" s="242">
        <v>15.3</v>
      </c>
      <c r="K941" s="10"/>
      <c r="L941" s="11"/>
    </row>
    <row r="942" spans="1:12">
      <c r="A942" s="238">
        <v>322679</v>
      </c>
      <c r="B942" s="239" t="s">
        <v>55</v>
      </c>
      <c r="C942" s="240">
        <v>4</v>
      </c>
      <c r="D942" s="241" t="s">
        <v>1038</v>
      </c>
      <c r="E942" s="241" t="s">
        <v>1030</v>
      </c>
      <c r="F942" s="240">
        <v>7.3000000000000007</v>
      </c>
      <c r="G942" s="240"/>
      <c r="H942" s="239">
        <v>7</v>
      </c>
      <c r="I942" s="242">
        <v>15.3</v>
      </c>
      <c r="K942" s="10"/>
      <c r="L942" s="11"/>
    </row>
    <row r="943" spans="1:12">
      <c r="A943" s="238">
        <v>324156</v>
      </c>
      <c r="B943" s="239" t="s">
        <v>54</v>
      </c>
      <c r="C943" s="240">
        <v>4</v>
      </c>
      <c r="D943" s="241" t="s">
        <v>1038</v>
      </c>
      <c r="E943" s="241" t="s">
        <v>1030</v>
      </c>
      <c r="F943" s="240">
        <v>7.3000000000000007</v>
      </c>
      <c r="G943" s="240"/>
      <c r="H943" s="239">
        <v>7</v>
      </c>
      <c r="I943" s="242">
        <v>15.3</v>
      </c>
      <c r="K943" s="10"/>
      <c r="L943" s="11"/>
    </row>
    <row r="944" spans="1:12">
      <c r="A944" s="238">
        <v>555128</v>
      </c>
      <c r="B944" s="239" t="s">
        <v>995</v>
      </c>
      <c r="C944" s="240">
        <v>4</v>
      </c>
      <c r="D944" s="241" t="s">
        <v>1038</v>
      </c>
      <c r="E944" s="241" t="s">
        <v>1030</v>
      </c>
      <c r="F944" s="240">
        <v>8.3000000000000007</v>
      </c>
      <c r="G944" s="240"/>
      <c r="H944" s="239">
        <v>7.8</v>
      </c>
      <c r="I944" s="242">
        <v>15.3</v>
      </c>
      <c r="K944" s="10"/>
      <c r="L944" s="11"/>
    </row>
    <row r="945" spans="1:12">
      <c r="A945" s="238">
        <v>324155</v>
      </c>
      <c r="B945" s="239" t="s">
        <v>53</v>
      </c>
      <c r="C945" s="240">
        <v>4</v>
      </c>
      <c r="D945" s="241" t="s">
        <v>1038</v>
      </c>
      <c r="E945" s="241" t="s">
        <v>1030</v>
      </c>
      <c r="F945" s="240">
        <v>7.3000000000000007</v>
      </c>
      <c r="G945" s="240"/>
      <c r="H945" s="239">
        <v>7</v>
      </c>
      <c r="I945" s="242">
        <v>15.3</v>
      </c>
      <c r="K945" s="10"/>
      <c r="L945" s="11"/>
    </row>
    <row r="946" spans="1:12">
      <c r="A946" s="238">
        <v>472132</v>
      </c>
      <c r="B946" s="239" t="s">
        <v>892</v>
      </c>
      <c r="C946" s="240">
        <v>4</v>
      </c>
      <c r="D946" s="241" t="s">
        <v>1038</v>
      </c>
      <c r="E946" s="241" t="s">
        <v>1030</v>
      </c>
      <c r="F946" s="240">
        <v>8.3000000000000007</v>
      </c>
      <c r="G946" s="240"/>
      <c r="H946" s="239">
        <v>7</v>
      </c>
      <c r="I946" s="242">
        <v>15.3</v>
      </c>
      <c r="K946" s="10"/>
      <c r="L946" s="11"/>
    </row>
    <row r="947" spans="1:12">
      <c r="A947" s="238">
        <v>322632</v>
      </c>
      <c r="B947" s="239" t="s">
        <v>52</v>
      </c>
      <c r="C947" s="240">
        <v>4</v>
      </c>
      <c r="D947" s="241" t="s">
        <v>1038</v>
      </c>
      <c r="E947" s="241" t="s">
        <v>1030</v>
      </c>
      <c r="F947" s="240">
        <v>7.3000000000000007</v>
      </c>
      <c r="G947" s="240"/>
      <c r="H947" s="239">
        <v>7</v>
      </c>
      <c r="I947" s="242">
        <v>15.3</v>
      </c>
      <c r="K947" s="10"/>
      <c r="L947" s="11"/>
    </row>
    <row r="948" spans="1:12">
      <c r="A948" s="238">
        <v>478691</v>
      </c>
      <c r="B948" s="239" t="s">
        <v>902</v>
      </c>
      <c r="C948" s="240">
        <v>4</v>
      </c>
      <c r="D948" s="241" t="s">
        <v>1038</v>
      </c>
      <c r="E948" s="241" t="s">
        <v>1030</v>
      </c>
      <c r="F948" s="240">
        <v>7.3000000000000007</v>
      </c>
      <c r="G948" s="240"/>
      <c r="H948" s="239">
        <v>7.01</v>
      </c>
      <c r="I948" s="242">
        <v>15.3</v>
      </c>
      <c r="K948" s="10"/>
      <c r="L948" s="11"/>
    </row>
    <row r="949" spans="1:12">
      <c r="A949" s="238">
        <v>478933</v>
      </c>
      <c r="B949" s="239" t="s">
        <v>903</v>
      </c>
      <c r="C949" s="240">
        <v>4</v>
      </c>
      <c r="D949" s="241" t="s">
        <v>1038</v>
      </c>
      <c r="E949" s="241" t="s">
        <v>1030</v>
      </c>
      <c r="F949" s="240">
        <v>8.3000000000000007</v>
      </c>
      <c r="G949" s="240"/>
      <c r="H949" s="239"/>
      <c r="I949" s="242">
        <v>15.3</v>
      </c>
      <c r="K949" s="10"/>
      <c r="L949" s="11"/>
    </row>
    <row r="950" spans="1:12">
      <c r="A950" s="238">
        <v>322640</v>
      </c>
      <c r="B950" s="239" t="s">
        <v>51</v>
      </c>
      <c r="C950" s="240">
        <v>4</v>
      </c>
      <c r="D950" s="241" t="s">
        <v>1038</v>
      </c>
      <c r="E950" s="241" t="s">
        <v>1030</v>
      </c>
      <c r="F950" s="240">
        <v>7.3000000000000007</v>
      </c>
      <c r="G950" s="240"/>
      <c r="H950" s="239">
        <v>7</v>
      </c>
      <c r="I950" s="242">
        <v>15.3</v>
      </c>
      <c r="K950" s="10"/>
      <c r="L950" s="11"/>
    </row>
    <row r="951" spans="1:12">
      <c r="A951" s="238">
        <v>322581</v>
      </c>
      <c r="B951" s="239" t="s">
        <v>50</v>
      </c>
      <c r="C951" s="240">
        <v>4</v>
      </c>
      <c r="D951" s="241" t="s">
        <v>1038</v>
      </c>
      <c r="E951" s="241" t="s">
        <v>1030</v>
      </c>
      <c r="F951" s="240">
        <v>7.3000000000000007</v>
      </c>
      <c r="G951" s="240"/>
      <c r="H951" s="239">
        <v>7</v>
      </c>
      <c r="I951" s="242">
        <v>15.3</v>
      </c>
      <c r="K951" s="10"/>
      <c r="L951" s="11"/>
    </row>
    <row r="952" spans="1:12">
      <c r="A952" s="238">
        <v>330922</v>
      </c>
      <c r="B952" s="239" t="s">
        <v>49</v>
      </c>
      <c r="C952" s="240">
        <v>4</v>
      </c>
      <c r="D952" s="241" t="s">
        <v>1038</v>
      </c>
      <c r="E952" s="241" t="s">
        <v>1030</v>
      </c>
      <c r="F952" s="240">
        <v>7.3000000000000007</v>
      </c>
      <c r="G952" s="240"/>
      <c r="H952" s="239">
        <v>7</v>
      </c>
      <c r="I952" s="242">
        <v>15.3</v>
      </c>
      <c r="K952" s="10"/>
      <c r="L952" s="11"/>
    </row>
    <row r="953" spans="1:12">
      <c r="A953" s="238">
        <v>322617</v>
      </c>
      <c r="B953" s="239" t="s">
        <v>48</v>
      </c>
      <c r="C953" s="240">
        <v>4</v>
      </c>
      <c r="D953" s="241" t="s">
        <v>1038</v>
      </c>
      <c r="E953" s="241" t="s">
        <v>1030</v>
      </c>
      <c r="F953" s="240">
        <v>7.3000000000000007</v>
      </c>
      <c r="G953" s="240"/>
      <c r="H953" s="239">
        <v>7</v>
      </c>
      <c r="I953" s="242">
        <v>15.3</v>
      </c>
      <c r="K953" s="10"/>
      <c r="L953" s="11"/>
    </row>
    <row r="954" spans="1:12">
      <c r="A954" s="238">
        <v>335770</v>
      </c>
      <c r="B954" s="239" t="s">
        <v>506</v>
      </c>
      <c r="C954" s="240">
        <v>4</v>
      </c>
      <c r="D954" s="241" t="s">
        <v>1038</v>
      </c>
      <c r="E954" s="241" t="s">
        <v>1030</v>
      </c>
      <c r="F954" s="240">
        <v>7.3000000000000007</v>
      </c>
      <c r="G954" s="240"/>
      <c r="H954" s="239">
        <f>F954</f>
        <v>7.3000000000000007</v>
      </c>
      <c r="I954" s="242">
        <v>15.3</v>
      </c>
      <c r="K954" s="10"/>
      <c r="L954" s="11"/>
    </row>
    <row r="955" spans="1:12">
      <c r="A955" s="238">
        <v>322626</v>
      </c>
      <c r="B955" s="239" t="s">
        <v>47</v>
      </c>
      <c r="C955" s="240">
        <v>4</v>
      </c>
      <c r="D955" s="241" t="s">
        <v>1038</v>
      </c>
      <c r="E955" s="241" t="s">
        <v>1030</v>
      </c>
      <c r="F955" s="240">
        <v>7.3000000000000007</v>
      </c>
      <c r="G955" s="240"/>
      <c r="H955" s="239">
        <v>7</v>
      </c>
      <c r="I955" s="242">
        <v>15.3</v>
      </c>
      <c r="K955" s="10"/>
      <c r="L955" s="12"/>
    </row>
    <row r="956" spans="1:12">
      <c r="A956" s="238">
        <v>545429</v>
      </c>
      <c r="B956" s="239" t="s">
        <v>980</v>
      </c>
      <c r="C956" s="240">
        <v>4</v>
      </c>
      <c r="D956" s="241" t="s">
        <v>1038</v>
      </c>
      <c r="E956" s="241" t="s">
        <v>1030</v>
      </c>
      <c r="F956" s="240">
        <v>7.3000000000000007</v>
      </c>
      <c r="G956" s="240"/>
      <c r="H956" s="239">
        <f>F956</f>
        <v>7.3000000000000007</v>
      </c>
      <c r="I956" s="242">
        <v>15.3</v>
      </c>
      <c r="K956" s="10"/>
      <c r="L956" s="11"/>
    </row>
    <row r="957" spans="1:12">
      <c r="A957" s="238">
        <v>322552</v>
      </c>
      <c r="B957" s="239" t="s">
        <v>46</v>
      </c>
      <c r="C957" s="240">
        <v>4</v>
      </c>
      <c r="D957" s="241" t="s">
        <v>1038</v>
      </c>
      <c r="E957" s="241" t="s">
        <v>1030</v>
      </c>
      <c r="F957" s="240">
        <v>7.3000000000000007</v>
      </c>
      <c r="G957" s="240"/>
      <c r="H957" s="239">
        <v>7</v>
      </c>
      <c r="I957" s="242">
        <v>15.3</v>
      </c>
      <c r="K957" s="10"/>
      <c r="L957" s="11"/>
    </row>
    <row r="958" spans="1:12">
      <c r="A958" s="238">
        <v>329665</v>
      </c>
      <c r="B958" s="239" t="s">
        <v>267</v>
      </c>
      <c r="C958" s="240">
        <v>4</v>
      </c>
      <c r="D958" s="241" t="s">
        <v>1038</v>
      </c>
      <c r="E958" s="241" t="s">
        <v>1030</v>
      </c>
      <c r="F958" s="240">
        <v>8.3000000000000007</v>
      </c>
      <c r="G958" s="240"/>
      <c r="H958" s="239">
        <f>F958</f>
        <v>8.3000000000000007</v>
      </c>
      <c r="I958" s="242">
        <v>15.3</v>
      </c>
      <c r="K958" s="10"/>
      <c r="L958" s="11"/>
    </row>
    <row r="959" spans="1:12">
      <c r="A959" s="238">
        <v>322557</v>
      </c>
      <c r="B959" s="239" t="s">
        <v>1127</v>
      </c>
      <c r="C959" s="240">
        <v>4</v>
      </c>
      <c r="D959" s="241" t="s">
        <v>1038</v>
      </c>
      <c r="E959" s="241" t="s">
        <v>1030</v>
      </c>
      <c r="F959" s="240">
        <v>10.3</v>
      </c>
      <c r="G959" s="240"/>
      <c r="H959" s="239">
        <v>7.2</v>
      </c>
      <c r="I959" s="242">
        <v>12</v>
      </c>
      <c r="K959" s="10"/>
      <c r="L959" s="11"/>
    </row>
    <row r="960" spans="1:12">
      <c r="A960" s="238">
        <v>439887</v>
      </c>
      <c r="B960" s="239" t="s">
        <v>602</v>
      </c>
      <c r="C960" s="240">
        <v>4</v>
      </c>
      <c r="D960" s="241" t="s">
        <v>1038</v>
      </c>
      <c r="E960" s="241" t="s">
        <v>1030</v>
      </c>
      <c r="F960" s="240">
        <v>8.3000000000000007</v>
      </c>
      <c r="G960" s="240"/>
      <c r="H960" s="239">
        <v>7</v>
      </c>
      <c r="I960" s="242">
        <v>15.3</v>
      </c>
      <c r="K960" s="10"/>
      <c r="L960" s="11"/>
    </row>
    <row r="961" spans="1:12">
      <c r="A961" s="238">
        <v>322568</v>
      </c>
      <c r="B961" s="239" t="s">
        <v>45</v>
      </c>
      <c r="C961" s="240">
        <v>4</v>
      </c>
      <c r="D961" s="241" t="s">
        <v>1038</v>
      </c>
      <c r="E961" s="241" t="s">
        <v>1030</v>
      </c>
      <c r="F961" s="240">
        <v>7.3000000000000007</v>
      </c>
      <c r="G961" s="240"/>
      <c r="H961" s="239">
        <v>7</v>
      </c>
      <c r="I961" s="242">
        <v>15.3</v>
      </c>
      <c r="K961" s="10"/>
      <c r="L961" s="11"/>
    </row>
    <row r="962" spans="1:12">
      <c r="A962" s="238">
        <v>432636</v>
      </c>
      <c r="B962" s="239" t="s">
        <v>595</v>
      </c>
      <c r="C962" s="240">
        <v>4</v>
      </c>
      <c r="D962" s="241" t="s">
        <v>1038</v>
      </c>
      <c r="E962" s="241" t="s">
        <v>1030</v>
      </c>
      <c r="F962" s="240">
        <v>7.3000000000000007</v>
      </c>
      <c r="G962" s="240"/>
      <c r="H962" s="239">
        <v>7.2</v>
      </c>
      <c r="I962" s="242">
        <v>15.3</v>
      </c>
      <c r="K962" s="10"/>
      <c r="L962" s="11"/>
    </row>
    <row r="963" spans="1:12">
      <c r="A963" s="238">
        <v>432569</v>
      </c>
      <c r="B963" s="239" t="s">
        <v>594</v>
      </c>
      <c r="C963" s="240">
        <v>4</v>
      </c>
      <c r="D963" s="241" t="s">
        <v>1038</v>
      </c>
      <c r="E963" s="241" t="s">
        <v>1030</v>
      </c>
      <c r="F963" s="240">
        <v>8.3000000000000007</v>
      </c>
      <c r="G963" s="240"/>
      <c r="H963" s="239">
        <v>49</v>
      </c>
      <c r="I963" s="242">
        <v>15.3</v>
      </c>
      <c r="K963" s="10"/>
      <c r="L963" s="11"/>
    </row>
    <row r="964" spans="1:12">
      <c r="A964" s="238">
        <v>322570</v>
      </c>
      <c r="B964" s="239" t="s">
        <v>44</v>
      </c>
      <c r="C964" s="240">
        <v>4</v>
      </c>
      <c r="D964" s="241" t="s">
        <v>1038</v>
      </c>
      <c r="E964" s="241" t="s">
        <v>1030</v>
      </c>
      <c r="F964" s="240">
        <v>8.3000000000000007</v>
      </c>
      <c r="G964" s="240"/>
      <c r="H964" s="239">
        <v>56.9</v>
      </c>
      <c r="I964" s="242">
        <v>15.3</v>
      </c>
      <c r="K964" s="10"/>
      <c r="L964" s="11"/>
    </row>
    <row r="965" spans="1:12">
      <c r="A965" s="238">
        <v>333702</v>
      </c>
      <c r="B965" s="239" t="s">
        <v>43</v>
      </c>
      <c r="C965" s="240">
        <v>2</v>
      </c>
      <c r="D965" s="241" t="s">
        <v>1038</v>
      </c>
      <c r="E965" s="241" t="s">
        <v>1030</v>
      </c>
      <c r="F965" s="240">
        <v>16.2</v>
      </c>
      <c r="G965" s="240"/>
      <c r="H965" s="239">
        <v>16.2</v>
      </c>
      <c r="I965" s="242">
        <v>35</v>
      </c>
      <c r="K965" s="10"/>
      <c r="L965" s="11"/>
    </row>
    <row r="966" spans="1:12">
      <c r="A966" s="238">
        <v>333690</v>
      </c>
      <c r="B966" s="239" t="s">
        <v>42</v>
      </c>
      <c r="C966" s="240">
        <v>2</v>
      </c>
      <c r="D966" s="241" t="s">
        <v>1038</v>
      </c>
      <c r="E966" s="241" t="s">
        <v>1030</v>
      </c>
      <c r="F966" s="240">
        <v>16.2</v>
      </c>
      <c r="G966" s="240"/>
      <c r="H966" s="239">
        <v>16.2</v>
      </c>
      <c r="I966" s="242">
        <v>35</v>
      </c>
      <c r="K966" s="10"/>
      <c r="L966" s="11"/>
    </row>
    <row r="967" spans="1:12">
      <c r="A967" s="238">
        <v>333703</v>
      </c>
      <c r="B967" s="239" t="s">
        <v>497</v>
      </c>
      <c r="C967" s="240">
        <v>2</v>
      </c>
      <c r="D967" s="241" t="s">
        <v>1038</v>
      </c>
      <c r="E967" s="241" t="s">
        <v>1030</v>
      </c>
      <c r="F967" s="240">
        <v>16.2</v>
      </c>
      <c r="G967" s="240"/>
      <c r="H967" s="239">
        <f>F967</f>
        <v>16.2</v>
      </c>
      <c r="I967" s="242">
        <v>35</v>
      </c>
      <c r="K967" s="10"/>
      <c r="L967" s="11"/>
    </row>
    <row r="968" spans="1:12">
      <c r="A968" s="238">
        <v>542692</v>
      </c>
      <c r="B968" s="239" t="s">
        <v>973</v>
      </c>
      <c r="C968" s="240">
        <v>2</v>
      </c>
      <c r="D968" s="241" t="s">
        <v>1039</v>
      </c>
      <c r="E968" s="241" t="s">
        <v>1331</v>
      </c>
      <c r="F968" s="240">
        <v>29.5</v>
      </c>
      <c r="G968" s="240"/>
      <c r="H968" s="239">
        <v>30.72</v>
      </c>
      <c r="I968" s="242">
        <v>23</v>
      </c>
      <c r="K968" s="10"/>
      <c r="L968" s="11"/>
    </row>
    <row r="969" spans="1:12">
      <c r="A969" s="238">
        <v>552986</v>
      </c>
      <c r="B969" s="239" t="s">
        <v>991</v>
      </c>
      <c r="C969" s="240">
        <v>2</v>
      </c>
      <c r="D969" s="241" t="s">
        <v>1039</v>
      </c>
      <c r="E969" s="241" t="s">
        <v>1331</v>
      </c>
      <c r="F969" s="240">
        <v>29.5</v>
      </c>
      <c r="G969" s="240"/>
      <c r="H969" s="246">
        <f>F969*1.3</f>
        <v>38.35</v>
      </c>
      <c r="I969" s="242">
        <v>23</v>
      </c>
      <c r="K969" s="10"/>
      <c r="L969" s="11"/>
    </row>
    <row r="970" spans="1:12">
      <c r="A970" s="238">
        <v>474380</v>
      </c>
      <c r="B970" s="239" t="s">
        <v>1128</v>
      </c>
      <c r="C970" s="240">
        <v>2</v>
      </c>
      <c r="D970" s="241" t="s">
        <v>1039</v>
      </c>
      <c r="E970" s="241" t="s">
        <v>295</v>
      </c>
      <c r="F970" s="240">
        <v>30</v>
      </c>
      <c r="G970" s="240"/>
      <c r="H970" s="239">
        <f>F970</f>
        <v>30</v>
      </c>
      <c r="I970" s="242">
        <v>23</v>
      </c>
      <c r="K970" s="10"/>
      <c r="L970" s="11"/>
    </row>
    <row r="971" spans="1:12">
      <c r="A971" s="238">
        <v>454227</v>
      </c>
      <c r="B971" s="239" t="s">
        <v>852</v>
      </c>
      <c r="C971" s="240">
        <v>2</v>
      </c>
      <c r="D971" s="241" t="s">
        <v>1039</v>
      </c>
      <c r="E971" s="241" t="s">
        <v>1331</v>
      </c>
      <c r="F971" s="240">
        <v>29.5</v>
      </c>
      <c r="G971" s="240"/>
      <c r="H971" s="246">
        <f>F971*1.3</f>
        <v>38.35</v>
      </c>
      <c r="I971" s="242">
        <v>23</v>
      </c>
      <c r="K971" s="10"/>
      <c r="L971" s="11"/>
    </row>
    <row r="972" spans="1:12">
      <c r="A972" s="238">
        <v>605461</v>
      </c>
      <c r="B972" s="239" t="s">
        <v>1201</v>
      </c>
      <c r="C972" s="240">
        <v>2</v>
      </c>
      <c r="D972" s="241" t="s">
        <v>1039</v>
      </c>
      <c r="E972" s="241" t="s">
        <v>295</v>
      </c>
      <c r="F972" s="240">
        <v>29.5</v>
      </c>
      <c r="G972" s="240"/>
      <c r="H972" s="246">
        <f>F972*1.3</f>
        <v>38.35</v>
      </c>
      <c r="I972" s="242">
        <v>23</v>
      </c>
      <c r="K972" s="10"/>
      <c r="L972" s="11"/>
    </row>
    <row r="973" spans="1:12">
      <c r="A973" s="238">
        <v>576247</v>
      </c>
      <c r="B973" s="239" t="s">
        <v>1018</v>
      </c>
      <c r="C973" s="240">
        <v>2</v>
      </c>
      <c r="D973" s="241" t="s">
        <v>1039</v>
      </c>
      <c r="E973" s="241" t="s">
        <v>295</v>
      </c>
      <c r="F973" s="240">
        <v>50</v>
      </c>
      <c r="G973" s="240"/>
      <c r="H973" s="239">
        <v>40</v>
      </c>
      <c r="I973" s="242">
        <v>25</v>
      </c>
      <c r="K973" s="10"/>
      <c r="L973" s="11"/>
    </row>
    <row r="974" spans="1:12">
      <c r="A974" s="238">
        <v>453930</v>
      </c>
      <c r="B974" s="239" t="s">
        <v>778</v>
      </c>
      <c r="C974" s="240">
        <v>2</v>
      </c>
      <c r="D974" s="241" t="s">
        <v>1039</v>
      </c>
      <c r="E974" s="241" t="s">
        <v>1331</v>
      </c>
      <c r="F974" s="240">
        <v>39.5</v>
      </c>
      <c r="G974" s="240"/>
      <c r="H974" s="239">
        <v>56.9</v>
      </c>
      <c r="I974" s="242">
        <v>21.2</v>
      </c>
      <c r="K974" s="10"/>
      <c r="L974" s="11"/>
    </row>
    <row r="975" spans="1:12">
      <c r="A975" s="238">
        <v>453931</v>
      </c>
      <c r="B975" s="239" t="s">
        <v>779</v>
      </c>
      <c r="C975" s="240">
        <v>2</v>
      </c>
      <c r="D975" s="241" t="s">
        <v>1039</v>
      </c>
      <c r="E975" s="241" t="s">
        <v>1331</v>
      </c>
      <c r="F975" s="240">
        <v>39.5</v>
      </c>
      <c r="G975" s="240"/>
      <c r="H975" s="239">
        <v>59.4</v>
      </c>
      <c r="I975" s="242">
        <v>21.2</v>
      </c>
      <c r="K975" s="10"/>
      <c r="L975" s="11"/>
    </row>
    <row r="976" spans="1:12">
      <c r="A976" s="238">
        <v>453932</v>
      </c>
      <c r="B976" s="239" t="s">
        <v>780</v>
      </c>
      <c r="C976" s="240">
        <v>2</v>
      </c>
      <c r="D976" s="241" t="s">
        <v>1039</v>
      </c>
      <c r="E976" s="241" t="s">
        <v>1331</v>
      </c>
      <c r="F976" s="240">
        <v>39.5</v>
      </c>
      <c r="G976" s="240"/>
      <c r="H976" s="239">
        <v>56.9</v>
      </c>
      <c r="I976" s="242">
        <v>22.3</v>
      </c>
      <c r="K976" s="10"/>
      <c r="L976" s="11"/>
    </row>
    <row r="977" spans="1:12">
      <c r="A977" s="238">
        <v>453933</v>
      </c>
      <c r="B977" s="239" t="s">
        <v>781</v>
      </c>
      <c r="C977" s="240">
        <v>2</v>
      </c>
      <c r="D977" s="241" t="s">
        <v>1039</v>
      </c>
      <c r="E977" s="241" t="s">
        <v>1331</v>
      </c>
      <c r="F977" s="240">
        <v>39.5</v>
      </c>
      <c r="G977" s="240"/>
      <c r="H977" s="239">
        <v>59</v>
      </c>
      <c r="I977" s="242">
        <v>21.2</v>
      </c>
      <c r="K977" s="10"/>
      <c r="L977" s="11"/>
    </row>
    <row r="978" spans="1:12">
      <c r="A978" s="238">
        <v>580564</v>
      </c>
      <c r="B978" s="239" t="s">
        <v>1055</v>
      </c>
      <c r="C978" s="240">
        <v>2</v>
      </c>
      <c r="D978" s="241" t="s">
        <v>1039</v>
      </c>
      <c r="E978" s="241" t="s">
        <v>292</v>
      </c>
      <c r="F978" s="240">
        <v>62.7</v>
      </c>
      <c r="G978" s="240"/>
      <c r="H978" s="239">
        <v>89</v>
      </c>
      <c r="I978" s="242">
        <v>26</v>
      </c>
      <c r="K978" s="10"/>
      <c r="L978" s="11"/>
    </row>
    <row r="979" spans="1:12">
      <c r="A979" s="245">
        <v>587447</v>
      </c>
      <c r="B979" s="239" t="s">
        <v>1125</v>
      </c>
      <c r="C979" s="240">
        <v>1</v>
      </c>
      <c r="D979" s="241" t="s">
        <v>1039</v>
      </c>
      <c r="E979" s="241" t="s">
        <v>292</v>
      </c>
      <c r="F979" s="240">
        <v>130</v>
      </c>
      <c r="G979" s="240"/>
      <c r="H979" s="239">
        <v>148.69999999999999</v>
      </c>
      <c r="I979" s="242">
        <v>38</v>
      </c>
      <c r="K979" s="10"/>
      <c r="L979" s="11"/>
    </row>
    <row r="980" spans="1:12">
      <c r="A980" s="245">
        <v>618578</v>
      </c>
      <c r="B980" s="239" t="s">
        <v>1265</v>
      </c>
      <c r="C980" s="240">
        <v>1</v>
      </c>
      <c r="D980" s="241" t="s">
        <v>1039</v>
      </c>
      <c r="E980" s="241" t="s">
        <v>292</v>
      </c>
      <c r="F980" s="240">
        <v>130</v>
      </c>
      <c r="G980" s="240"/>
      <c r="H980" s="239">
        <v>148.69999999999999</v>
      </c>
      <c r="I980" s="242">
        <v>38</v>
      </c>
      <c r="K980" s="10"/>
      <c r="L980" s="11"/>
    </row>
    <row r="981" spans="1:12">
      <c r="A981" s="245">
        <v>618580</v>
      </c>
      <c r="B981" s="239" t="s">
        <v>1239</v>
      </c>
      <c r="C981" s="240">
        <v>1</v>
      </c>
      <c r="D981" s="241" t="s">
        <v>1039</v>
      </c>
      <c r="E981" s="241" t="s">
        <v>292</v>
      </c>
      <c r="F981" s="240">
        <v>130</v>
      </c>
      <c r="G981" s="240"/>
      <c r="H981" s="239">
        <v>148.69999999999999</v>
      </c>
      <c r="I981" s="242">
        <v>38</v>
      </c>
      <c r="K981" s="10"/>
      <c r="L981" s="11"/>
    </row>
    <row r="982" spans="1:12">
      <c r="A982" s="245">
        <v>617187</v>
      </c>
      <c r="B982" s="239" t="s">
        <v>1277</v>
      </c>
      <c r="C982" s="240">
        <v>1</v>
      </c>
      <c r="D982" s="241" t="s">
        <v>1039</v>
      </c>
      <c r="E982" s="241" t="s">
        <v>292</v>
      </c>
      <c r="F982" s="240">
        <v>122</v>
      </c>
      <c r="G982" s="240"/>
      <c r="H982" s="239">
        <v>180</v>
      </c>
      <c r="I982" s="242">
        <v>34</v>
      </c>
      <c r="K982" s="10"/>
      <c r="L982" s="11"/>
    </row>
    <row r="983" spans="1:12">
      <c r="A983" s="245">
        <v>573943</v>
      </c>
      <c r="B983" s="239" t="s">
        <v>1014</v>
      </c>
      <c r="C983" s="240">
        <v>1</v>
      </c>
      <c r="D983" s="241" t="s">
        <v>1039</v>
      </c>
      <c r="E983" s="241" t="s">
        <v>292</v>
      </c>
      <c r="F983" s="240">
        <v>122</v>
      </c>
      <c r="G983" s="240"/>
      <c r="H983" s="239">
        <v>180</v>
      </c>
      <c r="I983" s="242">
        <v>34</v>
      </c>
      <c r="K983" s="10"/>
      <c r="L983" s="12"/>
    </row>
    <row r="984" spans="1:12">
      <c r="A984" s="245">
        <v>617187</v>
      </c>
      <c r="B984" s="239" t="s">
        <v>1266</v>
      </c>
      <c r="C984" s="240">
        <v>1</v>
      </c>
      <c r="D984" s="241" t="s">
        <v>1039</v>
      </c>
      <c r="E984" s="241" t="s">
        <v>292</v>
      </c>
      <c r="F984" s="240">
        <v>122</v>
      </c>
      <c r="G984" s="240"/>
      <c r="H984" s="239">
        <v>180</v>
      </c>
      <c r="I984" s="242">
        <v>34</v>
      </c>
      <c r="K984" s="10"/>
      <c r="L984" s="12"/>
    </row>
    <row r="985" spans="1:12">
      <c r="A985" s="245">
        <v>580580</v>
      </c>
      <c r="B985" s="239" t="s">
        <v>1034</v>
      </c>
      <c r="C985" s="240">
        <v>1</v>
      </c>
      <c r="D985" s="241" t="s">
        <v>1039</v>
      </c>
      <c r="E985" s="241" t="s">
        <v>292</v>
      </c>
      <c r="F985" s="240">
        <v>103</v>
      </c>
      <c r="G985" s="240"/>
      <c r="H985" s="239">
        <v>139.80000000000001</v>
      </c>
      <c r="I985" s="242">
        <v>33</v>
      </c>
      <c r="K985" s="10"/>
      <c r="L985" s="11"/>
    </row>
    <row r="986" spans="1:12">
      <c r="A986" s="245">
        <v>593730</v>
      </c>
      <c r="B986" s="239" t="s">
        <v>1155</v>
      </c>
      <c r="C986" s="240">
        <v>1</v>
      </c>
      <c r="D986" s="241" t="s">
        <v>1039</v>
      </c>
      <c r="E986" s="241" t="s">
        <v>292</v>
      </c>
      <c r="F986" s="240">
        <v>103</v>
      </c>
      <c r="G986" s="240"/>
      <c r="H986" s="239"/>
      <c r="I986" s="242">
        <v>33</v>
      </c>
      <c r="K986" s="10"/>
      <c r="L986" s="11"/>
    </row>
    <row r="987" spans="1:12">
      <c r="A987" s="245">
        <v>578476</v>
      </c>
      <c r="B987" s="239" t="s">
        <v>1025</v>
      </c>
      <c r="C987" s="240">
        <v>4</v>
      </c>
      <c r="D987" s="241" t="s">
        <v>1039</v>
      </c>
      <c r="E987" s="241" t="s">
        <v>295</v>
      </c>
      <c r="F987" s="240">
        <v>30</v>
      </c>
      <c r="G987" s="240"/>
      <c r="H987" s="239"/>
      <c r="I987" s="242">
        <v>30</v>
      </c>
      <c r="K987" s="10"/>
      <c r="L987" s="11"/>
    </row>
    <row r="988" spans="1:12">
      <c r="A988" s="249">
        <v>609313</v>
      </c>
      <c r="B988" s="239" t="s">
        <v>1147</v>
      </c>
      <c r="C988" s="240">
        <v>4</v>
      </c>
      <c r="D988" s="241" t="s">
        <v>1037</v>
      </c>
      <c r="E988" s="241" t="s">
        <v>287</v>
      </c>
      <c r="F988" s="240">
        <v>35</v>
      </c>
      <c r="G988" s="240"/>
      <c r="H988" s="239">
        <v>35</v>
      </c>
      <c r="I988" s="242">
        <v>36</v>
      </c>
      <c r="K988" s="10"/>
      <c r="L988" s="11"/>
    </row>
    <row r="989" spans="1:12">
      <c r="A989" s="249">
        <v>609314</v>
      </c>
      <c r="B989" s="239" t="s">
        <v>1151</v>
      </c>
      <c r="C989" s="240">
        <v>4</v>
      </c>
      <c r="D989" s="241" t="s">
        <v>1037</v>
      </c>
      <c r="E989" s="241" t="s">
        <v>287</v>
      </c>
      <c r="F989" s="240">
        <v>35</v>
      </c>
      <c r="G989" s="240"/>
      <c r="H989" s="239">
        <v>35</v>
      </c>
      <c r="I989" s="242">
        <v>9</v>
      </c>
      <c r="K989" s="10"/>
      <c r="L989" s="11"/>
    </row>
    <row r="990" spans="1:12">
      <c r="A990" s="249">
        <v>591265</v>
      </c>
      <c r="B990" s="239" t="s">
        <v>1150</v>
      </c>
      <c r="C990" s="240">
        <v>1</v>
      </c>
      <c r="D990" s="241" t="s">
        <v>1037</v>
      </c>
      <c r="E990" s="241" t="s">
        <v>287</v>
      </c>
      <c r="F990" s="240">
        <v>24</v>
      </c>
      <c r="G990" s="240"/>
      <c r="H990" s="239">
        <v>24</v>
      </c>
      <c r="I990" s="242">
        <v>9</v>
      </c>
      <c r="K990" s="10"/>
      <c r="L990" s="11"/>
    </row>
    <row r="991" spans="1:12">
      <c r="A991" s="238">
        <v>591266</v>
      </c>
      <c r="B991" s="239" t="s">
        <v>1154</v>
      </c>
      <c r="C991" s="240">
        <v>1</v>
      </c>
      <c r="D991" s="241" t="s">
        <v>1037</v>
      </c>
      <c r="E991" s="241" t="s">
        <v>287</v>
      </c>
      <c r="F991" s="240">
        <v>24</v>
      </c>
      <c r="G991" s="240"/>
      <c r="H991" s="239">
        <v>24</v>
      </c>
      <c r="I991" s="242">
        <v>9</v>
      </c>
      <c r="K991" s="10"/>
      <c r="L991" s="12"/>
    </row>
    <row r="992" spans="1:12">
      <c r="A992" s="245">
        <v>532981</v>
      </c>
      <c r="B992" s="239" t="s">
        <v>969</v>
      </c>
      <c r="C992" s="240">
        <v>4</v>
      </c>
      <c r="D992" s="241" t="s">
        <v>1037</v>
      </c>
      <c r="E992" s="241" t="s">
        <v>287</v>
      </c>
      <c r="F992" s="240">
        <v>24</v>
      </c>
      <c r="G992" s="240"/>
      <c r="H992" s="239">
        <v>24.45</v>
      </c>
      <c r="I992" s="242">
        <v>20</v>
      </c>
      <c r="K992" s="10"/>
      <c r="L992" s="11"/>
    </row>
    <row r="993" spans="1:12">
      <c r="A993" s="250">
        <v>591265</v>
      </c>
      <c r="B993" s="239" t="s">
        <v>1150</v>
      </c>
      <c r="C993" s="240">
        <v>1</v>
      </c>
      <c r="D993" s="241" t="s">
        <v>1037</v>
      </c>
      <c r="E993" s="241" t="s">
        <v>287</v>
      </c>
      <c r="F993" s="240">
        <v>24</v>
      </c>
      <c r="G993" s="240"/>
      <c r="H993" s="239">
        <v>24.45</v>
      </c>
      <c r="I993" s="242">
        <v>9</v>
      </c>
      <c r="K993" s="10"/>
      <c r="L993" s="11"/>
    </row>
    <row r="994" spans="1:12">
      <c r="A994" s="245">
        <v>555879</v>
      </c>
      <c r="B994" s="239" t="s">
        <v>1162</v>
      </c>
      <c r="C994" s="240">
        <v>1</v>
      </c>
      <c r="D994" s="241" t="s">
        <v>1037</v>
      </c>
      <c r="E994" s="241" t="s">
        <v>287</v>
      </c>
      <c r="F994" s="240">
        <v>24</v>
      </c>
      <c r="G994" s="240"/>
      <c r="H994" s="239">
        <v>24.45</v>
      </c>
      <c r="I994" s="242">
        <v>9</v>
      </c>
      <c r="K994" s="10"/>
      <c r="L994" s="11"/>
    </row>
    <row r="995" spans="1:12">
      <c r="A995" s="245">
        <v>591269</v>
      </c>
      <c r="B995" s="239" t="s">
        <v>1161</v>
      </c>
      <c r="C995" s="240">
        <v>1</v>
      </c>
      <c r="D995" s="241" t="s">
        <v>1037</v>
      </c>
      <c r="E995" s="241" t="s">
        <v>287</v>
      </c>
      <c r="F995" s="240">
        <v>24</v>
      </c>
      <c r="G995" s="240"/>
      <c r="H995" s="239">
        <v>24.45</v>
      </c>
      <c r="I995" s="242">
        <v>9</v>
      </c>
      <c r="K995" s="10"/>
      <c r="L995" s="11"/>
    </row>
    <row r="996" spans="1:12">
      <c r="A996" s="245">
        <v>591268</v>
      </c>
      <c r="B996" s="239" t="s">
        <v>1158</v>
      </c>
      <c r="C996" s="240">
        <v>1</v>
      </c>
      <c r="D996" s="241" t="s">
        <v>1037</v>
      </c>
      <c r="E996" s="241" t="s">
        <v>287</v>
      </c>
      <c r="F996" s="240">
        <v>24</v>
      </c>
      <c r="G996" s="240"/>
      <c r="H996" s="239">
        <v>24</v>
      </c>
      <c r="I996" s="242">
        <v>9</v>
      </c>
      <c r="K996" s="10"/>
      <c r="L996" s="11"/>
    </row>
    <row r="997" spans="1:12">
      <c r="A997" s="245">
        <v>666148</v>
      </c>
      <c r="B997" s="239" t="s">
        <v>1368</v>
      </c>
      <c r="C997" s="240">
        <v>1</v>
      </c>
      <c r="D997" s="241" t="s">
        <v>1037</v>
      </c>
      <c r="E997" s="241" t="s">
        <v>287</v>
      </c>
      <c r="F997" s="240">
        <v>24</v>
      </c>
      <c r="G997" s="240"/>
      <c r="H997" s="239">
        <v>24</v>
      </c>
      <c r="I997" s="242">
        <v>9</v>
      </c>
      <c r="K997" s="10"/>
      <c r="L997" s="11"/>
    </row>
    <row r="998" spans="1:12">
      <c r="A998" s="245">
        <v>591266</v>
      </c>
      <c r="B998" s="239" t="s">
        <v>1157</v>
      </c>
      <c r="C998" s="240">
        <v>1</v>
      </c>
      <c r="D998" s="241" t="s">
        <v>1037</v>
      </c>
      <c r="E998" s="241" t="s">
        <v>287</v>
      </c>
      <c r="F998" s="240">
        <v>24</v>
      </c>
      <c r="G998" s="240"/>
      <c r="H998" s="239">
        <f>F998</f>
        <v>24</v>
      </c>
      <c r="I998" s="242">
        <v>9</v>
      </c>
      <c r="K998" s="10"/>
      <c r="L998" s="11"/>
    </row>
    <row r="999" spans="1:12">
      <c r="A999" s="238">
        <v>579471</v>
      </c>
      <c r="B999" s="239" t="s">
        <v>336</v>
      </c>
      <c r="C999" s="240">
        <v>4</v>
      </c>
      <c r="D999" s="241" t="s">
        <v>1037</v>
      </c>
      <c r="E999" s="241" t="s">
        <v>287</v>
      </c>
      <c r="F999" s="240">
        <v>24</v>
      </c>
      <c r="G999" s="240"/>
      <c r="H999" s="239">
        <v>24</v>
      </c>
      <c r="I999" s="242">
        <v>23</v>
      </c>
      <c r="K999" s="10"/>
      <c r="L999" s="11"/>
    </row>
    <row r="1000" spans="1:12">
      <c r="A1000" s="238">
        <v>531331</v>
      </c>
      <c r="B1000" s="240" t="s">
        <v>963</v>
      </c>
      <c r="C1000" s="240">
        <v>4</v>
      </c>
      <c r="D1000" s="241" t="s">
        <v>1037</v>
      </c>
      <c r="E1000" s="241" t="s">
        <v>287</v>
      </c>
      <c r="F1000" s="240">
        <v>24</v>
      </c>
      <c r="G1000" s="240"/>
      <c r="H1000" s="239">
        <v>24</v>
      </c>
      <c r="I1000" s="242">
        <v>22.08</v>
      </c>
      <c r="K1000" s="10"/>
      <c r="L1000" s="12"/>
    </row>
    <row r="1001" spans="1:12">
      <c r="A1001" s="238">
        <v>325299</v>
      </c>
      <c r="B1001" s="239" t="s">
        <v>485</v>
      </c>
      <c r="C1001" s="240">
        <v>4</v>
      </c>
      <c r="D1001" s="241" t="s">
        <v>1037</v>
      </c>
      <c r="E1001" s="241" t="s">
        <v>287</v>
      </c>
      <c r="F1001" s="240">
        <v>24</v>
      </c>
      <c r="G1001" s="240"/>
      <c r="H1001" s="239">
        <v>24</v>
      </c>
      <c r="I1001" s="242">
        <v>21.34</v>
      </c>
      <c r="K1001" s="10"/>
      <c r="L1001" s="11"/>
    </row>
    <row r="1002" spans="1:12">
      <c r="A1002" s="238">
        <v>322409</v>
      </c>
      <c r="B1002" s="239" t="s">
        <v>361</v>
      </c>
      <c r="C1002" s="240">
        <v>4</v>
      </c>
      <c r="D1002" s="241" t="s">
        <v>1037</v>
      </c>
      <c r="E1002" s="241" t="s">
        <v>287</v>
      </c>
      <c r="F1002" s="240">
        <v>24</v>
      </c>
      <c r="G1002" s="240"/>
      <c r="H1002" s="239">
        <v>24</v>
      </c>
      <c r="I1002" s="242">
        <v>20</v>
      </c>
      <c r="K1002" s="10"/>
      <c r="L1002" s="12"/>
    </row>
    <row r="1003" spans="1:12">
      <c r="A1003" s="238">
        <v>616191</v>
      </c>
      <c r="B1003" s="239" t="s">
        <v>1253</v>
      </c>
      <c r="C1003" s="240">
        <v>4</v>
      </c>
      <c r="D1003" s="241" t="s">
        <v>1037</v>
      </c>
      <c r="E1003" s="241" t="s">
        <v>287</v>
      </c>
      <c r="F1003" s="240">
        <v>24</v>
      </c>
      <c r="G1003" s="240"/>
      <c r="H1003" s="239">
        <v>24</v>
      </c>
      <c r="I1003" s="242">
        <v>9</v>
      </c>
      <c r="K1003" s="10"/>
      <c r="L1003" s="12"/>
    </row>
    <row r="1004" spans="1:12">
      <c r="A1004" s="251">
        <v>623876</v>
      </c>
      <c r="B1004" s="239" t="s">
        <v>1271</v>
      </c>
      <c r="C1004" s="240">
        <v>1</v>
      </c>
      <c r="D1004" s="241" t="s">
        <v>1037</v>
      </c>
      <c r="E1004" s="241" t="s">
        <v>287</v>
      </c>
      <c r="F1004" s="240">
        <v>24</v>
      </c>
      <c r="G1004" s="240"/>
      <c r="H1004" s="239">
        <v>24</v>
      </c>
      <c r="I1004" s="242">
        <v>9</v>
      </c>
      <c r="K1004" s="10"/>
      <c r="L1004" s="12"/>
    </row>
    <row r="1005" spans="1:12">
      <c r="A1005" s="251">
        <v>623880</v>
      </c>
      <c r="B1005" s="239" t="s">
        <v>1272</v>
      </c>
      <c r="C1005" s="240">
        <v>1</v>
      </c>
      <c r="D1005" s="241" t="s">
        <v>1037</v>
      </c>
      <c r="E1005" s="241" t="s">
        <v>287</v>
      </c>
      <c r="F1005" s="240">
        <v>24</v>
      </c>
      <c r="G1005" s="240"/>
      <c r="H1005" s="239">
        <v>24</v>
      </c>
      <c r="I1005" s="242">
        <v>9</v>
      </c>
      <c r="K1005" s="10"/>
      <c r="L1005" s="12"/>
    </row>
    <row r="1006" spans="1:12">
      <c r="A1006" s="251">
        <v>623882</v>
      </c>
      <c r="B1006" s="239" t="s">
        <v>1273</v>
      </c>
      <c r="C1006" s="240">
        <v>1</v>
      </c>
      <c r="D1006" s="241" t="s">
        <v>1037</v>
      </c>
      <c r="E1006" s="241" t="s">
        <v>287</v>
      </c>
      <c r="F1006" s="240">
        <v>24</v>
      </c>
      <c r="G1006" s="240"/>
      <c r="H1006" s="239">
        <v>24</v>
      </c>
      <c r="I1006" s="242">
        <v>9</v>
      </c>
      <c r="K1006" s="10"/>
      <c r="L1006" s="12"/>
    </row>
    <row r="1007" spans="1:12">
      <c r="A1007" s="245">
        <v>322412</v>
      </c>
      <c r="B1007" s="239" t="s">
        <v>41</v>
      </c>
      <c r="C1007" s="240">
        <v>4</v>
      </c>
      <c r="D1007" s="241" t="s">
        <v>1037</v>
      </c>
      <c r="E1007" s="241" t="s">
        <v>287</v>
      </c>
      <c r="F1007" s="240">
        <v>24</v>
      </c>
      <c r="G1007" s="240"/>
      <c r="H1007" s="239">
        <v>24.3</v>
      </c>
      <c r="I1007" s="242">
        <v>20</v>
      </c>
      <c r="K1007" s="10"/>
      <c r="L1007" s="12"/>
    </row>
    <row r="1008" spans="1:12">
      <c r="A1008" s="245">
        <v>330920</v>
      </c>
      <c r="B1008" s="239" t="s">
        <v>1132</v>
      </c>
      <c r="C1008" s="240">
        <v>1</v>
      </c>
      <c r="D1008" s="241" t="s">
        <v>1037</v>
      </c>
      <c r="E1008" s="241" t="s">
        <v>287</v>
      </c>
      <c r="F1008" s="240">
        <v>24</v>
      </c>
      <c r="G1008" s="240"/>
      <c r="H1008" s="239">
        <v>24</v>
      </c>
      <c r="I1008" s="242">
        <v>36</v>
      </c>
      <c r="K1008" s="10"/>
      <c r="L1008" s="12"/>
    </row>
    <row r="1009" spans="1:12">
      <c r="A1009" s="245">
        <v>591270</v>
      </c>
      <c r="B1009" s="239" t="s">
        <v>1168</v>
      </c>
      <c r="C1009" s="240">
        <v>1</v>
      </c>
      <c r="D1009" s="241" t="s">
        <v>1037</v>
      </c>
      <c r="E1009" s="241" t="s">
        <v>287</v>
      </c>
      <c r="F1009" s="240">
        <v>24</v>
      </c>
      <c r="G1009" s="240"/>
      <c r="H1009" s="239">
        <f>F1009</f>
        <v>24</v>
      </c>
      <c r="I1009" s="242">
        <v>9</v>
      </c>
      <c r="K1009" s="10"/>
      <c r="L1009" s="12"/>
    </row>
    <row r="1010" spans="1:12">
      <c r="A1010" s="245">
        <v>666148</v>
      </c>
      <c r="B1010" s="239" t="s">
        <v>1370</v>
      </c>
      <c r="C1010" s="240">
        <v>1</v>
      </c>
      <c r="D1010" s="241" t="s">
        <v>1037</v>
      </c>
      <c r="E1010" s="241" t="s">
        <v>287</v>
      </c>
      <c r="F1010" s="240">
        <v>24</v>
      </c>
      <c r="G1010" s="240"/>
      <c r="H1010" s="239">
        <f>F1010</f>
        <v>24</v>
      </c>
      <c r="I1010" s="242">
        <v>9</v>
      </c>
      <c r="K1010" s="10"/>
      <c r="L1010" s="12"/>
    </row>
    <row r="1011" spans="1:12">
      <c r="A1011" s="238">
        <v>322411</v>
      </c>
      <c r="B1011" s="239" t="s">
        <v>40</v>
      </c>
      <c r="C1011" s="240">
        <v>4</v>
      </c>
      <c r="D1011" s="241" t="s">
        <v>1037</v>
      </c>
      <c r="E1011" s="241" t="s">
        <v>287</v>
      </c>
      <c r="F1011" s="240">
        <v>24</v>
      </c>
      <c r="G1011" s="240"/>
      <c r="H1011" s="239">
        <f>F1011</f>
        <v>24</v>
      </c>
      <c r="I1011" s="242">
        <v>20.12</v>
      </c>
      <c r="K1011" s="10"/>
      <c r="L1011" s="12"/>
    </row>
    <row r="1012" spans="1:12">
      <c r="A1012" s="238">
        <v>324169</v>
      </c>
      <c r="B1012" s="239" t="s">
        <v>466</v>
      </c>
      <c r="C1012" s="240">
        <v>4</v>
      </c>
      <c r="D1012" s="241" t="s">
        <v>1037</v>
      </c>
      <c r="E1012" s="241" t="s">
        <v>287</v>
      </c>
      <c r="F1012" s="240">
        <v>26.900000000000002</v>
      </c>
      <c r="G1012" s="240"/>
      <c r="H1012" s="239">
        <v>24.8</v>
      </c>
      <c r="I1012" s="242">
        <v>20.12</v>
      </c>
      <c r="K1012" s="10"/>
      <c r="L1012" s="12"/>
    </row>
    <row r="1013" spans="1:12">
      <c r="A1013" s="238">
        <v>322417</v>
      </c>
      <c r="B1013" s="239" t="s">
        <v>365</v>
      </c>
      <c r="C1013" s="240">
        <v>4</v>
      </c>
      <c r="D1013" s="241" t="s">
        <v>1037</v>
      </c>
      <c r="E1013" s="241" t="s">
        <v>287</v>
      </c>
      <c r="F1013" s="240">
        <v>26.9</v>
      </c>
      <c r="G1013" s="240"/>
      <c r="H1013" s="239">
        <v>24.8</v>
      </c>
      <c r="I1013" s="242">
        <v>20.12</v>
      </c>
      <c r="K1013" s="10"/>
      <c r="L1013" s="12"/>
    </row>
    <row r="1014" spans="1:12">
      <c r="A1014" s="238">
        <v>322416</v>
      </c>
      <c r="B1014" s="239" t="s">
        <v>39</v>
      </c>
      <c r="C1014" s="240">
        <v>4</v>
      </c>
      <c r="D1014" s="241" t="s">
        <v>1037</v>
      </c>
      <c r="E1014" s="241" t="s">
        <v>287</v>
      </c>
      <c r="F1014" s="240">
        <v>24</v>
      </c>
      <c r="G1014" s="240"/>
      <c r="H1014" s="239">
        <f>F1014</f>
        <v>24</v>
      </c>
      <c r="I1014" s="242">
        <v>22</v>
      </c>
      <c r="K1014" s="10"/>
      <c r="L1014" s="11"/>
    </row>
    <row r="1015" spans="1:12">
      <c r="A1015" s="238">
        <v>322419</v>
      </c>
      <c r="B1015" s="239" t="s">
        <v>38</v>
      </c>
      <c r="C1015" s="240">
        <v>4</v>
      </c>
      <c r="D1015" s="241" t="s">
        <v>1037</v>
      </c>
      <c r="E1015" s="241" t="s">
        <v>287</v>
      </c>
      <c r="F1015" s="240">
        <v>24.8</v>
      </c>
      <c r="G1015" s="240"/>
      <c r="H1015" s="239">
        <v>24.18</v>
      </c>
      <c r="I1015" s="242">
        <v>18.2</v>
      </c>
      <c r="K1015" s="10"/>
      <c r="L1015" s="11"/>
    </row>
    <row r="1016" spans="1:12">
      <c r="A1016" s="238">
        <v>567312</v>
      </c>
      <c r="B1016" s="239" t="s">
        <v>1234</v>
      </c>
      <c r="C1016" s="240">
        <v>4</v>
      </c>
      <c r="D1016" s="241" t="s">
        <v>1037</v>
      </c>
      <c r="E1016" s="241" t="s">
        <v>287</v>
      </c>
      <c r="F1016" s="240">
        <v>24.8</v>
      </c>
      <c r="G1016" s="240"/>
      <c r="H1016" s="239">
        <v>24.18</v>
      </c>
      <c r="I1016" s="242">
        <v>9</v>
      </c>
      <c r="K1016" s="10"/>
      <c r="L1016" s="11"/>
    </row>
    <row r="1017" spans="1:12">
      <c r="A1017" s="238">
        <v>616595</v>
      </c>
      <c r="B1017" s="239" t="s">
        <v>1232</v>
      </c>
      <c r="C1017" s="240">
        <v>4</v>
      </c>
      <c r="D1017" s="241" t="s">
        <v>1037</v>
      </c>
      <c r="E1017" s="241" t="s">
        <v>287</v>
      </c>
      <c r="F1017" s="240">
        <v>24.8</v>
      </c>
      <c r="G1017" s="240"/>
      <c r="H1017" s="239">
        <v>24.18</v>
      </c>
      <c r="I1017" s="242">
        <v>18.2</v>
      </c>
      <c r="K1017" s="10"/>
      <c r="L1017" s="11"/>
    </row>
    <row r="1018" spans="1:12">
      <c r="A1018" s="245">
        <v>611060</v>
      </c>
      <c r="B1018" s="239" t="s">
        <v>1294</v>
      </c>
      <c r="C1018" s="240">
        <v>4</v>
      </c>
      <c r="D1018" s="241" t="s">
        <v>1037</v>
      </c>
      <c r="E1018" s="241" t="s">
        <v>287</v>
      </c>
      <c r="F1018" s="240">
        <v>34</v>
      </c>
      <c r="G1018" s="240"/>
      <c r="H1018" s="239">
        <v>34</v>
      </c>
      <c r="I1018" s="242">
        <v>22</v>
      </c>
      <c r="K1018" s="10"/>
      <c r="L1018" s="11"/>
    </row>
    <row r="1019" spans="1:12">
      <c r="A1019" s="252">
        <v>322420</v>
      </c>
      <c r="B1019" s="239" t="s">
        <v>1308</v>
      </c>
      <c r="C1019" s="240">
        <v>4</v>
      </c>
      <c r="D1019" s="241" t="s">
        <v>1037</v>
      </c>
      <c r="E1019" s="241" t="s">
        <v>287</v>
      </c>
      <c r="F1019" s="240">
        <v>34</v>
      </c>
      <c r="G1019" s="240"/>
      <c r="H1019" s="239">
        <v>34</v>
      </c>
      <c r="I1019" s="242">
        <v>22</v>
      </c>
      <c r="K1019" s="10"/>
      <c r="L1019" s="11"/>
    </row>
    <row r="1020" spans="1:12">
      <c r="A1020" s="238">
        <v>324174</v>
      </c>
      <c r="B1020" s="239" t="s">
        <v>37</v>
      </c>
      <c r="C1020" s="240">
        <v>4</v>
      </c>
      <c r="D1020" s="241" t="s">
        <v>1037</v>
      </c>
      <c r="E1020" s="241" t="s">
        <v>287</v>
      </c>
      <c r="F1020" s="240">
        <v>24</v>
      </c>
      <c r="G1020" s="240"/>
      <c r="H1020" s="239">
        <v>24</v>
      </c>
      <c r="I1020" s="242">
        <v>20.12</v>
      </c>
      <c r="K1020" s="10"/>
      <c r="L1020" s="11"/>
    </row>
    <row r="1021" spans="1:12">
      <c r="A1021" s="238">
        <v>326794</v>
      </c>
      <c r="B1021" s="239" t="s">
        <v>240</v>
      </c>
      <c r="C1021" s="240">
        <v>4</v>
      </c>
      <c r="D1021" s="241" t="s">
        <v>1037</v>
      </c>
      <c r="E1021" s="241" t="s">
        <v>287</v>
      </c>
      <c r="F1021" s="240">
        <v>34.5</v>
      </c>
      <c r="G1021" s="240"/>
      <c r="H1021" s="239">
        <v>33</v>
      </c>
      <c r="I1021" s="242">
        <v>21.68</v>
      </c>
      <c r="K1021" s="10"/>
      <c r="L1021" s="12"/>
    </row>
    <row r="1022" spans="1:12">
      <c r="A1022" s="238">
        <v>619726</v>
      </c>
      <c r="B1022" s="239" t="s">
        <v>1293</v>
      </c>
      <c r="C1022" s="240">
        <v>8</v>
      </c>
      <c r="D1022" s="241" t="s">
        <v>1038</v>
      </c>
      <c r="E1022" s="241" t="s">
        <v>296</v>
      </c>
      <c r="F1022" s="240">
        <v>4</v>
      </c>
      <c r="G1022" s="240"/>
      <c r="H1022" s="239">
        <v>4</v>
      </c>
      <c r="I1022" s="242">
        <v>20</v>
      </c>
      <c r="K1022" s="10"/>
      <c r="L1022" s="12"/>
    </row>
    <row r="1023" spans="1:12">
      <c r="A1023" s="238">
        <v>361597</v>
      </c>
      <c r="B1023" s="239" t="s">
        <v>529</v>
      </c>
      <c r="C1023" s="240">
        <v>4</v>
      </c>
      <c r="D1023" s="241" t="s">
        <v>1037</v>
      </c>
      <c r="E1023" s="241" t="s">
        <v>287</v>
      </c>
      <c r="F1023" s="240">
        <v>34</v>
      </c>
      <c r="G1023" s="240"/>
      <c r="H1023" s="239">
        <v>33</v>
      </c>
      <c r="I1023" s="242">
        <v>21.68</v>
      </c>
      <c r="K1023" s="10"/>
      <c r="L1023" s="11"/>
    </row>
    <row r="1024" spans="1:12">
      <c r="A1024" s="238">
        <v>522196</v>
      </c>
      <c r="B1024" s="239" t="s">
        <v>954</v>
      </c>
      <c r="C1024" s="240">
        <v>4</v>
      </c>
      <c r="D1024" s="241" t="s">
        <v>1037</v>
      </c>
      <c r="E1024" s="241" t="s">
        <v>287</v>
      </c>
      <c r="F1024" s="240">
        <v>34</v>
      </c>
      <c r="G1024" s="240"/>
      <c r="H1024" s="239">
        <v>24</v>
      </c>
      <c r="I1024" s="242">
        <v>21.68</v>
      </c>
      <c r="K1024" s="10"/>
      <c r="L1024" s="11"/>
    </row>
    <row r="1025" spans="1:12">
      <c r="A1025" s="238">
        <v>322422</v>
      </c>
      <c r="B1025" s="239" t="s">
        <v>367</v>
      </c>
      <c r="C1025" s="240">
        <v>4</v>
      </c>
      <c r="D1025" s="241" t="s">
        <v>1037</v>
      </c>
      <c r="E1025" s="241" t="s">
        <v>287</v>
      </c>
      <c r="F1025" s="240">
        <v>34</v>
      </c>
      <c r="G1025" s="240"/>
      <c r="H1025" s="239">
        <v>34</v>
      </c>
      <c r="I1025" s="242">
        <v>21.68</v>
      </c>
      <c r="K1025" s="10"/>
      <c r="L1025" s="11"/>
    </row>
    <row r="1026" spans="1:12">
      <c r="A1026" s="238">
        <v>555586</v>
      </c>
      <c r="B1026" s="239" t="s">
        <v>998</v>
      </c>
      <c r="C1026" s="240">
        <v>4</v>
      </c>
      <c r="D1026" s="241" t="s">
        <v>1037</v>
      </c>
      <c r="E1026" s="241" t="s">
        <v>287</v>
      </c>
      <c r="F1026" s="240">
        <v>24</v>
      </c>
      <c r="G1026" s="240"/>
      <c r="H1026" s="239">
        <v>24.3</v>
      </c>
      <c r="I1026" s="242">
        <v>21.68</v>
      </c>
      <c r="K1026" s="10"/>
      <c r="L1026" s="11"/>
    </row>
    <row r="1027" spans="1:12">
      <c r="A1027" s="238">
        <v>322424</v>
      </c>
      <c r="B1027" s="239" t="s">
        <v>36</v>
      </c>
      <c r="C1027" s="240">
        <v>4</v>
      </c>
      <c r="D1027" s="241" t="s">
        <v>1037</v>
      </c>
      <c r="E1027" s="241" t="s">
        <v>287</v>
      </c>
      <c r="F1027" s="240">
        <v>34.5</v>
      </c>
      <c r="G1027" s="240"/>
      <c r="H1027" s="239">
        <f>F1027</f>
        <v>34.5</v>
      </c>
      <c r="I1027" s="242">
        <v>18</v>
      </c>
      <c r="K1027" s="10"/>
      <c r="L1027" s="12"/>
    </row>
    <row r="1028" spans="1:12">
      <c r="A1028" s="238">
        <v>359999</v>
      </c>
      <c r="B1028" s="239" t="s">
        <v>35</v>
      </c>
      <c r="C1028" s="240">
        <v>4</v>
      </c>
      <c r="D1028" s="241" t="s">
        <v>1037</v>
      </c>
      <c r="E1028" s="241" t="s">
        <v>287</v>
      </c>
      <c r="F1028" s="240">
        <v>24.3</v>
      </c>
      <c r="G1028" s="240"/>
      <c r="H1028" s="239">
        <v>24</v>
      </c>
      <c r="I1028" s="242">
        <v>22</v>
      </c>
      <c r="K1028" s="10"/>
      <c r="L1028" s="11"/>
    </row>
    <row r="1029" spans="1:12">
      <c r="A1029" s="238">
        <v>322425</v>
      </c>
      <c r="B1029" s="239" t="s">
        <v>368</v>
      </c>
      <c r="C1029" s="240">
        <v>4</v>
      </c>
      <c r="D1029" s="241" t="s">
        <v>1037</v>
      </c>
      <c r="E1029" s="241" t="s">
        <v>287</v>
      </c>
      <c r="F1029" s="240">
        <v>24.5</v>
      </c>
      <c r="G1029" s="240"/>
      <c r="H1029" s="239">
        <v>24.87</v>
      </c>
      <c r="I1029" s="242">
        <v>16.96</v>
      </c>
      <c r="K1029" s="10"/>
      <c r="L1029" s="11"/>
    </row>
    <row r="1030" spans="1:12">
      <c r="A1030" s="238">
        <v>385514</v>
      </c>
      <c r="B1030" s="239" t="s">
        <v>275</v>
      </c>
      <c r="C1030" s="240">
        <v>4</v>
      </c>
      <c r="D1030" s="241" t="s">
        <v>1037</v>
      </c>
      <c r="E1030" s="241" t="s">
        <v>287</v>
      </c>
      <c r="F1030" s="240">
        <v>24</v>
      </c>
      <c r="G1030" s="240"/>
      <c r="H1030" s="239">
        <f>F1030</f>
        <v>24</v>
      </c>
      <c r="I1030" s="242">
        <v>17</v>
      </c>
      <c r="K1030" s="10"/>
      <c r="L1030" s="11"/>
    </row>
    <row r="1031" spans="1:12">
      <c r="A1031" s="238">
        <v>322430</v>
      </c>
      <c r="B1031" s="239" t="s">
        <v>369</v>
      </c>
      <c r="C1031" s="240">
        <v>4</v>
      </c>
      <c r="D1031" s="241" t="s">
        <v>1037</v>
      </c>
      <c r="E1031" s="241" t="s">
        <v>287</v>
      </c>
      <c r="F1031" s="240">
        <v>34.5</v>
      </c>
      <c r="G1031" s="240"/>
      <c r="H1031" s="239">
        <v>34.299999999999997</v>
      </c>
      <c r="I1031" s="242">
        <v>20</v>
      </c>
      <c r="K1031" s="10"/>
      <c r="L1031" s="12"/>
    </row>
    <row r="1032" spans="1:12">
      <c r="A1032" s="238">
        <v>322429</v>
      </c>
      <c r="B1032" s="239" t="s">
        <v>34</v>
      </c>
      <c r="C1032" s="240">
        <v>4</v>
      </c>
      <c r="D1032" s="241" t="s">
        <v>1037</v>
      </c>
      <c r="E1032" s="241" t="s">
        <v>287</v>
      </c>
      <c r="F1032" s="240">
        <v>24</v>
      </c>
      <c r="G1032" s="240"/>
      <c r="H1032" s="239">
        <v>24.93</v>
      </c>
      <c r="I1032" s="242">
        <v>16.96</v>
      </c>
      <c r="K1032" s="10"/>
      <c r="L1032" s="12"/>
    </row>
    <row r="1033" spans="1:12">
      <c r="A1033" s="238">
        <v>661980</v>
      </c>
      <c r="B1033" s="239" t="s">
        <v>1326</v>
      </c>
      <c r="C1033" s="240">
        <v>4</v>
      </c>
      <c r="D1033" s="241" t="s">
        <v>1037</v>
      </c>
      <c r="E1033" s="241" t="s">
        <v>287</v>
      </c>
      <c r="F1033" s="240">
        <v>24.9</v>
      </c>
      <c r="G1033" s="240"/>
      <c r="H1033" s="240">
        <v>24.9</v>
      </c>
      <c r="I1033" s="242">
        <v>22</v>
      </c>
      <c r="K1033" s="10"/>
      <c r="L1033" s="11"/>
    </row>
    <row r="1034" spans="1:12">
      <c r="A1034" s="238">
        <v>322431</v>
      </c>
      <c r="B1034" s="239" t="s">
        <v>33</v>
      </c>
      <c r="C1034" s="240">
        <v>4</v>
      </c>
      <c r="D1034" s="241" t="s">
        <v>1037</v>
      </c>
      <c r="E1034" s="241" t="s">
        <v>287</v>
      </c>
      <c r="F1034" s="240">
        <v>24.9</v>
      </c>
      <c r="G1034" s="240"/>
      <c r="H1034" s="239">
        <v>24.9</v>
      </c>
      <c r="I1034" s="242">
        <v>20</v>
      </c>
      <c r="K1034" s="10"/>
      <c r="L1034" s="12"/>
    </row>
    <row r="1035" spans="1:12">
      <c r="A1035" s="247">
        <v>597509</v>
      </c>
      <c r="B1035" s="239" t="s">
        <v>1171</v>
      </c>
      <c r="C1035" s="240">
        <v>4</v>
      </c>
      <c r="D1035" s="241" t="s">
        <v>1037</v>
      </c>
      <c r="E1035" s="241" t="s">
        <v>287</v>
      </c>
      <c r="F1035" s="240">
        <v>24.9</v>
      </c>
      <c r="G1035" s="240"/>
      <c r="H1035" s="239">
        <v>24.9</v>
      </c>
      <c r="I1035" s="242">
        <v>20</v>
      </c>
      <c r="K1035" s="10"/>
      <c r="L1035" s="12"/>
    </row>
    <row r="1036" spans="1:12">
      <c r="A1036" s="247">
        <v>597510</v>
      </c>
      <c r="B1036" s="239" t="s">
        <v>1172</v>
      </c>
      <c r="C1036" s="240">
        <v>4</v>
      </c>
      <c r="D1036" s="241" t="s">
        <v>1037</v>
      </c>
      <c r="E1036" s="241" t="s">
        <v>287</v>
      </c>
      <c r="F1036" s="240">
        <v>24.9</v>
      </c>
      <c r="G1036" s="240"/>
      <c r="H1036" s="239">
        <v>24.9</v>
      </c>
      <c r="I1036" s="242">
        <v>9</v>
      </c>
      <c r="K1036" s="10"/>
      <c r="L1036" s="12"/>
    </row>
    <row r="1037" spans="1:12">
      <c r="A1037" s="247">
        <v>650112</v>
      </c>
      <c r="B1037" s="239" t="s">
        <v>1300</v>
      </c>
      <c r="C1037" s="240">
        <v>1</v>
      </c>
      <c r="D1037" s="241" t="s">
        <v>1037</v>
      </c>
      <c r="E1037" s="241" t="s">
        <v>287</v>
      </c>
      <c r="F1037" s="240">
        <v>24.9</v>
      </c>
      <c r="G1037" s="240"/>
      <c r="H1037" s="239">
        <v>24.9</v>
      </c>
      <c r="I1037" s="242">
        <v>9</v>
      </c>
      <c r="K1037" s="10"/>
      <c r="L1037" s="12"/>
    </row>
    <row r="1038" spans="1:12">
      <c r="A1038" s="238">
        <v>322433</v>
      </c>
      <c r="B1038" s="239" t="s">
        <v>32</v>
      </c>
      <c r="C1038" s="240">
        <v>1</v>
      </c>
      <c r="D1038" s="241" t="s">
        <v>1037</v>
      </c>
      <c r="E1038" s="241" t="s">
        <v>287</v>
      </c>
      <c r="F1038" s="240">
        <v>34.5</v>
      </c>
      <c r="G1038" s="240"/>
      <c r="H1038" s="239">
        <v>34</v>
      </c>
      <c r="I1038" s="242">
        <v>15.64</v>
      </c>
      <c r="K1038" s="10"/>
      <c r="L1038" s="11"/>
    </row>
    <row r="1039" spans="1:12">
      <c r="A1039" s="238">
        <v>322432</v>
      </c>
      <c r="B1039" s="239" t="s">
        <v>31</v>
      </c>
      <c r="C1039" s="240">
        <v>4</v>
      </c>
      <c r="D1039" s="241" t="s">
        <v>1037</v>
      </c>
      <c r="E1039" s="241" t="s">
        <v>287</v>
      </c>
      <c r="F1039" s="240">
        <v>34.5</v>
      </c>
      <c r="G1039" s="240"/>
      <c r="H1039" s="239">
        <v>32.97</v>
      </c>
      <c r="I1039" s="242">
        <v>16.079999999999998</v>
      </c>
      <c r="K1039" s="10"/>
      <c r="L1039" s="11"/>
    </row>
    <row r="1040" spans="1:12">
      <c r="A1040" s="238">
        <v>602720</v>
      </c>
      <c r="B1040" s="239" t="s">
        <v>1202</v>
      </c>
      <c r="C1040" s="240">
        <v>4</v>
      </c>
      <c r="D1040" s="241" t="s">
        <v>1037</v>
      </c>
      <c r="E1040" s="241" t="s">
        <v>287</v>
      </c>
      <c r="F1040" s="240">
        <v>34.5</v>
      </c>
      <c r="G1040" s="240"/>
      <c r="H1040" s="239">
        <v>32.97</v>
      </c>
      <c r="I1040" s="242">
        <v>16.079999999999998</v>
      </c>
      <c r="K1040" s="10"/>
      <c r="L1040" s="11"/>
    </row>
    <row r="1041" spans="1:12">
      <c r="A1041" s="238">
        <v>414241</v>
      </c>
      <c r="B1041" s="239" t="s">
        <v>571</v>
      </c>
      <c r="C1041" s="240">
        <v>4</v>
      </c>
      <c r="D1041" s="241" t="s">
        <v>1037</v>
      </c>
      <c r="E1041" s="241" t="s">
        <v>287</v>
      </c>
      <c r="F1041" s="240">
        <v>34.5</v>
      </c>
      <c r="G1041" s="240"/>
      <c r="H1041" s="239">
        <v>34</v>
      </c>
      <c r="I1041" s="242">
        <v>22.4</v>
      </c>
      <c r="K1041" s="10"/>
      <c r="L1041" s="11"/>
    </row>
    <row r="1042" spans="1:12">
      <c r="A1042" s="238">
        <v>324145</v>
      </c>
      <c r="B1042" s="239" t="s">
        <v>30</v>
      </c>
      <c r="C1042" s="240">
        <v>4</v>
      </c>
      <c r="D1042" s="241" t="s">
        <v>1037</v>
      </c>
      <c r="E1042" s="241" t="s">
        <v>287</v>
      </c>
      <c r="F1042" s="240">
        <v>34.5</v>
      </c>
      <c r="G1042" s="240"/>
      <c r="H1042" s="239">
        <v>33.68</v>
      </c>
      <c r="I1042" s="242">
        <v>16.079999999999998</v>
      </c>
      <c r="K1042" s="10"/>
      <c r="L1042" s="11"/>
    </row>
    <row r="1043" spans="1:12">
      <c r="A1043" s="238">
        <v>324177</v>
      </c>
      <c r="B1043" s="239" t="s">
        <v>29</v>
      </c>
      <c r="C1043" s="240">
        <v>4</v>
      </c>
      <c r="D1043" s="241" t="s">
        <v>1037</v>
      </c>
      <c r="E1043" s="241" t="s">
        <v>287</v>
      </c>
      <c r="F1043" s="240">
        <v>34.5</v>
      </c>
      <c r="G1043" s="240"/>
      <c r="H1043" s="239">
        <v>34.5</v>
      </c>
      <c r="I1043" s="242">
        <v>22</v>
      </c>
      <c r="K1043" s="10"/>
      <c r="L1043" s="11"/>
    </row>
    <row r="1044" spans="1:12">
      <c r="A1044" s="238">
        <v>525036</v>
      </c>
      <c r="B1044" s="239" t="s">
        <v>958</v>
      </c>
      <c r="C1044" s="240">
        <v>4</v>
      </c>
      <c r="D1044" s="241" t="s">
        <v>1037</v>
      </c>
      <c r="E1044" s="241" t="s">
        <v>287</v>
      </c>
      <c r="F1044" s="240">
        <v>35.5</v>
      </c>
      <c r="G1044" s="240"/>
      <c r="H1044" s="239">
        <f>F1044</f>
        <v>35.5</v>
      </c>
      <c r="I1044" s="242">
        <v>9</v>
      </c>
      <c r="K1044" s="10"/>
      <c r="L1044" s="11"/>
    </row>
    <row r="1045" spans="1:12">
      <c r="A1045" s="238">
        <v>505282</v>
      </c>
      <c r="B1045" s="239" t="s">
        <v>1139</v>
      </c>
      <c r="C1045" s="240">
        <v>1</v>
      </c>
      <c r="D1045" s="241" t="s">
        <v>1037</v>
      </c>
      <c r="E1045" s="241" t="s">
        <v>287</v>
      </c>
      <c r="F1045" s="240">
        <v>34.5</v>
      </c>
      <c r="G1045" s="240"/>
      <c r="H1045" s="239">
        <f t="shared" ref="H1045:H1054" si="10">F1045</f>
        <v>34.5</v>
      </c>
      <c r="I1045" s="242">
        <v>36</v>
      </c>
      <c r="K1045" s="10"/>
      <c r="L1045" s="11"/>
    </row>
    <row r="1046" spans="1:12">
      <c r="A1046" s="251">
        <v>623885</v>
      </c>
      <c r="B1046" s="239" t="s">
        <v>1274</v>
      </c>
      <c r="C1046" s="240">
        <v>1</v>
      </c>
      <c r="D1046" s="241" t="s">
        <v>1037</v>
      </c>
      <c r="E1046" s="241" t="s">
        <v>287</v>
      </c>
      <c r="F1046" s="240">
        <v>34.5</v>
      </c>
      <c r="G1046" s="240"/>
      <c r="H1046" s="239">
        <f t="shared" si="10"/>
        <v>34.5</v>
      </c>
      <c r="I1046" s="242">
        <v>36</v>
      </c>
      <c r="K1046" s="10"/>
      <c r="L1046" s="11"/>
    </row>
    <row r="1047" spans="1:12">
      <c r="A1047" s="251">
        <v>623886</v>
      </c>
      <c r="B1047" s="239" t="s">
        <v>1275</v>
      </c>
      <c r="C1047" s="240">
        <v>1</v>
      </c>
      <c r="D1047" s="241" t="s">
        <v>1037</v>
      </c>
      <c r="E1047" s="241" t="s">
        <v>287</v>
      </c>
      <c r="F1047" s="240">
        <v>34.5</v>
      </c>
      <c r="G1047" s="240"/>
      <c r="H1047" s="239">
        <f t="shared" si="10"/>
        <v>34.5</v>
      </c>
      <c r="I1047" s="242">
        <v>36</v>
      </c>
      <c r="K1047" s="10"/>
      <c r="L1047" s="11"/>
    </row>
    <row r="1048" spans="1:12">
      <c r="A1048" s="251">
        <v>623887</v>
      </c>
      <c r="B1048" s="239" t="s">
        <v>1276</v>
      </c>
      <c r="C1048" s="240">
        <v>1</v>
      </c>
      <c r="D1048" s="241" t="s">
        <v>1037</v>
      </c>
      <c r="E1048" s="241" t="s">
        <v>287</v>
      </c>
      <c r="F1048" s="240">
        <v>34.5</v>
      </c>
      <c r="G1048" s="240"/>
      <c r="H1048" s="239">
        <f t="shared" si="10"/>
        <v>34.5</v>
      </c>
      <c r="I1048" s="242">
        <v>9</v>
      </c>
      <c r="K1048" s="10"/>
      <c r="L1048" s="11"/>
    </row>
    <row r="1049" spans="1:12">
      <c r="A1049" s="238">
        <v>468170</v>
      </c>
      <c r="B1049" s="239" t="s">
        <v>1140</v>
      </c>
      <c r="C1049" s="240">
        <v>1</v>
      </c>
      <c r="D1049" s="241" t="s">
        <v>1037</v>
      </c>
      <c r="E1049" s="241" t="s">
        <v>287</v>
      </c>
      <c r="F1049" s="240">
        <v>34.5</v>
      </c>
      <c r="G1049" s="240"/>
      <c r="H1049" s="239">
        <f t="shared" si="10"/>
        <v>34.5</v>
      </c>
      <c r="I1049" s="242">
        <v>36</v>
      </c>
      <c r="K1049" s="10"/>
      <c r="L1049" s="11"/>
    </row>
    <row r="1050" spans="1:12">
      <c r="A1050" s="238">
        <v>322435</v>
      </c>
      <c r="B1050" s="239" t="s">
        <v>28</v>
      </c>
      <c r="C1050" s="240">
        <v>4</v>
      </c>
      <c r="D1050" s="241" t="s">
        <v>1037</v>
      </c>
      <c r="E1050" s="241" t="s">
        <v>287</v>
      </c>
      <c r="F1050" s="240">
        <v>34.5</v>
      </c>
      <c r="G1050" s="240"/>
      <c r="H1050" s="239">
        <f>F1050</f>
        <v>34.5</v>
      </c>
      <c r="I1050" s="242">
        <v>22</v>
      </c>
      <c r="K1050" s="10"/>
      <c r="L1050" s="11"/>
    </row>
    <row r="1051" spans="1:12">
      <c r="A1051" s="238">
        <v>590337</v>
      </c>
      <c r="B1051" s="239" t="s">
        <v>1144</v>
      </c>
      <c r="C1051" s="240">
        <v>4</v>
      </c>
      <c r="D1051" s="241" t="s">
        <v>1037</v>
      </c>
      <c r="E1051" s="241" t="s">
        <v>287</v>
      </c>
      <c r="F1051" s="240">
        <v>32.82</v>
      </c>
      <c r="G1051" s="240"/>
      <c r="H1051" s="239">
        <f t="shared" si="10"/>
        <v>32.82</v>
      </c>
      <c r="I1051" s="242">
        <v>20</v>
      </c>
      <c r="K1051" s="10"/>
      <c r="L1051" s="11"/>
    </row>
    <row r="1052" spans="1:12">
      <c r="A1052" s="238">
        <v>322436</v>
      </c>
      <c r="B1052" s="239" t="s">
        <v>27</v>
      </c>
      <c r="C1052" s="240">
        <v>4</v>
      </c>
      <c r="D1052" s="241" t="s">
        <v>1037</v>
      </c>
      <c r="E1052" s="241" t="s">
        <v>287</v>
      </c>
      <c r="F1052" s="240">
        <v>33.659999999999997</v>
      </c>
      <c r="G1052" s="240"/>
      <c r="H1052" s="239">
        <f t="shared" si="10"/>
        <v>33.659999999999997</v>
      </c>
      <c r="I1052" s="242">
        <v>20</v>
      </c>
      <c r="K1052" s="10"/>
      <c r="L1052" s="11"/>
    </row>
    <row r="1053" spans="1:12">
      <c r="A1053" s="238">
        <v>322441</v>
      </c>
      <c r="B1053" s="239" t="s">
        <v>372</v>
      </c>
      <c r="C1053" s="240">
        <v>4</v>
      </c>
      <c r="D1053" s="241" t="s">
        <v>1037</v>
      </c>
      <c r="E1053" s="241" t="s">
        <v>287</v>
      </c>
      <c r="F1053" s="240">
        <v>34.5</v>
      </c>
      <c r="G1053" s="240"/>
      <c r="H1053" s="239">
        <f t="shared" si="10"/>
        <v>34.5</v>
      </c>
      <c r="I1053" s="242">
        <v>16.88</v>
      </c>
      <c r="K1053" s="10"/>
      <c r="L1053" s="11"/>
    </row>
    <row r="1054" spans="1:12">
      <c r="A1054" s="238">
        <v>331207</v>
      </c>
      <c r="B1054" s="239" t="s">
        <v>493</v>
      </c>
      <c r="C1054" s="240">
        <v>4</v>
      </c>
      <c r="D1054" s="241" t="s">
        <v>1037</v>
      </c>
      <c r="E1054" s="241" t="s">
        <v>287</v>
      </c>
      <c r="F1054" s="240">
        <v>34.5</v>
      </c>
      <c r="G1054" s="240"/>
      <c r="H1054" s="239">
        <f t="shared" si="10"/>
        <v>34.5</v>
      </c>
      <c r="I1054" s="242">
        <v>16</v>
      </c>
      <c r="K1054" s="10"/>
      <c r="L1054" s="11"/>
    </row>
    <row r="1055" spans="1:12">
      <c r="A1055" s="238">
        <v>324166</v>
      </c>
      <c r="B1055" s="239" t="s">
        <v>241</v>
      </c>
      <c r="C1055" s="240">
        <v>4</v>
      </c>
      <c r="D1055" s="241" t="s">
        <v>1037</v>
      </c>
      <c r="E1055" s="241" t="s">
        <v>287</v>
      </c>
      <c r="F1055" s="240">
        <v>34.5</v>
      </c>
      <c r="G1055" s="240"/>
      <c r="H1055" s="239">
        <v>33.26</v>
      </c>
      <c r="I1055" s="242">
        <v>17.440000000000001</v>
      </c>
      <c r="K1055" s="10"/>
      <c r="L1055" s="11"/>
    </row>
    <row r="1056" spans="1:12">
      <c r="A1056" s="238">
        <v>322442</v>
      </c>
      <c r="B1056" s="239" t="s">
        <v>26</v>
      </c>
      <c r="C1056" s="240">
        <v>4</v>
      </c>
      <c r="D1056" s="241" t="s">
        <v>1037</v>
      </c>
      <c r="E1056" s="241" t="s">
        <v>287</v>
      </c>
      <c r="F1056" s="240">
        <v>34.5</v>
      </c>
      <c r="G1056" s="240"/>
      <c r="H1056" s="239">
        <v>34.04</v>
      </c>
      <c r="I1056" s="242">
        <v>17.440000000000001</v>
      </c>
      <c r="K1056" s="10"/>
      <c r="L1056" s="11"/>
    </row>
    <row r="1057" spans="1:12">
      <c r="A1057" s="238">
        <v>322443</v>
      </c>
      <c r="B1057" s="239" t="s">
        <v>25</v>
      </c>
      <c r="C1057" s="240">
        <v>4</v>
      </c>
      <c r="D1057" s="241" t="s">
        <v>1037</v>
      </c>
      <c r="E1057" s="241" t="s">
        <v>287</v>
      </c>
      <c r="F1057" s="240">
        <v>34.5</v>
      </c>
      <c r="G1057" s="240"/>
      <c r="H1057" s="239">
        <v>32.74</v>
      </c>
      <c r="I1057" s="242">
        <v>15.84</v>
      </c>
      <c r="K1057" s="10"/>
      <c r="L1057" s="11"/>
    </row>
    <row r="1058" spans="1:12">
      <c r="A1058" s="238">
        <v>322444</v>
      </c>
      <c r="B1058" s="239" t="s">
        <v>24</v>
      </c>
      <c r="C1058" s="240">
        <v>4</v>
      </c>
      <c r="D1058" s="241" t="s">
        <v>1037</v>
      </c>
      <c r="E1058" s="241" t="s">
        <v>287</v>
      </c>
      <c r="F1058" s="240">
        <v>34.5</v>
      </c>
      <c r="G1058" s="240"/>
      <c r="H1058" s="239">
        <v>32.74</v>
      </c>
      <c r="I1058" s="242">
        <v>23</v>
      </c>
      <c r="K1058" s="10"/>
      <c r="L1058" s="11"/>
    </row>
    <row r="1059" spans="1:12">
      <c r="A1059" s="238">
        <v>324171</v>
      </c>
      <c r="B1059" s="239" t="s">
        <v>23</v>
      </c>
      <c r="C1059" s="240">
        <v>4</v>
      </c>
      <c r="D1059" s="241" t="s">
        <v>1037</v>
      </c>
      <c r="E1059" s="241" t="s">
        <v>287</v>
      </c>
      <c r="F1059" s="240">
        <v>33</v>
      </c>
      <c r="G1059" s="240"/>
      <c r="H1059" s="239">
        <v>32.700000000000003</v>
      </c>
      <c r="I1059" s="242">
        <v>22</v>
      </c>
      <c r="K1059" s="10"/>
      <c r="L1059" s="11"/>
    </row>
    <row r="1060" spans="1:12">
      <c r="A1060" s="238">
        <v>372952</v>
      </c>
      <c r="B1060" s="239" t="s">
        <v>261</v>
      </c>
      <c r="C1060" s="240">
        <v>4</v>
      </c>
      <c r="D1060" s="241" t="s">
        <v>1037</v>
      </c>
      <c r="E1060" s="241" t="s">
        <v>287</v>
      </c>
      <c r="F1060" s="240">
        <v>33</v>
      </c>
      <c r="G1060" s="240"/>
      <c r="H1060" s="239">
        <v>32.74</v>
      </c>
      <c r="I1060" s="242">
        <v>22</v>
      </c>
      <c r="K1060" s="10"/>
      <c r="L1060" s="12"/>
    </row>
    <row r="1061" spans="1:12">
      <c r="A1061" s="238">
        <v>322445</v>
      </c>
      <c r="B1061" s="239" t="s">
        <v>335</v>
      </c>
      <c r="C1061" s="240">
        <v>4</v>
      </c>
      <c r="D1061" s="241" t="s">
        <v>1037</v>
      </c>
      <c r="E1061" s="241" t="s">
        <v>287</v>
      </c>
      <c r="F1061" s="240">
        <v>33</v>
      </c>
      <c r="G1061" s="240"/>
      <c r="H1061" s="239">
        <v>32.74</v>
      </c>
      <c r="I1061" s="242">
        <v>22</v>
      </c>
      <c r="K1061" s="10"/>
      <c r="L1061" s="11"/>
    </row>
    <row r="1062" spans="1:12">
      <c r="A1062" s="238">
        <v>620994</v>
      </c>
      <c r="B1062" s="239" t="s">
        <v>1255</v>
      </c>
      <c r="C1062" s="240">
        <v>4</v>
      </c>
      <c r="D1062" s="241" t="s">
        <v>1037</v>
      </c>
      <c r="E1062" s="241" t="s">
        <v>1177</v>
      </c>
      <c r="F1062" s="240">
        <v>33</v>
      </c>
      <c r="G1062" s="240"/>
      <c r="H1062" s="239">
        <v>32.74</v>
      </c>
      <c r="I1062" s="242">
        <v>22</v>
      </c>
      <c r="K1062" s="10"/>
      <c r="L1062" s="11"/>
    </row>
    <row r="1063" spans="1:12">
      <c r="A1063" s="238">
        <v>372951</v>
      </c>
      <c r="B1063" s="239" t="s">
        <v>260</v>
      </c>
      <c r="C1063" s="240">
        <v>4</v>
      </c>
      <c r="D1063" s="241" t="s">
        <v>1037</v>
      </c>
      <c r="E1063" s="241" t="s">
        <v>287</v>
      </c>
      <c r="F1063" s="240">
        <v>33</v>
      </c>
      <c r="G1063" s="240"/>
      <c r="H1063" s="239">
        <v>45.32</v>
      </c>
      <c r="I1063" s="242">
        <v>22</v>
      </c>
      <c r="K1063" s="10"/>
      <c r="L1063" s="11"/>
    </row>
    <row r="1064" spans="1:12">
      <c r="A1064" s="238">
        <v>324165</v>
      </c>
      <c r="B1064" s="239" t="s">
        <v>22</v>
      </c>
      <c r="C1064" s="240">
        <v>4</v>
      </c>
      <c r="D1064" s="241" t="s">
        <v>1037</v>
      </c>
      <c r="E1064" s="241" t="s">
        <v>287</v>
      </c>
      <c r="F1064" s="240">
        <v>33</v>
      </c>
      <c r="G1064" s="240"/>
      <c r="H1064" s="239">
        <v>32.56</v>
      </c>
      <c r="I1064" s="242">
        <v>22</v>
      </c>
      <c r="K1064" s="10"/>
      <c r="L1064" s="11"/>
    </row>
    <row r="1065" spans="1:12">
      <c r="A1065" s="238">
        <v>358860</v>
      </c>
      <c r="B1065" s="239" t="s">
        <v>21</v>
      </c>
      <c r="C1065" s="240">
        <v>4</v>
      </c>
      <c r="D1065" s="241" t="s">
        <v>1037</v>
      </c>
      <c r="E1065" s="241" t="s">
        <v>287</v>
      </c>
      <c r="F1065" s="240">
        <v>45.3</v>
      </c>
      <c r="G1065" s="240"/>
      <c r="H1065" s="239">
        <v>34</v>
      </c>
      <c r="I1065" s="242">
        <v>32.68</v>
      </c>
      <c r="K1065" s="10"/>
      <c r="L1065" s="11"/>
    </row>
    <row r="1066" spans="1:12">
      <c r="A1066" s="238">
        <v>323039</v>
      </c>
      <c r="B1066" s="239" t="s">
        <v>242</v>
      </c>
      <c r="C1066" s="240">
        <v>4</v>
      </c>
      <c r="D1066" s="241" t="s">
        <v>1037</v>
      </c>
      <c r="E1066" s="241" t="s">
        <v>287</v>
      </c>
      <c r="F1066" s="240">
        <v>34.5</v>
      </c>
      <c r="G1066" s="240"/>
      <c r="H1066" s="239">
        <v>33</v>
      </c>
      <c r="I1066" s="242">
        <v>26.12</v>
      </c>
      <c r="K1066" s="10"/>
      <c r="L1066" s="11"/>
    </row>
    <row r="1067" spans="1:12">
      <c r="A1067" s="238">
        <v>345523</v>
      </c>
      <c r="B1067" s="239" t="s">
        <v>1180</v>
      </c>
      <c r="C1067" s="240">
        <v>1</v>
      </c>
      <c r="D1067" s="241" t="s">
        <v>1037</v>
      </c>
      <c r="E1067" s="241" t="s">
        <v>287</v>
      </c>
      <c r="F1067" s="240">
        <v>34.5</v>
      </c>
      <c r="G1067" s="240"/>
      <c r="H1067" s="239">
        <v>33</v>
      </c>
      <c r="I1067" s="242">
        <v>9</v>
      </c>
      <c r="K1067" s="10"/>
      <c r="L1067" s="11"/>
    </row>
    <row r="1068" spans="1:12">
      <c r="A1068" s="238">
        <v>427378</v>
      </c>
      <c r="B1068" s="239" t="s">
        <v>588</v>
      </c>
      <c r="C1068" s="240">
        <v>4</v>
      </c>
      <c r="D1068" s="241" t="s">
        <v>1037</v>
      </c>
      <c r="E1068" s="241" t="s">
        <v>287</v>
      </c>
      <c r="F1068" s="240">
        <v>34.5</v>
      </c>
      <c r="G1068" s="240"/>
      <c r="H1068" s="239">
        <v>40.22</v>
      </c>
      <c r="I1068" s="242">
        <v>20.48</v>
      </c>
      <c r="K1068" s="10"/>
      <c r="L1068" s="11"/>
    </row>
    <row r="1069" spans="1:12">
      <c r="A1069" s="238">
        <v>410102</v>
      </c>
      <c r="B1069" s="239" t="s">
        <v>562</v>
      </c>
      <c r="C1069" s="240">
        <v>4</v>
      </c>
      <c r="D1069" s="241" t="s">
        <v>1037</v>
      </c>
      <c r="E1069" s="241" t="s">
        <v>287</v>
      </c>
      <c r="F1069" s="240">
        <v>34.5</v>
      </c>
      <c r="G1069" s="240"/>
      <c r="H1069" s="239">
        <v>33</v>
      </c>
      <c r="I1069" s="242">
        <v>18.8</v>
      </c>
      <c r="K1069" s="10"/>
      <c r="L1069" s="11"/>
    </row>
    <row r="1070" spans="1:12">
      <c r="A1070" s="238">
        <v>324168</v>
      </c>
      <c r="B1070" s="239" t="s">
        <v>20</v>
      </c>
      <c r="C1070" s="240">
        <v>4</v>
      </c>
      <c r="D1070" s="241" t="s">
        <v>1037</v>
      </c>
      <c r="E1070" s="241" t="s">
        <v>287</v>
      </c>
      <c r="F1070" s="240">
        <v>40</v>
      </c>
      <c r="G1070" s="240"/>
      <c r="H1070" s="239">
        <v>34.5</v>
      </c>
      <c r="I1070" s="242">
        <v>22</v>
      </c>
      <c r="K1070" s="10"/>
      <c r="L1070" s="11"/>
    </row>
    <row r="1071" spans="1:12">
      <c r="A1071" s="238">
        <v>322453</v>
      </c>
      <c r="B1071" s="239" t="s">
        <v>375</v>
      </c>
      <c r="C1071" s="240">
        <v>4</v>
      </c>
      <c r="D1071" s="241" t="s">
        <v>1037</v>
      </c>
      <c r="E1071" s="241" t="s">
        <v>287</v>
      </c>
      <c r="F1071" s="240">
        <v>34.5</v>
      </c>
      <c r="G1071" s="240"/>
      <c r="H1071" s="239">
        <v>34.5</v>
      </c>
      <c r="I1071" s="242">
        <v>22</v>
      </c>
      <c r="K1071" s="10"/>
      <c r="L1071" s="11"/>
    </row>
    <row r="1072" spans="1:12">
      <c r="A1072" s="238">
        <v>576559</v>
      </c>
      <c r="B1072" s="239" t="s">
        <v>1019</v>
      </c>
      <c r="C1072" s="240">
        <v>4</v>
      </c>
      <c r="D1072" s="241" t="s">
        <v>1037</v>
      </c>
      <c r="E1072" s="241" t="s">
        <v>287</v>
      </c>
      <c r="F1072" s="240">
        <v>45</v>
      </c>
      <c r="G1072" s="240"/>
      <c r="H1072" s="239">
        <v>33.97</v>
      </c>
      <c r="I1072" s="242">
        <v>29</v>
      </c>
      <c r="K1072" s="10"/>
      <c r="L1072" s="11"/>
    </row>
    <row r="1073" spans="1:12">
      <c r="A1073" s="238">
        <v>557349</v>
      </c>
      <c r="B1073" s="239" t="s">
        <v>1003</v>
      </c>
      <c r="C1073" s="240">
        <v>4</v>
      </c>
      <c r="D1073" s="241" t="s">
        <v>1037</v>
      </c>
      <c r="E1073" s="241" t="s">
        <v>287</v>
      </c>
      <c r="F1073" s="240">
        <v>34.5</v>
      </c>
      <c r="G1073" s="240"/>
      <c r="H1073" s="239">
        <v>33.6</v>
      </c>
      <c r="I1073" s="242">
        <v>18</v>
      </c>
      <c r="K1073" s="10"/>
      <c r="L1073" s="11"/>
    </row>
    <row r="1074" spans="1:12">
      <c r="A1074" s="238">
        <v>322452</v>
      </c>
      <c r="B1074" s="239" t="s">
        <v>19</v>
      </c>
      <c r="C1074" s="240">
        <v>4</v>
      </c>
      <c r="D1074" s="241" t="s">
        <v>1037</v>
      </c>
      <c r="E1074" s="241" t="s">
        <v>287</v>
      </c>
      <c r="F1074" s="240">
        <v>34.5</v>
      </c>
      <c r="G1074" s="240"/>
      <c r="H1074" s="239">
        <v>33.11</v>
      </c>
      <c r="I1074" s="242">
        <v>18.04</v>
      </c>
      <c r="K1074" s="10"/>
      <c r="L1074" s="12"/>
    </row>
    <row r="1075" spans="1:12">
      <c r="A1075" s="238">
        <v>557186</v>
      </c>
      <c r="B1075" s="239" t="s">
        <v>1145</v>
      </c>
      <c r="C1075" s="240">
        <v>1</v>
      </c>
      <c r="D1075" s="241" t="s">
        <v>1037</v>
      </c>
      <c r="E1075" s="241" t="s">
        <v>287</v>
      </c>
      <c r="F1075" s="240">
        <v>34</v>
      </c>
      <c r="G1075" s="240"/>
      <c r="H1075" s="239">
        <v>34</v>
      </c>
      <c r="I1075" s="242">
        <v>9</v>
      </c>
      <c r="K1075" s="10"/>
      <c r="L1075" s="11"/>
    </row>
    <row r="1076" spans="1:12">
      <c r="A1076" s="238">
        <v>322454</v>
      </c>
      <c r="B1076" s="239" t="s">
        <v>18</v>
      </c>
      <c r="C1076" s="240">
        <v>4</v>
      </c>
      <c r="D1076" s="241" t="s">
        <v>1037</v>
      </c>
      <c r="E1076" s="241" t="s">
        <v>287</v>
      </c>
      <c r="F1076" s="240">
        <v>34.5</v>
      </c>
      <c r="G1076" s="240"/>
      <c r="H1076" s="239">
        <f>F1076</f>
        <v>34.5</v>
      </c>
      <c r="I1076" s="242">
        <v>22</v>
      </c>
      <c r="K1076" s="10"/>
      <c r="L1076" s="12"/>
    </row>
    <row r="1077" spans="1:12">
      <c r="A1077" s="238">
        <v>324176</v>
      </c>
      <c r="B1077" s="239" t="s">
        <v>17</v>
      </c>
      <c r="C1077" s="240">
        <v>4</v>
      </c>
      <c r="D1077" s="241" t="s">
        <v>1037</v>
      </c>
      <c r="E1077" s="241" t="s">
        <v>287</v>
      </c>
      <c r="F1077" s="240">
        <v>34.5</v>
      </c>
      <c r="G1077" s="240"/>
      <c r="H1077" s="239">
        <v>34</v>
      </c>
      <c r="I1077" s="242">
        <v>20</v>
      </c>
      <c r="K1077" s="10"/>
      <c r="L1077" s="11"/>
    </row>
    <row r="1078" spans="1:12">
      <c r="A1078" s="238">
        <v>322461</v>
      </c>
      <c r="B1078" s="239" t="s">
        <v>379</v>
      </c>
      <c r="C1078" s="240">
        <v>4</v>
      </c>
      <c r="D1078" s="241" t="s">
        <v>1037</v>
      </c>
      <c r="E1078" s="241" t="s">
        <v>287</v>
      </c>
      <c r="F1078" s="240">
        <v>34.5</v>
      </c>
      <c r="G1078" s="240"/>
      <c r="H1078" s="239">
        <v>34</v>
      </c>
      <c r="I1078" s="242">
        <v>20</v>
      </c>
      <c r="K1078" s="10"/>
      <c r="L1078" s="11"/>
    </row>
    <row r="1079" spans="1:12">
      <c r="A1079" s="238">
        <v>441809</v>
      </c>
      <c r="B1079" s="239" t="s">
        <v>604</v>
      </c>
      <c r="C1079" s="240">
        <v>4</v>
      </c>
      <c r="D1079" s="241" t="s">
        <v>1037</v>
      </c>
      <c r="E1079" s="241" t="s">
        <v>287</v>
      </c>
      <c r="F1079" s="240">
        <v>33.67</v>
      </c>
      <c r="G1079" s="240"/>
      <c r="H1079" s="239">
        <v>34</v>
      </c>
      <c r="I1079" s="242">
        <v>18</v>
      </c>
      <c r="K1079" s="10"/>
      <c r="L1079" s="11"/>
    </row>
    <row r="1080" spans="1:12">
      <c r="A1080" s="245">
        <v>623133</v>
      </c>
      <c r="B1080" s="239" t="s">
        <v>1262</v>
      </c>
      <c r="C1080" s="240">
        <v>1</v>
      </c>
      <c r="D1080" s="241" t="s">
        <v>1037</v>
      </c>
      <c r="E1080" s="241" t="s">
        <v>287</v>
      </c>
      <c r="F1080" s="240">
        <v>34</v>
      </c>
      <c r="G1080" s="240"/>
      <c r="H1080" s="239">
        <v>34</v>
      </c>
      <c r="I1080" s="242">
        <v>9</v>
      </c>
      <c r="K1080" s="10"/>
      <c r="L1080" s="11"/>
    </row>
    <row r="1081" spans="1:12">
      <c r="A1081" s="245">
        <v>623135</v>
      </c>
      <c r="B1081" s="239" t="s">
        <v>1263</v>
      </c>
      <c r="C1081" s="240">
        <v>1</v>
      </c>
      <c r="D1081" s="241" t="s">
        <v>1037</v>
      </c>
      <c r="E1081" s="241" t="s">
        <v>287</v>
      </c>
      <c r="F1081" s="240">
        <v>34.200000000000003</v>
      </c>
      <c r="G1081" s="240"/>
      <c r="H1081" s="239">
        <v>34.200000000000003</v>
      </c>
      <c r="I1081" s="242">
        <v>9</v>
      </c>
      <c r="K1081" s="10"/>
      <c r="L1081" s="11"/>
    </row>
    <row r="1082" spans="1:12">
      <c r="A1082" s="245">
        <v>623134</v>
      </c>
      <c r="B1082" s="239" t="s">
        <v>1264</v>
      </c>
      <c r="C1082" s="240">
        <v>1</v>
      </c>
      <c r="D1082" s="241" t="s">
        <v>1037</v>
      </c>
      <c r="E1082" s="241" t="s">
        <v>287</v>
      </c>
      <c r="F1082" s="240">
        <v>33.42</v>
      </c>
      <c r="G1082" s="240"/>
      <c r="H1082" s="239">
        <v>33.42</v>
      </c>
      <c r="I1082" s="242">
        <v>9</v>
      </c>
      <c r="K1082" s="10"/>
      <c r="L1082" s="11"/>
    </row>
    <row r="1083" spans="1:12">
      <c r="A1083" s="238">
        <v>609312</v>
      </c>
      <c r="B1083" s="239" t="s">
        <v>1213</v>
      </c>
      <c r="C1083" s="240">
        <v>1</v>
      </c>
      <c r="D1083" s="241" t="s">
        <v>1037</v>
      </c>
      <c r="E1083" s="241" t="s">
        <v>287</v>
      </c>
      <c r="F1083" s="240">
        <v>34</v>
      </c>
      <c r="G1083" s="240"/>
      <c r="H1083" s="239">
        <v>34</v>
      </c>
      <c r="I1083" s="242">
        <v>9</v>
      </c>
      <c r="K1083" s="10"/>
      <c r="L1083" s="11"/>
    </row>
    <row r="1084" spans="1:12">
      <c r="A1084" s="238">
        <v>609313</v>
      </c>
      <c r="B1084" s="239" t="s">
        <v>1214</v>
      </c>
      <c r="C1084" s="240">
        <v>1</v>
      </c>
      <c r="D1084" s="241" t="s">
        <v>1037</v>
      </c>
      <c r="E1084" s="241" t="s">
        <v>287</v>
      </c>
      <c r="F1084" s="240">
        <v>33.42</v>
      </c>
      <c r="G1084" s="240"/>
      <c r="H1084" s="239">
        <v>33.42</v>
      </c>
      <c r="I1084" s="242">
        <v>9</v>
      </c>
      <c r="K1084" s="10"/>
      <c r="L1084" s="11"/>
    </row>
    <row r="1085" spans="1:12">
      <c r="A1085" s="238">
        <v>322464</v>
      </c>
      <c r="B1085" s="239" t="s">
        <v>243</v>
      </c>
      <c r="C1085" s="240">
        <v>4</v>
      </c>
      <c r="D1085" s="241" t="s">
        <v>1037</v>
      </c>
      <c r="E1085" s="241" t="s">
        <v>287</v>
      </c>
      <c r="F1085" s="240">
        <v>34.5</v>
      </c>
      <c r="G1085" s="240"/>
      <c r="H1085" s="239">
        <v>34.200000000000003</v>
      </c>
      <c r="I1085" s="242">
        <v>20.399999999999999</v>
      </c>
      <c r="K1085" s="10"/>
      <c r="L1085" s="11"/>
    </row>
    <row r="1086" spans="1:12">
      <c r="A1086" s="245">
        <v>647684</v>
      </c>
      <c r="B1086" s="239" t="s">
        <v>1301</v>
      </c>
      <c r="C1086" s="240">
        <v>4</v>
      </c>
      <c r="D1086" s="241" t="s">
        <v>1037</v>
      </c>
      <c r="E1086" s="241" t="s">
        <v>287</v>
      </c>
      <c r="F1086" s="240">
        <v>34.5</v>
      </c>
      <c r="G1086" s="240"/>
      <c r="H1086" s="239">
        <v>34.200000000000003</v>
      </c>
      <c r="I1086" s="242">
        <v>20.399999999999999</v>
      </c>
      <c r="K1086" s="10"/>
      <c r="L1086" s="11"/>
    </row>
    <row r="1087" spans="1:12">
      <c r="A1087" s="238">
        <v>324173</v>
      </c>
      <c r="B1087" s="239" t="s">
        <v>16</v>
      </c>
      <c r="C1087" s="240">
        <v>4</v>
      </c>
      <c r="D1087" s="241" t="s">
        <v>1037</v>
      </c>
      <c r="E1087" s="241" t="s">
        <v>287</v>
      </c>
      <c r="F1087" s="240">
        <v>34.5</v>
      </c>
      <c r="G1087" s="240"/>
      <c r="H1087" s="239">
        <v>34</v>
      </c>
      <c r="I1087" s="242">
        <v>20.399999999999999</v>
      </c>
      <c r="K1087" s="10"/>
      <c r="L1087" s="11"/>
    </row>
    <row r="1088" spans="1:12">
      <c r="A1088" s="238">
        <v>324167</v>
      </c>
      <c r="B1088" s="239" t="s">
        <v>266</v>
      </c>
      <c r="C1088" s="240">
        <v>4</v>
      </c>
      <c r="D1088" s="241" t="s">
        <v>1037</v>
      </c>
      <c r="E1088" s="241" t="s">
        <v>287</v>
      </c>
      <c r="F1088" s="240">
        <v>34.5</v>
      </c>
      <c r="G1088" s="240"/>
      <c r="H1088" s="239">
        <v>34</v>
      </c>
      <c r="I1088" s="242">
        <v>20.399999999999999</v>
      </c>
      <c r="K1088" s="10"/>
      <c r="L1088" s="11"/>
    </row>
    <row r="1089" spans="1:12">
      <c r="A1089" s="238">
        <v>323046</v>
      </c>
      <c r="B1089" s="239" t="s">
        <v>15</v>
      </c>
      <c r="C1089" s="240">
        <v>4</v>
      </c>
      <c r="D1089" s="241" t="s">
        <v>1037</v>
      </c>
      <c r="E1089" s="241" t="s">
        <v>287</v>
      </c>
      <c r="F1089" s="240">
        <v>34.5</v>
      </c>
      <c r="G1089" s="240"/>
      <c r="H1089" s="239">
        <v>44</v>
      </c>
      <c r="I1089" s="242">
        <v>22</v>
      </c>
      <c r="K1089" s="10"/>
      <c r="L1089" s="11"/>
    </row>
    <row r="1090" spans="1:12">
      <c r="A1090" s="238">
        <v>561358</v>
      </c>
      <c r="B1090" s="239" t="s">
        <v>1007</v>
      </c>
      <c r="C1090" s="240">
        <v>4</v>
      </c>
      <c r="D1090" s="241" t="s">
        <v>1037</v>
      </c>
      <c r="E1090" s="241" t="s">
        <v>287</v>
      </c>
      <c r="F1090" s="240">
        <v>34.5</v>
      </c>
      <c r="G1090" s="240"/>
      <c r="H1090" s="239">
        <v>35</v>
      </c>
      <c r="I1090" s="242">
        <v>20.399999999999999</v>
      </c>
      <c r="K1090" s="10"/>
      <c r="L1090" s="11"/>
    </row>
    <row r="1091" spans="1:12">
      <c r="A1091" s="238">
        <v>647556</v>
      </c>
      <c r="B1091" s="239" t="s">
        <v>1305</v>
      </c>
      <c r="C1091" s="240">
        <v>4</v>
      </c>
      <c r="D1091" s="241" t="s">
        <v>1037</v>
      </c>
      <c r="E1091" s="241" t="s">
        <v>287</v>
      </c>
      <c r="F1091" s="240">
        <v>34.5</v>
      </c>
      <c r="G1091" s="240"/>
      <c r="H1091" s="239">
        <v>35</v>
      </c>
      <c r="I1091" s="242">
        <v>20.399999999999999</v>
      </c>
      <c r="K1091" s="10"/>
      <c r="L1091" s="11"/>
    </row>
    <row r="1092" spans="1:12">
      <c r="A1092" s="238">
        <v>322467</v>
      </c>
      <c r="B1092" s="239" t="s">
        <v>383</v>
      </c>
      <c r="C1092" s="240">
        <v>4</v>
      </c>
      <c r="D1092" s="241" t="s">
        <v>1037</v>
      </c>
      <c r="E1092" s="241" t="s">
        <v>287</v>
      </c>
      <c r="F1092" s="240">
        <v>44</v>
      </c>
      <c r="G1092" s="240"/>
      <c r="H1092" s="239">
        <v>33</v>
      </c>
      <c r="I1092" s="242">
        <v>16</v>
      </c>
      <c r="K1092" s="10"/>
      <c r="L1092" s="12"/>
    </row>
    <row r="1093" spans="1:12">
      <c r="A1093" s="238">
        <v>324175</v>
      </c>
      <c r="B1093" s="239" t="s">
        <v>467</v>
      </c>
      <c r="C1093" s="240">
        <v>4</v>
      </c>
      <c r="D1093" s="241" t="s">
        <v>1037</v>
      </c>
      <c r="E1093" s="241" t="s">
        <v>287</v>
      </c>
      <c r="F1093" s="240">
        <v>44</v>
      </c>
      <c r="G1093" s="240"/>
      <c r="H1093" s="239">
        <v>33</v>
      </c>
      <c r="I1093" s="242">
        <v>20.399999999999999</v>
      </c>
      <c r="K1093" s="10"/>
      <c r="L1093" s="12"/>
    </row>
    <row r="1094" spans="1:12">
      <c r="A1094" s="238">
        <v>324143</v>
      </c>
      <c r="B1094" s="239" t="s">
        <v>14</v>
      </c>
      <c r="C1094" s="240">
        <v>4</v>
      </c>
      <c r="D1094" s="241" t="s">
        <v>1037</v>
      </c>
      <c r="E1094" s="241" t="s">
        <v>287</v>
      </c>
      <c r="F1094" s="240">
        <v>34.5</v>
      </c>
      <c r="G1094" s="240"/>
      <c r="H1094" s="239">
        <v>45.3</v>
      </c>
      <c r="I1094" s="242">
        <v>18.04</v>
      </c>
      <c r="K1094" s="10"/>
      <c r="L1094" s="12"/>
    </row>
    <row r="1095" spans="1:12">
      <c r="A1095" s="238">
        <v>442642</v>
      </c>
      <c r="B1095" s="239" t="s">
        <v>608</v>
      </c>
      <c r="C1095" s="240">
        <v>4</v>
      </c>
      <c r="D1095" s="241" t="s">
        <v>1037</v>
      </c>
      <c r="E1095" s="241" t="s">
        <v>287</v>
      </c>
      <c r="F1095" s="240">
        <v>34.5</v>
      </c>
      <c r="G1095" s="240"/>
      <c r="H1095" s="239">
        <v>34.5</v>
      </c>
      <c r="I1095" s="242">
        <v>17.440000000000001</v>
      </c>
      <c r="K1095" s="10"/>
      <c r="L1095" s="12"/>
    </row>
    <row r="1096" spans="1:12">
      <c r="A1096" s="238">
        <v>604365</v>
      </c>
      <c r="B1096" s="239" t="s">
        <v>1268</v>
      </c>
      <c r="C1096" s="240">
        <v>4</v>
      </c>
      <c r="D1096" s="241" t="s">
        <v>1037</v>
      </c>
      <c r="E1096" s="241" t="s">
        <v>287</v>
      </c>
      <c r="F1096" s="240">
        <v>45.3</v>
      </c>
      <c r="G1096" s="240"/>
      <c r="H1096" s="239">
        <v>44.7</v>
      </c>
      <c r="I1096" s="242">
        <v>24</v>
      </c>
      <c r="K1096" s="10"/>
      <c r="L1096" s="12"/>
    </row>
    <row r="1097" spans="1:12">
      <c r="A1097" s="238">
        <v>324144</v>
      </c>
      <c r="B1097" s="239" t="s">
        <v>13</v>
      </c>
      <c r="C1097" s="240">
        <v>4</v>
      </c>
      <c r="D1097" s="241" t="s">
        <v>1037</v>
      </c>
      <c r="E1097" s="241" t="s">
        <v>287</v>
      </c>
      <c r="F1097" s="240">
        <v>45.3</v>
      </c>
      <c r="G1097" s="240"/>
      <c r="H1097" s="239">
        <v>44.7</v>
      </c>
      <c r="I1097" s="242">
        <v>24</v>
      </c>
      <c r="K1097" s="10"/>
      <c r="L1097" s="12"/>
    </row>
    <row r="1098" spans="1:12">
      <c r="A1098" s="238">
        <v>324172</v>
      </c>
      <c r="B1098" s="239" t="s">
        <v>12</v>
      </c>
      <c r="C1098" s="240">
        <v>4</v>
      </c>
      <c r="D1098" s="241" t="s">
        <v>1037</v>
      </c>
      <c r="E1098" s="241" t="s">
        <v>287</v>
      </c>
      <c r="F1098" s="240">
        <v>34.5</v>
      </c>
      <c r="G1098" s="240"/>
      <c r="H1098" s="239">
        <v>47.47</v>
      </c>
      <c r="I1098" s="242">
        <v>16.2</v>
      </c>
      <c r="K1098" s="10"/>
      <c r="L1098" s="11"/>
    </row>
    <row r="1099" spans="1:12">
      <c r="A1099" s="238">
        <v>359741</v>
      </c>
      <c r="B1099" s="239" t="s">
        <v>11</v>
      </c>
      <c r="C1099" s="240">
        <v>4</v>
      </c>
      <c r="D1099" s="241" t="s">
        <v>1037</v>
      </c>
      <c r="E1099" s="241" t="s">
        <v>287</v>
      </c>
      <c r="F1099" s="240">
        <v>44.7</v>
      </c>
      <c r="G1099" s="240"/>
      <c r="H1099" s="239">
        <v>33.700000000000003</v>
      </c>
      <c r="I1099" s="242">
        <v>29.6</v>
      </c>
      <c r="K1099" s="10"/>
      <c r="L1099" s="11"/>
    </row>
    <row r="1100" spans="1:12">
      <c r="A1100" s="238">
        <v>354668</v>
      </c>
      <c r="B1100" s="239" t="s">
        <v>527</v>
      </c>
      <c r="C1100" s="240">
        <v>4</v>
      </c>
      <c r="D1100" s="241" t="s">
        <v>1037</v>
      </c>
      <c r="E1100" s="241" t="s">
        <v>287</v>
      </c>
      <c r="F1100" s="240">
        <v>34.5</v>
      </c>
      <c r="G1100" s="240"/>
      <c r="H1100" s="239">
        <v>33</v>
      </c>
      <c r="I1100" s="242">
        <v>29.4</v>
      </c>
      <c r="K1100" s="10"/>
      <c r="L1100" s="11"/>
    </row>
    <row r="1101" spans="1:12">
      <c r="A1101" s="238">
        <v>322471</v>
      </c>
      <c r="B1101" s="239" t="s">
        <v>385</v>
      </c>
      <c r="C1101" s="240">
        <v>4</v>
      </c>
      <c r="D1101" s="241" t="s">
        <v>1037</v>
      </c>
      <c r="E1101" s="241" t="s">
        <v>287</v>
      </c>
      <c r="F1101" s="240">
        <v>34.5</v>
      </c>
      <c r="G1101" s="240"/>
      <c r="H1101" s="239">
        <v>34.5</v>
      </c>
      <c r="I1101" s="242">
        <v>16.2</v>
      </c>
      <c r="K1101" s="10"/>
      <c r="L1101" s="11"/>
    </row>
    <row r="1102" spans="1:12">
      <c r="A1102" s="238">
        <v>431387</v>
      </c>
      <c r="B1102" s="239" t="s">
        <v>592</v>
      </c>
      <c r="C1102" s="240">
        <v>4</v>
      </c>
      <c r="D1102" s="241" t="s">
        <v>1037</v>
      </c>
      <c r="E1102" s="241" t="s">
        <v>287</v>
      </c>
      <c r="F1102" s="240">
        <v>34.5</v>
      </c>
      <c r="G1102" s="240"/>
      <c r="H1102" s="239">
        <v>35</v>
      </c>
      <c r="I1102" s="242">
        <v>17.52</v>
      </c>
      <c r="K1102" s="10"/>
      <c r="L1102" s="11"/>
    </row>
    <row r="1103" spans="1:12">
      <c r="A1103" s="238">
        <v>346274</v>
      </c>
      <c r="B1103" s="239" t="s">
        <v>522</v>
      </c>
      <c r="C1103" s="240">
        <v>4</v>
      </c>
      <c r="D1103" s="241" t="s">
        <v>1037</v>
      </c>
      <c r="E1103" s="241" t="s">
        <v>287</v>
      </c>
      <c r="F1103" s="240">
        <v>45.1</v>
      </c>
      <c r="G1103" s="240"/>
      <c r="H1103" s="239">
        <v>32.4</v>
      </c>
      <c r="I1103" s="242">
        <v>34.6</v>
      </c>
      <c r="K1103" s="10"/>
      <c r="L1103" s="11"/>
    </row>
    <row r="1104" spans="1:12">
      <c r="A1104" s="238">
        <v>343462</v>
      </c>
      <c r="B1104" s="239" t="s">
        <v>520</v>
      </c>
      <c r="C1104" s="240">
        <v>4</v>
      </c>
      <c r="D1104" s="241" t="s">
        <v>1037</v>
      </c>
      <c r="E1104" s="241" t="s">
        <v>287</v>
      </c>
      <c r="F1104" s="240">
        <v>45</v>
      </c>
      <c r="G1104" s="240"/>
      <c r="H1104" s="239">
        <v>32.4</v>
      </c>
      <c r="I1104" s="242">
        <v>27.16</v>
      </c>
      <c r="K1104" s="10"/>
      <c r="L1104" s="11"/>
    </row>
    <row r="1105" spans="1:12">
      <c r="A1105" s="238">
        <v>323072</v>
      </c>
      <c r="B1105" s="239" t="s">
        <v>1227</v>
      </c>
      <c r="C1105" s="240">
        <v>4</v>
      </c>
      <c r="D1105" s="241" t="s">
        <v>1037</v>
      </c>
      <c r="E1105" s="241" t="s">
        <v>287</v>
      </c>
      <c r="F1105" s="240">
        <v>34.5</v>
      </c>
      <c r="G1105" s="240"/>
      <c r="H1105" s="239">
        <v>34.5</v>
      </c>
      <c r="I1105" s="242">
        <v>16.2</v>
      </c>
      <c r="K1105" s="10"/>
      <c r="L1105" s="11"/>
    </row>
    <row r="1106" spans="1:12">
      <c r="A1106" s="238">
        <v>616880</v>
      </c>
      <c r="B1106" s="239" t="s">
        <v>1292</v>
      </c>
      <c r="C1106" s="240">
        <v>1</v>
      </c>
      <c r="D1106" s="241" t="s">
        <v>1037</v>
      </c>
      <c r="E1106" s="241" t="s">
        <v>287</v>
      </c>
      <c r="F1106" s="240">
        <v>34.5</v>
      </c>
      <c r="G1106" s="240"/>
      <c r="H1106" s="239">
        <v>34.5</v>
      </c>
      <c r="I1106" s="242">
        <v>9</v>
      </c>
      <c r="K1106" s="10"/>
      <c r="L1106" s="11"/>
    </row>
    <row r="1107" spans="1:12">
      <c r="A1107" s="238">
        <v>592128</v>
      </c>
      <c r="B1107" s="239" t="s">
        <v>1165</v>
      </c>
      <c r="C1107" s="240">
        <v>4</v>
      </c>
      <c r="D1107" s="241" t="s">
        <v>1037</v>
      </c>
      <c r="E1107" s="241" t="s">
        <v>287</v>
      </c>
      <c r="F1107" s="240">
        <v>34.5</v>
      </c>
      <c r="G1107" s="240"/>
      <c r="H1107" s="239">
        <v>34.5</v>
      </c>
      <c r="I1107" s="242">
        <v>9</v>
      </c>
      <c r="K1107" s="10"/>
      <c r="L1107" s="12"/>
    </row>
    <row r="1108" spans="1:12">
      <c r="A1108" s="238">
        <v>606902</v>
      </c>
      <c r="B1108" s="239" t="s">
        <v>1241</v>
      </c>
      <c r="C1108" s="240">
        <v>4</v>
      </c>
      <c r="D1108" s="241" t="s">
        <v>1037</v>
      </c>
      <c r="E1108" s="241" t="s">
        <v>287</v>
      </c>
      <c r="F1108" s="240">
        <v>34.5</v>
      </c>
      <c r="G1108" s="240"/>
      <c r="H1108" s="239">
        <v>34.5</v>
      </c>
      <c r="I1108" s="242">
        <v>9</v>
      </c>
      <c r="K1108" s="10"/>
      <c r="L1108" s="12"/>
    </row>
    <row r="1109" spans="1:12">
      <c r="A1109" s="245">
        <v>616879</v>
      </c>
      <c r="B1109" s="239" t="s">
        <v>1242</v>
      </c>
      <c r="C1109" s="240">
        <v>1</v>
      </c>
      <c r="D1109" s="241" t="s">
        <v>1037</v>
      </c>
      <c r="E1109" s="241" t="s">
        <v>287</v>
      </c>
      <c r="F1109" s="240">
        <v>34.5</v>
      </c>
      <c r="G1109" s="240"/>
      <c r="H1109" s="239">
        <v>34.5</v>
      </c>
      <c r="I1109" s="242">
        <v>9</v>
      </c>
      <c r="K1109" s="10"/>
      <c r="L1109" s="12"/>
    </row>
    <row r="1110" spans="1:12">
      <c r="A1110" s="249">
        <v>324170</v>
      </c>
      <c r="B1110" s="253" t="s">
        <v>1143</v>
      </c>
      <c r="C1110" s="240">
        <v>4</v>
      </c>
      <c r="D1110" s="241" t="s">
        <v>1037</v>
      </c>
      <c r="E1110" s="241" t="s">
        <v>287</v>
      </c>
      <c r="F1110" s="240">
        <v>35</v>
      </c>
      <c r="G1110" s="254"/>
      <c r="H1110" s="239">
        <v>35</v>
      </c>
      <c r="I1110" s="242">
        <v>16.2</v>
      </c>
      <c r="K1110" s="10"/>
      <c r="L1110" s="11"/>
    </row>
    <row r="1111" spans="1:12">
      <c r="A1111" s="245">
        <v>371002</v>
      </c>
      <c r="B1111" s="239" t="s">
        <v>10</v>
      </c>
      <c r="C1111" s="240">
        <v>4</v>
      </c>
      <c r="D1111" s="241" t="s">
        <v>1037</v>
      </c>
      <c r="E1111" s="241" t="s">
        <v>287</v>
      </c>
      <c r="F1111" s="240">
        <v>44.5</v>
      </c>
      <c r="G1111" s="240"/>
      <c r="H1111" s="239">
        <v>44</v>
      </c>
      <c r="I1111" s="242">
        <v>20.8</v>
      </c>
      <c r="K1111" s="10"/>
      <c r="L1111" s="12"/>
    </row>
    <row r="1112" spans="1:12">
      <c r="A1112" s="245">
        <v>322474</v>
      </c>
      <c r="B1112" s="239" t="s">
        <v>9</v>
      </c>
      <c r="C1112" s="240">
        <v>4</v>
      </c>
      <c r="D1112" s="241" t="s">
        <v>1037</v>
      </c>
      <c r="E1112" s="241" t="s">
        <v>287</v>
      </c>
      <c r="F1112" s="240">
        <v>44</v>
      </c>
      <c r="G1112" s="240"/>
      <c r="H1112" s="239">
        <v>44</v>
      </c>
      <c r="I1112" s="242">
        <v>28.56</v>
      </c>
      <c r="K1112" s="10"/>
      <c r="L1112" s="11"/>
    </row>
    <row r="1113" spans="1:12">
      <c r="A1113" s="238">
        <v>438275</v>
      </c>
      <c r="B1113" s="239" t="s">
        <v>600</v>
      </c>
      <c r="C1113" s="240">
        <v>4</v>
      </c>
      <c r="D1113" s="241" t="s">
        <v>1037</v>
      </c>
      <c r="E1113" s="241" t="s">
        <v>287</v>
      </c>
      <c r="F1113" s="240">
        <v>44</v>
      </c>
      <c r="G1113" s="240"/>
      <c r="H1113" s="239">
        <v>45</v>
      </c>
      <c r="I1113" s="242">
        <v>26.18</v>
      </c>
      <c r="K1113" s="10"/>
      <c r="L1113" s="12"/>
    </row>
    <row r="1114" spans="1:12">
      <c r="A1114" s="238">
        <v>322477</v>
      </c>
      <c r="B1114" s="239" t="s">
        <v>8</v>
      </c>
      <c r="C1114" s="240">
        <v>4</v>
      </c>
      <c r="D1114" s="241" t="s">
        <v>1037</v>
      </c>
      <c r="E1114" s="241" t="s">
        <v>287</v>
      </c>
      <c r="F1114" s="240">
        <v>44</v>
      </c>
      <c r="G1114" s="240"/>
      <c r="H1114" s="239">
        <v>44</v>
      </c>
      <c r="I1114" s="242">
        <v>26</v>
      </c>
      <c r="K1114" s="10"/>
      <c r="L1114" s="11"/>
    </row>
    <row r="1115" spans="1:12">
      <c r="A1115" s="238">
        <v>329664</v>
      </c>
      <c r="B1115" s="239" t="s">
        <v>271</v>
      </c>
      <c r="C1115" s="240">
        <v>4</v>
      </c>
      <c r="D1115" s="241" t="s">
        <v>1037</v>
      </c>
      <c r="E1115" s="241" t="s">
        <v>287</v>
      </c>
      <c r="F1115" s="240">
        <v>45.2</v>
      </c>
      <c r="G1115" s="240"/>
      <c r="H1115" s="239">
        <v>95.2</v>
      </c>
      <c r="I1115" s="242">
        <v>29.52</v>
      </c>
      <c r="K1115" s="10"/>
      <c r="L1115" s="12"/>
    </row>
    <row r="1116" spans="1:12">
      <c r="A1116" s="238">
        <v>475541</v>
      </c>
      <c r="B1116" s="239" t="s">
        <v>896</v>
      </c>
      <c r="C1116" s="240">
        <v>4</v>
      </c>
      <c r="D1116" s="241" t="s">
        <v>1037</v>
      </c>
      <c r="E1116" s="241" t="s">
        <v>287</v>
      </c>
      <c r="F1116" s="240">
        <v>44</v>
      </c>
      <c r="G1116" s="240"/>
      <c r="H1116" s="239">
        <f>F1116</f>
        <v>44</v>
      </c>
      <c r="I1116" s="242">
        <v>25</v>
      </c>
      <c r="K1116" s="10"/>
      <c r="L1116" s="12"/>
    </row>
    <row r="1117" spans="1:12">
      <c r="A1117" s="245">
        <v>588272</v>
      </c>
      <c r="B1117" s="239" t="s">
        <v>1134</v>
      </c>
      <c r="C1117" s="240">
        <v>2</v>
      </c>
      <c r="D1117" s="241" t="s">
        <v>1215</v>
      </c>
      <c r="E1117" s="241" t="s">
        <v>1141</v>
      </c>
      <c r="F1117" s="240">
        <v>18</v>
      </c>
      <c r="G1117" s="240"/>
      <c r="H1117" s="239">
        <v>24</v>
      </c>
      <c r="I1117" s="242">
        <v>6.8</v>
      </c>
      <c r="K1117" s="10"/>
      <c r="L1117" s="11"/>
    </row>
    <row r="1118" spans="1:12">
      <c r="A1118" s="245">
        <v>647596</v>
      </c>
      <c r="B1118" s="239" t="s">
        <v>1299</v>
      </c>
      <c r="C1118" s="240">
        <v>2</v>
      </c>
      <c r="D1118" s="241" t="s">
        <v>1215</v>
      </c>
      <c r="E1118" s="241" t="s">
        <v>1141</v>
      </c>
      <c r="F1118" s="240">
        <v>17.03</v>
      </c>
      <c r="G1118" s="240"/>
      <c r="H1118" s="239">
        <v>24.22</v>
      </c>
      <c r="I1118" s="242">
        <v>6.8</v>
      </c>
      <c r="K1118" s="10"/>
      <c r="L1118" s="11"/>
    </row>
    <row r="1119" spans="1:12">
      <c r="A1119" s="238">
        <v>334730</v>
      </c>
      <c r="B1119" s="239" t="s">
        <v>502</v>
      </c>
      <c r="C1119" s="240">
        <v>4</v>
      </c>
      <c r="D1119" s="241" t="s">
        <v>1037</v>
      </c>
      <c r="E1119" s="241" t="s">
        <v>287</v>
      </c>
      <c r="F1119" s="240">
        <v>44</v>
      </c>
      <c r="G1119" s="240"/>
      <c r="H1119" s="239">
        <v>150.19999999999999</v>
      </c>
      <c r="I1119" s="242">
        <v>25</v>
      </c>
      <c r="K1119" s="10"/>
      <c r="L1119" s="12"/>
    </row>
    <row r="1120" spans="1:12">
      <c r="A1120" s="238">
        <v>333708</v>
      </c>
      <c r="B1120" s="239" t="s">
        <v>500</v>
      </c>
      <c r="C1120" s="240">
        <v>3</v>
      </c>
      <c r="D1120" s="241" t="s">
        <v>1037</v>
      </c>
      <c r="E1120" s="241" t="s">
        <v>287</v>
      </c>
      <c r="F1120" s="240">
        <v>96.2</v>
      </c>
      <c r="G1120" s="240"/>
      <c r="H1120" s="239">
        <f>F1120</f>
        <v>96.2</v>
      </c>
      <c r="I1120" s="242">
        <v>30</v>
      </c>
      <c r="K1120" s="10"/>
      <c r="L1120" s="11"/>
    </row>
    <row r="1121" spans="1:12">
      <c r="A1121" s="238">
        <v>339243</v>
      </c>
      <c r="B1121" s="239" t="s">
        <v>518</v>
      </c>
      <c r="C1121" s="240">
        <v>3</v>
      </c>
      <c r="D1121" s="241" t="s">
        <v>1037</v>
      </c>
      <c r="E1121" s="241" t="s">
        <v>287</v>
      </c>
      <c r="F1121" s="240">
        <v>97.2</v>
      </c>
      <c r="G1121" s="240"/>
      <c r="H1121" s="239">
        <v>95.2</v>
      </c>
      <c r="I1121" s="242">
        <v>30</v>
      </c>
      <c r="K1121" s="10"/>
      <c r="L1121" s="11"/>
    </row>
    <row r="1122" spans="1:12">
      <c r="A1122" s="238">
        <v>333704</v>
      </c>
      <c r="B1122" s="239" t="s">
        <v>498</v>
      </c>
      <c r="C1122" s="240">
        <v>3</v>
      </c>
      <c r="D1122" s="241" t="s">
        <v>1037</v>
      </c>
      <c r="E1122" s="241" t="s">
        <v>287</v>
      </c>
      <c r="F1122" s="240">
        <v>96.2</v>
      </c>
      <c r="G1122" s="240"/>
      <c r="H1122" s="239">
        <f>F1122</f>
        <v>96.2</v>
      </c>
      <c r="I1122" s="242">
        <v>30</v>
      </c>
      <c r="K1122" s="10"/>
      <c r="L1122" s="11"/>
    </row>
    <row r="1123" spans="1:12">
      <c r="A1123" s="238">
        <v>337767</v>
      </c>
      <c r="B1123" s="239" t="s">
        <v>510</v>
      </c>
      <c r="C1123" s="240">
        <v>3</v>
      </c>
      <c r="D1123" s="241" t="s">
        <v>1037</v>
      </c>
      <c r="E1123" s="241" t="s">
        <v>287</v>
      </c>
      <c r="F1123" s="240">
        <v>96.2</v>
      </c>
      <c r="G1123" s="240"/>
      <c r="H1123" s="239">
        <v>95.2</v>
      </c>
      <c r="I1123" s="242">
        <v>30</v>
      </c>
      <c r="K1123" s="10"/>
      <c r="L1123" s="11"/>
    </row>
    <row r="1124" spans="1:12">
      <c r="A1124" s="238">
        <v>339222</v>
      </c>
      <c r="B1124" s="239" t="s">
        <v>516</v>
      </c>
      <c r="C1124" s="240">
        <v>3</v>
      </c>
      <c r="D1124" s="241" t="s">
        <v>1037</v>
      </c>
      <c r="E1124" s="241" t="s">
        <v>287</v>
      </c>
      <c r="F1124" s="240">
        <v>97.2</v>
      </c>
      <c r="G1124" s="240"/>
      <c r="H1124" s="239">
        <f>F1124</f>
        <v>97.2</v>
      </c>
      <c r="I1124" s="242">
        <v>30</v>
      </c>
      <c r="K1124" s="10"/>
      <c r="L1124" s="11"/>
    </row>
    <row r="1125" spans="1:12">
      <c r="A1125" s="238">
        <v>333706</v>
      </c>
      <c r="B1125" s="239" t="s">
        <v>499</v>
      </c>
      <c r="C1125" s="240">
        <v>3</v>
      </c>
      <c r="D1125" s="241" t="s">
        <v>1037</v>
      </c>
      <c r="E1125" s="241" t="s">
        <v>287</v>
      </c>
      <c r="F1125" s="240">
        <v>96.2</v>
      </c>
      <c r="G1125" s="240"/>
      <c r="H1125" s="239">
        <v>95.2</v>
      </c>
      <c r="I1125" s="242">
        <v>30</v>
      </c>
      <c r="K1125" s="10"/>
      <c r="L1125" s="11"/>
    </row>
    <row r="1126" spans="1:12">
      <c r="A1126" s="238">
        <v>339242</v>
      </c>
      <c r="B1126" s="239" t="s">
        <v>517</v>
      </c>
      <c r="C1126" s="240">
        <v>3</v>
      </c>
      <c r="D1126" s="241" t="s">
        <v>1037</v>
      </c>
      <c r="E1126" s="241" t="s">
        <v>287</v>
      </c>
      <c r="F1126" s="240">
        <v>97.2</v>
      </c>
      <c r="G1126" s="240"/>
      <c r="H1126" s="239">
        <v>24.3</v>
      </c>
      <c r="I1126" s="242">
        <v>30</v>
      </c>
      <c r="K1126" s="10"/>
      <c r="L1126" s="11"/>
    </row>
    <row r="1127" spans="1:12">
      <c r="A1127" s="238">
        <v>333745</v>
      </c>
      <c r="B1127" s="239" t="s">
        <v>244</v>
      </c>
      <c r="C1127" s="240">
        <v>3</v>
      </c>
      <c r="D1127" s="241" t="s">
        <v>1037</v>
      </c>
      <c r="E1127" s="241" t="s">
        <v>287</v>
      </c>
      <c r="F1127" s="240">
        <v>95.2</v>
      </c>
      <c r="G1127" s="240"/>
      <c r="H1127" s="239">
        <f>F1127</f>
        <v>95.2</v>
      </c>
      <c r="I1127" s="242">
        <v>30</v>
      </c>
      <c r="K1127" s="10"/>
      <c r="L1127" s="11"/>
    </row>
    <row r="1128" spans="1:12">
      <c r="A1128" s="238">
        <v>557213</v>
      </c>
      <c r="B1128" s="239" t="s">
        <v>1002</v>
      </c>
      <c r="C1128" s="240">
        <v>3</v>
      </c>
      <c r="D1128" s="241" t="s">
        <v>1037</v>
      </c>
      <c r="E1128" s="241" t="s">
        <v>287</v>
      </c>
      <c r="F1128" s="240">
        <v>98.2</v>
      </c>
      <c r="G1128" s="240"/>
      <c r="H1128" s="239">
        <v>24.3</v>
      </c>
      <c r="I1128" s="242">
        <v>30</v>
      </c>
      <c r="K1128" s="10"/>
      <c r="L1128" s="11"/>
    </row>
    <row r="1129" spans="1:12">
      <c r="A1129" s="238">
        <v>589461</v>
      </c>
      <c r="B1129" s="239" t="s">
        <v>1137</v>
      </c>
      <c r="C1129" s="240">
        <v>2</v>
      </c>
      <c r="D1129" s="241" t="s">
        <v>1129</v>
      </c>
      <c r="E1129" s="241" t="s">
        <v>287</v>
      </c>
      <c r="F1129" s="240">
        <v>118</v>
      </c>
      <c r="G1129" s="240"/>
      <c r="H1129" s="239">
        <v>118</v>
      </c>
      <c r="I1129" s="242">
        <v>14</v>
      </c>
      <c r="K1129" s="10"/>
      <c r="L1129" s="11"/>
    </row>
    <row r="1130" spans="1:12">
      <c r="A1130" s="238">
        <v>590665</v>
      </c>
      <c r="B1130" s="239" t="s">
        <v>1146</v>
      </c>
      <c r="C1130" s="240">
        <v>2</v>
      </c>
      <c r="D1130" s="241" t="s">
        <v>1129</v>
      </c>
      <c r="E1130" s="241" t="s">
        <v>287</v>
      </c>
      <c r="F1130" s="240">
        <v>118</v>
      </c>
      <c r="G1130" s="240"/>
      <c r="H1130" s="239">
        <v>118</v>
      </c>
      <c r="I1130" s="242">
        <v>14</v>
      </c>
      <c r="K1130" s="10"/>
      <c r="L1130" s="11"/>
    </row>
    <row r="1131" spans="1:12">
      <c r="A1131" s="238">
        <v>594832</v>
      </c>
      <c r="B1131" s="239" t="s">
        <v>1159</v>
      </c>
      <c r="C1131" s="240">
        <v>2</v>
      </c>
      <c r="D1131" s="241" t="s">
        <v>1129</v>
      </c>
      <c r="E1131" s="241" t="s">
        <v>287</v>
      </c>
      <c r="F1131" s="240">
        <v>95</v>
      </c>
      <c r="G1131" s="240"/>
      <c r="H1131" s="239">
        <v>95</v>
      </c>
      <c r="I1131" s="242">
        <v>14</v>
      </c>
      <c r="K1131" s="10"/>
      <c r="L1131" s="11"/>
    </row>
    <row r="1132" spans="1:12">
      <c r="A1132" s="238">
        <v>594833</v>
      </c>
      <c r="B1132" s="239" t="s">
        <v>1160</v>
      </c>
      <c r="C1132" s="240">
        <v>2</v>
      </c>
      <c r="D1132" s="241" t="s">
        <v>1129</v>
      </c>
      <c r="E1132" s="241" t="s">
        <v>287</v>
      </c>
      <c r="F1132" s="240">
        <v>95</v>
      </c>
      <c r="G1132" s="240"/>
      <c r="H1132" s="239">
        <v>95</v>
      </c>
      <c r="I1132" s="242">
        <v>14</v>
      </c>
      <c r="K1132" s="10"/>
      <c r="L1132" s="11"/>
    </row>
    <row r="1133" spans="1:12">
      <c r="A1133" s="238">
        <v>324216</v>
      </c>
      <c r="B1133" s="239" t="s">
        <v>7</v>
      </c>
      <c r="C1133" s="240">
        <v>1</v>
      </c>
      <c r="D1133" s="241" t="s">
        <v>1037</v>
      </c>
      <c r="E1133" s="241" t="s">
        <v>287</v>
      </c>
      <c r="F1133" s="240">
        <v>150.19999999999999</v>
      </c>
      <c r="G1133" s="240"/>
      <c r="H1133" s="239">
        <v>150.19999999999999</v>
      </c>
      <c r="I1133" s="242">
        <v>36</v>
      </c>
      <c r="K1133" s="10"/>
      <c r="L1133" s="12"/>
    </row>
    <row r="1134" spans="1:12">
      <c r="A1134" s="238">
        <v>322484</v>
      </c>
      <c r="B1134" s="239" t="s">
        <v>388</v>
      </c>
      <c r="C1134" s="240">
        <v>1</v>
      </c>
      <c r="D1134" s="241" t="s">
        <v>1037</v>
      </c>
      <c r="E1134" s="241" t="s">
        <v>287</v>
      </c>
      <c r="F1134" s="240">
        <v>142.6</v>
      </c>
      <c r="G1134" s="240"/>
      <c r="H1134" s="239">
        <v>24</v>
      </c>
      <c r="I1134" s="242">
        <v>9</v>
      </c>
      <c r="K1134" s="10"/>
      <c r="L1134" s="12"/>
    </row>
    <row r="1135" spans="1:12">
      <c r="A1135" s="238">
        <v>331136</v>
      </c>
      <c r="B1135" s="239" t="s">
        <v>245</v>
      </c>
      <c r="C1135" s="240">
        <v>4</v>
      </c>
      <c r="D1135" s="241" t="s">
        <v>1037</v>
      </c>
      <c r="E1135" s="241" t="s">
        <v>287</v>
      </c>
      <c r="F1135" s="240">
        <v>30</v>
      </c>
      <c r="G1135" s="240"/>
      <c r="H1135" s="239">
        <v>26.9</v>
      </c>
      <c r="I1135" s="242">
        <v>23</v>
      </c>
      <c r="K1135" s="10"/>
      <c r="L1135" s="11"/>
    </row>
    <row r="1136" spans="1:12">
      <c r="A1136" s="245">
        <v>324142</v>
      </c>
      <c r="B1136" s="239" t="s">
        <v>246</v>
      </c>
      <c r="C1136" s="240">
        <v>4</v>
      </c>
      <c r="D1136" s="241" t="s">
        <v>1037</v>
      </c>
      <c r="E1136" s="241" t="s">
        <v>287</v>
      </c>
      <c r="F1136" s="240">
        <v>27</v>
      </c>
      <c r="G1136" s="240"/>
      <c r="H1136" s="239">
        <v>28.7</v>
      </c>
      <c r="I1136" s="242">
        <v>22</v>
      </c>
      <c r="K1136" s="10"/>
      <c r="L1136" s="12"/>
    </row>
    <row r="1137" spans="1:12">
      <c r="A1137" s="238">
        <v>326771</v>
      </c>
      <c r="B1137" s="239" t="s">
        <v>247</v>
      </c>
      <c r="C1137" s="240">
        <v>4</v>
      </c>
      <c r="D1137" s="241" t="s">
        <v>1037</v>
      </c>
      <c r="E1137" s="241" t="s">
        <v>287</v>
      </c>
      <c r="F1137" s="240">
        <v>24</v>
      </c>
      <c r="G1137" s="240"/>
      <c r="H1137" s="239">
        <v>26.97</v>
      </c>
      <c r="I1137" s="242">
        <v>21.68</v>
      </c>
      <c r="K1137" s="10"/>
      <c r="L1137" s="11"/>
    </row>
    <row r="1138" spans="1:12">
      <c r="A1138" s="245">
        <v>326273</v>
      </c>
      <c r="B1138" s="239" t="s">
        <v>6</v>
      </c>
      <c r="C1138" s="240">
        <v>4</v>
      </c>
      <c r="D1138" s="241" t="s">
        <v>1037</v>
      </c>
      <c r="E1138" s="241" t="s">
        <v>287</v>
      </c>
      <c r="F1138" s="240">
        <v>27</v>
      </c>
      <c r="G1138" s="240"/>
      <c r="H1138" s="239">
        <v>29.1</v>
      </c>
      <c r="I1138" s="242">
        <v>18.559999999999999</v>
      </c>
      <c r="K1138" s="10"/>
      <c r="L1138" s="11"/>
    </row>
    <row r="1139" spans="1:12">
      <c r="A1139" s="245">
        <v>355328</v>
      </c>
      <c r="B1139" s="239" t="s">
        <v>5</v>
      </c>
      <c r="C1139" s="240">
        <v>4</v>
      </c>
      <c r="D1139" s="241" t="s">
        <v>1037</v>
      </c>
      <c r="E1139" s="241" t="s">
        <v>287</v>
      </c>
      <c r="F1139" s="240">
        <v>28.7</v>
      </c>
      <c r="G1139" s="240"/>
      <c r="H1139" s="239">
        <v>28.7</v>
      </c>
      <c r="I1139" s="242">
        <v>22</v>
      </c>
      <c r="K1139" s="10"/>
      <c r="L1139" s="11"/>
    </row>
    <row r="1140" spans="1:12">
      <c r="A1140" s="238">
        <v>411344</v>
      </c>
      <c r="B1140" s="239" t="s">
        <v>565</v>
      </c>
      <c r="C1140" s="240">
        <v>4</v>
      </c>
      <c r="D1140" s="241" t="s">
        <v>1037</v>
      </c>
      <c r="E1140" s="241" t="s">
        <v>287</v>
      </c>
      <c r="F1140" s="240">
        <v>29.1</v>
      </c>
      <c r="G1140" s="240"/>
      <c r="H1140" s="239">
        <v>30</v>
      </c>
      <c r="I1140" s="242">
        <v>34</v>
      </c>
      <c r="K1140" s="10"/>
      <c r="L1140" s="12"/>
    </row>
    <row r="1141" spans="1:12">
      <c r="A1141" s="238">
        <v>355327</v>
      </c>
      <c r="B1141" s="239" t="s">
        <v>4</v>
      </c>
      <c r="C1141" s="240">
        <v>4</v>
      </c>
      <c r="D1141" s="241" t="s">
        <v>1037</v>
      </c>
      <c r="E1141" s="241" t="s">
        <v>287</v>
      </c>
      <c r="F1141" s="240">
        <v>29</v>
      </c>
      <c r="G1141" s="240"/>
      <c r="H1141" s="239">
        <v>29.5</v>
      </c>
      <c r="I1141" s="242">
        <v>22.76</v>
      </c>
      <c r="K1141" s="10"/>
      <c r="L1141" s="11"/>
    </row>
    <row r="1142" spans="1:12">
      <c r="A1142" s="238">
        <v>324108</v>
      </c>
      <c r="B1142" s="239" t="s">
        <v>248</v>
      </c>
      <c r="C1142" s="240">
        <v>4</v>
      </c>
      <c r="D1142" s="241" t="s">
        <v>1037</v>
      </c>
      <c r="E1142" s="241" t="s">
        <v>287</v>
      </c>
      <c r="F1142" s="240">
        <v>29</v>
      </c>
      <c r="G1142" s="240"/>
      <c r="H1142" s="239">
        <v>28.5</v>
      </c>
      <c r="I1142" s="242">
        <v>27.388000000000002</v>
      </c>
      <c r="K1142" s="10"/>
      <c r="L1142" s="11"/>
    </row>
    <row r="1143" spans="1:12">
      <c r="A1143" s="238">
        <v>334480</v>
      </c>
      <c r="B1143" s="239" t="s">
        <v>501</v>
      </c>
      <c r="C1143" s="240">
        <v>4</v>
      </c>
      <c r="D1143" s="241" t="s">
        <v>1037</v>
      </c>
      <c r="E1143" s="241" t="s">
        <v>287</v>
      </c>
      <c r="F1143" s="240">
        <v>29.5</v>
      </c>
      <c r="G1143" s="240"/>
      <c r="H1143" s="239">
        <v>44</v>
      </c>
      <c r="I1143" s="242">
        <v>22</v>
      </c>
      <c r="K1143" s="10"/>
      <c r="L1143" s="12"/>
    </row>
    <row r="1144" spans="1:12">
      <c r="A1144" s="238">
        <v>328420</v>
      </c>
      <c r="B1144" s="239" t="s">
        <v>3</v>
      </c>
      <c r="C1144" s="240">
        <v>4</v>
      </c>
      <c r="D1144" s="241" t="s">
        <v>1037</v>
      </c>
      <c r="E1144" s="241" t="s">
        <v>287</v>
      </c>
      <c r="F1144" s="240">
        <v>28.5</v>
      </c>
      <c r="G1144" s="240"/>
      <c r="H1144" s="239">
        <v>28.5</v>
      </c>
      <c r="I1144" s="242">
        <v>21.12</v>
      </c>
    </row>
    <row r="1145" spans="1:12">
      <c r="A1145" s="238">
        <v>365091</v>
      </c>
      <c r="B1145" s="239" t="s">
        <v>2</v>
      </c>
      <c r="C1145" s="240">
        <v>4</v>
      </c>
      <c r="D1145" s="241" t="s">
        <v>1037</v>
      </c>
      <c r="E1145" s="241" t="s">
        <v>287</v>
      </c>
      <c r="F1145" s="240">
        <v>44</v>
      </c>
      <c r="G1145" s="240"/>
      <c r="H1145" s="239">
        <f>F1145</f>
        <v>44</v>
      </c>
      <c r="I1145" s="242">
        <v>28.64</v>
      </c>
    </row>
    <row r="1146" spans="1:12">
      <c r="A1146" s="238">
        <v>588637</v>
      </c>
      <c r="B1146" s="239" t="s">
        <v>1135</v>
      </c>
      <c r="C1146" s="240">
        <v>6</v>
      </c>
      <c r="D1146" s="241" t="s">
        <v>1038</v>
      </c>
      <c r="E1146" s="241" t="s">
        <v>1149</v>
      </c>
      <c r="F1146" s="240">
        <v>24.6</v>
      </c>
      <c r="G1146" s="240"/>
      <c r="H1146" s="239">
        <v>24.6</v>
      </c>
      <c r="I1146" s="242">
        <v>26</v>
      </c>
    </row>
    <row r="1147" spans="1:12">
      <c r="A1147" s="238">
        <v>588637</v>
      </c>
      <c r="B1147" s="239" t="s">
        <v>1135</v>
      </c>
      <c r="C1147" s="240">
        <v>6</v>
      </c>
      <c r="D1147" s="241" t="s">
        <v>1038</v>
      </c>
      <c r="E1147" s="241" t="s">
        <v>1149</v>
      </c>
      <c r="F1147" s="240">
        <v>24.6</v>
      </c>
      <c r="G1147" s="240"/>
      <c r="H1147" s="239">
        <v>24.6</v>
      </c>
      <c r="I1147" s="242">
        <v>26</v>
      </c>
    </row>
    <row r="1148" spans="1:12">
      <c r="A1148" s="245">
        <v>667599</v>
      </c>
      <c r="B1148" s="239" t="s">
        <v>1317</v>
      </c>
      <c r="C1148" s="240">
        <v>8</v>
      </c>
      <c r="D1148" s="241" t="s">
        <v>1038</v>
      </c>
      <c r="E1148" s="241" t="s">
        <v>1363</v>
      </c>
      <c r="F1148" s="240">
        <v>0</v>
      </c>
      <c r="G1148" s="240"/>
      <c r="H1148" s="239">
        <v>0</v>
      </c>
      <c r="I1148" s="242">
        <v>0</v>
      </c>
    </row>
    <row r="1149" spans="1:12">
      <c r="A1149" s="245">
        <v>667598</v>
      </c>
      <c r="B1149" s="239" t="s">
        <v>1364</v>
      </c>
      <c r="C1149" s="240">
        <v>12</v>
      </c>
      <c r="D1149" s="241" t="s">
        <v>1038</v>
      </c>
      <c r="E1149" s="241" t="s">
        <v>1363</v>
      </c>
      <c r="F1149" s="240">
        <v>0</v>
      </c>
      <c r="G1149" s="240"/>
      <c r="H1149" s="239">
        <v>0</v>
      </c>
      <c r="I1149" s="242">
        <v>0</v>
      </c>
    </row>
    <row r="1150" spans="1:12">
      <c r="A1150" s="245">
        <v>667634</v>
      </c>
      <c r="B1150" s="239" t="s">
        <v>1365</v>
      </c>
      <c r="C1150" s="240">
        <v>8</v>
      </c>
      <c r="D1150" s="241" t="s">
        <v>1038</v>
      </c>
      <c r="E1150" s="241" t="s">
        <v>1363</v>
      </c>
      <c r="F1150" s="240">
        <v>0</v>
      </c>
      <c r="G1150" s="240"/>
      <c r="H1150" s="239">
        <v>0</v>
      </c>
      <c r="I1150" s="242">
        <v>0</v>
      </c>
    </row>
    <row r="1151" spans="1:12">
      <c r="A1151" s="238">
        <v>550363</v>
      </c>
      <c r="B1151" s="239" t="s">
        <v>988</v>
      </c>
      <c r="C1151" s="240">
        <v>1</v>
      </c>
      <c r="D1151" s="241" t="s">
        <v>1038</v>
      </c>
      <c r="E1151" s="241" t="s">
        <v>1149</v>
      </c>
      <c r="F1151" s="240">
        <v>35</v>
      </c>
      <c r="G1151" s="240"/>
      <c r="H1151" s="239"/>
      <c r="I1151" s="242">
        <v>10</v>
      </c>
    </row>
    <row r="1152" spans="1:12">
      <c r="A1152" s="238">
        <v>322699</v>
      </c>
      <c r="B1152" s="239" t="s">
        <v>1</v>
      </c>
      <c r="C1152" s="240">
        <v>2</v>
      </c>
      <c r="D1152" s="241" t="s">
        <v>1038</v>
      </c>
      <c r="E1152" s="241" t="s">
        <v>290</v>
      </c>
      <c r="F1152" s="240">
        <v>2</v>
      </c>
      <c r="G1152" s="240"/>
      <c r="H1152" s="239">
        <v>2</v>
      </c>
      <c r="I1152" s="242">
        <v>13</v>
      </c>
    </row>
    <row r="1153" spans="1:9">
      <c r="A1153" s="238">
        <v>411790</v>
      </c>
      <c r="B1153" s="239" t="s">
        <v>568</v>
      </c>
      <c r="C1153" s="240">
        <v>8</v>
      </c>
      <c r="D1153" s="241" t="s">
        <v>1038</v>
      </c>
      <c r="E1153" s="241" t="s">
        <v>302</v>
      </c>
      <c r="F1153" s="240">
        <v>11.4</v>
      </c>
      <c r="G1153" s="240"/>
      <c r="H1153" s="239">
        <v>11</v>
      </c>
      <c r="I1153" s="242">
        <v>28</v>
      </c>
    </row>
    <row r="1154" spans="1:9">
      <c r="A1154" s="238">
        <v>322691</v>
      </c>
      <c r="B1154" s="239" t="s">
        <v>0</v>
      </c>
      <c r="C1154" s="240">
        <v>8</v>
      </c>
      <c r="D1154" s="241" t="s">
        <v>1038</v>
      </c>
      <c r="E1154" s="241" t="s">
        <v>290</v>
      </c>
      <c r="F1154" s="240">
        <v>1.7</v>
      </c>
      <c r="G1154" s="240"/>
      <c r="H1154" s="239">
        <v>1.7</v>
      </c>
      <c r="I1154" s="242">
        <v>20</v>
      </c>
    </row>
    <row r="1155" spans="1:9">
      <c r="A1155" s="238">
        <v>323084</v>
      </c>
      <c r="B1155" s="239" t="s">
        <v>249</v>
      </c>
      <c r="C1155" s="240">
        <v>8</v>
      </c>
      <c r="D1155" s="241" t="s">
        <v>1038</v>
      </c>
      <c r="E1155" s="241" t="s">
        <v>302</v>
      </c>
      <c r="F1155" s="240">
        <v>11.39</v>
      </c>
      <c r="G1155" s="240"/>
      <c r="H1155" s="239">
        <v>11</v>
      </c>
      <c r="I1155" s="242">
        <v>30</v>
      </c>
    </row>
    <row r="1156" spans="1:9">
      <c r="A1156" s="238">
        <v>322540</v>
      </c>
      <c r="B1156" s="239" t="s">
        <v>250</v>
      </c>
      <c r="C1156" s="240">
        <v>8</v>
      </c>
      <c r="D1156" s="241" t="s">
        <v>1038</v>
      </c>
      <c r="E1156" s="241" t="s">
        <v>302</v>
      </c>
      <c r="F1156" s="240">
        <v>11.39</v>
      </c>
      <c r="G1156" s="240"/>
      <c r="H1156" s="239">
        <v>11</v>
      </c>
      <c r="I1156" s="242">
        <v>33</v>
      </c>
    </row>
    <row r="1157" spans="1:9">
      <c r="A1157" s="238">
        <v>322537</v>
      </c>
      <c r="B1157" s="239" t="s">
        <v>251</v>
      </c>
      <c r="C1157" s="240">
        <v>8</v>
      </c>
      <c r="D1157" s="241" t="s">
        <v>1038</v>
      </c>
      <c r="E1157" s="241" t="s">
        <v>302</v>
      </c>
      <c r="F1157" s="240">
        <v>11.39</v>
      </c>
      <c r="G1157" s="240"/>
      <c r="H1157" s="239">
        <v>11</v>
      </c>
      <c r="I1157" s="242">
        <v>33</v>
      </c>
    </row>
    <row r="1158" spans="1:9">
      <c r="A1158" s="238">
        <v>322542</v>
      </c>
      <c r="B1158" s="239" t="s">
        <v>252</v>
      </c>
      <c r="C1158" s="240">
        <v>8</v>
      </c>
      <c r="D1158" s="241" t="s">
        <v>1038</v>
      </c>
      <c r="E1158" s="241" t="s">
        <v>302</v>
      </c>
      <c r="F1158" s="240">
        <v>11.39</v>
      </c>
      <c r="G1158" s="240"/>
      <c r="H1158" s="239">
        <v>11</v>
      </c>
      <c r="I1158" s="242">
        <v>33</v>
      </c>
    </row>
    <row r="1159" spans="1:9">
      <c r="A1159" s="249">
        <v>322535</v>
      </c>
      <c r="B1159" s="239" t="s">
        <v>253</v>
      </c>
      <c r="C1159" s="240">
        <v>8</v>
      </c>
      <c r="D1159" s="241" t="s">
        <v>1038</v>
      </c>
      <c r="E1159" s="241" t="s">
        <v>302</v>
      </c>
      <c r="F1159" s="240">
        <v>11.39</v>
      </c>
      <c r="G1159" s="240"/>
      <c r="H1159" s="239">
        <v>11</v>
      </c>
      <c r="I1159" s="242">
        <v>30</v>
      </c>
    </row>
    <row r="1160" spans="1:9">
      <c r="A1160" s="249">
        <v>414321</v>
      </c>
      <c r="B1160" s="239" t="s">
        <v>289</v>
      </c>
      <c r="C1160" s="240">
        <v>8</v>
      </c>
      <c r="D1160" s="241" t="s">
        <v>1038</v>
      </c>
      <c r="E1160" s="241" t="s">
        <v>302</v>
      </c>
      <c r="F1160" s="240">
        <v>11.39</v>
      </c>
      <c r="G1160" s="254"/>
      <c r="H1160" s="239">
        <f>F1160</f>
        <v>11.39</v>
      </c>
      <c r="I1160" s="242">
        <v>28.72</v>
      </c>
    </row>
    <row r="1161" spans="1:9">
      <c r="A1161" s="249">
        <v>414818</v>
      </c>
      <c r="B1161" s="239" t="s">
        <v>574</v>
      </c>
      <c r="C1161" s="240">
        <v>8</v>
      </c>
      <c r="D1161" s="241" t="s">
        <v>1038</v>
      </c>
      <c r="E1161" s="241" t="s">
        <v>302</v>
      </c>
      <c r="F1161" s="240">
        <v>11.39</v>
      </c>
      <c r="G1161" s="240"/>
      <c r="H1161" s="239">
        <v>11</v>
      </c>
      <c r="I1161" s="242">
        <v>28.8</v>
      </c>
    </row>
    <row r="1162" spans="1:9">
      <c r="A1162" s="255">
        <v>604327</v>
      </c>
      <c r="B1162" s="254" t="s">
        <v>1203</v>
      </c>
      <c r="C1162" s="240">
        <v>6</v>
      </c>
      <c r="D1162" s="241" t="s">
        <v>1038</v>
      </c>
      <c r="E1162" s="241" t="s">
        <v>1207</v>
      </c>
      <c r="F1162" s="240">
        <v>55.9</v>
      </c>
      <c r="G1162" s="254"/>
      <c r="H1162" s="239">
        <v>55.9</v>
      </c>
      <c r="I1162" s="242">
        <v>37.5</v>
      </c>
    </row>
    <row r="1163" spans="1:9">
      <c r="A1163" s="255">
        <v>655555</v>
      </c>
      <c r="B1163" s="254" t="s">
        <v>1317</v>
      </c>
      <c r="C1163" s="240">
        <v>8</v>
      </c>
      <c r="D1163" s="241" t="s">
        <v>1038</v>
      </c>
      <c r="E1163" s="241" t="s">
        <v>1316</v>
      </c>
      <c r="F1163" s="240">
        <v>31</v>
      </c>
      <c r="G1163" s="254"/>
      <c r="H1163" s="239">
        <v>31</v>
      </c>
      <c r="I1163" s="242">
        <v>37.5</v>
      </c>
    </row>
    <row r="1164" spans="1:9">
      <c r="A1164" s="255">
        <v>644444</v>
      </c>
      <c r="B1164" s="254" t="s">
        <v>1318</v>
      </c>
      <c r="C1164" s="240">
        <v>12</v>
      </c>
      <c r="D1164" s="241" t="s">
        <v>1038</v>
      </c>
      <c r="E1164" s="241" t="s">
        <v>1316</v>
      </c>
      <c r="F1164" s="240">
        <v>20</v>
      </c>
      <c r="G1164" s="254"/>
      <c r="H1164" s="239">
        <v>20</v>
      </c>
      <c r="I1164" s="242">
        <v>37.5</v>
      </c>
    </row>
    <row r="1165" spans="1:9">
      <c r="A1165" s="256">
        <v>612060</v>
      </c>
      <c r="B1165" s="254" t="s">
        <v>1218</v>
      </c>
      <c r="C1165" s="240">
        <v>4</v>
      </c>
      <c r="D1165" s="241" t="s">
        <v>1038</v>
      </c>
      <c r="E1165" s="241" t="s">
        <v>1217</v>
      </c>
      <c r="F1165" s="240">
        <v>20</v>
      </c>
      <c r="G1165" s="254"/>
      <c r="H1165" s="240">
        <v>20</v>
      </c>
      <c r="I1165" s="242">
        <v>9</v>
      </c>
    </row>
    <row r="1166" spans="1:9">
      <c r="A1166" s="256">
        <v>612132</v>
      </c>
      <c r="B1166" s="254" t="s">
        <v>1219</v>
      </c>
      <c r="C1166" s="240">
        <v>4</v>
      </c>
      <c r="D1166" s="241" t="s">
        <v>1038</v>
      </c>
      <c r="E1166" s="241" t="s">
        <v>1217</v>
      </c>
      <c r="F1166" s="240">
        <v>20</v>
      </c>
      <c r="G1166" s="254"/>
      <c r="H1166" s="240">
        <v>20</v>
      </c>
      <c r="I1166" s="242">
        <v>9</v>
      </c>
    </row>
    <row r="1167" spans="1:9">
      <c r="A1167" s="256">
        <v>612135</v>
      </c>
      <c r="B1167" s="254" t="s">
        <v>1220</v>
      </c>
      <c r="C1167" s="240">
        <v>4</v>
      </c>
      <c r="D1167" s="241" t="s">
        <v>1038</v>
      </c>
      <c r="E1167" s="241" t="s">
        <v>1217</v>
      </c>
      <c r="F1167" s="240">
        <v>20</v>
      </c>
      <c r="G1167" s="254"/>
      <c r="H1167" s="240">
        <v>20</v>
      </c>
      <c r="I1167" s="242">
        <v>9</v>
      </c>
    </row>
    <row r="1168" spans="1:9">
      <c r="A1168" s="249">
        <v>612317</v>
      </c>
      <c r="B1168" s="254" t="s">
        <v>1221</v>
      </c>
      <c r="C1168" s="240"/>
      <c r="D1168" s="241" t="s">
        <v>1038</v>
      </c>
      <c r="E1168" s="241"/>
      <c r="F1168" s="240"/>
      <c r="G1168" s="254"/>
      <c r="H1168" s="239"/>
      <c r="I1168" s="242"/>
    </row>
    <row r="1169" spans="1:12">
      <c r="A1169" s="249">
        <v>611847</v>
      </c>
      <c r="B1169" s="254" t="s">
        <v>1298</v>
      </c>
      <c r="C1169" s="240">
        <v>4</v>
      </c>
      <c r="D1169" s="241" t="s">
        <v>1038</v>
      </c>
      <c r="E1169" s="241" t="s">
        <v>1217</v>
      </c>
      <c r="F1169" s="240">
        <v>16.3</v>
      </c>
      <c r="G1169" s="254"/>
      <c r="H1169" s="239">
        <v>16.3</v>
      </c>
      <c r="I1169" s="242">
        <v>37</v>
      </c>
    </row>
    <row r="1170" spans="1:12">
      <c r="A1170" s="249" t="s">
        <v>1303</v>
      </c>
      <c r="B1170" s="254" t="s">
        <v>1304</v>
      </c>
      <c r="C1170" s="240">
        <v>2</v>
      </c>
      <c r="D1170" s="241" t="s">
        <v>1215</v>
      </c>
      <c r="E1170" s="241" t="s">
        <v>1177</v>
      </c>
      <c r="F1170" s="240">
        <v>56.8</v>
      </c>
      <c r="G1170" s="240"/>
      <c r="H1170" s="239">
        <v>56.5</v>
      </c>
      <c r="I1170" s="242">
        <v>10</v>
      </c>
    </row>
    <row r="1171" spans="1:12">
      <c r="A1171" s="249">
        <v>611846</v>
      </c>
      <c r="B1171" s="254" t="s">
        <v>1222</v>
      </c>
      <c r="C1171" s="240">
        <v>2</v>
      </c>
      <c r="D1171" s="241" t="s">
        <v>1039</v>
      </c>
      <c r="E1171" s="241" t="s">
        <v>1330</v>
      </c>
      <c r="F1171" s="240">
        <v>329</v>
      </c>
      <c r="G1171" s="254"/>
      <c r="H1171" s="239">
        <v>453</v>
      </c>
      <c r="I1171" s="242">
        <v>40.1</v>
      </c>
    </row>
    <row r="1172" spans="1:12">
      <c r="A1172" s="249">
        <v>645097</v>
      </c>
      <c r="B1172" s="254" t="s">
        <v>1289</v>
      </c>
      <c r="C1172" s="240">
        <v>2</v>
      </c>
      <c r="D1172" s="241" t="s">
        <v>1039</v>
      </c>
      <c r="E1172" s="241" t="s">
        <v>1290</v>
      </c>
      <c r="F1172" s="240">
        <v>280</v>
      </c>
      <c r="G1172" s="254"/>
      <c r="H1172" s="239">
        <v>440.5</v>
      </c>
      <c r="I1172" s="242">
        <v>40.1</v>
      </c>
    </row>
    <row r="1173" spans="1:12">
      <c r="A1173" s="249">
        <v>645095</v>
      </c>
      <c r="B1173" s="254" t="s">
        <v>1291</v>
      </c>
      <c r="C1173" s="240">
        <v>2</v>
      </c>
      <c r="D1173" s="241" t="s">
        <v>1039</v>
      </c>
      <c r="E1173" s="241" t="s">
        <v>1290</v>
      </c>
      <c r="F1173" s="240">
        <v>190</v>
      </c>
      <c r="G1173" s="254"/>
      <c r="H1173" s="239">
        <v>317</v>
      </c>
      <c r="I1173" s="242">
        <v>45</v>
      </c>
    </row>
    <row r="1174" spans="1:12">
      <c r="A1174" s="249">
        <v>558275</v>
      </c>
      <c r="B1174" s="254" t="s">
        <v>1296</v>
      </c>
      <c r="C1174" s="240">
        <v>1</v>
      </c>
      <c r="D1174" s="241" t="s">
        <v>1039</v>
      </c>
      <c r="E1174" s="241" t="s">
        <v>1297</v>
      </c>
      <c r="F1174" s="240">
        <v>86.5</v>
      </c>
      <c r="G1174" s="254"/>
      <c r="H1174" s="239">
        <v>100.8</v>
      </c>
      <c r="I1174" s="242">
        <v>45</v>
      </c>
    </row>
    <row r="1175" spans="1:12">
      <c r="A1175" s="249">
        <v>613594</v>
      </c>
      <c r="B1175" s="257" t="s">
        <v>1230</v>
      </c>
      <c r="C1175" s="257">
        <v>1</v>
      </c>
      <c r="D1175" s="241" t="s">
        <v>1037</v>
      </c>
      <c r="E1175" s="241" t="s">
        <v>287</v>
      </c>
      <c r="F1175" s="240">
        <v>24</v>
      </c>
      <c r="G1175" s="240"/>
      <c r="H1175" s="239">
        <v>24</v>
      </c>
      <c r="I1175" s="242">
        <v>9</v>
      </c>
    </row>
    <row r="1176" spans="1:12">
      <c r="A1176" s="249">
        <v>600646</v>
      </c>
      <c r="B1176" s="254" t="s">
        <v>1231</v>
      </c>
      <c r="C1176" s="257">
        <v>4</v>
      </c>
      <c r="D1176" s="241" t="s">
        <v>1037</v>
      </c>
      <c r="E1176" s="241" t="s">
        <v>287</v>
      </c>
      <c r="F1176" s="240">
        <v>44</v>
      </c>
      <c r="G1176" s="254"/>
      <c r="H1176" s="239">
        <v>44</v>
      </c>
      <c r="I1176" s="242">
        <v>30</v>
      </c>
    </row>
    <row r="1177" spans="1:12">
      <c r="A1177" s="249">
        <v>620901</v>
      </c>
      <c r="B1177" s="258" t="s">
        <v>1001</v>
      </c>
      <c r="C1177" s="240">
        <v>4</v>
      </c>
      <c r="D1177" s="241" t="s">
        <v>1039</v>
      </c>
      <c r="E1177" s="241" t="s">
        <v>287</v>
      </c>
      <c r="F1177" s="240">
        <v>103</v>
      </c>
      <c r="G1177" s="240"/>
      <c r="H1177" s="239">
        <v>139.80000000000001</v>
      </c>
      <c r="I1177" s="242">
        <v>33</v>
      </c>
      <c r="K1177" s="10"/>
      <c r="L1177" s="11"/>
    </row>
    <row r="1178" spans="1:12">
      <c r="A1178" s="249">
        <v>606767</v>
      </c>
      <c r="B1178" s="258" t="s">
        <v>1256</v>
      </c>
      <c r="C1178" s="240">
        <v>4</v>
      </c>
      <c r="D1178" s="241" t="s">
        <v>1039</v>
      </c>
      <c r="E1178" s="241" t="s">
        <v>287</v>
      </c>
      <c r="F1178" s="240">
        <v>103</v>
      </c>
      <c r="G1178" s="240"/>
      <c r="H1178" s="239">
        <v>139.80000000000001</v>
      </c>
      <c r="I1178" s="242">
        <v>33</v>
      </c>
      <c r="K1178" s="10"/>
      <c r="L1178" s="11"/>
    </row>
    <row r="1179" spans="1:12">
      <c r="A1179" s="245">
        <v>617192</v>
      </c>
      <c r="B1179" s="259" t="s">
        <v>1235</v>
      </c>
      <c r="C1179" s="240">
        <v>1</v>
      </c>
      <c r="D1179" s="241" t="s">
        <v>1039</v>
      </c>
      <c r="E1179" s="241" t="s">
        <v>292</v>
      </c>
      <c r="F1179" s="240">
        <v>103</v>
      </c>
      <c r="G1179" s="240"/>
      <c r="H1179" s="239">
        <v>139.80000000000001</v>
      </c>
      <c r="I1179" s="242">
        <v>33</v>
      </c>
      <c r="K1179" s="10"/>
      <c r="L1179" s="11"/>
    </row>
    <row r="1180" spans="1:12">
      <c r="A1180" s="249">
        <v>645098</v>
      </c>
      <c r="B1180" s="257" t="s">
        <v>1295</v>
      </c>
      <c r="C1180" s="257">
        <v>6</v>
      </c>
      <c r="D1180" s="241" t="s">
        <v>1037</v>
      </c>
      <c r="E1180" s="241" t="s">
        <v>315</v>
      </c>
      <c r="F1180" s="257">
        <v>11</v>
      </c>
      <c r="G1180" s="257"/>
      <c r="H1180" s="253">
        <v>11</v>
      </c>
      <c r="I1180" s="253">
        <v>28</v>
      </c>
    </row>
    <row r="1181" spans="1:12">
      <c r="A1181" s="249">
        <v>604327</v>
      </c>
      <c r="B1181" s="254" t="s">
        <v>1203</v>
      </c>
      <c r="C1181" s="240">
        <v>6</v>
      </c>
      <c r="D1181" s="241" t="s">
        <v>1038</v>
      </c>
      <c r="E1181" s="241" t="s">
        <v>287</v>
      </c>
      <c r="F1181" s="240">
        <v>55.9</v>
      </c>
      <c r="G1181" s="254"/>
      <c r="H1181" s="239">
        <v>55.9</v>
      </c>
      <c r="I1181" s="242">
        <v>37.5</v>
      </c>
    </row>
    <row r="1182" spans="1:12">
      <c r="A1182" s="249">
        <v>647556</v>
      </c>
      <c r="B1182" s="254" t="s">
        <v>1306</v>
      </c>
      <c r="C1182" s="240">
        <v>4</v>
      </c>
      <c r="D1182" s="241" t="s">
        <v>1037</v>
      </c>
      <c r="E1182" s="241" t="s">
        <v>287</v>
      </c>
      <c r="F1182" s="240">
        <v>33</v>
      </c>
      <c r="G1182" s="254"/>
      <c r="H1182" s="239">
        <v>33</v>
      </c>
      <c r="I1182" s="242">
        <v>22</v>
      </c>
    </row>
    <row r="1183" spans="1:12">
      <c r="A1183" s="245">
        <v>620941</v>
      </c>
      <c r="B1183" s="239" t="s">
        <v>1307</v>
      </c>
      <c r="C1183" s="240">
        <v>1</v>
      </c>
      <c r="D1183" s="241" t="s">
        <v>1037</v>
      </c>
      <c r="E1183" s="241" t="s">
        <v>287</v>
      </c>
      <c r="F1183" s="240">
        <v>24</v>
      </c>
      <c r="G1183" s="240"/>
      <c r="H1183" s="239">
        <v>24</v>
      </c>
      <c r="I1183" s="242">
        <v>36</v>
      </c>
      <c r="K1183" s="10"/>
      <c r="L1183" s="12"/>
    </row>
  </sheetData>
  <autoFilter ref="A6:L1183" xr:uid="{00000000-0001-0000-0100-000000000000}"/>
  <phoneticPr fontId="26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Daily Report</vt:lpstr>
      <vt:lpstr>Reference Card </vt:lpstr>
      <vt:lpstr>'Daily Report'!Print_Area</vt:lpstr>
      <vt:lpstr>'Daily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Pek Yin HO</dc:creator>
  <cp:lastModifiedBy>Syafiq SUHAIMI</cp:lastModifiedBy>
  <cp:lastPrinted>2026-06-23T04:41:20Z</cp:lastPrinted>
  <dcterms:created xsi:type="dcterms:W3CDTF">2013-09-06T07:53:31Z</dcterms:created>
  <dcterms:modified xsi:type="dcterms:W3CDTF">2026-08-06T06:59:54Z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Reference Card-Material, Prod Group.xlsx</vt:lpwstr>
  </property>
</Properties>
</file>